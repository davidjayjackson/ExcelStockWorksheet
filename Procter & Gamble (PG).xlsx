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AB0D8EDA-95B2-42FE-9A4A-DEDFE16652D6}" xr6:coauthVersionLast="47" xr6:coauthVersionMax="47" xr10:uidLastSave="{00000000-0000-0000-0000-000000000000}"/>
  <bookViews>
    <workbookView xWindow="4980" yWindow="180" windowWidth="8565" windowHeight="10620" firstSheet="1" activeTab="4" xr2:uid="{92AFEA67-FCE1-458C-9A7E-ADF426D7B024}"/>
  </bookViews>
  <sheets>
    <sheet name="Intro" sheetId="10" r:id="rId1"/>
    <sheet name="Data" sheetId="1" r:id="rId2"/>
    <sheet name="Forecast" sheetId="19" r:id="rId3"/>
    <sheet name="Weekly" sheetId="17" r:id="rId4"/>
    <sheet name="Dashboard" sheetId="7" r:id="rId5"/>
    <sheet name="Dividends" sheetId="18" r:id="rId6"/>
  </sheets>
  <definedNames>
    <definedName name="data">Data!$1:$1048576</definedName>
    <definedName name="ExternalData_1" localSheetId="2" hidden="1">Forecast!$A$1:$B$120</definedName>
    <definedName name="ExternalData_1" localSheetId="3" hidden="1">Weekly!#REF!</definedName>
    <definedName name="FromArray_1">_xlfn.ANCHORARRAY(Data!$B$1)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3" i="1" l="1"/>
  <c r="C112" i="19"/>
  <c r="C120" i="19"/>
  <c r="C109" i="19"/>
  <c r="C111" i="19"/>
  <c r="C113" i="19"/>
  <c r="C108" i="19"/>
  <c r="C117" i="19"/>
  <c r="C118" i="19"/>
  <c r="C114" i="19"/>
  <c r="C115" i="19"/>
  <c r="C116" i="19"/>
  <c r="C110" i="19"/>
  <c r="C119" i="19"/>
  <c r="C107" i="19"/>
  <c r="B1" i="1" a="1"/>
  <c r="B1" i="1" l="1"/>
  <c r="E515" i="1"/>
  <c r="G515" i="1"/>
  <c r="J515" i="1"/>
  <c r="K515" i="1"/>
  <c r="N515" i="1"/>
  <c r="O515" i="1" s="1"/>
  <c r="U515" i="1"/>
  <c r="V515" i="1"/>
  <c r="AB515" i="1"/>
  <c r="E516" i="1"/>
  <c r="G516" i="1"/>
  <c r="J516" i="1"/>
  <c r="K516" i="1"/>
  <c r="N516" i="1"/>
  <c r="O516" i="1" s="1"/>
  <c r="U516" i="1"/>
  <c r="V516" i="1"/>
  <c r="AB516" i="1"/>
  <c r="E517" i="1"/>
  <c r="G517" i="1"/>
  <c r="J517" i="1"/>
  <c r="K517" i="1"/>
  <c r="N517" i="1"/>
  <c r="P517" i="1" s="1"/>
  <c r="U517" i="1"/>
  <c r="V517" i="1"/>
  <c r="AB517" i="1"/>
  <c r="E518" i="1"/>
  <c r="G518" i="1"/>
  <c r="J518" i="1"/>
  <c r="K518" i="1"/>
  <c r="N518" i="1"/>
  <c r="P518" i="1" s="1"/>
  <c r="U518" i="1"/>
  <c r="V518" i="1"/>
  <c r="AB518" i="1"/>
  <c r="E519" i="1"/>
  <c r="G519" i="1"/>
  <c r="J519" i="1"/>
  <c r="K519" i="1"/>
  <c r="N519" i="1"/>
  <c r="P519" i="1" s="1"/>
  <c r="U519" i="1"/>
  <c r="V519" i="1"/>
  <c r="AB519" i="1"/>
  <c r="E520" i="1"/>
  <c r="G520" i="1"/>
  <c r="J520" i="1"/>
  <c r="K520" i="1"/>
  <c r="N520" i="1"/>
  <c r="P520" i="1" s="1"/>
  <c r="U520" i="1"/>
  <c r="V520" i="1"/>
  <c r="AB520" i="1"/>
  <c r="E521" i="1"/>
  <c r="G521" i="1"/>
  <c r="J521" i="1"/>
  <c r="K521" i="1"/>
  <c r="N521" i="1"/>
  <c r="P521" i="1" s="1"/>
  <c r="O521" i="1"/>
  <c r="U521" i="1"/>
  <c r="V521" i="1"/>
  <c r="AB521" i="1"/>
  <c r="E522" i="1"/>
  <c r="G522" i="1"/>
  <c r="J522" i="1"/>
  <c r="K522" i="1"/>
  <c r="N522" i="1"/>
  <c r="P522" i="1" s="1"/>
  <c r="U522" i="1"/>
  <c r="V522" i="1"/>
  <c r="AB522" i="1"/>
  <c r="E523" i="1"/>
  <c r="G523" i="1"/>
  <c r="J523" i="1"/>
  <c r="K523" i="1"/>
  <c r="N523" i="1"/>
  <c r="P523" i="1" s="1"/>
  <c r="U523" i="1"/>
  <c r="V523" i="1"/>
  <c r="AB523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15" i="1"/>
  <c r="M516" i="1" l="1"/>
  <c r="M522" i="1"/>
  <c r="L523" i="1"/>
  <c r="L517" i="1"/>
  <c r="O520" i="1"/>
  <c r="L516" i="1"/>
  <c r="M520" i="1"/>
  <c r="O519" i="1"/>
  <c r="O522" i="1"/>
  <c r="L515" i="1"/>
  <c r="M515" i="1"/>
  <c r="L522" i="1"/>
  <c r="L521" i="1"/>
  <c r="L518" i="1"/>
  <c r="O523" i="1"/>
  <c r="L520" i="1"/>
  <c r="L519" i="1"/>
  <c r="M518" i="1"/>
  <c r="O517" i="1"/>
  <c r="M523" i="1"/>
  <c r="M519" i="1"/>
  <c r="M521" i="1"/>
  <c r="O518" i="1"/>
  <c r="M517" i="1"/>
  <c r="P516" i="1"/>
  <c r="P515" i="1"/>
  <c r="A3" i="1"/>
  <c r="A11" i="1"/>
  <c r="A19" i="1"/>
  <c r="A27" i="1"/>
  <c r="A35" i="1"/>
  <c r="A43" i="1"/>
  <c r="A51" i="1"/>
  <c r="A59" i="1"/>
  <c r="A67" i="1"/>
  <c r="A75" i="1"/>
  <c r="A83" i="1"/>
  <c r="A91" i="1"/>
  <c r="A99" i="1"/>
  <c r="A107" i="1"/>
  <c r="A115" i="1"/>
  <c r="A123" i="1"/>
  <c r="A131" i="1"/>
  <c r="A139" i="1"/>
  <c r="A147" i="1"/>
  <c r="A155" i="1"/>
  <c r="A163" i="1"/>
  <c r="A171" i="1"/>
  <c r="A179" i="1"/>
  <c r="A187" i="1"/>
  <c r="A195" i="1"/>
  <c r="A203" i="1"/>
  <c r="A211" i="1"/>
  <c r="A219" i="1"/>
  <c r="A227" i="1"/>
  <c r="A235" i="1"/>
  <c r="A243" i="1"/>
  <c r="A251" i="1"/>
  <c r="A259" i="1"/>
  <c r="A267" i="1"/>
  <c r="A275" i="1"/>
  <c r="A283" i="1"/>
  <c r="A291" i="1"/>
  <c r="A299" i="1"/>
  <c r="A307" i="1"/>
  <c r="A315" i="1"/>
  <c r="A323" i="1"/>
  <c r="A331" i="1"/>
  <c r="A339" i="1"/>
  <c r="A347" i="1"/>
  <c r="A355" i="1"/>
  <c r="A363" i="1"/>
  <c r="A371" i="1"/>
  <c r="A379" i="1"/>
  <c r="A387" i="1"/>
  <c r="A395" i="1"/>
  <c r="A403" i="1"/>
  <c r="A411" i="1"/>
  <c r="A419" i="1"/>
  <c r="A427" i="1"/>
  <c r="A435" i="1"/>
  <c r="A443" i="1"/>
  <c r="A451" i="1"/>
  <c r="A459" i="1"/>
  <c r="A467" i="1"/>
  <c r="A475" i="1"/>
  <c r="A483" i="1"/>
  <c r="A491" i="1"/>
  <c r="A499" i="1"/>
  <c r="A507" i="1"/>
  <c r="A515" i="1"/>
  <c r="A523" i="1"/>
  <c r="A396" i="1"/>
  <c r="A4" i="1"/>
  <c r="A12" i="1"/>
  <c r="A20" i="1"/>
  <c r="A28" i="1"/>
  <c r="A36" i="1"/>
  <c r="A44" i="1"/>
  <c r="A52" i="1"/>
  <c r="A60" i="1"/>
  <c r="A68" i="1"/>
  <c r="A76" i="1"/>
  <c r="A84" i="1"/>
  <c r="A92" i="1"/>
  <c r="A100" i="1"/>
  <c r="A108" i="1"/>
  <c r="A116" i="1"/>
  <c r="A124" i="1"/>
  <c r="A132" i="1"/>
  <c r="A140" i="1"/>
  <c r="A148" i="1"/>
  <c r="A156" i="1"/>
  <c r="A164" i="1"/>
  <c r="A172" i="1"/>
  <c r="A180" i="1"/>
  <c r="A188" i="1"/>
  <c r="A196" i="1"/>
  <c r="A204" i="1"/>
  <c r="A212" i="1"/>
  <c r="A220" i="1"/>
  <c r="A228" i="1"/>
  <c r="A236" i="1"/>
  <c r="A244" i="1"/>
  <c r="A252" i="1"/>
  <c r="A260" i="1"/>
  <c r="A268" i="1"/>
  <c r="A276" i="1"/>
  <c r="A284" i="1"/>
  <c r="A292" i="1"/>
  <c r="A300" i="1"/>
  <c r="A308" i="1"/>
  <c r="A316" i="1"/>
  <c r="A324" i="1"/>
  <c r="A332" i="1"/>
  <c r="A340" i="1"/>
  <c r="A348" i="1"/>
  <c r="A356" i="1"/>
  <c r="A364" i="1"/>
  <c r="A372" i="1"/>
  <c r="A380" i="1"/>
  <c r="A388" i="1"/>
  <c r="A404" i="1"/>
  <c r="A412" i="1"/>
  <c r="A420" i="1"/>
  <c r="A428" i="1"/>
  <c r="A436" i="1"/>
  <c r="A444" i="1"/>
  <c r="A452" i="1"/>
  <c r="A460" i="1"/>
  <c r="A468" i="1"/>
  <c r="A476" i="1"/>
  <c r="A484" i="1"/>
  <c r="A492" i="1"/>
  <c r="A500" i="1"/>
  <c r="A508" i="1"/>
  <c r="A516" i="1"/>
  <c r="A5" i="1"/>
  <c r="A13" i="1"/>
  <c r="A21" i="1"/>
  <c r="A29" i="1"/>
  <c r="A37" i="1"/>
  <c r="A45" i="1"/>
  <c r="A53" i="1"/>
  <c r="A61" i="1"/>
  <c r="A69" i="1"/>
  <c r="A77" i="1"/>
  <c r="A85" i="1"/>
  <c r="A93" i="1"/>
  <c r="A101" i="1"/>
  <c r="A109" i="1"/>
  <c r="A117" i="1"/>
  <c r="A125" i="1"/>
  <c r="A133" i="1"/>
  <c r="A141" i="1"/>
  <c r="A149" i="1"/>
  <c r="A157" i="1"/>
  <c r="A165" i="1"/>
  <c r="A173" i="1"/>
  <c r="A181" i="1"/>
  <c r="A189" i="1"/>
  <c r="A197" i="1"/>
  <c r="A205" i="1"/>
  <c r="A213" i="1"/>
  <c r="A221" i="1"/>
  <c r="A229" i="1"/>
  <c r="A237" i="1"/>
  <c r="A245" i="1"/>
  <c r="A253" i="1"/>
  <c r="A261" i="1"/>
  <c r="A269" i="1"/>
  <c r="A277" i="1"/>
  <c r="A285" i="1"/>
  <c r="A293" i="1"/>
  <c r="A301" i="1"/>
  <c r="A309" i="1"/>
  <c r="A317" i="1"/>
  <c r="A325" i="1"/>
  <c r="A333" i="1"/>
  <c r="A341" i="1"/>
  <c r="A349" i="1"/>
  <c r="A357" i="1"/>
  <c r="A365" i="1"/>
  <c r="A373" i="1"/>
  <c r="A381" i="1"/>
  <c r="A389" i="1"/>
  <c r="A397" i="1"/>
  <c r="A405" i="1"/>
  <c r="A413" i="1"/>
  <c r="A421" i="1"/>
  <c r="A429" i="1"/>
  <c r="A437" i="1"/>
  <c r="A445" i="1"/>
  <c r="A453" i="1"/>
  <c r="A461" i="1"/>
  <c r="A469" i="1"/>
  <c r="A477" i="1"/>
  <c r="A485" i="1"/>
  <c r="A493" i="1"/>
  <c r="A501" i="1"/>
  <c r="A509" i="1"/>
  <c r="A517" i="1"/>
  <c r="A406" i="1"/>
  <c r="A518" i="1"/>
  <c r="A6" i="1"/>
  <c r="A14" i="1"/>
  <c r="A22" i="1"/>
  <c r="A30" i="1"/>
  <c r="A38" i="1"/>
  <c r="A46" i="1"/>
  <c r="A54" i="1"/>
  <c r="A62" i="1"/>
  <c r="A70" i="1"/>
  <c r="A78" i="1"/>
  <c r="A86" i="1"/>
  <c r="A94" i="1"/>
  <c r="A102" i="1"/>
  <c r="A110" i="1"/>
  <c r="A118" i="1"/>
  <c r="A126" i="1"/>
  <c r="A134" i="1"/>
  <c r="A142" i="1"/>
  <c r="A150" i="1"/>
  <c r="A158" i="1"/>
  <c r="A166" i="1"/>
  <c r="A174" i="1"/>
  <c r="A182" i="1"/>
  <c r="A190" i="1"/>
  <c r="A198" i="1"/>
  <c r="A206" i="1"/>
  <c r="A214" i="1"/>
  <c r="A222" i="1"/>
  <c r="A230" i="1"/>
  <c r="A238" i="1"/>
  <c r="A246" i="1"/>
  <c r="A254" i="1"/>
  <c r="A262" i="1"/>
  <c r="A270" i="1"/>
  <c r="A278" i="1"/>
  <c r="A286" i="1"/>
  <c r="A294" i="1"/>
  <c r="A302" i="1"/>
  <c r="A310" i="1"/>
  <c r="A318" i="1"/>
  <c r="A326" i="1"/>
  <c r="A334" i="1"/>
  <c r="A342" i="1"/>
  <c r="A350" i="1"/>
  <c r="A358" i="1"/>
  <c r="A366" i="1"/>
  <c r="A374" i="1"/>
  <c r="A382" i="1"/>
  <c r="A390" i="1"/>
  <c r="A398" i="1"/>
  <c r="A414" i="1"/>
  <c r="A422" i="1"/>
  <c r="A430" i="1"/>
  <c r="A438" i="1"/>
  <c r="A446" i="1"/>
  <c r="A454" i="1"/>
  <c r="A462" i="1"/>
  <c r="A470" i="1"/>
  <c r="A478" i="1"/>
  <c r="A486" i="1"/>
  <c r="A494" i="1"/>
  <c r="A502" i="1"/>
  <c r="A510" i="1"/>
  <c r="A7" i="1"/>
  <c r="A15" i="1"/>
  <c r="A23" i="1"/>
  <c r="A31" i="1"/>
  <c r="A39" i="1"/>
  <c r="A47" i="1"/>
  <c r="A55" i="1"/>
  <c r="A63" i="1"/>
  <c r="A71" i="1"/>
  <c r="A79" i="1"/>
  <c r="A87" i="1"/>
  <c r="A95" i="1"/>
  <c r="A103" i="1"/>
  <c r="A111" i="1"/>
  <c r="A119" i="1"/>
  <c r="A127" i="1"/>
  <c r="A135" i="1"/>
  <c r="A143" i="1"/>
  <c r="A151" i="1"/>
  <c r="A159" i="1"/>
  <c r="A167" i="1"/>
  <c r="A175" i="1"/>
  <c r="A183" i="1"/>
  <c r="A191" i="1"/>
  <c r="A199" i="1"/>
  <c r="A207" i="1"/>
  <c r="A215" i="1"/>
  <c r="A223" i="1"/>
  <c r="A231" i="1"/>
  <c r="A239" i="1"/>
  <c r="A247" i="1"/>
  <c r="A255" i="1"/>
  <c r="A263" i="1"/>
  <c r="A271" i="1"/>
  <c r="A279" i="1"/>
  <c r="A287" i="1"/>
  <c r="A295" i="1"/>
  <c r="A303" i="1"/>
  <c r="A311" i="1"/>
  <c r="A319" i="1"/>
  <c r="A327" i="1"/>
  <c r="A335" i="1"/>
  <c r="A343" i="1"/>
  <c r="A351" i="1"/>
  <c r="A359" i="1"/>
  <c r="A367" i="1"/>
  <c r="A375" i="1"/>
  <c r="A383" i="1"/>
  <c r="A391" i="1"/>
  <c r="A399" i="1"/>
  <c r="A407" i="1"/>
  <c r="A415" i="1"/>
  <c r="A423" i="1"/>
  <c r="A431" i="1"/>
  <c r="A439" i="1"/>
  <c r="A447" i="1"/>
  <c r="A455" i="1"/>
  <c r="A463" i="1"/>
  <c r="A471" i="1"/>
  <c r="A479" i="1"/>
  <c r="A487" i="1"/>
  <c r="A495" i="1"/>
  <c r="A503" i="1"/>
  <c r="A511" i="1"/>
  <c r="A519" i="1"/>
  <c r="A26" i="1"/>
  <c r="A82" i="1"/>
  <c r="A114" i="1"/>
  <c r="A138" i="1"/>
  <c r="A162" i="1"/>
  <c r="A186" i="1"/>
  <c r="A218" i="1"/>
  <c r="A250" i="1"/>
  <c r="A274" i="1"/>
  <c r="A298" i="1"/>
  <c r="A322" i="1"/>
  <c r="A346" i="1"/>
  <c r="A370" i="1"/>
  <c r="A394" i="1"/>
  <c r="A418" i="1"/>
  <c r="A442" i="1"/>
  <c r="A466" i="1"/>
  <c r="A8" i="1"/>
  <c r="A16" i="1"/>
  <c r="A24" i="1"/>
  <c r="A32" i="1"/>
  <c r="A40" i="1"/>
  <c r="A48" i="1"/>
  <c r="A56" i="1"/>
  <c r="A64" i="1"/>
  <c r="A72" i="1"/>
  <c r="A80" i="1"/>
  <c r="A88" i="1"/>
  <c r="A96" i="1"/>
  <c r="A104" i="1"/>
  <c r="A112" i="1"/>
  <c r="A120" i="1"/>
  <c r="A128" i="1"/>
  <c r="A136" i="1"/>
  <c r="A144" i="1"/>
  <c r="A152" i="1"/>
  <c r="A160" i="1"/>
  <c r="A168" i="1"/>
  <c r="A176" i="1"/>
  <c r="A184" i="1"/>
  <c r="A192" i="1"/>
  <c r="A200" i="1"/>
  <c r="A208" i="1"/>
  <c r="A216" i="1"/>
  <c r="A224" i="1"/>
  <c r="A232" i="1"/>
  <c r="A240" i="1"/>
  <c r="A248" i="1"/>
  <c r="A256" i="1"/>
  <c r="A264" i="1"/>
  <c r="A272" i="1"/>
  <c r="A280" i="1"/>
  <c r="A288" i="1"/>
  <c r="A296" i="1"/>
  <c r="A304" i="1"/>
  <c r="A312" i="1"/>
  <c r="A320" i="1"/>
  <c r="A328" i="1"/>
  <c r="A336" i="1"/>
  <c r="A344" i="1"/>
  <c r="A352" i="1"/>
  <c r="A360" i="1"/>
  <c r="A368" i="1"/>
  <c r="A376" i="1"/>
  <c r="A384" i="1"/>
  <c r="A392" i="1"/>
  <c r="A400" i="1"/>
  <c r="A408" i="1"/>
  <c r="A416" i="1"/>
  <c r="A424" i="1"/>
  <c r="A432" i="1"/>
  <c r="A440" i="1"/>
  <c r="A448" i="1"/>
  <c r="A456" i="1"/>
  <c r="A464" i="1"/>
  <c r="A472" i="1"/>
  <c r="A480" i="1"/>
  <c r="A488" i="1"/>
  <c r="A496" i="1"/>
  <c r="A504" i="1"/>
  <c r="A512" i="1"/>
  <c r="A520" i="1"/>
  <c r="A18" i="1"/>
  <c r="A34" i="1"/>
  <c r="A50" i="1"/>
  <c r="A66" i="1"/>
  <c r="A90" i="1"/>
  <c r="A106" i="1"/>
  <c r="A130" i="1"/>
  <c r="A154" i="1"/>
  <c r="A178" i="1"/>
  <c r="A202" i="1"/>
  <c r="A242" i="1"/>
  <c r="A266" i="1"/>
  <c r="A290" i="1"/>
  <c r="A314" i="1"/>
  <c r="A338" i="1"/>
  <c r="A378" i="1"/>
  <c r="A402" i="1"/>
  <c r="A434" i="1"/>
  <c r="A458" i="1"/>
  <c r="A474" i="1"/>
  <c r="A9" i="1"/>
  <c r="A17" i="1"/>
  <c r="A25" i="1"/>
  <c r="A33" i="1"/>
  <c r="A41" i="1"/>
  <c r="A49" i="1"/>
  <c r="A57" i="1"/>
  <c r="A65" i="1"/>
  <c r="A73" i="1"/>
  <c r="A81" i="1"/>
  <c r="A89" i="1"/>
  <c r="A97" i="1"/>
  <c r="A105" i="1"/>
  <c r="A113" i="1"/>
  <c r="A121" i="1"/>
  <c r="A129" i="1"/>
  <c r="A137" i="1"/>
  <c r="A145" i="1"/>
  <c r="A153" i="1"/>
  <c r="A161" i="1"/>
  <c r="A169" i="1"/>
  <c r="A177" i="1"/>
  <c r="A185" i="1"/>
  <c r="A193" i="1"/>
  <c r="A201" i="1"/>
  <c r="A209" i="1"/>
  <c r="A217" i="1"/>
  <c r="A225" i="1"/>
  <c r="A233" i="1"/>
  <c r="A241" i="1"/>
  <c r="A249" i="1"/>
  <c r="A257" i="1"/>
  <c r="A265" i="1"/>
  <c r="A273" i="1"/>
  <c r="A281" i="1"/>
  <c r="A289" i="1"/>
  <c r="A297" i="1"/>
  <c r="A305" i="1"/>
  <c r="A313" i="1"/>
  <c r="A321" i="1"/>
  <c r="A329" i="1"/>
  <c r="A337" i="1"/>
  <c r="A345" i="1"/>
  <c r="A353" i="1"/>
  <c r="A361" i="1"/>
  <c r="A369" i="1"/>
  <c r="A377" i="1"/>
  <c r="A385" i="1"/>
  <c r="A393" i="1"/>
  <c r="A401" i="1"/>
  <c r="A409" i="1"/>
  <c r="A417" i="1"/>
  <c r="A425" i="1"/>
  <c r="A433" i="1"/>
  <c r="A441" i="1"/>
  <c r="A449" i="1"/>
  <c r="A457" i="1"/>
  <c r="A465" i="1"/>
  <c r="A473" i="1"/>
  <c r="A481" i="1"/>
  <c r="A489" i="1"/>
  <c r="A497" i="1"/>
  <c r="A505" i="1"/>
  <c r="A513" i="1"/>
  <c r="A521" i="1"/>
  <c r="A10" i="1"/>
  <c r="A42" i="1"/>
  <c r="A58" i="1"/>
  <c r="A74" i="1"/>
  <c r="A98" i="1"/>
  <c r="A122" i="1"/>
  <c r="A146" i="1"/>
  <c r="A170" i="1"/>
  <c r="A194" i="1"/>
  <c r="A226" i="1"/>
  <c r="A258" i="1"/>
  <c r="A282" i="1"/>
  <c r="A306" i="1"/>
  <c r="A330" i="1"/>
  <c r="A354" i="1"/>
  <c r="A362" i="1"/>
  <c r="A386" i="1"/>
  <c r="A410" i="1"/>
  <c r="A426" i="1"/>
  <c r="A450" i="1"/>
  <c r="A210" i="1"/>
  <c r="A234" i="1"/>
  <c r="A482" i="1"/>
  <c r="A490" i="1"/>
  <c r="A498" i="1"/>
  <c r="A506" i="1"/>
  <c r="A514" i="1"/>
  <c r="A522" i="1"/>
  <c r="A2" i="1"/>
  <c r="AE5" i="1"/>
  <c r="AE4" i="1"/>
  <c r="AE3" i="1"/>
  <c r="AE2" i="1"/>
  <c r="AD5" i="1"/>
  <c r="AD4" i="1"/>
  <c r="AD3" i="1"/>
  <c r="AD2" i="1"/>
  <c r="AB102" i="1"/>
  <c r="N96" i="1"/>
  <c r="AB172" i="1"/>
  <c r="AB198" i="1"/>
  <c r="N192" i="1"/>
  <c r="AB278" i="1"/>
  <c r="N272" i="1"/>
  <c r="N427" i="1"/>
  <c r="N114" i="1"/>
  <c r="AB105" i="1"/>
  <c r="K294" i="1"/>
  <c r="AB241" i="1"/>
  <c r="AB366" i="1"/>
  <c r="N34" i="1"/>
  <c r="AB361" i="1"/>
  <c r="AB495" i="1"/>
  <c r="AB268" i="1"/>
  <c r="AB489" i="1"/>
  <c r="N108" i="1"/>
  <c r="N315" i="1"/>
  <c r="N329" i="1"/>
  <c r="AB482" i="1"/>
  <c r="AB413" i="1"/>
  <c r="AB178" i="1"/>
  <c r="AB476" i="1"/>
  <c r="AB509" i="1"/>
  <c r="AB283" i="1"/>
  <c r="N54" i="1"/>
  <c r="N342" i="1"/>
  <c r="AB267" i="1"/>
  <c r="K372" i="1"/>
  <c r="N324" i="1"/>
  <c r="AB327" i="1"/>
  <c r="N474" i="1"/>
  <c r="N142" i="1"/>
  <c r="AB423" i="1"/>
  <c r="N59" i="1"/>
  <c r="AB503" i="1"/>
  <c r="N139" i="1"/>
  <c r="N145" i="1"/>
  <c r="N332" i="1"/>
  <c r="AB101" i="1"/>
  <c r="K327" i="1"/>
  <c r="AB115" i="1"/>
  <c r="AB104" i="1"/>
  <c r="N291" i="1"/>
  <c r="AB211" i="1"/>
  <c r="AB217" i="1"/>
  <c r="AB291" i="1"/>
  <c r="AB220" i="1"/>
  <c r="K278" i="1"/>
  <c r="N132" i="1"/>
  <c r="N121" i="1"/>
  <c r="N510" i="1"/>
  <c r="N71" i="1"/>
  <c r="AB379" i="1"/>
  <c r="AB312" i="1"/>
  <c r="N167" i="1"/>
  <c r="AB389" i="1"/>
  <c r="N80" i="1"/>
  <c r="N456" i="1"/>
  <c r="N56" i="1"/>
  <c r="AB343" i="1"/>
  <c r="K102" i="1"/>
  <c r="AB505" i="1"/>
  <c r="AB174" i="1"/>
  <c r="N168" i="1"/>
  <c r="AB145" i="1"/>
  <c r="AB303" i="1"/>
  <c r="AB225" i="1"/>
  <c r="AB350" i="1"/>
  <c r="N299" i="1"/>
  <c r="N452" i="1"/>
  <c r="N386" i="1"/>
  <c r="AB297" i="1"/>
  <c r="AB334" i="1"/>
  <c r="N353" i="1"/>
  <c r="N51" i="1"/>
  <c r="N150" i="1"/>
  <c r="K205" i="1"/>
  <c r="N53" i="1"/>
  <c r="K411" i="1"/>
  <c r="N125" i="1"/>
  <c r="AB235" i="1"/>
  <c r="K53" i="1"/>
  <c r="AB135" i="1"/>
  <c r="N282" i="1"/>
  <c r="AB485" i="1"/>
  <c r="AB231" i="1"/>
  <c r="N378" i="1"/>
  <c r="AB311" i="1"/>
  <c r="N458" i="1"/>
  <c r="N77" i="1"/>
  <c r="N437" i="1"/>
  <c r="AB300" i="1"/>
  <c r="K135" i="1"/>
  <c r="AB426" i="1"/>
  <c r="AB399" i="1"/>
  <c r="N35" i="1"/>
  <c r="AB116" i="1"/>
  <c r="AB345" i="1"/>
  <c r="AB484" i="1"/>
  <c r="AB215" i="1"/>
  <c r="K86" i="1"/>
  <c r="N129" i="1"/>
  <c r="N513" i="1"/>
  <c r="N126" i="1"/>
  <c r="N390" i="1"/>
  <c r="AB187" i="1"/>
  <c r="AB120" i="1"/>
  <c r="N486" i="1"/>
  <c r="AB197" i="1"/>
  <c r="N55" i="1"/>
  <c r="N362" i="1"/>
  <c r="N350" i="1"/>
  <c r="K511" i="1"/>
  <c r="N5" i="1"/>
  <c r="AB352" i="1"/>
  <c r="N384" i="1"/>
  <c r="N143" i="1"/>
  <c r="AB448" i="1"/>
  <c r="AB111" i="1"/>
  <c r="AB441" i="1"/>
  <c r="AB158" i="1"/>
  <c r="N303" i="1"/>
  <c r="N165" i="1"/>
  <c r="N328" i="1"/>
  <c r="AB216" i="1"/>
  <c r="AB260" i="1"/>
  <c r="AB121" i="1"/>
  <c r="AB190" i="1"/>
  <c r="AB125" i="1"/>
  <c r="AB402" i="1"/>
  <c r="AB205" i="1"/>
  <c r="AB188" i="1"/>
  <c r="AB364" i="1"/>
  <c r="K286" i="1"/>
  <c r="N68" i="1"/>
  <c r="AB422" i="1"/>
  <c r="N90" i="1"/>
  <c r="AB293" i="1"/>
  <c r="AB353" i="1"/>
  <c r="N186" i="1"/>
  <c r="AB119" i="1"/>
  <c r="N266" i="1"/>
  <c r="N492" i="1"/>
  <c r="N175" i="1"/>
  <c r="AB131" i="1"/>
  <c r="K451" i="1"/>
  <c r="AB234" i="1"/>
  <c r="AB207" i="1"/>
  <c r="N354" i="1"/>
  <c r="AB330" i="1"/>
  <c r="AB328" i="1"/>
  <c r="AB410" i="1"/>
  <c r="AB383" i="1"/>
  <c r="N488" i="1"/>
  <c r="N311" i="1"/>
  <c r="N243" i="1"/>
  <c r="AB237" i="1"/>
  <c r="AB272" i="1"/>
  <c r="N195" i="1"/>
  <c r="N375" i="1"/>
  <c r="N219" i="1"/>
  <c r="J150" i="1"/>
  <c r="N347" i="1"/>
  <c r="K441" i="1"/>
  <c r="K480" i="1"/>
  <c r="N352" i="1"/>
  <c r="K436" i="1"/>
  <c r="AB160" i="1"/>
  <c r="N29" i="1"/>
  <c r="N462" i="1"/>
  <c r="AB256" i="1"/>
  <c r="AB398" i="1"/>
  <c r="AB336" i="1"/>
  <c r="N363" i="1"/>
  <c r="N508" i="1"/>
  <c r="N100" i="1"/>
  <c r="N111" i="1"/>
  <c r="K164" i="1"/>
  <c r="AB435" i="1"/>
  <c r="AB424" i="1"/>
  <c r="N480" i="1"/>
  <c r="AB132" i="1"/>
  <c r="AB210" i="1"/>
  <c r="AB236" i="1"/>
  <c r="AB356" i="1"/>
  <c r="AB279" i="1"/>
  <c r="K94" i="1"/>
  <c r="N377" i="1"/>
  <c r="AB230" i="1"/>
  <c r="N224" i="1"/>
  <c r="AB492" i="1"/>
  <c r="AB326" i="1"/>
  <c r="N320" i="1"/>
  <c r="AB406" i="1"/>
  <c r="N74" i="1"/>
  <c r="N217" i="1"/>
  <c r="N370" i="1"/>
  <c r="AB122" i="1"/>
  <c r="K422" i="1"/>
  <c r="AB393" i="1"/>
  <c r="AB494" i="1"/>
  <c r="N162" i="1"/>
  <c r="AB138" i="1"/>
  <c r="AB136" i="1"/>
  <c r="AB218" i="1"/>
  <c r="AB191" i="1"/>
  <c r="N380" i="1"/>
  <c r="N340" i="1"/>
  <c r="N331" i="1"/>
  <c r="AB323" i="1"/>
  <c r="N6" i="1"/>
  <c r="AB306" i="1"/>
  <c r="AB223" i="1"/>
  <c r="N102" i="1"/>
  <c r="AB411" i="1"/>
  <c r="N182" i="1"/>
  <c r="N87" i="1"/>
  <c r="AB252" i="1"/>
  <c r="K127" i="1"/>
  <c r="N496" i="1"/>
  <c r="AB455" i="1"/>
  <c r="N91" i="1"/>
  <c r="N270" i="1"/>
  <c r="AB228" i="1"/>
  <c r="AB206" i="1"/>
  <c r="AB144" i="1"/>
  <c r="N489" i="1"/>
  <c r="N356" i="1"/>
  <c r="N503" i="1"/>
  <c r="N238" i="1"/>
  <c r="K455" i="1"/>
  <c r="AB243" i="1"/>
  <c r="AB232" i="1"/>
  <c r="N203" i="1"/>
  <c r="AB339" i="1"/>
  <c r="AB369" i="1"/>
  <c r="AB419" i="1"/>
  <c r="AB417" i="1"/>
  <c r="K406" i="1"/>
  <c r="N509" i="1"/>
  <c r="N17" i="1"/>
  <c r="N88" i="1"/>
  <c r="N267" i="1"/>
  <c r="N415" i="1"/>
  <c r="N220" i="1"/>
  <c r="N359" i="1"/>
  <c r="AB420" i="1"/>
  <c r="K316" i="1"/>
  <c r="K370" i="1"/>
  <c r="K32" i="1"/>
  <c r="N169" i="1"/>
  <c r="N268" i="1"/>
  <c r="AB177" i="1"/>
  <c r="AB302" i="1"/>
  <c r="N296" i="1"/>
  <c r="AB273" i="1"/>
  <c r="AB431" i="1"/>
  <c r="AB377" i="1"/>
  <c r="AB478" i="1"/>
  <c r="N475" i="1"/>
  <c r="N45" i="1"/>
  <c r="N123" i="1"/>
  <c r="AB314" i="1"/>
  <c r="AB349" i="1"/>
  <c r="AB114" i="1"/>
  <c r="AB510" i="1"/>
  <c r="AB445" i="1"/>
  <c r="AB219" i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X475" i="1" s="1"/>
  <c r="X476" i="1" s="1"/>
  <c r="X477" i="1" s="1"/>
  <c r="X478" i="1" s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X501" i="1" s="1"/>
  <c r="X502" i="1" s="1"/>
  <c r="X503" i="1" s="1"/>
  <c r="X504" i="1" s="1"/>
  <c r="X505" i="1" s="1"/>
  <c r="X506" i="1" s="1"/>
  <c r="X507" i="1" s="1"/>
  <c r="X508" i="1" s="1"/>
  <c r="X509" i="1" s="1"/>
  <c r="X510" i="1" s="1"/>
  <c r="X511" i="1" s="1"/>
  <c r="X512" i="1" s="1"/>
  <c r="X513" i="1" s="1"/>
  <c r="X514" i="1" s="1"/>
  <c r="X515" i="1" s="1"/>
  <c r="X516" i="1" s="1"/>
  <c r="X517" i="1" s="1"/>
  <c r="X518" i="1" s="1"/>
  <c r="X519" i="1" s="1"/>
  <c r="X520" i="1" s="1"/>
  <c r="X521" i="1" s="1"/>
  <c r="X522" i="1" s="1"/>
  <c r="X523" i="1" s="1"/>
  <c r="N214" i="1"/>
  <c r="AB107" i="1"/>
  <c r="K355" i="1"/>
  <c r="N221" i="1"/>
  <c r="AB263" i="1"/>
  <c r="N410" i="1"/>
  <c r="N78" i="1"/>
  <c r="AB359" i="1"/>
  <c r="N506" i="1"/>
  <c r="AB439" i="1"/>
  <c r="N75" i="1"/>
  <c r="N493" i="1"/>
  <c r="N229" i="1"/>
  <c r="AB373" i="1"/>
  <c r="K263" i="1"/>
  <c r="AB308" i="1"/>
  <c r="AB433" i="1"/>
  <c r="N163" i="1"/>
  <c r="AB147" i="1"/>
  <c r="AB153" i="1"/>
  <c r="AB227" i="1"/>
  <c r="AB368" i="1"/>
  <c r="K214" i="1"/>
  <c r="N401" i="1"/>
  <c r="N461" i="1"/>
  <c r="N382" i="1"/>
  <c r="N7" i="1"/>
  <c r="AB315" i="1"/>
  <c r="AB248" i="1"/>
  <c r="N103" i="1"/>
  <c r="AB325" i="1"/>
  <c r="N16" i="1"/>
  <c r="N107" i="1"/>
  <c r="N95" i="1"/>
  <c r="AB310" i="1"/>
  <c r="K38" i="1"/>
  <c r="AB480" i="1"/>
  <c r="AB110" i="1"/>
  <c r="N104" i="1"/>
  <c r="AB412" i="1"/>
  <c r="AB239" i="1"/>
  <c r="AB161" i="1"/>
  <c r="AB286" i="1"/>
  <c r="N196" i="1"/>
  <c r="N367" i="1"/>
  <c r="N258" i="1"/>
  <c r="AB129" i="1"/>
  <c r="AB157" i="1"/>
  <c r="AB249" i="1"/>
  <c r="AB318" i="1"/>
  <c r="AB253" i="1"/>
  <c r="AB244" i="1"/>
  <c r="AB333" i="1"/>
  <c r="AB341" i="1"/>
  <c r="AB452" i="1"/>
  <c r="K414" i="1"/>
  <c r="N69" i="1"/>
  <c r="AB212" i="1"/>
  <c r="N325" i="1"/>
  <c r="N444" i="1"/>
  <c r="N468" i="1"/>
  <c r="K175" i="1"/>
  <c r="N152" i="1"/>
  <c r="AB471" i="1"/>
  <c r="K291" i="1"/>
  <c r="K129" i="1"/>
  <c r="K504" i="1"/>
  <c r="K488" i="1"/>
  <c r="AB362" i="1"/>
  <c r="AB335" i="1"/>
  <c r="N482" i="1"/>
  <c r="AB458" i="1"/>
  <c r="AB456" i="1"/>
  <c r="AB276" i="1"/>
  <c r="AB182" i="1"/>
  <c r="K22" i="1"/>
  <c r="N485" i="1"/>
  <c r="N428" i="1"/>
  <c r="W13" i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N326" i="1"/>
  <c r="AB123" i="1"/>
  <c r="AB497" i="1"/>
  <c r="N422" i="1"/>
  <c r="AB133" i="1"/>
  <c r="N502" i="1"/>
  <c r="N234" i="1"/>
  <c r="N222" i="1"/>
  <c r="K447" i="1"/>
  <c r="N360" i="1"/>
  <c r="AB288" i="1"/>
  <c r="N292" i="1"/>
  <c r="N79" i="1"/>
  <c r="AB384" i="1"/>
  <c r="AB425" i="1"/>
  <c r="AB464" i="1"/>
  <c r="N33" i="1"/>
  <c r="N499" i="1"/>
  <c r="N457" i="1"/>
  <c r="N200" i="1"/>
  <c r="AB407" i="1"/>
  <c r="AB164" i="1"/>
  <c r="AB513" i="1"/>
  <c r="AB126" i="1"/>
  <c r="AB332" i="1"/>
  <c r="AB338" i="1"/>
  <c r="AB141" i="1"/>
  <c r="AB427" i="1"/>
  <c r="AB408" i="1"/>
  <c r="K222" i="1"/>
  <c r="N369" i="1"/>
  <c r="AB358" i="1"/>
  <c r="N26" i="1"/>
  <c r="AB229" i="1"/>
  <c r="AB454" i="1"/>
  <c r="N122" i="1"/>
  <c r="AB457" i="1"/>
  <c r="N202" i="1"/>
  <c r="N407" i="1"/>
  <c r="N115" i="1"/>
  <c r="AB450" i="1"/>
  <c r="K368" i="1"/>
  <c r="AB170" i="1"/>
  <c r="AB143" i="1"/>
  <c r="N290" i="1"/>
  <c r="AB266" i="1"/>
  <c r="AB264" i="1"/>
  <c r="AB346" i="1"/>
  <c r="AB319" i="1"/>
  <c r="N327" i="1"/>
  <c r="N209" i="1"/>
  <c r="N117" i="1"/>
  <c r="AB316" i="1"/>
  <c r="N134" i="1"/>
  <c r="AB434" i="1"/>
  <c r="AB351" i="1"/>
  <c r="N230" i="1"/>
  <c r="AB140" i="1"/>
  <c r="N310" i="1"/>
  <c r="N176" i="1"/>
  <c r="AB365" i="1"/>
  <c r="K255" i="1"/>
  <c r="N275" i="1"/>
  <c r="AB500" i="1"/>
  <c r="N440" i="1"/>
  <c r="K238" i="1"/>
  <c r="N476" i="1"/>
  <c r="K192" i="1"/>
  <c r="N207" i="1"/>
  <c r="N264" i="1"/>
  <c r="K357" i="1"/>
  <c r="K58" i="1"/>
  <c r="K40" i="1"/>
  <c r="K354" i="1"/>
  <c r="AB371" i="1"/>
  <c r="AB360" i="1"/>
  <c r="N395" i="1"/>
  <c r="AB467" i="1"/>
  <c r="AB146" i="1"/>
  <c r="AB148" i="1"/>
  <c r="AB418" i="1"/>
  <c r="AB246" i="1"/>
  <c r="K30" i="1"/>
  <c r="N284" i="1"/>
  <c r="AB166" i="1"/>
  <c r="N160" i="1"/>
  <c r="AB284" i="1"/>
  <c r="AB262" i="1"/>
  <c r="N256" i="1"/>
  <c r="AB342" i="1"/>
  <c r="N10" i="1"/>
  <c r="N76" i="1"/>
  <c r="N242" i="1"/>
  <c r="AB265" i="1"/>
  <c r="K358" i="1"/>
  <c r="AB305" i="1"/>
  <c r="AB430" i="1"/>
  <c r="N98" i="1"/>
  <c r="AB449" i="1"/>
  <c r="AB388" i="1"/>
  <c r="AB154" i="1"/>
  <c r="AB127" i="1"/>
  <c r="N236" i="1"/>
  <c r="N28" i="1"/>
  <c r="N137" i="1"/>
  <c r="AB139" i="1"/>
  <c r="AB477" i="1"/>
  <c r="AB242" i="1"/>
  <c r="AB159" i="1"/>
  <c r="N38" i="1"/>
  <c r="AB347" i="1"/>
  <c r="N118" i="1"/>
  <c r="N470" i="1"/>
  <c r="AB451" i="1"/>
  <c r="K63" i="1"/>
  <c r="N411" i="1"/>
  <c r="AB391" i="1"/>
  <c r="N27" i="1"/>
  <c r="N206" i="1"/>
  <c r="AB487" i="1"/>
  <c r="AB142" i="1"/>
  <c r="AB428" i="1"/>
  <c r="N49" i="1"/>
  <c r="N259" i="1"/>
  <c r="N417" i="1"/>
  <c r="N110" i="1"/>
  <c r="K391" i="1"/>
  <c r="AB179" i="1"/>
  <c r="AB168" i="1"/>
  <c r="N52" i="1"/>
  <c r="AB275" i="1"/>
  <c r="AB281" i="1"/>
  <c r="AB355" i="1"/>
  <c r="AB233" i="1"/>
  <c r="K342" i="1"/>
  <c r="N349" i="1"/>
  <c r="N365" i="1"/>
  <c r="N127" i="1"/>
  <c r="N135" i="1"/>
  <c r="AB443" i="1"/>
  <c r="AB376" i="1"/>
  <c r="N64" i="1"/>
  <c r="AB150" i="1"/>
  <c r="N144" i="1"/>
  <c r="N93" i="1"/>
  <c r="N184" i="1"/>
  <c r="AB176" i="1"/>
  <c r="K166" i="1"/>
  <c r="N227" i="1"/>
  <c r="N494" i="1"/>
  <c r="AB496" i="1"/>
  <c r="K254" i="1"/>
  <c r="K289" i="1"/>
  <c r="K70" i="1"/>
  <c r="N245" i="1"/>
  <c r="J302" i="1"/>
  <c r="K244" i="1"/>
  <c r="K137" i="1"/>
  <c r="K341" i="1"/>
  <c r="AB285" i="1"/>
  <c r="N262" i="1"/>
  <c r="AB401" i="1"/>
  <c r="AB461" i="1"/>
  <c r="N84" i="1"/>
  <c r="AB295" i="1"/>
  <c r="N295" i="1"/>
  <c r="AB490" i="1"/>
  <c r="AB468" i="1"/>
  <c r="N261" i="1"/>
  <c r="AB251" i="1"/>
  <c r="N119" i="1"/>
  <c r="N351" i="1"/>
  <c r="AB512" i="1"/>
  <c r="N41" i="1"/>
  <c r="AB444" i="1"/>
  <c r="AB466" i="1"/>
  <c r="K350" i="1"/>
  <c r="AB357" i="1"/>
  <c r="N330" i="1"/>
  <c r="K444" i="1"/>
  <c r="K95" i="1"/>
  <c r="AB203" i="1"/>
  <c r="J408" i="1"/>
  <c r="K221" i="1"/>
  <c r="AB289" i="1"/>
  <c r="N297" i="1"/>
  <c r="N460" i="1"/>
  <c r="N180" i="1"/>
  <c r="J214" i="1"/>
  <c r="N85" i="1"/>
  <c r="K505" i="1"/>
  <c r="N418" i="1"/>
  <c r="AB405" i="1"/>
  <c r="AB277" i="1"/>
  <c r="K223" i="1"/>
  <c r="K346" i="1"/>
  <c r="K496" i="1"/>
  <c r="K454" i="1"/>
  <c r="AB469" i="1"/>
  <c r="K470" i="1"/>
  <c r="N92" i="1"/>
  <c r="N357" i="1"/>
  <c r="K487" i="1"/>
  <c r="N73" i="1"/>
  <c r="AB171" i="1"/>
  <c r="K37" i="1"/>
  <c r="K321" i="1"/>
  <c r="K239" i="1"/>
  <c r="K297" i="1"/>
  <c r="J156" i="1"/>
  <c r="AB313" i="1"/>
  <c r="N372" i="1"/>
  <c r="AB354" i="1"/>
  <c r="K510" i="1"/>
  <c r="K491" i="1"/>
  <c r="K260" i="1"/>
  <c r="N368" i="1"/>
  <c r="J82" i="1"/>
  <c r="K235" i="1"/>
  <c r="N198" i="1"/>
  <c r="K319" i="1"/>
  <c r="AB502" i="1"/>
  <c r="K62" i="1"/>
  <c r="K97" i="1"/>
  <c r="N65" i="1"/>
  <c r="N396" i="1"/>
  <c r="J110" i="1"/>
  <c r="K378" i="1"/>
  <c r="K28" i="1"/>
  <c r="K100" i="1"/>
  <c r="N128" i="1"/>
  <c r="N140" i="1"/>
  <c r="N306" i="1"/>
  <c r="AB395" i="1"/>
  <c r="K77" i="1"/>
  <c r="N67" i="1"/>
  <c r="K216" i="1"/>
  <c r="N249" i="1"/>
  <c r="AB193" i="1"/>
  <c r="K427" i="1"/>
  <c r="J280" i="1"/>
  <c r="N408" i="1"/>
  <c r="K252" i="1"/>
  <c r="K55" i="1"/>
  <c r="J458" i="1"/>
  <c r="K248" i="1"/>
  <c r="J94" i="1"/>
  <c r="K268" i="1"/>
  <c r="J355" i="1"/>
  <c r="G506" i="1"/>
  <c r="J356" i="1"/>
  <c r="J127" i="1"/>
  <c r="G221" i="1"/>
  <c r="E213" i="1"/>
  <c r="G309" i="1"/>
  <c r="G297" i="1"/>
  <c r="G435" i="1"/>
  <c r="J323" i="1"/>
  <c r="E474" i="1"/>
  <c r="E475" i="1"/>
  <c r="G252" i="1"/>
  <c r="E106" i="1"/>
  <c r="K154" i="1"/>
  <c r="K36" i="1"/>
  <c r="J28" i="1"/>
  <c r="K371" i="1"/>
  <c r="J69" i="1"/>
  <c r="K361" i="1"/>
  <c r="J188" i="1"/>
  <c r="J177" i="1"/>
  <c r="G134" i="1"/>
  <c r="J416" i="1"/>
  <c r="G289" i="1"/>
  <c r="G472" i="1"/>
  <c r="G193" i="1"/>
  <c r="J197" i="1"/>
  <c r="K311" i="1"/>
  <c r="K181" i="1"/>
  <c r="K80" i="1"/>
  <c r="J87" i="1"/>
  <c r="K89" i="1"/>
  <c r="J326" i="1"/>
  <c r="K288" i="1"/>
  <c r="J483" i="1"/>
  <c r="E21" i="1"/>
  <c r="J125" i="1"/>
  <c r="J48" i="1"/>
  <c r="G113" i="1"/>
  <c r="G212" i="1"/>
  <c r="N314" i="1"/>
  <c r="K483" i="1"/>
  <c r="K275" i="1"/>
  <c r="J382" i="1"/>
  <c r="J402" i="1"/>
  <c r="J78" i="1"/>
  <c r="J248" i="1"/>
  <c r="K413" i="1"/>
  <c r="K69" i="1"/>
  <c r="G361" i="1"/>
  <c r="G135" i="1"/>
  <c r="J244" i="1"/>
  <c r="J306" i="1"/>
  <c r="G364" i="1"/>
  <c r="G403" i="1"/>
  <c r="G384" i="1"/>
  <c r="E144" i="1"/>
  <c r="G432" i="1"/>
  <c r="E158" i="1"/>
  <c r="E381" i="1"/>
  <c r="G482" i="1"/>
  <c r="J180" i="1"/>
  <c r="K377" i="1"/>
  <c r="K501" i="1"/>
  <c r="K49" i="1"/>
  <c r="J215" i="1"/>
  <c r="K345" i="1"/>
  <c r="J502" i="1"/>
  <c r="K113" i="1"/>
  <c r="J68" i="1"/>
  <c r="G20" i="1"/>
  <c r="G195" i="1"/>
  <c r="J304" i="1"/>
  <c r="G217" i="1"/>
  <c r="G24" i="1"/>
  <c r="G418" i="1"/>
  <c r="G81" i="1"/>
  <c r="E39" i="1"/>
  <c r="G286" i="1"/>
  <c r="E191" i="1"/>
  <c r="N21" i="1"/>
  <c r="AB324" i="1"/>
  <c r="N438" i="1"/>
  <c r="N173" i="1"/>
  <c r="AB320" i="1"/>
  <c r="N276" i="1"/>
  <c r="AB499" i="1"/>
  <c r="AB274" i="1"/>
  <c r="K158" i="1"/>
  <c r="AB165" i="1"/>
  <c r="N138" i="1"/>
  <c r="K486" i="1"/>
  <c r="AB202" i="1"/>
  <c r="N89" i="1"/>
  <c r="N70" i="1"/>
  <c r="AB475" i="1"/>
  <c r="K191" i="1"/>
  <c r="N334" i="1"/>
  <c r="N157" i="1"/>
  <c r="K272" i="1"/>
  <c r="K512" i="1"/>
  <c r="N253" i="1"/>
  <c r="J265" i="1"/>
  <c r="J503" i="1"/>
  <c r="AB414" i="1"/>
  <c r="N105" i="1"/>
  <c r="N323" i="1"/>
  <c r="N445" i="1"/>
  <c r="AB472" i="1"/>
  <c r="K103" i="1"/>
  <c r="K434" i="1"/>
  <c r="AB394" i="1"/>
  <c r="N361" i="1"/>
  <c r="N120" i="1"/>
  <c r="AB438" i="1"/>
  <c r="K267" i="1"/>
  <c r="N190" i="1"/>
  <c r="K435" i="1"/>
  <c r="AB307" i="1"/>
  <c r="N316" i="1"/>
  <c r="K430" i="1"/>
  <c r="N188" i="1"/>
  <c r="K132" i="1"/>
  <c r="N425" i="1"/>
  <c r="N241" i="1"/>
  <c r="K340" i="1"/>
  <c r="K250" i="1"/>
  <c r="K232" i="1"/>
  <c r="K147" i="1"/>
  <c r="J245" i="1"/>
  <c r="AB382" i="1"/>
  <c r="N18" i="1"/>
  <c r="N30" i="1"/>
  <c r="K351" i="1"/>
  <c r="K474" i="1"/>
  <c r="AB151" i="1"/>
  <c r="K500" i="1"/>
  <c r="N151" i="1"/>
  <c r="K301" i="1"/>
  <c r="AB498" i="1"/>
  <c r="N423" i="1"/>
  <c r="AB514" i="1"/>
  <c r="K424" i="1"/>
  <c r="K26" i="1"/>
  <c r="K87" i="1"/>
  <c r="N185" i="1"/>
  <c r="AB465" i="1"/>
  <c r="K299" i="1"/>
  <c r="K457" i="1"/>
  <c r="J374" i="1"/>
  <c r="AB214" i="1"/>
  <c r="N387" i="1"/>
  <c r="N179" i="1"/>
  <c r="N501" i="1"/>
  <c r="J22" i="1"/>
  <c r="N251" i="1"/>
  <c r="K313" i="1"/>
  <c r="K310" i="1"/>
  <c r="N338" i="1"/>
  <c r="K437" i="1"/>
  <c r="J137" i="1"/>
  <c r="J238" i="1"/>
  <c r="N66" i="1"/>
  <c r="K106" i="1"/>
  <c r="J511" i="1"/>
  <c r="K274" i="1"/>
  <c r="J103" i="1"/>
  <c r="K42" i="1"/>
  <c r="J324" i="1"/>
  <c r="G463" i="1"/>
  <c r="G9" i="1"/>
  <c r="J161" i="1"/>
  <c r="G59" i="1"/>
  <c r="G225" i="1"/>
  <c r="G203" i="1"/>
  <c r="G167" i="1"/>
  <c r="E16" i="1"/>
  <c r="G125" i="1"/>
  <c r="E445" i="1"/>
  <c r="G414" i="1"/>
  <c r="E389" i="1"/>
  <c r="G513" i="1"/>
  <c r="K295" i="1"/>
  <c r="K130" i="1"/>
  <c r="J501" i="1"/>
  <c r="K509" i="1"/>
  <c r="N164" i="1"/>
  <c r="K211" i="1"/>
  <c r="N430" i="1"/>
  <c r="J122" i="1"/>
  <c r="G459" i="1"/>
  <c r="J349" i="1"/>
  <c r="K184" i="1"/>
  <c r="G292" i="1"/>
  <c r="G445" i="1"/>
  <c r="J276" i="1"/>
  <c r="N147" i="1"/>
  <c r="N453" i="1"/>
  <c r="K490" i="1"/>
  <c r="J40" i="1"/>
  <c r="K443" i="1"/>
  <c r="J231" i="1"/>
  <c r="K298" i="1"/>
  <c r="J452" i="1"/>
  <c r="G359" i="1"/>
  <c r="G162" i="1"/>
  <c r="J417" i="1"/>
  <c r="G444" i="1"/>
  <c r="E182" i="1"/>
  <c r="N255" i="1"/>
  <c r="K186" i="1"/>
  <c r="J199" i="1"/>
  <c r="J495" i="1"/>
  <c r="J481" i="1"/>
  <c r="J95" i="1"/>
  <c r="J105" i="1"/>
  <c r="J221" i="1"/>
  <c r="J400" i="1"/>
  <c r="G90" i="1"/>
  <c r="G5" i="1"/>
  <c r="G72" i="1"/>
  <c r="J57" i="1"/>
  <c r="E53" i="1"/>
  <c r="E84" i="1"/>
  <c r="G423" i="1"/>
  <c r="E315" i="1"/>
  <c r="G273" i="1"/>
  <c r="G126" i="1"/>
  <c r="J146" i="1"/>
  <c r="E201" i="1"/>
  <c r="G462" i="1"/>
  <c r="N449" i="1"/>
  <c r="K200" i="1"/>
  <c r="K283" i="1"/>
  <c r="J168" i="1"/>
  <c r="K195" i="1"/>
  <c r="J359" i="1"/>
  <c r="K116" i="1"/>
  <c r="J93" i="1"/>
  <c r="E340" i="1"/>
  <c r="E4" i="1"/>
  <c r="J106" i="1"/>
  <c r="K507" i="1"/>
  <c r="G483" i="1"/>
  <c r="G400" i="1"/>
  <c r="G367" i="1"/>
  <c r="G354" i="1"/>
  <c r="G261" i="1"/>
  <c r="G321" i="1"/>
  <c r="J274" i="1"/>
  <c r="K201" i="1"/>
  <c r="AB446" i="1"/>
  <c r="N86" i="1"/>
  <c r="AB199" i="1"/>
  <c r="N442" i="1"/>
  <c r="N97" i="1"/>
  <c r="AB463" i="1"/>
  <c r="AB163" i="1"/>
  <c r="N308" i="1"/>
  <c r="AB184" i="1"/>
  <c r="N490" i="1"/>
  <c r="AB416" i="1"/>
  <c r="AB175" i="1"/>
  <c r="N271" i="1"/>
  <c r="AB185" i="1"/>
  <c r="AB269" i="1"/>
  <c r="N339" i="1"/>
  <c r="AB103" i="1"/>
  <c r="N257" i="1"/>
  <c r="N398" i="1"/>
  <c r="K218" i="1"/>
  <c r="K45" i="1"/>
  <c r="J285" i="1"/>
  <c r="J399" i="1"/>
  <c r="N389" i="1"/>
  <c r="N187" i="1"/>
  <c r="N148" i="1"/>
  <c r="K279" i="1"/>
  <c r="N194" i="1"/>
  <c r="AB473" i="1"/>
  <c r="K395" i="1"/>
  <c r="AB392" i="1"/>
  <c r="N36" i="1"/>
  <c r="N436" i="1"/>
  <c r="N136" i="1"/>
  <c r="K333" i="1"/>
  <c r="N344" i="1"/>
  <c r="K57" i="1"/>
  <c r="AB296" i="1"/>
  <c r="N181" i="1"/>
  <c r="AB186" i="1"/>
  <c r="K446" i="1"/>
  <c r="K481" i="1"/>
  <c r="K384" i="1"/>
  <c r="N20" i="1"/>
  <c r="J494" i="1"/>
  <c r="K171" i="1"/>
  <c r="K329" i="1"/>
  <c r="J158" i="1"/>
  <c r="N464" i="1"/>
  <c r="AB317" i="1"/>
  <c r="N341" i="1"/>
  <c r="N50" i="1"/>
  <c r="AB385" i="1"/>
  <c r="K84" i="1"/>
  <c r="N240" i="1"/>
  <c r="K88" i="1"/>
  <c r="N451" i="1"/>
  <c r="J246" i="1"/>
  <c r="AB415" i="1"/>
  <c r="N146" i="1"/>
  <c r="N158" i="1"/>
  <c r="K415" i="1"/>
  <c r="K499" i="1"/>
  <c r="AB504" i="1"/>
  <c r="K111" i="1"/>
  <c r="N280" i="1"/>
  <c r="K365" i="1"/>
  <c r="K386" i="1"/>
  <c r="J263" i="1"/>
  <c r="N208" i="1"/>
  <c r="N371" i="1"/>
  <c r="N429" i="1"/>
  <c r="N273" i="1"/>
  <c r="J479" i="1"/>
  <c r="K438" i="1"/>
  <c r="K242" i="1"/>
  <c r="K336" i="1"/>
  <c r="N412" i="1"/>
  <c r="AB149" i="1"/>
  <c r="N218" i="1"/>
  <c r="K462" i="1"/>
  <c r="K226" i="1"/>
  <c r="K477" i="1"/>
  <c r="J424" i="1"/>
  <c r="K261" i="1"/>
  <c r="J56" i="1"/>
  <c r="K29" i="1"/>
  <c r="K153" i="1"/>
  <c r="G85" i="1"/>
  <c r="G396" i="1"/>
  <c r="J403" i="1"/>
  <c r="K251" i="1"/>
  <c r="G169" i="1"/>
  <c r="E195" i="1"/>
  <c r="E428" i="1"/>
  <c r="E328" i="1"/>
  <c r="G21" i="1"/>
  <c r="G160" i="1"/>
  <c r="E231" i="1"/>
  <c r="E419" i="1"/>
  <c r="J497" i="1"/>
  <c r="N213" i="1"/>
  <c r="K117" i="1"/>
  <c r="K471" i="1"/>
  <c r="J23" i="1"/>
  <c r="K108" i="1"/>
  <c r="J222" i="1"/>
  <c r="K144" i="1"/>
  <c r="J419" i="1"/>
  <c r="E140" i="1"/>
  <c r="J484" i="1"/>
  <c r="J383" i="1"/>
  <c r="G112" i="1"/>
  <c r="G339" i="1"/>
  <c r="AB167" i="1"/>
  <c r="K119" i="1"/>
  <c r="K484" i="1"/>
  <c r="J294" i="1"/>
  <c r="J138" i="1"/>
  <c r="K68" i="1"/>
  <c r="J184" i="1"/>
  <c r="K285" i="1"/>
  <c r="K380" i="1"/>
  <c r="G488" i="1"/>
  <c r="G208" i="1"/>
  <c r="J116" i="1"/>
  <c r="J262" i="1"/>
  <c r="G491" i="1"/>
  <c r="N434" i="1"/>
  <c r="J54" i="1"/>
  <c r="J397" i="1"/>
  <c r="K334" i="1"/>
  <c r="J203" i="1"/>
  <c r="AB378" i="1"/>
  <c r="J477" i="1"/>
  <c r="J234" i="1"/>
  <c r="J205" i="1"/>
  <c r="N24" i="1"/>
  <c r="E285" i="1"/>
  <c r="G182" i="1"/>
  <c r="J299" i="1"/>
  <c r="K325" i="1"/>
  <c r="G43" i="1"/>
  <c r="E61" i="1"/>
  <c r="E156" i="1"/>
  <c r="E335" i="1"/>
  <c r="E249" i="1"/>
  <c r="K61" i="1"/>
  <c r="E116" i="1"/>
  <c r="AB247" i="1"/>
  <c r="K96" i="1"/>
  <c r="K213" i="1"/>
  <c r="J462" i="1"/>
  <c r="J25" i="1"/>
  <c r="J206" i="1"/>
  <c r="J312" i="1"/>
  <c r="K284" i="1"/>
  <c r="K21" i="1"/>
  <c r="G299" i="1"/>
  <c r="G369" i="1"/>
  <c r="J372" i="1"/>
  <c r="J183" i="1"/>
  <c r="G285" i="1"/>
  <c r="G276" i="1"/>
  <c r="G241" i="1"/>
  <c r="E171" i="1"/>
  <c r="G471" i="1"/>
  <c r="E431" i="1"/>
  <c r="K408" i="1"/>
  <c r="AB479" i="1"/>
  <c r="N106" i="1"/>
  <c r="AB224" i="1"/>
  <c r="AB462" i="1"/>
  <c r="N333" i="1"/>
  <c r="AB488" i="1"/>
  <c r="AB372" i="1"/>
  <c r="N463" i="1"/>
  <c r="AB390" i="1"/>
  <c r="N319" i="1"/>
  <c r="AB106" i="1"/>
  <c r="AB200" i="1"/>
  <c r="N61" i="1"/>
  <c r="AB370" i="1"/>
  <c r="N246" i="1"/>
  <c r="N149" i="1"/>
  <c r="AB128" i="1"/>
  <c r="N441" i="1"/>
  <c r="AB192" i="1"/>
  <c r="K139" i="1"/>
  <c r="K396" i="1"/>
  <c r="J507" i="1"/>
  <c r="AB113" i="1"/>
  <c r="N348" i="1"/>
  <c r="K302" i="1"/>
  <c r="N237" i="1"/>
  <c r="K256" i="1"/>
  <c r="N431" i="1"/>
  <c r="N298" i="1"/>
  <c r="K421" i="1"/>
  <c r="AB474" i="1"/>
  <c r="N388" i="1"/>
  <c r="N193" i="1"/>
  <c r="N124" i="1"/>
  <c r="J278" i="1"/>
  <c r="N497" i="1"/>
  <c r="K228" i="1"/>
  <c r="N305" i="1"/>
  <c r="N216" i="1"/>
  <c r="AB437" i="1"/>
  <c r="K287" i="1"/>
  <c r="K410" i="1"/>
  <c r="K452" i="1"/>
  <c r="K456" i="1"/>
  <c r="N302" i="1"/>
  <c r="K237" i="1"/>
  <c r="K258" i="1"/>
  <c r="J135" i="1"/>
  <c r="K177" i="1"/>
  <c r="AB436" i="1"/>
  <c r="N483" i="1"/>
  <c r="N373" i="1"/>
  <c r="N466" i="1"/>
  <c r="K461" i="1"/>
  <c r="N233" i="1"/>
  <c r="K185" i="1"/>
  <c r="N252" i="1"/>
  <c r="N8" i="1"/>
  <c r="N294" i="1"/>
  <c r="N491" i="1"/>
  <c r="N178" i="1"/>
  <c r="AB506" i="1"/>
  <c r="K404" i="1"/>
  <c r="N210" i="1"/>
  <c r="K152" i="1"/>
  <c r="N309" i="1"/>
  <c r="AB460" i="1"/>
  <c r="K307" i="1"/>
  <c r="J216" i="1"/>
  <c r="N279" i="1"/>
  <c r="N172" i="1"/>
  <c r="N413" i="1"/>
  <c r="K196" i="1"/>
  <c r="N174" i="1"/>
  <c r="K379" i="1"/>
  <c r="K163" i="1"/>
  <c r="K356" i="1"/>
  <c r="K326" i="1"/>
  <c r="K72" i="1"/>
  <c r="AB459" i="1"/>
  <c r="K257" i="1"/>
  <c r="J487" i="1"/>
  <c r="J207" i="1"/>
  <c r="J281" i="1"/>
  <c r="J162" i="1"/>
  <c r="J210" i="1"/>
  <c r="J422" i="1"/>
  <c r="J437" i="1"/>
  <c r="G496" i="1"/>
  <c r="E85" i="1"/>
  <c r="G259" i="1"/>
  <c r="J328" i="1"/>
  <c r="G370" i="1"/>
  <c r="G10" i="1"/>
  <c r="E380" i="1"/>
  <c r="E96" i="1"/>
  <c r="G448" i="1"/>
  <c r="E146" i="1"/>
  <c r="E387" i="1"/>
  <c r="E118" i="1"/>
  <c r="E187" i="1"/>
  <c r="AB226" i="1"/>
  <c r="N345" i="1"/>
  <c r="K362" i="1"/>
  <c r="J466" i="1"/>
  <c r="K402" i="1"/>
  <c r="J167" i="1"/>
  <c r="K170" i="1"/>
  <c r="J388" i="1"/>
  <c r="G358" i="1"/>
  <c r="G249" i="1"/>
  <c r="J289" i="1"/>
  <c r="G142" i="1"/>
  <c r="E20" i="1"/>
  <c r="N402" i="1"/>
  <c r="K122" i="1"/>
  <c r="J71" i="1"/>
  <c r="J335" i="1"/>
  <c r="J409" i="1"/>
  <c r="J31" i="1"/>
  <c r="J41" i="1"/>
  <c r="J242" i="1"/>
  <c r="J272" i="1"/>
  <c r="G378" i="1"/>
  <c r="G84" i="1"/>
  <c r="G181" i="1"/>
  <c r="J258" i="1"/>
  <c r="E172" i="1"/>
  <c r="AB301" i="1"/>
  <c r="N467" i="1"/>
  <c r="J59" i="1"/>
  <c r="K337" i="1"/>
  <c r="J172" i="1"/>
  <c r="K212" i="1"/>
  <c r="J347" i="1"/>
  <c r="J448" i="1"/>
  <c r="J468" i="1"/>
  <c r="J447" i="1"/>
  <c r="G236" i="1"/>
  <c r="E268" i="1"/>
  <c r="J485" i="1"/>
  <c r="J464" i="1"/>
  <c r="E35" i="1"/>
  <c r="E240" i="1"/>
  <c r="E346" i="1"/>
  <c r="G421" i="1"/>
  <c r="E281" i="1"/>
  <c r="J164" i="1"/>
  <c r="E283" i="1"/>
  <c r="N37" i="1"/>
  <c r="K506" i="1"/>
  <c r="J391" i="1"/>
  <c r="J426" i="1"/>
  <c r="J314" i="1"/>
  <c r="J159" i="1"/>
  <c r="J169" i="1"/>
  <c r="J47" i="1"/>
  <c r="J489" i="1"/>
  <c r="E291" i="1"/>
  <c r="G22" i="1"/>
  <c r="G73" i="1"/>
  <c r="J185" i="1"/>
  <c r="G123" i="1"/>
  <c r="E366" i="1"/>
  <c r="E244" i="1"/>
  <c r="G248" i="1"/>
  <c r="E243" i="1"/>
  <c r="E395" i="1"/>
  <c r="K306" i="1"/>
  <c r="AB381" i="1"/>
  <c r="AB442" i="1"/>
  <c r="N346" i="1"/>
  <c r="AB375" i="1"/>
  <c r="AB213" i="1"/>
  <c r="N99" i="1"/>
  <c r="AB112" i="1"/>
  <c r="N254" i="1"/>
  <c r="N39" i="1"/>
  <c r="N478" i="1"/>
  <c r="N469" i="1"/>
  <c r="AB508" i="1"/>
  <c r="N130" i="1"/>
  <c r="AB254" i="1"/>
  <c r="AB173" i="1"/>
  <c r="AB486" i="1"/>
  <c r="N250" i="1"/>
  <c r="N116" i="1"/>
  <c r="K448" i="1"/>
  <c r="K399" i="1"/>
  <c r="K66" i="1"/>
  <c r="J476" i="1"/>
  <c r="AB238" i="1"/>
  <c r="N514" i="1"/>
  <c r="AB169" i="1"/>
  <c r="K318" i="1"/>
  <c r="K353" i="1"/>
  <c r="K246" i="1"/>
  <c r="N505" i="1"/>
  <c r="J366" i="1"/>
  <c r="AB447" i="1"/>
  <c r="N235" i="1"/>
  <c r="N409" i="1"/>
  <c r="K54" i="1"/>
  <c r="AB409" i="1"/>
  <c r="K207" i="1"/>
  <c r="K498" i="1"/>
  <c r="AB403" i="1"/>
  <c r="N177" i="1"/>
  <c r="N248" i="1"/>
  <c r="AB344" i="1"/>
  <c r="K331" i="1"/>
  <c r="N47" i="1"/>
  <c r="K24" i="1"/>
  <c r="N397" i="1"/>
  <c r="J182" i="1"/>
  <c r="K179" i="1"/>
  <c r="J88" i="1"/>
  <c r="K27" i="1"/>
  <c r="AB397" i="1"/>
  <c r="N391" i="1"/>
  <c r="N500" i="1"/>
  <c r="N153" i="1"/>
  <c r="J406" i="1"/>
  <c r="K78" i="1"/>
  <c r="K114" i="1"/>
  <c r="K335" i="1"/>
  <c r="N472" i="1"/>
  <c r="AB204" i="1"/>
  <c r="N141" i="1"/>
  <c r="N512" i="1"/>
  <c r="N9" i="1"/>
  <c r="K156" i="1"/>
  <c r="N484" i="1"/>
  <c r="K249" i="1"/>
  <c r="K134" i="1"/>
  <c r="N42" i="1"/>
  <c r="K373" i="1"/>
  <c r="J73" i="1"/>
  <c r="N312" i="1"/>
  <c r="K110" i="1"/>
  <c r="N197" i="1"/>
  <c r="K64" i="1"/>
  <c r="N244" i="1"/>
  <c r="N278" i="1"/>
  <c r="K229" i="1"/>
  <c r="K513" i="1"/>
  <c r="K376" i="1"/>
  <c r="K98" i="1"/>
  <c r="AB280" i="1"/>
  <c r="K109" i="1"/>
  <c r="J344" i="1"/>
  <c r="N481" i="1"/>
  <c r="J413" i="1"/>
  <c r="J415" i="1"/>
  <c r="J425" i="1"/>
  <c r="J303" i="1"/>
  <c r="J385" i="1"/>
  <c r="G316" i="1"/>
  <c r="G271" i="1"/>
  <c r="E68" i="1"/>
  <c r="J154" i="1"/>
  <c r="K409" i="1"/>
  <c r="G341" i="1"/>
  <c r="E65" i="1"/>
  <c r="E398" i="1"/>
  <c r="G175" i="1"/>
  <c r="G362" i="1"/>
  <c r="G152" i="1"/>
  <c r="E154" i="1"/>
  <c r="AB421" i="1"/>
  <c r="K23" i="1"/>
  <c r="K482" i="1"/>
  <c r="J166" i="1"/>
  <c r="J488" i="1"/>
  <c r="K389" i="1"/>
  <c r="J120" i="1"/>
  <c r="K157" i="1"/>
  <c r="K82" i="1"/>
  <c r="G238" i="1"/>
  <c r="G317" i="1"/>
  <c r="J229" i="1"/>
  <c r="K317" i="1"/>
  <c r="G279" i="1"/>
  <c r="N414" i="1"/>
  <c r="K493" i="1"/>
  <c r="J505" i="1"/>
  <c r="N300" i="1"/>
  <c r="J139" i="1"/>
  <c r="J506" i="1"/>
  <c r="J394" i="1"/>
  <c r="J431" i="1"/>
  <c r="J50" i="1"/>
  <c r="G128" i="1"/>
  <c r="E404" i="1"/>
  <c r="G75" i="1"/>
  <c r="J171" i="1"/>
  <c r="K259" i="1"/>
  <c r="K141" i="1"/>
  <c r="K168" i="1"/>
  <c r="J220" i="1"/>
  <c r="K187" i="1"/>
  <c r="J309" i="1"/>
  <c r="K34" i="1"/>
  <c r="J316" i="1"/>
  <c r="J305" i="1"/>
  <c r="G327" i="1"/>
  <c r="J461" i="1"/>
  <c r="E246" i="1"/>
  <c r="G185" i="1"/>
  <c r="G458" i="1"/>
  <c r="J51" i="1"/>
  <c r="K25" i="1"/>
  <c r="G28" i="1"/>
  <c r="G218" i="1"/>
  <c r="E217" i="1"/>
  <c r="E289" i="1"/>
  <c r="G346" i="1"/>
  <c r="G15" i="1"/>
  <c r="N281" i="1"/>
  <c r="J118" i="1"/>
  <c r="J201" i="1"/>
  <c r="K151" i="1"/>
  <c r="J267" i="1"/>
  <c r="N406" i="1"/>
  <c r="J114" i="1"/>
  <c r="J301" i="1"/>
  <c r="J115" i="1"/>
  <c r="N479" i="1"/>
  <c r="G355" i="1"/>
  <c r="G460" i="1"/>
  <c r="J427" i="1"/>
  <c r="J270" i="1"/>
  <c r="G102" i="1"/>
  <c r="G156" i="1"/>
  <c r="E192" i="1"/>
  <c r="E296" i="1"/>
  <c r="E409" i="1"/>
  <c r="N358" i="1"/>
  <c r="N94" i="1"/>
  <c r="N189" i="1"/>
  <c r="AB400" i="1"/>
  <c r="N72" i="1"/>
  <c r="AB118" i="1"/>
  <c r="AB259" i="1"/>
  <c r="AB294" i="1"/>
  <c r="N58" i="1"/>
  <c r="N498" i="1"/>
  <c r="AB380" i="1"/>
  <c r="AB282" i="1"/>
  <c r="N459" i="1"/>
  <c r="AB287" i="1"/>
  <c r="N48" i="1"/>
  <c r="AB337" i="1"/>
  <c r="AB270" i="1"/>
  <c r="N283" i="1"/>
  <c r="N19" i="1"/>
  <c r="AB156" i="1"/>
  <c r="K276" i="1"/>
  <c r="N82" i="1"/>
  <c r="N232" i="1"/>
  <c r="AB130" i="1"/>
  <c r="AB109" i="1"/>
  <c r="K159" i="1"/>
  <c r="K282" i="1"/>
  <c r="K495" i="1"/>
  <c r="K270" i="1"/>
  <c r="AB404" i="1"/>
  <c r="N277" i="1"/>
  <c r="N381" i="1"/>
  <c r="N260" i="1"/>
  <c r="K375" i="1"/>
  <c r="N43" i="1"/>
  <c r="AB194" i="1"/>
  <c r="K180" i="1"/>
  <c r="AB481" i="1"/>
  <c r="N321" i="1"/>
  <c r="N228" i="1"/>
  <c r="N170" i="1"/>
  <c r="K397" i="1"/>
  <c r="N269" i="1"/>
  <c r="K121" i="1"/>
  <c r="N212" i="1"/>
  <c r="N318" i="1"/>
  <c r="K245" i="1"/>
  <c r="J330" i="1"/>
  <c r="J38" i="1"/>
  <c r="AB493" i="1"/>
  <c r="N421" i="1"/>
  <c r="N433" i="1"/>
  <c r="K390" i="1"/>
  <c r="AB108" i="1"/>
  <c r="K407" i="1"/>
  <c r="K35" i="1"/>
  <c r="K312" i="1"/>
  <c r="N404" i="1"/>
  <c r="N374" i="1"/>
  <c r="N109" i="1"/>
  <c r="N205" i="1"/>
  <c r="N265" i="1"/>
  <c r="J470" i="1"/>
  <c r="K262" i="1"/>
  <c r="K178" i="1"/>
  <c r="K431" i="1"/>
  <c r="N335" i="1"/>
  <c r="AB240" i="1"/>
  <c r="N32" i="1"/>
  <c r="AB432" i="1"/>
  <c r="AB511" i="1"/>
  <c r="K126" i="1"/>
  <c r="K161" i="1"/>
  <c r="N455" i="1"/>
  <c r="N376" i="1"/>
  <c r="J174" i="1"/>
  <c r="K442" i="1"/>
  <c r="K420" i="1"/>
  <c r="K85" i="1"/>
  <c r="K190" i="1"/>
  <c r="N4" i="1"/>
  <c r="J253" i="1"/>
  <c r="K92" i="1"/>
  <c r="J181" i="1"/>
  <c r="N289" i="1"/>
  <c r="J155" i="1"/>
  <c r="J256" i="1"/>
  <c r="J84" i="1"/>
  <c r="K123" i="1"/>
  <c r="G41" i="1"/>
  <c r="G497" i="1"/>
  <c r="J396" i="1"/>
  <c r="J80" i="1"/>
  <c r="G233" i="1"/>
  <c r="E284" i="1"/>
  <c r="E353" i="1"/>
  <c r="E174" i="1"/>
  <c r="G308" i="1"/>
  <c r="J473" i="1"/>
  <c r="E491" i="1"/>
  <c r="K71" i="1"/>
  <c r="K308" i="1"/>
  <c r="J389" i="1"/>
  <c r="J271" i="1"/>
  <c r="J345" i="1"/>
  <c r="J490" i="1"/>
  <c r="J482" i="1"/>
  <c r="J510" i="1"/>
  <c r="J144" i="1"/>
  <c r="G409" i="1"/>
  <c r="G211" i="1"/>
  <c r="G260" i="1"/>
  <c r="J456" i="1"/>
  <c r="G350" i="1"/>
  <c r="K360" i="1"/>
  <c r="N471" i="1"/>
  <c r="J250" i="1"/>
  <c r="K209" i="1"/>
  <c r="J108" i="1"/>
  <c r="K247" i="1"/>
  <c r="J283" i="1"/>
  <c r="J384" i="1"/>
  <c r="J340" i="1"/>
  <c r="J134" i="1"/>
  <c r="G363" i="1"/>
  <c r="E67" i="1"/>
  <c r="J157" i="1"/>
  <c r="J336" i="1"/>
  <c r="N215" i="1"/>
  <c r="K322" i="1"/>
  <c r="AB304" i="1"/>
  <c r="J198" i="1"/>
  <c r="N337" i="1"/>
  <c r="K460" i="1"/>
  <c r="N57" i="1"/>
  <c r="J35" i="1"/>
  <c r="G253" i="1"/>
  <c r="J259" i="1"/>
  <c r="K210" i="1"/>
  <c r="G104" i="1"/>
  <c r="G447" i="1"/>
  <c r="J45" i="1"/>
  <c r="J235" i="1"/>
  <c r="E506" i="1"/>
  <c r="J373" i="1"/>
  <c r="E501" i="1"/>
  <c r="E228" i="1"/>
  <c r="G23" i="1"/>
  <c r="G230" i="1"/>
  <c r="N307" i="1"/>
  <c r="N432" i="1"/>
  <c r="J123" i="1"/>
  <c r="K465" i="1"/>
  <c r="J236" i="1"/>
  <c r="K136" i="1"/>
  <c r="J411" i="1"/>
  <c r="J512" i="1"/>
  <c r="J109" i="1"/>
  <c r="J119" i="1"/>
  <c r="G157" i="1"/>
  <c r="E149" i="1"/>
  <c r="G387" i="1"/>
  <c r="J290" i="1"/>
  <c r="E236" i="1"/>
  <c r="E73" i="1"/>
  <c r="E22" i="1"/>
  <c r="G194" i="1"/>
  <c r="N394" i="1"/>
  <c r="K160" i="1"/>
  <c r="K469" i="1"/>
  <c r="AB155" i="1"/>
  <c r="K199" i="1"/>
  <c r="AB261" i="1"/>
  <c r="AB440" i="1"/>
  <c r="AB183" i="1"/>
  <c r="J386" i="1"/>
  <c r="N159" i="1"/>
  <c r="K320" i="1"/>
  <c r="N424" i="1"/>
  <c r="K485" i="1"/>
  <c r="N420" i="1"/>
  <c r="K231" i="1"/>
  <c r="J79" i="1"/>
  <c r="K472" i="1"/>
  <c r="K385" i="1"/>
  <c r="N199" i="1"/>
  <c r="K99" i="1"/>
  <c r="AB507" i="1"/>
  <c r="K90" i="1"/>
  <c r="K403" i="1"/>
  <c r="K143" i="1"/>
  <c r="K233" i="1"/>
  <c r="J288" i="1"/>
  <c r="J449" i="1"/>
  <c r="E304" i="1"/>
  <c r="AB363" i="1"/>
  <c r="J75" i="1"/>
  <c r="J186" i="1"/>
  <c r="J43" i="1"/>
  <c r="J92" i="1"/>
  <c r="J252" i="1"/>
  <c r="E44" i="1"/>
  <c r="K296" i="1"/>
  <c r="K217" i="1"/>
  <c r="G147" i="1"/>
  <c r="G133" i="1"/>
  <c r="J509" i="1"/>
  <c r="K453" i="1"/>
  <c r="K315" i="1"/>
  <c r="J369" i="1"/>
  <c r="G478" i="1"/>
  <c r="G479" i="1"/>
  <c r="N435" i="1"/>
  <c r="J329" i="1"/>
  <c r="K400" i="1"/>
  <c r="J331" i="1"/>
  <c r="N301" i="1"/>
  <c r="J410" i="1"/>
  <c r="J64" i="1"/>
  <c r="J243" i="1"/>
  <c r="K176" i="1"/>
  <c r="G228" i="1"/>
  <c r="G381" i="1"/>
  <c r="J381" i="1"/>
  <c r="J346" i="1"/>
  <c r="G428" i="1"/>
  <c r="E280" i="1"/>
  <c r="E361" i="1"/>
  <c r="E129" i="1"/>
  <c r="E58" i="1"/>
  <c r="J96" i="1"/>
  <c r="K227" i="1"/>
  <c r="J126" i="1"/>
  <c r="K433" i="1"/>
  <c r="J343" i="1"/>
  <c r="K476" i="1"/>
  <c r="J514" i="1"/>
  <c r="K369" i="1"/>
  <c r="J196" i="1"/>
  <c r="G453" i="1"/>
  <c r="G117" i="1"/>
  <c r="J170" i="1"/>
  <c r="E108" i="1"/>
  <c r="G410" i="1"/>
  <c r="E196" i="1"/>
  <c r="E341" i="1"/>
  <c r="E226" i="1"/>
  <c r="E59" i="1"/>
  <c r="G82" i="1"/>
  <c r="E265" i="1"/>
  <c r="J286" i="1"/>
  <c r="E204" i="1"/>
  <c r="G141" i="1"/>
  <c r="E107" i="1"/>
  <c r="G154" i="1"/>
  <c r="G166" i="1"/>
  <c r="G315" i="1"/>
  <c r="E242" i="1"/>
  <c r="E210" i="1"/>
  <c r="E10" i="1"/>
  <c r="E454" i="1"/>
  <c r="J351" i="1"/>
  <c r="K432" i="1"/>
  <c r="E302" i="1"/>
  <c r="E36" i="1"/>
  <c r="E184" i="1"/>
  <c r="E257" i="1"/>
  <c r="E87" i="1"/>
  <c r="G111" i="1"/>
  <c r="E423" i="1"/>
  <c r="AB348" i="1"/>
  <c r="AB374" i="1"/>
  <c r="AB470" i="1"/>
  <c r="AB491" i="1"/>
  <c r="AB208" i="1"/>
  <c r="J471" i="1"/>
  <c r="N171" i="1"/>
  <c r="K292" i="1"/>
  <c r="K382" i="1"/>
  <c r="J430" i="1"/>
  <c r="K206" i="1"/>
  <c r="K224" i="1"/>
  <c r="AB221" i="1"/>
  <c r="K33" i="1"/>
  <c r="K314" i="1"/>
  <c r="N44" i="1"/>
  <c r="K165" i="1"/>
  <c r="AB134" i="1"/>
  <c r="K428" i="1"/>
  <c r="K429" i="1"/>
  <c r="K348" i="1"/>
  <c r="K83" i="1"/>
  <c r="J74" i="1"/>
  <c r="J148" i="1"/>
  <c r="G284" i="1"/>
  <c r="K31" i="1"/>
  <c r="J44" i="1"/>
  <c r="J212" i="1"/>
  <c r="J37" i="1"/>
  <c r="G323" i="1"/>
  <c r="N393" i="1"/>
  <c r="K281" i="1"/>
  <c r="N191" i="1"/>
  <c r="K67" i="1"/>
  <c r="E139" i="1"/>
  <c r="G27" i="1"/>
  <c r="G19" i="1"/>
  <c r="K445" i="1"/>
  <c r="J310" i="1"/>
  <c r="J99" i="1"/>
  <c r="G105" i="1"/>
  <c r="E459" i="1"/>
  <c r="K43" i="1"/>
  <c r="J251" i="1"/>
  <c r="K412" i="1"/>
  <c r="J300" i="1"/>
  <c r="K264" i="1"/>
  <c r="J475" i="1"/>
  <c r="J226" i="1"/>
  <c r="J357" i="1"/>
  <c r="J375" i="1"/>
  <c r="G48" i="1"/>
  <c r="G275" i="1"/>
  <c r="G324" i="1"/>
  <c r="J65" i="1"/>
  <c r="E117" i="1"/>
  <c r="E178" i="1"/>
  <c r="E102" i="1"/>
  <c r="E436" i="1"/>
  <c r="E372" i="1"/>
  <c r="G3" i="1"/>
  <c r="N379" i="1"/>
  <c r="K169" i="1"/>
  <c r="K344" i="1"/>
  <c r="AB396" i="1"/>
  <c r="K440" i="1"/>
  <c r="AB189" i="1"/>
  <c r="AB299" i="1"/>
  <c r="K208" i="1"/>
  <c r="K324" i="1"/>
  <c r="AB298" i="1"/>
  <c r="K464" i="1"/>
  <c r="AB483" i="1"/>
  <c r="J342" i="1"/>
  <c r="N504" i="1"/>
  <c r="AB258" i="1"/>
  <c r="N12" i="1"/>
  <c r="K343" i="1"/>
  <c r="K328" i="1"/>
  <c r="K467" i="1"/>
  <c r="K230" i="1"/>
  <c r="K183" i="1"/>
  <c r="K387" i="1"/>
  <c r="J443" i="1"/>
  <c r="J124" i="1"/>
  <c r="G510" i="1"/>
  <c r="G254" i="1"/>
  <c r="E229" i="1"/>
  <c r="K173" i="1"/>
  <c r="J98" i="1"/>
  <c r="G237" i="1"/>
  <c r="K338" i="1"/>
  <c r="K59" i="1"/>
  <c r="J241" i="1"/>
  <c r="G439" i="1"/>
  <c r="K309" i="1"/>
  <c r="J414" i="1"/>
  <c r="J405" i="1"/>
  <c r="G353" i="1"/>
  <c r="E494" i="1"/>
  <c r="J86" i="1"/>
  <c r="J21" i="1"/>
  <c r="G489" i="1"/>
  <c r="E132" i="1"/>
  <c r="G16" i="1"/>
  <c r="AB322" i="1"/>
  <c r="J348" i="1"/>
  <c r="K300" i="1"/>
  <c r="G451" i="1"/>
  <c r="K290" i="1"/>
  <c r="J444" i="1"/>
  <c r="J433" i="1"/>
  <c r="G366" i="1"/>
  <c r="J273" i="1"/>
  <c r="G507" i="1"/>
  <c r="E267" i="1"/>
  <c r="E13" i="1"/>
  <c r="J307" i="1"/>
  <c r="J438" i="1"/>
  <c r="E91" i="1"/>
  <c r="G14" i="1"/>
  <c r="E464" i="1"/>
  <c r="E14" i="1"/>
  <c r="N419" i="1"/>
  <c r="K65" i="1"/>
  <c r="J30" i="1"/>
  <c r="J453" i="1"/>
  <c r="J153" i="1"/>
  <c r="J398" i="1"/>
  <c r="J440" i="1"/>
  <c r="J230" i="1"/>
  <c r="J63" i="1"/>
  <c r="G93" i="1"/>
  <c r="E3" i="1"/>
  <c r="J149" i="1"/>
  <c r="J72" i="1"/>
  <c r="G7" i="1"/>
  <c r="G88" i="1"/>
  <c r="G393" i="1"/>
  <c r="E371" i="1"/>
  <c r="G188" i="1"/>
  <c r="E225" i="1"/>
  <c r="E27" i="1"/>
  <c r="J217" i="1"/>
  <c r="J200" i="1"/>
  <c r="G440" i="1"/>
  <c r="G122" i="1"/>
  <c r="E368" i="1"/>
  <c r="G334" i="1"/>
  <c r="E385" i="1"/>
  <c r="J491" i="1"/>
  <c r="E234" i="1"/>
  <c r="E467" i="1"/>
  <c r="E433" i="1"/>
  <c r="J239" i="1"/>
  <c r="G420" i="1"/>
  <c r="G375" i="1"/>
  <c r="N101" i="1"/>
  <c r="E262" i="1"/>
  <c r="J317" i="1"/>
  <c r="E209" i="1"/>
  <c r="G465" i="1"/>
  <c r="E241" i="1"/>
  <c r="E317" i="1"/>
  <c r="J218" i="1"/>
  <c r="G40" i="1"/>
  <c r="E162" i="1"/>
  <c r="E64" i="1"/>
  <c r="E508" i="1"/>
  <c r="G467" i="1"/>
  <c r="G192" i="1"/>
  <c r="E142" i="1"/>
  <c r="E379" i="1"/>
  <c r="E230" i="1"/>
  <c r="E417" i="1"/>
  <c r="K105" i="1"/>
  <c r="J321" i="1"/>
  <c r="E408" i="1"/>
  <c r="E165" i="1"/>
  <c r="K383" i="1"/>
  <c r="AB196" i="1"/>
  <c r="AB290" i="1"/>
  <c r="N166" i="1"/>
  <c r="N366" i="1"/>
  <c r="K234" i="1"/>
  <c r="N446" i="1"/>
  <c r="AB271" i="1"/>
  <c r="K417" i="1"/>
  <c r="AB250" i="1"/>
  <c r="AB292" i="1"/>
  <c r="N263" i="1"/>
  <c r="K478" i="1"/>
  <c r="N285" i="1"/>
  <c r="K352" i="1"/>
  <c r="K388" i="1"/>
  <c r="K449" i="1"/>
  <c r="N274" i="1"/>
  <c r="AB162" i="1"/>
  <c r="K450" i="1"/>
  <c r="J117" i="1"/>
  <c r="AB386" i="1"/>
  <c r="N3" i="1"/>
  <c r="J293" i="1"/>
  <c r="E441" i="1"/>
  <c r="N204" i="1"/>
  <c r="K280" i="1"/>
  <c r="K189" i="1"/>
  <c r="J208" i="1"/>
  <c r="J70" i="1"/>
  <c r="J450" i="1"/>
  <c r="G213" i="1"/>
  <c r="K47" i="1"/>
  <c r="J295" i="1"/>
  <c r="G183" i="1"/>
  <c r="G509" i="1"/>
  <c r="E89" i="1"/>
  <c r="N511" i="1"/>
  <c r="K374" i="1"/>
  <c r="G144" i="1"/>
  <c r="G282" i="1"/>
  <c r="J368" i="1"/>
  <c r="N223" i="1"/>
  <c r="N293" i="1"/>
  <c r="J390" i="1"/>
  <c r="K167" i="1"/>
  <c r="K277" i="1"/>
  <c r="N403" i="1"/>
  <c r="J163" i="1"/>
  <c r="G145" i="1"/>
  <c r="J133" i="1"/>
  <c r="K197" i="1"/>
  <c r="G74" i="1"/>
  <c r="G306" i="1"/>
  <c r="J493" i="1"/>
  <c r="J420" i="1"/>
  <c r="E397" i="1"/>
  <c r="J81" i="1"/>
  <c r="E120" i="1"/>
  <c r="E310" i="1"/>
  <c r="N287" i="1"/>
  <c r="K107" i="1"/>
  <c r="J24" i="1"/>
  <c r="N46" i="1"/>
  <c r="J90" i="1"/>
  <c r="J287" i="1"/>
  <c r="N15" i="1"/>
  <c r="AB152" i="1"/>
  <c r="N226" i="1"/>
  <c r="AB181" i="1"/>
  <c r="N31" i="1"/>
  <c r="AB367" i="1"/>
  <c r="K269" i="1"/>
  <c r="N343" i="1"/>
  <c r="K398" i="1"/>
  <c r="N336" i="1"/>
  <c r="K303" i="1"/>
  <c r="K182" i="1"/>
  <c r="K494" i="1"/>
  <c r="N161" i="1"/>
  <c r="AB501" i="1"/>
  <c r="N364" i="1"/>
  <c r="K439" i="1"/>
  <c r="N286" i="1"/>
  <c r="K215" i="1"/>
  <c r="J327" i="1"/>
  <c r="K381" i="1"/>
  <c r="J26" i="1"/>
  <c r="G419" i="1"/>
  <c r="E56" i="1"/>
  <c r="E75" i="1"/>
  <c r="J58" i="1"/>
  <c r="J219" i="1"/>
  <c r="G130" i="1"/>
  <c r="AB340" i="1"/>
  <c r="N487" i="1"/>
  <c r="G332" i="1"/>
  <c r="G336" i="1"/>
  <c r="K155" i="1"/>
  <c r="K426" i="1"/>
  <c r="J354" i="1"/>
  <c r="G174" i="1"/>
  <c r="G226" i="1"/>
  <c r="K514" i="1"/>
  <c r="K149" i="1"/>
  <c r="J387" i="1"/>
  <c r="J165" i="1"/>
  <c r="E159" i="1"/>
  <c r="J62" i="1"/>
  <c r="K124" i="1"/>
  <c r="J232" i="1"/>
  <c r="K323" i="1"/>
  <c r="J423" i="1"/>
  <c r="K91" i="1"/>
  <c r="AB387" i="1"/>
  <c r="E221" i="1"/>
  <c r="E62" i="1"/>
  <c r="J469" i="1"/>
  <c r="K392" i="1"/>
  <c r="G356" i="1"/>
  <c r="G374" i="1"/>
  <c r="G108" i="1"/>
  <c r="E500" i="1"/>
  <c r="G335" i="1"/>
  <c r="E336" i="1"/>
  <c r="E202" i="1"/>
  <c r="K79" i="1"/>
  <c r="K502" i="1"/>
  <c r="J315" i="1"/>
  <c r="K138" i="1"/>
  <c r="J364" i="1"/>
  <c r="K188" i="1"/>
  <c r="J261" i="1"/>
  <c r="J189" i="1"/>
  <c r="G131" i="1"/>
  <c r="J32" i="1"/>
  <c r="G49" i="1"/>
  <c r="G148" i="1"/>
  <c r="G245" i="1"/>
  <c r="J193" i="1"/>
  <c r="G187" i="1"/>
  <c r="E384" i="1"/>
  <c r="K74" i="1"/>
  <c r="E38" i="1"/>
  <c r="G219" i="1"/>
  <c r="G373" i="1"/>
  <c r="J334" i="1"/>
  <c r="G127" i="1"/>
  <c r="E269" i="1"/>
  <c r="G95" i="1"/>
  <c r="E443" i="1"/>
  <c r="J225" i="1"/>
  <c r="E376" i="1"/>
  <c r="G274" i="1"/>
  <c r="G480" i="1"/>
  <c r="E405" i="1"/>
  <c r="J152" i="1"/>
  <c r="G343" i="1"/>
  <c r="E232" i="1"/>
  <c r="E103" i="1"/>
  <c r="E307" i="1"/>
  <c r="E12" i="1"/>
  <c r="G109" i="1"/>
  <c r="E481" i="1"/>
  <c r="E457" i="1"/>
  <c r="E511" i="1"/>
  <c r="E453" i="1"/>
  <c r="N156" i="1"/>
  <c r="J455" i="1"/>
  <c r="E512" i="1"/>
  <c r="G115" i="1"/>
  <c r="E17" i="1"/>
  <c r="E80" i="1"/>
  <c r="E48" i="1"/>
  <c r="E150" i="1"/>
  <c r="E448" i="1"/>
  <c r="E253" i="1"/>
  <c r="K128" i="1"/>
  <c r="G132" i="1"/>
  <c r="J353" i="1"/>
  <c r="E30" i="1"/>
  <c r="N11" i="1"/>
  <c r="N454" i="1"/>
  <c r="AB222" i="1"/>
  <c r="N154" i="1"/>
  <c r="K118" i="1"/>
  <c r="N131" i="1"/>
  <c r="AB429" i="1"/>
  <c r="K366" i="1"/>
  <c r="N83" i="1"/>
  <c r="N355" i="1"/>
  <c r="K50" i="1"/>
  <c r="J457" i="1"/>
  <c r="N443" i="1"/>
  <c r="K101" i="1"/>
  <c r="N507" i="1"/>
  <c r="K503" i="1"/>
  <c r="K463" i="1"/>
  <c r="K140" i="1"/>
  <c r="AB137" i="1"/>
  <c r="K225" i="1"/>
  <c r="J492" i="1"/>
  <c r="G53" i="1"/>
  <c r="G137" i="1"/>
  <c r="J209" i="1"/>
  <c r="E495" i="1"/>
  <c r="N465" i="1"/>
  <c r="J367" i="1"/>
  <c r="E326" i="1"/>
  <c r="K104" i="1"/>
  <c r="K489" i="1"/>
  <c r="J42" i="1"/>
  <c r="J194" i="1"/>
  <c r="J151" i="1"/>
  <c r="J325" i="1"/>
  <c r="G106" i="1"/>
  <c r="E365" i="1"/>
  <c r="G63" i="1"/>
  <c r="J284" i="1"/>
  <c r="J380" i="1"/>
  <c r="G51" i="1"/>
  <c r="K475" i="1"/>
  <c r="N113" i="1"/>
  <c r="K41" i="1"/>
  <c r="J418" i="1"/>
  <c r="J89" i="1"/>
  <c r="J318" i="1"/>
  <c r="J376" i="1"/>
  <c r="J102" i="1"/>
  <c r="J446" i="1"/>
  <c r="G172" i="1"/>
  <c r="G434" i="1"/>
  <c r="J500" i="1"/>
  <c r="J439" i="1"/>
  <c r="G176" i="1"/>
  <c r="G197" i="1"/>
  <c r="G178" i="1"/>
  <c r="G504" i="1"/>
  <c r="E181" i="1"/>
  <c r="E392" i="1"/>
  <c r="E127" i="1"/>
  <c r="N23" i="1"/>
  <c r="K265" i="1"/>
  <c r="J412" i="1"/>
  <c r="K125" i="1"/>
  <c r="AB321" i="1"/>
  <c r="K418" i="1"/>
  <c r="J508" i="1"/>
  <c r="J66" i="1"/>
  <c r="E251" i="1"/>
  <c r="J401" i="1"/>
  <c r="G380" i="1"/>
  <c r="E468" i="1"/>
  <c r="G139" i="1"/>
  <c r="J435" i="1"/>
  <c r="J322" i="1"/>
  <c r="E437" i="1"/>
  <c r="E212" i="1"/>
  <c r="E19" i="1"/>
  <c r="E293" i="1"/>
  <c r="N317" i="1"/>
  <c r="J319" i="1"/>
  <c r="G493" i="1"/>
  <c r="G425" i="1"/>
  <c r="G326" i="1"/>
  <c r="G501" i="1"/>
  <c r="N14" i="1"/>
  <c r="AB124" i="1"/>
  <c r="N225" i="1"/>
  <c r="N383" i="1"/>
  <c r="K142" i="1"/>
  <c r="K394" i="1"/>
  <c r="E123" i="1"/>
  <c r="K75" i="1"/>
  <c r="K363" i="1"/>
  <c r="G66" i="1"/>
  <c r="J179" i="1"/>
  <c r="J279" i="1"/>
  <c r="J132" i="1"/>
  <c r="G290" i="1"/>
  <c r="E330" i="1"/>
  <c r="N201" i="1"/>
  <c r="J478" i="1"/>
  <c r="J297" i="1"/>
  <c r="J129" i="1"/>
  <c r="G422" i="1"/>
  <c r="J441" i="1"/>
  <c r="G78" i="1"/>
  <c r="E416" i="1"/>
  <c r="E199" i="1"/>
  <c r="J486" i="1"/>
  <c r="E263" i="1"/>
  <c r="E223" i="1"/>
  <c r="E69" i="1"/>
  <c r="E219" i="1"/>
  <c r="G92" i="1"/>
  <c r="J338" i="1"/>
  <c r="G98" i="1"/>
  <c r="E74" i="1"/>
  <c r="G29" i="1"/>
  <c r="G338" i="1"/>
  <c r="G382" i="1"/>
  <c r="G413" i="1"/>
  <c r="J91" i="1"/>
  <c r="J352" i="1"/>
  <c r="G101" i="1"/>
  <c r="E435" i="1"/>
  <c r="G140" i="1"/>
  <c r="J311" i="1"/>
  <c r="E286" i="1"/>
  <c r="G45" i="1"/>
  <c r="J60" i="1"/>
  <c r="G502" i="1"/>
  <c r="E121" i="1"/>
  <c r="E41" i="1"/>
  <c r="E60" i="1"/>
  <c r="E105" i="1"/>
  <c r="G68" i="1"/>
  <c r="E220" i="1"/>
  <c r="G37" i="1"/>
  <c r="E505" i="1"/>
  <c r="J85" i="1"/>
  <c r="E396" i="1"/>
  <c r="J277" i="1"/>
  <c r="E282" i="1"/>
  <c r="G288" i="1"/>
  <c r="K492" i="1"/>
  <c r="G454" i="1"/>
  <c r="E300" i="1"/>
  <c r="E200" i="1"/>
  <c r="G171" i="1"/>
  <c r="K198" i="1"/>
  <c r="J463" i="1"/>
  <c r="E382" i="1"/>
  <c r="E45" i="1"/>
  <c r="E110" i="1"/>
  <c r="E148" i="1"/>
  <c r="G402" i="1"/>
  <c r="K133" i="1"/>
  <c r="G168" i="1"/>
  <c r="E190" i="1"/>
  <c r="G278" i="1"/>
  <c r="E254" i="1"/>
  <c r="E270" i="1"/>
  <c r="E83" i="1"/>
  <c r="G204" i="1"/>
  <c r="E37" i="1"/>
  <c r="E46" i="1"/>
  <c r="E316" i="1"/>
  <c r="E18" i="1"/>
  <c r="E141" i="1"/>
  <c r="E124" i="1"/>
  <c r="G512" i="1"/>
  <c r="E2" i="1"/>
  <c r="G17" i="1"/>
  <c r="G430" i="1"/>
  <c r="E498" i="1"/>
  <c r="K148" i="1"/>
  <c r="G263" i="1"/>
  <c r="E472" i="1"/>
  <c r="E49" i="1"/>
  <c r="G302" i="1"/>
  <c r="E514" i="1"/>
  <c r="E362" i="1"/>
  <c r="G177" i="1"/>
  <c r="E350" i="1"/>
  <c r="G379" i="1"/>
  <c r="G498" i="1"/>
  <c r="E507" i="1"/>
  <c r="J39" i="1"/>
  <c r="E197" i="1"/>
  <c r="G429" i="1"/>
  <c r="E394" i="1"/>
  <c r="E451" i="1"/>
  <c r="E418" i="1"/>
  <c r="J33" i="1"/>
  <c r="G293" i="1"/>
  <c r="E138" i="1"/>
  <c r="G269" i="1"/>
  <c r="J332" i="1"/>
  <c r="E347" i="1"/>
  <c r="G170" i="1"/>
  <c r="E125" i="1"/>
  <c r="G200" i="1"/>
  <c r="E9" i="1"/>
  <c r="J339" i="1"/>
  <c r="E24" i="1"/>
  <c r="E115" i="1"/>
  <c r="G424" i="1"/>
  <c r="G205" i="1"/>
  <c r="E168" i="1"/>
  <c r="E299" i="1"/>
  <c r="E180" i="1"/>
  <c r="E167" i="1"/>
  <c r="E297" i="1"/>
  <c r="K56" i="1"/>
  <c r="J460" i="1"/>
  <c r="G264" i="1"/>
  <c r="G514" i="1"/>
  <c r="E290" i="1"/>
  <c r="E93" i="1"/>
  <c r="E29" i="1"/>
  <c r="J358" i="1"/>
  <c r="J407" i="1"/>
  <c r="G476" i="1"/>
  <c r="E482" i="1"/>
  <c r="E306" i="1"/>
  <c r="K497" i="1"/>
  <c r="E203" i="1"/>
  <c r="G468" i="1"/>
  <c r="K204" i="1"/>
  <c r="E185" i="1"/>
  <c r="E311" i="1"/>
  <c r="E412" i="1"/>
  <c r="G389" i="1"/>
  <c r="E42" i="1"/>
  <c r="N62" i="1"/>
  <c r="G255" i="1"/>
  <c r="G328" i="1"/>
  <c r="G62" i="1"/>
  <c r="K349" i="1"/>
  <c r="G469" i="1"/>
  <c r="G6" i="1"/>
  <c r="E179" i="1"/>
  <c r="G394" i="1"/>
  <c r="E352" i="1"/>
  <c r="E70" i="1"/>
  <c r="E370" i="1"/>
  <c r="J260" i="1"/>
  <c r="E375" i="1"/>
  <c r="AB453" i="1"/>
  <c r="G30" i="1"/>
  <c r="G398" i="1"/>
  <c r="N247" i="1"/>
  <c r="K401" i="1"/>
  <c r="G55" i="1"/>
  <c r="N448" i="1"/>
  <c r="K423" i="1"/>
  <c r="N392" i="1"/>
  <c r="N447" i="1"/>
  <c r="K44" i="1"/>
  <c r="N450" i="1"/>
  <c r="E287" i="1"/>
  <c r="K194" i="1"/>
  <c r="J104" i="1"/>
  <c r="E390" i="1"/>
  <c r="J52" i="1"/>
  <c r="J365" i="1"/>
  <c r="J341" i="1"/>
  <c r="J313" i="1"/>
  <c r="E327" i="1"/>
  <c r="K508" i="1"/>
  <c r="J296" i="1"/>
  <c r="J27" i="1"/>
  <c r="J371" i="1"/>
  <c r="G149" i="1"/>
  <c r="J140" i="1"/>
  <c r="G349" i="1"/>
  <c r="G475" i="1"/>
  <c r="E403" i="1"/>
  <c r="J504" i="1"/>
  <c r="J83" i="1"/>
  <c r="G416" i="1"/>
  <c r="E429" i="1"/>
  <c r="E489" i="1"/>
  <c r="E264" i="1"/>
  <c r="J361" i="1"/>
  <c r="E216" i="1"/>
  <c r="G267" i="1"/>
  <c r="G47" i="1"/>
  <c r="E383" i="1"/>
  <c r="E164" i="1"/>
  <c r="E411" i="1"/>
  <c r="J192" i="1"/>
  <c r="E157" i="1"/>
  <c r="E456" i="1"/>
  <c r="E356" i="1"/>
  <c r="G36" i="1"/>
  <c r="J173" i="1"/>
  <c r="E313" i="1"/>
  <c r="E206" i="1"/>
  <c r="J49" i="1"/>
  <c r="E25" i="1"/>
  <c r="G455" i="1"/>
  <c r="E183" i="1"/>
  <c r="G312" i="1"/>
  <c r="E82" i="1"/>
  <c r="G340" i="1"/>
  <c r="G499" i="1"/>
  <c r="E303" i="1"/>
  <c r="J34" i="1"/>
  <c r="J434" i="1"/>
  <c r="G240" i="1"/>
  <c r="G495" i="1"/>
  <c r="J97" i="1"/>
  <c r="E8" i="1"/>
  <c r="J292" i="1"/>
  <c r="G184" i="1"/>
  <c r="E252" i="1"/>
  <c r="E477" i="1"/>
  <c r="G372" i="1"/>
  <c r="J130" i="1"/>
  <c r="G300" i="1"/>
  <c r="E318" i="1"/>
  <c r="G138" i="1"/>
  <c r="G390" i="1"/>
  <c r="G38" i="1"/>
  <c r="E79" i="1"/>
  <c r="J237" i="1"/>
  <c r="G103" i="1"/>
  <c r="J136" i="1"/>
  <c r="E248" i="1"/>
  <c r="E250" i="1"/>
  <c r="G333" i="1"/>
  <c r="E6" i="1"/>
  <c r="G100" i="1"/>
  <c r="G13" i="1"/>
  <c r="E374" i="1"/>
  <c r="K293" i="1"/>
  <c r="J249" i="1"/>
  <c r="E410" i="1"/>
  <c r="E351" i="1"/>
  <c r="G481" i="1"/>
  <c r="J337" i="1"/>
  <c r="G466" i="1"/>
  <c r="E461" i="1"/>
  <c r="J496" i="1"/>
  <c r="E449" i="1"/>
  <c r="E40" i="1"/>
  <c r="E364" i="1"/>
  <c r="E189" i="1"/>
  <c r="E504" i="1"/>
  <c r="E301" i="1"/>
  <c r="G470" i="1"/>
  <c r="E235" i="1"/>
  <c r="G265" i="1"/>
  <c r="E305" i="1"/>
  <c r="G242" i="1"/>
  <c r="J211" i="1"/>
  <c r="G159" i="1"/>
  <c r="G446" i="1"/>
  <c r="E402" i="1"/>
  <c r="E422" i="1"/>
  <c r="G449" i="1"/>
  <c r="E113" i="1"/>
  <c r="G4" i="1"/>
  <c r="E272" i="1"/>
  <c r="E460" i="1"/>
  <c r="G404" i="1"/>
  <c r="N477" i="1"/>
  <c r="J143" i="1"/>
  <c r="K150" i="1"/>
  <c r="AB209" i="1"/>
  <c r="N473" i="1"/>
  <c r="AB180" i="1"/>
  <c r="AB195" i="1"/>
  <c r="J113" i="1"/>
  <c r="J472" i="1"/>
  <c r="J141" i="1"/>
  <c r="K236" i="1"/>
  <c r="K73" i="1"/>
  <c r="G39" i="1"/>
  <c r="K473" i="1"/>
  <c r="G110" i="1"/>
  <c r="G25" i="1"/>
  <c r="G431" i="1"/>
  <c r="AB117" i="1"/>
  <c r="J395" i="1"/>
  <c r="K304" i="1"/>
  <c r="G215" i="1"/>
  <c r="J142" i="1"/>
  <c r="E131" i="1"/>
  <c r="J269" i="1"/>
  <c r="J377" i="1"/>
  <c r="E424" i="1"/>
  <c r="G262" i="1"/>
  <c r="E137" i="1"/>
  <c r="J121" i="1"/>
  <c r="E426" i="1"/>
  <c r="G352" i="1"/>
  <c r="G342" i="1"/>
  <c r="J257" i="1"/>
  <c r="G401" i="1"/>
  <c r="G206" i="1"/>
  <c r="J247" i="1"/>
  <c r="J350" i="1"/>
  <c r="G357" i="1"/>
  <c r="E357" i="1"/>
  <c r="J499" i="1"/>
  <c r="E95" i="1"/>
  <c r="E166" i="1"/>
  <c r="E76" i="1"/>
  <c r="G351" i="1"/>
  <c r="G70" i="1"/>
  <c r="E109" i="1"/>
  <c r="E425" i="1"/>
  <c r="J160" i="1"/>
  <c r="E98" i="1"/>
  <c r="E513" i="1"/>
  <c r="E378" i="1"/>
  <c r="K458" i="1"/>
  <c r="G96" i="1"/>
  <c r="G486" i="1"/>
  <c r="E239" i="1"/>
  <c r="G452" i="1"/>
  <c r="N231" i="1"/>
  <c r="E452" i="1"/>
  <c r="J298" i="1"/>
  <c r="E473" i="1"/>
  <c r="G83" i="1"/>
  <c r="K459" i="1"/>
  <c r="G231" i="1"/>
  <c r="E359" i="1"/>
  <c r="E194" i="1"/>
  <c r="K332" i="1"/>
  <c r="G347" i="1"/>
  <c r="K120" i="1"/>
  <c r="E332" i="1"/>
  <c r="G94" i="1"/>
  <c r="E160" i="1"/>
  <c r="G150" i="1"/>
  <c r="G426" i="1"/>
  <c r="G294" i="1"/>
  <c r="K347" i="1"/>
  <c r="G143" i="1"/>
  <c r="J436" i="1"/>
  <c r="J204" i="1"/>
  <c r="E81" i="1"/>
  <c r="J465" i="1"/>
  <c r="E415" i="1"/>
  <c r="G256" i="1"/>
  <c r="E55" i="1"/>
  <c r="E321" i="1"/>
  <c r="G344" i="1"/>
  <c r="E133" i="1"/>
  <c r="E413" i="1"/>
  <c r="G473" i="1"/>
  <c r="G18" i="1"/>
  <c r="E502" i="1"/>
  <c r="E147" i="1"/>
  <c r="G239" i="1"/>
  <c r="J224" i="1"/>
  <c r="E279" i="1"/>
  <c r="G120" i="1"/>
  <c r="G246" i="1"/>
  <c r="G442" i="1"/>
  <c r="E466" i="1"/>
  <c r="G301" i="1"/>
  <c r="E400" i="1"/>
  <c r="E50" i="1"/>
  <c r="E439" i="1"/>
  <c r="E308" i="1"/>
  <c r="G399" i="1"/>
  <c r="E7" i="1"/>
  <c r="E334" i="1"/>
  <c r="G310" i="1"/>
  <c r="G60" i="1"/>
  <c r="G474" i="1"/>
  <c r="E440" i="1"/>
  <c r="G266" i="1"/>
  <c r="G283" i="1"/>
  <c r="E388" i="1"/>
  <c r="G151" i="1"/>
  <c r="G89" i="1"/>
  <c r="E238" i="1"/>
  <c r="J454" i="1"/>
  <c r="G223" i="1"/>
  <c r="E363" i="1"/>
  <c r="G318" i="1"/>
  <c r="E173" i="1"/>
  <c r="G32" i="1"/>
  <c r="E274" i="1"/>
  <c r="E26" i="1"/>
  <c r="E222" i="1"/>
  <c r="E122" i="1"/>
  <c r="G303" i="1"/>
  <c r="J55" i="1"/>
  <c r="E101" i="1"/>
  <c r="K48" i="1"/>
  <c r="J112" i="1"/>
  <c r="G179" i="1"/>
  <c r="E322" i="1"/>
  <c r="J76" i="1"/>
  <c r="G173" i="1"/>
  <c r="J187" i="1"/>
  <c r="J404" i="1"/>
  <c r="J111" i="1"/>
  <c r="J178" i="1"/>
  <c r="E78" i="1"/>
  <c r="E193" i="1"/>
  <c r="G376" i="1"/>
  <c r="N288" i="1"/>
  <c r="N439" i="1"/>
  <c r="N495" i="1"/>
  <c r="J46" i="1"/>
  <c r="K479" i="1"/>
  <c r="E333" i="1"/>
  <c r="K81" i="1"/>
  <c r="K339" i="1"/>
  <c r="J29" i="1"/>
  <c r="AB245" i="1"/>
  <c r="N81" i="1"/>
  <c r="J223" i="1"/>
  <c r="E492" i="1"/>
  <c r="N416" i="1"/>
  <c r="E444" i="1"/>
  <c r="K115" i="1"/>
  <c r="K416" i="1"/>
  <c r="K219" i="1"/>
  <c r="G291" i="1"/>
  <c r="J147" i="1"/>
  <c r="G277" i="1"/>
  <c r="G368" i="1"/>
  <c r="E11" i="1"/>
  <c r="E503" i="1"/>
  <c r="J445" i="1"/>
  <c r="G329" i="1"/>
  <c r="G107" i="1"/>
  <c r="G485" i="1"/>
  <c r="E134" i="1"/>
  <c r="E23" i="1"/>
  <c r="G443" i="1"/>
  <c r="J77" i="1"/>
  <c r="E323" i="1"/>
  <c r="E324" i="1"/>
  <c r="J308" i="1"/>
  <c r="G392" i="1"/>
  <c r="G503" i="1"/>
  <c r="K202" i="1"/>
  <c r="E177" i="1"/>
  <c r="K419" i="1"/>
  <c r="J363" i="1"/>
  <c r="G116" i="1"/>
  <c r="G199" i="1"/>
  <c r="G153" i="1"/>
  <c r="E237" i="1"/>
  <c r="G186" i="1"/>
  <c r="E367" i="1"/>
  <c r="J333" i="1"/>
  <c r="G161" i="1"/>
  <c r="J467" i="1"/>
  <c r="E345" i="1"/>
  <c r="E51" i="1"/>
  <c r="E32" i="1"/>
  <c r="E298" i="1"/>
  <c r="K393" i="1"/>
  <c r="J266" i="1"/>
  <c r="G124" i="1"/>
  <c r="E275" i="1"/>
  <c r="E245" i="1"/>
  <c r="G67" i="1"/>
  <c r="G235" i="1"/>
  <c r="E145" i="1"/>
  <c r="K220" i="1"/>
  <c r="G388" i="1"/>
  <c r="E469" i="1"/>
  <c r="E427" i="1"/>
  <c r="J451" i="1"/>
  <c r="G457" i="1"/>
  <c r="G201" i="1"/>
  <c r="G450" i="1"/>
  <c r="K266" i="1"/>
  <c r="J282" i="1"/>
  <c r="N40" i="1"/>
  <c r="K203" i="1"/>
  <c r="N133" i="1"/>
  <c r="N304" i="1"/>
  <c r="N25" i="1"/>
  <c r="G190" i="1"/>
  <c r="J513" i="1"/>
  <c r="G456" i="1"/>
  <c r="J176" i="1"/>
  <c r="K162" i="1"/>
  <c r="K51" i="1"/>
  <c r="J202" i="1"/>
  <c r="G196" i="1"/>
  <c r="G2" i="1"/>
  <c r="G52" i="1"/>
  <c r="J393" i="1"/>
  <c r="K364" i="1"/>
  <c r="J175" i="1"/>
  <c r="E373" i="1"/>
  <c r="G79" i="1"/>
  <c r="K60" i="1"/>
  <c r="E271" i="1"/>
  <c r="E325" i="1"/>
  <c r="E260" i="1"/>
  <c r="G298" i="1"/>
  <c r="E483" i="1"/>
  <c r="E463" i="1"/>
  <c r="E486" i="1"/>
  <c r="G406" i="1"/>
  <c r="E447" i="1"/>
  <c r="G441" i="1"/>
  <c r="G397" i="1"/>
  <c r="E478" i="1"/>
  <c r="E276" i="1"/>
  <c r="G270" i="1"/>
  <c r="E487" i="1"/>
  <c r="N313" i="1"/>
  <c r="G319" i="1"/>
  <c r="N60" i="1"/>
  <c r="G189" i="1"/>
  <c r="G511" i="1"/>
  <c r="E355" i="1"/>
  <c r="E143" i="1"/>
  <c r="G224" i="1"/>
  <c r="K39" i="1"/>
  <c r="G69" i="1"/>
  <c r="K52" i="1"/>
  <c r="E259" i="1"/>
  <c r="N183" i="1"/>
  <c r="G80" i="1"/>
  <c r="E54" i="1"/>
  <c r="E104" i="1"/>
  <c r="K468" i="1"/>
  <c r="G258" i="1"/>
  <c r="J53" i="1"/>
  <c r="N112" i="1"/>
  <c r="G345" i="1"/>
  <c r="G407" i="1"/>
  <c r="G114" i="1"/>
  <c r="G385" i="1"/>
  <c r="G337" i="1"/>
  <c r="E34" i="1"/>
  <c r="E119" i="1"/>
  <c r="G214" i="1"/>
  <c r="G436" i="1"/>
  <c r="K271" i="1"/>
  <c r="E277" i="1"/>
  <c r="J362" i="1"/>
  <c r="K359" i="1"/>
  <c r="E450" i="1"/>
  <c r="J255" i="1"/>
  <c r="N211" i="1"/>
  <c r="G164" i="1"/>
  <c r="E205" i="1"/>
  <c r="E343" i="1"/>
  <c r="G163" i="1"/>
  <c r="J480" i="1"/>
  <c r="G216" i="1"/>
  <c r="E294" i="1"/>
  <c r="G438" i="1"/>
  <c r="J264" i="1"/>
  <c r="G371" i="1"/>
  <c r="E266" i="1"/>
  <c r="G417" i="1"/>
  <c r="E100" i="1"/>
  <c r="J254" i="1"/>
  <c r="J421" i="1"/>
  <c r="E337" i="1"/>
  <c r="E153" i="1"/>
  <c r="E152" i="1"/>
  <c r="E295" i="1"/>
  <c r="E399" i="1"/>
  <c r="E186" i="1"/>
  <c r="G484" i="1"/>
  <c r="E438" i="1"/>
  <c r="E470" i="1"/>
  <c r="E442" i="1"/>
  <c r="J213" i="1"/>
  <c r="E92" i="1"/>
  <c r="E5" i="1"/>
  <c r="K146" i="1"/>
  <c r="G412" i="1"/>
  <c r="E480" i="1"/>
  <c r="E128" i="1"/>
  <c r="E312" i="1"/>
  <c r="E126" i="1"/>
  <c r="E314" i="1"/>
  <c r="G129" i="1"/>
  <c r="E33" i="1"/>
  <c r="N400" i="1"/>
  <c r="G281" i="1"/>
  <c r="J145" i="1"/>
  <c r="K241" i="1"/>
  <c r="G202" i="1"/>
  <c r="K405" i="1"/>
  <c r="J100" i="1"/>
  <c r="G492" i="1"/>
  <c r="E218" i="1"/>
  <c r="G405" i="1"/>
  <c r="J442" i="1"/>
  <c r="E57" i="1"/>
  <c r="G395" i="1"/>
  <c r="K240" i="1"/>
  <c r="E484" i="1"/>
  <c r="G42" i="1"/>
  <c r="G77" i="1"/>
  <c r="E161" i="1"/>
  <c r="G91" i="1"/>
  <c r="N63" i="1"/>
  <c r="G325" i="1"/>
  <c r="G243" i="1"/>
  <c r="E188" i="1"/>
  <c r="E28" i="1"/>
  <c r="E155" i="1"/>
  <c r="E273" i="1"/>
  <c r="E163" i="1"/>
  <c r="E509" i="1"/>
  <c r="G320" i="1"/>
  <c r="G57" i="1"/>
  <c r="E111" i="1"/>
  <c r="N155" i="1"/>
  <c r="G305" i="1"/>
  <c r="AB201" i="1"/>
  <c r="K112" i="1"/>
  <c r="G287" i="1"/>
  <c r="G322" i="1"/>
  <c r="AB255" i="1"/>
  <c r="N385" i="1"/>
  <c r="K172" i="1"/>
  <c r="K46" i="1"/>
  <c r="N322" i="1"/>
  <c r="G86" i="1"/>
  <c r="J320" i="1"/>
  <c r="J131" i="1"/>
  <c r="N405" i="1"/>
  <c r="N239" i="1"/>
  <c r="J370" i="1"/>
  <c r="J233" i="1"/>
  <c r="G408" i="1"/>
  <c r="G35" i="1"/>
  <c r="E170" i="1"/>
  <c r="N399" i="1"/>
  <c r="N13" i="1"/>
  <c r="J128" i="1"/>
  <c r="K273" i="1"/>
  <c r="G272" i="1"/>
  <c r="J191" i="1"/>
  <c r="G165" i="1"/>
  <c r="E354" i="1"/>
  <c r="J392" i="1"/>
  <c r="E77" i="1"/>
  <c r="G146" i="1"/>
  <c r="G295" i="1"/>
  <c r="K466" i="1"/>
  <c r="E278" i="1"/>
  <c r="K174" i="1"/>
  <c r="J474" i="1"/>
  <c r="E386" i="1"/>
  <c r="E233" i="1"/>
  <c r="G222" i="1"/>
  <c r="E485" i="1"/>
  <c r="E215" i="1"/>
  <c r="N22" i="1"/>
  <c r="J268" i="1"/>
  <c r="G505" i="1"/>
  <c r="G383" i="1"/>
  <c r="G377" i="1"/>
  <c r="E499" i="1"/>
  <c r="G244" i="1"/>
  <c r="G58" i="1"/>
  <c r="J379" i="1"/>
  <c r="G136" i="1"/>
  <c r="G99" i="1"/>
  <c r="G490" i="1"/>
  <c r="J61" i="1"/>
  <c r="G296" i="1"/>
  <c r="G257" i="1"/>
  <c r="G250" i="1"/>
  <c r="G44" i="1"/>
  <c r="E476" i="1"/>
  <c r="K253" i="1"/>
  <c r="E349" i="1"/>
  <c r="E401" i="1"/>
  <c r="G54" i="1"/>
  <c r="G56" i="1"/>
  <c r="E309" i="1"/>
  <c r="E421" i="1"/>
  <c r="J378" i="1"/>
  <c r="E479" i="1"/>
  <c r="E97" i="1"/>
  <c r="E446" i="1"/>
  <c r="J291" i="1"/>
  <c r="G433" i="1"/>
  <c r="G500" i="1"/>
  <c r="J498" i="1"/>
  <c r="G180" i="1"/>
  <c r="J101" i="1"/>
  <c r="K425" i="1"/>
  <c r="G508" i="1"/>
  <c r="E261" i="1"/>
  <c r="E86" i="1"/>
  <c r="G34" i="1"/>
  <c r="G331" i="1"/>
  <c r="E227" i="1"/>
  <c r="E136" i="1"/>
  <c r="E112" i="1"/>
  <c r="E214" i="1"/>
  <c r="E256" i="1"/>
  <c r="G234" i="1"/>
  <c r="G307" i="1"/>
  <c r="J36" i="1"/>
  <c r="G8" i="1"/>
  <c r="G220" i="1"/>
  <c r="E31" i="1"/>
  <c r="G391" i="1"/>
  <c r="G313" i="1"/>
  <c r="G229" i="1"/>
  <c r="G227" i="1"/>
  <c r="E15" i="1"/>
  <c r="E176" i="1"/>
  <c r="G121" i="1"/>
  <c r="G87" i="1"/>
  <c r="G119" i="1"/>
  <c r="E288" i="1"/>
  <c r="G64" i="1"/>
  <c r="E496" i="1"/>
  <c r="G314" i="1"/>
  <c r="E208" i="1"/>
  <c r="G330" i="1"/>
  <c r="E292" i="1"/>
  <c r="E72" i="1"/>
  <c r="E71" i="1"/>
  <c r="E510" i="1"/>
  <c r="G461" i="1"/>
  <c r="E207" i="1"/>
  <c r="AB257" i="1"/>
  <c r="J190" i="1"/>
  <c r="AB309" i="1"/>
  <c r="G61" i="1"/>
  <c r="K305" i="1"/>
  <c r="J432" i="1"/>
  <c r="E471" i="1"/>
  <c r="K93" i="1"/>
  <c r="J227" i="1"/>
  <c r="G427" i="1"/>
  <c r="E458" i="1"/>
  <c r="K193" i="1"/>
  <c r="G464" i="1"/>
  <c r="G76" i="1"/>
  <c r="E255" i="1"/>
  <c r="E420" i="1"/>
  <c r="K367" i="1"/>
  <c r="G31" i="1"/>
  <c r="G71" i="1"/>
  <c r="G12" i="1"/>
  <c r="E94" i="1"/>
  <c r="E52" i="1"/>
  <c r="G191" i="1"/>
  <c r="J275" i="1"/>
  <c r="E360" i="1"/>
  <c r="G155" i="1"/>
  <c r="E130" i="1"/>
  <c r="G268" i="1"/>
  <c r="G494" i="1"/>
  <c r="E377" i="1"/>
  <c r="E175" i="1"/>
  <c r="E339" i="1"/>
  <c r="AB329" i="1"/>
  <c r="K131" i="1"/>
  <c r="E358" i="1"/>
  <c r="G158" i="1"/>
  <c r="G11" i="1"/>
  <c r="G311" i="1"/>
  <c r="G360" i="1"/>
  <c r="K145" i="1"/>
  <c r="J459" i="1"/>
  <c r="J428" i="1"/>
  <c r="E348" i="1"/>
  <c r="E393" i="1"/>
  <c r="G118" i="1"/>
  <c r="G65" i="1"/>
  <c r="G97" i="1"/>
  <c r="G304" i="1"/>
  <c r="E455" i="1"/>
  <c r="G415" i="1"/>
  <c r="G232" i="1"/>
  <c r="G210" i="1"/>
  <c r="E114" i="1"/>
  <c r="G280" i="1"/>
  <c r="E66" i="1"/>
  <c r="E90" i="1"/>
  <c r="E488" i="1"/>
  <c r="G411" i="1"/>
  <c r="E430" i="1"/>
  <c r="J195" i="1"/>
  <c r="N426" i="1"/>
  <c r="G437" i="1"/>
  <c r="E224" i="1"/>
  <c r="E434" i="1"/>
  <c r="E258" i="1"/>
  <c r="J67" i="1"/>
  <c r="K330" i="1"/>
  <c r="E43" i="1"/>
  <c r="E338" i="1"/>
  <c r="G46" i="1"/>
  <c r="E169" i="1"/>
  <c r="G198" i="1"/>
  <c r="AB331" i="1"/>
  <c r="E344" i="1"/>
  <c r="E497" i="1"/>
  <c r="K76" i="1"/>
  <c r="G477" i="1"/>
  <c r="E414" i="1"/>
  <c r="E198" i="1"/>
  <c r="J360" i="1"/>
  <c r="E151" i="1"/>
  <c r="J107" i="1"/>
  <c r="E47" i="1"/>
  <c r="G251" i="1"/>
  <c r="E63" i="1"/>
  <c r="J228" i="1"/>
  <c r="E493" i="1"/>
  <c r="E88" i="1"/>
  <c r="G247" i="1"/>
  <c r="G207" i="1"/>
  <c r="E406" i="1"/>
  <c r="G386" i="1"/>
  <c r="E369" i="1"/>
  <c r="J429" i="1"/>
  <c r="E247" i="1"/>
  <c r="E99" i="1"/>
  <c r="G487" i="1"/>
  <c r="G348" i="1"/>
  <c r="G209" i="1"/>
  <c r="E319" i="1"/>
  <c r="J240" i="1"/>
  <c r="K243" i="1"/>
  <c r="E211" i="1"/>
  <c r="E329" i="1"/>
  <c r="E342" i="1"/>
  <c r="E432" i="1"/>
  <c r="E465" i="1"/>
  <c r="E407" i="1"/>
  <c r="E331" i="1"/>
  <c r="E320" i="1"/>
  <c r="E462" i="1"/>
  <c r="E490" i="1"/>
  <c r="E391" i="1"/>
  <c r="G50" i="1"/>
  <c r="G33" i="1"/>
  <c r="G26" i="1"/>
  <c r="G365" i="1"/>
  <c r="E135" i="1"/>
  <c r="F519" i="1" l="1"/>
  <c r="F523" i="1"/>
  <c r="F515" i="1"/>
  <c r="F518" i="1"/>
  <c r="F522" i="1"/>
  <c r="F517" i="1"/>
  <c r="F521" i="1"/>
  <c r="F520" i="1"/>
  <c r="F516" i="1"/>
  <c r="Y28" i="1"/>
  <c r="Y27" i="1"/>
  <c r="M36" i="1"/>
  <c r="L36" i="1"/>
  <c r="M498" i="1"/>
  <c r="L498" i="1"/>
  <c r="M379" i="1"/>
  <c r="L379" i="1"/>
  <c r="O22" i="1"/>
  <c r="P22" i="1"/>
  <c r="L191" i="1"/>
  <c r="M191" i="1"/>
  <c r="M421" i="1"/>
  <c r="L421" i="1"/>
  <c r="M255" i="1"/>
  <c r="L255" i="1"/>
  <c r="M53" i="1"/>
  <c r="L53" i="1"/>
  <c r="O60" i="1"/>
  <c r="P60" i="1"/>
  <c r="M513" i="1"/>
  <c r="L513" i="1"/>
  <c r="M454" i="1"/>
  <c r="L454" i="1"/>
  <c r="M224" i="1"/>
  <c r="L224" i="1"/>
  <c r="L436" i="1"/>
  <c r="M436" i="1"/>
  <c r="L350" i="1"/>
  <c r="M350" i="1"/>
  <c r="M121" i="1"/>
  <c r="L121" i="1"/>
  <c r="P473" i="1"/>
  <c r="O473" i="1"/>
  <c r="M49" i="1"/>
  <c r="L49" i="1"/>
  <c r="L192" i="1"/>
  <c r="M192" i="1"/>
  <c r="L313" i="1"/>
  <c r="M313" i="1"/>
  <c r="P450" i="1"/>
  <c r="O450" i="1"/>
  <c r="O247" i="1"/>
  <c r="P247" i="1"/>
  <c r="M339" i="1"/>
  <c r="L339" i="1"/>
  <c r="M39" i="1"/>
  <c r="L39" i="1"/>
  <c r="F75" i="1"/>
  <c r="F201" i="1"/>
  <c r="F29" i="1"/>
  <c r="F432" i="1"/>
  <c r="F436" i="1"/>
  <c r="F429" i="1"/>
  <c r="F375" i="1"/>
  <c r="F5" i="1"/>
  <c r="F339" i="1"/>
  <c r="F246" i="1"/>
  <c r="F92" i="1"/>
  <c r="F25" i="1"/>
  <c r="F67" i="1"/>
  <c r="F131" i="1"/>
  <c r="F422" i="1"/>
  <c r="F12" i="1"/>
  <c r="F118" i="1"/>
  <c r="F355" i="1"/>
  <c r="F480" i="1"/>
  <c r="F99" i="1"/>
  <c r="F257" i="1"/>
  <c r="F206" i="1"/>
  <c r="F266" i="1"/>
  <c r="F239" i="1"/>
  <c r="F79" i="1"/>
  <c r="F403" i="1"/>
  <c r="F177" i="1"/>
  <c r="F365" i="1"/>
  <c r="F451" i="1"/>
  <c r="F255" i="1"/>
  <c r="F254" i="1"/>
  <c r="F260" i="1"/>
  <c r="F334" i="1"/>
  <c r="F259" i="1"/>
  <c r="F330" i="1"/>
  <c r="F338" i="1"/>
  <c r="F72" i="1"/>
  <c r="F107" i="1"/>
  <c r="F175" i="1"/>
  <c r="F388" i="1"/>
  <c r="F36" i="1"/>
  <c r="F115" i="1"/>
  <c r="F105" i="1"/>
  <c r="F512" i="1"/>
  <c r="F145" i="1"/>
  <c r="F272" i="1"/>
  <c r="F449" i="1"/>
  <c r="F354" i="1"/>
  <c r="F164" i="1"/>
  <c r="F43" i="1"/>
  <c r="F402" i="1"/>
  <c r="F252" i="1"/>
  <c r="F398" i="1"/>
  <c r="F463" i="1"/>
  <c r="F28" i="1"/>
  <c r="F60" i="1"/>
  <c r="F33" i="1"/>
  <c r="F41" i="1"/>
  <c r="F236" i="1"/>
  <c r="F310" i="1"/>
  <c r="F458" i="1"/>
  <c r="F420" i="1"/>
  <c r="F158" i="1"/>
  <c r="F318" i="1"/>
  <c r="F104" i="1"/>
  <c r="F130" i="1"/>
  <c r="F191" i="1"/>
  <c r="F283" i="1"/>
  <c r="F331" i="1"/>
  <c r="F51" i="1"/>
  <c r="F174" i="1"/>
  <c r="F232" i="1"/>
  <c r="F337" i="1"/>
  <c r="F53" i="1"/>
  <c r="F324" i="1"/>
  <c r="F279" i="1"/>
  <c r="F348" i="1"/>
  <c r="F489" i="1"/>
  <c r="F456" i="1"/>
  <c r="F473" i="1"/>
  <c r="F502" i="1"/>
  <c r="F280" i="1"/>
  <c r="F278" i="1"/>
  <c r="F31" i="1"/>
  <c r="F134" i="1"/>
  <c r="F103" i="1"/>
  <c r="F139" i="1"/>
  <c r="F214" i="1"/>
  <c r="F421" i="1"/>
  <c r="F486" i="1"/>
  <c r="F341" i="1"/>
  <c r="F509" i="1"/>
  <c r="F126" i="1"/>
  <c r="F240" i="1"/>
  <c r="F80" i="1"/>
  <c r="F299" i="1"/>
  <c r="F462" i="1"/>
  <c r="F492" i="1"/>
  <c r="F269" i="1"/>
  <c r="F45" i="1"/>
  <c r="F294" i="1"/>
  <c r="F268" i="1"/>
  <c r="F113" i="1"/>
  <c r="F204" i="1"/>
  <c r="F9" i="1"/>
  <c r="F58" i="1"/>
  <c r="F317" i="1"/>
  <c r="F192" i="1"/>
  <c r="F76" i="1"/>
  <c r="F253" i="1"/>
  <c r="F380" i="1"/>
  <c r="F374" i="1"/>
  <c r="F187" i="1"/>
  <c r="F223" i="1"/>
  <c r="F16" i="1"/>
  <c r="F132" i="1"/>
  <c r="F362" i="1"/>
  <c r="F196" i="1"/>
  <c r="F225" i="1"/>
  <c r="F137" i="1"/>
  <c r="F250" i="1"/>
  <c r="F491" i="1"/>
  <c r="F481" i="1"/>
  <c r="F405" i="1"/>
  <c r="F98" i="1"/>
  <c r="F112" i="1"/>
  <c r="F353" i="1"/>
  <c r="F165" i="1"/>
  <c r="F63" i="1"/>
  <c r="F415" i="1"/>
  <c r="F323" i="1"/>
  <c r="F435" i="1"/>
  <c r="F194" i="1"/>
  <c r="F321" i="1"/>
  <c r="F377" i="1"/>
  <c r="F182" i="1"/>
  <c r="F142" i="1"/>
  <c r="F121" i="1"/>
  <c r="F54" i="1"/>
  <c r="F124" i="1"/>
  <c r="F368" i="1"/>
  <c r="F483" i="1"/>
  <c r="F369" i="1"/>
  <c r="F289" i="1"/>
  <c r="F303" i="1"/>
  <c r="F69" i="1"/>
  <c r="F514" i="1"/>
  <c r="F419" i="1"/>
  <c r="F219" i="1"/>
  <c r="F153" i="1"/>
  <c r="F21" i="1"/>
  <c r="F476" i="1"/>
  <c r="F111" i="1"/>
  <c r="F73" i="1"/>
  <c r="F503" i="1"/>
  <c r="F271" i="1"/>
  <c r="F499" i="1"/>
  <c r="F116" i="1"/>
  <c r="F320" i="1"/>
  <c r="F68" i="1"/>
  <c r="F457" i="1"/>
  <c r="F6" i="1"/>
  <c r="F35" i="1"/>
  <c r="F428" i="1"/>
  <c r="F426" i="1"/>
  <c r="F189" i="1"/>
  <c r="F179" i="1"/>
  <c r="F211" i="1"/>
  <c r="F493" i="1"/>
  <c r="F513" i="1"/>
  <c r="F215" i="1"/>
  <c r="F329" i="1"/>
  <c r="F231" i="1"/>
  <c r="F247" i="1"/>
  <c r="F325" i="1"/>
  <c r="F83" i="1"/>
  <c r="F416" i="1"/>
  <c r="F265" i="1"/>
  <c r="F245" i="1"/>
  <c r="F198" i="1"/>
  <c r="F285" i="1"/>
  <c r="F373" i="1"/>
  <c r="F208" i="1"/>
  <c r="F418" i="1"/>
  <c r="F96" i="1"/>
  <c r="F427" i="1"/>
  <c r="F30" i="1"/>
  <c r="F123" i="1"/>
  <c r="F409" i="1"/>
  <c r="F407" i="1"/>
  <c r="F178" i="1"/>
  <c r="F248" i="1"/>
  <c r="F37" i="1"/>
  <c r="F396" i="1"/>
  <c r="F218" i="1"/>
  <c r="F149" i="1"/>
  <c r="F475" i="1"/>
  <c r="F439" i="1"/>
  <c r="F490" i="1"/>
  <c r="F154" i="1"/>
  <c r="F148" i="1"/>
  <c r="F487" i="1"/>
  <c r="F386" i="1"/>
  <c r="F507" i="1"/>
  <c r="F109" i="1"/>
  <c r="F169" i="1"/>
  <c r="F437" i="1"/>
  <c r="F455" i="1"/>
  <c r="F203" i="1"/>
  <c r="F81" i="1"/>
  <c r="F184" i="1"/>
  <c r="F364" i="1"/>
  <c r="F504" i="1"/>
  <c r="F32" i="1"/>
  <c r="F197" i="1"/>
  <c r="F293" i="1"/>
  <c r="F263" i="1"/>
  <c r="F224" i="1"/>
  <c r="F453" i="1"/>
  <c r="F389" i="1"/>
  <c r="F185" i="1"/>
  <c r="F448" i="1"/>
  <c r="F508" i="1"/>
  <c r="F478" i="1"/>
  <c r="F106" i="1"/>
  <c r="F470" i="1"/>
  <c r="F438" i="1"/>
  <c r="F4" i="1"/>
  <c r="F167" i="1"/>
  <c r="F312" i="1"/>
  <c r="F424" i="1"/>
  <c r="F108" i="1"/>
  <c r="F333" i="1"/>
  <c r="F319" i="1"/>
  <c r="F383" i="1"/>
  <c r="F316" i="1"/>
  <c r="F371" i="1"/>
  <c r="F146" i="1"/>
  <c r="F332" i="1"/>
  <c r="F309" i="1"/>
  <c r="F2" i="1"/>
  <c r="F55" i="1"/>
  <c r="F410" i="1"/>
  <c r="F46" i="1"/>
  <c r="F89" i="1"/>
  <c r="F24" i="1"/>
  <c r="F267" i="1"/>
  <c r="F359" i="1"/>
  <c r="F302" i="1"/>
  <c r="F394" i="1"/>
  <c r="F249" i="1"/>
  <c r="F230" i="1"/>
  <c r="F413" i="1"/>
  <c r="F505" i="1"/>
  <c r="F242" i="1"/>
  <c r="F61" i="1"/>
  <c r="F155" i="1"/>
  <c r="F342" i="1"/>
  <c r="F56" i="1"/>
  <c r="F237" i="1"/>
  <c r="F474" i="1"/>
  <c r="F229" i="1"/>
  <c r="F382" i="1"/>
  <c r="F94" i="1"/>
  <c r="F372" i="1"/>
  <c r="F3" i="1"/>
  <c r="F274" i="1"/>
  <c r="F417" i="1"/>
  <c r="F497" i="1"/>
  <c r="F400" i="1"/>
  <c r="F445" i="1"/>
  <c r="F308" i="1"/>
  <c r="F347" i="1"/>
  <c r="F434" i="1"/>
  <c r="F256" i="1"/>
  <c r="F406" i="1"/>
  <c r="F222" i="1"/>
  <c r="F34" i="1"/>
  <c r="F315" i="1"/>
  <c r="F304" i="1"/>
  <c r="F166" i="1"/>
  <c r="F488" i="1"/>
  <c r="F151" i="1"/>
  <c r="F397" i="1"/>
  <c r="F399" i="1"/>
  <c r="F23" i="1"/>
  <c r="F86" i="1"/>
  <c r="F352" i="1"/>
  <c r="F38" i="1"/>
  <c r="F135" i="1"/>
  <c r="F311" i="1"/>
  <c r="F277" i="1"/>
  <c r="F27" i="1"/>
  <c r="F363" i="1"/>
  <c r="F220" i="1"/>
  <c r="F471" i="1"/>
  <c r="F270" i="1"/>
  <c r="F8" i="1"/>
  <c r="F95" i="1"/>
  <c r="F90" i="1"/>
  <c r="F387" i="1"/>
  <c r="F244" i="1"/>
  <c r="F181" i="1"/>
  <c r="F344" i="1"/>
  <c r="F183" i="1"/>
  <c r="F286" i="1"/>
  <c r="F501" i="1"/>
  <c r="F42" i="1"/>
  <c r="F441" i="1"/>
  <c r="F101" i="1"/>
  <c r="F173" i="1"/>
  <c r="F454" i="1"/>
  <c r="F494" i="1"/>
  <c r="F446" i="1"/>
  <c r="F469" i="1"/>
  <c r="F384" i="1"/>
  <c r="F241" i="1"/>
  <c r="F442" i="1"/>
  <c r="F430" i="1"/>
  <c r="F162" i="1"/>
  <c r="F18" i="1"/>
  <c r="F205" i="1"/>
  <c r="F77" i="1"/>
  <c r="F262" i="1"/>
  <c r="F120" i="1"/>
  <c r="F163" i="1"/>
  <c r="F235" i="1"/>
  <c r="F114" i="1"/>
  <c r="F443" i="1"/>
  <c r="F313" i="1"/>
  <c r="F301" i="1"/>
  <c r="F40" i="1"/>
  <c r="F335" i="1"/>
  <c r="F408" i="1"/>
  <c r="F305" i="1"/>
  <c r="F295" i="1"/>
  <c r="F468" i="1"/>
  <c r="F367" i="1"/>
  <c r="F207" i="1"/>
  <c r="F156" i="1"/>
  <c r="F44" i="1"/>
  <c r="F298" i="1"/>
  <c r="F345" i="1"/>
  <c r="F93" i="1"/>
  <c r="F349" i="1"/>
  <c r="F510" i="1"/>
  <c r="F228" i="1"/>
  <c r="F440" i="1"/>
  <c r="F284" i="1"/>
  <c r="F401" i="1"/>
  <c r="F322" i="1"/>
  <c r="F152" i="1"/>
  <c r="F168" i="1"/>
  <c r="F234" i="1"/>
  <c r="F370" i="1"/>
  <c r="F119" i="1"/>
  <c r="F117" i="1"/>
  <c r="F287" i="1"/>
  <c r="F498" i="1"/>
  <c r="F102" i="1"/>
  <c r="F466" i="1"/>
  <c r="F110" i="1"/>
  <c r="F199" i="1"/>
  <c r="F392" i="1"/>
  <c r="F22" i="1"/>
  <c r="F87" i="1"/>
  <c r="F273" i="1"/>
  <c r="F200" i="1"/>
  <c r="F391" i="1"/>
  <c r="F39" i="1"/>
  <c r="F261" i="1"/>
  <c r="F157" i="1"/>
  <c r="F328" i="1"/>
  <c r="F472" i="1"/>
  <c r="F447" i="1"/>
  <c r="F414" i="1"/>
  <c r="F366" i="1"/>
  <c r="F292" i="1"/>
  <c r="F336" i="1"/>
  <c r="F147" i="1"/>
  <c r="F291" i="1"/>
  <c r="F195" i="1"/>
  <c r="F511" i="1"/>
  <c r="F495" i="1"/>
  <c r="F297" i="1"/>
  <c r="F346" i="1"/>
  <c r="F129" i="1"/>
  <c r="F264" i="1"/>
  <c r="F461" i="1"/>
  <c r="F171" i="1"/>
  <c r="F85" i="1"/>
  <c r="F404" i="1"/>
  <c r="F57" i="1"/>
  <c r="F251" i="1"/>
  <c r="F144" i="1"/>
  <c r="F19" i="1"/>
  <c r="F343" i="1"/>
  <c r="F467" i="1"/>
  <c r="F243" i="1"/>
  <c r="F213" i="1"/>
  <c r="F431" i="1"/>
  <c r="F506" i="1"/>
  <c r="F216" i="1"/>
  <c r="F340" i="1"/>
  <c r="F52" i="1"/>
  <c r="F306" i="1"/>
  <c r="F26" i="1"/>
  <c r="F59" i="1"/>
  <c r="F217" i="1"/>
  <c r="F258" i="1"/>
  <c r="F188" i="1"/>
  <c r="F358" i="1"/>
  <c r="F15" i="1"/>
  <c r="F376" i="1"/>
  <c r="F357" i="1"/>
  <c r="F385" i="1"/>
  <c r="F459" i="1"/>
  <c r="F186" i="1"/>
  <c r="F14" i="1"/>
  <c r="F393" i="1"/>
  <c r="F161" i="1"/>
  <c r="F460" i="1"/>
  <c r="F452" i="1"/>
  <c r="F47" i="1"/>
  <c r="F395" i="1"/>
  <c r="F238" i="1"/>
  <c r="F288" i="1"/>
  <c r="F233" i="1"/>
  <c r="F360" i="1"/>
  <c r="F140" i="1"/>
  <c r="F65" i="1"/>
  <c r="F78" i="1"/>
  <c r="F464" i="1"/>
  <c r="F88" i="1"/>
  <c r="F361" i="1"/>
  <c r="F450" i="1"/>
  <c r="F425" i="1"/>
  <c r="F20" i="1"/>
  <c r="F275" i="1"/>
  <c r="F411" i="1"/>
  <c r="F133" i="1"/>
  <c r="F190" i="1"/>
  <c r="F496" i="1"/>
  <c r="F91" i="1"/>
  <c r="F300" i="1"/>
  <c r="F138" i="1"/>
  <c r="F84" i="1"/>
  <c r="F50" i="1"/>
  <c r="F172" i="1"/>
  <c r="F176" i="1"/>
  <c r="F48" i="1"/>
  <c r="F74" i="1"/>
  <c r="F412" i="1"/>
  <c r="F281" i="1"/>
  <c r="F127" i="1"/>
  <c r="F49" i="1"/>
  <c r="F326" i="1"/>
  <c r="F62" i="1"/>
  <c r="F484" i="1"/>
  <c r="F141" i="1"/>
  <c r="F82" i="1"/>
  <c r="F180" i="1"/>
  <c r="F70" i="1"/>
  <c r="F351" i="1"/>
  <c r="F221" i="1"/>
  <c r="F227" i="1"/>
  <c r="F11" i="1"/>
  <c r="F276" i="1"/>
  <c r="F390" i="1"/>
  <c r="F444" i="1"/>
  <c r="F296" i="1"/>
  <c r="F128" i="1"/>
  <c r="F477" i="1"/>
  <c r="F122" i="1"/>
  <c r="F482" i="1"/>
  <c r="F170" i="1"/>
  <c r="F71" i="1"/>
  <c r="F97" i="1"/>
  <c r="F193" i="1"/>
  <c r="F150" i="1"/>
  <c r="F160" i="1"/>
  <c r="F17" i="1"/>
  <c r="F210" i="1"/>
  <c r="F327" i="1"/>
  <c r="F13" i="1"/>
  <c r="F64" i="1"/>
  <c r="F226" i="1"/>
  <c r="F356" i="1"/>
  <c r="F500" i="1"/>
  <c r="F423" i="1"/>
  <c r="F290" i="1"/>
  <c r="F202" i="1"/>
  <c r="F212" i="1"/>
  <c r="F485" i="1"/>
  <c r="F7" i="1"/>
  <c r="F159" i="1"/>
  <c r="F378" i="1"/>
  <c r="F143" i="1"/>
  <c r="F282" i="1"/>
  <c r="F10" i="1"/>
  <c r="F433" i="1"/>
  <c r="F307" i="1"/>
  <c r="F379" i="1"/>
  <c r="F125" i="1"/>
  <c r="F350" i="1"/>
  <c r="F465" i="1"/>
  <c r="F381" i="1"/>
  <c r="F209" i="1"/>
  <c r="F136" i="1"/>
  <c r="F479" i="1"/>
  <c r="F66" i="1"/>
  <c r="F100" i="1"/>
  <c r="F314" i="1"/>
  <c r="L85" i="1"/>
  <c r="M85" i="1"/>
  <c r="O201" i="1"/>
  <c r="P201" i="1"/>
  <c r="P23" i="1"/>
  <c r="O23" i="1"/>
  <c r="M439" i="1"/>
  <c r="L439" i="1"/>
  <c r="L89" i="1"/>
  <c r="M89" i="1"/>
  <c r="M492" i="1"/>
  <c r="L492" i="1"/>
  <c r="O443" i="1"/>
  <c r="P443" i="1"/>
  <c r="L387" i="1"/>
  <c r="M387" i="1"/>
  <c r="P364" i="1"/>
  <c r="O364" i="1"/>
  <c r="P343" i="1"/>
  <c r="O343" i="1"/>
  <c r="L287" i="1"/>
  <c r="M287" i="1"/>
  <c r="M81" i="1"/>
  <c r="L81" i="1"/>
  <c r="M368" i="1"/>
  <c r="L368" i="1"/>
  <c r="L295" i="1"/>
  <c r="M295" i="1"/>
  <c r="P204" i="1"/>
  <c r="O204" i="1"/>
  <c r="P274" i="1"/>
  <c r="O274" i="1"/>
  <c r="M218" i="1"/>
  <c r="L218" i="1"/>
  <c r="L86" i="1"/>
  <c r="M86" i="1"/>
  <c r="M124" i="1"/>
  <c r="L124" i="1"/>
  <c r="P12" i="1"/>
  <c r="O12" i="1"/>
  <c r="L37" i="1"/>
  <c r="M37" i="1"/>
  <c r="L286" i="1"/>
  <c r="M286" i="1"/>
  <c r="L343" i="1"/>
  <c r="M343" i="1"/>
  <c r="M64" i="1"/>
  <c r="L64" i="1"/>
  <c r="O424" i="1"/>
  <c r="P424" i="1"/>
  <c r="M290" i="1"/>
  <c r="L290" i="1"/>
  <c r="M340" i="1"/>
  <c r="L340" i="1"/>
  <c r="M482" i="1"/>
  <c r="L482" i="1"/>
  <c r="L473" i="1"/>
  <c r="M473" i="1"/>
  <c r="P376" i="1"/>
  <c r="O376" i="1"/>
  <c r="O335" i="1"/>
  <c r="P335" i="1"/>
  <c r="P374" i="1"/>
  <c r="O374" i="1"/>
  <c r="O421" i="1"/>
  <c r="P421" i="1"/>
  <c r="O269" i="1"/>
  <c r="P269" i="1"/>
  <c r="P43" i="1"/>
  <c r="O43" i="1"/>
  <c r="O19" i="1"/>
  <c r="P19" i="1"/>
  <c r="P189" i="1"/>
  <c r="O189" i="1"/>
  <c r="L270" i="1"/>
  <c r="M270" i="1"/>
  <c r="P406" i="1"/>
  <c r="O406" i="1"/>
  <c r="M220" i="1"/>
  <c r="L220" i="1"/>
  <c r="L50" i="1"/>
  <c r="M50" i="1"/>
  <c r="O414" i="1"/>
  <c r="P414" i="1"/>
  <c r="L120" i="1"/>
  <c r="M120" i="1"/>
  <c r="P481" i="1"/>
  <c r="O481" i="1"/>
  <c r="P278" i="1"/>
  <c r="O278" i="1"/>
  <c r="O42" i="1"/>
  <c r="P42" i="1"/>
  <c r="O391" i="1"/>
  <c r="P391" i="1"/>
  <c r="P47" i="1"/>
  <c r="O47" i="1"/>
  <c r="O469" i="1"/>
  <c r="P469" i="1"/>
  <c r="P346" i="1"/>
  <c r="O346" i="1"/>
  <c r="L169" i="1"/>
  <c r="M169" i="1"/>
  <c r="L164" i="1"/>
  <c r="M164" i="1"/>
  <c r="L328" i="1"/>
  <c r="M328" i="1"/>
  <c r="M281" i="1"/>
  <c r="L281" i="1"/>
  <c r="P491" i="1"/>
  <c r="O491" i="1"/>
  <c r="P373" i="1"/>
  <c r="O373" i="1"/>
  <c r="O497" i="1"/>
  <c r="P497" i="1"/>
  <c r="O431" i="1"/>
  <c r="P431" i="1"/>
  <c r="M299" i="1"/>
  <c r="L299" i="1"/>
  <c r="L203" i="1"/>
  <c r="M203" i="1"/>
  <c r="L419" i="1"/>
  <c r="M419" i="1"/>
  <c r="M497" i="1"/>
  <c r="L497" i="1"/>
  <c r="L263" i="1"/>
  <c r="M263" i="1"/>
  <c r="O158" i="1"/>
  <c r="P158" i="1"/>
  <c r="L494" i="1"/>
  <c r="M494" i="1"/>
  <c r="O271" i="1"/>
  <c r="P271" i="1"/>
  <c r="O97" i="1"/>
  <c r="P97" i="1"/>
  <c r="P449" i="1"/>
  <c r="O449" i="1"/>
  <c r="L105" i="1"/>
  <c r="M105" i="1"/>
  <c r="L40" i="1"/>
  <c r="M40" i="1"/>
  <c r="M349" i="1"/>
  <c r="L349" i="1"/>
  <c r="O387" i="1"/>
  <c r="P387" i="1"/>
  <c r="P316" i="1"/>
  <c r="O316" i="1"/>
  <c r="M503" i="1"/>
  <c r="L503" i="1"/>
  <c r="L28" i="1"/>
  <c r="M28" i="1"/>
  <c r="L355" i="1"/>
  <c r="M355" i="1"/>
  <c r="M280" i="1"/>
  <c r="L280" i="1"/>
  <c r="P306" i="1"/>
  <c r="O306" i="1"/>
  <c r="O65" i="1"/>
  <c r="P65" i="1"/>
  <c r="P368" i="1"/>
  <c r="O368" i="1"/>
  <c r="O92" i="1"/>
  <c r="P92" i="1"/>
  <c r="O261" i="1"/>
  <c r="P261" i="1"/>
  <c r="P262" i="1"/>
  <c r="O262" i="1"/>
  <c r="P93" i="1"/>
  <c r="O93" i="1"/>
  <c r="P365" i="1"/>
  <c r="O365" i="1"/>
  <c r="P470" i="1"/>
  <c r="O470" i="1"/>
  <c r="O137" i="1"/>
  <c r="P137" i="1"/>
  <c r="O256" i="1"/>
  <c r="P256" i="1"/>
  <c r="P440" i="1"/>
  <c r="O440" i="1"/>
  <c r="P230" i="1"/>
  <c r="O230" i="1"/>
  <c r="P26" i="1"/>
  <c r="O26" i="1"/>
  <c r="O33" i="1"/>
  <c r="P33" i="1"/>
  <c r="O326" i="1"/>
  <c r="P326" i="1"/>
  <c r="O16" i="1"/>
  <c r="P16" i="1"/>
  <c r="O401" i="1"/>
  <c r="P401" i="1"/>
  <c r="O45" i="1"/>
  <c r="P45" i="1"/>
  <c r="P220" i="1"/>
  <c r="O220" i="1"/>
  <c r="O503" i="1"/>
  <c r="P503" i="1"/>
  <c r="P370" i="1"/>
  <c r="O370" i="1"/>
  <c r="P480" i="1"/>
  <c r="O480" i="1"/>
  <c r="O354" i="1"/>
  <c r="P354" i="1"/>
  <c r="O143" i="1"/>
  <c r="P143" i="1"/>
  <c r="O299" i="1"/>
  <c r="P299" i="1"/>
  <c r="P145" i="1"/>
  <c r="O145" i="1"/>
  <c r="P324" i="1"/>
  <c r="O324" i="1"/>
  <c r="P427" i="1"/>
  <c r="O427" i="1"/>
  <c r="M228" i="1"/>
  <c r="L228" i="1"/>
  <c r="L292" i="1"/>
  <c r="M292" i="1"/>
  <c r="L338" i="1"/>
  <c r="M338" i="1"/>
  <c r="M500" i="1"/>
  <c r="L500" i="1"/>
  <c r="L457" i="1"/>
  <c r="M457" i="1"/>
  <c r="L90" i="1"/>
  <c r="M90" i="1"/>
  <c r="M163" i="1"/>
  <c r="L163" i="1"/>
  <c r="O419" i="1"/>
  <c r="P419" i="1"/>
  <c r="M369" i="1"/>
  <c r="L369" i="1"/>
  <c r="P199" i="1"/>
  <c r="O199" i="1"/>
  <c r="L236" i="1"/>
  <c r="M236" i="1"/>
  <c r="L490" i="1"/>
  <c r="M490" i="1"/>
  <c r="L253" i="1"/>
  <c r="M253" i="1"/>
  <c r="P283" i="1"/>
  <c r="O283" i="1"/>
  <c r="M427" i="1"/>
  <c r="L427" i="1"/>
  <c r="M461" i="1"/>
  <c r="L461" i="1"/>
  <c r="M431" i="1"/>
  <c r="L431" i="1"/>
  <c r="M344" i="1"/>
  <c r="L344" i="1"/>
  <c r="P116" i="1"/>
  <c r="O116" i="1"/>
  <c r="L159" i="1"/>
  <c r="M159" i="1"/>
  <c r="P483" i="1"/>
  <c r="O483" i="1"/>
  <c r="M278" i="1"/>
  <c r="L278" i="1"/>
  <c r="O146" i="1"/>
  <c r="P146" i="1"/>
  <c r="O50" i="1"/>
  <c r="P50" i="1"/>
  <c r="P20" i="1"/>
  <c r="O20" i="1"/>
  <c r="P344" i="1"/>
  <c r="O344" i="1"/>
  <c r="O194" i="1"/>
  <c r="P194" i="1"/>
  <c r="O442" i="1"/>
  <c r="P442" i="1"/>
  <c r="M93" i="1"/>
  <c r="L93" i="1"/>
  <c r="M95" i="1"/>
  <c r="L95" i="1"/>
  <c r="M417" i="1"/>
  <c r="L417" i="1"/>
  <c r="L103" i="1"/>
  <c r="M103" i="1"/>
  <c r="P338" i="1"/>
  <c r="O338" i="1"/>
  <c r="L265" i="1"/>
  <c r="M265" i="1"/>
  <c r="L87" i="1"/>
  <c r="M87" i="1"/>
  <c r="L416" i="1"/>
  <c r="M416" i="1"/>
  <c r="O140" i="1"/>
  <c r="P140" i="1"/>
  <c r="P144" i="1"/>
  <c r="O144" i="1"/>
  <c r="P349" i="1"/>
  <c r="O349" i="1"/>
  <c r="O118" i="1"/>
  <c r="P118" i="1"/>
  <c r="P28" i="1"/>
  <c r="O28" i="1"/>
  <c r="O115" i="1"/>
  <c r="P115" i="1"/>
  <c r="O222" i="1"/>
  <c r="P222" i="1"/>
  <c r="O482" i="1"/>
  <c r="P482" i="1"/>
  <c r="P152" i="1"/>
  <c r="O152" i="1"/>
  <c r="P104" i="1"/>
  <c r="O104" i="1"/>
  <c r="O78" i="1"/>
  <c r="P78" i="1"/>
  <c r="O475" i="1"/>
  <c r="P475" i="1"/>
  <c r="O268" i="1"/>
  <c r="P268" i="1"/>
  <c r="P415" i="1"/>
  <c r="O415" i="1"/>
  <c r="P356" i="1"/>
  <c r="O356" i="1"/>
  <c r="O217" i="1"/>
  <c r="P217" i="1"/>
  <c r="O186" i="1"/>
  <c r="P186" i="1"/>
  <c r="P328" i="1"/>
  <c r="O328" i="1"/>
  <c r="O384" i="1"/>
  <c r="P384" i="1"/>
  <c r="P486" i="1"/>
  <c r="O486" i="1"/>
  <c r="P282" i="1"/>
  <c r="O282" i="1"/>
  <c r="P150" i="1"/>
  <c r="O150" i="1"/>
  <c r="O71" i="1"/>
  <c r="P71" i="1"/>
  <c r="P139" i="1"/>
  <c r="O139" i="1"/>
  <c r="O272" i="1"/>
  <c r="P272" i="1"/>
  <c r="L240" i="1"/>
  <c r="M240" i="1"/>
  <c r="O426" i="1"/>
  <c r="P426" i="1"/>
  <c r="L432" i="1"/>
  <c r="M432" i="1"/>
  <c r="M370" i="1"/>
  <c r="L370" i="1"/>
  <c r="O155" i="1"/>
  <c r="P155" i="1"/>
  <c r="M480" i="1"/>
  <c r="L480" i="1"/>
  <c r="P313" i="1"/>
  <c r="O313" i="1"/>
  <c r="O25" i="1"/>
  <c r="P25" i="1"/>
  <c r="M178" i="1"/>
  <c r="L178" i="1"/>
  <c r="M112" i="1"/>
  <c r="L112" i="1"/>
  <c r="M298" i="1"/>
  <c r="L298" i="1"/>
  <c r="L395" i="1"/>
  <c r="M395" i="1"/>
  <c r="L249" i="1"/>
  <c r="M249" i="1"/>
  <c r="L365" i="1"/>
  <c r="M365" i="1"/>
  <c r="O447" i="1"/>
  <c r="P447" i="1"/>
  <c r="M33" i="1"/>
  <c r="L33" i="1"/>
  <c r="L60" i="1"/>
  <c r="M60" i="1"/>
  <c r="M91" i="1"/>
  <c r="L91" i="1"/>
  <c r="M322" i="1"/>
  <c r="L322" i="1"/>
  <c r="L508" i="1"/>
  <c r="M508" i="1"/>
  <c r="M367" i="1"/>
  <c r="L367" i="1"/>
  <c r="P156" i="1"/>
  <c r="O156" i="1"/>
  <c r="M225" i="1"/>
  <c r="L225" i="1"/>
  <c r="M32" i="1"/>
  <c r="L32" i="1"/>
  <c r="O487" i="1"/>
  <c r="P487" i="1"/>
  <c r="L26" i="1"/>
  <c r="M26" i="1"/>
  <c r="O161" i="1"/>
  <c r="P161" i="1"/>
  <c r="O46" i="1"/>
  <c r="P46" i="1"/>
  <c r="L420" i="1"/>
  <c r="M420" i="1"/>
  <c r="P403" i="1"/>
  <c r="O403" i="1"/>
  <c r="M293" i="1"/>
  <c r="L293" i="1"/>
  <c r="M239" i="1"/>
  <c r="L239" i="1"/>
  <c r="M230" i="1"/>
  <c r="L230" i="1"/>
  <c r="M348" i="1"/>
  <c r="L348" i="1"/>
  <c r="O504" i="1"/>
  <c r="P504" i="1"/>
  <c r="M375" i="1"/>
  <c r="L375" i="1"/>
  <c r="L44" i="1"/>
  <c r="M44" i="1"/>
  <c r="M126" i="1"/>
  <c r="L126" i="1"/>
  <c r="L346" i="1"/>
  <c r="M346" i="1"/>
  <c r="O301" i="1"/>
  <c r="P301" i="1"/>
  <c r="L252" i="1"/>
  <c r="M252" i="1"/>
  <c r="M288" i="1"/>
  <c r="L288" i="1"/>
  <c r="P159" i="1"/>
  <c r="O159" i="1"/>
  <c r="M373" i="1"/>
  <c r="L373" i="1"/>
  <c r="O215" i="1"/>
  <c r="P215" i="1"/>
  <c r="M283" i="1"/>
  <c r="L283" i="1"/>
  <c r="L456" i="1"/>
  <c r="M456" i="1"/>
  <c r="L345" i="1"/>
  <c r="M345" i="1"/>
  <c r="O4" i="1"/>
  <c r="P4" i="1"/>
  <c r="L38" i="1"/>
  <c r="M38" i="1"/>
  <c r="O170" i="1"/>
  <c r="P170" i="1"/>
  <c r="P260" i="1"/>
  <c r="O260" i="1"/>
  <c r="P58" i="1"/>
  <c r="O58" i="1"/>
  <c r="O358" i="1"/>
  <c r="P358" i="1"/>
  <c r="M394" i="1"/>
  <c r="L394" i="1"/>
  <c r="L488" i="1"/>
  <c r="M488" i="1"/>
  <c r="O409" i="1"/>
  <c r="P409" i="1"/>
  <c r="O250" i="1"/>
  <c r="P250" i="1"/>
  <c r="O39" i="1"/>
  <c r="P39" i="1"/>
  <c r="M185" i="1"/>
  <c r="L185" i="1"/>
  <c r="L314" i="1"/>
  <c r="M314" i="1"/>
  <c r="M447" i="1"/>
  <c r="L447" i="1"/>
  <c r="O467" i="1"/>
  <c r="P467" i="1"/>
  <c r="L242" i="1"/>
  <c r="M242" i="1"/>
  <c r="L487" i="1"/>
  <c r="M487" i="1"/>
  <c r="O174" i="1"/>
  <c r="P174" i="1"/>
  <c r="O309" i="1"/>
  <c r="P309" i="1"/>
  <c r="P8" i="1"/>
  <c r="O8" i="1"/>
  <c r="O124" i="1"/>
  <c r="P124" i="1"/>
  <c r="O237" i="1"/>
  <c r="P237" i="1"/>
  <c r="O441" i="1"/>
  <c r="P441" i="1"/>
  <c r="O319" i="1"/>
  <c r="P319" i="1"/>
  <c r="P106" i="1"/>
  <c r="O106" i="1"/>
  <c r="L206" i="1"/>
  <c r="M206" i="1"/>
  <c r="M397" i="1"/>
  <c r="L397" i="1"/>
  <c r="M222" i="1"/>
  <c r="L222" i="1"/>
  <c r="L403" i="1"/>
  <c r="M403" i="1"/>
  <c r="P341" i="1"/>
  <c r="O341" i="1"/>
  <c r="P398" i="1"/>
  <c r="O398" i="1"/>
  <c r="M57" i="1"/>
  <c r="L57" i="1"/>
  <c r="M481" i="1"/>
  <c r="L481" i="1"/>
  <c r="O453" i="1"/>
  <c r="P453" i="1"/>
  <c r="L122" i="1"/>
  <c r="M122" i="1"/>
  <c r="L374" i="1"/>
  <c r="M374" i="1"/>
  <c r="O253" i="1"/>
  <c r="P253" i="1"/>
  <c r="P89" i="1"/>
  <c r="O89" i="1"/>
  <c r="P276" i="1"/>
  <c r="O276" i="1"/>
  <c r="L68" i="1"/>
  <c r="M68" i="1"/>
  <c r="L180" i="1"/>
  <c r="M180" i="1"/>
  <c r="M78" i="1"/>
  <c r="L78" i="1"/>
  <c r="M48" i="1"/>
  <c r="L48" i="1"/>
  <c r="M94" i="1"/>
  <c r="L94" i="1"/>
  <c r="O128" i="1"/>
  <c r="P128" i="1"/>
  <c r="M408" i="1"/>
  <c r="L408" i="1"/>
  <c r="O206" i="1"/>
  <c r="P206" i="1"/>
  <c r="P236" i="1"/>
  <c r="O236" i="1"/>
  <c r="O275" i="1"/>
  <c r="P275" i="1"/>
  <c r="P407" i="1"/>
  <c r="O407" i="1"/>
  <c r="P369" i="1"/>
  <c r="O369" i="1"/>
  <c r="P234" i="1"/>
  <c r="O234" i="1"/>
  <c r="P428" i="1"/>
  <c r="O428" i="1"/>
  <c r="O258" i="1"/>
  <c r="P258" i="1"/>
  <c r="O103" i="1"/>
  <c r="P103" i="1"/>
  <c r="P410" i="1"/>
  <c r="O410" i="1"/>
  <c r="P169" i="1"/>
  <c r="O169" i="1"/>
  <c r="P267" i="1"/>
  <c r="O267" i="1"/>
  <c r="O489" i="1"/>
  <c r="P489" i="1"/>
  <c r="O6" i="1"/>
  <c r="P6" i="1"/>
  <c r="P74" i="1"/>
  <c r="O74" i="1"/>
  <c r="P347" i="1"/>
  <c r="O347" i="1"/>
  <c r="O311" i="1"/>
  <c r="P311" i="1"/>
  <c r="P165" i="1"/>
  <c r="O165" i="1"/>
  <c r="O437" i="1"/>
  <c r="P437" i="1"/>
  <c r="P51" i="1"/>
  <c r="O51" i="1"/>
  <c r="P56" i="1"/>
  <c r="O56" i="1"/>
  <c r="P510" i="1"/>
  <c r="O510" i="1"/>
  <c r="O291" i="1"/>
  <c r="P291" i="1"/>
  <c r="O34" i="1"/>
  <c r="P34" i="1"/>
  <c r="M429" i="1"/>
  <c r="L429" i="1"/>
  <c r="P400" i="1"/>
  <c r="O400" i="1"/>
  <c r="L254" i="1"/>
  <c r="M254" i="1"/>
  <c r="M247" i="1"/>
  <c r="L247" i="1"/>
  <c r="L140" i="1"/>
  <c r="M140" i="1"/>
  <c r="L341" i="1"/>
  <c r="M341" i="1"/>
  <c r="P62" i="1"/>
  <c r="O62" i="1"/>
  <c r="M352" i="1"/>
  <c r="L352" i="1"/>
  <c r="M66" i="1"/>
  <c r="L66" i="1"/>
  <c r="L418" i="1"/>
  <c r="M418" i="1"/>
  <c r="O154" i="1"/>
  <c r="P154" i="1"/>
  <c r="M455" i="1"/>
  <c r="L455" i="1"/>
  <c r="M315" i="1"/>
  <c r="L315" i="1"/>
  <c r="L423" i="1"/>
  <c r="M423" i="1"/>
  <c r="L63" i="1"/>
  <c r="M63" i="1"/>
  <c r="L443" i="1"/>
  <c r="M443" i="1"/>
  <c r="M251" i="1"/>
  <c r="L251" i="1"/>
  <c r="M212" i="1"/>
  <c r="L212" i="1"/>
  <c r="M170" i="1"/>
  <c r="L170" i="1"/>
  <c r="L410" i="1"/>
  <c r="M410" i="1"/>
  <c r="M449" i="1"/>
  <c r="L449" i="1"/>
  <c r="L259" i="1"/>
  <c r="M259" i="1"/>
  <c r="M384" i="1"/>
  <c r="L384" i="1"/>
  <c r="P455" i="1"/>
  <c r="O455" i="1"/>
  <c r="O404" i="1"/>
  <c r="P404" i="1"/>
  <c r="P498" i="1"/>
  <c r="O498" i="1"/>
  <c r="O94" i="1"/>
  <c r="P94" i="1"/>
  <c r="M267" i="1"/>
  <c r="L267" i="1"/>
  <c r="O244" i="1"/>
  <c r="P244" i="1"/>
  <c r="O472" i="1"/>
  <c r="P472" i="1"/>
  <c r="P478" i="1"/>
  <c r="O478" i="1"/>
  <c r="M59" i="1"/>
  <c r="L59" i="1"/>
  <c r="L272" i="1"/>
  <c r="M272" i="1"/>
  <c r="O402" i="1"/>
  <c r="P402" i="1"/>
  <c r="L167" i="1"/>
  <c r="M167" i="1"/>
  <c r="M207" i="1"/>
  <c r="L207" i="1"/>
  <c r="P294" i="1"/>
  <c r="O294" i="1"/>
  <c r="L312" i="1"/>
  <c r="M312" i="1"/>
  <c r="L424" i="1"/>
  <c r="M424" i="1"/>
  <c r="O70" i="1"/>
  <c r="P70" i="1"/>
  <c r="L248" i="1"/>
  <c r="M248" i="1"/>
  <c r="P418" i="1"/>
  <c r="O418" i="1"/>
  <c r="O496" i="1"/>
  <c r="P496" i="1"/>
  <c r="P377" i="1"/>
  <c r="O377" i="1"/>
  <c r="O243" i="1"/>
  <c r="P243" i="1"/>
  <c r="M291" i="1"/>
  <c r="L291" i="1"/>
  <c r="L128" i="1"/>
  <c r="M128" i="1"/>
  <c r="P239" i="1"/>
  <c r="O239" i="1"/>
  <c r="P385" i="1"/>
  <c r="O385" i="1"/>
  <c r="M100" i="1"/>
  <c r="L100" i="1"/>
  <c r="M362" i="1"/>
  <c r="L362" i="1"/>
  <c r="M202" i="1"/>
  <c r="L202" i="1"/>
  <c r="O304" i="1"/>
  <c r="P304" i="1"/>
  <c r="M147" i="1"/>
  <c r="L147" i="1"/>
  <c r="M223" i="1"/>
  <c r="L223" i="1"/>
  <c r="L46" i="1"/>
  <c r="M46" i="1"/>
  <c r="M111" i="1"/>
  <c r="L111" i="1"/>
  <c r="L141" i="1"/>
  <c r="M141" i="1"/>
  <c r="L143" i="1"/>
  <c r="M143" i="1"/>
  <c r="L496" i="1"/>
  <c r="M496" i="1"/>
  <c r="L136" i="1"/>
  <c r="M136" i="1"/>
  <c r="L97" i="1"/>
  <c r="M97" i="1"/>
  <c r="M173" i="1"/>
  <c r="L173" i="1"/>
  <c r="L371" i="1"/>
  <c r="M371" i="1"/>
  <c r="M52" i="1"/>
  <c r="L52" i="1"/>
  <c r="O392" i="1"/>
  <c r="P392" i="1"/>
  <c r="L441" i="1"/>
  <c r="M441" i="1"/>
  <c r="M132" i="1"/>
  <c r="L132" i="1"/>
  <c r="L435" i="1"/>
  <c r="M435" i="1"/>
  <c r="P113" i="1"/>
  <c r="O113" i="1"/>
  <c r="L325" i="1"/>
  <c r="M325" i="1"/>
  <c r="P465" i="1"/>
  <c r="O465" i="1"/>
  <c r="O355" i="1"/>
  <c r="P355" i="1"/>
  <c r="O454" i="1"/>
  <c r="P454" i="1"/>
  <c r="L232" i="1"/>
  <c r="M232" i="1"/>
  <c r="O31" i="1"/>
  <c r="P31" i="1"/>
  <c r="M24" i="1"/>
  <c r="L24" i="1"/>
  <c r="L493" i="1"/>
  <c r="M493" i="1"/>
  <c r="L450" i="1"/>
  <c r="M450" i="1"/>
  <c r="P3" i="1"/>
  <c r="O3" i="1"/>
  <c r="O446" i="1"/>
  <c r="P446" i="1"/>
  <c r="M440" i="1"/>
  <c r="L440" i="1"/>
  <c r="M273" i="1"/>
  <c r="L273" i="1"/>
  <c r="M405" i="1"/>
  <c r="L405" i="1"/>
  <c r="L98" i="1"/>
  <c r="M98" i="1"/>
  <c r="M342" i="1"/>
  <c r="L342" i="1"/>
  <c r="L357" i="1"/>
  <c r="M357" i="1"/>
  <c r="L430" i="1"/>
  <c r="M430" i="1"/>
  <c r="L381" i="1"/>
  <c r="M381" i="1"/>
  <c r="M331" i="1"/>
  <c r="L331" i="1"/>
  <c r="L92" i="1"/>
  <c r="M92" i="1"/>
  <c r="M386" i="1"/>
  <c r="L386" i="1"/>
  <c r="O394" i="1"/>
  <c r="P394" i="1"/>
  <c r="L123" i="1"/>
  <c r="M123" i="1"/>
  <c r="L35" i="1"/>
  <c r="M35" i="1"/>
  <c r="M336" i="1"/>
  <c r="L336" i="1"/>
  <c r="L271" i="1"/>
  <c r="M271" i="1"/>
  <c r="M84" i="1"/>
  <c r="L84" i="1"/>
  <c r="M330" i="1"/>
  <c r="L330" i="1"/>
  <c r="O228" i="1"/>
  <c r="P228" i="1"/>
  <c r="P381" i="1"/>
  <c r="O381" i="1"/>
  <c r="L201" i="1"/>
  <c r="M201" i="1"/>
  <c r="L305" i="1"/>
  <c r="M305" i="1"/>
  <c r="L506" i="1"/>
  <c r="M506" i="1"/>
  <c r="M229" i="1"/>
  <c r="L229" i="1"/>
  <c r="L166" i="1"/>
  <c r="M166" i="1"/>
  <c r="M385" i="1"/>
  <c r="L385" i="1"/>
  <c r="O197" i="1"/>
  <c r="P197" i="1"/>
  <c r="P484" i="1"/>
  <c r="O484" i="1"/>
  <c r="M88" i="1"/>
  <c r="L88" i="1"/>
  <c r="O248" i="1"/>
  <c r="P248" i="1"/>
  <c r="P235" i="1"/>
  <c r="O235" i="1"/>
  <c r="O514" i="1"/>
  <c r="P514" i="1"/>
  <c r="O254" i="1"/>
  <c r="P254" i="1"/>
  <c r="M426" i="1"/>
  <c r="L426" i="1"/>
  <c r="L468" i="1"/>
  <c r="M468" i="1"/>
  <c r="L41" i="1"/>
  <c r="M41" i="1"/>
  <c r="L466" i="1"/>
  <c r="M466" i="1"/>
  <c r="P252" i="1"/>
  <c r="O252" i="1"/>
  <c r="P193" i="1"/>
  <c r="O193" i="1"/>
  <c r="L183" i="1"/>
  <c r="M183" i="1"/>
  <c r="M25" i="1"/>
  <c r="L25" i="1"/>
  <c r="O24" i="1"/>
  <c r="P24" i="1"/>
  <c r="M54" i="1"/>
  <c r="L54" i="1"/>
  <c r="M479" i="1"/>
  <c r="L479" i="1"/>
  <c r="O280" i="1"/>
  <c r="P280" i="1"/>
  <c r="L246" i="1"/>
  <c r="M246" i="1"/>
  <c r="P136" i="1"/>
  <c r="O136" i="1"/>
  <c r="P148" i="1"/>
  <c r="O148" i="1"/>
  <c r="O257" i="1"/>
  <c r="P257" i="1"/>
  <c r="P490" i="1"/>
  <c r="O490" i="1"/>
  <c r="P86" i="1"/>
  <c r="O86" i="1"/>
  <c r="M359" i="1"/>
  <c r="L359" i="1"/>
  <c r="L146" i="1"/>
  <c r="M146" i="1"/>
  <c r="M495" i="1"/>
  <c r="L495" i="1"/>
  <c r="P147" i="1"/>
  <c r="O147" i="1"/>
  <c r="O430" i="1"/>
  <c r="P430" i="1"/>
  <c r="M511" i="1"/>
  <c r="L511" i="1"/>
  <c r="O423" i="1"/>
  <c r="P423" i="1"/>
  <c r="P30" i="1"/>
  <c r="O30" i="1"/>
  <c r="P241" i="1"/>
  <c r="O241" i="1"/>
  <c r="O190" i="1"/>
  <c r="P190" i="1"/>
  <c r="M306" i="1"/>
  <c r="L306" i="1"/>
  <c r="L402" i="1"/>
  <c r="M402" i="1"/>
  <c r="M125" i="1"/>
  <c r="L125" i="1"/>
  <c r="M177" i="1"/>
  <c r="L177" i="1"/>
  <c r="P249" i="1"/>
  <c r="O249" i="1"/>
  <c r="P85" i="1"/>
  <c r="O85" i="1"/>
  <c r="O41" i="1"/>
  <c r="P41" i="1"/>
  <c r="P295" i="1"/>
  <c r="O295" i="1"/>
  <c r="P494" i="1"/>
  <c r="O494" i="1"/>
  <c r="P64" i="1"/>
  <c r="O64" i="1"/>
  <c r="P110" i="1"/>
  <c r="O110" i="1"/>
  <c r="P27" i="1"/>
  <c r="O27" i="1"/>
  <c r="P38" i="1"/>
  <c r="O38" i="1"/>
  <c r="O160" i="1"/>
  <c r="P160" i="1"/>
  <c r="O264" i="1"/>
  <c r="P264" i="1"/>
  <c r="P134" i="1"/>
  <c r="O134" i="1"/>
  <c r="P202" i="1"/>
  <c r="O202" i="1"/>
  <c r="O502" i="1"/>
  <c r="P502" i="1"/>
  <c r="O485" i="1"/>
  <c r="P485" i="1"/>
  <c r="P468" i="1"/>
  <c r="O468" i="1"/>
  <c r="O367" i="1"/>
  <c r="P367" i="1"/>
  <c r="P229" i="1"/>
  <c r="O229" i="1"/>
  <c r="O88" i="1"/>
  <c r="P88" i="1"/>
  <c r="P203" i="1"/>
  <c r="O203" i="1"/>
  <c r="O162" i="1"/>
  <c r="P162" i="1"/>
  <c r="P462" i="1"/>
  <c r="O462" i="1"/>
  <c r="M150" i="1"/>
  <c r="L150" i="1"/>
  <c r="O488" i="1"/>
  <c r="P488" i="1"/>
  <c r="O303" i="1"/>
  <c r="P303" i="1"/>
  <c r="O5" i="1"/>
  <c r="P5" i="1"/>
  <c r="O77" i="1"/>
  <c r="P77" i="1"/>
  <c r="O353" i="1"/>
  <c r="P353" i="1"/>
  <c r="P456" i="1"/>
  <c r="O456" i="1"/>
  <c r="P121" i="1"/>
  <c r="O121" i="1"/>
  <c r="O59" i="1"/>
  <c r="P59" i="1"/>
  <c r="O342" i="1"/>
  <c r="P342" i="1"/>
  <c r="O329" i="1"/>
  <c r="P329" i="1"/>
  <c r="P192" i="1"/>
  <c r="O192" i="1"/>
  <c r="P231" i="1"/>
  <c r="O231" i="1"/>
  <c r="M257" i="1"/>
  <c r="L257" i="1"/>
  <c r="M377" i="1"/>
  <c r="L377" i="1"/>
  <c r="L472" i="1"/>
  <c r="M472" i="1"/>
  <c r="O477" i="1"/>
  <c r="P477" i="1"/>
  <c r="L130" i="1"/>
  <c r="M130" i="1"/>
  <c r="L83" i="1"/>
  <c r="M83" i="1"/>
  <c r="L27" i="1"/>
  <c r="M27" i="1"/>
  <c r="M279" i="1"/>
  <c r="L279" i="1"/>
  <c r="P383" i="1"/>
  <c r="O383" i="1"/>
  <c r="M319" i="1"/>
  <c r="L319" i="1"/>
  <c r="L446" i="1"/>
  <c r="M446" i="1"/>
  <c r="L151" i="1"/>
  <c r="M151" i="1"/>
  <c r="P83" i="1"/>
  <c r="O83" i="1"/>
  <c r="O11" i="1"/>
  <c r="P11" i="1"/>
  <c r="L189" i="1"/>
  <c r="M189" i="1"/>
  <c r="M469" i="1"/>
  <c r="L469" i="1"/>
  <c r="L327" i="1"/>
  <c r="M327" i="1"/>
  <c r="O511" i="1"/>
  <c r="P511" i="1"/>
  <c r="M70" i="1"/>
  <c r="L70" i="1"/>
  <c r="P285" i="1"/>
  <c r="O285" i="1"/>
  <c r="L321" i="1"/>
  <c r="M321" i="1"/>
  <c r="M200" i="1"/>
  <c r="L200" i="1"/>
  <c r="M398" i="1"/>
  <c r="L398" i="1"/>
  <c r="L414" i="1"/>
  <c r="M414" i="1"/>
  <c r="L226" i="1"/>
  <c r="M226" i="1"/>
  <c r="P191" i="1"/>
  <c r="O191" i="1"/>
  <c r="L196" i="1"/>
  <c r="M196" i="1"/>
  <c r="L96" i="1"/>
  <c r="M96" i="1"/>
  <c r="M509" i="1"/>
  <c r="L509" i="1"/>
  <c r="M43" i="1"/>
  <c r="L43" i="1"/>
  <c r="M79" i="1"/>
  <c r="L79" i="1"/>
  <c r="L119" i="1"/>
  <c r="M119" i="1"/>
  <c r="P432" i="1"/>
  <c r="O432" i="1"/>
  <c r="L235" i="1"/>
  <c r="M235" i="1"/>
  <c r="P57" i="1"/>
  <c r="O57" i="1"/>
  <c r="L157" i="1"/>
  <c r="M157" i="1"/>
  <c r="L108" i="1"/>
  <c r="M108" i="1"/>
  <c r="M389" i="1"/>
  <c r="L389" i="1"/>
  <c r="M256" i="1"/>
  <c r="L256" i="1"/>
  <c r="M470" i="1"/>
  <c r="L470" i="1"/>
  <c r="P321" i="1"/>
  <c r="O321" i="1"/>
  <c r="O277" i="1"/>
  <c r="P277" i="1"/>
  <c r="O232" i="1"/>
  <c r="P232" i="1"/>
  <c r="P48" i="1"/>
  <c r="O48" i="1"/>
  <c r="P479" i="1"/>
  <c r="O479" i="1"/>
  <c r="M118" i="1"/>
  <c r="L118" i="1"/>
  <c r="L316" i="1"/>
  <c r="M316" i="1"/>
  <c r="M171" i="1"/>
  <c r="L171" i="1"/>
  <c r="L139" i="1"/>
  <c r="M139" i="1"/>
  <c r="M303" i="1"/>
  <c r="L303" i="1"/>
  <c r="P177" i="1"/>
  <c r="O177" i="1"/>
  <c r="M391" i="1"/>
  <c r="L391" i="1"/>
  <c r="L448" i="1"/>
  <c r="M448" i="1"/>
  <c r="M31" i="1"/>
  <c r="L31" i="1"/>
  <c r="L289" i="1"/>
  <c r="M289" i="1"/>
  <c r="M437" i="1"/>
  <c r="L437" i="1"/>
  <c r="O413" i="1"/>
  <c r="P413" i="1"/>
  <c r="P210" i="1"/>
  <c r="O210" i="1"/>
  <c r="L135" i="1"/>
  <c r="M135" i="1"/>
  <c r="O388" i="1"/>
  <c r="P388" i="1"/>
  <c r="O348" i="1"/>
  <c r="P348" i="1"/>
  <c r="O149" i="1"/>
  <c r="P149" i="1"/>
  <c r="O463" i="1"/>
  <c r="P463" i="1"/>
  <c r="L372" i="1"/>
  <c r="M372" i="1"/>
  <c r="L462" i="1"/>
  <c r="M462" i="1"/>
  <c r="M205" i="1"/>
  <c r="L205" i="1"/>
  <c r="P434" i="1"/>
  <c r="O434" i="1"/>
  <c r="L184" i="1"/>
  <c r="M184" i="1"/>
  <c r="L23" i="1"/>
  <c r="M23" i="1"/>
  <c r="O273" i="1"/>
  <c r="P273" i="1"/>
  <c r="O451" i="1"/>
  <c r="P451" i="1"/>
  <c r="O464" i="1"/>
  <c r="P464" i="1"/>
  <c r="P436" i="1"/>
  <c r="O436" i="1"/>
  <c r="O187" i="1"/>
  <c r="P187" i="1"/>
  <c r="M199" i="1"/>
  <c r="L199" i="1"/>
  <c r="L452" i="1"/>
  <c r="M452" i="1"/>
  <c r="L276" i="1"/>
  <c r="M276" i="1"/>
  <c r="L161" i="1"/>
  <c r="M161" i="1"/>
  <c r="P251" i="1"/>
  <c r="O251" i="1"/>
  <c r="P18" i="1"/>
  <c r="O18" i="1"/>
  <c r="O425" i="1"/>
  <c r="P425" i="1"/>
  <c r="P445" i="1"/>
  <c r="O445" i="1"/>
  <c r="P173" i="1"/>
  <c r="O173" i="1"/>
  <c r="L502" i="1"/>
  <c r="M502" i="1"/>
  <c r="L244" i="1"/>
  <c r="M244" i="1"/>
  <c r="M382" i="1"/>
  <c r="L382" i="1"/>
  <c r="M188" i="1"/>
  <c r="L188" i="1"/>
  <c r="M458" i="1"/>
  <c r="L458" i="1"/>
  <c r="M214" i="1"/>
  <c r="L214" i="1"/>
  <c r="O227" i="1"/>
  <c r="P227" i="1"/>
  <c r="O417" i="1"/>
  <c r="P417" i="1"/>
  <c r="P242" i="1"/>
  <c r="O242" i="1"/>
  <c r="P395" i="1"/>
  <c r="O395" i="1"/>
  <c r="P207" i="1"/>
  <c r="O207" i="1"/>
  <c r="P290" i="1"/>
  <c r="O290" i="1"/>
  <c r="P79" i="1"/>
  <c r="O79" i="1"/>
  <c r="P444" i="1"/>
  <c r="O444" i="1"/>
  <c r="O196" i="1"/>
  <c r="P196" i="1"/>
  <c r="O493" i="1"/>
  <c r="P493" i="1"/>
  <c r="O221" i="1"/>
  <c r="P221" i="1"/>
  <c r="P17" i="1"/>
  <c r="O17" i="1"/>
  <c r="P87" i="1"/>
  <c r="O87" i="1"/>
  <c r="P331" i="1"/>
  <c r="O331" i="1"/>
  <c r="O320" i="1"/>
  <c r="P320" i="1"/>
  <c r="P111" i="1"/>
  <c r="O111" i="1"/>
  <c r="O29" i="1"/>
  <c r="P29" i="1"/>
  <c r="O219" i="1"/>
  <c r="P219" i="1"/>
  <c r="P90" i="1"/>
  <c r="O90" i="1"/>
  <c r="P390" i="1"/>
  <c r="O390" i="1"/>
  <c r="O458" i="1"/>
  <c r="P458" i="1"/>
  <c r="O80" i="1"/>
  <c r="P80" i="1"/>
  <c r="P132" i="1"/>
  <c r="O132" i="1"/>
  <c r="P54" i="1"/>
  <c r="O54" i="1"/>
  <c r="P315" i="1"/>
  <c r="O315" i="1"/>
  <c r="M233" i="1"/>
  <c r="L233" i="1"/>
  <c r="L195" i="1"/>
  <c r="M195" i="1"/>
  <c r="M61" i="1"/>
  <c r="L61" i="1"/>
  <c r="O81" i="1"/>
  <c r="P81" i="1"/>
  <c r="O495" i="1"/>
  <c r="P495" i="1"/>
  <c r="L107" i="1"/>
  <c r="M107" i="1"/>
  <c r="L213" i="1"/>
  <c r="M213" i="1"/>
  <c r="M175" i="1"/>
  <c r="L175" i="1"/>
  <c r="L467" i="1"/>
  <c r="M467" i="1"/>
  <c r="O439" i="1"/>
  <c r="P439" i="1"/>
  <c r="M187" i="1"/>
  <c r="L187" i="1"/>
  <c r="M55" i="1"/>
  <c r="L55" i="1"/>
  <c r="M465" i="1"/>
  <c r="L465" i="1"/>
  <c r="L160" i="1"/>
  <c r="M160" i="1"/>
  <c r="L499" i="1"/>
  <c r="M499" i="1"/>
  <c r="M269" i="1"/>
  <c r="L269" i="1"/>
  <c r="L113" i="1"/>
  <c r="M113" i="1"/>
  <c r="M237" i="1"/>
  <c r="L237" i="1"/>
  <c r="M504" i="1"/>
  <c r="L504" i="1"/>
  <c r="L296" i="1"/>
  <c r="M296" i="1"/>
  <c r="L104" i="1"/>
  <c r="M104" i="1"/>
  <c r="P448" i="1"/>
  <c r="O448" i="1"/>
  <c r="M260" i="1"/>
  <c r="L260" i="1"/>
  <c r="M460" i="1"/>
  <c r="L460" i="1"/>
  <c r="L463" i="1"/>
  <c r="M463" i="1"/>
  <c r="L311" i="1"/>
  <c r="M311" i="1"/>
  <c r="L129" i="1"/>
  <c r="M129" i="1"/>
  <c r="M179" i="1"/>
  <c r="L179" i="1"/>
  <c r="P225" i="1"/>
  <c r="O225" i="1"/>
  <c r="P317" i="1"/>
  <c r="O317" i="1"/>
  <c r="L102" i="1"/>
  <c r="M102" i="1"/>
  <c r="M194" i="1"/>
  <c r="L194" i="1"/>
  <c r="M209" i="1"/>
  <c r="L209" i="1"/>
  <c r="L152" i="1"/>
  <c r="M152" i="1"/>
  <c r="M261" i="1"/>
  <c r="L261" i="1"/>
  <c r="M62" i="1"/>
  <c r="L62" i="1"/>
  <c r="L354" i="1"/>
  <c r="M354" i="1"/>
  <c r="L219" i="1"/>
  <c r="M219" i="1"/>
  <c r="O226" i="1"/>
  <c r="P226" i="1"/>
  <c r="P287" i="1"/>
  <c r="O287" i="1"/>
  <c r="L390" i="1"/>
  <c r="M390" i="1"/>
  <c r="L208" i="1"/>
  <c r="M208" i="1"/>
  <c r="L117" i="1"/>
  <c r="M117" i="1"/>
  <c r="P366" i="1"/>
  <c r="O366" i="1"/>
  <c r="M317" i="1"/>
  <c r="L317" i="1"/>
  <c r="L217" i="1"/>
  <c r="M217" i="1"/>
  <c r="M72" i="1"/>
  <c r="L72" i="1"/>
  <c r="L153" i="1"/>
  <c r="M153" i="1"/>
  <c r="L433" i="1"/>
  <c r="M433" i="1"/>
  <c r="M475" i="1"/>
  <c r="L475" i="1"/>
  <c r="M99" i="1"/>
  <c r="L99" i="1"/>
  <c r="M148" i="1"/>
  <c r="L148" i="1"/>
  <c r="P44" i="1"/>
  <c r="O44" i="1"/>
  <c r="M351" i="1"/>
  <c r="L351" i="1"/>
  <c r="L329" i="1"/>
  <c r="M329" i="1"/>
  <c r="L186" i="1"/>
  <c r="M186" i="1"/>
  <c r="L109" i="1"/>
  <c r="M109" i="1"/>
  <c r="O307" i="1"/>
  <c r="P307" i="1"/>
  <c r="M45" i="1"/>
  <c r="L45" i="1"/>
  <c r="M155" i="1"/>
  <c r="L155" i="1"/>
  <c r="P265" i="1"/>
  <c r="O265" i="1"/>
  <c r="P318" i="1"/>
  <c r="O318" i="1"/>
  <c r="P82" i="1"/>
  <c r="O82" i="1"/>
  <c r="M115" i="1"/>
  <c r="L115" i="1"/>
  <c r="P281" i="1"/>
  <c r="O281" i="1"/>
  <c r="L51" i="1"/>
  <c r="M51" i="1"/>
  <c r="O300" i="1"/>
  <c r="P300" i="1"/>
  <c r="M425" i="1"/>
  <c r="L425" i="1"/>
  <c r="P312" i="1"/>
  <c r="O312" i="1"/>
  <c r="P9" i="1"/>
  <c r="O9" i="1"/>
  <c r="M406" i="1"/>
  <c r="L406" i="1"/>
  <c r="M182" i="1"/>
  <c r="L182" i="1"/>
  <c r="L366" i="1"/>
  <c r="M366" i="1"/>
  <c r="L476" i="1"/>
  <c r="M476" i="1"/>
  <c r="P99" i="1"/>
  <c r="O99" i="1"/>
  <c r="M347" i="1"/>
  <c r="L347" i="1"/>
  <c r="L258" i="1"/>
  <c r="M258" i="1"/>
  <c r="M409" i="1"/>
  <c r="L409" i="1"/>
  <c r="P345" i="1"/>
  <c r="O345" i="1"/>
  <c r="L422" i="1"/>
  <c r="M422" i="1"/>
  <c r="P172" i="1"/>
  <c r="O172" i="1"/>
  <c r="P233" i="1"/>
  <c r="O233" i="1"/>
  <c r="O216" i="1"/>
  <c r="P216" i="1"/>
  <c r="P246" i="1"/>
  <c r="O246" i="1"/>
  <c r="L234" i="1"/>
  <c r="M234" i="1"/>
  <c r="M383" i="1"/>
  <c r="L383" i="1"/>
  <c r="P218" i="1"/>
  <c r="O218" i="1"/>
  <c r="P429" i="1"/>
  <c r="O429" i="1"/>
  <c r="M158" i="1"/>
  <c r="L158" i="1"/>
  <c r="P36" i="1"/>
  <c r="O36" i="1"/>
  <c r="P389" i="1"/>
  <c r="O389" i="1"/>
  <c r="O339" i="1"/>
  <c r="P339" i="1"/>
  <c r="O308" i="1"/>
  <c r="P308" i="1"/>
  <c r="M168" i="1"/>
  <c r="L168" i="1"/>
  <c r="O164" i="1"/>
  <c r="P164" i="1"/>
  <c r="P66" i="1"/>
  <c r="O66" i="1"/>
  <c r="M22" i="1"/>
  <c r="L22" i="1"/>
  <c r="O323" i="1"/>
  <c r="P323" i="1"/>
  <c r="O157" i="1"/>
  <c r="P157" i="1"/>
  <c r="P138" i="1"/>
  <c r="O138" i="1"/>
  <c r="P438" i="1"/>
  <c r="O438" i="1"/>
  <c r="L483" i="1"/>
  <c r="M483" i="1"/>
  <c r="L197" i="1"/>
  <c r="M197" i="1"/>
  <c r="L127" i="1"/>
  <c r="M127" i="1"/>
  <c r="O67" i="1"/>
  <c r="P67" i="1"/>
  <c r="P198" i="1"/>
  <c r="O198" i="1"/>
  <c r="P372" i="1"/>
  <c r="O372" i="1"/>
  <c r="O73" i="1"/>
  <c r="P73" i="1"/>
  <c r="O180" i="1"/>
  <c r="P180" i="1"/>
  <c r="O351" i="1"/>
  <c r="P351" i="1"/>
  <c r="O84" i="1"/>
  <c r="P84" i="1"/>
  <c r="M302" i="1"/>
  <c r="L302" i="1"/>
  <c r="O259" i="1"/>
  <c r="P259" i="1"/>
  <c r="O411" i="1"/>
  <c r="P411" i="1"/>
  <c r="O76" i="1"/>
  <c r="P76" i="1"/>
  <c r="P284" i="1"/>
  <c r="O284" i="1"/>
  <c r="P176" i="1"/>
  <c r="O176" i="1"/>
  <c r="O117" i="1"/>
  <c r="P117" i="1"/>
  <c r="P122" i="1"/>
  <c r="O122" i="1"/>
  <c r="O200" i="1"/>
  <c r="P200" i="1"/>
  <c r="P292" i="1"/>
  <c r="O292" i="1"/>
  <c r="O422" i="1"/>
  <c r="P422" i="1"/>
  <c r="P325" i="1"/>
  <c r="O325" i="1"/>
  <c r="O7" i="1"/>
  <c r="P7" i="1"/>
  <c r="P75" i="1"/>
  <c r="O75" i="1"/>
  <c r="P509" i="1"/>
  <c r="O509" i="1"/>
  <c r="P182" i="1"/>
  <c r="O182" i="1"/>
  <c r="P340" i="1"/>
  <c r="O340" i="1"/>
  <c r="O100" i="1"/>
  <c r="P100" i="1"/>
  <c r="P375" i="1"/>
  <c r="O375" i="1"/>
  <c r="O175" i="1"/>
  <c r="P175" i="1"/>
  <c r="O350" i="1"/>
  <c r="P350" i="1"/>
  <c r="P126" i="1"/>
  <c r="O126" i="1"/>
  <c r="O35" i="1"/>
  <c r="P35" i="1"/>
  <c r="P125" i="1"/>
  <c r="O125" i="1"/>
  <c r="P168" i="1"/>
  <c r="O168" i="1"/>
  <c r="O142" i="1"/>
  <c r="P142" i="1"/>
  <c r="P108" i="1"/>
  <c r="O108" i="1"/>
  <c r="L275" i="1"/>
  <c r="M275" i="1"/>
  <c r="O322" i="1"/>
  <c r="P322" i="1"/>
  <c r="P416" i="1"/>
  <c r="O416" i="1"/>
  <c r="P13" i="1"/>
  <c r="O13" i="1"/>
  <c r="P405" i="1"/>
  <c r="O405" i="1"/>
  <c r="P133" i="1"/>
  <c r="O133" i="1"/>
  <c r="M404" i="1"/>
  <c r="L404" i="1"/>
  <c r="L67" i="1"/>
  <c r="M67" i="1"/>
  <c r="L392" i="1"/>
  <c r="M392" i="1"/>
  <c r="O399" i="1"/>
  <c r="P399" i="1"/>
  <c r="L131" i="1"/>
  <c r="M131" i="1"/>
  <c r="M474" i="1"/>
  <c r="L474" i="1"/>
  <c r="L320" i="1"/>
  <c r="M320" i="1"/>
  <c r="O63" i="1"/>
  <c r="P63" i="1"/>
  <c r="L264" i="1"/>
  <c r="M264" i="1"/>
  <c r="P40" i="1"/>
  <c r="O40" i="1"/>
  <c r="L407" i="1"/>
  <c r="M407" i="1"/>
  <c r="M380" i="1"/>
  <c r="L380" i="1"/>
  <c r="P507" i="1"/>
  <c r="O507" i="1"/>
  <c r="M353" i="1"/>
  <c r="L353" i="1"/>
  <c r="L193" i="1"/>
  <c r="M193" i="1"/>
  <c r="P286" i="1"/>
  <c r="O286" i="1"/>
  <c r="P263" i="1"/>
  <c r="O263" i="1"/>
  <c r="M491" i="1"/>
  <c r="L491" i="1"/>
  <c r="M149" i="1"/>
  <c r="L149" i="1"/>
  <c r="L438" i="1"/>
  <c r="M438" i="1"/>
  <c r="L65" i="1"/>
  <c r="M65" i="1"/>
  <c r="M310" i="1"/>
  <c r="L310" i="1"/>
  <c r="P393" i="1"/>
  <c r="O393" i="1"/>
  <c r="M74" i="1"/>
  <c r="L74" i="1"/>
  <c r="M514" i="1"/>
  <c r="L514" i="1"/>
  <c r="P435" i="1"/>
  <c r="O435" i="1"/>
  <c r="M75" i="1"/>
  <c r="L75" i="1"/>
  <c r="O420" i="1"/>
  <c r="P420" i="1"/>
  <c r="L512" i="1"/>
  <c r="M512" i="1"/>
  <c r="P337" i="1"/>
  <c r="O337" i="1"/>
  <c r="M250" i="1"/>
  <c r="L250" i="1"/>
  <c r="M144" i="1"/>
  <c r="L144" i="1"/>
  <c r="M80" i="1"/>
  <c r="L80" i="1"/>
  <c r="O289" i="1"/>
  <c r="P289" i="1"/>
  <c r="P32" i="1"/>
  <c r="O32" i="1"/>
  <c r="P205" i="1"/>
  <c r="O205" i="1"/>
  <c r="O212" i="1"/>
  <c r="P212" i="1"/>
  <c r="O459" i="1"/>
  <c r="P459" i="1"/>
  <c r="P72" i="1"/>
  <c r="O72" i="1"/>
  <c r="L301" i="1"/>
  <c r="M301" i="1"/>
  <c r="L309" i="1"/>
  <c r="M309" i="1"/>
  <c r="L505" i="1"/>
  <c r="M505" i="1"/>
  <c r="L415" i="1"/>
  <c r="M415" i="1"/>
  <c r="M73" i="1"/>
  <c r="L73" i="1"/>
  <c r="O512" i="1"/>
  <c r="P512" i="1"/>
  <c r="P153" i="1"/>
  <c r="O153" i="1"/>
  <c r="P397" i="1"/>
  <c r="O397" i="1"/>
  <c r="O505" i="1"/>
  <c r="P505" i="1"/>
  <c r="P130" i="1"/>
  <c r="O130" i="1"/>
  <c r="L489" i="1"/>
  <c r="M489" i="1"/>
  <c r="O37" i="1"/>
  <c r="P37" i="1"/>
  <c r="M464" i="1"/>
  <c r="L464" i="1"/>
  <c r="M335" i="1"/>
  <c r="L335" i="1"/>
  <c r="L210" i="1"/>
  <c r="M210" i="1"/>
  <c r="O279" i="1"/>
  <c r="P279" i="1"/>
  <c r="O305" i="1"/>
  <c r="P305" i="1"/>
  <c r="L507" i="1"/>
  <c r="M507" i="1"/>
  <c r="L477" i="1"/>
  <c r="M477" i="1"/>
  <c r="L262" i="1"/>
  <c r="M262" i="1"/>
  <c r="M138" i="1"/>
  <c r="L138" i="1"/>
  <c r="L484" i="1"/>
  <c r="M484" i="1"/>
  <c r="O371" i="1"/>
  <c r="P371" i="1"/>
  <c r="P240" i="1"/>
  <c r="O240" i="1"/>
  <c r="P181" i="1"/>
  <c r="O181" i="1"/>
  <c r="L399" i="1"/>
  <c r="M399" i="1"/>
  <c r="L274" i="1"/>
  <c r="M274" i="1"/>
  <c r="M106" i="1"/>
  <c r="L106" i="1"/>
  <c r="L400" i="1"/>
  <c r="M400" i="1"/>
  <c r="O255" i="1"/>
  <c r="P255" i="1"/>
  <c r="L231" i="1"/>
  <c r="M231" i="1"/>
  <c r="L238" i="1"/>
  <c r="M238" i="1"/>
  <c r="O501" i="1"/>
  <c r="P501" i="1"/>
  <c r="O185" i="1"/>
  <c r="P185" i="1"/>
  <c r="P151" i="1"/>
  <c r="O151" i="1"/>
  <c r="L245" i="1"/>
  <c r="M245" i="1"/>
  <c r="P188" i="1"/>
  <c r="O188" i="1"/>
  <c r="O120" i="1"/>
  <c r="P120" i="1"/>
  <c r="P105" i="1"/>
  <c r="O105" i="1"/>
  <c r="O334" i="1"/>
  <c r="P334" i="1"/>
  <c r="L215" i="1"/>
  <c r="M215" i="1"/>
  <c r="M69" i="1"/>
  <c r="L69" i="1"/>
  <c r="L356" i="1"/>
  <c r="M356" i="1"/>
  <c r="M110" i="1"/>
  <c r="L110" i="1"/>
  <c r="P460" i="1"/>
  <c r="O460" i="1"/>
  <c r="P330" i="1"/>
  <c r="O330" i="1"/>
  <c r="P119" i="1"/>
  <c r="O119" i="1"/>
  <c r="P245" i="1"/>
  <c r="O245" i="1"/>
  <c r="P135" i="1"/>
  <c r="O135" i="1"/>
  <c r="O49" i="1"/>
  <c r="P49" i="1"/>
  <c r="P10" i="1"/>
  <c r="O10" i="1"/>
  <c r="O476" i="1"/>
  <c r="P476" i="1"/>
  <c r="P310" i="1"/>
  <c r="O310" i="1"/>
  <c r="O209" i="1"/>
  <c r="P209" i="1"/>
  <c r="P457" i="1"/>
  <c r="O457" i="1"/>
  <c r="P95" i="1"/>
  <c r="O95" i="1"/>
  <c r="O382" i="1"/>
  <c r="P382" i="1"/>
  <c r="P163" i="1"/>
  <c r="O163" i="1"/>
  <c r="P296" i="1"/>
  <c r="O296" i="1"/>
  <c r="O270" i="1"/>
  <c r="P270" i="1"/>
  <c r="P380" i="1"/>
  <c r="O380" i="1"/>
  <c r="O508" i="1"/>
  <c r="P508" i="1"/>
  <c r="O195" i="1"/>
  <c r="P195" i="1"/>
  <c r="O492" i="1"/>
  <c r="P492" i="1"/>
  <c r="O68" i="1"/>
  <c r="P68" i="1"/>
  <c r="P362" i="1"/>
  <c r="O362" i="1"/>
  <c r="P513" i="1"/>
  <c r="O513" i="1"/>
  <c r="O378" i="1"/>
  <c r="P378" i="1"/>
  <c r="O386" i="1"/>
  <c r="P386" i="1"/>
  <c r="P167" i="1"/>
  <c r="O167" i="1"/>
  <c r="O474" i="1"/>
  <c r="P474" i="1"/>
  <c r="O96" i="1"/>
  <c r="P96" i="1"/>
  <c r="L451" i="1"/>
  <c r="M451" i="1"/>
  <c r="M308" i="1"/>
  <c r="L308" i="1"/>
  <c r="M428" i="1"/>
  <c r="L428" i="1"/>
  <c r="L190" i="1"/>
  <c r="M190" i="1"/>
  <c r="M101" i="1"/>
  <c r="L101" i="1"/>
  <c r="P183" i="1"/>
  <c r="O183" i="1"/>
  <c r="M176" i="1"/>
  <c r="L176" i="1"/>
  <c r="M363" i="1"/>
  <c r="L363" i="1"/>
  <c r="M445" i="1"/>
  <c r="L445" i="1"/>
  <c r="L29" i="1"/>
  <c r="M29" i="1"/>
  <c r="O288" i="1"/>
  <c r="P288" i="1"/>
  <c r="M337" i="1"/>
  <c r="L337" i="1"/>
  <c r="M434" i="1"/>
  <c r="L434" i="1"/>
  <c r="L332" i="1"/>
  <c r="M332" i="1"/>
  <c r="M277" i="1"/>
  <c r="L277" i="1"/>
  <c r="M297" i="1"/>
  <c r="L297" i="1"/>
  <c r="L412" i="1"/>
  <c r="M412" i="1"/>
  <c r="L376" i="1"/>
  <c r="M376" i="1"/>
  <c r="M42" i="1"/>
  <c r="L42" i="1"/>
  <c r="M58" i="1"/>
  <c r="L58" i="1"/>
  <c r="P336" i="1"/>
  <c r="O336" i="1"/>
  <c r="O293" i="1"/>
  <c r="P293" i="1"/>
  <c r="P166" i="1"/>
  <c r="O166" i="1"/>
  <c r="L453" i="1"/>
  <c r="M453" i="1"/>
  <c r="M444" i="1"/>
  <c r="L444" i="1"/>
  <c r="P171" i="1"/>
  <c r="O171" i="1"/>
  <c r="W30" i="1"/>
  <c r="M360" i="1"/>
  <c r="L360" i="1"/>
  <c r="M459" i="1"/>
  <c r="L459" i="1"/>
  <c r="M227" i="1"/>
  <c r="L227" i="1"/>
  <c r="L378" i="1"/>
  <c r="M378" i="1"/>
  <c r="L268" i="1"/>
  <c r="M268" i="1"/>
  <c r="L442" i="1"/>
  <c r="M442" i="1"/>
  <c r="M145" i="1"/>
  <c r="L145" i="1"/>
  <c r="P211" i="1"/>
  <c r="O211" i="1"/>
  <c r="P112" i="1"/>
  <c r="O112" i="1"/>
  <c r="M393" i="1"/>
  <c r="L393" i="1"/>
  <c r="M282" i="1"/>
  <c r="L282" i="1"/>
  <c r="L266" i="1"/>
  <c r="M266" i="1"/>
  <c r="M333" i="1"/>
  <c r="L333" i="1"/>
  <c r="L77" i="1"/>
  <c r="M77" i="1"/>
  <c r="M76" i="1"/>
  <c r="L76" i="1"/>
  <c r="L204" i="1"/>
  <c r="M204" i="1"/>
  <c r="M142" i="1"/>
  <c r="L142" i="1"/>
  <c r="M211" i="1"/>
  <c r="L211" i="1"/>
  <c r="L34" i="1"/>
  <c r="M34" i="1"/>
  <c r="M361" i="1"/>
  <c r="L361" i="1"/>
  <c r="M358" i="1"/>
  <c r="L358" i="1"/>
  <c r="L486" i="1"/>
  <c r="M486" i="1"/>
  <c r="M478" i="1"/>
  <c r="L478" i="1"/>
  <c r="P14" i="1"/>
  <c r="O14" i="1"/>
  <c r="L401" i="1"/>
  <c r="M401" i="1"/>
  <c r="M318" i="1"/>
  <c r="L318" i="1"/>
  <c r="L284" i="1"/>
  <c r="M284" i="1"/>
  <c r="P131" i="1"/>
  <c r="O131" i="1"/>
  <c r="L334" i="1"/>
  <c r="M334" i="1"/>
  <c r="M364" i="1"/>
  <c r="L364" i="1"/>
  <c r="L165" i="1"/>
  <c r="M165" i="1"/>
  <c r="O15" i="1"/>
  <c r="P15" i="1"/>
  <c r="M133" i="1"/>
  <c r="L133" i="1"/>
  <c r="P223" i="1"/>
  <c r="O223" i="1"/>
  <c r="O101" i="1"/>
  <c r="P101" i="1"/>
  <c r="L30" i="1"/>
  <c r="M30" i="1"/>
  <c r="L307" i="1"/>
  <c r="M307" i="1"/>
  <c r="L21" i="1"/>
  <c r="M21" i="1"/>
  <c r="L241" i="1"/>
  <c r="M241" i="1"/>
  <c r="P379" i="1"/>
  <c r="O379" i="1"/>
  <c r="M300" i="1"/>
  <c r="L300" i="1"/>
  <c r="M471" i="1"/>
  <c r="L471" i="1"/>
  <c r="L243" i="1"/>
  <c r="M243" i="1"/>
  <c r="M411" i="1"/>
  <c r="L411" i="1"/>
  <c r="M198" i="1"/>
  <c r="L198" i="1"/>
  <c r="L134" i="1"/>
  <c r="M134" i="1"/>
  <c r="P471" i="1"/>
  <c r="O471" i="1"/>
  <c r="M510" i="1"/>
  <c r="L510" i="1"/>
  <c r="L396" i="1"/>
  <c r="M396" i="1"/>
  <c r="L181" i="1"/>
  <c r="M181" i="1"/>
  <c r="M174" i="1"/>
  <c r="L174" i="1"/>
  <c r="O109" i="1"/>
  <c r="P109" i="1"/>
  <c r="P433" i="1"/>
  <c r="O433" i="1"/>
  <c r="L114" i="1"/>
  <c r="M114" i="1"/>
  <c r="L154" i="1"/>
  <c r="M154" i="1"/>
  <c r="M413" i="1"/>
  <c r="L413" i="1"/>
  <c r="O141" i="1"/>
  <c r="P141" i="1"/>
  <c r="O500" i="1"/>
  <c r="P500" i="1"/>
  <c r="L47" i="1"/>
  <c r="M47" i="1"/>
  <c r="L485" i="1"/>
  <c r="M485" i="1"/>
  <c r="M172" i="1"/>
  <c r="L172" i="1"/>
  <c r="M71" i="1"/>
  <c r="L71" i="1"/>
  <c r="L388" i="1"/>
  <c r="M388" i="1"/>
  <c r="L162" i="1"/>
  <c r="M162" i="1"/>
  <c r="L216" i="1"/>
  <c r="M216" i="1"/>
  <c r="P178" i="1"/>
  <c r="O178" i="1"/>
  <c r="P466" i="1"/>
  <c r="O466" i="1"/>
  <c r="O302" i="1"/>
  <c r="P302" i="1"/>
  <c r="P298" i="1"/>
  <c r="O298" i="1"/>
  <c r="O61" i="1"/>
  <c r="P61" i="1"/>
  <c r="P333" i="1"/>
  <c r="O333" i="1"/>
  <c r="M116" i="1"/>
  <c r="L116" i="1"/>
  <c r="M294" i="1"/>
  <c r="L294" i="1"/>
  <c r="P213" i="1"/>
  <c r="O213" i="1"/>
  <c r="M56" i="1"/>
  <c r="L56" i="1"/>
  <c r="P412" i="1"/>
  <c r="O412" i="1"/>
  <c r="P208" i="1"/>
  <c r="O208" i="1"/>
  <c r="M285" i="1"/>
  <c r="L285" i="1"/>
  <c r="M221" i="1"/>
  <c r="L221" i="1"/>
  <c r="M501" i="1"/>
  <c r="L501" i="1"/>
  <c r="L324" i="1"/>
  <c r="M324" i="1"/>
  <c r="L137" i="1"/>
  <c r="M137" i="1"/>
  <c r="P179" i="1"/>
  <c r="O179" i="1"/>
  <c r="P361" i="1"/>
  <c r="O361" i="1"/>
  <c r="O21" i="1"/>
  <c r="P21" i="1"/>
  <c r="M304" i="1"/>
  <c r="L304" i="1"/>
  <c r="P314" i="1"/>
  <c r="O314" i="1"/>
  <c r="M326" i="1"/>
  <c r="L326" i="1"/>
  <c r="M323" i="1"/>
  <c r="L323" i="1"/>
  <c r="P408" i="1"/>
  <c r="O408" i="1"/>
  <c r="O396" i="1"/>
  <c r="P396" i="1"/>
  <c r="M82" i="1"/>
  <c r="L82" i="1"/>
  <c r="L156" i="1"/>
  <c r="M156" i="1"/>
  <c r="P357" i="1"/>
  <c r="O357" i="1"/>
  <c r="P297" i="1"/>
  <c r="O297" i="1"/>
  <c r="P184" i="1"/>
  <c r="O184" i="1"/>
  <c r="P127" i="1"/>
  <c r="O127" i="1"/>
  <c r="P52" i="1"/>
  <c r="O52" i="1"/>
  <c r="P98" i="1"/>
  <c r="O98" i="1"/>
  <c r="P327" i="1"/>
  <c r="O327" i="1"/>
  <c r="O499" i="1"/>
  <c r="P499" i="1"/>
  <c r="P360" i="1"/>
  <c r="O360" i="1"/>
  <c r="O69" i="1"/>
  <c r="P69" i="1"/>
  <c r="P107" i="1"/>
  <c r="O107" i="1"/>
  <c r="O461" i="1"/>
  <c r="P461" i="1"/>
  <c r="P506" i="1"/>
  <c r="O506" i="1"/>
  <c r="O214" i="1"/>
  <c r="P214" i="1"/>
  <c r="P123" i="1"/>
  <c r="O123" i="1"/>
  <c r="P359" i="1"/>
  <c r="O359" i="1"/>
  <c r="O238" i="1"/>
  <c r="P238" i="1"/>
  <c r="P91" i="1"/>
  <c r="O91" i="1"/>
  <c r="P102" i="1"/>
  <c r="O102" i="1"/>
  <c r="P224" i="1"/>
  <c r="O224" i="1"/>
  <c r="P363" i="1"/>
  <c r="O363" i="1"/>
  <c r="P352" i="1"/>
  <c r="O352" i="1"/>
  <c r="P266" i="1"/>
  <c r="O266" i="1"/>
  <c r="P55" i="1"/>
  <c r="O55" i="1"/>
  <c r="P129" i="1"/>
  <c r="O129" i="1"/>
  <c r="O53" i="1"/>
  <c r="P53" i="1"/>
  <c r="P452" i="1"/>
  <c r="O452" i="1"/>
  <c r="P332" i="1"/>
  <c r="O332" i="1"/>
  <c r="P114" i="1"/>
  <c r="O114" i="1"/>
  <c r="H520" i="1" l="1"/>
  <c r="I520" i="1"/>
  <c r="H521" i="1"/>
  <c r="I521" i="1"/>
  <c r="H517" i="1"/>
  <c r="I517" i="1"/>
  <c r="H522" i="1"/>
  <c r="I522" i="1"/>
  <c r="H518" i="1"/>
  <c r="I518" i="1"/>
  <c r="H515" i="1"/>
  <c r="I515" i="1"/>
  <c r="H523" i="1"/>
  <c r="I523" i="1"/>
  <c r="H516" i="1"/>
  <c r="I516" i="1"/>
  <c r="H519" i="1"/>
  <c r="I519" i="1"/>
  <c r="H171" i="1"/>
  <c r="I171" i="1"/>
  <c r="R15" i="1"/>
  <c r="I465" i="1"/>
  <c r="H465" i="1"/>
  <c r="H143" i="1"/>
  <c r="I143" i="1"/>
  <c r="H423" i="1"/>
  <c r="I423" i="1"/>
  <c r="I17" i="1"/>
  <c r="H17" i="1"/>
  <c r="I122" i="1"/>
  <c r="H122" i="1"/>
  <c r="H227" i="1"/>
  <c r="I227" i="1"/>
  <c r="H62" i="1"/>
  <c r="I62" i="1"/>
  <c r="I176" i="1"/>
  <c r="H176" i="1"/>
  <c r="H190" i="1"/>
  <c r="I190" i="1"/>
  <c r="H88" i="1"/>
  <c r="I88" i="1"/>
  <c r="I238" i="1"/>
  <c r="H238" i="1"/>
  <c r="H186" i="1"/>
  <c r="I186" i="1"/>
  <c r="I258" i="1"/>
  <c r="H258" i="1"/>
  <c r="H506" i="1"/>
  <c r="I506" i="1"/>
  <c r="I251" i="1"/>
  <c r="H251" i="1"/>
  <c r="H346" i="1"/>
  <c r="I346" i="1"/>
  <c r="H292" i="1"/>
  <c r="I292" i="1"/>
  <c r="H39" i="1"/>
  <c r="I39" i="1"/>
  <c r="H110" i="1"/>
  <c r="I110" i="1"/>
  <c r="H234" i="1"/>
  <c r="I234" i="1"/>
  <c r="H510" i="1"/>
  <c r="I510" i="1"/>
  <c r="H367" i="1"/>
  <c r="I367" i="1"/>
  <c r="I313" i="1"/>
  <c r="H313" i="1"/>
  <c r="H205" i="1"/>
  <c r="I205" i="1"/>
  <c r="I446" i="1"/>
  <c r="H446" i="1"/>
  <c r="H286" i="1"/>
  <c r="I286" i="1"/>
  <c r="H8" i="1"/>
  <c r="I8" i="1"/>
  <c r="H135" i="1"/>
  <c r="I135" i="1"/>
  <c r="H488" i="1"/>
  <c r="I488" i="1"/>
  <c r="H434" i="1"/>
  <c r="I434" i="1"/>
  <c r="I3" i="1"/>
  <c r="H3" i="1"/>
  <c r="I342" i="1"/>
  <c r="H342" i="1"/>
  <c r="H394" i="1"/>
  <c r="I394" i="1"/>
  <c r="H55" i="1"/>
  <c r="I55" i="1"/>
  <c r="H319" i="1"/>
  <c r="I319" i="1"/>
  <c r="I470" i="1"/>
  <c r="H470" i="1"/>
  <c r="I224" i="1"/>
  <c r="H224" i="1"/>
  <c r="H81" i="1"/>
  <c r="I81" i="1"/>
  <c r="H487" i="1"/>
  <c r="I487" i="1"/>
  <c r="H396" i="1"/>
  <c r="I396" i="1"/>
  <c r="I427" i="1"/>
  <c r="H427" i="1"/>
  <c r="I265" i="1"/>
  <c r="H265" i="1"/>
  <c r="H513" i="1"/>
  <c r="I513" i="1"/>
  <c r="I6" i="1"/>
  <c r="H6" i="1"/>
  <c r="H73" i="1"/>
  <c r="I73" i="1"/>
  <c r="H69" i="1"/>
  <c r="I69" i="1"/>
  <c r="H121" i="1"/>
  <c r="I121" i="1"/>
  <c r="H415" i="1"/>
  <c r="I415" i="1"/>
  <c r="H491" i="1"/>
  <c r="I491" i="1"/>
  <c r="I223" i="1"/>
  <c r="H223" i="1"/>
  <c r="H58" i="1"/>
  <c r="I58" i="1"/>
  <c r="H492" i="1"/>
  <c r="I492" i="1"/>
  <c r="H486" i="1"/>
  <c r="I486" i="1"/>
  <c r="I280" i="1"/>
  <c r="H280" i="1"/>
  <c r="H53" i="1"/>
  <c r="I53" i="1"/>
  <c r="I130" i="1"/>
  <c r="H130" i="1"/>
  <c r="H41" i="1"/>
  <c r="I41" i="1"/>
  <c r="I43" i="1"/>
  <c r="H43" i="1"/>
  <c r="I115" i="1"/>
  <c r="H115" i="1"/>
  <c r="I259" i="1"/>
  <c r="H259" i="1"/>
  <c r="I403" i="1"/>
  <c r="H403" i="1"/>
  <c r="H355" i="1"/>
  <c r="I355" i="1"/>
  <c r="H246" i="1"/>
  <c r="I246" i="1"/>
  <c r="H201" i="1"/>
  <c r="I201" i="1"/>
  <c r="I306" i="1"/>
  <c r="H306" i="1"/>
  <c r="H314" i="1"/>
  <c r="I314" i="1"/>
  <c r="H350" i="1"/>
  <c r="I350" i="1"/>
  <c r="I378" i="1"/>
  <c r="H378" i="1"/>
  <c r="I500" i="1"/>
  <c r="H500" i="1"/>
  <c r="H160" i="1"/>
  <c r="I160" i="1"/>
  <c r="H477" i="1"/>
  <c r="I477" i="1"/>
  <c r="I221" i="1"/>
  <c r="H221" i="1"/>
  <c r="I326" i="1"/>
  <c r="H326" i="1"/>
  <c r="H172" i="1"/>
  <c r="I172" i="1"/>
  <c r="H133" i="1"/>
  <c r="I133" i="1"/>
  <c r="I464" i="1"/>
  <c r="H464" i="1"/>
  <c r="I395" i="1"/>
  <c r="H395" i="1"/>
  <c r="H459" i="1"/>
  <c r="I459" i="1"/>
  <c r="H217" i="1"/>
  <c r="I217" i="1"/>
  <c r="H431" i="1"/>
  <c r="I431" i="1"/>
  <c r="I57" i="1"/>
  <c r="H57" i="1"/>
  <c r="H297" i="1"/>
  <c r="I297" i="1"/>
  <c r="H366" i="1"/>
  <c r="I366" i="1"/>
  <c r="I391" i="1"/>
  <c r="H391" i="1"/>
  <c r="H466" i="1"/>
  <c r="I466" i="1"/>
  <c r="I168" i="1"/>
  <c r="H168" i="1"/>
  <c r="H349" i="1"/>
  <c r="I349" i="1"/>
  <c r="I468" i="1"/>
  <c r="H468" i="1"/>
  <c r="H443" i="1"/>
  <c r="I443" i="1"/>
  <c r="H18" i="1"/>
  <c r="I18" i="1"/>
  <c r="H494" i="1"/>
  <c r="I494" i="1"/>
  <c r="I183" i="1"/>
  <c r="H183" i="1"/>
  <c r="I270" i="1"/>
  <c r="H270" i="1"/>
  <c r="H38" i="1"/>
  <c r="I38" i="1"/>
  <c r="I166" i="1"/>
  <c r="H166" i="1"/>
  <c r="H347" i="1"/>
  <c r="I347" i="1"/>
  <c r="H372" i="1"/>
  <c r="I372" i="1"/>
  <c r="H155" i="1"/>
  <c r="I155" i="1"/>
  <c r="H302" i="1"/>
  <c r="I302" i="1"/>
  <c r="H2" i="1"/>
  <c r="I2" i="1"/>
  <c r="I333" i="1"/>
  <c r="H333" i="1"/>
  <c r="I106" i="1"/>
  <c r="H106" i="1"/>
  <c r="I263" i="1"/>
  <c r="H263" i="1"/>
  <c r="I203" i="1"/>
  <c r="H203" i="1"/>
  <c r="H148" i="1"/>
  <c r="I148" i="1"/>
  <c r="I37" i="1"/>
  <c r="H37" i="1"/>
  <c r="H96" i="1"/>
  <c r="I96" i="1"/>
  <c r="I416" i="1"/>
  <c r="H416" i="1"/>
  <c r="H493" i="1"/>
  <c r="I493" i="1"/>
  <c r="H457" i="1"/>
  <c r="I457" i="1"/>
  <c r="I111" i="1"/>
  <c r="H111" i="1"/>
  <c r="H303" i="1"/>
  <c r="I303" i="1"/>
  <c r="H142" i="1"/>
  <c r="I142" i="1"/>
  <c r="H63" i="1"/>
  <c r="I63" i="1"/>
  <c r="H250" i="1"/>
  <c r="I250" i="1"/>
  <c r="I187" i="1"/>
  <c r="H187" i="1"/>
  <c r="I9" i="1"/>
  <c r="H9" i="1"/>
  <c r="H462" i="1"/>
  <c r="I462" i="1"/>
  <c r="H421" i="1"/>
  <c r="I421" i="1"/>
  <c r="H502" i="1"/>
  <c r="I502" i="1"/>
  <c r="H337" i="1"/>
  <c r="I337" i="1"/>
  <c r="I104" i="1"/>
  <c r="H104" i="1"/>
  <c r="H33" i="1"/>
  <c r="I33" i="1"/>
  <c r="H164" i="1"/>
  <c r="I164" i="1"/>
  <c r="H36" i="1"/>
  <c r="I36" i="1"/>
  <c r="H334" i="1"/>
  <c r="I334" i="1"/>
  <c r="H79" i="1"/>
  <c r="I79" i="1"/>
  <c r="H118" i="1"/>
  <c r="I118" i="1"/>
  <c r="I339" i="1"/>
  <c r="H339" i="1"/>
  <c r="I75" i="1"/>
  <c r="H75" i="1"/>
  <c r="H467" i="1"/>
  <c r="I467" i="1"/>
  <c r="H100" i="1"/>
  <c r="I100" i="1"/>
  <c r="H125" i="1"/>
  <c r="I125" i="1"/>
  <c r="H159" i="1"/>
  <c r="I159" i="1"/>
  <c r="H356" i="1"/>
  <c r="I356" i="1"/>
  <c r="I150" i="1"/>
  <c r="H150" i="1"/>
  <c r="I128" i="1"/>
  <c r="H128" i="1"/>
  <c r="I351" i="1"/>
  <c r="H351" i="1"/>
  <c r="I49" i="1"/>
  <c r="H49" i="1"/>
  <c r="I50" i="1"/>
  <c r="H50" i="1"/>
  <c r="I411" i="1"/>
  <c r="H411" i="1"/>
  <c r="H78" i="1"/>
  <c r="I78" i="1"/>
  <c r="I47" i="1"/>
  <c r="H47" i="1"/>
  <c r="H385" i="1"/>
  <c r="I385" i="1"/>
  <c r="H59" i="1"/>
  <c r="I59" i="1"/>
  <c r="H213" i="1"/>
  <c r="I213" i="1"/>
  <c r="I404" i="1"/>
  <c r="H404" i="1"/>
  <c r="I495" i="1"/>
  <c r="H495" i="1"/>
  <c r="I414" i="1"/>
  <c r="H414" i="1"/>
  <c r="H200" i="1"/>
  <c r="I200" i="1"/>
  <c r="H102" i="1"/>
  <c r="I102" i="1"/>
  <c r="I152" i="1"/>
  <c r="H152" i="1"/>
  <c r="I93" i="1"/>
  <c r="H93" i="1"/>
  <c r="H295" i="1"/>
  <c r="I295" i="1"/>
  <c r="H114" i="1"/>
  <c r="I114" i="1"/>
  <c r="H162" i="1"/>
  <c r="I162" i="1"/>
  <c r="I454" i="1"/>
  <c r="H454" i="1"/>
  <c r="I344" i="1"/>
  <c r="H344" i="1"/>
  <c r="I471" i="1"/>
  <c r="H471" i="1"/>
  <c r="H352" i="1"/>
  <c r="I352" i="1"/>
  <c r="H304" i="1"/>
  <c r="I304" i="1"/>
  <c r="I308" i="1"/>
  <c r="H308" i="1"/>
  <c r="H94" i="1"/>
  <c r="I94" i="1"/>
  <c r="I61" i="1"/>
  <c r="H61" i="1"/>
  <c r="I359" i="1"/>
  <c r="H359" i="1"/>
  <c r="I309" i="1"/>
  <c r="H309" i="1"/>
  <c r="H108" i="1"/>
  <c r="I108" i="1"/>
  <c r="H478" i="1"/>
  <c r="I478" i="1"/>
  <c r="H293" i="1"/>
  <c r="I293" i="1"/>
  <c r="H455" i="1"/>
  <c r="I455" i="1"/>
  <c r="H154" i="1"/>
  <c r="I154" i="1"/>
  <c r="H248" i="1"/>
  <c r="I248" i="1"/>
  <c r="I418" i="1"/>
  <c r="H418" i="1"/>
  <c r="H83" i="1"/>
  <c r="I83" i="1"/>
  <c r="I211" i="1"/>
  <c r="H211" i="1"/>
  <c r="H68" i="1"/>
  <c r="I68" i="1"/>
  <c r="H476" i="1"/>
  <c r="I476" i="1"/>
  <c r="H289" i="1"/>
  <c r="I289" i="1"/>
  <c r="H182" i="1"/>
  <c r="I182" i="1"/>
  <c r="H165" i="1"/>
  <c r="I165" i="1"/>
  <c r="I137" i="1"/>
  <c r="H137" i="1"/>
  <c r="H374" i="1"/>
  <c r="I374" i="1"/>
  <c r="H204" i="1"/>
  <c r="I204" i="1"/>
  <c r="I299" i="1"/>
  <c r="H299" i="1"/>
  <c r="I214" i="1"/>
  <c r="H214" i="1"/>
  <c r="H473" i="1"/>
  <c r="I473" i="1"/>
  <c r="H232" i="1"/>
  <c r="I232" i="1"/>
  <c r="H318" i="1"/>
  <c r="I318" i="1"/>
  <c r="H60" i="1"/>
  <c r="I60" i="1"/>
  <c r="I354" i="1"/>
  <c r="H354" i="1"/>
  <c r="H388" i="1"/>
  <c r="I388" i="1"/>
  <c r="H260" i="1"/>
  <c r="I260" i="1"/>
  <c r="H239" i="1"/>
  <c r="I239" i="1"/>
  <c r="H12" i="1"/>
  <c r="I12" i="1"/>
  <c r="H5" i="1"/>
  <c r="I5" i="1"/>
  <c r="H195" i="1"/>
  <c r="I195" i="1"/>
  <c r="I66" i="1"/>
  <c r="H66" i="1"/>
  <c r="H379" i="1"/>
  <c r="I379" i="1"/>
  <c r="I7" i="1"/>
  <c r="H7" i="1"/>
  <c r="H226" i="1"/>
  <c r="I226" i="1"/>
  <c r="H193" i="1"/>
  <c r="I193" i="1"/>
  <c r="H296" i="1"/>
  <c r="I296" i="1"/>
  <c r="H70" i="1"/>
  <c r="I70" i="1"/>
  <c r="H127" i="1"/>
  <c r="I127" i="1"/>
  <c r="H84" i="1"/>
  <c r="I84" i="1"/>
  <c r="H275" i="1"/>
  <c r="I275" i="1"/>
  <c r="H65" i="1"/>
  <c r="I65" i="1"/>
  <c r="H452" i="1"/>
  <c r="I452" i="1"/>
  <c r="I357" i="1"/>
  <c r="H357" i="1"/>
  <c r="H26" i="1"/>
  <c r="I26" i="1"/>
  <c r="H243" i="1"/>
  <c r="I243" i="1"/>
  <c r="I85" i="1"/>
  <c r="H85" i="1"/>
  <c r="H511" i="1"/>
  <c r="I511" i="1"/>
  <c r="H447" i="1"/>
  <c r="I447" i="1"/>
  <c r="H273" i="1"/>
  <c r="I273" i="1"/>
  <c r="H498" i="1"/>
  <c r="I498" i="1"/>
  <c r="H322" i="1"/>
  <c r="I322" i="1"/>
  <c r="H345" i="1"/>
  <c r="I345" i="1"/>
  <c r="H305" i="1"/>
  <c r="I305" i="1"/>
  <c r="H235" i="1"/>
  <c r="I235" i="1"/>
  <c r="H430" i="1"/>
  <c r="I430" i="1"/>
  <c r="I173" i="1"/>
  <c r="H173" i="1"/>
  <c r="H181" i="1"/>
  <c r="I181" i="1"/>
  <c r="I220" i="1"/>
  <c r="H220" i="1"/>
  <c r="H86" i="1"/>
  <c r="I86" i="1"/>
  <c r="I315" i="1"/>
  <c r="H315" i="1"/>
  <c r="H445" i="1"/>
  <c r="I445" i="1"/>
  <c r="H382" i="1"/>
  <c r="I382" i="1"/>
  <c r="H242" i="1"/>
  <c r="I242" i="1"/>
  <c r="H267" i="1"/>
  <c r="I267" i="1"/>
  <c r="H332" i="1"/>
  <c r="I332" i="1"/>
  <c r="I424" i="1"/>
  <c r="H424" i="1"/>
  <c r="H508" i="1"/>
  <c r="I508" i="1"/>
  <c r="H197" i="1"/>
  <c r="I197" i="1"/>
  <c r="H437" i="1"/>
  <c r="I437" i="1"/>
  <c r="H490" i="1"/>
  <c r="I490" i="1"/>
  <c r="I178" i="1"/>
  <c r="H178" i="1"/>
  <c r="H208" i="1"/>
  <c r="I208" i="1"/>
  <c r="I325" i="1"/>
  <c r="H325" i="1"/>
  <c r="H179" i="1"/>
  <c r="I179" i="1"/>
  <c r="H320" i="1"/>
  <c r="I320" i="1"/>
  <c r="I21" i="1"/>
  <c r="H21" i="1"/>
  <c r="H369" i="1"/>
  <c r="I369" i="1"/>
  <c r="I377" i="1"/>
  <c r="H377" i="1"/>
  <c r="H353" i="1"/>
  <c r="I353" i="1"/>
  <c r="H225" i="1"/>
  <c r="I225" i="1"/>
  <c r="H380" i="1"/>
  <c r="I380" i="1"/>
  <c r="H113" i="1"/>
  <c r="I113" i="1"/>
  <c r="I80" i="1"/>
  <c r="H80" i="1"/>
  <c r="H139" i="1"/>
  <c r="I139" i="1"/>
  <c r="H456" i="1"/>
  <c r="I456" i="1"/>
  <c r="H174" i="1"/>
  <c r="I174" i="1"/>
  <c r="H158" i="1"/>
  <c r="I158" i="1"/>
  <c r="I28" i="1"/>
  <c r="H28" i="1"/>
  <c r="H449" i="1"/>
  <c r="I449" i="1"/>
  <c r="H175" i="1"/>
  <c r="I175" i="1"/>
  <c r="H254" i="1"/>
  <c r="I254" i="1"/>
  <c r="H266" i="1"/>
  <c r="I266" i="1"/>
  <c r="I422" i="1"/>
  <c r="H422" i="1"/>
  <c r="I375" i="1"/>
  <c r="H375" i="1"/>
  <c r="H401" i="1"/>
  <c r="I401" i="1"/>
  <c r="H298" i="1"/>
  <c r="I298" i="1"/>
  <c r="H408" i="1"/>
  <c r="I408" i="1"/>
  <c r="H163" i="1"/>
  <c r="I163" i="1"/>
  <c r="I442" i="1"/>
  <c r="H442" i="1"/>
  <c r="H101" i="1"/>
  <c r="I101" i="1"/>
  <c r="H244" i="1"/>
  <c r="I244" i="1"/>
  <c r="H363" i="1"/>
  <c r="I363" i="1"/>
  <c r="H23" i="1"/>
  <c r="I23" i="1"/>
  <c r="H34" i="1"/>
  <c r="I34" i="1"/>
  <c r="I400" i="1"/>
  <c r="H400" i="1"/>
  <c r="I229" i="1"/>
  <c r="H229" i="1"/>
  <c r="H505" i="1"/>
  <c r="I505" i="1"/>
  <c r="H24" i="1"/>
  <c r="I24" i="1"/>
  <c r="H146" i="1"/>
  <c r="I146" i="1"/>
  <c r="H312" i="1"/>
  <c r="I312" i="1"/>
  <c r="H448" i="1"/>
  <c r="I448" i="1"/>
  <c r="I32" i="1"/>
  <c r="H32" i="1"/>
  <c r="H169" i="1"/>
  <c r="I169" i="1"/>
  <c r="H439" i="1"/>
  <c r="I439" i="1"/>
  <c r="H407" i="1"/>
  <c r="I407" i="1"/>
  <c r="H373" i="1"/>
  <c r="I373" i="1"/>
  <c r="H247" i="1"/>
  <c r="I247" i="1"/>
  <c r="I189" i="1"/>
  <c r="H189" i="1"/>
  <c r="H116" i="1"/>
  <c r="I116" i="1"/>
  <c r="I153" i="1"/>
  <c r="H153" i="1"/>
  <c r="H483" i="1"/>
  <c r="I483" i="1"/>
  <c r="I321" i="1"/>
  <c r="H321" i="1"/>
  <c r="H112" i="1"/>
  <c r="I112" i="1"/>
  <c r="I196" i="1"/>
  <c r="H196" i="1"/>
  <c r="I253" i="1"/>
  <c r="H253" i="1"/>
  <c r="I268" i="1"/>
  <c r="H268" i="1"/>
  <c r="I240" i="1"/>
  <c r="H240" i="1"/>
  <c r="I103" i="1"/>
  <c r="H103" i="1"/>
  <c r="H489" i="1"/>
  <c r="I489" i="1"/>
  <c r="I51" i="1"/>
  <c r="H51" i="1"/>
  <c r="I420" i="1"/>
  <c r="H420" i="1"/>
  <c r="H463" i="1"/>
  <c r="I463" i="1"/>
  <c r="H272" i="1"/>
  <c r="I272" i="1"/>
  <c r="H107" i="1"/>
  <c r="I107" i="1"/>
  <c r="H255" i="1"/>
  <c r="I255" i="1"/>
  <c r="H206" i="1"/>
  <c r="I206" i="1"/>
  <c r="H131" i="1"/>
  <c r="I131" i="1"/>
  <c r="H429" i="1"/>
  <c r="I429" i="1"/>
  <c r="H485" i="1"/>
  <c r="I485" i="1"/>
  <c r="H180" i="1"/>
  <c r="I180" i="1"/>
  <c r="I138" i="1"/>
  <c r="H138" i="1"/>
  <c r="H20" i="1"/>
  <c r="I20" i="1"/>
  <c r="I472" i="1"/>
  <c r="H472" i="1"/>
  <c r="I136" i="1"/>
  <c r="H136" i="1"/>
  <c r="I433" i="1"/>
  <c r="H433" i="1"/>
  <c r="I212" i="1"/>
  <c r="H212" i="1"/>
  <c r="H13" i="1"/>
  <c r="I13" i="1"/>
  <c r="I71" i="1"/>
  <c r="H71" i="1"/>
  <c r="H390" i="1"/>
  <c r="I390" i="1"/>
  <c r="I82" i="1"/>
  <c r="H82" i="1"/>
  <c r="H412" i="1"/>
  <c r="I412" i="1"/>
  <c r="I300" i="1"/>
  <c r="H300" i="1"/>
  <c r="H425" i="1"/>
  <c r="I425" i="1"/>
  <c r="H360" i="1"/>
  <c r="I360" i="1"/>
  <c r="H161" i="1"/>
  <c r="I161" i="1"/>
  <c r="H15" i="1"/>
  <c r="I15" i="1"/>
  <c r="H52" i="1"/>
  <c r="I52" i="1"/>
  <c r="I343" i="1"/>
  <c r="H343" i="1"/>
  <c r="I461" i="1"/>
  <c r="H461" i="1"/>
  <c r="H291" i="1"/>
  <c r="I291" i="1"/>
  <c r="H328" i="1"/>
  <c r="I328" i="1"/>
  <c r="H22" i="1"/>
  <c r="I22" i="1"/>
  <c r="I117" i="1"/>
  <c r="H117" i="1"/>
  <c r="I284" i="1"/>
  <c r="H284" i="1"/>
  <c r="H44" i="1"/>
  <c r="I44" i="1"/>
  <c r="H335" i="1"/>
  <c r="I335" i="1"/>
  <c r="H120" i="1"/>
  <c r="I120" i="1"/>
  <c r="H241" i="1"/>
  <c r="I241" i="1"/>
  <c r="H441" i="1"/>
  <c r="I441" i="1"/>
  <c r="H387" i="1"/>
  <c r="I387" i="1"/>
  <c r="H27" i="1"/>
  <c r="I27" i="1"/>
  <c r="I399" i="1"/>
  <c r="H399" i="1"/>
  <c r="H222" i="1"/>
  <c r="I222" i="1"/>
  <c r="I497" i="1"/>
  <c r="H497" i="1"/>
  <c r="H474" i="1"/>
  <c r="I474" i="1"/>
  <c r="H413" i="1"/>
  <c r="I413" i="1"/>
  <c r="H89" i="1"/>
  <c r="I89" i="1"/>
  <c r="I371" i="1"/>
  <c r="H371" i="1"/>
  <c r="I167" i="1"/>
  <c r="H167" i="1"/>
  <c r="I185" i="1"/>
  <c r="H185" i="1"/>
  <c r="I504" i="1"/>
  <c r="H504" i="1"/>
  <c r="H109" i="1"/>
  <c r="I109" i="1"/>
  <c r="H475" i="1"/>
  <c r="I475" i="1"/>
  <c r="I409" i="1"/>
  <c r="H409" i="1"/>
  <c r="H285" i="1"/>
  <c r="I285" i="1"/>
  <c r="H231" i="1"/>
  <c r="I231" i="1"/>
  <c r="H426" i="1"/>
  <c r="I426" i="1"/>
  <c r="H499" i="1"/>
  <c r="I499" i="1"/>
  <c r="H219" i="1"/>
  <c r="I219" i="1"/>
  <c r="H368" i="1"/>
  <c r="I368" i="1"/>
  <c r="H194" i="1"/>
  <c r="I194" i="1"/>
  <c r="H98" i="1"/>
  <c r="I98" i="1"/>
  <c r="I362" i="1"/>
  <c r="H362" i="1"/>
  <c r="H76" i="1"/>
  <c r="I76" i="1"/>
  <c r="I294" i="1"/>
  <c r="H294" i="1"/>
  <c r="I126" i="1"/>
  <c r="H126" i="1"/>
  <c r="I134" i="1"/>
  <c r="H134" i="1"/>
  <c r="H348" i="1"/>
  <c r="I348" i="1"/>
  <c r="H331" i="1"/>
  <c r="I331" i="1"/>
  <c r="I458" i="1"/>
  <c r="H458" i="1"/>
  <c r="I398" i="1"/>
  <c r="H398" i="1"/>
  <c r="I145" i="1"/>
  <c r="H145" i="1"/>
  <c r="I72" i="1"/>
  <c r="H72" i="1"/>
  <c r="H451" i="1"/>
  <c r="I451" i="1"/>
  <c r="I257" i="1"/>
  <c r="H257" i="1"/>
  <c r="H67" i="1"/>
  <c r="I67" i="1"/>
  <c r="H436" i="1"/>
  <c r="I436" i="1"/>
  <c r="I307" i="1"/>
  <c r="H307" i="1"/>
  <c r="H64" i="1"/>
  <c r="I64" i="1"/>
  <c r="I97" i="1"/>
  <c r="H97" i="1"/>
  <c r="I281" i="1"/>
  <c r="H281" i="1"/>
  <c r="H140" i="1"/>
  <c r="I140" i="1"/>
  <c r="H376" i="1"/>
  <c r="I376" i="1"/>
  <c r="H87" i="1"/>
  <c r="I87" i="1"/>
  <c r="Y29" i="1"/>
  <c r="W31" i="1"/>
  <c r="H209" i="1"/>
  <c r="I209" i="1"/>
  <c r="H10" i="1"/>
  <c r="I10" i="1"/>
  <c r="I202" i="1"/>
  <c r="H202" i="1"/>
  <c r="H327" i="1"/>
  <c r="I327" i="1"/>
  <c r="I170" i="1"/>
  <c r="H170" i="1"/>
  <c r="H276" i="1"/>
  <c r="I276" i="1"/>
  <c r="H141" i="1"/>
  <c r="I141" i="1"/>
  <c r="I74" i="1"/>
  <c r="H74" i="1"/>
  <c r="I91" i="1"/>
  <c r="H91" i="1"/>
  <c r="I450" i="1"/>
  <c r="H450" i="1"/>
  <c r="H233" i="1"/>
  <c r="I233" i="1"/>
  <c r="H393" i="1"/>
  <c r="I393" i="1"/>
  <c r="I358" i="1"/>
  <c r="H358" i="1"/>
  <c r="H340" i="1"/>
  <c r="I340" i="1"/>
  <c r="H19" i="1"/>
  <c r="I19" i="1"/>
  <c r="I264" i="1"/>
  <c r="H264" i="1"/>
  <c r="I147" i="1"/>
  <c r="H147" i="1"/>
  <c r="H157" i="1"/>
  <c r="I157" i="1"/>
  <c r="H392" i="1"/>
  <c r="I392" i="1"/>
  <c r="H119" i="1"/>
  <c r="I119" i="1"/>
  <c r="H440" i="1"/>
  <c r="I440" i="1"/>
  <c r="H156" i="1"/>
  <c r="I156" i="1"/>
  <c r="I40" i="1"/>
  <c r="H40" i="1"/>
  <c r="H262" i="1"/>
  <c r="I262" i="1"/>
  <c r="H384" i="1"/>
  <c r="I384" i="1"/>
  <c r="H42" i="1"/>
  <c r="I42" i="1"/>
  <c r="H90" i="1"/>
  <c r="I90" i="1"/>
  <c r="H277" i="1"/>
  <c r="I277" i="1"/>
  <c r="I397" i="1"/>
  <c r="H397" i="1"/>
  <c r="H406" i="1"/>
  <c r="I406" i="1"/>
  <c r="H417" i="1"/>
  <c r="I417" i="1"/>
  <c r="H237" i="1"/>
  <c r="I237" i="1"/>
  <c r="I230" i="1"/>
  <c r="H230" i="1"/>
  <c r="H46" i="1"/>
  <c r="I46" i="1"/>
  <c r="I316" i="1"/>
  <c r="H316" i="1"/>
  <c r="I4" i="1"/>
  <c r="H4" i="1"/>
  <c r="H389" i="1"/>
  <c r="I389" i="1"/>
  <c r="H364" i="1"/>
  <c r="I364" i="1"/>
  <c r="H507" i="1"/>
  <c r="I507" i="1"/>
  <c r="H149" i="1"/>
  <c r="I149" i="1"/>
  <c r="H123" i="1"/>
  <c r="I123" i="1"/>
  <c r="H198" i="1"/>
  <c r="I198" i="1"/>
  <c r="I329" i="1"/>
  <c r="H329" i="1"/>
  <c r="H428" i="1"/>
  <c r="I428" i="1"/>
  <c r="H271" i="1"/>
  <c r="I271" i="1"/>
  <c r="I419" i="1"/>
  <c r="H419" i="1"/>
  <c r="I124" i="1"/>
  <c r="H124" i="1"/>
  <c r="I435" i="1"/>
  <c r="H435" i="1"/>
  <c r="H405" i="1"/>
  <c r="I405" i="1"/>
  <c r="I132" i="1"/>
  <c r="H132" i="1"/>
  <c r="H192" i="1"/>
  <c r="I192" i="1"/>
  <c r="H45" i="1"/>
  <c r="I45" i="1"/>
  <c r="H509" i="1"/>
  <c r="I509" i="1"/>
  <c r="H31" i="1"/>
  <c r="I31" i="1"/>
  <c r="I279" i="1"/>
  <c r="H279" i="1"/>
  <c r="I283" i="1"/>
  <c r="H283" i="1"/>
  <c r="H310" i="1"/>
  <c r="I310" i="1"/>
  <c r="H252" i="1"/>
  <c r="I252" i="1"/>
  <c r="H512" i="1"/>
  <c r="I512" i="1"/>
  <c r="H338" i="1"/>
  <c r="I338" i="1"/>
  <c r="I365" i="1"/>
  <c r="H365" i="1"/>
  <c r="I99" i="1"/>
  <c r="H99" i="1"/>
  <c r="H25" i="1"/>
  <c r="I25" i="1"/>
  <c r="H432" i="1"/>
  <c r="I432" i="1"/>
  <c r="H479" i="1"/>
  <c r="I479" i="1"/>
  <c r="I444" i="1"/>
  <c r="H444" i="1"/>
  <c r="I460" i="1"/>
  <c r="H460" i="1"/>
  <c r="H287" i="1"/>
  <c r="I287" i="1"/>
  <c r="Q15" i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Q501" i="1" s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I381" i="1"/>
  <c r="H381" i="1"/>
  <c r="H282" i="1"/>
  <c r="I282" i="1"/>
  <c r="H290" i="1"/>
  <c r="I290" i="1"/>
  <c r="H210" i="1"/>
  <c r="I210" i="1"/>
  <c r="I482" i="1"/>
  <c r="H482" i="1"/>
  <c r="H11" i="1"/>
  <c r="I11" i="1"/>
  <c r="I484" i="1"/>
  <c r="H484" i="1"/>
  <c r="I48" i="1"/>
  <c r="H48" i="1"/>
  <c r="H496" i="1"/>
  <c r="I496" i="1"/>
  <c r="I361" i="1"/>
  <c r="H361" i="1"/>
  <c r="I288" i="1"/>
  <c r="H288" i="1"/>
  <c r="I14" i="1"/>
  <c r="H14" i="1"/>
  <c r="H188" i="1"/>
  <c r="I188" i="1"/>
  <c r="I216" i="1"/>
  <c r="H216" i="1"/>
  <c r="I144" i="1"/>
  <c r="H144" i="1"/>
  <c r="I129" i="1"/>
  <c r="H129" i="1"/>
  <c r="H336" i="1"/>
  <c r="I336" i="1"/>
  <c r="H261" i="1"/>
  <c r="I261" i="1"/>
  <c r="H199" i="1"/>
  <c r="I199" i="1"/>
  <c r="I370" i="1"/>
  <c r="H370" i="1"/>
  <c r="H228" i="1"/>
  <c r="I228" i="1"/>
  <c r="H207" i="1"/>
  <c r="I207" i="1"/>
  <c r="H301" i="1"/>
  <c r="I301" i="1"/>
  <c r="I77" i="1"/>
  <c r="H77" i="1"/>
  <c r="H469" i="1"/>
  <c r="I469" i="1"/>
  <c r="I501" i="1"/>
  <c r="H501" i="1"/>
  <c r="I95" i="1"/>
  <c r="H95" i="1"/>
  <c r="H311" i="1"/>
  <c r="I311" i="1"/>
  <c r="H151" i="1"/>
  <c r="I151" i="1"/>
  <c r="H256" i="1"/>
  <c r="I256" i="1"/>
  <c r="H274" i="1"/>
  <c r="I274" i="1"/>
  <c r="I56" i="1"/>
  <c r="H56" i="1"/>
  <c r="I249" i="1"/>
  <c r="H249" i="1"/>
  <c r="H410" i="1"/>
  <c r="I410" i="1"/>
  <c r="I383" i="1"/>
  <c r="H383" i="1"/>
  <c r="I438" i="1"/>
  <c r="H438" i="1"/>
  <c r="H453" i="1"/>
  <c r="I453" i="1"/>
  <c r="H184" i="1"/>
  <c r="I184" i="1"/>
  <c r="H386" i="1"/>
  <c r="I386" i="1"/>
  <c r="H218" i="1"/>
  <c r="I218" i="1"/>
  <c r="I30" i="1"/>
  <c r="H30" i="1"/>
  <c r="I245" i="1"/>
  <c r="H245" i="1"/>
  <c r="I215" i="1"/>
  <c r="H215" i="1"/>
  <c r="H35" i="1"/>
  <c r="I35" i="1"/>
  <c r="H503" i="1"/>
  <c r="I503" i="1"/>
  <c r="H514" i="1"/>
  <c r="I514" i="1"/>
  <c r="H54" i="1"/>
  <c r="I54" i="1"/>
  <c r="H323" i="1"/>
  <c r="I323" i="1"/>
  <c r="I481" i="1"/>
  <c r="H481" i="1"/>
  <c r="H16" i="1"/>
  <c r="I16" i="1"/>
  <c r="H317" i="1"/>
  <c r="I317" i="1"/>
  <c r="H269" i="1"/>
  <c r="I269" i="1"/>
  <c r="H341" i="1"/>
  <c r="I341" i="1"/>
  <c r="H278" i="1"/>
  <c r="I278" i="1"/>
  <c r="H324" i="1"/>
  <c r="I324" i="1"/>
  <c r="H191" i="1"/>
  <c r="I191" i="1"/>
  <c r="H236" i="1"/>
  <c r="I236" i="1"/>
  <c r="H402" i="1"/>
  <c r="I402" i="1"/>
  <c r="I105" i="1"/>
  <c r="H105" i="1"/>
  <c r="H330" i="1"/>
  <c r="I330" i="1"/>
  <c r="I177" i="1"/>
  <c r="H177" i="1"/>
  <c r="I480" i="1"/>
  <c r="H480" i="1"/>
  <c r="H92" i="1"/>
  <c r="I92" i="1"/>
  <c r="I29" i="1"/>
  <c r="H29" i="1"/>
  <c r="Y30" i="1" l="1"/>
  <c r="W32" i="1"/>
  <c r="R16" i="1"/>
  <c r="S15" i="1"/>
  <c r="T15" i="1" s="1"/>
  <c r="R17" i="1" l="1"/>
  <c r="S16" i="1"/>
  <c r="T16" i="1" s="1"/>
  <c r="Y31" i="1"/>
  <c r="W33" i="1"/>
  <c r="Y32" i="1" l="1"/>
  <c r="W34" i="1"/>
  <c r="R18" i="1"/>
  <c r="S17" i="1"/>
  <c r="T17" i="1" s="1"/>
  <c r="Y33" i="1" l="1"/>
  <c r="W35" i="1"/>
  <c r="R19" i="1"/>
  <c r="S18" i="1"/>
  <c r="T18" i="1" s="1"/>
  <c r="R20" i="1" l="1"/>
  <c r="S19" i="1"/>
  <c r="T19" i="1" s="1"/>
  <c r="Y34" i="1"/>
  <c r="W36" i="1"/>
  <c r="Y35" i="1" l="1"/>
  <c r="W37" i="1"/>
  <c r="R21" i="1"/>
  <c r="S20" i="1"/>
  <c r="T20" i="1" s="1"/>
  <c r="R22" i="1" l="1"/>
  <c r="S21" i="1"/>
  <c r="T21" i="1" s="1"/>
  <c r="Y36" i="1"/>
  <c r="Z36" i="1" s="1"/>
  <c r="W38" i="1"/>
  <c r="Y37" i="1" l="1"/>
  <c r="Z37" i="1" s="1"/>
  <c r="AA37" i="1" s="1"/>
  <c r="W39" i="1"/>
  <c r="R23" i="1"/>
  <c r="S22" i="1"/>
  <c r="T22" i="1" s="1"/>
  <c r="R24" i="1" l="1"/>
  <c r="S23" i="1"/>
  <c r="T23" i="1" s="1"/>
  <c r="Y38" i="1"/>
  <c r="Z38" i="1" s="1"/>
  <c r="AA38" i="1" s="1"/>
  <c r="W40" i="1"/>
  <c r="Y39" i="1" l="1"/>
  <c r="Z39" i="1" s="1"/>
  <c r="AA39" i="1" s="1"/>
  <c r="W41" i="1"/>
  <c r="R25" i="1"/>
  <c r="S24" i="1"/>
  <c r="T24" i="1" s="1"/>
  <c r="Y40" i="1" l="1"/>
  <c r="Z40" i="1" s="1"/>
  <c r="AA40" i="1" s="1"/>
  <c r="W42" i="1"/>
  <c r="R26" i="1"/>
  <c r="S25" i="1"/>
  <c r="T25" i="1" s="1"/>
  <c r="R27" i="1" l="1"/>
  <c r="S26" i="1"/>
  <c r="T26" i="1" s="1"/>
  <c r="Y41" i="1"/>
  <c r="Z41" i="1" s="1"/>
  <c r="AA41" i="1" s="1"/>
  <c r="W43" i="1"/>
  <c r="Y42" i="1" l="1"/>
  <c r="Z42" i="1" s="1"/>
  <c r="AA42" i="1" s="1"/>
  <c r="W44" i="1"/>
  <c r="R28" i="1"/>
  <c r="S27" i="1"/>
  <c r="T27" i="1" s="1"/>
  <c r="Y43" i="1" l="1"/>
  <c r="Z43" i="1" s="1"/>
  <c r="AA43" i="1" s="1"/>
  <c r="W45" i="1"/>
  <c r="R29" i="1"/>
  <c r="S28" i="1"/>
  <c r="T28" i="1" s="1"/>
  <c r="R30" i="1" l="1"/>
  <c r="S29" i="1"/>
  <c r="T29" i="1" s="1"/>
  <c r="Y44" i="1"/>
  <c r="Z44" i="1" s="1"/>
  <c r="AA44" i="1" s="1"/>
  <c r="W46" i="1"/>
  <c r="Y45" i="1" l="1"/>
  <c r="Z45" i="1" s="1"/>
  <c r="AA45" i="1" s="1"/>
  <c r="W47" i="1"/>
  <c r="R31" i="1"/>
  <c r="S30" i="1"/>
  <c r="T30" i="1" s="1"/>
  <c r="R32" i="1" l="1"/>
  <c r="S31" i="1"/>
  <c r="T31" i="1" s="1"/>
  <c r="Y46" i="1"/>
  <c r="Z46" i="1" s="1"/>
  <c r="AA46" i="1" s="1"/>
  <c r="W48" i="1"/>
  <c r="Y47" i="1" l="1"/>
  <c r="Z47" i="1" s="1"/>
  <c r="AA47" i="1" s="1"/>
  <c r="W49" i="1"/>
  <c r="S32" i="1"/>
  <c r="T32" i="1" s="1"/>
  <c r="R33" i="1"/>
  <c r="R34" i="1" l="1"/>
  <c r="S33" i="1"/>
  <c r="T33" i="1" s="1"/>
  <c r="Y48" i="1"/>
  <c r="Z48" i="1" s="1"/>
  <c r="AA48" i="1" s="1"/>
  <c r="W50" i="1"/>
  <c r="Y49" i="1" l="1"/>
  <c r="Z49" i="1" s="1"/>
  <c r="AA49" i="1" s="1"/>
  <c r="W51" i="1"/>
  <c r="R35" i="1"/>
  <c r="S34" i="1"/>
  <c r="T34" i="1" s="1"/>
  <c r="R36" i="1" l="1"/>
  <c r="S35" i="1"/>
  <c r="T35" i="1" s="1"/>
  <c r="Y50" i="1"/>
  <c r="Z50" i="1" s="1"/>
  <c r="AA50" i="1" s="1"/>
  <c r="W52" i="1"/>
  <c r="Y51" i="1" l="1"/>
  <c r="Z51" i="1" s="1"/>
  <c r="AA51" i="1" s="1"/>
  <c r="W53" i="1"/>
  <c r="R37" i="1"/>
  <c r="S36" i="1"/>
  <c r="T36" i="1" s="1"/>
  <c r="Y52" i="1" l="1"/>
  <c r="Z52" i="1" s="1"/>
  <c r="AA52" i="1" s="1"/>
  <c r="W54" i="1"/>
  <c r="R38" i="1"/>
  <c r="S37" i="1"/>
  <c r="T37" i="1" s="1"/>
  <c r="Y53" i="1" l="1"/>
  <c r="Z53" i="1" s="1"/>
  <c r="AA53" i="1" s="1"/>
  <c r="W55" i="1"/>
  <c r="R39" i="1"/>
  <c r="S38" i="1"/>
  <c r="T38" i="1" s="1"/>
  <c r="Y54" i="1" l="1"/>
  <c r="Z54" i="1" s="1"/>
  <c r="AA54" i="1" s="1"/>
  <c r="W56" i="1"/>
  <c r="R40" i="1"/>
  <c r="S39" i="1"/>
  <c r="T39" i="1" s="1"/>
  <c r="R41" i="1" l="1"/>
  <c r="S40" i="1"/>
  <c r="T40" i="1" s="1"/>
  <c r="Y55" i="1"/>
  <c r="Z55" i="1" s="1"/>
  <c r="AA55" i="1" s="1"/>
  <c r="W57" i="1"/>
  <c r="Y56" i="1" l="1"/>
  <c r="Z56" i="1" s="1"/>
  <c r="AA56" i="1" s="1"/>
  <c r="W58" i="1"/>
  <c r="R42" i="1"/>
  <c r="S41" i="1"/>
  <c r="T41" i="1" s="1"/>
  <c r="R43" i="1" l="1"/>
  <c r="S42" i="1"/>
  <c r="T42" i="1" s="1"/>
  <c r="Y57" i="1"/>
  <c r="Z57" i="1" s="1"/>
  <c r="AA57" i="1" s="1"/>
  <c r="W59" i="1"/>
  <c r="Y58" i="1" l="1"/>
  <c r="Z58" i="1" s="1"/>
  <c r="AA58" i="1" s="1"/>
  <c r="W60" i="1"/>
  <c r="R44" i="1"/>
  <c r="S43" i="1"/>
  <c r="T43" i="1" s="1"/>
  <c r="R45" i="1" l="1"/>
  <c r="S44" i="1"/>
  <c r="T44" i="1" s="1"/>
  <c r="Y59" i="1"/>
  <c r="Z59" i="1" s="1"/>
  <c r="AA59" i="1" s="1"/>
  <c r="W61" i="1"/>
  <c r="Y60" i="1" l="1"/>
  <c r="Z60" i="1" s="1"/>
  <c r="AA60" i="1" s="1"/>
  <c r="W62" i="1"/>
  <c r="R46" i="1"/>
  <c r="S45" i="1"/>
  <c r="T45" i="1" s="1"/>
  <c r="R47" i="1" l="1"/>
  <c r="S46" i="1"/>
  <c r="T46" i="1" s="1"/>
  <c r="Y61" i="1"/>
  <c r="Z61" i="1" s="1"/>
  <c r="AA61" i="1" s="1"/>
  <c r="W63" i="1"/>
  <c r="Y62" i="1" l="1"/>
  <c r="Z62" i="1" s="1"/>
  <c r="AA62" i="1" s="1"/>
  <c r="W64" i="1"/>
  <c r="R48" i="1"/>
  <c r="S47" i="1"/>
  <c r="T47" i="1" s="1"/>
  <c r="R49" i="1" l="1"/>
  <c r="S48" i="1"/>
  <c r="T48" i="1" s="1"/>
  <c r="Y63" i="1"/>
  <c r="Z63" i="1" s="1"/>
  <c r="AA63" i="1" s="1"/>
  <c r="W65" i="1"/>
  <c r="Y64" i="1" l="1"/>
  <c r="Z64" i="1" s="1"/>
  <c r="AA64" i="1" s="1"/>
  <c r="W66" i="1"/>
  <c r="R50" i="1"/>
  <c r="S49" i="1"/>
  <c r="T49" i="1" s="1"/>
  <c r="R51" i="1" l="1"/>
  <c r="S50" i="1"/>
  <c r="T50" i="1" s="1"/>
  <c r="Y65" i="1"/>
  <c r="Z65" i="1" s="1"/>
  <c r="AA65" i="1" s="1"/>
  <c r="W67" i="1"/>
  <c r="Y66" i="1" l="1"/>
  <c r="Z66" i="1" s="1"/>
  <c r="AA66" i="1" s="1"/>
  <c r="W68" i="1"/>
  <c r="R52" i="1"/>
  <c r="S51" i="1"/>
  <c r="T51" i="1" s="1"/>
  <c r="R53" i="1" l="1"/>
  <c r="S52" i="1"/>
  <c r="T52" i="1" s="1"/>
  <c r="Y67" i="1"/>
  <c r="Z67" i="1" s="1"/>
  <c r="AA67" i="1" s="1"/>
  <c r="W69" i="1"/>
  <c r="Y68" i="1" l="1"/>
  <c r="Z68" i="1" s="1"/>
  <c r="AA68" i="1" s="1"/>
  <c r="W70" i="1"/>
  <c r="R54" i="1"/>
  <c r="S53" i="1"/>
  <c r="T53" i="1" s="1"/>
  <c r="S54" i="1" l="1"/>
  <c r="T54" i="1" s="1"/>
  <c r="R55" i="1"/>
  <c r="Y69" i="1"/>
  <c r="Z69" i="1" s="1"/>
  <c r="AA69" i="1" s="1"/>
  <c r="W71" i="1"/>
  <c r="Y70" i="1" l="1"/>
  <c r="Z70" i="1" s="1"/>
  <c r="AA70" i="1" s="1"/>
  <c r="W72" i="1"/>
  <c r="S55" i="1"/>
  <c r="T55" i="1" s="1"/>
  <c r="R56" i="1"/>
  <c r="S56" i="1" l="1"/>
  <c r="T56" i="1" s="1"/>
  <c r="R57" i="1"/>
  <c r="Y71" i="1"/>
  <c r="Z71" i="1" s="1"/>
  <c r="AA71" i="1" s="1"/>
  <c r="W73" i="1"/>
  <c r="Y72" i="1" l="1"/>
  <c r="Z72" i="1" s="1"/>
  <c r="AA72" i="1" s="1"/>
  <c r="W74" i="1"/>
  <c r="R58" i="1"/>
  <c r="S57" i="1"/>
  <c r="T57" i="1" s="1"/>
  <c r="R59" i="1" l="1"/>
  <c r="S58" i="1"/>
  <c r="T58" i="1" s="1"/>
  <c r="Y73" i="1"/>
  <c r="Z73" i="1" s="1"/>
  <c r="AA73" i="1" s="1"/>
  <c r="W75" i="1"/>
  <c r="Y74" i="1" l="1"/>
  <c r="Z74" i="1" s="1"/>
  <c r="AA74" i="1" s="1"/>
  <c r="W76" i="1"/>
  <c r="R60" i="1"/>
  <c r="S59" i="1"/>
  <c r="T59" i="1" s="1"/>
  <c r="R61" i="1" l="1"/>
  <c r="S60" i="1"/>
  <c r="T60" i="1" s="1"/>
  <c r="Y75" i="1"/>
  <c r="Z75" i="1" s="1"/>
  <c r="AA75" i="1" s="1"/>
  <c r="W77" i="1"/>
  <c r="Y76" i="1" l="1"/>
  <c r="Z76" i="1" s="1"/>
  <c r="AA76" i="1" s="1"/>
  <c r="W78" i="1"/>
  <c r="R62" i="1"/>
  <c r="S61" i="1"/>
  <c r="T61" i="1" s="1"/>
  <c r="R63" i="1" l="1"/>
  <c r="S62" i="1"/>
  <c r="T62" i="1" s="1"/>
  <c r="Y77" i="1"/>
  <c r="Z77" i="1" s="1"/>
  <c r="AA77" i="1" s="1"/>
  <c r="W79" i="1"/>
  <c r="Y78" i="1" l="1"/>
  <c r="Z78" i="1" s="1"/>
  <c r="AA78" i="1" s="1"/>
  <c r="W80" i="1"/>
  <c r="R64" i="1"/>
  <c r="S63" i="1"/>
  <c r="T63" i="1" s="1"/>
  <c r="R65" i="1" l="1"/>
  <c r="S64" i="1"/>
  <c r="T64" i="1" s="1"/>
  <c r="Y79" i="1"/>
  <c r="Z79" i="1" s="1"/>
  <c r="AA79" i="1" s="1"/>
  <c r="W81" i="1"/>
  <c r="Y80" i="1" l="1"/>
  <c r="Z80" i="1" s="1"/>
  <c r="AA80" i="1" s="1"/>
  <c r="W82" i="1"/>
  <c r="R66" i="1"/>
  <c r="S65" i="1"/>
  <c r="T65" i="1" s="1"/>
  <c r="R67" i="1" l="1"/>
  <c r="S66" i="1"/>
  <c r="T66" i="1" s="1"/>
  <c r="Y81" i="1"/>
  <c r="Z81" i="1" s="1"/>
  <c r="AA81" i="1" s="1"/>
  <c r="W83" i="1"/>
  <c r="Y82" i="1" l="1"/>
  <c r="Z82" i="1" s="1"/>
  <c r="AA82" i="1" s="1"/>
  <c r="W84" i="1"/>
  <c r="R68" i="1"/>
  <c r="S67" i="1"/>
  <c r="T67" i="1" s="1"/>
  <c r="S68" i="1" l="1"/>
  <c r="T68" i="1" s="1"/>
  <c r="R69" i="1"/>
  <c r="Y83" i="1"/>
  <c r="Z83" i="1" s="1"/>
  <c r="AA83" i="1" s="1"/>
  <c r="W85" i="1"/>
  <c r="Y84" i="1" l="1"/>
  <c r="Z84" i="1" s="1"/>
  <c r="AA84" i="1" s="1"/>
  <c r="W86" i="1"/>
  <c r="R70" i="1"/>
  <c r="S69" i="1"/>
  <c r="T69" i="1" s="1"/>
  <c r="R71" i="1" l="1"/>
  <c r="S70" i="1"/>
  <c r="T70" i="1" s="1"/>
  <c r="Y85" i="1"/>
  <c r="Z85" i="1" s="1"/>
  <c r="AA85" i="1" s="1"/>
  <c r="W87" i="1"/>
  <c r="Y86" i="1" l="1"/>
  <c r="Z86" i="1" s="1"/>
  <c r="AA86" i="1" s="1"/>
  <c r="W88" i="1"/>
  <c r="R72" i="1"/>
  <c r="S71" i="1"/>
  <c r="T71" i="1" s="1"/>
  <c r="R73" i="1" l="1"/>
  <c r="S72" i="1"/>
  <c r="T72" i="1" s="1"/>
  <c r="Y87" i="1"/>
  <c r="Z87" i="1" s="1"/>
  <c r="AA87" i="1" s="1"/>
  <c r="W89" i="1"/>
  <c r="Y88" i="1" l="1"/>
  <c r="W90" i="1"/>
  <c r="R74" i="1"/>
  <c r="S73" i="1"/>
  <c r="T73" i="1" s="1"/>
  <c r="R75" i="1" l="1"/>
  <c r="S74" i="1"/>
  <c r="T74" i="1" s="1"/>
  <c r="Y89" i="1"/>
  <c r="W91" i="1"/>
  <c r="Z88" i="1"/>
  <c r="AA88" i="1" s="1"/>
  <c r="Y90" i="1" l="1"/>
  <c r="W92" i="1"/>
  <c r="Z89" i="1"/>
  <c r="AA89" i="1" s="1"/>
  <c r="R76" i="1"/>
  <c r="S75" i="1"/>
  <c r="T75" i="1" s="1"/>
  <c r="R77" i="1" l="1"/>
  <c r="S76" i="1"/>
  <c r="T76" i="1" s="1"/>
  <c r="Y91" i="1"/>
  <c r="W93" i="1"/>
  <c r="Z90" i="1"/>
  <c r="AA90" i="1" s="1"/>
  <c r="Y92" i="1" l="1"/>
  <c r="W94" i="1"/>
  <c r="Z91" i="1"/>
  <c r="AA91" i="1" s="1"/>
  <c r="R78" i="1"/>
  <c r="S77" i="1"/>
  <c r="T77" i="1" s="1"/>
  <c r="S78" i="1" l="1"/>
  <c r="T78" i="1" s="1"/>
  <c r="R79" i="1"/>
  <c r="Y93" i="1"/>
  <c r="W95" i="1"/>
  <c r="Z92" i="1"/>
  <c r="AA92" i="1" s="1"/>
  <c r="Y94" i="1" l="1"/>
  <c r="W96" i="1"/>
  <c r="Z93" i="1"/>
  <c r="AA93" i="1" s="1"/>
  <c r="R80" i="1"/>
  <c r="S79" i="1"/>
  <c r="T79" i="1" s="1"/>
  <c r="R81" i="1" l="1"/>
  <c r="S80" i="1"/>
  <c r="T80" i="1" s="1"/>
  <c r="Y95" i="1"/>
  <c r="W97" i="1"/>
  <c r="Z94" i="1"/>
  <c r="AA94" i="1" s="1"/>
  <c r="Y96" i="1" l="1"/>
  <c r="W98" i="1"/>
  <c r="Z95" i="1"/>
  <c r="AA95" i="1" s="1"/>
  <c r="R82" i="1"/>
  <c r="S81" i="1"/>
  <c r="T81" i="1" s="1"/>
  <c r="R83" i="1" l="1"/>
  <c r="S82" i="1"/>
  <c r="T82" i="1" s="1"/>
  <c r="Y97" i="1"/>
  <c r="W99" i="1"/>
  <c r="Z96" i="1"/>
  <c r="AA96" i="1" s="1"/>
  <c r="Y98" i="1" l="1"/>
  <c r="W100" i="1"/>
  <c r="Z97" i="1"/>
  <c r="AA97" i="1" s="1"/>
  <c r="R84" i="1"/>
  <c r="S83" i="1"/>
  <c r="T83" i="1" s="1"/>
  <c r="R85" i="1" l="1"/>
  <c r="S84" i="1"/>
  <c r="T84" i="1" s="1"/>
  <c r="Y99" i="1"/>
  <c r="W101" i="1"/>
  <c r="Z98" i="1"/>
  <c r="AA98" i="1" s="1"/>
  <c r="Y100" i="1" l="1"/>
  <c r="W102" i="1"/>
  <c r="Z99" i="1"/>
  <c r="AA99" i="1" s="1"/>
  <c r="R86" i="1"/>
  <c r="S85" i="1"/>
  <c r="T85" i="1" s="1"/>
  <c r="R87" i="1" l="1"/>
  <c r="S86" i="1"/>
  <c r="T86" i="1" s="1"/>
  <c r="Y101" i="1"/>
  <c r="W103" i="1"/>
  <c r="Z100" i="1"/>
  <c r="AA100" i="1" s="1"/>
  <c r="Y102" i="1" l="1"/>
  <c r="W104" i="1"/>
  <c r="Z101" i="1"/>
  <c r="AA101" i="1" s="1"/>
  <c r="R88" i="1"/>
  <c r="S87" i="1"/>
  <c r="T87" i="1" s="1"/>
  <c r="R89" i="1" l="1"/>
  <c r="S88" i="1"/>
  <c r="T88" i="1" s="1"/>
  <c r="Y103" i="1"/>
  <c r="W105" i="1"/>
  <c r="Z102" i="1"/>
  <c r="AA102" i="1" s="1"/>
  <c r="Y104" i="1" l="1"/>
  <c r="W106" i="1"/>
  <c r="Z103" i="1"/>
  <c r="AA103" i="1" s="1"/>
  <c r="R90" i="1"/>
  <c r="S89" i="1"/>
  <c r="T89" i="1" s="1"/>
  <c r="R91" i="1" l="1"/>
  <c r="S90" i="1"/>
  <c r="T90" i="1" s="1"/>
  <c r="Y105" i="1"/>
  <c r="W107" i="1"/>
  <c r="Z104" i="1"/>
  <c r="AA104" i="1" s="1"/>
  <c r="Y106" i="1" l="1"/>
  <c r="W108" i="1"/>
  <c r="Z105" i="1"/>
  <c r="AA105" i="1" s="1"/>
  <c r="R92" i="1"/>
  <c r="S91" i="1"/>
  <c r="T91" i="1" s="1"/>
  <c r="R93" i="1" l="1"/>
  <c r="S92" i="1"/>
  <c r="T92" i="1" s="1"/>
  <c r="Y107" i="1"/>
  <c r="W109" i="1"/>
  <c r="Z106" i="1"/>
  <c r="AA106" i="1" s="1"/>
  <c r="Z107" i="1" l="1"/>
  <c r="AA107" i="1" s="1"/>
  <c r="Y108" i="1"/>
  <c r="W110" i="1"/>
  <c r="R94" i="1"/>
  <c r="S93" i="1"/>
  <c r="T93" i="1" s="1"/>
  <c r="Z108" i="1" l="1"/>
  <c r="AA108" i="1" s="1"/>
  <c r="S94" i="1"/>
  <c r="T94" i="1" s="1"/>
  <c r="R95" i="1"/>
  <c r="Y109" i="1"/>
  <c r="W111" i="1"/>
  <c r="Z109" i="1" l="1"/>
  <c r="AA109" i="1" s="1"/>
  <c r="Y110" i="1"/>
  <c r="W112" i="1"/>
  <c r="R96" i="1"/>
  <c r="S95" i="1"/>
  <c r="T95" i="1" s="1"/>
  <c r="Z110" i="1" l="1"/>
  <c r="AA110" i="1" s="1"/>
  <c r="R97" i="1"/>
  <c r="S96" i="1"/>
  <c r="T96" i="1" s="1"/>
  <c r="Y111" i="1"/>
  <c r="W113" i="1"/>
  <c r="Z111" i="1" l="1"/>
  <c r="AA111" i="1" s="1"/>
  <c r="Y112" i="1"/>
  <c r="W114" i="1"/>
  <c r="S97" i="1"/>
  <c r="T97" i="1" s="1"/>
  <c r="R98" i="1"/>
  <c r="Z112" i="1" l="1"/>
  <c r="AA112" i="1" s="1"/>
  <c r="R99" i="1"/>
  <c r="S98" i="1"/>
  <c r="T98" i="1" s="1"/>
  <c r="Y113" i="1"/>
  <c r="W115" i="1"/>
  <c r="Z113" i="1" l="1"/>
  <c r="AA113" i="1" s="1"/>
  <c r="Y114" i="1"/>
  <c r="W116" i="1"/>
  <c r="R100" i="1"/>
  <c r="S99" i="1"/>
  <c r="T99" i="1" s="1"/>
  <c r="Z114" i="1" l="1"/>
  <c r="AA114" i="1" s="1"/>
  <c r="Y115" i="1"/>
  <c r="W117" i="1"/>
  <c r="R101" i="1"/>
  <c r="S100" i="1"/>
  <c r="T100" i="1" s="1"/>
  <c r="Z115" i="1" l="1"/>
  <c r="AA115" i="1" s="1"/>
  <c r="Y116" i="1"/>
  <c r="W118" i="1"/>
  <c r="R102" i="1"/>
  <c r="S101" i="1"/>
  <c r="T101" i="1" s="1"/>
  <c r="Z116" i="1" l="1"/>
  <c r="AA116" i="1" s="1"/>
  <c r="R103" i="1"/>
  <c r="S102" i="1"/>
  <c r="T102" i="1" s="1"/>
  <c r="Y117" i="1"/>
  <c r="W119" i="1"/>
  <c r="Z117" i="1" l="1"/>
  <c r="AA117" i="1" s="1"/>
  <c r="Y118" i="1"/>
  <c r="W120" i="1"/>
  <c r="R104" i="1"/>
  <c r="S103" i="1"/>
  <c r="T103" i="1" s="1"/>
  <c r="Z118" i="1" l="1"/>
  <c r="AA118" i="1" s="1"/>
  <c r="R105" i="1"/>
  <c r="S104" i="1"/>
  <c r="T104" i="1" s="1"/>
  <c r="Y119" i="1"/>
  <c r="W121" i="1"/>
  <c r="Z119" i="1" l="1"/>
  <c r="AA119" i="1" s="1"/>
  <c r="Y120" i="1"/>
  <c r="W122" i="1"/>
  <c r="R106" i="1"/>
  <c r="S105" i="1"/>
  <c r="T105" i="1" s="1"/>
  <c r="Z120" i="1" l="1"/>
  <c r="AA120" i="1" s="1"/>
  <c r="R107" i="1"/>
  <c r="S106" i="1"/>
  <c r="T106" i="1" s="1"/>
  <c r="Y121" i="1"/>
  <c r="W123" i="1"/>
  <c r="Z121" i="1" l="1"/>
  <c r="AA121" i="1" s="1"/>
  <c r="Y122" i="1"/>
  <c r="W124" i="1"/>
  <c r="S107" i="1"/>
  <c r="T107" i="1" s="1"/>
  <c r="R108" i="1"/>
  <c r="R109" i="1" l="1"/>
  <c r="S108" i="1"/>
  <c r="T108" i="1" s="1"/>
  <c r="Y123" i="1"/>
  <c r="W125" i="1"/>
  <c r="Z122" i="1"/>
  <c r="AA122" i="1" s="1"/>
  <c r="Y124" i="1" l="1"/>
  <c r="W126" i="1"/>
  <c r="Z123" i="1"/>
  <c r="AA123" i="1" s="1"/>
  <c r="R110" i="1"/>
  <c r="S109" i="1"/>
  <c r="T109" i="1" s="1"/>
  <c r="R111" i="1" l="1"/>
  <c r="S110" i="1"/>
  <c r="T110" i="1" s="1"/>
  <c r="Y125" i="1"/>
  <c r="W127" i="1"/>
  <c r="Z124" i="1"/>
  <c r="AA124" i="1" s="1"/>
  <c r="Y126" i="1" l="1"/>
  <c r="W128" i="1"/>
  <c r="Z125" i="1"/>
  <c r="AA125" i="1" s="1"/>
  <c r="R112" i="1"/>
  <c r="S111" i="1"/>
  <c r="T111" i="1" s="1"/>
  <c r="R113" i="1" l="1"/>
  <c r="S112" i="1"/>
  <c r="T112" i="1" s="1"/>
  <c r="Y127" i="1"/>
  <c r="W129" i="1"/>
  <c r="Z126" i="1"/>
  <c r="AA126" i="1" s="1"/>
  <c r="Y128" i="1" l="1"/>
  <c r="W130" i="1"/>
  <c r="Z127" i="1"/>
  <c r="AA127" i="1" s="1"/>
  <c r="R114" i="1"/>
  <c r="S113" i="1"/>
  <c r="T113" i="1" s="1"/>
  <c r="R115" i="1" l="1"/>
  <c r="S114" i="1"/>
  <c r="T114" i="1" s="1"/>
  <c r="Y129" i="1"/>
  <c r="W131" i="1"/>
  <c r="Z128" i="1"/>
  <c r="AA128" i="1" s="1"/>
  <c r="Y130" i="1" l="1"/>
  <c r="W132" i="1"/>
  <c r="Z129" i="1"/>
  <c r="AA129" i="1" s="1"/>
  <c r="R116" i="1"/>
  <c r="S115" i="1"/>
  <c r="T115" i="1" s="1"/>
  <c r="R117" i="1" l="1"/>
  <c r="S116" i="1"/>
  <c r="T116" i="1" s="1"/>
  <c r="Y131" i="1"/>
  <c r="W133" i="1"/>
  <c r="Z130" i="1"/>
  <c r="AA130" i="1" s="1"/>
  <c r="Y132" i="1" l="1"/>
  <c r="W134" i="1"/>
  <c r="Z131" i="1"/>
  <c r="AA131" i="1" s="1"/>
  <c r="R118" i="1"/>
  <c r="S117" i="1"/>
  <c r="T117" i="1" s="1"/>
  <c r="R119" i="1" l="1"/>
  <c r="S118" i="1"/>
  <c r="T118" i="1" s="1"/>
  <c r="Y133" i="1"/>
  <c r="W135" i="1"/>
  <c r="Z132" i="1"/>
  <c r="AA132" i="1" s="1"/>
  <c r="Y134" i="1" l="1"/>
  <c r="W136" i="1"/>
  <c r="Z133" i="1"/>
  <c r="AA133" i="1" s="1"/>
  <c r="R120" i="1"/>
  <c r="S119" i="1"/>
  <c r="T119" i="1" s="1"/>
  <c r="S120" i="1" l="1"/>
  <c r="T120" i="1" s="1"/>
  <c r="R121" i="1"/>
  <c r="Y135" i="1"/>
  <c r="W137" i="1"/>
  <c r="Z134" i="1"/>
  <c r="AA134" i="1" s="1"/>
  <c r="Y136" i="1" l="1"/>
  <c r="W138" i="1"/>
  <c r="Z135" i="1"/>
  <c r="AA135" i="1" s="1"/>
  <c r="R122" i="1"/>
  <c r="S121" i="1"/>
  <c r="T121" i="1" s="1"/>
  <c r="R123" i="1" l="1"/>
  <c r="S122" i="1"/>
  <c r="T122" i="1" s="1"/>
  <c r="Y137" i="1"/>
  <c r="W139" i="1"/>
  <c r="Z136" i="1"/>
  <c r="AA136" i="1" s="1"/>
  <c r="Y138" i="1" l="1"/>
  <c r="W140" i="1"/>
  <c r="Z137" i="1"/>
  <c r="AA137" i="1" s="1"/>
  <c r="R124" i="1"/>
  <c r="S123" i="1"/>
  <c r="T123" i="1" s="1"/>
  <c r="R125" i="1" l="1"/>
  <c r="S124" i="1"/>
  <c r="T124" i="1" s="1"/>
  <c r="Y139" i="1"/>
  <c r="W141" i="1"/>
  <c r="Z138" i="1"/>
  <c r="AA138" i="1" s="1"/>
  <c r="Y140" i="1" l="1"/>
  <c r="W142" i="1"/>
  <c r="Z139" i="1"/>
  <c r="AA139" i="1" s="1"/>
  <c r="R126" i="1"/>
  <c r="S125" i="1"/>
  <c r="T125" i="1" s="1"/>
  <c r="S126" i="1" l="1"/>
  <c r="T126" i="1" s="1"/>
  <c r="R127" i="1"/>
  <c r="Y141" i="1"/>
  <c r="W143" i="1"/>
  <c r="Z140" i="1"/>
  <c r="AA140" i="1" s="1"/>
  <c r="Y142" i="1" l="1"/>
  <c r="W144" i="1"/>
  <c r="Z141" i="1"/>
  <c r="AA141" i="1" s="1"/>
  <c r="R128" i="1"/>
  <c r="S127" i="1"/>
  <c r="T127" i="1" s="1"/>
  <c r="R129" i="1" l="1"/>
  <c r="S128" i="1"/>
  <c r="T128" i="1" s="1"/>
  <c r="Y143" i="1"/>
  <c r="W145" i="1"/>
  <c r="Z142" i="1"/>
  <c r="AA142" i="1" s="1"/>
  <c r="Y144" i="1" l="1"/>
  <c r="W146" i="1"/>
  <c r="Z143" i="1"/>
  <c r="AA143" i="1" s="1"/>
  <c r="R130" i="1"/>
  <c r="S129" i="1"/>
  <c r="T129" i="1" s="1"/>
  <c r="R131" i="1" l="1"/>
  <c r="S130" i="1"/>
  <c r="T130" i="1" s="1"/>
  <c r="Y145" i="1"/>
  <c r="W147" i="1"/>
  <c r="Z144" i="1"/>
  <c r="AA144" i="1" s="1"/>
  <c r="Y146" i="1" l="1"/>
  <c r="W148" i="1"/>
  <c r="Z145" i="1"/>
  <c r="AA145" i="1" s="1"/>
  <c r="R132" i="1"/>
  <c r="S131" i="1"/>
  <c r="T131" i="1" s="1"/>
  <c r="R133" i="1" l="1"/>
  <c r="S132" i="1"/>
  <c r="T132" i="1" s="1"/>
  <c r="Y147" i="1"/>
  <c r="W149" i="1"/>
  <c r="Z146" i="1"/>
  <c r="AA146" i="1" s="1"/>
  <c r="Z147" i="1" l="1"/>
  <c r="AA147" i="1" s="1"/>
  <c r="Y148" i="1"/>
  <c r="W150" i="1"/>
  <c r="R134" i="1"/>
  <c r="S133" i="1"/>
  <c r="T133" i="1" s="1"/>
  <c r="Z148" i="1" l="1"/>
  <c r="AA148" i="1" s="1"/>
  <c r="R135" i="1"/>
  <c r="S134" i="1"/>
  <c r="T134" i="1" s="1"/>
  <c r="Y149" i="1"/>
  <c r="W151" i="1"/>
  <c r="Z149" i="1" l="1"/>
  <c r="AA149" i="1" s="1"/>
  <c r="Y150" i="1"/>
  <c r="W152" i="1"/>
  <c r="R136" i="1"/>
  <c r="S135" i="1"/>
  <c r="T135" i="1" s="1"/>
  <c r="Z150" i="1" l="1"/>
  <c r="AA150" i="1" s="1"/>
  <c r="Y151" i="1"/>
  <c r="W153" i="1"/>
  <c r="R137" i="1"/>
  <c r="S136" i="1"/>
  <c r="T136" i="1" s="1"/>
  <c r="Z151" i="1" l="1"/>
  <c r="AA151" i="1" s="1"/>
  <c r="R138" i="1"/>
  <c r="S137" i="1"/>
  <c r="T137" i="1" s="1"/>
  <c r="Y152" i="1"/>
  <c r="W154" i="1"/>
  <c r="Z152" i="1" l="1"/>
  <c r="AA152" i="1" s="1"/>
  <c r="Y153" i="1"/>
  <c r="W155" i="1"/>
  <c r="R139" i="1"/>
  <c r="S138" i="1"/>
  <c r="T138" i="1" s="1"/>
  <c r="Z153" i="1" l="1"/>
  <c r="AA153" i="1" s="1"/>
  <c r="R140" i="1"/>
  <c r="S139" i="1"/>
  <c r="T139" i="1" s="1"/>
  <c r="Y154" i="1"/>
  <c r="W156" i="1"/>
  <c r="Z154" i="1" l="1"/>
  <c r="AA154" i="1" s="1"/>
  <c r="Y155" i="1"/>
  <c r="Z155" i="1" s="1"/>
  <c r="AA155" i="1" s="1"/>
  <c r="W157" i="1"/>
  <c r="R141" i="1"/>
  <c r="S140" i="1"/>
  <c r="T140" i="1" s="1"/>
  <c r="S141" i="1" l="1"/>
  <c r="T141" i="1" s="1"/>
  <c r="R142" i="1"/>
  <c r="Y156" i="1"/>
  <c r="W158" i="1"/>
  <c r="Y157" i="1" l="1"/>
  <c r="W159" i="1"/>
  <c r="Z156" i="1"/>
  <c r="AA156" i="1" s="1"/>
  <c r="R143" i="1"/>
  <c r="S142" i="1"/>
  <c r="T142" i="1" s="1"/>
  <c r="R144" i="1" l="1"/>
  <c r="S143" i="1"/>
  <c r="T143" i="1" s="1"/>
  <c r="Y158" i="1"/>
  <c r="W160" i="1"/>
  <c r="Z157" i="1"/>
  <c r="AA157" i="1" s="1"/>
  <c r="Y159" i="1" l="1"/>
  <c r="W161" i="1"/>
  <c r="Z158" i="1"/>
  <c r="AA158" i="1" s="1"/>
  <c r="R145" i="1"/>
  <c r="S144" i="1"/>
  <c r="T144" i="1" s="1"/>
  <c r="R146" i="1" l="1"/>
  <c r="S145" i="1"/>
  <c r="T145" i="1" s="1"/>
  <c r="Y160" i="1"/>
  <c r="W162" i="1"/>
  <c r="Z159" i="1"/>
  <c r="AA159" i="1" s="1"/>
  <c r="Y161" i="1" l="1"/>
  <c r="W163" i="1"/>
  <c r="Z160" i="1"/>
  <c r="AA160" i="1" s="1"/>
  <c r="R147" i="1"/>
  <c r="S146" i="1"/>
  <c r="T146" i="1" s="1"/>
  <c r="R148" i="1" l="1"/>
  <c r="S147" i="1"/>
  <c r="T147" i="1" s="1"/>
  <c r="Y162" i="1"/>
  <c r="W164" i="1"/>
  <c r="Z161" i="1"/>
  <c r="AA161" i="1" s="1"/>
  <c r="Y163" i="1" l="1"/>
  <c r="W165" i="1"/>
  <c r="Z162" i="1"/>
  <c r="AA162" i="1" s="1"/>
  <c r="R149" i="1"/>
  <c r="S148" i="1"/>
  <c r="T148" i="1" s="1"/>
  <c r="S149" i="1" l="1"/>
  <c r="T149" i="1" s="1"/>
  <c r="R150" i="1"/>
  <c r="Y164" i="1"/>
  <c r="W166" i="1"/>
  <c r="Z163" i="1"/>
  <c r="AA163" i="1" s="1"/>
  <c r="Y165" i="1" l="1"/>
  <c r="W167" i="1"/>
  <c r="Z164" i="1"/>
  <c r="AA164" i="1" s="1"/>
  <c r="R151" i="1"/>
  <c r="S150" i="1"/>
  <c r="T150" i="1" s="1"/>
  <c r="R152" i="1" l="1"/>
  <c r="S151" i="1"/>
  <c r="T151" i="1" s="1"/>
  <c r="Y166" i="1"/>
  <c r="W168" i="1"/>
  <c r="Z165" i="1"/>
  <c r="AA165" i="1" s="1"/>
  <c r="Y167" i="1" l="1"/>
  <c r="W169" i="1"/>
  <c r="Z166" i="1"/>
  <c r="AA166" i="1" s="1"/>
  <c r="S152" i="1"/>
  <c r="T152" i="1" s="1"/>
  <c r="R153" i="1"/>
  <c r="R154" i="1" l="1"/>
  <c r="S153" i="1"/>
  <c r="T153" i="1" s="1"/>
  <c r="Y168" i="1"/>
  <c r="W170" i="1"/>
  <c r="Z167" i="1"/>
  <c r="AA167" i="1" s="1"/>
  <c r="Y169" i="1" l="1"/>
  <c r="W171" i="1"/>
  <c r="Z168" i="1"/>
  <c r="AA168" i="1" s="1"/>
  <c r="R155" i="1"/>
  <c r="S154" i="1"/>
  <c r="T154" i="1" s="1"/>
  <c r="R156" i="1" l="1"/>
  <c r="S155" i="1"/>
  <c r="T155" i="1" s="1"/>
  <c r="Y170" i="1"/>
  <c r="W172" i="1"/>
  <c r="Z169" i="1"/>
  <c r="AA169" i="1" s="1"/>
  <c r="Y171" i="1" l="1"/>
  <c r="W173" i="1"/>
  <c r="Z170" i="1"/>
  <c r="AA170" i="1" s="1"/>
  <c r="R157" i="1"/>
  <c r="S156" i="1"/>
  <c r="T156" i="1" s="1"/>
  <c r="R158" i="1" l="1"/>
  <c r="S157" i="1"/>
  <c r="T157" i="1" s="1"/>
  <c r="Y172" i="1"/>
  <c r="W174" i="1"/>
  <c r="Z171" i="1"/>
  <c r="AA171" i="1" s="1"/>
  <c r="Y173" i="1" l="1"/>
  <c r="W175" i="1"/>
  <c r="Z172" i="1"/>
  <c r="AA172" i="1" s="1"/>
  <c r="R159" i="1"/>
  <c r="S158" i="1"/>
  <c r="T158" i="1" s="1"/>
  <c r="R160" i="1" l="1"/>
  <c r="S159" i="1"/>
  <c r="T159" i="1" s="1"/>
  <c r="Y174" i="1"/>
  <c r="W176" i="1"/>
  <c r="Z173" i="1"/>
  <c r="AA173" i="1" s="1"/>
  <c r="Y175" i="1" l="1"/>
  <c r="W177" i="1"/>
  <c r="Z174" i="1"/>
  <c r="AA174" i="1" s="1"/>
  <c r="R161" i="1"/>
  <c r="S160" i="1"/>
  <c r="T160" i="1" s="1"/>
  <c r="R162" i="1" l="1"/>
  <c r="S161" i="1"/>
  <c r="T161" i="1" s="1"/>
  <c r="Y176" i="1"/>
  <c r="W178" i="1"/>
  <c r="Z175" i="1"/>
  <c r="AA175" i="1" s="1"/>
  <c r="Y177" i="1" l="1"/>
  <c r="W179" i="1"/>
  <c r="Z176" i="1"/>
  <c r="AA176" i="1" s="1"/>
  <c r="R163" i="1"/>
  <c r="S162" i="1"/>
  <c r="T162" i="1" s="1"/>
  <c r="S163" i="1" l="1"/>
  <c r="T163" i="1" s="1"/>
  <c r="R164" i="1"/>
  <c r="Y178" i="1"/>
  <c r="W180" i="1"/>
  <c r="Z177" i="1"/>
  <c r="AA177" i="1" s="1"/>
  <c r="Y179" i="1" l="1"/>
  <c r="W181" i="1"/>
  <c r="Z178" i="1"/>
  <c r="AA178" i="1" s="1"/>
  <c r="R165" i="1"/>
  <c r="S164" i="1"/>
  <c r="T164" i="1" s="1"/>
  <c r="R166" i="1" l="1"/>
  <c r="S165" i="1"/>
  <c r="T165" i="1" s="1"/>
  <c r="Y180" i="1"/>
  <c r="W182" i="1"/>
  <c r="Z179" i="1"/>
  <c r="AA179" i="1" s="1"/>
  <c r="Y181" i="1" l="1"/>
  <c r="W183" i="1"/>
  <c r="Z180" i="1"/>
  <c r="AA180" i="1" s="1"/>
  <c r="R167" i="1"/>
  <c r="S166" i="1"/>
  <c r="T166" i="1" s="1"/>
  <c r="R168" i="1" l="1"/>
  <c r="S167" i="1"/>
  <c r="T167" i="1" s="1"/>
  <c r="Y182" i="1"/>
  <c r="W184" i="1"/>
  <c r="Z181" i="1"/>
  <c r="AA181" i="1" s="1"/>
  <c r="Y183" i="1" l="1"/>
  <c r="W185" i="1"/>
  <c r="Z182" i="1"/>
  <c r="AA182" i="1" s="1"/>
  <c r="R169" i="1"/>
  <c r="S168" i="1"/>
  <c r="T168" i="1" s="1"/>
  <c r="R170" i="1" l="1"/>
  <c r="S169" i="1"/>
  <c r="T169" i="1" s="1"/>
  <c r="Y184" i="1"/>
  <c r="W186" i="1"/>
  <c r="Z183" i="1"/>
  <c r="AA183" i="1" s="1"/>
  <c r="Y185" i="1" l="1"/>
  <c r="W187" i="1"/>
  <c r="Z184" i="1"/>
  <c r="AA184" i="1" s="1"/>
  <c r="R171" i="1"/>
  <c r="S170" i="1"/>
  <c r="T170" i="1" s="1"/>
  <c r="R172" i="1" l="1"/>
  <c r="S171" i="1"/>
  <c r="T171" i="1" s="1"/>
  <c r="Y186" i="1"/>
  <c r="W188" i="1"/>
  <c r="Z185" i="1"/>
  <c r="AA185" i="1" s="1"/>
  <c r="Y187" i="1" l="1"/>
  <c r="W189" i="1"/>
  <c r="Z186" i="1"/>
  <c r="AA186" i="1" s="1"/>
  <c r="R173" i="1"/>
  <c r="S172" i="1"/>
  <c r="T172" i="1" s="1"/>
  <c r="R174" i="1" l="1"/>
  <c r="S173" i="1"/>
  <c r="T173" i="1" s="1"/>
  <c r="Y188" i="1"/>
  <c r="W190" i="1"/>
  <c r="Z187" i="1"/>
  <c r="AA187" i="1" s="1"/>
  <c r="Y189" i="1" l="1"/>
  <c r="W191" i="1"/>
  <c r="Z188" i="1"/>
  <c r="AA188" i="1" s="1"/>
  <c r="R175" i="1"/>
  <c r="S174" i="1"/>
  <c r="T174" i="1" s="1"/>
  <c r="R176" i="1" l="1"/>
  <c r="S175" i="1"/>
  <c r="T175" i="1" s="1"/>
  <c r="Y190" i="1"/>
  <c r="W192" i="1"/>
  <c r="Z189" i="1"/>
  <c r="AA189" i="1" s="1"/>
  <c r="Y191" i="1" l="1"/>
  <c r="W193" i="1"/>
  <c r="Z190" i="1"/>
  <c r="AA190" i="1" s="1"/>
  <c r="R177" i="1"/>
  <c r="S176" i="1"/>
  <c r="T176" i="1" s="1"/>
  <c r="R178" i="1" l="1"/>
  <c r="S177" i="1"/>
  <c r="T177" i="1" s="1"/>
  <c r="Y192" i="1"/>
  <c r="W194" i="1"/>
  <c r="Z191" i="1"/>
  <c r="AA191" i="1" s="1"/>
  <c r="Y193" i="1" l="1"/>
  <c r="W195" i="1"/>
  <c r="Z192" i="1"/>
  <c r="AA192" i="1" s="1"/>
  <c r="R179" i="1"/>
  <c r="S178" i="1"/>
  <c r="T178" i="1" s="1"/>
  <c r="R180" i="1" l="1"/>
  <c r="S179" i="1"/>
  <c r="T179" i="1" s="1"/>
  <c r="Y194" i="1"/>
  <c r="W196" i="1"/>
  <c r="Z193" i="1"/>
  <c r="AA193" i="1" s="1"/>
  <c r="Y195" i="1" l="1"/>
  <c r="W197" i="1"/>
  <c r="Z194" i="1"/>
  <c r="AA194" i="1" s="1"/>
  <c r="R181" i="1"/>
  <c r="S180" i="1"/>
  <c r="T180" i="1" s="1"/>
  <c r="R182" i="1" l="1"/>
  <c r="S181" i="1"/>
  <c r="T181" i="1" s="1"/>
  <c r="Y196" i="1"/>
  <c r="W198" i="1"/>
  <c r="Z195" i="1"/>
  <c r="AA195" i="1" s="1"/>
  <c r="Y197" i="1" l="1"/>
  <c r="W199" i="1"/>
  <c r="Z196" i="1"/>
  <c r="AA196" i="1" s="1"/>
  <c r="R183" i="1"/>
  <c r="S182" i="1"/>
  <c r="T182" i="1" s="1"/>
  <c r="R184" i="1" l="1"/>
  <c r="S183" i="1"/>
  <c r="T183" i="1" s="1"/>
  <c r="Y198" i="1"/>
  <c r="W200" i="1"/>
  <c r="Z197" i="1"/>
  <c r="AA197" i="1" s="1"/>
  <c r="Y199" i="1" l="1"/>
  <c r="W201" i="1"/>
  <c r="Z198" i="1"/>
  <c r="AA198" i="1" s="1"/>
  <c r="R185" i="1"/>
  <c r="S184" i="1"/>
  <c r="T184" i="1" s="1"/>
  <c r="S185" i="1" l="1"/>
  <c r="T185" i="1" s="1"/>
  <c r="R186" i="1"/>
  <c r="Y200" i="1"/>
  <c r="W202" i="1"/>
  <c r="Z199" i="1"/>
  <c r="AA199" i="1" s="1"/>
  <c r="Y201" i="1" l="1"/>
  <c r="W203" i="1"/>
  <c r="Z200" i="1"/>
  <c r="AA200" i="1" s="1"/>
  <c r="R187" i="1"/>
  <c r="S186" i="1"/>
  <c r="T186" i="1" s="1"/>
  <c r="R188" i="1" l="1"/>
  <c r="S187" i="1"/>
  <c r="T187" i="1" s="1"/>
  <c r="Y202" i="1"/>
  <c r="W204" i="1"/>
  <c r="Z201" i="1"/>
  <c r="AA201" i="1" s="1"/>
  <c r="Y203" i="1" l="1"/>
  <c r="W205" i="1"/>
  <c r="Z202" i="1"/>
  <c r="AA202" i="1" s="1"/>
  <c r="R189" i="1"/>
  <c r="S188" i="1"/>
  <c r="T188" i="1" s="1"/>
  <c r="R190" i="1" l="1"/>
  <c r="S189" i="1"/>
  <c r="T189" i="1" s="1"/>
  <c r="Y204" i="1"/>
  <c r="W206" i="1"/>
  <c r="Z203" i="1"/>
  <c r="AA203" i="1" s="1"/>
  <c r="Y205" i="1" l="1"/>
  <c r="W207" i="1"/>
  <c r="Z204" i="1"/>
  <c r="AA204" i="1" s="1"/>
  <c r="R191" i="1"/>
  <c r="S190" i="1"/>
  <c r="T190" i="1" s="1"/>
  <c r="R192" i="1" l="1"/>
  <c r="S191" i="1"/>
  <c r="T191" i="1" s="1"/>
  <c r="Y206" i="1"/>
  <c r="W208" i="1"/>
  <c r="Z205" i="1"/>
  <c r="AA205" i="1" s="1"/>
  <c r="Y207" i="1" l="1"/>
  <c r="W209" i="1"/>
  <c r="Z206" i="1"/>
  <c r="AA206" i="1" s="1"/>
  <c r="R193" i="1"/>
  <c r="S192" i="1"/>
  <c r="T192" i="1" s="1"/>
  <c r="Z207" i="1" l="1"/>
  <c r="AA207" i="1" s="1"/>
  <c r="R194" i="1"/>
  <c r="S193" i="1"/>
  <c r="T193" i="1" s="1"/>
  <c r="Y208" i="1"/>
  <c r="W210" i="1"/>
  <c r="Z208" i="1" l="1"/>
  <c r="AA208" i="1" s="1"/>
  <c r="Y209" i="1"/>
  <c r="W211" i="1"/>
  <c r="R195" i="1"/>
  <c r="S194" i="1"/>
  <c r="T194" i="1" s="1"/>
  <c r="Z209" i="1" l="1"/>
  <c r="AA209" i="1" s="1"/>
  <c r="R196" i="1"/>
  <c r="S195" i="1"/>
  <c r="T195" i="1" s="1"/>
  <c r="Y210" i="1"/>
  <c r="W212" i="1"/>
  <c r="Z210" i="1" l="1"/>
  <c r="AA210" i="1" s="1"/>
  <c r="Y211" i="1"/>
  <c r="W213" i="1"/>
  <c r="R197" i="1"/>
  <c r="S196" i="1"/>
  <c r="T196" i="1" s="1"/>
  <c r="Z211" i="1" l="1"/>
  <c r="AA211" i="1" s="1"/>
  <c r="R198" i="1"/>
  <c r="S197" i="1"/>
  <c r="T197" i="1" s="1"/>
  <c r="Y212" i="1"/>
  <c r="W214" i="1"/>
  <c r="Z212" i="1" l="1"/>
  <c r="AA212" i="1" s="1"/>
  <c r="Y213" i="1"/>
  <c r="W215" i="1"/>
  <c r="R199" i="1"/>
  <c r="S198" i="1"/>
  <c r="T198" i="1" s="1"/>
  <c r="Z213" i="1" l="1"/>
  <c r="AA213" i="1" s="1"/>
  <c r="Y214" i="1"/>
  <c r="W216" i="1"/>
  <c r="R200" i="1"/>
  <c r="S199" i="1"/>
  <c r="T199" i="1" s="1"/>
  <c r="Z214" i="1" l="1"/>
  <c r="AA214" i="1" s="1"/>
  <c r="S200" i="1"/>
  <c r="T200" i="1" s="1"/>
  <c r="R201" i="1"/>
  <c r="Y215" i="1"/>
  <c r="W217" i="1"/>
  <c r="Z215" i="1" l="1"/>
  <c r="AA215" i="1" s="1"/>
  <c r="Y216" i="1"/>
  <c r="W218" i="1"/>
  <c r="R202" i="1"/>
  <c r="S201" i="1"/>
  <c r="T201" i="1" s="1"/>
  <c r="Z216" i="1" l="1"/>
  <c r="AA216" i="1" s="1"/>
  <c r="R203" i="1"/>
  <c r="S202" i="1"/>
  <c r="T202" i="1" s="1"/>
  <c r="Y217" i="1"/>
  <c r="W219" i="1"/>
  <c r="Z217" i="1" l="1"/>
  <c r="AA217" i="1" s="1"/>
  <c r="Y218" i="1"/>
  <c r="W220" i="1"/>
  <c r="R204" i="1"/>
  <c r="S203" i="1"/>
  <c r="T203" i="1" s="1"/>
  <c r="Z218" i="1" l="1"/>
  <c r="AA218" i="1" s="1"/>
  <c r="Y219" i="1"/>
  <c r="W221" i="1"/>
  <c r="R205" i="1"/>
  <c r="S204" i="1"/>
  <c r="T204" i="1" s="1"/>
  <c r="R206" i="1" l="1"/>
  <c r="S205" i="1"/>
  <c r="T205" i="1" s="1"/>
  <c r="Y220" i="1"/>
  <c r="W222" i="1"/>
  <c r="Z219" i="1"/>
  <c r="AA219" i="1" s="1"/>
  <c r="Z220" i="1" l="1"/>
  <c r="AA220" i="1" s="1"/>
  <c r="Y221" i="1"/>
  <c r="W223" i="1"/>
  <c r="R207" i="1"/>
  <c r="S206" i="1"/>
  <c r="T206" i="1" s="1"/>
  <c r="Z221" i="1" l="1"/>
  <c r="AA221" i="1" s="1"/>
  <c r="R208" i="1"/>
  <c r="S207" i="1"/>
  <c r="T207" i="1" s="1"/>
  <c r="Y222" i="1"/>
  <c r="W224" i="1"/>
  <c r="Z222" i="1" l="1"/>
  <c r="AA222" i="1" s="1"/>
  <c r="Y223" i="1"/>
  <c r="W225" i="1"/>
  <c r="R209" i="1"/>
  <c r="S208" i="1"/>
  <c r="T208" i="1" s="1"/>
  <c r="Z223" i="1" l="1"/>
  <c r="AA223" i="1" s="1"/>
  <c r="R210" i="1"/>
  <c r="S209" i="1"/>
  <c r="T209" i="1" s="1"/>
  <c r="Y224" i="1"/>
  <c r="W226" i="1"/>
  <c r="Z224" i="1" l="1"/>
  <c r="AA224" i="1" s="1"/>
  <c r="Y225" i="1"/>
  <c r="W227" i="1"/>
  <c r="R211" i="1"/>
  <c r="S210" i="1"/>
  <c r="T210" i="1" s="1"/>
  <c r="Z225" i="1" l="1"/>
  <c r="AA225" i="1" s="1"/>
  <c r="R212" i="1"/>
  <c r="S211" i="1"/>
  <c r="T211" i="1" s="1"/>
  <c r="Y226" i="1"/>
  <c r="W228" i="1"/>
  <c r="Z226" i="1" l="1"/>
  <c r="AA226" i="1" s="1"/>
  <c r="Y227" i="1"/>
  <c r="W229" i="1"/>
  <c r="R213" i="1"/>
  <c r="S212" i="1"/>
  <c r="T212" i="1" s="1"/>
  <c r="Z227" i="1" l="1"/>
  <c r="AA227" i="1" s="1"/>
  <c r="R214" i="1"/>
  <c r="S213" i="1"/>
  <c r="T213" i="1" s="1"/>
  <c r="Y228" i="1"/>
  <c r="W230" i="1"/>
  <c r="Z228" i="1" l="1"/>
  <c r="AA228" i="1" s="1"/>
  <c r="Y229" i="1"/>
  <c r="W231" i="1"/>
  <c r="R215" i="1"/>
  <c r="S214" i="1"/>
  <c r="T214" i="1" s="1"/>
  <c r="Z229" i="1" l="1"/>
  <c r="AA229" i="1" s="1"/>
  <c r="R216" i="1"/>
  <c r="S215" i="1"/>
  <c r="T215" i="1" s="1"/>
  <c r="Y230" i="1"/>
  <c r="W232" i="1"/>
  <c r="Z230" i="1" l="1"/>
  <c r="AA230" i="1" s="1"/>
  <c r="Y231" i="1"/>
  <c r="W233" i="1"/>
  <c r="R217" i="1"/>
  <c r="S216" i="1"/>
  <c r="T216" i="1" s="1"/>
  <c r="Z231" i="1" l="1"/>
  <c r="AA231" i="1" s="1"/>
  <c r="R218" i="1"/>
  <c r="S217" i="1"/>
  <c r="T217" i="1" s="1"/>
  <c r="Y232" i="1"/>
  <c r="W234" i="1"/>
  <c r="Z232" i="1" l="1"/>
  <c r="AA232" i="1" s="1"/>
  <c r="Y233" i="1"/>
  <c r="Z233" i="1" s="1"/>
  <c r="AA233" i="1" s="1"/>
  <c r="W235" i="1"/>
  <c r="R219" i="1"/>
  <c r="S218" i="1"/>
  <c r="T218" i="1" s="1"/>
  <c r="R220" i="1" l="1"/>
  <c r="S219" i="1"/>
  <c r="T219" i="1" s="1"/>
  <c r="Y234" i="1"/>
  <c r="Z234" i="1" s="1"/>
  <c r="AA234" i="1" s="1"/>
  <c r="W236" i="1"/>
  <c r="Y235" i="1" l="1"/>
  <c r="Z235" i="1" s="1"/>
  <c r="AA235" i="1" s="1"/>
  <c r="W237" i="1"/>
  <c r="R221" i="1"/>
  <c r="S220" i="1"/>
  <c r="T220" i="1" s="1"/>
  <c r="Y236" i="1" l="1"/>
  <c r="Z236" i="1" s="1"/>
  <c r="AA236" i="1" s="1"/>
  <c r="W238" i="1"/>
  <c r="R222" i="1"/>
  <c r="S221" i="1"/>
  <c r="T221" i="1" s="1"/>
  <c r="R223" i="1" l="1"/>
  <c r="S222" i="1"/>
  <c r="T222" i="1" s="1"/>
  <c r="Y237" i="1"/>
  <c r="Z237" i="1" s="1"/>
  <c r="AA237" i="1" s="1"/>
  <c r="W239" i="1"/>
  <c r="Y238" i="1" l="1"/>
  <c r="Z238" i="1" s="1"/>
  <c r="AA238" i="1" s="1"/>
  <c r="W240" i="1"/>
  <c r="R224" i="1"/>
  <c r="S223" i="1"/>
  <c r="T223" i="1" s="1"/>
  <c r="S224" i="1" l="1"/>
  <c r="T224" i="1" s="1"/>
  <c r="R225" i="1"/>
  <c r="Y239" i="1"/>
  <c r="Z239" i="1" s="1"/>
  <c r="AA239" i="1" s="1"/>
  <c r="W241" i="1"/>
  <c r="Y240" i="1" l="1"/>
  <c r="Z240" i="1" s="1"/>
  <c r="AA240" i="1" s="1"/>
  <c r="W242" i="1"/>
  <c r="R226" i="1"/>
  <c r="S225" i="1"/>
  <c r="T225" i="1" s="1"/>
  <c r="R227" i="1" l="1"/>
  <c r="S226" i="1"/>
  <c r="T226" i="1" s="1"/>
  <c r="Y241" i="1"/>
  <c r="Z241" i="1" s="1"/>
  <c r="AA241" i="1" s="1"/>
  <c r="W243" i="1"/>
  <c r="Y242" i="1" l="1"/>
  <c r="Z242" i="1" s="1"/>
  <c r="AA242" i="1" s="1"/>
  <c r="W244" i="1"/>
  <c r="R228" i="1"/>
  <c r="S227" i="1"/>
  <c r="T227" i="1" s="1"/>
  <c r="R229" i="1" l="1"/>
  <c r="S228" i="1"/>
  <c r="T228" i="1" s="1"/>
  <c r="Y243" i="1"/>
  <c r="Z243" i="1" s="1"/>
  <c r="AA243" i="1" s="1"/>
  <c r="W245" i="1"/>
  <c r="Y244" i="1" l="1"/>
  <c r="Z244" i="1" s="1"/>
  <c r="AA244" i="1" s="1"/>
  <c r="W246" i="1"/>
  <c r="R230" i="1"/>
  <c r="S229" i="1"/>
  <c r="T229" i="1" s="1"/>
  <c r="R231" i="1" l="1"/>
  <c r="S230" i="1"/>
  <c r="T230" i="1" s="1"/>
  <c r="Y245" i="1"/>
  <c r="Z245" i="1" s="1"/>
  <c r="AA245" i="1" s="1"/>
  <c r="W247" i="1"/>
  <c r="Y246" i="1" l="1"/>
  <c r="Z246" i="1" s="1"/>
  <c r="AA246" i="1" s="1"/>
  <c r="W248" i="1"/>
  <c r="R232" i="1"/>
  <c r="S231" i="1"/>
  <c r="T231" i="1" s="1"/>
  <c r="R233" i="1" l="1"/>
  <c r="S232" i="1"/>
  <c r="T232" i="1" s="1"/>
  <c r="Y247" i="1"/>
  <c r="Z247" i="1" s="1"/>
  <c r="AA247" i="1" s="1"/>
  <c r="W249" i="1"/>
  <c r="Y248" i="1" l="1"/>
  <c r="Z248" i="1" s="1"/>
  <c r="AA248" i="1" s="1"/>
  <c r="W250" i="1"/>
  <c r="R234" i="1"/>
  <c r="S233" i="1"/>
  <c r="T233" i="1" s="1"/>
  <c r="R235" i="1" l="1"/>
  <c r="S234" i="1"/>
  <c r="T234" i="1" s="1"/>
  <c r="Y249" i="1"/>
  <c r="Z249" i="1" s="1"/>
  <c r="AA249" i="1" s="1"/>
  <c r="W251" i="1"/>
  <c r="Y250" i="1" l="1"/>
  <c r="Z250" i="1" s="1"/>
  <c r="AA250" i="1" s="1"/>
  <c r="W252" i="1"/>
  <c r="R236" i="1"/>
  <c r="S235" i="1"/>
  <c r="T235" i="1" s="1"/>
  <c r="R237" i="1" l="1"/>
  <c r="S236" i="1"/>
  <c r="T236" i="1" s="1"/>
  <c r="Y251" i="1"/>
  <c r="Z251" i="1" s="1"/>
  <c r="AA251" i="1" s="1"/>
  <c r="W253" i="1"/>
  <c r="Y252" i="1" l="1"/>
  <c r="Z252" i="1" s="1"/>
  <c r="AA252" i="1" s="1"/>
  <c r="W254" i="1"/>
  <c r="R238" i="1"/>
  <c r="S237" i="1"/>
  <c r="T237" i="1" s="1"/>
  <c r="R239" i="1" l="1"/>
  <c r="S238" i="1"/>
  <c r="T238" i="1" s="1"/>
  <c r="Y253" i="1"/>
  <c r="Z253" i="1" s="1"/>
  <c r="AA253" i="1" s="1"/>
  <c r="W255" i="1"/>
  <c r="Y254" i="1" l="1"/>
  <c r="Z254" i="1" s="1"/>
  <c r="AA254" i="1" s="1"/>
  <c r="W256" i="1"/>
  <c r="R240" i="1"/>
  <c r="S239" i="1"/>
  <c r="T239" i="1" s="1"/>
  <c r="R241" i="1" l="1"/>
  <c r="S240" i="1"/>
  <c r="T240" i="1" s="1"/>
  <c r="Y255" i="1"/>
  <c r="Z255" i="1" s="1"/>
  <c r="AA255" i="1" s="1"/>
  <c r="W257" i="1"/>
  <c r="Y256" i="1" l="1"/>
  <c r="Z256" i="1" s="1"/>
  <c r="AA256" i="1" s="1"/>
  <c r="W258" i="1"/>
  <c r="R242" i="1"/>
  <c r="S241" i="1"/>
  <c r="T241" i="1" s="1"/>
  <c r="R243" i="1" l="1"/>
  <c r="S242" i="1"/>
  <c r="T242" i="1" s="1"/>
  <c r="Y257" i="1"/>
  <c r="Z257" i="1" s="1"/>
  <c r="AA257" i="1" s="1"/>
  <c r="W259" i="1"/>
  <c r="Y258" i="1" l="1"/>
  <c r="Z258" i="1" s="1"/>
  <c r="AA258" i="1" s="1"/>
  <c r="W260" i="1"/>
  <c r="R244" i="1"/>
  <c r="S243" i="1"/>
  <c r="T243" i="1" s="1"/>
  <c r="R245" i="1" l="1"/>
  <c r="S244" i="1"/>
  <c r="T244" i="1" s="1"/>
  <c r="Y259" i="1"/>
  <c r="Z259" i="1" s="1"/>
  <c r="AA259" i="1" s="1"/>
  <c r="W261" i="1"/>
  <c r="Y260" i="1" l="1"/>
  <c r="Z260" i="1" s="1"/>
  <c r="AA260" i="1" s="1"/>
  <c r="W262" i="1"/>
  <c r="R246" i="1"/>
  <c r="S245" i="1"/>
  <c r="T245" i="1" s="1"/>
  <c r="R247" i="1" l="1"/>
  <c r="S246" i="1"/>
  <c r="T246" i="1" s="1"/>
  <c r="Y261" i="1"/>
  <c r="Z261" i="1" s="1"/>
  <c r="AA261" i="1" s="1"/>
  <c r="W263" i="1"/>
  <c r="Y262" i="1" l="1"/>
  <c r="Z262" i="1" s="1"/>
  <c r="AA262" i="1" s="1"/>
  <c r="W264" i="1"/>
  <c r="R248" i="1"/>
  <c r="S247" i="1"/>
  <c r="T247" i="1" s="1"/>
  <c r="R249" i="1" l="1"/>
  <c r="S248" i="1"/>
  <c r="T248" i="1" s="1"/>
  <c r="Y263" i="1"/>
  <c r="Z263" i="1" s="1"/>
  <c r="AA263" i="1" s="1"/>
  <c r="W265" i="1"/>
  <c r="Y264" i="1" l="1"/>
  <c r="Z264" i="1" s="1"/>
  <c r="AA264" i="1" s="1"/>
  <c r="W266" i="1"/>
  <c r="R250" i="1"/>
  <c r="S249" i="1"/>
  <c r="T249" i="1" s="1"/>
  <c r="R251" i="1" l="1"/>
  <c r="S250" i="1"/>
  <c r="T250" i="1" s="1"/>
  <c r="Y265" i="1"/>
  <c r="Z265" i="1" s="1"/>
  <c r="AA265" i="1" s="1"/>
  <c r="W267" i="1"/>
  <c r="Y266" i="1" l="1"/>
  <c r="Z266" i="1" s="1"/>
  <c r="AA266" i="1" s="1"/>
  <c r="W268" i="1"/>
  <c r="R252" i="1"/>
  <c r="S251" i="1"/>
  <c r="T251" i="1" s="1"/>
  <c r="R253" i="1" l="1"/>
  <c r="S252" i="1"/>
  <c r="T252" i="1" s="1"/>
  <c r="Y267" i="1"/>
  <c r="Z267" i="1" s="1"/>
  <c r="AA267" i="1" s="1"/>
  <c r="W269" i="1"/>
  <c r="Y268" i="1" l="1"/>
  <c r="Z268" i="1" s="1"/>
  <c r="AA268" i="1" s="1"/>
  <c r="W270" i="1"/>
  <c r="R254" i="1"/>
  <c r="S253" i="1"/>
  <c r="T253" i="1" s="1"/>
  <c r="R255" i="1" l="1"/>
  <c r="S254" i="1"/>
  <c r="T254" i="1" s="1"/>
  <c r="Y269" i="1"/>
  <c r="Z269" i="1" s="1"/>
  <c r="AA269" i="1" s="1"/>
  <c r="W271" i="1"/>
  <c r="Y270" i="1" l="1"/>
  <c r="Z270" i="1" s="1"/>
  <c r="AA270" i="1" s="1"/>
  <c r="W272" i="1"/>
  <c r="R256" i="1"/>
  <c r="S255" i="1"/>
  <c r="T255" i="1" s="1"/>
  <c r="R257" i="1" l="1"/>
  <c r="S256" i="1"/>
  <c r="T256" i="1" s="1"/>
  <c r="Y271" i="1"/>
  <c r="Z271" i="1" s="1"/>
  <c r="AA271" i="1" s="1"/>
  <c r="W273" i="1"/>
  <c r="Y272" i="1" l="1"/>
  <c r="Z272" i="1" s="1"/>
  <c r="AA272" i="1" s="1"/>
  <c r="W274" i="1"/>
  <c r="R258" i="1"/>
  <c r="S257" i="1"/>
  <c r="T257" i="1" s="1"/>
  <c r="R259" i="1" l="1"/>
  <c r="S258" i="1"/>
  <c r="T258" i="1" s="1"/>
  <c r="Y273" i="1"/>
  <c r="Z273" i="1" s="1"/>
  <c r="AA273" i="1" s="1"/>
  <c r="W275" i="1"/>
  <c r="Y274" i="1" l="1"/>
  <c r="Z274" i="1" s="1"/>
  <c r="AA274" i="1" s="1"/>
  <c r="W276" i="1"/>
  <c r="R260" i="1"/>
  <c r="S259" i="1"/>
  <c r="T259" i="1" s="1"/>
  <c r="R261" i="1" l="1"/>
  <c r="S260" i="1"/>
  <c r="T260" i="1" s="1"/>
  <c r="Y275" i="1"/>
  <c r="Z275" i="1" s="1"/>
  <c r="AA275" i="1" s="1"/>
  <c r="W277" i="1"/>
  <c r="Y276" i="1" l="1"/>
  <c r="Z276" i="1" s="1"/>
  <c r="AA276" i="1" s="1"/>
  <c r="W278" i="1"/>
  <c r="R262" i="1"/>
  <c r="S261" i="1"/>
  <c r="T261" i="1" s="1"/>
  <c r="R263" i="1" l="1"/>
  <c r="S262" i="1"/>
  <c r="T262" i="1" s="1"/>
  <c r="Y277" i="1"/>
  <c r="Z277" i="1" s="1"/>
  <c r="AA277" i="1" s="1"/>
  <c r="W279" i="1"/>
  <c r="Y278" i="1" l="1"/>
  <c r="Z278" i="1" s="1"/>
  <c r="AA278" i="1" s="1"/>
  <c r="W280" i="1"/>
  <c r="R264" i="1"/>
  <c r="S263" i="1"/>
  <c r="T263" i="1" s="1"/>
  <c r="R265" i="1" l="1"/>
  <c r="S264" i="1"/>
  <c r="T264" i="1" s="1"/>
  <c r="Y279" i="1"/>
  <c r="Z279" i="1" s="1"/>
  <c r="AA279" i="1" s="1"/>
  <c r="W281" i="1"/>
  <c r="Y280" i="1" l="1"/>
  <c r="Z280" i="1" s="1"/>
  <c r="AA280" i="1" s="1"/>
  <c r="W282" i="1"/>
  <c r="R266" i="1"/>
  <c r="S265" i="1"/>
  <c r="T265" i="1" s="1"/>
  <c r="Y281" i="1" l="1"/>
  <c r="Z281" i="1" s="1"/>
  <c r="AA281" i="1" s="1"/>
  <c r="W283" i="1"/>
  <c r="R267" i="1"/>
  <c r="S266" i="1"/>
  <c r="T266" i="1" s="1"/>
  <c r="R268" i="1" l="1"/>
  <c r="S267" i="1"/>
  <c r="T267" i="1" s="1"/>
  <c r="Y282" i="1"/>
  <c r="Z282" i="1" s="1"/>
  <c r="AA282" i="1" s="1"/>
  <c r="W284" i="1"/>
  <c r="Y283" i="1" l="1"/>
  <c r="Z283" i="1" s="1"/>
  <c r="AA283" i="1" s="1"/>
  <c r="W285" i="1"/>
  <c r="R269" i="1"/>
  <c r="S268" i="1"/>
  <c r="T268" i="1" s="1"/>
  <c r="R270" i="1" l="1"/>
  <c r="S269" i="1"/>
  <c r="T269" i="1" s="1"/>
  <c r="Y284" i="1"/>
  <c r="Z284" i="1" s="1"/>
  <c r="AA284" i="1" s="1"/>
  <c r="W286" i="1"/>
  <c r="Y285" i="1" l="1"/>
  <c r="Z285" i="1" s="1"/>
  <c r="AA285" i="1" s="1"/>
  <c r="W287" i="1"/>
  <c r="R271" i="1"/>
  <c r="S270" i="1"/>
  <c r="T270" i="1" s="1"/>
  <c r="R272" i="1" l="1"/>
  <c r="S271" i="1"/>
  <c r="T271" i="1" s="1"/>
  <c r="Y286" i="1"/>
  <c r="Z286" i="1" s="1"/>
  <c r="AA286" i="1" s="1"/>
  <c r="W288" i="1"/>
  <c r="Y287" i="1" l="1"/>
  <c r="Z287" i="1" s="1"/>
  <c r="AA287" i="1" s="1"/>
  <c r="W289" i="1"/>
  <c r="R273" i="1"/>
  <c r="S272" i="1"/>
  <c r="T272" i="1" s="1"/>
  <c r="Y288" i="1" l="1"/>
  <c r="Z288" i="1" s="1"/>
  <c r="AA288" i="1" s="1"/>
  <c r="W290" i="1"/>
  <c r="R274" i="1"/>
  <c r="S273" i="1"/>
  <c r="T273" i="1" s="1"/>
  <c r="R275" i="1" l="1"/>
  <c r="S274" i="1"/>
  <c r="T274" i="1" s="1"/>
  <c r="Y289" i="1"/>
  <c r="Z289" i="1" s="1"/>
  <c r="AA289" i="1" s="1"/>
  <c r="W291" i="1"/>
  <c r="Y290" i="1" l="1"/>
  <c r="Z290" i="1" s="1"/>
  <c r="AA290" i="1" s="1"/>
  <c r="W292" i="1"/>
  <c r="R276" i="1"/>
  <c r="S275" i="1"/>
  <c r="T275" i="1" s="1"/>
  <c r="R277" i="1" l="1"/>
  <c r="S276" i="1"/>
  <c r="T276" i="1" s="1"/>
  <c r="Y291" i="1"/>
  <c r="Z291" i="1" s="1"/>
  <c r="AA291" i="1" s="1"/>
  <c r="W293" i="1"/>
  <c r="Y292" i="1" l="1"/>
  <c r="Z292" i="1" s="1"/>
  <c r="AA292" i="1" s="1"/>
  <c r="W294" i="1"/>
  <c r="S277" i="1"/>
  <c r="T277" i="1" s="1"/>
  <c r="R278" i="1"/>
  <c r="R279" i="1" l="1"/>
  <c r="S278" i="1"/>
  <c r="T278" i="1" s="1"/>
  <c r="Y293" i="1"/>
  <c r="Z293" i="1" s="1"/>
  <c r="AA293" i="1" s="1"/>
  <c r="W295" i="1"/>
  <c r="Y294" i="1" l="1"/>
  <c r="Z294" i="1" s="1"/>
  <c r="AA294" i="1" s="1"/>
  <c r="W296" i="1"/>
  <c r="R280" i="1"/>
  <c r="S279" i="1"/>
  <c r="T279" i="1" s="1"/>
  <c r="R281" i="1" l="1"/>
  <c r="S280" i="1"/>
  <c r="T280" i="1" s="1"/>
  <c r="Y295" i="1"/>
  <c r="Z295" i="1" s="1"/>
  <c r="AA295" i="1" s="1"/>
  <c r="W297" i="1"/>
  <c r="Y296" i="1" l="1"/>
  <c r="Z296" i="1" s="1"/>
  <c r="AA296" i="1" s="1"/>
  <c r="W298" i="1"/>
  <c r="R282" i="1"/>
  <c r="S281" i="1"/>
  <c r="T281" i="1" s="1"/>
  <c r="R283" i="1" l="1"/>
  <c r="S282" i="1"/>
  <c r="T282" i="1" s="1"/>
  <c r="Y297" i="1"/>
  <c r="Z297" i="1" s="1"/>
  <c r="AA297" i="1" s="1"/>
  <c r="W299" i="1"/>
  <c r="Y298" i="1" l="1"/>
  <c r="Z298" i="1" s="1"/>
  <c r="AA298" i="1" s="1"/>
  <c r="W300" i="1"/>
  <c r="S283" i="1"/>
  <c r="T283" i="1" s="1"/>
  <c r="R284" i="1"/>
  <c r="R285" i="1" l="1"/>
  <c r="S284" i="1"/>
  <c r="T284" i="1" s="1"/>
  <c r="Y299" i="1"/>
  <c r="Z299" i="1" s="1"/>
  <c r="AA299" i="1" s="1"/>
  <c r="W301" i="1"/>
  <c r="Y300" i="1" l="1"/>
  <c r="W302" i="1"/>
  <c r="R286" i="1"/>
  <c r="S285" i="1"/>
  <c r="T285" i="1" s="1"/>
  <c r="R287" i="1" l="1"/>
  <c r="S286" i="1"/>
  <c r="T286" i="1" s="1"/>
  <c r="Y301" i="1"/>
  <c r="W303" i="1"/>
  <c r="Z300" i="1"/>
  <c r="AA300" i="1" s="1"/>
  <c r="Y302" i="1" l="1"/>
  <c r="W304" i="1"/>
  <c r="Z301" i="1"/>
  <c r="AA301" i="1" s="1"/>
  <c r="R288" i="1"/>
  <c r="S287" i="1"/>
  <c r="T287" i="1" s="1"/>
  <c r="R289" i="1" l="1"/>
  <c r="S288" i="1"/>
  <c r="T288" i="1" s="1"/>
  <c r="Y303" i="1"/>
  <c r="W305" i="1"/>
  <c r="Z302" i="1"/>
  <c r="AA302" i="1" s="1"/>
  <c r="Z303" i="1" l="1"/>
  <c r="AA303" i="1" s="1"/>
  <c r="Y304" i="1"/>
  <c r="W306" i="1"/>
  <c r="R290" i="1"/>
  <c r="S289" i="1"/>
  <c r="T289" i="1" s="1"/>
  <c r="Z304" i="1" l="1"/>
  <c r="AA304" i="1" s="1"/>
  <c r="Y305" i="1"/>
  <c r="W307" i="1"/>
  <c r="R291" i="1"/>
  <c r="S290" i="1"/>
  <c r="T290" i="1" s="1"/>
  <c r="R292" i="1" l="1"/>
  <c r="S291" i="1"/>
  <c r="T291" i="1" s="1"/>
  <c r="Y306" i="1"/>
  <c r="W308" i="1"/>
  <c r="Z305" i="1"/>
  <c r="AA305" i="1" s="1"/>
  <c r="Y307" i="1" l="1"/>
  <c r="W309" i="1"/>
  <c r="Z306" i="1"/>
  <c r="AA306" i="1" s="1"/>
  <c r="R293" i="1"/>
  <c r="S292" i="1"/>
  <c r="T292" i="1" s="1"/>
  <c r="R294" i="1" l="1"/>
  <c r="S293" i="1"/>
  <c r="T293" i="1" s="1"/>
  <c r="Y308" i="1"/>
  <c r="W310" i="1"/>
  <c r="Z307" i="1"/>
  <c r="AA307" i="1" s="1"/>
  <c r="Y309" i="1" l="1"/>
  <c r="W311" i="1"/>
  <c r="Z308" i="1"/>
  <c r="AA308" i="1" s="1"/>
  <c r="R295" i="1"/>
  <c r="S294" i="1"/>
  <c r="T294" i="1" s="1"/>
  <c r="R296" i="1" l="1"/>
  <c r="S295" i="1"/>
  <c r="T295" i="1" s="1"/>
  <c r="Y310" i="1"/>
  <c r="W312" i="1"/>
  <c r="Z309" i="1"/>
  <c r="AA309" i="1" s="1"/>
  <c r="Y311" i="1" l="1"/>
  <c r="W313" i="1"/>
  <c r="Z310" i="1"/>
  <c r="AA310" i="1" s="1"/>
  <c r="R297" i="1"/>
  <c r="S296" i="1"/>
  <c r="T296" i="1" s="1"/>
  <c r="R298" i="1" l="1"/>
  <c r="S297" i="1"/>
  <c r="T297" i="1" s="1"/>
  <c r="Y312" i="1"/>
  <c r="W314" i="1"/>
  <c r="Z311" i="1"/>
  <c r="AA311" i="1" s="1"/>
  <c r="Y313" i="1" l="1"/>
  <c r="W315" i="1"/>
  <c r="Z312" i="1"/>
  <c r="AA312" i="1" s="1"/>
  <c r="R299" i="1"/>
  <c r="S298" i="1"/>
  <c r="T298" i="1" s="1"/>
  <c r="R300" i="1" l="1"/>
  <c r="S299" i="1"/>
  <c r="T299" i="1" s="1"/>
  <c r="Y314" i="1"/>
  <c r="W316" i="1"/>
  <c r="Z313" i="1"/>
  <c r="AA313" i="1" s="1"/>
  <c r="Y315" i="1" l="1"/>
  <c r="W317" i="1"/>
  <c r="Z314" i="1"/>
  <c r="AA314" i="1" s="1"/>
  <c r="R301" i="1"/>
  <c r="S300" i="1"/>
  <c r="T300" i="1" s="1"/>
  <c r="R302" i="1" l="1"/>
  <c r="S301" i="1"/>
  <c r="T301" i="1" s="1"/>
  <c r="Y316" i="1"/>
  <c r="W318" i="1"/>
  <c r="Z315" i="1"/>
  <c r="AA315" i="1" s="1"/>
  <c r="Y317" i="1" l="1"/>
  <c r="W319" i="1"/>
  <c r="Z316" i="1"/>
  <c r="AA316" i="1" s="1"/>
  <c r="R303" i="1"/>
  <c r="S302" i="1"/>
  <c r="T302" i="1" s="1"/>
  <c r="R304" i="1" l="1"/>
  <c r="S303" i="1"/>
  <c r="T303" i="1" s="1"/>
  <c r="Y318" i="1"/>
  <c r="W320" i="1"/>
  <c r="Z317" i="1"/>
  <c r="AA317" i="1" s="1"/>
  <c r="Y319" i="1" l="1"/>
  <c r="W321" i="1"/>
  <c r="Z318" i="1"/>
  <c r="AA318" i="1" s="1"/>
  <c r="R305" i="1"/>
  <c r="S304" i="1"/>
  <c r="T304" i="1" s="1"/>
  <c r="S305" i="1" l="1"/>
  <c r="T305" i="1" s="1"/>
  <c r="R306" i="1"/>
  <c r="Y320" i="1"/>
  <c r="W322" i="1"/>
  <c r="Z319" i="1"/>
  <c r="AA319" i="1" s="1"/>
  <c r="Y321" i="1" l="1"/>
  <c r="W323" i="1"/>
  <c r="Z320" i="1"/>
  <c r="AA320" i="1" s="1"/>
  <c r="R307" i="1"/>
  <c r="S306" i="1"/>
  <c r="T306" i="1" s="1"/>
  <c r="R308" i="1" l="1"/>
  <c r="S307" i="1"/>
  <c r="T307" i="1" s="1"/>
  <c r="Y322" i="1"/>
  <c r="W324" i="1"/>
  <c r="Z321" i="1"/>
  <c r="AA321" i="1" s="1"/>
  <c r="Y323" i="1" l="1"/>
  <c r="W325" i="1"/>
  <c r="Z322" i="1"/>
  <c r="AA322" i="1" s="1"/>
  <c r="R309" i="1"/>
  <c r="S308" i="1"/>
  <c r="T308" i="1" s="1"/>
  <c r="S309" i="1" l="1"/>
  <c r="T309" i="1" s="1"/>
  <c r="R310" i="1"/>
  <c r="Y324" i="1"/>
  <c r="W326" i="1"/>
  <c r="Z323" i="1"/>
  <c r="AA323" i="1" s="1"/>
  <c r="Y325" i="1" l="1"/>
  <c r="W327" i="1"/>
  <c r="Z324" i="1"/>
  <c r="AA324" i="1" s="1"/>
  <c r="R311" i="1"/>
  <c r="S310" i="1"/>
  <c r="T310" i="1" s="1"/>
  <c r="R312" i="1" l="1"/>
  <c r="S311" i="1"/>
  <c r="T311" i="1" s="1"/>
  <c r="Y326" i="1"/>
  <c r="W328" i="1"/>
  <c r="Z325" i="1"/>
  <c r="AA325" i="1" s="1"/>
  <c r="Y327" i="1" l="1"/>
  <c r="W329" i="1"/>
  <c r="Z326" i="1"/>
  <c r="AA326" i="1" s="1"/>
  <c r="R313" i="1"/>
  <c r="S312" i="1"/>
  <c r="T312" i="1" s="1"/>
  <c r="R314" i="1" l="1"/>
  <c r="S313" i="1"/>
  <c r="T313" i="1" s="1"/>
  <c r="Y328" i="1"/>
  <c r="W330" i="1"/>
  <c r="Z327" i="1"/>
  <c r="AA327" i="1" s="1"/>
  <c r="Y329" i="1" l="1"/>
  <c r="W331" i="1"/>
  <c r="Z328" i="1"/>
  <c r="AA328" i="1" s="1"/>
  <c r="R315" i="1"/>
  <c r="S314" i="1"/>
  <c r="T314" i="1" s="1"/>
  <c r="R316" i="1" l="1"/>
  <c r="S315" i="1"/>
  <c r="T315" i="1" s="1"/>
  <c r="Y330" i="1"/>
  <c r="W332" i="1"/>
  <c r="Z329" i="1"/>
  <c r="AA329" i="1" s="1"/>
  <c r="Y331" i="1" l="1"/>
  <c r="W333" i="1"/>
  <c r="Z330" i="1"/>
  <c r="AA330" i="1" s="1"/>
  <c r="R317" i="1"/>
  <c r="S316" i="1"/>
  <c r="T316" i="1" s="1"/>
  <c r="R318" i="1" l="1"/>
  <c r="S317" i="1"/>
  <c r="T317" i="1" s="1"/>
  <c r="Y332" i="1"/>
  <c r="W334" i="1"/>
  <c r="Z331" i="1"/>
  <c r="AA331" i="1" s="1"/>
  <c r="Y333" i="1" l="1"/>
  <c r="W335" i="1"/>
  <c r="Z332" i="1"/>
  <c r="AA332" i="1" s="1"/>
  <c r="R319" i="1"/>
  <c r="S318" i="1"/>
  <c r="T318" i="1" s="1"/>
  <c r="R320" i="1" l="1"/>
  <c r="S319" i="1"/>
  <c r="T319" i="1" s="1"/>
  <c r="Y334" i="1"/>
  <c r="W336" i="1"/>
  <c r="Z333" i="1"/>
  <c r="AA333" i="1" s="1"/>
  <c r="Y335" i="1" l="1"/>
  <c r="W337" i="1"/>
  <c r="Z334" i="1"/>
  <c r="AA334" i="1" s="1"/>
  <c r="R321" i="1"/>
  <c r="S320" i="1"/>
  <c r="T320" i="1" s="1"/>
  <c r="R322" i="1" l="1"/>
  <c r="S321" i="1"/>
  <c r="T321" i="1" s="1"/>
  <c r="Y336" i="1"/>
  <c r="W338" i="1"/>
  <c r="Z335" i="1"/>
  <c r="AA335" i="1" s="1"/>
  <c r="Y337" i="1" l="1"/>
  <c r="W339" i="1"/>
  <c r="Z336" i="1"/>
  <c r="AA336" i="1" s="1"/>
  <c r="R323" i="1"/>
  <c r="S322" i="1"/>
  <c r="T322" i="1" s="1"/>
  <c r="R324" i="1" l="1"/>
  <c r="S323" i="1"/>
  <c r="T323" i="1" s="1"/>
  <c r="Y338" i="1"/>
  <c r="W340" i="1"/>
  <c r="Z337" i="1"/>
  <c r="AA337" i="1" s="1"/>
  <c r="Y339" i="1" l="1"/>
  <c r="W341" i="1"/>
  <c r="Z338" i="1"/>
  <c r="AA338" i="1" s="1"/>
  <c r="R325" i="1"/>
  <c r="S324" i="1"/>
  <c r="T324" i="1" s="1"/>
  <c r="R326" i="1" l="1"/>
  <c r="S325" i="1"/>
  <c r="T325" i="1" s="1"/>
  <c r="Y340" i="1"/>
  <c r="W342" i="1"/>
  <c r="Z339" i="1"/>
  <c r="AA339" i="1" s="1"/>
  <c r="Y341" i="1" l="1"/>
  <c r="W343" i="1"/>
  <c r="Z340" i="1"/>
  <c r="AA340" i="1" s="1"/>
  <c r="R327" i="1"/>
  <c r="S326" i="1"/>
  <c r="T326" i="1" s="1"/>
  <c r="R328" i="1" l="1"/>
  <c r="S327" i="1"/>
  <c r="T327" i="1" s="1"/>
  <c r="Y342" i="1"/>
  <c r="W344" i="1"/>
  <c r="Z341" i="1"/>
  <c r="AA341" i="1" s="1"/>
  <c r="S328" i="1" l="1"/>
  <c r="T328" i="1" s="1"/>
  <c r="R329" i="1"/>
  <c r="Y343" i="1"/>
  <c r="W345" i="1"/>
  <c r="Z342" i="1"/>
  <c r="AA342" i="1" s="1"/>
  <c r="Y344" i="1" l="1"/>
  <c r="W346" i="1"/>
  <c r="Z343" i="1"/>
  <c r="AA343" i="1" s="1"/>
  <c r="R330" i="1"/>
  <c r="S329" i="1"/>
  <c r="T329" i="1" s="1"/>
  <c r="Y345" i="1" l="1"/>
  <c r="W347" i="1"/>
  <c r="R331" i="1"/>
  <c r="S330" i="1"/>
  <c r="T330" i="1" s="1"/>
  <c r="Z344" i="1"/>
  <c r="AA344" i="1" s="1"/>
  <c r="Y346" i="1" l="1"/>
  <c r="W348" i="1"/>
  <c r="R332" i="1"/>
  <c r="S331" i="1"/>
  <c r="T331" i="1" s="1"/>
  <c r="Z345" i="1"/>
  <c r="AA345" i="1" s="1"/>
  <c r="R333" i="1" l="1"/>
  <c r="S332" i="1"/>
  <c r="T332" i="1" s="1"/>
  <c r="Y347" i="1"/>
  <c r="W349" i="1"/>
  <c r="Z346" i="1"/>
  <c r="AA346" i="1" s="1"/>
  <c r="Y348" i="1" l="1"/>
  <c r="W350" i="1"/>
  <c r="Z347" i="1"/>
  <c r="AA347" i="1" s="1"/>
  <c r="R334" i="1"/>
  <c r="S333" i="1"/>
  <c r="T333" i="1" s="1"/>
  <c r="R335" i="1" l="1"/>
  <c r="S334" i="1"/>
  <c r="T334" i="1" s="1"/>
  <c r="Y349" i="1"/>
  <c r="W351" i="1"/>
  <c r="Z348" i="1"/>
  <c r="AA348" i="1" s="1"/>
  <c r="Y350" i="1" l="1"/>
  <c r="W352" i="1"/>
  <c r="Z349" i="1"/>
  <c r="AA349" i="1" s="1"/>
  <c r="R336" i="1"/>
  <c r="S335" i="1"/>
  <c r="T335" i="1" s="1"/>
  <c r="R337" i="1" l="1"/>
  <c r="S336" i="1"/>
  <c r="T336" i="1" s="1"/>
  <c r="Y351" i="1"/>
  <c r="W353" i="1"/>
  <c r="Z350" i="1"/>
  <c r="AA350" i="1" s="1"/>
  <c r="Y352" i="1" l="1"/>
  <c r="W354" i="1"/>
  <c r="Z351" i="1"/>
  <c r="AA351" i="1" s="1"/>
  <c r="R338" i="1"/>
  <c r="S337" i="1"/>
  <c r="T337" i="1" s="1"/>
  <c r="R339" i="1" l="1"/>
  <c r="S338" i="1"/>
  <c r="T338" i="1" s="1"/>
  <c r="Y353" i="1"/>
  <c r="W355" i="1"/>
  <c r="Z352" i="1"/>
  <c r="AA352" i="1" s="1"/>
  <c r="Y354" i="1" l="1"/>
  <c r="W356" i="1"/>
  <c r="Z353" i="1"/>
  <c r="AA353" i="1" s="1"/>
  <c r="R340" i="1"/>
  <c r="S339" i="1"/>
  <c r="T339" i="1" s="1"/>
  <c r="R341" i="1" l="1"/>
  <c r="S340" i="1"/>
  <c r="T340" i="1" s="1"/>
  <c r="Y355" i="1"/>
  <c r="W357" i="1"/>
  <c r="Z354" i="1"/>
  <c r="AA354" i="1" s="1"/>
  <c r="Y356" i="1" l="1"/>
  <c r="W358" i="1"/>
  <c r="Z355" i="1"/>
  <c r="AA355" i="1" s="1"/>
  <c r="R342" i="1"/>
  <c r="S341" i="1"/>
  <c r="T341" i="1" s="1"/>
  <c r="R343" i="1" l="1"/>
  <c r="S342" i="1"/>
  <c r="T342" i="1" s="1"/>
  <c r="Y357" i="1"/>
  <c r="W359" i="1"/>
  <c r="Z356" i="1"/>
  <c r="AA356" i="1" s="1"/>
  <c r="Y358" i="1" l="1"/>
  <c r="W360" i="1"/>
  <c r="Z357" i="1"/>
  <c r="AA357" i="1" s="1"/>
  <c r="R344" i="1"/>
  <c r="S343" i="1"/>
  <c r="T343" i="1" s="1"/>
  <c r="R345" i="1" l="1"/>
  <c r="S344" i="1"/>
  <c r="T344" i="1" s="1"/>
  <c r="Y359" i="1"/>
  <c r="W361" i="1"/>
  <c r="Z358" i="1"/>
  <c r="AA358" i="1" s="1"/>
  <c r="Y360" i="1" l="1"/>
  <c r="W362" i="1"/>
  <c r="Z359" i="1"/>
  <c r="AA359" i="1" s="1"/>
  <c r="R346" i="1"/>
  <c r="S345" i="1"/>
  <c r="T345" i="1" s="1"/>
  <c r="R347" i="1" l="1"/>
  <c r="S346" i="1"/>
  <c r="T346" i="1" s="1"/>
  <c r="Y361" i="1"/>
  <c r="W363" i="1"/>
  <c r="Z360" i="1"/>
  <c r="AA360" i="1" s="1"/>
  <c r="Y362" i="1" l="1"/>
  <c r="W364" i="1"/>
  <c r="Z361" i="1"/>
  <c r="AA361" i="1" s="1"/>
  <c r="R348" i="1"/>
  <c r="S347" i="1"/>
  <c r="T347" i="1" s="1"/>
  <c r="R349" i="1" l="1"/>
  <c r="S348" i="1"/>
  <c r="T348" i="1" s="1"/>
  <c r="Y363" i="1"/>
  <c r="W365" i="1"/>
  <c r="Z362" i="1"/>
  <c r="AA362" i="1" s="1"/>
  <c r="Z363" i="1" l="1"/>
  <c r="AA363" i="1" s="1"/>
  <c r="Y364" i="1"/>
  <c r="W366" i="1"/>
  <c r="R350" i="1"/>
  <c r="S349" i="1"/>
  <c r="T349" i="1" s="1"/>
  <c r="Z364" i="1" l="1"/>
  <c r="AA364" i="1" s="1"/>
  <c r="R351" i="1"/>
  <c r="S350" i="1"/>
  <c r="T350" i="1" s="1"/>
  <c r="Y365" i="1"/>
  <c r="W367" i="1"/>
  <c r="Z365" i="1" l="1"/>
  <c r="AA365" i="1" s="1"/>
  <c r="Y366" i="1"/>
  <c r="W368" i="1"/>
  <c r="S351" i="1"/>
  <c r="T351" i="1" s="1"/>
  <c r="R352" i="1"/>
  <c r="Z366" i="1" l="1"/>
  <c r="AA366" i="1" s="1"/>
  <c r="R353" i="1"/>
  <c r="S352" i="1"/>
  <c r="T352" i="1" s="1"/>
  <c r="Y367" i="1"/>
  <c r="W369" i="1"/>
  <c r="Y368" i="1" l="1"/>
  <c r="W370" i="1"/>
  <c r="Z367" i="1"/>
  <c r="AA367" i="1" s="1"/>
  <c r="R354" i="1"/>
  <c r="S353" i="1"/>
  <c r="T353" i="1" s="1"/>
  <c r="R355" i="1" l="1"/>
  <c r="S354" i="1"/>
  <c r="T354" i="1" s="1"/>
  <c r="Y369" i="1"/>
  <c r="W371" i="1"/>
  <c r="Z368" i="1"/>
  <c r="AA368" i="1" s="1"/>
  <c r="Y370" i="1" l="1"/>
  <c r="W372" i="1"/>
  <c r="Z369" i="1"/>
  <c r="AA369" i="1" s="1"/>
  <c r="S355" i="1"/>
  <c r="T355" i="1" s="1"/>
  <c r="R356" i="1"/>
  <c r="R357" i="1" l="1"/>
  <c r="S356" i="1"/>
  <c r="T356" i="1" s="1"/>
  <c r="Y371" i="1"/>
  <c r="W373" i="1"/>
  <c r="Z370" i="1"/>
  <c r="AA370" i="1" s="1"/>
  <c r="Y372" i="1" l="1"/>
  <c r="W374" i="1"/>
  <c r="Z371" i="1"/>
  <c r="AA371" i="1" s="1"/>
  <c r="R358" i="1"/>
  <c r="S357" i="1"/>
  <c r="T357" i="1" s="1"/>
  <c r="R359" i="1" l="1"/>
  <c r="S358" i="1"/>
  <c r="T358" i="1" s="1"/>
  <c r="Y373" i="1"/>
  <c r="W375" i="1"/>
  <c r="Z372" i="1"/>
  <c r="AA372" i="1" s="1"/>
  <c r="Y374" i="1" l="1"/>
  <c r="W376" i="1"/>
  <c r="Z373" i="1"/>
  <c r="AA373" i="1" s="1"/>
  <c r="S359" i="1"/>
  <c r="T359" i="1" s="1"/>
  <c r="R360" i="1"/>
  <c r="R361" i="1" l="1"/>
  <c r="S360" i="1"/>
  <c r="T360" i="1" s="1"/>
  <c r="Y375" i="1"/>
  <c r="W377" i="1"/>
  <c r="Z374" i="1"/>
  <c r="AA374" i="1" s="1"/>
  <c r="Y376" i="1" l="1"/>
  <c r="W378" i="1"/>
  <c r="Z375" i="1"/>
  <c r="AA375" i="1" s="1"/>
  <c r="R362" i="1"/>
  <c r="S361" i="1"/>
  <c r="T361" i="1" s="1"/>
  <c r="R363" i="1" l="1"/>
  <c r="S362" i="1"/>
  <c r="T362" i="1" s="1"/>
  <c r="Y377" i="1"/>
  <c r="W379" i="1"/>
  <c r="Z376" i="1"/>
  <c r="AA376" i="1" s="1"/>
  <c r="Y378" i="1" l="1"/>
  <c r="W380" i="1"/>
  <c r="Z377" i="1"/>
  <c r="AA377" i="1" s="1"/>
  <c r="R364" i="1"/>
  <c r="S363" i="1"/>
  <c r="T363" i="1" s="1"/>
  <c r="R365" i="1" l="1"/>
  <c r="S364" i="1"/>
  <c r="T364" i="1" s="1"/>
  <c r="Y379" i="1"/>
  <c r="W381" i="1"/>
  <c r="Z378" i="1"/>
  <c r="AA378" i="1" s="1"/>
  <c r="Y380" i="1" l="1"/>
  <c r="W382" i="1"/>
  <c r="Z379" i="1"/>
  <c r="AA379" i="1" s="1"/>
  <c r="R366" i="1"/>
  <c r="S365" i="1"/>
  <c r="T365" i="1" s="1"/>
  <c r="R367" i="1" l="1"/>
  <c r="S366" i="1"/>
  <c r="T366" i="1" s="1"/>
  <c r="Y381" i="1"/>
  <c r="W383" i="1"/>
  <c r="Z380" i="1"/>
  <c r="AA380" i="1" s="1"/>
  <c r="Y382" i="1" l="1"/>
  <c r="W384" i="1"/>
  <c r="Z381" i="1"/>
  <c r="AA381" i="1" s="1"/>
  <c r="R368" i="1"/>
  <c r="S367" i="1"/>
  <c r="T367" i="1" s="1"/>
  <c r="R369" i="1" l="1"/>
  <c r="S368" i="1"/>
  <c r="T368" i="1" s="1"/>
  <c r="Y383" i="1"/>
  <c r="W385" i="1"/>
  <c r="Z382" i="1"/>
  <c r="AA382" i="1" s="1"/>
  <c r="Z383" i="1" l="1"/>
  <c r="AA383" i="1" s="1"/>
  <c r="Y384" i="1"/>
  <c r="W386" i="1"/>
  <c r="R370" i="1"/>
  <c r="S369" i="1"/>
  <c r="T369" i="1" s="1"/>
  <c r="Z384" i="1" l="1"/>
  <c r="AA384" i="1" s="1"/>
  <c r="Y385" i="1"/>
  <c r="W387" i="1"/>
  <c r="R371" i="1"/>
  <c r="S370" i="1"/>
  <c r="T370" i="1" s="1"/>
  <c r="Z385" i="1" l="1"/>
  <c r="AA385" i="1" s="1"/>
  <c r="R372" i="1"/>
  <c r="S371" i="1"/>
  <c r="T371" i="1" s="1"/>
  <c r="Y386" i="1"/>
  <c r="W388" i="1"/>
  <c r="Z386" i="1" l="1"/>
  <c r="AA386" i="1" s="1"/>
  <c r="Y387" i="1"/>
  <c r="W389" i="1"/>
  <c r="S372" i="1"/>
  <c r="T372" i="1" s="1"/>
  <c r="R373" i="1"/>
  <c r="Z387" i="1" l="1"/>
  <c r="AA387" i="1" s="1"/>
  <c r="R374" i="1"/>
  <c r="S373" i="1"/>
  <c r="T373" i="1" s="1"/>
  <c r="Y388" i="1"/>
  <c r="W390" i="1"/>
  <c r="Z388" i="1" l="1"/>
  <c r="AA388" i="1" s="1"/>
  <c r="Y389" i="1"/>
  <c r="W391" i="1"/>
  <c r="R375" i="1"/>
  <c r="S374" i="1"/>
  <c r="T374" i="1" s="1"/>
  <c r="Z389" i="1" l="1"/>
  <c r="AA389" i="1" s="1"/>
  <c r="R376" i="1"/>
  <c r="S375" i="1"/>
  <c r="T375" i="1" s="1"/>
  <c r="Y390" i="1"/>
  <c r="W392" i="1"/>
  <c r="Z390" i="1" l="1"/>
  <c r="AA390" i="1" s="1"/>
  <c r="Y391" i="1"/>
  <c r="W393" i="1"/>
  <c r="R377" i="1"/>
  <c r="S376" i="1"/>
  <c r="T376" i="1" s="1"/>
  <c r="Z391" i="1" l="1"/>
  <c r="AA391" i="1" s="1"/>
  <c r="S377" i="1"/>
  <c r="T377" i="1" s="1"/>
  <c r="R378" i="1"/>
  <c r="Y392" i="1"/>
  <c r="W394" i="1"/>
  <c r="Z392" i="1" l="1"/>
  <c r="AA392" i="1" s="1"/>
  <c r="Y393" i="1"/>
  <c r="W395" i="1"/>
  <c r="R379" i="1"/>
  <c r="S378" i="1"/>
  <c r="T378" i="1" s="1"/>
  <c r="Z393" i="1" l="1"/>
  <c r="AA393" i="1" s="1"/>
  <c r="R380" i="1"/>
  <c r="S379" i="1"/>
  <c r="T379" i="1" s="1"/>
  <c r="Y394" i="1"/>
  <c r="W396" i="1"/>
  <c r="Z394" i="1" l="1"/>
  <c r="AA394" i="1" s="1"/>
  <c r="Y395" i="1"/>
  <c r="W397" i="1"/>
  <c r="R381" i="1"/>
  <c r="S380" i="1"/>
  <c r="T380" i="1" s="1"/>
  <c r="Z395" i="1" l="1"/>
  <c r="AA395" i="1" s="1"/>
  <c r="R382" i="1"/>
  <c r="S381" i="1"/>
  <c r="T381" i="1" s="1"/>
  <c r="Y396" i="1"/>
  <c r="Z396" i="1" s="1"/>
  <c r="AA396" i="1" s="1"/>
  <c r="W398" i="1"/>
  <c r="Y397" i="1" l="1"/>
  <c r="Z397" i="1" s="1"/>
  <c r="AA397" i="1" s="1"/>
  <c r="W399" i="1"/>
  <c r="R383" i="1"/>
  <c r="S382" i="1"/>
  <c r="T382" i="1" s="1"/>
  <c r="R384" i="1" l="1"/>
  <c r="S383" i="1"/>
  <c r="T383" i="1" s="1"/>
  <c r="Y398" i="1"/>
  <c r="Z398" i="1" s="1"/>
  <c r="AA398" i="1" s="1"/>
  <c r="W400" i="1"/>
  <c r="Y399" i="1" l="1"/>
  <c r="Z399" i="1" s="1"/>
  <c r="AA399" i="1" s="1"/>
  <c r="W401" i="1"/>
  <c r="R385" i="1"/>
  <c r="S384" i="1"/>
  <c r="T384" i="1" s="1"/>
  <c r="R386" i="1" l="1"/>
  <c r="S385" i="1"/>
  <c r="T385" i="1" s="1"/>
  <c r="Y400" i="1"/>
  <c r="Z400" i="1" s="1"/>
  <c r="AA400" i="1" s="1"/>
  <c r="W402" i="1"/>
  <c r="Y401" i="1" l="1"/>
  <c r="Z401" i="1" s="1"/>
  <c r="AA401" i="1" s="1"/>
  <c r="W403" i="1"/>
  <c r="R387" i="1"/>
  <c r="S386" i="1"/>
  <c r="T386" i="1" s="1"/>
  <c r="R388" i="1" l="1"/>
  <c r="S387" i="1"/>
  <c r="T387" i="1" s="1"/>
  <c r="Y402" i="1"/>
  <c r="Z402" i="1" s="1"/>
  <c r="AA402" i="1" s="1"/>
  <c r="W404" i="1"/>
  <c r="Y403" i="1" l="1"/>
  <c r="Z403" i="1" s="1"/>
  <c r="AA403" i="1" s="1"/>
  <c r="W405" i="1"/>
  <c r="R389" i="1"/>
  <c r="S388" i="1"/>
  <c r="T388" i="1" s="1"/>
  <c r="R390" i="1" l="1"/>
  <c r="S389" i="1"/>
  <c r="T389" i="1" s="1"/>
  <c r="Y404" i="1"/>
  <c r="Z404" i="1" s="1"/>
  <c r="AA404" i="1" s="1"/>
  <c r="W406" i="1"/>
  <c r="Y405" i="1" l="1"/>
  <c r="Z405" i="1" s="1"/>
  <c r="AA405" i="1" s="1"/>
  <c r="W407" i="1"/>
  <c r="R391" i="1"/>
  <c r="S390" i="1"/>
  <c r="T390" i="1" s="1"/>
  <c r="S391" i="1" l="1"/>
  <c r="T391" i="1" s="1"/>
  <c r="R392" i="1"/>
  <c r="Y406" i="1"/>
  <c r="Z406" i="1" s="1"/>
  <c r="AA406" i="1" s="1"/>
  <c r="W408" i="1"/>
  <c r="Y407" i="1" l="1"/>
  <c r="Z407" i="1" s="1"/>
  <c r="AA407" i="1" s="1"/>
  <c r="W409" i="1"/>
  <c r="R393" i="1"/>
  <c r="S392" i="1"/>
  <c r="T392" i="1" s="1"/>
  <c r="R394" i="1" l="1"/>
  <c r="S393" i="1"/>
  <c r="T393" i="1" s="1"/>
  <c r="Y408" i="1"/>
  <c r="Z408" i="1" s="1"/>
  <c r="AA408" i="1" s="1"/>
  <c r="W410" i="1"/>
  <c r="Y409" i="1" l="1"/>
  <c r="Z409" i="1" s="1"/>
  <c r="AA409" i="1" s="1"/>
  <c r="W411" i="1"/>
  <c r="R395" i="1"/>
  <c r="S394" i="1"/>
  <c r="T394" i="1" s="1"/>
  <c r="R396" i="1" l="1"/>
  <c r="S395" i="1"/>
  <c r="T395" i="1" s="1"/>
  <c r="Y410" i="1"/>
  <c r="Z410" i="1" s="1"/>
  <c r="AA410" i="1" s="1"/>
  <c r="W412" i="1"/>
  <c r="Y411" i="1" l="1"/>
  <c r="Z411" i="1" s="1"/>
  <c r="AA411" i="1" s="1"/>
  <c r="W413" i="1"/>
  <c r="R397" i="1"/>
  <c r="S396" i="1"/>
  <c r="T396" i="1" s="1"/>
  <c r="R398" i="1" l="1"/>
  <c r="S397" i="1"/>
  <c r="T397" i="1" s="1"/>
  <c r="Y412" i="1"/>
  <c r="Z412" i="1" s="1"/>
  <c r="AA412" i="1" s="1"/>
  <c r="W414" i="1"/>
  <c r="Y413" i="1" l="1"/>
  <c r="Z413" i="1" s="1"/>
  <c r="AA413" i="1" s="1"/>
  <c r="W415" i="1"/>
  <c r="S398" i="1"/>
  <c r="T398" i="1" s="1"/>
  <c r="R399" i="1"/>
  <c r="R400" i="1" l="1"/>
  <c r="S399" i="1"/>
  <c r="T399" i="1" s="1"/>
  <c r="Y414" i="1"/>
  <c r="Z414" i="1" s="1"/>
  <c r="AA414" i="1" s="1"/>
  <c r="W416" i="1"/>
  <c r="Y415" i="1" l="1"/>
  <c r="Z415" i="1" s="1"/>
  <c r="AA415" i="1" s="1"/>
  <c r="W417" i="1"/>
  <c r="R401" i="1"/>
  <c r="S400" i="1"/>
  <c r="T400" i="1" s="1"/>
  <c r="R402" i="1" l="1"/>
  <c r="S401" i="1"/>
  <c r="T401" i="1" s="1"/>
  <c r="Y416" i="1"/>
  <c r="Z416" i="1" s="1"/>
  <c r="AA416" i="1" s="1"/>
  <c r="W418" i="1"/>
  <c r="Y417" i="1" l="1"/>
  <c r="Z417" i="1" s="1"/>
  <c r="AA417" i="1" s="1"/>
  <c r="W419" i="1"/>
  <c r="S402" i="1"/>
  <c r="T402" i="1" s="1"/>
  <c r="R403" i="1"/>
  <c r="R404" i="1" l="1"/>
  <c r="S403" i="1"/>
  <c r="T403" i="1" s="1"/>
  <c r="Y418" i="1"/>
  <c r="Z418" i="1" s="1"/>
  <c r="AA418" i="1" s="1"/>
  <c r="W420" i="1"/>
  <c r="Y419" i="1" l="1"/>
  <c r="W421" i="1"/>
  <c r="S404" i="1"/>
  <c r="T404" i="1" s="1"/>
  <c r="R405" i="1"/>
  <c r="S405" i="1" l="1"/>
  <c r="T405" i="1" s="1"/>
  <c r="R406" i="1"/>
  <c r="Y420" i="1"/>
  <c r="W422" i="1"/>
  <c r="Z419" i="1"/>
  <c r="AA419" i="1" s="1"/>
  <c r="Y421" i="1" l="1"/>
  <c r="W423" i="1"/>
  <c r="Z420" i="1"/>
  <c r="AA420" i="1" s="1"/>
  <c r="R407" i="1"/>
  <c r="S406" i="1"/>
  <c r="T406" i="1" s="1"/>
  <c r="R408" i="1" l="1"/>
  <c r="S407" i="1"/>
  <c r="T407" i="1" s="1"/>
  <c r="Y422" i="1"/>
  <c r="W424" i="1"/>
  <c r="Z421" i="1"/>
  <c r="AA421" i="1" s="1"/>
  <c r="Y423" i="1" l="1"/>
  <c r="W425" i="1"/>
  <c r="Z422" i="1"/>
  <c r="AA422" i="1" s="1"/>
  <c r="R409" i="1"/>
  <c r="S408" i="1"/>
  <c r="T408" i="1" s="1"/>
  <c r="R410" i="1" l="1"/>
  <c r="S409" i="1"/>
  <c r="T409" i="1" s="1"/>
  <c r="Y424" i="1"/>
  <c r="W426" i="1"/>
  <c r="Z423" i="1"/>
  <c r="AA423" i="1" s="1"/>
  <c r="Y425" i="1" l="1"/>
  <c r="W427" i="1"/>
  <c r="Z424" i="1"/>
  <c r="AA424" i="1" s="1"/>
  <c r="R411" i="1"/>
  <c r="S410" i="1"/>
  <c r="T410" i="1" s="1"/>
  <c r="Z425" i="1" l="1"/>
  <c r="AA425" i="1" s="1"/>
  <c r="R412" i="1"/>
  <c r="S411" i="1"/>
  <c r="T411" i="1" s="1"/>
  <c r="Y426" i="1"/>
  <c r="W428" i="1"/>
  <c r="Z426" i="1" l="1"/>
  <c r="AA426" i="1" s="1"/>
  <c r="Y427" i="1"/>
  <c r="W429" i="1"/>
  <c r="R413" i="1"/>
  <c r="S412" i="1"/>
  <c r="T412" i="1" s="1"/>
  <c r="Z427" i="1" l="1"/>
  <c r="AA427" i="1" s="1"/>
  <c r="R414" i="1"/>
  <c r="S413" i="1"/>
  <c r="T413" i="1" s="1"/>
  <c r="Y428" i="1"/>
  <c r="W430" i="1"/>
  <c r="Z428" i="1" l="1"/>
  <c r="AA428" i="1" s="1"/>
  <c r="Y429" i="1"/>
  <c r="W431" i="1"/>
  <c r="R415" i="1"/>
  <c r="S414" i="1"/>
  <c r="T414" i="1" s="1"/>
  <c r="Z429" i="1" l="1"/>
  <c r="AA429" i="1" s="1"/>
  <c r="R416" i="1"/>
  <c r="S415" i="1"/>
  <c r="T415" i="1" s="1"/>
  <c r="Y430" i="1"/>
  <c r="Z430" i="1" s="1"/>
  <c r="AA430" i="1" s="1"/>
  <c r="W432" i="1"/>
  <c r="Y431" i="1" l="1"/>
  <c r="Z431" i="1" s="1"/>
  <c r="AA431" i="1" s="1"/>
  <c r="W433" i="1"/>
  <c r="R417" i="1"/>
  <c r="S416" i="1"/>
  <c r="T416" i="1" s="1"/>
  <c r="R418" i="1" l="1"/>
  <c r="S417" i="1"/>
  <c r="T417" i="1" s="1"/>
  <c r="Y432" i="1"/>
  <c r="Z432" i="1" s="1"/>
  <c r="AA432" i="1" s="1"/>
  <c r="W434" i="1"/>
  <c r="Y433" i="1" l="1"/>
  <c r="W435" i="1"/>
  <c r="R419" i="1"/>
  <c r="S418" i="1"/>
  <c r="T418" i="1" s="1"/>
  <c r="R420" i="1" l="1"/>
  <c r="S419" i="1"/>
  <c r="T419" i="1" s="1"/>
  <c r="Y434" i="1"/>
  <c r="W436" i="1"/>
  <c r="Z433" i="1"/>
  <c r="AA433" i="1" s="1"/>
  <c r="Z434" i="1" l="1"/>
  <c r="AA434" i="1" s="1"/>
  <c r="Y435" i="1"/>
  <c r="W437" i="1"/>
  <c r="R421" i="1"/>
  <c r="S420" i="1"/>
  <c r="T420" i="1" s="1"/>
  <c r="Z435" i="1" l="1"/>
  <c r="AA435" i="1" s="1"/>
  <c r="R422" i="1"/>
  <c r="S421" i="1"/>
  <c r="T421" i="1" s="1"/>
  <c r="Y436" i="1"/>
  <c r="W438" i="1"/>
  <c r="Z436" i="1" l="1"/>
  <c r="AA436" i="1" s="1"/>
  <c r="Y437" i="1"/>
  <c r="W439" i="1"/>
  <c r="S422" i="1"/>
  <c r="T422" i="1" s="1"/>
  <c r="R423" i="1"/>
  <c r="Z437" i="1" l="1"/>
  <c r="AA437" i="1" s="1"/>
  <c r="R424" i="1"/>
  <c r="S423" i="1"/>
  <c r="T423" i="1" s="1"/>
  <c r="Y438" i="1"/>
  <c r="W440" i="1"/>
  <c r="Z438" i="1" l="1"/>
  <c r="AA438" i="1" s="1"/>
  <c r="Y439" i="1"/>
  <c r="W441" i="1"/>
  <c r="R425" i="1"/>
  <c r="S424" i="1"/>
  <c r="T424" i="1" s="1"/>
  <c r="Z439" i="1" l="1"/>
  <c r="AA439" i="1" s="1"/>
  <c r="R426" i="1"/>
  <c r="S425" i="1"/>
  <c r="T425" i="1" s="1"/>
  <c r="Y440" i="1"/>
  <c r="W442" i="1"/>
  <c r="Z440" i="1" l="1"/>
  <c r="AA440" i="1" s="1"/>
  <c r="Y441" i="1"/>
  <c r="W443" i="1"/>
  <c r="R427" i="1"/>
  <c r="S426" i="1"/>
  <c r="T426" i="1" s="1"/>
  <c r="Z441" i="1" l="1"/>
  <c r="AA441" i="1" s="1"/>
  <c r="R428" i="1"/>
  <c r="S427" i="1"/>
  <c r="T427" i="1" s="1"/>
  <c r="Y442" i="1"/>
  <c r="Z442" i="1" s="1"/>
  <c r="AA442" i="1" s="1"/>
  <c r="W444" i="1"/>
  <c r="Y443" i="1" l="1"/>
  <c r="Z443" i="1" s="1"/>
  <c r="AA443" i="1" s="1"/>
  <c r="W445" i="1"/>
  <c r="R429" i="1"/>
  <c r="S428" i="1"/>
  <c r="T428" i="1" s="1"/>
  <c r="R430" i="1" l="1"/>
  <c r="S429" i="1"/>
  <c r="T429" i="1" s="1"/>
  <c r="Y444" i="1"/>
  <c r="Z444" i="1" s="1"/>
  <c r="AA444" i="1" s="1"/>
  <c r="W446" i="1"/>
  <c r="Y445" i="1" l="1"/>
  <c r="Z445" i="1" s="1"/>
  <c r="AA445" i="1" s="1"/>
  <c r="W447" i="1"/>
  <c r="R431" i="1"/>
  <c r="S430" i="1"/>
  <c r="T430" i="1" s="1"/>
  <c r="R432" i="1" l="1"/>
  <c r="S431" i="1"/>
  <c r="T431" i="1" s="1"/>
  <c r="Y446" i="1"/>
  <c r="Z446" i="1" s="1"/>
  <c r="AA446" i="1" s="1"/>
  <c r="W448" i="1"/>
  <c r="Y447" i="1" l="1"/>
  <c r="Z447" i="1" s="1"/>
  <c r="AA447" i="1" s="1"/>
  <c r="W449" i="1"/>
  <c r="R433" i="1"/>
  <c r="S432" i="1"/>
  <c r="T432" i="1" s="1"/>
  <c r="R434" i="1" l="1"/>
  <c r="S433" i="1"/>
  <c r="T433" i="1" s="1"/>
  <c r="Y448" i="1"/>
  <c r="Z448" i="1" s="1"/>
  <c r="AA448" i="1" s="1"/>
  <c r="W450" i="1"/>
  <c r="Y449" i="1" l="1"/>
  <c r="Z449" i="1" s="1"/>
  <c r="AA449" i="1" s="1"/>
  <c r="W451" i="1"/>
  <c r="R435" i="1"/>
  <c r="S434" i="1"/>
  <c r="T434" i="1" s="1"/>
  <c r="R436" i="1" l="1"/>
  <c r="S435" i="1"/>
  <c r="T435" i="1" s="1"/>
  <c r="Y450" i="1"/>
  <c r="Z450" i="1" s="1"/>
  <c r="AA450" i="1" s="1"/>
  <c r="W452" i="1"/>
  <c r="Y451" i="1" l="1"/>
  <c r="Z451" i="1" s="1"/>
  <c r="AA451" i="1" s="1"/>
  <c r="W453" i="1"/>
  <c r="S436" i="1"/>
  <c r="T436" i="1" s="1"/>
  <c r="R437" i="1"/>
  <c r="R438" i="1" l="1"/>
  <c r="S437" i="1"/>
  <c r="T437" i="1" s="1"/>
  <c r="Y452" i="1"/>
  <c r="Z452" i="1" s="1"/>
  <c r="AA452" i="1" s="1"/>
  <c r="W454" i="1"/>
  <c r="Y453" i="1" l="1"/>
  <c r="Z453" i="1" s="1"/>
  <c r="AA453" i="1" s="1"/>
  <c r="W455" i="1"/>
  <c r="R439" i="1"/>
  <c r="S438" i="1"/>
  <c r="T438" i="1" s="1"/>
  <c r="R440" i="1" l="1"/>
  <c r="S439" i="1"/>
  <c r="T439" i="1" s="1"/>
  <c r="Y454" i="1"/>
  <c r="Z454" i="1" s="1"/>
  <c r="AA454" i="1" s="1"/>
  <c r="W456" i="1"/>
  <c r="Y455" i="1" l="1"/>
  <c r="Z455" i="1" s="1"/>
  <c r="AA455" i="1" s="1"/>
  <c r="W457" i="1"/>
  <c r="R441" i="1"/>
  <c r="S440" i="1"/>
  <c r="T440" i="1" s="1"/>
  <c r="R442" i="1" l="1"/>
  <c r="S441" i="1"/>
  <c r="T441" i="1" s="1"/>
  <c r="Y456" i="1"/>
  <c r="Z456" i="1" s="1"/>
  <c r="AA456" i="1" s="1"/>
  <c r="W458" i="1"/>
  <c r="Y457" i="1" l="1"/>
  <c r="Z457" i="1" s="1"/>
  <c r="AA457" i="1" s="1"/>
  <c r="W459" i="1"/>
  <c r="R443" i="1"/>
  <c r="S442" i="1"/>
  <c r="T442" i="1" s="1"/>
  <c r="R444" i="1" l="1"/>
  <c r="S443" i="1"/>
  <c r="T443" i="1" s="1"/>
  <c r="Y458" i="1"/>
  <c r="Z458" i="1" s="1"/>
  <c r="AA458" i="1" s="1"/>
  <c r="W460" i="1"/>
  <c r="Y459" i="1" l="1"/>
  <c r="W461" i="1"/>
  <c r="R445" i="1"/>
  <c r="S444" i="1"/>
  <c r="T444" i="1" s="1"/>
  <c r="R446" i="1" l="1"/>
  <c r="S445" i="1"/>
  <c r="T445" i="1" s="1"/>
  <c r="Y460" i="1"/>
  <c r="W462" i="1"/>
  <c r="Z459" i="1"/>
  <c r="AA459" i="1" s="1"/>
  <c r="Y461" i="1" l="1"/>
  <c r="W463" i="1"/>
  <c r="Z460" i="1"/>
  <c r="AA460" i="1" s="1"/>
  <c r="R447" i="1"/>
  <c r="S446" i="1"/>
  <c r="T446" i="1" s="1"/>
  <c r="R448" i="1" l="1"/>
  <c r="S447" i="1"/>
  <c r="T447" i="1" s="1"/>
  <c r="Y462" i="1"/>
  <c r="W464" i="1"/>
  <c r="Z461" i="1"/>
  <c r="AA461" i="1" s="1"/>
  <c r="Y463" i="1" l="1"/>
  <c r="W465" i="1"/>
  <c r="Z462" i="1"/>
  <c r="AA462" i="1" s="1"/>
  <c r="R449" i="1"/>
  <c r="S448" i="1"/>
  <c r="T448" i="1" s="1"/>
  <c r="R450" i="1" l="1"/>
  <c r="S449" i="1"/>
  <c r="T449" i="1" s="1"/>
  <c r="Y464" i="1"/>
  <c r="W466" i="1"/>
  <c r="Z463" i="1"/>
  <c r="AA463" i="1" s="1"/>
  <c r="Y465" i="1" l="1"/>
  <c r="W467" i="1"/>
  <c r="Z464" i="1"/>
  <c r="AA464" i="1" s="1"/>
  <c r="R451" i="1"/>
  <c r="S450" i="1"/>
  <c r="T450" i="1" s="1"/>
  <c r="R452" i="1" l="1"/>
  <c r="S451" i="1"/>
  <c r="T451" i="1" s="1"/>
  <c r="Y466" i="1"/>
  <c r="W468" i="1"/>
  <c r="Z465" i="1"/>
  <c r="AA465" i="1" s="1"/>
  <c r="Y467" i="1" l="1"/>
  <c r="W469" i="1"/>
  <c r="Z466" i="1"/>
  <c r="AA466" i="1" s="1"/>
  <c r="R453" i="1"/>
  <c r="S452" i="1"/>
  <c r="T452" i="1" s="1"/>
  <c r="R454" i="1" l="1"/>
  <c r="S453" i="1"/>
  <c r="T453" i="1" s="1"/>
  <c r="Y468" i="1"/>
  <c r="W470" i="1"/>
  <c r="Z467" i="1"/>
  <c r="AA467" i="1" s="1"/>
  <c r="Z468" i="1" l="1"/>
  <c r="AA468" i="1" s="1"/>
  <c r="Y469" i="1"/>
  <c r="W471" i="1"/>
  <c r="R455" i="1"/>
  <c r="S454" i="1"/>
  <c r="T454" i="1" s="1"/>
  <c r="Z469" i="1" l="1"/>
  <c r="AA469" i="1" s="1"/>
  <c r="S455" i="1"/>
  <c r="T455" i="1" s="1"/>
  <c r="R456" i="1"/>
  <c r="Y470" i="1"/>
  <c r="W472" i="1"/>
  <c r="Z470" i="1" l="1"/>
  <c r="AA470" i="1" s="1"/>
  <c r="Y471" i="1"/>
  <c r="W473" i="1"/>
  <c r="R457" i="1"/>
  <c r="S456" i="1"/>
  <c r="T456" i="1" s="1"/>
  <c r="Z471" i="1" l="1"/>
  <c r="AA471" i="1" s="1"/>
  <c r="Y472" i="1"/>
  <c r="W474" i="1"/>
  <c r="R458" i="1"/>
  <c r="S457" i="1"/>
  <c r="T457" i="1" s="1"/>
  <c r="Z472" i="1" l="1"/>
  <c r="AA472" i="1" s="1"/>
  <c r="R459" i="1"/>
  <c r="S458" i="1"/>
  <c r="T458" i="1" s="1"/>
  <c r="Y473" i="1"/>
  <c r="W475" i="1"/>
  <c r="Z473" i="1" l="1"/>
  <c r="AA473" i="1" s="1"/>
  <c r="Y474" i="1"/>
  <c r="W476" i="1"/>
  <c r="R460" i="1"/>
  <c r="S459" i="1"/>
  <c r="T459" i="1" s="1"/>
  <c r="Z474" i="1" l="1"/>
  <c r="AA474" i="1" s="1"/>
  <c r="R461" i="1"/>
  <c r="S460" i="1"/>
  <c r="T460" i="1" s="1"/>
  <c r="Y475" i="1"/>
  <c r="W477" i="1"/>
  <c r="Z475" i="1" l="1"/>
  <c r="AA475" i="1" s="1"/>
  <c r="Y476" i="1"/>
  <c r="W478" i="1"/>
  <c r="R462" i="1"/>
  <c r="S461" i="1"/>
  <c r="T461" i="1" s="1"/>
  <c r="Z476" i="1" l="1"/>
  <c r="AA476" i="1" s="1"/>
  <c r="R463" i="1"/>
  <c r="S462" i="1"/>
  <c r="T462" i="1" s="1"/>
  <c r="Y477" i="1"/>
  <c r="Z477" i="1" s="1"/>
  <c r="AA477" i="1" s="1"/>
  <c r="W479" i="1"/>
  <c r="Y478" i="1" l="1"/>
  <c r="Z478" i="1" s="1"/>
  <c r="AA478" i="1" s="1"/>
  <c r="W480" i="1"/>
  <c r="R464" i="1"/>
  <c r="S463" i="1"/>
  <c r="T463" i="1" s="1"/>
  <c r="S464" i="1" l="1"/>
  <c r="T464" i="1" s="1"/>
  <c r="R465" i="1"/>
  <c r="Y479" i="1"/>
  <c r="Z479" i="1" s="1"/>
  <c r="AA479" i="1" s="1"/>
  <c r="W481" i="1"/>
  <c r="Y480" i="1" l="1"/>
  <c r="Z480" i="1" s="1"/>
  <c r="AA480" i="1" s="1"/>
  <c r="W482" i="1"/>
  <c r="R466" i="1"/>
  <c r="S465" i="1"/>
  <c r="T465" i="1" s="1"/>
  <c r="R467" i="1" l="1"/>
  <c r="S466" i="1"/>
  <c r="T466" i="1" s="1"/>
  <c r="Y481" i="1"/>
  <c r="Z481" i="1" s="1"/>
  <c r="AA481" i="1" s="1"/>
  <c r="W483" i="1"/>
  <c r="Y482" i="1" l="1"/>
  <c r="Z482" i="1" s="1"/>
  <c r="AA482" i="1" s="1"/>
  <c r="W484" i="1"/>
  <c r="R468" i="1"/>
  <c r="S467" i="1"/>
  <c r="T467" i="1" s="1"/>
  <c r="R469" i="1" l="1"/>
  <c r="S468" i="1"/>
  <c r="T468" i="1" s="1"/>
  <c r="Y483" i="1"/>
  <c r="Z483" i="1" s="1"/>
  <c r="AA483" i="1" s="1"/>
  <c r="W485" i="1"/>
  <c r="Y484" i="1" l="1"/>
  <c r="Z484" i="1" s="1"/>
  <c r="AA484" i="1" s="1"/>
  <c r="W486" i="1"/>
  <c r="R470" i="1"/>
  <c r="S469" i="1"/>
  <c r="T469" i="1" s="1"/>
  <c r="R471" i="1" l="1"/>
  <c r="S470" i="1"/>
  <c r="T470" i="1" s="1"/>
  <c r="Y485" i="1"/>
  <c r="W487" i="1"/>
  <c r="Y486" i="1" l="1"/>
  <c r="W488" i="1"/>
  <c r="Z485" i="1"/>
  <c r="AA485" i="1" s="1"/>
  <c r="R472" i="1"/>
  <c r="S471" i="1"/>
  <c r="T471" i="1" s="1"/>
  <c r="R473" i="1" l="1"/>
  <c r="S472" i="1"/>
  <c r="T472" i="1" s="1"/>
  <c r="Y487" i="1"/>
  <c r="W489" i="1"/>
  <c r="Z486" i="1"/>
  <c r="AA486" i="1" s="1"/>
  <c r="Y488" i="1" l="1"/>
  <c r="W490" i="1"/>
  <c r="Z487" i="1"/>
  <c r="AA487" i="1" s="1"/>
  <c r="R474" i="1"/>
  <c r="S473" i="1"/>
  <c r="T473" i="1" s="1"/>
  <c r="R475" i="1" l="1"/>
  <c r="S474" i="1"/>
  <c r="T474" i="1" s="1"/>
  <c r="Y489" i="1"/>
  <c r="W491" i="1"/>
  <c r="Z488" i="1"/>
  <c r="AA488" i="1" s="1"/>
  <c r="Y490" i="1" l="1"/>
  <c r="W492" i="1"/>
  <c r="Z489" i="1"/>
  <c r="AA489" i="1" s="1"/>
  <c r="R476" i="1"/>
  <c r="S475" i="1"/>
  <c r="T475" i="1" s="1"/>
  <c r="Y491" i="1" l="1"/>
  <c r="W493" i="1"/>
  <c r="R477" i="1"/>
  <c r="S476" i="1"/>
  <c r="T476" i="1" s="1"/>
  <c r="Z490" i="1"/>
  <c r="AA490" i="1" s="1"/>
  <c r="R478" i="1" l="1"/>
  <c r="S477" i="1"/>
  <c r="T477" i="1" s="1"/>
  <c r="Y492" i="1"/>
  <c r="W494" i="1"/>
  <c r="Z491" i="1"/>
  <c r="AA491" i="1" s="1"/>
  <c r="Y493" i="1" l="1"/>
  <c r="W495" i="1"/>
  <c r="Z492" i="1"/>
  <c r="AA492" i="1" s="1"/>
  <c r="S478" i="1"/>
  <c r="T478" i="1" s="1"/>
  <c r="R479" i="1"/>
  <c r="R480" i="1" l="1"/>
  <c r="S479" i="1"/>
  <c r="T479" i="1" s="1"/>
  <c r="Y494" i="1"/>
  <c r="W496" i="1"/>
  <c r="Z493" i="1"/>
  <c r="AA493" i="1" s="1"/>
  <c r="Y495" i="1" l="1"/>
  <c r="W497" i="1"/>
  <c r="Z494" i="1"/>
  <c r="AA494" i="1" s="1"/>
  <c r="R481" i="1"/>
  <c r="S480" i="1"/>
  <c r="T480" i="1" s="1"/>
  <c r="R482" i="1" l="1"/>
  <c r="S481" i="1"/>
  <c r="T481" i="1" s="1"/>
  <c r="Y496" i="1"/>
  <c r="W498" i="1"/>
  <c r="Z495" i="1"/>
  <c r="AA495" i="1" s="1"/>
  <c r="Z496" i="1" l="1"/>
  <c r="AA496" i="1" s="1"/>
  <c r="Y497" i="1"/>
  <c r="W499" i="1"/>
  <c r="R483" i="1"/>
  <c r="S482" i="1"/>
  <c r="T482" i="1" s="1"/>
  <c r="Z497" i="1" l="1"/>
  <c r="AA497" i="1" s="1"/>
  <c r="Y498" i="1"/>
  <c r="W500" i="1"/>
  <c r="R484" i="1"/>
  <c r="S483" i="1"/>
  <c r="T483" i="1" s="1"/>
  <c r="Z498" i="1" l="1"/>
  <c r="AA498" i="1" s="1"/>
  <c r="Y499" i="1"/>
  <c r="W501" i="1"/>
  <c r="R485" i="1"/>
  <c r="S484" i="1"/>
  <c r="T484" i="1" s="1"/>
  <c r="Z499" i="1" l="1"/>
  <c r="AA499" i="1" s="1"/>
  <c r="R486" i="1"/>
  <c r="S485" i="1"/>
  <c r="T485" i="1" s="1"/>
  <c r="Y500" i="1"/>
  <c r="W502" i="1"/>
  <c r="Z500" i="1" l="1"/>
  <c r="AA500" i="1" s="1"/>
  <c r="Y501" i="1"/>
  <c r="W503" i="1"/>
  <c r="R487" i="1"/>
  <c r="S486" i="1"/>
  <c r="T486" i="1" s="1"/>
  <c r="Z501" i="1" l="1"/>
  <c r="AA501" i="1" s="1"/>
  <c r="Y502" i="1"/>
  <c r="W504" i="1"/>
  <c r="R488" i="1"/>
  <c r="S487" i="1"/>
  <c r="T487" i="1" s="1"/>
  <c r="Z502" i="1" l="1"/>
  <c r="AA502" i="1" s="1"/>
  <c r="S488" i="1"/>
  <c r="T488" i="1" s="1"/>
  <c r="R489" i="1"/>
  <c r="Y503" i="1"/>
  <c r="W505" i="1"/>
  <c r="Z503" i="1" l="1"/>
  <c r="AA503" i="1" s="1"/>
  <c r="Y504" i="1"/>
  <c r="W506" i="1"/>
  <c r="S489" i="1"/>
  <c r="T489" i="1" s="1"/>
  <c r="R490" i="1"/>
  <c r="Z504" i="1" l="1"/>
  <c r="AA504" i="1" s="1"/>
  <c r="R491" i="1"/>
  <c r="S490" i="1"/>
  <c r="T490" i="1" s="1"/>
  <c r="Y505" i="1"/>
  <c r="W507" i="1"/>
  <c r="Z505" i="1" l="1"/>
  <c r="AA505" i="1" s="1"/>
  <c r="Y506" i="1"/>
  <c r="Z506" i="1" s="1"/>
  <c r="AA506" i="1" s="1"/>
  <c r="W508" i="1"/>
  <c r="R492" i="1"/>
  <c r="S491" i="1"/>
  <c r="T491" i="1" s="1"/>
  <c r="R493" i="1" l="1"/>
  <c r="S492" i="1"/>
  <c r="T492" i="1" s="1"/>
  <c r="Y507" i="1"/>
  <c r="Z507" i="1" s="1"/>
  <c r="AA507" i="1" s="1"/>
  <c r="W509" i="1"/>
  <c r="Y508" i="1" l="1"/>
  <c r="Z508" i="1" s="1"/>
  <c r="AA508" i="1" s="1"/>
  <c r="W510" i="1"/>
  <c r="R494" i="1"/>
  <c r="S493" i="1"/>
  <c r="T493" i="1" s="1"/>
  <c r="R495" i="1" l="1"/>
  <c r="S494" i="1"/>
  <c r="T494" i="1" s="1"/>
  <c r="Y509" i="1"/>
  <c r="Z509" i="1" s="1"/>
  <c r="AA509" i="1" s="1"/>
  <c r="W511" i="1"/>
  <c r="Y510" i="1" l="1"/>
  <c r="Z510" i="1" s="1"/>
  <c r="AA510" i="1" s="1"/>
  <c r="W512" i="1"/>
  <c r="R496" i="1"/>
  <c r="S495" i="1"/>
  <c r="T495" i="1" s="1"/>
  <c r="R497" i="1" l="1"/>
  <c r="S496" i="1"/>
  <c r="T496" i="1" s="1"/>
  <c r="Y511" i="1"/>
  <c r="Z511" i="1" s="1"/>
  <c r="AA511" i="1" s="1"/>
  <c r="W513" i="1"/>
  <c r="Y512" i="1" l="1"/>
  <c r="W514" i="1"/>
  <c r="R498" i="1"/>
  <c r="S497" i="1"/>
  <c r="T497" i="1" s="1"/>
  <c r="Y513" i="1" l="1"/>
  <c r="W515" i="1"/>
  <c r="R499" i="1"/>
  <c r="S498" i="1"/>
  <c r="T498" i="1" s="1"/>
  <c r="Z512" i="1"/>
  <c r="Z513" i="1" l="1"/>
  <c r="AA513" i="1" s="1"/>
  <c r="Y514" i="1"/>
  <c r="Z514" i="1" s="1"/>
  <c r="AA514" i="1" s="1"/>
  <c r="W516" i="1"/>
  <c r="AA512" i="1"/>
  <c r="R500" i="1"/>
  <c r="S499" i="1"/>
  <c r="T499" i="1" s="1"/>
  <c r="Y515" i="1" l="1"/>
  <c r="Z515" i="1" s="1"/>
  <c r="W517" i="1"/>
  <c r="AA515" i="1"/>
  <c r="R501" i="1"/>
  <c r="S500" i="1"/>
  <c r="T500" i="1" s="1"/>
  <c r="Y516" i="1" l="1"/>
  <c r="Z516" i="1" s="1"/>
  <c r="W518" i="1"/>
  <c r="AA516" i="1"/>
  <c r="R502" i="1"/>
  <c r="S501" i="1"/>
  <c r="T501" i="1" s="1"/>
  <c r="Y517" i="1" l="1"/>
  <c r="Z517" i="1" s="1"/>
  <c r="W519" i="1"/>
  <c r="AA517" i="1"/>
  <c r="R503" i="1"/>
  <c r="S502" i="1"/>
  <c r="T502" i="1" s="1"/>
  <c r="Y518" i="1" l="1"/>
  <c r="Z518" i="1" s="1"/>
  <c r="W520" i="1"/>
  <c r="AA518" i="1"/>
  <c r="R504" i="1"/>
  <c r="S503" i="1"/>
  <c r="T503" i="1" s="1"/>
  <c r="Y519" i="1" l="1"/>
  <c r="Z519" i="1" s="1"/>
  <c r="W521" i="1"/>
  <c r="AA519" i="1"/>
  <c r="R505" i="1"/>
  <c r="S504" i="1"/>
  <c r="T504" i="1" s="1"/>
  <c r="Y520" i="1" l="1"/>
  <c r="Z520" i="1" s="1"/>
  <c r="W522" i="1"/>
  <c r="AA520" i="1"/>
  <c r="R506" i="1"/>
  <c r="S505" i="1"/>
  <c r="T505" i="1" s="1"/>
  <c r="Y521" i="1" l="1"/>
  <c r="Z521" i="1" s="1"/>
  <c r="W523" i="1"/>
  <c r="Y522" i="1" s="1"/>
  <c r="R507" i="1"/>
  <c r="S506" i="1"/>
  <c r="T506" i="1" s="1"/>
  <c r="AA521" i="1" l="1"/>
  <c r="Z522" i="1"/>
  <c r="AA522" i="1"/>
  <c r="Z523" i="1"/>
  <c r="AA523" i="1" s="1"/>
  <c r="R508" i="1"/>
  <c r="S507" i="1"/>
  <c r="T507" i="1" s="1"/>
  <c r="R509" i="1" l="1"/>
  <c r="S508" i="1"/>
  <c r="T508" i="1" s="1"/>
  <c r="R510" i="1" l="1"/>
  <c r="S509" i="1"/>
  <c r="T509" i="1" s="1"/>
  <c r="R511" i="1" l="1"/>
  <c r="S510" i="1"/>
  <c r="T510" i="1" s="1"/>
  <c r="R512" i="1" l="1"/>
  <c r="S511" i="1"/>
  <c r="T511" i="1" s="1"/>
  <c r="R513" i="1" l="1"/>
  <c r="S512" i="1"/>
  <c r="T512" i="1" s="1"/>
  <c r="R514" i="1" l="1"/>
  <c r="S513" i="1"/>
  <c r="T513" i="1" s="1"/>
  <c r="S514" i="1" l="1"/>
  <c r="T514" i="1" s="1"/>
  <c r="R515" i="1"/>
  <c r="R516" i="1" l="1"/>
  <c r="S515" i="1"/>
  <c r="T515" i="1" s="1"/>
  <c r="R517" i="1" l="1"/>
  <c r="S516" i="1"/>
  <c r="T516" i="1" s="1"/>
  <c r="R518" i="1" l="1"/>
  <c r="S517" i="1"/>
  <c r="T517" i="1" s="1"/>
  <c r="R519" i="1" l="1"/>
  <c r="S518" i="1"/>
  <c r="T518" i="1" s="1"/>
  <c r="S519" i="1" l="1"/>
  <c r="T519" i="1" s="1"/>
  <c r="R520" i="1"/>
  <c r="R521" i="1" l="1"/>
  <c r="S520" i="1"/>
  <c r="T520" i="1" s="1"/>
  <c r="R522" i="1" l="1"/>
  <c r="S521" i="1"/>
  <c r="T521" i="1" s="1"/>
  <c r="S522" i="1" l="1"/>
  <c r="T522" i="1" s="1"/>
  <c r="R523" i="1"/>
  <c r="S523" i="1" s="1"/>
  <c r="T52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C216DE-39C5-4122-A232-124D12751D65}" keepAlive="1" name="Query - Forecast" description="Connection to the 'Forecast' query in the workbook." type="5" refreshedVersion="8" background="1" saveData="1">
    <dbPr connection="Provider=Microsoft.Mashup.OleDb.1;Data Source=$Workbook$;Location=Forecast;Extended Properties=&quot;&quot;" command="SELECT * FROM [Forecas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52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</futureMetadata>
  <cellMetadata count="1">
    <bk>
      <rc t="1" v="0"/>
    </bk>
  </cellMetadata>
  <valueMetadata count="1523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</valueMetadata>
</metadata>
</file>

<file path=xl/sharedStrings.xml><?xml version="1.0" encoding="utf-8"?>
<sst xmlns="http://schemas.openxmlformats.org/spreadsheetml/2006/main" count="58" uniqueCount="51">
  <si>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</si>
  <si>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</si>
  <si>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</si>
  <si>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</si>
  <si>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</si>
  <si>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</si>
  <si>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</si>
  <si>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</si>
  <si>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</si>
  <si>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</si>
  <si>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</si>
  <si>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</si>
  <si>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</si>
  <si>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</si>
  <si>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</si>
  <si>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</si>
  <si>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</si>
  <si>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</si>
  <si>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</si>
  <si>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</si>
  <si>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</si>
  <si>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</si>
  <si>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</si>
  <si>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</si>
  <si>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Chart</t>
  </si>
  <si>
    <t>Columns</t>
  </si>
  <si>
    <t>Stock Data</t>
  </si>
  <si>
    <t>A,B,C</t>
  </si>
  <si>
    <t>A,B,E,G,H</t>
  </si>
  <si>
    <t>Bollinger Bands</t>
  </si>
  <si>
    <t>A,B,I,k,L</t>
  </si>
  <si>
    <t>S,T,U</t>
  </si>
  <si>
    <t>X,Y,Z</t>
  </si>
  <si>
    <t>AA</t>
  </si>
  <si>
    <t>Weekly</t>
  </si>
  <si>
    <t>Weekly Average</t>
  </si>
  <si>
    <t>Forecast</t>
  </si>
  <si>
    <t>1 Qt 2026</t>
  </si>
  <si>
    <t>Stats</t>
  </si>
  <si>
    <t>Min</t>
  </si>
  <si>
    <t>Max</t>
  </si>
  <si>
    <t>Median</t>
  </si>
  <si>
    <t>Mean</t>
  </si>
  <si>
    <t>Close</t>
  </si>
  <si>
    <t>Volume</t>
  </si>
  <si>
    <t>Week</t>
  </si>
  <si>
    <t>Average</t>
  </si>
  <si>
    <t>XL Forecast</t>
  </si>
  <si>
    <t>Calc Forecast</t>
  </si>
  <si>
    <t>Date</t>
  </si>
  <si>
    <t>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</si>
</sst>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;@"/>
    <numFmt numFmtId="165" formatCode="yyyy\-mm\-dd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29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43" fontId="2" fillId="4" borderId="0" xfId="1" applyFont="1" applyFill="1" applyAlignment="1">
      <alignment horizontal="center"/>
    </xf>
    <xf numFmtId="43" fontId="0" fillId="0" borderId="0" xfId="1" applyFon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10" borderId="0" xfId="0" applyFill="1"/>
    <xf numFmtId="165" fontId="0" fillId="0" borderId="0" xfId="0" applyNumberFormat="1"/>
    <xf numFmtId="44" fontId="0" fillId="0" borderId="0" xfId="2" applyFont="1"/>
    <xf numFmtId="0" fontId="6" fillId="0" borderId="1" xfId="0" applyFont="1" applyBorder="1" applyAlignment="1">
      <alignment horizontal="center" wrapText="1"/>
    </xf>
    <xf numFmtId="14" fontId="0" fillId="0" borderId="0" xfId="0" applyNumberFormat="1"/>
    <xf numFmtId="14" fontId="7" fillId="0" borderId="1" xfId="0" applyNumberFormat="1" applyFont="1" applyBorder="1" applyAlignment="1">
      <alignment horizontal="right" wrapText="1"/>
    </xf>
    <xf numFmtId="8" fontId="7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</cellXfs>
  <cellStyles count="3">
    <cellStyle name="Comma" xfId="1" builtinId="3"/>
    <cellStyle name="Currency" xfId="2" builtinId="4"/>
    <cellStyle name="Normal" xfId="0" builtinId="0"/>
  </cellStyles>
  <dxfs count="2">
    <dxf>
      <numFmt numFmtId="164" formatCode="yyyy\-mm\-dd;@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haredStrings" Target="sharedString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Array" Target="richData/rdarray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VWAP + StdDev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Data!$C$2:$C$514</c:f>
              <c:numCache>
                <c:formatCode>_([$$-409]* #,##0.00_);_([$$-409]* \(#,##0.00\);_([$$-409]* "-"??_);_(@_)</c:formatCode>
                <c:ptCount val="513"/>
                <c:pt idx="0">
                  <c:v>148.74</c:v>
                </c:pt>
                <c:pt idx="1">
                  <c:v>147.84</c:v>
                </c:pt>
                <c:pt idx="2">
                  <c:v>148.65</c:v>
                </c:pt>
                <c:pt idx="3">
                  <c:v>147.41999999999999</c:v>
                </c:pt>
                <c:pt idx="4">
                  <c:v>148.69</c:v>
                </c:pt>
                <c:pt idx="5">
                  <c:v>149.30000000000001</c:v>
                </c:pt>
                <c:pt idx="6">
                  <c:v>149.94</c:v>
                </c:pt>
                <c:pt idx="7">
                  <c:v>150.51</c:v>
                </c:pt>
                <c:pt idx="8">
                  <c:v>150.6</c:v>
                </c:pt>
                <c:pt idx="9">
                  <c:v>149.79</c:v>
                </c:pt>
                <c:pt idx="10">
                  <c:v>149.94</c:v>
                </c:pt>
                <c:pt idx="11">
                  <c:v>148.13999999999999</c:v>
                </c:pt>
                <c:pt idx="12">
                  <c:v>147.57</c:v>
                </c:pt>
                <c:pt idx="13">
                  <c:v>147.86000000000001</c:v>
                </c:pt>
                <c:pt idx="14">
                  <c:v>153.97999999999999</c:v>
                </c:pt>
                <c:pt idx="15">
                  <c:v>152.12</c:v>
                </c:pt>
                <c:pt idx="16">
                  <c:v>155.62</c:v>
                </c:pt>
                <c:pt idx="17">
                  <c:v>156.13999999999999</c:v>
                </c:pt>
                <c:pt idx="18">
                  <c:v>156.16</c:v>
                </c:pt>
                <c:pt idx="19">
                  <c:v>157.49</c:v>
                </c:pt>
                <c:pt idx="20">
                  <c:v>157.13999999999999</c:v>
                </c:pt>
                <c:pt idx="21">
                  <c:v>159.18</c:v>
                </c:pt>
                <c:pt idx="22">
                  <c:v>158.09</c:v>
                </c:pt>
                <c:pt idx="23">
                  <c:v>158.21</c:v>
                </c:pt>
                <c:pt idx="24">
                  <c:v>158.96</c:v>
                </c:pt>
                <c:pt idx="25">
                  <c:v>159.12</c:v>
                </c:pt>
                <c:pt idx="26">
                  <c:v>158.63999999999999</c:v>
                </c:pt>
                <c:pt idx="27">
                  <c:v>157.41999999999999</c:v>
                </c:pt>
                <c:pt idx="28">
                  <c:v>157.11000000000001</c:v>
                </c:pt>
                <c:pt idx="29">
                  <c:v>156.27000000000001</c:v>
                </c:pt>
                <c:pt idx="30">
                  <c:v>155.63</c:v>
                </c:pt>
                <c:pt idx="31">
                  <c:v>157.01</c:v>
                </c:pt>
                <c:pt idx="32">
                  <c:v>157.51</c:v>
                </c:pt>
                <c:pt idx="33">
                  <c:v>158.51</c:v>
                </c:pt>
                <c:pt idx="34">
                  <c:v>160.4</c:v>
                </c:pt>
                <c:pt idx="35">
                  <c:v>160.56</c:v>
                </c:pt>
                <c:pt idx="36">
                  <c:v>161.03</c:v>
                </c:pt>
                <c:pt idx="37">
                  <c:v>160.22</c:v>
                </c:pt>
                <c:pt idx="38">
                  <c:v>159.30000000000001</c:v>
                </c:pt>
                <c:pt idx="39">
                  <c:v>160.05000000000001</c:v>
                </c:pt>
                <c:pt idx="40">
                  <c:v>158.94</c:v>
                </c:pt>
                <c:pt idx="41">
                  <c:v>158.85</c:v>
                </c:pt>
                <c:pt idx="42">
                  <c:v>159.56</c:v>
                </c:pt>
                <c:pt idx="43">
                  <c:v>159.32</c:v>
                </c:pt>
                <c:pt idx="44">
                  <c:v>159.57</c:v>
                </c:pt>
                <c:pt idx="45">
                  <c:v>160.62</c:v>
                </c:pt>
                <c:pt idx="46">
                  <c:v>160.35</c:v>
                </c:pt>
                <c:pt idx="47">
                  <c:v>161.55000000000001</c:v>
                </c:pt>
                <c:pt idx="48">
                  <c:v>161.93</c:v>
                </c:pt>
                <c:pt idx="49">
                  <c:v>162.30000000000001</c:v>
                </c:pt>
                <c:pt idx="50">
                  <c:v>161.5</c:v>
                </c:pt>
                <c:pt idx="51">
                  <c:v>161.38</c:v>
                </c:pt>
                <c:pt idx="52">
                  <c:v>161.21</c:v>
                </c:pt>
                <c:pt idx="53">
                  <c:v>161.83000000000001</c:v>
                </c:pt>
                <c:pt idx="54">
                  <c:v>161.99</c:v>
                </c:pt>
                <c:pt idx="55">
                  <c:v>161.86000000000001</c:v>
                </c:pt>
                <c:pt idx="56">
                  <c:v>161.66</c:v>
                </c:pt>
                <c:pt idx="57">
                  <c:v>160.19</c:v>
                </c:pt>
                <c:pt idx="58">
                  <c:v>160.55000000000001</c:v>
                </c:pt>
                <c:pt idx="59">
                  <c:v>162.61000000000001</c:v>
                </c:pt>
                <c:pt idx="60">
                  <c:v>162.25</c:v>
                </c:pt>
                <c:pt idx="61">
                  <c:v>160.58000000000001</c:v>
                </c:pt>
                <c:pt idx="62">
                  <c:v>160.57</c:v>
                </c:pt>
                <c:pt idx="63">
                  <c:v>156.15</c:v>
                </c:pt>
                <c:pt idx="64">
                  <c:v>155.44999999999999</c:v>
                </c:pt>
                <c:pt idx="65">
                  <c:v>156.1</c:v>
                </c:pt>
                <c:pt idx="66">
                  <c:v>156.04</c:v>
                </c:pt>
                <c:pt idx="67">
                  <c:v>156.66</c:v>
                </c:pt>
                <c:pt idx="68">
                  <c:v>157.24</c:v>
                </c:pt>
                <c:pt idx="69">
                  <c:v>155.84</c:v>
                </c:pt>
                <c:pt idx="70">
                  <c:v>155.33000000000001</c:v>
                </c:pt>
                <c:pt idx="71">
                  <c:v>155.44999999999999</c:v>
                </c:pt>
                <c:pt idx="72">
                  <c:v>155.94999999999999</c:v>
                </c:pt>
                <c:pt idx="73">
                  <c:v>156.96</c:v>
                </c:pt>
                <c:pt idx="74">
                  <c:v>157.29</c:v>
                </c:pt>
                <c:pt idx="75">
                  <c:v>158.13999999999999</c:v>
                </c:pt>
                <c:pt idx="76">
                  <c:v>160.54</c:v>
                </c:pt>
                <c:pt idx="77">
                  <c:v>161.5</c:v>
                </c:pt>
                <c:pt idx="78">
                  <c:v>162.6</c:v>
                </c:pt>
                <c:pt idx="79">
                  <c:v>162.55000000000001</c:v>
                </c:pt>
                <c:pt idx="80">
                  <c:v>161.29</c:v>
                </c:pt>
                <c:pt idx="81">
                  <c:v>161.66</c:v>
                </c:pt>
                <c:pt idx="82">
                  <c:v>163.19999999999999</c:v>
                </c:pt>
                <c:pt idx="83">
                  <c:v>163.4</c:v>
                </c:pt>
                <c:pt idx="84">
                  <c:v>163.84</c:v>
                </c:pt>
                <c:pt idx="85">
                  <c:v>164.46</c:v>
                </c:pt>
                <c:pt idx="86">
                  <c:v>164.44</c:v>
                </c:pt>
                <c:pt idx="87">
                  <c:v>165.76</c:v>
                </c:pt>
                <c:pt idx="88">
                  <c:v>165.07</c:v>
                </c:pt>
                <c:pt idx="89">
                  <c:v>166.04</c:v>
                </c:pt>
                <c:pt idx="90">
                  <c:v>166.85</c:v>
                </c:pt>
                <c:pt idx="91">
                  <c:v>165.87</c:v>
                </c:pt>
                <c:pt idx="92">
                  <c:v>165.76</c:v>
                </c:pt>
                <c:pt idx="93">
                  <c:v>166.51</c:v>
                </c:pt>
                <c:pt idx="94">
                  <c:v>167.86</c:v>
                </c:pt>
                <c:pt idx="95">
                  <c:v>167.64</c:v>
                </c:pt>
                <c:pt idx="96">
                  <c:v>167.31</c:v>
                </c:pt>
                <c:pt idx="97">
                  <c:v>168.35</c:v>
                </c:pt>
                <c:pt idx="98">
                  <c:v>167.81</c:v>
                </c:pt>
                <c:pt idx="99">
                  <c:v>165.49</c:v>
                </c:pt>
                <c:pt idx="100">
                  <c:v>165.33</c:v>
                </c:pt>
                <c:pt idx="101">
                  <c:v>163.11000000000001</c:v>
                </c:pt>
                <c:pt idx="102">
                  <c:v>161.65</c:v>
                </c:pt>
                <c:pt idx="103">
                  <c:v>162.58000000000001</c:v>
                </c:pt>
                <c:pt idx="104">
                  <c:v>164.54</c:v>
                </c:pt>
                <c:pt idx="105">
                  <c:v>164.65</c:v>
                </c:pt>
                <c:pt idx="106">
                  <c:v>167.01</c:v>
                </c:pt>
                <c:pt idx="107">
                  <c:v>166.05</c:v>
                </c:pt>
                <c:pt idx="108">
                  <c:v>168.47</c:v>
                </c:pt>
                <c:pt idx="109">
                  <c:v>167.06</c:v>
                </c:pt>
                <c:pt idx="110">
                  <c:v>167.35</c:v>
                </c:pt>
                <c:pt idx="111">
                  <c:v>167.48</c:v>
                </c:pt>
                <c:pt idx="112">
                  <c:v>165.18</c:v>
                </c:pt>
                <c:pt idx="113">
                  <c:v>166.41</c:v>
                </c:pt>
                <c:pt idx="114">
                  <c:v>166.79</c:v>
                </c:pt>
                <c:pt idx="115">
                  <c:v>167.5</c:v>
                </c:pt>
                <c:pt idx="116">
                  <c:v>168.56</c:v>
                </c:pt>
                <c:pt idx="117">
                  <c:v>167.67</c:v>
                </c:pt>
                <c:pt idx="118">
                  <c:v>168.26</c:v>
                </c:pt>
                <c:pt idx="119">
                  <c:v>168.45</c:v>
                </c:pt>
                <c:pt idx="120">
                  <c:v>166.85</c:v>
                </c:pt>
                <c:pt idx="121">
                  <c:v>167.45</c:v>
                </c:pt>
                <c:pt idx="122">
                  <c:v>166.62</c:v>
                </c:pt>
                <c:pt idx="123">
                  <c:v>164.92</c:v>
                </c:pt>
                <c:pt idx="124">
                  <c:v>162.72</c:v>
                </c:pt>
                <c:pt idx="125">
                  <c:v>163.9</c:v>
                </c:pt>
                <c:pt idx="126">
                  <c:v>163.83000000000001</c:v>
                </c:pt>
                <c:pt idx="127">
                  <c:v>165.21</c:v>
                </c:pt>
                <c:pt idx="128">
                  <c:v>166.52</c:v>
                </c:pt>
                <c:pt idx="129">
                  <c:v>165.66</c:v>
                </c:pt>
                <c:pt idx="130">
                  <c:v>166.8</c:v>
                </c:pt>
                <c:pt idx="131">
                  <c:v>165.54</c:v>
                </c:pt>
                <c:pt idx="132">
                  <c:v>166.61</c:v>
                </c:pt>
                <c:pt idx="133">
                  <c:v>164.58</c:v>
                </c:pt>
                <c:pt idx="134">
                  <c:v>166.95</c:v>
                </c:pt>
                <c:pt idx="135">
                  <c:v>169.44</c:v>
                </c:pt>
                <c:pt idx="136">
                  <c:v>168.44</c:v>
                </c:pt>
                <c:pt idx="137">
                  <c:v>167.96</c:v>
                </c:pt>
                <c:pt idx="138">
                  <c:v>168.25</c:v>
                </c:pt>
                <c:pt idx="139">
                  <c:v>166.62</c:v>
                </c:pt>
                <c:pt idx="140">
                  <c:v>168</c:v>
                </c:pt>
                <c:pt idx="141">
                  <c:v>166.9</c:v>
                </c:pt>
                <c:pt idx="142">
                  <c:v>169.11</c:v>
                </c:pt>
                <c:pt idx="143">
                  <c:v>169.93</c:v>
                </c:pt>
                <c:pt idx="144">
                  <c:v>161.69999999999999</c:v>
                </c:pt>
                <c:pt idx="145">
                  <c:v>160.76</c:v>
                </c:pt>
                <c:pt idx="146">
                  <c:v>165.69</c:v>
                </c:pt>
                <c:pt idx="147">
                  <c:v>170.08</c:v>
                </c:pt>
                <c:pt idx="148">
                  <c:v>168.06</c:v>
                </c:pt>
                <c:pt idx="149">
                  <c:v>168.09</c:v>
                </c:pt>
                <c:pt idx="150">
                  <c:v>170.02</c:v>
                </c:pt>
                <c:pt idx="151">
                  <c:v>170.87</c:v>
                </c:pt>
                <c:pt idx="152">
                  <c:v>170.54</c:v>
                </c:pt>
                <c:pt idx="153">
                  <c:v>166.81</c:v>
                </c:pt>
                <c:pt idx="154">
                  <c:v>167.29</c:v>
                </c:pt>
                <c:pt idx="155">
                  <c:v>168.8</c:v>
                </c:pt>
                <c:pt idx="156">
                  <c:v>167.92</c:v>
                </c:pt>
                <c:pt idx="157">
                  <c:v>167.89</c:v>
                </c:pt>
                <c:pt idx="158">
                  <c:v>168.42</c:v>
                </c:pt>
                <c:pt idx="159">
                  <c:v>170.41</c:v>
                </c:pt>
                <c:pt idx="160">
                  <c:v>170.16</c:v>
                </c:pt>
                <c:pt idx="161">
                  <c:v>170.15</c:v>
                </c:pt>
                <c:pt idx="162">
                  <c:v>169.17</c:v>
                </c:pt>
                <c:pt idx="163">
                  <c:v>170.35</c:v>
                </c:pt>
                <c:pt idx="164">
                  <c:v>169.25</c:v>
                </c:pt>
                <c:pt idx="165">
                  <c:v>169.06</c:v>
                </c:pt>
                <c:pt idx="166">
                  <c:v>170.03</c:v>
                </c:pt>
                <c:pt idx="167">
                  <c:v>171.54</c:v>
                </c:pt>
                <c:pt idx="168">
                  <c:v>174.52</c:v>
                </c:pt>
                <c:pt idx="169">
                  <c:v>175.9</c:v>
                </c:pt>
                <c:pt idx="170">
                  <c:v>175.47</c:v>
                </c:pt>
                <c:pt idx="171">
                  <c:v>175.59</c:v>
                </c:pt>
                <c:pt idx="172">
                  <c:v>176.06</c:v>
                </c:pt>
                <c:pt idx="173">
                  <c:v>177.79</c:v>
                </c:pt>
                <c:pt idx="174">
                  <c:v>173.92</c:v>
                </c:pt>
                <c:pt idx="175">
                  <c:v>173.47</c:v>
                </c:pt>
                <c:pt idx="176">
                  <c:v>174.08</c:v>
                </c:pt>
                <c:pt idx="177">
                  <c:v>177.24</c:v>
                </c:pt>
                <c:pt idx="178">
                  <c:v>175.88</c:v>
                </c:pt>
                <c:pt idx="179">
                  <c:v>173.92</c:v>
                </c:pt>
                <c:pt idx="180">
                  <c:v>171.54</c:v>
                </c:pt>
                <c:pt idx="181">
                  <c:v>174.22</c:v>
                </c:pt>
                <c:pt idx="182">
                  <c:v>173.77</c:v>
                </c:pt>
                <c:pt idx="183">
                  <c:v>173.24</c:v>
                </c:pt>
                <c:pt idx="184">
                  <c:v>172.26</c:v>
                </c:pt>
                <c:pt idx="185">
                  <c:v>173.21</c:v>
                </c:pt>
                <c:pt idx="186">
                  <c:v>173.55</c:v>
                </c:pt>
                <c:pt idx="187">
                  <c:v>173.2</c:v>
                </c:pt>
                <c:pt idx="188">
                  <c:v>173.04</c:v>
                </c:pt>
                <c:pt idx="189">
                  <c:v>171.92</c:v>
                </c:pt>
                <c:pt idx="190">
                  <c:v>170.12</c:v>
                </c:pt>
                <c:pt idx="191">
                  <c:v>168.88</c:v>
                </c:pt>
                <c:pt idx="192">
                  <c:v>167.12</c:v>
                </c:pt>
                <c:pt idx="193">
                  <c:v>168.16</c:v>
                </c:pt>
                <c:pt idx="194">
                  <c:v>169.27</c:v>
                </c:pt>
                <c:pt idx="195">
                  <c:v>168.95</c:v>
                </c:pt>
                <c:pt idx="196">
                  <c:v>171.09</c:v>
                </c:pt>
                <c:pt idx="197">
                  <c:v>172.51</c:v>
                </c:pt>
                <c:pt idx="198">
                  <c:v>173.57</c:v>
                </c:pt>
                <c:pt idx="199">
                  <c:v>172.38</c:v>
                </c:pt>
                <c:pt idx="200">
                  <c:v>172.28</c:v>
                </c:pt>
                <c:pt idx="201">
                  <c:v>171.28</c:v>
                </c:pt>
                <c:pt idx="202">
                  <c:v>169.54</c:v>
                </c:pt>
                <c:pt idx="203">
                  <c:v>169.7</c:v>
                </c:pt>
                <c:pt idx="204">
                  <c:v>169.58</c:v>
                </c:pt>
                <c:pt idx="205">
                  <c:v>169.62</c:v>
                </c:pt>
                <c:pt idx="206">
                  <c:v>168.22</c:v>
                </c:pt>
                <c:pt idx="207">
                  <c:v>169.3</c:v>
                </c:pt>
                <c:pt idx="208">
                  <c:v>167.17</c:v>
                </c:pt>
                <c:pt idx="209">
                  <c:v>166.16</c:v>
                </c:pt>
                <c:pt idx="210">
                  <c:v>165.18</c:v>
                </c:pt>
                <c:pt idx="211">
                  <c:v>165.1</c:v>
                </c:pt>
                <c:pt idx="212">
                  <c:v>165.08</c:v>
                </c:pt>
                <c:pt idx="213">
                  <c:v>165.76</c:v>
                </c:pt>
                <c:pt idx="214">
                  <c:v>161.05000000000001</c:v>
                </c:pt>
                <c:pt idx="215">
                  <c:v>163.41</c:v>
                </c:pt>
                <c:pt idx="216">
                  <c:v>167.71</c:v>
                </c:pt>
                <c:pt idx="217">
                  <c:v>166.03</c:v>
                </c:pt>
                <c:pt idx="218">
                  <c:v>165.84</c:v>
                </c:pt>
                <c:pt idx="219">
                  <c:v>166.58</c:v>
                </c:pt>
                <c:pt idx="220">
                  <c:v>167.08</c:v>
                </c:pt>
                <c:pt idx="221">
                  <c:v>169.54</c:v>
                </c:pt>
                <c:pt idx="222">
                  <c:v>170.75</c:v>
                </c:pt>
                <c:pt idx="223">
                  <c:v>170.76</c:v>
                </c:pt>
                <c:pt idx="224">
                  <c:v>170.89</c:v>
                </c:pt>
                <c:pt idx="225">
                  <c:v>172.75</c:v>
                </c:pt>
                <c:pt idx="226">
                  <c:v>176.28</c:v>
                </c:pt>
                <c:pt idx="227">
                  <c:v>177.39</c:v>
                </c:pt>
                <c:pt idx="228">
                  <c:v>179.31</c:v>
                </c:pt>
                <c:pt idx="229">
                  <c:v>179.36</c:v>
                </c:pt>
                <c:pt idx="230">
                  <c:v>179.26</c:v>
                </c:pt>
                <c:pt idx="231">
                  <c:v>179.7</c:v>
                </c:pt>
                <c:pt idx="232">
                  <c:v>175.42</c:v>
                </c:pt>
                <c:pt idx="233">
                  <c:v>175.11</c:v>
                </c:pt>
                <c:pt idx="234">
                  <c:v>176.03</c:v>
                </c:pt>
                <c:pt idx="235">
                  <c:v>173.82</c:v>
                </c:pt>
                <c:pt idx="236">
                  <c:v>170.79</c:v>
                </c:pt>
                <c:pt idx="237">
                  <c:v>172.28</c:v>
                </c:pt>
                <c:pt idx="238">
                  <c:v>170.63</c:v>
                </c:pt>
                <c:pt idx="239">
                  <c:v>170.85</c:v>
                </c:pt>
                <c:pt idx="240">
                  <c:v>171.06</c:v>
                </c:pt>
                <c:pt idx="241">
                  <c:v>171.14</c:v>
                </c:pt>
                <c:pt idx="242">
                  <c:v>170.33</c:v>
                </c:pt>
                <c:pt idx="243">
                  <c:v>169.08</c:v>
                </c:pt>
                <c:pt idx="244">
                  <c:v>169.19</c:v>
                </c:pt>
                <c:pt idx="245">
                  <c:v>168.06</c:v>
                </c:pt>
                <c:pt idx="246">
                  <c:v>168.11</c:v>
                </c:pt>
                <c:pt idx="247">
                  <c:v>168.94</c:v>
                </c:pt>
                <c:pt idx="248">
                  <c:v>170.16</c:v>
                </c:pt>
                <c:pt idx="249">
                  <c:v>169.53</c:v>
                </c:pt>
                <c:pt idx="250">
                  <c:v>167.09</c:v>
                </c:pt>
                <c:pt idx="251">
                  <c:v>167.65</c:v>
                </c:pt>
                <c:pt idx="252">
                  <c:v>165.98</c:v>
                </c:pt>
                <c:pt idx="253">
                  <c:v>165.13</c:v>
                </c:pt>
                <c:pt idx="254">
                  <c:v>160.6</c:v>
                </c:pt>
                <c:pt idx="255">
                  <c:v>161.30000000000001</c:v>
                </c:pt>
                <c:pt idx="256">
                  <c:v>162.1</c:v>
                </c:pt>
                <c:pt idx="257">
                  <c:v>158.56</c:v>
                </c:pt>
                <c:pt idx="258">
                  <c:v>158.84</c:v>
                </c:pt>
                <c:pt idx="259">
                  <c:v>159.74</c:v>
                </c:pt>
                <c:pt idx="260">
                  <c:v>159.65</c:v>
                </c:pt>
                <c:pt idx="261">
                  <c:v>160.5</c:v>
                </c:pt>
                <c:pt idx="262">
                  <c:v>161.13</c:v>
                </c:pt>
                <c:pt idx="263">
                  <c:v>161.72</c:v>
                </c:pt>
                <c:pt idx="264">
                  <c:v>164.74</c:v>
                </c:pt>
                <c:pt idx="265">
                  <c:v>166.15</c:v>
                </c:pt>
                <c:pt idx="266">
                  <c:v>164.12</c:v>
                </c:pt>
                <c:pt idx="267">
                  <c:v>169.66</c:v>
                </c:pt>
                <c:pt idx="268">
                  <c:v>166.19</c:v>
                </c:pt>
                <c:pt idx="269">
                  <c:v>166.23</c:v>
                </c:pt>
                <c:pt idx="270">
                  <c:v>167.41</c:v>
                </c:pt>
                <c:pt idx="271">
                  <c:v>165.99</c:v>
                </c:pt>
                <c:pt idx="272">
                  <c:v>168.76</c:v>
                </c:pt>
                <c:pt idx="273">
                  <c:v>168.13</c:v>
                </c:pt>
                <c:pt idx="274">
                  <c:v>169.01</c:v>
                </c:pt>
                <c:pt idx="275">
                  <c:v>168.88</c:v>
                </c:pt>
                <c:pt idx="276">
                  <c:v>167.97</c:v>
                </c:pt>
                <c:pt idx="277">
                  <c:v>167.53</c:v>
                </c:pt>
                <c:pt idx="278">
                  <c:v>169.43</c:v>
                </c:pt>
                <c:pt idx="279">
                  <c:v>169.58</c:v>
                </c:pt>
                <c:pt idx="280">
                  <c:v>171.02</c:v>
                </c:pt>
                <c:pt idx="281">
                  <c:v>162.88999999999999</c:v>
                </c:pt>
                <c:pt idx="282">
                  <c:v>165.43</c:v>
                </c:pt>
                <c:pt idx="283">
                  <c:v>166.49</c:v>
                </c:pt>
                <c:pt idx="284">
                  <c:v>167.21</c:v>
                </c:pt>
                <c:pt idx="285">
                  <c:v>170.23</c:v>
                </c:pt>
                <c:pt idx="286">
                  <c:v>170.54</c:v>
                </c:pt>
                <c:pt idx="287">
                  <c:v>172.65</c:v>
                </c:pt>
                <c:pt idx="288">
                  <c:v>171.3</c:v>
                </c:pt>
                <c:pt idx="289">
                  <c:v>171.97</c:v>
                </c:pt>
                <c:pt idx="290">
                  <c:v>173.84</c:v>
                </c:pt>
                <c:pt idx="291">
                  <c:v>175.59</c:v>
                </c:pt>
                <c:pt idx="292">
                  <c:v>173.18</c:v>
                </c:pt>
                <c:pt idx="293">
                  <c:v>174.61</c:v>
                </c:pt>
                <c:pt idx="294">
                  <c:v>174.66</c:v>
                </c:pt>
                <c:pt idx="295">
                  <c:v>175.95</c:v>
                </c:pt>
                <c:pt idx="296">
                  <c:v>176.26</c:v>
                </c:pt>
                <c:pt idx="297">
                  <c:v>173.12</c:v>
                </c:pt>
                <c:pt idx="298">
                  <c:v>168.37</c:v>
                </c:pt>
                <c:pt idx="299">
                  <c:v>168.59</c:v>
                </c:pt>
                <c:pt idx="300">
                  <c:v>167.97</c:v>
                </c:pt>
                <c:pt idx="301">
                  <c:v>169.76</c:v>
                </c:pt>
                <c:pt idx="302">
                  <c:v>167.71</c:v>
                </c:pt>
                <c:pt idx="303">
                  <c:v>168.57</c:v>
                </c:pt>
                <c:pt idx="304">
                  <c:v>167.55</c:v>
                </c:pt>
                <c:pt idx="305">
                  <c:v>166.69</c:v>
                </c:pt>
                <c:pt idx="306">
                  <c:v>165.65</c:v>
                </c:pt>
                <c:pt idx="307">
                  <c:v>162.85</c:v>
                </c:pt>
                <c:pt idx="308">
                  <c:v>166.58</c:v>
                </c:pt>
                <c:pt idx="309">
                  <c:v>168.71</c:v>
                </c:pt>
                <c:pt idx="310">
                  <c:v>168.03</c:v>
                </c:pt>
                <c:pt idx="311">
                  <c:v>170.42</c:v>
                </c:pt>
                <c:pt idx="312">
                  <c:v>170.56</c:v>
                </c:pt>
                <c:pt idx="313">
                  <c:v>169.5</c:v>
                </c:pt>
                <c:pt idx="314">
                  <c:v>172.39</c:v>
                </c:pt>
                <c:pt idx="315">
                  <c:v>163.75</c:v>
                </c:pt>
                <c:pt idx="316">
                  <c:v>160.22999999999999</c:v>
                </c:pt>
                <c:pt idx="317">
                  <c:v>158.38999999999999</c:v>
                </c:pt>
                <c:pt idx="318">
                  <c:v>162.32</c:v>
                </c:pt>
                <c:pt idx="319">
                  <c:v>163.56</c:v>
                </c:pt>
                <c:pt idx="320">
                  <c:v>166.91</c:v>
                </c:pt>
                <c:pt idx="321">
                  <c:v>169.13</c:v>
                </c:pt>
                <c:pt idx="322">
                  <c:v>168.47</c:v>
                </c:pt>
                <c:pt idx="323">
                  <c:v>166.39</c:v>
                </c:pt>
                <c:pt idx="324">
                  <c:v>170.63</c:v>
                </c:pt>
                <c:pt idx="325">
                  <c:v>165.75</c:v>
                </c:pt>
                <c:pt idx="326">
                  <c:v>167.88</c:v>
                </c:pt>
                <c:pt idx="327">
                  <c:v>165.73</c:v>
                </c:pt>
                <c:pt idx="328">
                  <c:v>159.53</c:v>
                </c:pt>
                <c:pt idx="329">
                  <c:v>161.02000000000001</c:v>
                </c:pt>
                <c:pt idx="330">
                  <c:v>161.85</c:v>
                </c:pt>
                <c:pt idx="331">
                  <c:v>162.26</c:v>
                </c:pt>
                <c:pt idx="332">
                  <c:v>162.57</c:v>
                </c:pt>
                <c:pt idx="333">
                  <c:v>159.97999999999999</c:v>
                </c:pt>
                <c:pt idx="334">
                  <c:v>160.52000000000001</c:v>
                </c:pt>
                <c:pt idx="335">
                  <c:v>158.83000000000001</c:v>
                </c:pt>
                <c:pt idx="336">
                  <c:v>159.25</c:v>
                </c:pt>
                <c:pt idx="337">
                  <c:v>159.29</c:v>
                </c:pt>
                <c:pt idx="338">
                  <c:v>158.65</c:v>
                </c:pt>
                <c:pt idx="339">
                  <c:v>157.66</c:v>
                </c:pt>
                <c:pt idx="340">
                  <c:v>160.9</c:v>
                </c:pt>
                <c:pt idx="341">
                  <c:v>158.72999999999999</c:v>
                </c:pt>
                <c:pt idx="342">
                  <c:v>158.02000000000001</c:v>
                </c:pt>
                <c:pt idx="343">
                  <c:v>162.41</c:v>
                </c:pt>
                <c:pt idx="344">
                  <c:v>163.28</c:v>
                </c:pt>
                <c:pt idx="345">
                  <c:v>164.77</c:v>
                </c:pt>
                <c:pt idx="346">
                  <c:v>165.64</c:v>
                </c:pt>
                <c:pt idx="347">
                  <c:v>165.43</c:v>
                </c:pt>
                <c:pt idx="348">
                  <c:v>165.03</c:v>
                </c:pt>
                <c:pt idx="349">
                  <c:v>165.86</c:v>
                </c:pt>
                <c:pt idx="350">
                  <c:v>167.76</c:v>
                </c:pt>
                <c:pt idx="351">
                  <c:v>167.36</c:v>
                </c:pt>
                <c:pt idx="352">
                  <c:v>168.56</c:v>
                </c:pt>
                <c:pt idx="353">
                  <c:v>169.89</c:v>
                </c:pt>
                <c:pt idx="354">
                  <c:v>167.78</c:v>
                </c:pt>
                <c:pt idx="355">
                  <c:v>166.85</c:v>
                </c:pt>
                <c:pt idx="356">
                  <c:v>165.95</c:v>
                </c:pt>
                <c:pt idx="357">
                  <c:v>162.80000000000001</c:v>
                </c:pt>
                <c:pt idx="358">
                  <c:v>164.02</c:v>
                </c:pt>
                <c:pt idx="359">
                  <c:v>162.56</c:v>
                </c:pt>
                <c:pt idx="360">
                  <c:v>162.84</c:v>
                </c:pt>
                <c:pt idx="361">
                  <c:v>162.11000000000001</c:v>
                </c:pt>
                <c:pt idx="362">
                  <c:v>163.18</c:v>
                </c:pt>
                <c:pt idx="363">
                  <c:v>160.28</c:v>
                </c:pt>
                <c:pt idx="364">
                  <c:v>160.88</c:v>
                </c:pt>
                <c:pt idx="365">
                  <c:v>158.52000000000001</c:v>
                </c:pt>
                <c:pt idx="366">
                  <c:v>158.02000000000001</c:v>
                </c:pt>
                <c:pt idx="367">
                  <c:v>159.08000000000001</c:v>
                </c:pt>
                <c:pt idx="368">
                  <c:v>161.03</c:v>
                </c:pt>
                <c:pt idx="369">
                  <c:v>160.36000000000001</c:v>
                </c:pt>
                <c:pt idx="370">
                  <c:v>158.97</c:v>
                </c:pt>
                <c:pt idx="371">
                  <c:v>158.63</c:v>
                </c:pt>
                <c:pt idx="372">
                  <c:v>159.86000000000001</c:v>
                </c:pt>
                <c:pt idx="373">
                  <c:v>159.32</c:v>
                </c:pt>
                <c:pt idx="374">
                  <c:v>161.22</c:v>
                </c:pt>
                <c:pt idx="375">
                  <c:v>161.19999999999999</c:v>
                </c:pt>
                <c:pt idx="376">
                  <c:v>160.83000000000001</c:v>
                </c:pt>
                <c:pt idx="377">
                  <c:v>160.5</c:v>
                </c:pt>
                <c:pt idx="378">
                  <c:v>157.88999999999999</c:v>
                </c:pt>
                <c:pt idx="379">
                  <c:v>157.52000000000001</c:v>
                </c:pt>
                <c:pt idx="380">
                  <c:v>158.49</c:v>
                </c:pt>
                <c:pt idx="381">
                  <c:v>157.05000000000001</c:v>
                </c:pt>
                <c:pt idx="382">
                  <c:v>153.76</c:v>
                </c:pt>
                <c:pt idx="383">
                  <c:v>152.68</c:v>
                </c:pt>
                <c:pt idx="384">
                  <c:v>153.72999999999999</c:v>
                </c:pt>
                <c:pt idx="385">
                  <c:v>155.62</c:v>
                </c:pt>
                <c:pt idx="386">
                  <c:v>155.1</c:v>
                </c:pt>
                <c:pt idx="387">
                  <c:v>155.03</c:v>
                </c:pt>
                <c:pt idx="388">
                  <c:v>158.32</c:v>
                </c:pt>
                <c:pt idx="389">
                  <c:v>158.28</c:v>
                </c:pt>
                <c:pt idx="390">
                  <c:v>158.81</c:v>
                </c:pt>
                <c:pt idx="391">
                  <c:v>158.30000000000001</c:v>
                </c:pt>
                <c:pt idx="392">
                  <c:v>157.11000000000001</c:v>
                </c:pt>
                <c:pt idx="393">
                  <c:v>156.61000000000001</c:v>
                </c:pt>
                <c:pt idx="394">
                  <c:v>152.88</c:v>
                </c:pt>
                <c:pt idx="395">
                  <c:v>150.47</c:v>
                </c:pt>
                <c:pt idx="396">
                  <c:v>150.65</c:v>
                </c:pt>
                <c:pt idx="397">
                  <c:v>150.76</c:v>
                </c:pt>
                <c:pt idx="398">
                  <c:v>150.51</c:v>
                </c:pt>
                <c:pt idx="399">
                  <c:v>152.86000000000001</c:v>
                </c:pt>
                <c:pt idx="400">
                  <c:v>153.49</c:v>
                </c:pt>
                <c:pt idx="401">
                  <c:v>153.51</c:v>
                </c:pt>
                <c:pt idx="402">
                  <c:v>154.97999999999999</c:v>
                </c:pt>
                <c:pt idx="403">
                  <c:v>155.09</c:v>
                </c:pt>
                <c:pt idx="404">
                  <c:v>155.41</c:v>
                </c:pt>
                <c:pt idx="405">
                  <c:v>153.74</c:v>
                </c:pt>
                <c:pt idx="406">
                  <c:v>154.36000000000001</c:v>
                </c:pt>
                <c:pt idx="407">
                  <c:v>155.72</c:v>
                </c:pt>
                <c:pt idx="408">
                  <c:v>158.4</c:v>
                </c:pt>
                <c:pt idx="409">
                  <c:v>159.51</c:v>
                </c:pt>
                <c:pt idx="410">
                  <c:v>158.72999999999999</c:v>
                </c:pt>
                <c:pt idx="411">
                  <c:v>158.66999999999999</c:v>
                </c:pt>
                <c:pt idx="412">
                  <c:v>156.15</c:v>
                </c:pt>
                <c:pt idx="413">
                  <c:v>155.97</c:v>
                </c:pt>
                <c:pt idx="414">
                  <c:v>156.96</c:v>
                </c:pt>
                <c:pt idx="415">
                  <c:v>155.65</c:v>
                </c:pt>
                <c:pt idx="416">
                  <c:v>157.04</c:v>
                </c:pt>
                <c:pt idx="417">
                  <c:v>157.99</c:v>
                </c:pt>
                <c:pt idx="418">
                  <c:v>158.16999999999999</c:v>
                </c:pt>
                <c:pt idx="419">
                  <c:v>159.19</c:v>
                </c:pt>
                <c:pt idx="420">
                  <c:v>160.02000000000001</c:v>
                </c:pt>
                <c:pt idx="421">
                  <c:v>159.01</c:v>
                </c:pt>
                <c:pt idx="422">
                  <c:v>159.46</c:v>
                </c:pt>
                <c:pt idx="423">
                  <c:v>157.35</c:v>
                </c:pt>
                <c:pt idx="424">
                  <c:v>158.63</c:v>
                </c:pt>
                <c:pt idx="425">
                  <c:v>157.9</c:v>
                </c:pt>
                <c:pt idx="426">
                  <c:v>156.83000000000001</c:v>
                </c:pt>
                <c:pt idx="427">
                  <c:v>158.05000000000001</c:v>
                </c:pt>
                <c:pt idx="428">
                  <c:v>160.33000000000001</c:v>
                </c:pt>
                <c:pt idx="429">
                  <c:v>157.32</c:v>
                </c:pt>
                <c:pt idx="430">
                  <c:v>156.04</c:v>
                </c:pt>
                <c:pt idx="431">
                  <c:v>153.07</c:v>
                </c:pt>
                <c:pt idx="432">
                  <c:v>152.5</c:v>
                </c:pt>
                <c:pt idx="433">
                  <c:v>152.41999999999999</c:v>
                </c:pt>
                <c:pt idx="434">
                  <c:v>152.15</c:v>
                </c:pt>
                <c:pt idx="435">
                  <c:v>152.5</c:v>
                </c:pt>
                <c:pt idx="436">
                  <c:v>153.53</c:v>
                </c:pt>
                <c:pt idx="437">
                  <c:v>153.65</c:v>
                </c:pt>
                <c:pt idx="438">
                  <c:v>153.18</c:v>
                </c:pt>
                <c:pt idx="439">
                  <c:v>152.05000000000001</c:v>
                </c:pt>
                <c:pt idx="440">
                  <c:v>152.27000000000001</c:v>
                </c:pt>
                <c:pt idx="441">
                  <c:v>150.41</c:v>
                </c:pt>
                <c:pt idx="442">
                  <c:v>152.54</c:v>
                </c:pt>
                <c:pt idx="443">
                  <c:v>150.69</c:v>
                </c:pt>
                <c:pt idx="444">
                  <c:v>150.58000000000001</c:v>
                </c:pt>
                <c:pt idx="445">
                  <c:v>149.69</c:v>
                </c:pt>
                <c:pt idx="446">
                  <c:v>147.49</c:v>
                </c:pt>
                <c:pt idx="447">
                  <c:v>149.16</c:v>
                </c:pt>
                <c:pt idx="448">
                  <c:v>147.41999999999999</c:v>
                </c:pt>
                <c:pt idx="449">
                  <c:v>149.6</c:v>
                </c:pt>
                <c:pt idx="450">
                  <c:v>151.4</c:v>
                </c:pt>
                <c:pt idx="451">
                  <c:v>151.96</c:v>
                </c:pt>
                <c:pt idx="452">
                  <c:v>151.62</c:v>
                </c:pt>
                <c:pt idx="453">
                  <c:v>152.19999999999999</c:v>
                </c:pt>
                <c:pt idx="454">
                  <c:v>152.21</c:v>
                </c:pt>
                <c:pt idx="455">
                  <c:v>152.49</c:v>
                </c:pt>
                <c:pt idx="456">
                  <c:v>151.74</c:v>
                </c:pt>
                <c:pt idx="457">
                  <c:v>151.37</c:v>
                </c:pt>
                <c:pt idx="458">
                  <c:v>148.77000000000001</c:v>
                </c:pt>
                <c:pt idx="459">
                  <c:v>149.58000000000001</c:v>
                </c:pt>
                <c:pt idx="460">
                  <c:v>150.37</c:v>
                </c:pt>
                <c:pt idx="461">
                  <c:v>148.02000000000001</c:v>
                </c:pt>
                <c:pt idx="462">
                  <c:v>147.16999999999999</c:v>
                </c:pt>
                <c:pt idx="463">
                  <c:v>145.79</c:v>
                </c:pt>
                <c:pt idx="464">
                  <c:v>146.13</c:v>
                </c:pt>
                <c:pt idx="465">
                  <c:v>146.97999999999999</c:v>
                </c:pt>
                <c:pt idx="466">
                  <c:v>145.5</c:v>
                </c:pt>
                <c:pt idx="467">
                  <c:v>148.54</c:v>
                </c:pt>
                <c:pt idx="468">
                  <c:v>148.01</c:v>
                </c:pt>
                <c:pt idx="469">
                  <c:v>147.96</c:v>
                </c:pt>
                <c:pt idx="470">
                  <c:v>147.66999999999999</c:v>
                </c:pt>
                <c:pt idx="471">
                  <c:v>145.82</c:v>
                </c:pt>
                <c:pt idx="472">
                  <c:v>146.99</c:v>
                </c:pt>
                <c:pt idx="473">
                  <c:v>146.99</c:v>
                </c:pt>
                <c:pt idx="474">
                  <c:v>148.19</c:v>
                </c:pt>
                <c:pt idx="475">
                  <c:v>150.91999999999999</c:v>
                </c:pt>
                <c:pt idx="476">
                  <c:v>146.97999999999999</c:v>
                </c:pt>
                <c:pt idx="477">
                  <c:v>148.49</c:v>
                </c:pt>
                <c:pt idx="478">
                  <c:v>148.25</c:v>
                </c:pt>
                <c:pt idx="479">
                  <c:v>148.16</c:v>
                </c:pt>
                <c:pt idx="480">
                  <c:v>147.44</c:v>
                </c:pt>
                <c:pt idx="481">
                  <c:v>145.86000000000001</c:v>
                </c:pt>
                <c:pt idx="482">
                  <c:v>146.71</c:v>
                </c:pt>
                <c:pt idx="483">
                  <c:v>145.36000000000001</c:v>
                </c:pt>
                <c:pt idx="484">
                  <c:v>143.44999999999999</c:v>
                </c:pt>
                <c:pt idx="485">
                  <c:v>138.34</c:v>
                </c:pt>
                <c:pt idx="486">
                  <c:v>139.63</c:v>
                </c:pt>
                <c:pt idx="487">
                  <c:v>139.82</c:v>
                </c:pt>
                <c:pt idx="488">
                  <c:v>140.76</c:v>
                </c:pt>
                <c:pt idx="489">
                  <c:v>142.84</c:v>
                </c:pt>
                <c:pt idx="490">
                  <c:v>145.13</c:v>
                </c:pt>
                <c:pt idx="491">
                  <c:v>145.21</c:v>
                </c:pt>
                <c:pt idx="492">
                  <c:v>147.81</c:v>
                </c:pt>
                <c:pt idx="493">
                  <c:v>145.52000000000001</c:v>
                </c:pt>
                <c:pt idx="494">
                  <c:v>144.46</c:v>
                </c:pt>
                <c:pt idx="495">
                  <c:v>142.69</c:v>
                </c:pt>
                <c:pt idx="496">
                  <c:v>143.18</c:v>
                </c:pt>
                <c:pt idx="497">
                  <c:v>144.49</c:v>
                </c:pt>
                <c:pt idx="498">
                  <c:v>144.74</c:v>
                </c:pt>
                <c:pt idx="499">
                  <c:v>144.57</c:v>
                </c:pt>
                <c:pt idx="500">
                  <c:v>144.05000000000001</c:v>
                </c:pt>
                <c:pt idx="501">
                  <c:v>143.31</c:v>
                </c:pt>
                <c:pt idx="502">
                  <c:v>141.79</c:v>
                </c:pt>
                <c:pt idx="503">
                  <c:v>140.37</c:v>
                </c:pt>
                <c:pt idx="504">
                  <c:v>139.91</c:v>
                </c:pt>
                <c:pt idx="505">
                  <c:v>138.04</c:v>
                </c:pt>
                <c:pt idx="506">
                  <c:v>141.53</c:v>
                </c:pt>
                <c:pt idx="507">
                  <c:v>141.87</c:v>
                </c:pt>
                <c:pt idx="508">
                  <c:v>143.46</c:v>
                </c:pt>
                <c:pt idx="509">
                  <c:v>144.24</c:v>
                </c:pt>
                <c:pt idx="510">
                  <c:v>146.35</c:v>
                </c:pt>
                <c:pt idx="511">
                  <c:v>144.63</c:v>
                </c:pt>
                <c:pt idx="512">
                  <c:v>144.53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E-4453-82D7-D0DFD8977D3B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Data!$F$2:$F$514</c:f>
              <c:numCache>
                <c:formatCode>General</c:formatCode>
                <c:ptCount val="513"/>
                <c:pt idx="0">
                  <c:v>148.74</c:v>
                </c:pt>
                <c:pt idx="1">
                  <c:v>148.27616652524031</c:v>
                </c:pt>
                <c:pt idx="2">
                  <c:v>148.39624321268306</c:v>
                </c:pt>
                <c:pt idx="3">
                  <c:v>148.20690332054139</c:v>
                </c:pt>
                <c:pt idx="4">
                  <c:v>148.31907636934559</c:v>
                </c:pt>
                <c:pt idx="5">
                  <c:v>148.53081446816913</c:v>
                </c:pt>
                <c:pt idx="6">
                  <c:v>148.75529425024504</c:v>
                </c:pt>
                <c:pt idx="7">
                  <c:v>148.94815172763634</c:v>
                </c:pt>
                <c:pt idx="8">
                  <c:v>149.08984025689355</c:v>
                </c:pt>
                <c:pt idx="9">
                  <c:v>149.16626097266965</c:v>
                </c:pt>
                <c:pt idx="10">
                  <c:v>149.22879556002243</c:v>
                </c:pt>
                <c:pt idx="11">
                  <c:v>149.14755324819276</c:v>
                </c:pt>
                <c:pt idx="12">
                  <c:v>149.01765429541584</c:v>
                </c:pt>
                <c:pt idx="13">
                  <c:v>148.89705157242025</c:v>
                </c:pt>
                <c:pt idx="14">
                  <c:v>149.67071258380278</c:v>
                </c:pt>
                <c:pt idx="15">
                  <c:v>149.87783073450998</c:v>
                </c:pt>
                <c:pt idx="16">
                  <c:v>150.28100914024975</c:v>
                </c:pt>
                <c:pt idx="17">
                  <c:v>150.59527626737437</c:v>
                </c:pt>
                <c:pt idx="18">
                  <c:v>150.89878114656341</c:v>
                </c:pt>
                <c:pt idx="19">
                  <c:v>151.19647700865625</c:v>
                </c:pt>
                <c:pt idx="20">
                  <c:v>151.48702456964506</c:v>
                </c:pt>
                <c:pt idx="21">
                  <c:v>151.79633193738795</c:v>
                </c:pt>
                <c:pt idx="22">
                  <c:v>152.04993479507363</c:v>
                </c:pt>
                <c:pt idx="23">
                  <c:v>152.25933383959446</c:v>
                </c:pt>
                <c:pt idx="24">
                  <c:v>152.45661391242143</c:v>
                </c:pt>
                <c:pt idx="25">
                  <c:v>152.67766445237368</c:v>
                </c:pt>
                <c:pt idx="26">
                  <c:v>152.84102009120113</c:v>
                </c:pt>
                <c:pt idx="27">
                  <c:v>152.9603394748635</c:v>
                </c:pt>
                <c:pt idx="28">
                  <c:v>153.05718484307673</c:v>
                </c:pt>
                <c:pt idx="29">
                  <c:v>153.13781461829711</c:v>
                </c:pt>
                <c:pt idx="30">
                  <c:v>153.19567995830218</c:v>
                </c:pt>
                <c:pt idx="31">
                  <c:v>153.2899243518558</c:v>
                </c:pt>
                <c:pt idx="32">
                  <c:v>153.39752668372901</c:v>
                </c:pt>
                <c:pt idx="33">
                  <c:v>153.52472349078965</c:v>
                </c:pt>
                <c:pt idx="34">
                  <c:v>153.70387633247134</c:v>
                </c:pt>
                <c:pt idx="35">
                  <c:v>153.86602152952938</c:v>
                </c:pt>
                <c:pt idx="36">
                  <c:v>154.00374658171282</c:v>
                </c:pt>
                <c:pt idx="37">
                  <c:v>154.10091627711944</c:v>
                </c:pt>
                <c:pt idx="38">
                  <c:v>154.1693737210538</c:v>
                </c:pt>
                <c:pt idx="39">
                  <c:v>154.24452157220389</c:v>
                </c:pt>
                <c:pt idx="40">
                  <c:v>154.37264657377742</c:v>
                </c:pt>
                <c:pt idx="41">
                  <c:v>154.44209052837741</c:v>
                </c:pt>
                <c:pt idx="42">
                  <c:v>154.50458533847171</c:v>
                </c:pt>
                <c:pt idx="43">
                  <c:v>154.57222032420884</c:v>
                </c:pt>
                <c:pt idx="44">
                  <c:v>154.65547874340774</c:v>
                </c:pt>
                <c:pt idx="45">
                  <c:v>154.7421356424278</c:v>
                </c:pt>
                <c:pt idx="46">
                  <c:v>154.82734212625138</c:v>
                </c:pt>
                <c:pt idx="47">
                  <c:v>154.92972975640282</c:v>
                </c:pt>
                <c:pt idx="48">
                  <c:v>155.01585084190719</c:v>
                </c:pt>
                <c:pt idx="49">
                  <c:v>155.1287261423395</c:v>
                </c:pt>
                <c:pt idx="50">
                  <c:v>155.23367859284764</c:v>
                </c:pt>
                <c:pt idx="51">
                  <c:v>155.41769482625017</c:v>
                </c:pt>
                <c:pt idx="52">
                  <c:v>155.51244783940334</c:v>
                </c:pt>
                <c:pt idx="53">
                  <c:v>155.61514823324575</c:v>
                </c:pt>
                <c:pt idx="54">
                  <c:v>155.6961959961661</c:v>
                </c:pt>
                <c:pt idx="55">
                  <c:v>155.77892792389426</c:v>
                </c:pt>
                <c:pt idx="56">
                  <c:v>155.87419531201473</c:v>
                </c:pt>
                <c:pt idx="57">
                  <c:v>155.95094342173354</c:v>
                </c:pt>
                <c:pt idx="58">
                  <c:v>156.01685862760235</c:v>
                </c:pt>
                <c:pt idx="59">
                  <c:v>156.12189385689518</c:v>
                </c:pt>
                <c:pt idx="60">
                  <c:v>156.22646051192194</c:v>
                </c:pt>
                <c:pt idx="61">
                  <c:v>156.28728585032863</c:v>
                </c:pt>
                <c:pt idx="62">
                  <c:v>156.35407466038444</c:v>
                </c:pt>
                <c:pt idx="63">
                  <c:v>156.34965946854609</c:v>
                </c:pt>
                <c:pt idx="64">
                  <c:v>156.33607961490893</c:v>
                </c:pt>
                <c:pt idx="65">
                  <c:v>156.33342669649656</c:v>
                </c:pt>
                <c:pt idx="66">
                  <c:v>156.32994229199102</c:v>
                </c:pt>
                <c:pt idx="67">
                  <c:v>156.3332113824668</c:v>
                </c:pt>
                <c:pt idx="68">
                  <c:v>156.34811713921678</c:v>
                </c:pt>
                <c:pt idx="69">
                  <c:v>156.33945918280943</c:v>
                </c:pt>
                <c:pt idx="70">
                  <c:v>156.32547039397554</c:v>
                </c:pt>
                <c:pt idx="71">
                  <c:v>156.31528011648621</c:v>
                </c:pt>
                <c:pt idx="72">
                  <c:v>156.31082522637462</c:v>
                </c:pt>
                <c:pt idx="73">
                  <c:v>156.31930300802</c:v>
                </c:pt>
                <c:pt idx="74">
                  <c:v>156.33404448413518</c:v>
                </c:pt>
                <c:pt idx="75">
                  <c:v>156.37529045530238</c:v>
                </c:pt>
                <c:pt idx="76">
                  <c:v>156.44466811733687</c:v>
                </c:pt>
                <c:pt idx="77">
                  <c:v>156.51634995564697</c:v>
                </c:pt>
                <c:pt idx="78">
                  <c:v>156.59607338546101</c:v>
                </c:pt>
                <c:pt idx="79">
                  <c:v>156.67179244697749</c:v>
                </c:pt>
                <c:pt idx="80">
                  <c:v>156.71817578363448</c:v>
                </c:pt>
                <c:pt idx="81">
                  <c:v>156.75838019018735</c:v>
                </c:pt>
                <c:pt idx="82">
                  <c:v>156.84899420458106</c:v>
                </c:pt>
                <c:pt idx="83">
                  <c:v>156.9336392103551</c:v>
                </c:pt>
                <c:pt idx="84">
                  <c:v>156.99980965285957</c:v>
                </c:pt>
                <c:pt idx="85">
                  <c:v>157.0697909356206</c:v>
                </c:pt>
                <c:pt idx="86">
                  <c:v>157.13695849219377</c:v>
                </c:pt>
                <c:pt idx="87">
                  <c:v>157.22835768297111</c:v>
                </c:pt>
                <c:pt idx="88">
                  <c:v>157.28708227378857</c:v>
                </c:pt>
                <c:pt idx="89">
                  <c:v>157.35343629520227</c:v>
                </c:pt>
                <c:pt idx="90">
                  <c:v>157.42804724478003</c:v>
                </c:pt>
                <c:pt idx="91">
                  <c:v>157.50516243459791</c:v>
                </c:pt>
                <c:pt idx="92">
                  <c:v>157.58356111255659</c:v>
                </c:pt>
                <c:pt idx="93">
                  <c:v>157.654968709271</c:v>
                </c:pt>
                <c:pt idx="94">
                  <c:v>157.76250807437114</c:v>
                </c:pt>
                <c:pt idx="95">
                  <c:v>157.83400931184229</c:v>
                </c:pt>
                <c:pt idx="96">
                  <c:v>157.88920628941614</c:v>
                </c:pt>
                <c:pt idx="97">
                  <c:v>157.97099093167887</c:v>
                </c:pt>
                <c:pt idx="98">
                  <c:v>158.03832882610615</c:v>
                </c:pt>
                <c:pt idx="99">
                  <c:v>158.09112140705741</c:v>
                </c:pt>
                <c:pt idx="100">
                  <c:v>158.13230688316565</c:v>
                </c:pt>
                <c:pt idx="101">
                  <c:v>158.17978719163287</c:v>
                </c:pt>
                <c:pt idx="102">
                  <c:v>158.20196573205752</c:v>
                </c:pt>
                <c:pt idx="103">
                  <c:v>158.23227653421142</c:v>
                </c:pt>
                <c:pt idx="104">
                  <c:v>158.32581892377965</c:v>
                </c:pt>
                <c:pt idx="105">
                  <c:v>158.37823787029006</c:v>
                </c:pt>
                <c:pt idx="106">
                  <c:v>158.45460801672988</c:v>
                </c:pt>
                <c:pt idx="107">
                  <c:v>158.51033078562571</c:v>
                </c:pt>
                <c:pt idx="108">
                  <c:v>158.59738730647365</c:v>
                </c:pt>
                <c:pt idx="109">
                  <c:v>158.65055173802867</c:v>
                </c:pt>
                <c:pt idx="110">
                  <c:v>158.69956062669726</c:v>
                </c:pt>
                <c:pt idx="111">
                  <c:v>158.74680876103497</c:v>
                </c:pt>
                <c:pt idx="112">
                  <c:v>158.79445947709988</c:v>
                </c:pt>
                <c:pt idx="113">
                  <c:v>158.84463797275791</c:v>
                </c:pt>
                <c:pt idx="114">
                  <c:v>158.88390257465377</c:v>
                </c:pt>
                <c:pt idx="115">
                  <c:v>158.96109652898966</c:v>
                </c:pt>
                <c:pt idx="116">
                  <c:v>159.02570669193381</c:v>
                </c:pt>
                <c:pt idx="117">
                  <c:v>159.12118852293389</c:v>
                </c:pt>
                <c:pt idx="118">
                  <c:v>159.29260945887117</c:v>
                </c:pt>
                <c:pt idx="119">
                  <c:v>159.38027074266952</c:v>
                </c:pt>
                <c:pt idx="120">
                  <c:v>159.45812719197872</c:v>
                </c:pt>
                <c:pt idx="121">
                  <c:v>159.50947226781963</c:v>
                </c:pt>
                <c:pt idx="122">
                  <c:v>159.55349142755793</c:v>
                </c:pt>
                <c:pt idx="123">
                  <c:v>159.61419467724335</c:v>
                </c:pt>
                <c:pt idx="124">
                  <c:v>159.64292737508282</c:v>
                </c:pt>
                <c:pt idx="125">
                  <c:v>159.67083833283039</c:v>
                </c:pt>
                <c:pt idx="126">
                  <c:v>159.68569988120612</c:v>
                </c:pt>
                <c:pt idx="127">
                  <c:v>159.72847654490741</c:v>
                </c:pt>
                <c:pt idx="128">
                  <c:v>159.76978661712801</c:v>
                </c:pt>
                <c:pt idx="129">
                  <c:v>159.80022412059907</c:v>
                </c:pt>
                <c:pt idx="130">
                  <c:v>159.84145266490771</c:v>
                </c:pt>
                <c:pt idx="131">
                  <c:v>159.88005753422632</c:v>
                </c:pt>
                <c:pt idx="132">
                  <c:v>159.91647524896968</c:v>
                </c:pt>
                <c:pt idx="133">
                  <c:v>159.94725893116973</c:v>
                </c:pt>
                <c:pt idx="134">
                  <c:v>159.9981399096369</c:v>
                </c:pt>
                <c:pt idx="135">
                  <c:v>160.08322187772566</c:v>
                </c:pt>
                <c:pt idx="136">
                  <c:v>160.13875862534235</c:v>
                </c:pt>
                <c:pt idx="137">
                  <c:v>160.19619428790577</c:v>
                </c:pt>
                <c:pt idx="138">
                  <c:v>160.25301501302914</c:v>
                </c:pt>
                <c:pt idx="139">
                  <c:v>160.28705771411919</c:v>
                </c:pt>
                <c:pt idx="140">
                  <c:v>160.33682289867954</c:v>
                </c:pt>
                <c:pt idx="141">
                  <c:v>160.38901376111997</c:v>
                </c:pt>
                <c:pt idx="142">
                  <c:v>160.44144305148819</c:v>
                </c:pt>
                <c:pt idx="143">
                  <c:v>160.51041227500681</c:v>
                </c:pt>
                <c:pt idx="144">
                  <c:v>160.53010959643606</c:v>
                </c:pt>
                <c:pt idx="145">
                  <c:v>160.53242156660036</c:v>
                </c:pt>
                <c:pt idx="146">
                  <c:v>160.59884248612366</c:v>
                </c:pt>
                <c:pt idx="147">
                  <c:v>160.71336994314493</c:v>
                </c:pt>
                <c:pt idx="148">
                  <c:v>160.78967598368519</c:v>
                </c:pt>
                <c:pt idx="149">
                  <c:v>160.84394396963407</c:v>
                </c:pt>
                <c:pt idx="150">
                  <c:v>160.92003485300864</c:v>
                </c:pt>
                <c:pt idx="151">
                  <c:v>160.98248383090686</c:v>
                </c:pt>
                <c:pt idx="152">
                  <c:v>161.03272244034358</c:v>
                </c:pt>
                <c:pt idx="153">
                  <c:v>161.07314435754563</c:v>
                </c:pt>
                <c:pt idx="154">
                  <c:v>161.09581162956229</c:v>
                </c:pt>
                <c:pt idx="155">
                  <c:v>161.13640320741507</c:v>
                </c:pt>
                <c:pt idx="156">
                  <c:v>161.19778576663307</c:v>
                </c:pt>
                <c:pt idx="157">
                  <c:v>161.23358183397522</c:v>
                </c:pt>
                <c:pt idx="158">
                  <c:v>161.2599607408076</c:v>
                </c:pt>
                <c:pt idx="159">
                  <c:v>161.29881298454171</c:v>
                </c:pt>
                <c:pt idx="160">
                  <c:v>161.33271091577799</c:v>
                </c:pt>
                <c:pt idx="161">
                  <c:v>161.36643829820349</c:v>
                </c:pt>
                <c:pt idx="162">
                  <c:v>161.40104319267741</c:v>
                </c:pt>
                <c:pt idx="163">
                  <c:v>161.45455444759165</c:v>
                </c:pt>
                <c:pt idx="164">
                  <c:v>161.48651908559259</c:v>
                </c:pt>
                <c:pt idx="165">
                  <c:v>161.52565130865267</c:v>
                </c:pt>
                <c:pt idx="166">
                  <c:v>161.55986598283073</c:v>
                </c:pt>
                <c:pt idx="167">
                  <c:v>161.62585859849062</c:v>
                </c:pt>
                <c:pt idx="168">
                  <c:v>161.74274388967206</c:v>
                </c:pt>
                <c:pt idx="169">
                  <c:v>161.83761175203702</c:v>
                </c:pt>
                <c:pt idx="170">
                  <c:v>161.91087782624484</c:v>
                </c:pt>
                <c:pt idx="171">
                  <c:v>161.98068750048623</c:v>
                </c:pt>
                <c:pt idx="172">
                  <c:v>162.06033894284624</c:v>
                </c:pt>
                <c:pt idx="173">
                  <c:v>162.14809115395988</c:v>
                </c:pt>
                <c:pt idx="174">
                  <c:v>162.21778297234101</c:v>
                </c:pt>
                <c:pt idx="175">
                  <c:v>162.26480193411862</c:v>
                </c:pt>
                <c:pt idx="176">
                  <c:v>162.30463548907113</c:v>
                </c:pt>
                <c:pt idx="177">
                  <c:v>162.39269155719782</c:v>
                </c:pt>
                <c:pt idx="178">
                  <c:v>162.44735466684622</c:v>
                </c:pt>
                <c:pt idx="179">
                  <c:v>162.49701488810987</c:v>
                </c:pt>
                <c:pt idx="180">
                  <c:v>162.56320168611057</c:v>
                </c:pt>
                <c:pt idx="181">
                  <c:v>162.83777131532943</c:v>
                </c:pt>
                <c:pt idx="182">
                  <c:v>162.92926960573845</c:v>
                </c:pt>
                <c:pt idx="183">
                  <c:v>162.97465312340486</c:v>
                </c:pt>
                <c:pt idx="184">
                  <c:v>163.04137691870403</c:v>
                </c:pt>
                <c:pt idx="185">
                  <c:v>163.08184108542184</c:v>
                </c:pt>
                <c:pt idx="186">
                  <c:v>163.1203496637682</c:v>
                </c:pt>
                <c:pt idx="187">
                  <c:v>163.17085421618617</c:v>
                </c:pt>
                <c:pt idx="188">
                  <c:v>163.22653909444264</c:v>
                </c:pt>
                <c:pt idx="189">
                  <c:v>163.26906705358846</c:v>
                </c:pt>
                <c:pt idx="190">
                  <c:v>163.29483210809246</c:v>
                </c:pt>
                <c:pt idx="191">
                  <c:v>163.32101178098929</c:v>
                </c:pt>
                <c:pt idx="192">
                  <c:v>163.33968071928945</c:v>
                </c:pt>
                <c:pt idx="193">
                  <c:v>163.36750516054337</c:v>
                </c:pt>
                <c:pt idx="194">
                  <c:v>163.40717038158763</c:v>
                </c:pt>
                <c:pt idx="195">
                  <c:v>163.43649517522243</c:v>
                </c:pt>
                <c:pt idx="196">
                  <c:v>163.47737560430738</c:v>
                </c:pt>
                <c:pt idx="197">
                  <c:v>163.5177118473521</c:v>
                </c:pt>
                <c:pt idx="198">
                  <c:v>163.57190312343789</c:v>
                </c:pt>
                <c:pt idx="199">
                  <c:v>163.61221568579774</c:v>
                </c:pt>
                <c:pt idx="200">
                  <c:v>163.65766820188611</c:v>
                </c:pt>
                <c:pt idx="201">
                  <c:v>163.70487229898146</c:v>
                </c:pt>
                <c:pt idx="202">
                  <c:v>163.72861047724152</c:v>
                </c:pt>
                <c:pt idx="203">
                  <c:v>163.76147140744877</c:v>
                </c:pt>
                <c:pt idx="204">
                  <c:v>163.78202053433398</c:v>
                </c:pt>
                <c:pt idx="205">
                  <c:v>163.80689385786158</c:v>
                </c:pt>
                <c:pt idx="206">
                  <c:v>163.82248644364248</c:v>
                </c:pt>
                <c:pt idx="207">
                  <c:v>163.84522119163</c:v>
                </c:pt>
                <c:pt idx="208">
                  <c:v>163.85879095692789</c:v>
                </c:pt>
                <c:pt idx="209">
                  <c:v>163.86787718621457</c:v>
                </c:pt>
                <c:pt idx="210">
                  <c:v>163.87353903670402</c:v>
                </c:pt>
                <c:pt idx="211">
                  <c:v>163.87828727602391</c:v>
                </c:pt>
                <c:pt idx="212">
                  <c:v>163.88264685740427</c:v>
                </c:pt>
                <c:pt idx="213">
                  <c:v>163.88846649283411</c:v>
                </c:pt>
                <c:pt idx="214">
                  <c:v>163.86569255907276</c:v>
                </c:pt>
                <c:pt idx="215">
                  <c:v>163.86282473459426</c:v>
                </c:pt>
                <c:pt idx="216">
                  <c:v>163.88278807754509</c:v>
                </c:pt>
                <c:pt idx="217">
                  <c:v>163.89219345140319</c:v>
                </c:pt>
                <c:pt idx="218">
                  <c:v>163.90087873856558</c:v>
                </c:pt>
                <c:pt idx="219">
                  <c:v>163.91077772146892</c:v>
                </c:pt>
                <c:pt idx="220">
                  <c:v>163.92680163461466</c:v>
                </c:pt>
                <c:pt idx="221">
                  <c:v>163.96444105008766</c:v>
                </c:pt>
                <c:pt idx="222">
                  <c:v>163.99488852350828</c:v>
                </c:pt>
                <c:pt idx="223">
                  <c:v>164.0206142651063</c:v>
                </c:pt>
                <c:pt idx="224">
                  <c:v>164.05300629555455</c:v>
                </c:pt>
                <c:pt idx="225">
                  <c:v>164.08899713344988</c:v>
                </c:pt>
                <c:pt idx="226">
                  <c:v>164.17417195822441</c:v>
                </c:pt>
                <c:pt idx="227">
                  <c:v>164.34051202286807</c:v>
                </c:pt>
                <c:pt idx="228">
                  <c:v>164.40136051637793</c:v>
                </c:pt>
                <c:pt idx="229">
                  <c:v>164.45467007764918</c:v>
                </c:pt>
                <c:pt idx="230">
                  <c:v>164.49111000185835</c:v>
                </c:pt>
                <c:pt idx="231">
                  <c:v>164.54698265610293</c:v>
                </c:pt>
                <c:pt idx="232">
                  <c:v>164.60336153194908</c:v>
                </c:pt>
                <c:pt idx="233">
                  <c:v>164.6489036274138</c:v>
                </c:pt>
                <c:pt idx="234">
                  <c:v>164.68509672511613</c:v>
                </c:pt>
                <c:pt idx="235">
                  <c:v>164.71818520197641</c:v>
                </c:pt>
                <c:pt idx="236">
                  <c:v>164.74550675951826</c:v>
                </c:pt>
                <c:pt idx="237">
                  <c:v>164.7748272509395</c:v>
                </c:pt>
                <c:pt idx="238">
                  <c:v>164.79395070742973</c:v>
                </c:pt>
                <c:pt idx="239">
                  <c:v>164.80929270288249</c:v>
                </c:pt>
                <c:pt idx="240">
                  <c:v>164.82435932716143</c:v>
                </c:pt>
                <c:pt idx="241">
                  <c:v>164.84756660827864</c:v>
                </c:pt>
                <c:pt idx="242">
                  <c:v>164.86806123490456</c:v>
                </c:pt>
                <c:pt idx="243">
                  <c:v>164.88747233105906</c:v>
                </c:pt>
                <c:pt idx="244">
                  <c:v>164.90999988259347</c:v>
                </c:pt>
                <c:pt idx="245">
                  <c:v>164.95170324362687</c:v>
                </c:pt>
                <c:pt idx="246">
                  <c:v>164.96492202309832</c:v>
                </c:pt>
                <c:pt idx="247">
                  <c:v>164.97077535986011</c:v>
                </c:pt>
                <c:pt idx="248">
                  <c:v>164.98202141750474</c:v>
                </c:pt>
                <c:pt idx="249">
                  <c:v>164.99385196660049</c:v>
                </c:pt>
                <c:pt idx="250">
                  <c:v>164.99927391790789</c:v>
                </c:pt>
                <c:pt idx="251">
                  <c:v>165.00549123620712</c:v>
                </c:pt>
                <c:pt idx="252">
                  <c:v>165.0086008066724</c:v>
                </c:pt>
                <c:pt idx="253">
                  <c:v>165.00897662203678</c:v>
                </c:pt>
                <c:pt idx="254">
                  <c:v>164.98642153917578</c:v>
                </c:pt>
                <c:pt idx="255">
                  <c:v>164.96826593005679</c:v>
                </c:pt>
                <c:pt idx="256">
                  <c:v>164.95997122610973</c:v>
                </c:pt>
                <c:pt idx="257">
                  <c:v>164.92849800539216</c:v>
                </c:pt>
                <c:pt idx="258">
                  <c:v>164.90474009877124</c:v>
                </c:pt>
                <c:pt idx="259">
                  <c:v>164.88699872420278</c:v>
                </c:pt>
                <c:pt idx="260">
                  <c:v>164.86287497207678</c:v>
                </c:pt>
                <c:pt idx="261">
                  <c:v>164.84852273577613</c:v>
                </c:pt>
                <c:pt idx="262">
                  <c:v>164.83320073591051</c:v>
                </c:pt>
                <c:pt idx="263">
                  <c:v>164.80881643353669</c:v>
                </c:pt>
                <c:pt idx="264">
                  <c:v>164.80826476211743</c:v>
                </c:pt>
                <c:pt idx="265">
                  <c:v>164.81394528944097</c:v>
                </c:pt>
                <c:pt idx="266">
                  <c:v>164.81156127178116</c:v>
                </c:pt>
                <c:pt idx="267">
                  <c:v>164.83607480879411</c:v>
                </c:pt>
                <c:pt idx="268">
                  <c:v>164.84106963882411</c:v>
                </c:pt>
                <c:pt idx="269">
                  <c:v>164.84476012405287</c:v>
                </c:pt>
                <c:pt idx="270">
                  <c:v>164.85055998604852</c:v>
                </c:pt>
                <c:pt idx="271">
                  <c:v>164.85395335000504</c:v>
                </c:pt>
                <c:pt idx="272">
                  <c:v>164.87231884271813</c:v>
                </c:pt>
                <c:pt idx="273">
                  <c:v>164.88360724219038</c:v>
                </c:pt>
                <c:pt idx="274">
                  <c:v>164.90034969061006</c:v>
                </c:pt>
                <c:pt idx="275">
                  <c:v>164.91094273246483</c:v>
                </c:pt>
                <c:pt idx="276">
                  <c:v>164.91837372280611</c:v>
                </c:pt>
                <c:pt idx="277">
                  <c:v>164.92821595114873</c:v>
                </c:pt>
                <c:pt idx="278">
                  <c:v>164.94124026832745</c:v>
                </c:pt>
                <c:pt idx="279">
                  <c:v>164.95609289204845</c:v>
                </c:pt>
                <c:pt idx="280">
                  <c:v>164.97637536283045</c:v>
                </c:pt>
                <c:pt idx="281">
                  <c:v>164.96194249262444</c:v>
                </c:pt>
                <c:pt idx="282">
                  <c:v>164.96367437970474</c:v>
                </c:pt>
                <c:pt idx="283">
                  <c:v>164.96996260440315</c:v>
                </c:pt>
                <c:pt idx="284">
                  <c:v>164.97712877129413</c:v>
                </c:pt>
                <c:pt idx="285">
                  <c:v>165.00375386357652</c:v>
                </c:pt>
                <c:pt idx="286">
                  <c:v>165.02813415498628</c:v>
                </c:pt>
                <c:pt idx="287">
                  <c:v>165.05669562412129</c:v>
                </c:pt>
                <c:pt idx="288">
                  <c:v>165.07429776235179</c:v>
                </c:pt>
                <c:pt idx="289">
                  <c:v>165.09350216939166</c:v>
                </c:pt>
                <c:pt idx="290">
                  <c:v>165.13889147901031</c:v>
                </c:pt>
                <c:pt idx="291">
                  <c:v>165.1790713359733</c:v>
                </c:pt>
                <c:pt idx="292">
                  <c:v>165.22771956934702</c:v>
                </c:pt>
                <c:pt idx="293">
                  <c:v>165.26050669630993</c:v>
                </c:pt>
                <c:pt idx="294">
                  <c:v>165.29190181843177</c:v>
                </c:pt>
                <c:pt idx="295">
                  <c:v>165.34247272411878</c:v>
                </c:pt>
                <c:pt idx="296">
                  <c:v>165.40196389275135</c:v>
                </c:pt>
                <c:pt idx="297">
                  <c:v>165.44373714666713</c:v>
                </c:pt>
                <c:pt idx="298">
                  <c:v>165.45824947062707</c:v>
                </c:pt>
                <c:pt idx="299">
                  <c:v>165.46832108568702</c:v>
                </c:pt>
                <c:pt idx="300">
                  <c:v>165.47656012380529</c:v>
                </c:pt>
                <c:pt idx="301">
                  <c:v>165.49709365686959</c:v>
                </c:pt>
                <c:pt idx="302">
                  <c:v>165.50359018943519</c:v>
                </c:pt>
                <c:pt idx="303">
                  <c:v>165.51471955926795</c:v>
                </c:pt>
                <c:pt idx="304">
                  <c:v>165.52326113348124</c:v>
                </c:pt>
                <c:pt idx="305">
                  <c:v>165.53212223466693</c:v>
                </c:pt>
                <c:pt idx="306">
                  <c:v>165.53246210469146</c:v>
                </c:pt>
                <c:pt idx="307">
                  <c:v>165.52189935063441</c:v>
                </c:pt>
                <c:pt idx="308">
                  <c:v>165.52574828155238</c:v>
                </c:pt>
                <c:pt idx="309">
                  <c:v>165.53499658264496</c:v>
                </c:pt>
                <c:pt idx="310">
                  <c:v>165.54137227186271</c:v>
                </c:pt>
                <c:pt idx="311">
                  <c:v>165.56744403927328</c:v>
                </c:pt>
                <c:pt idx="312">
                  <c:v>165.58365259567776</c:v>
                </c:pt>
                <c:pt idx="313">
                  <c:v>165.59498172615343</c:v>
                </c:pt>
                <c:pt idx="314">
                  <c:v>165.62428145868455</c:v>
                </c:pt>
                <c:pt idx="315">
                  <c:v>165.61277676463487</c:v>
                </c:pt>
                <c:pt idx="316">
                  <c:v>165.57447590784832</c:v>
                </c:pt>
                <c:pt idx="317">
                  <c:v>165.53711140045169</c:v>
                </c:pt>
                <c:pt idx="318">
                  <c:v>165.52171665964232</c:v>
                </c:pt>
                <c:pt idx="319">
                  <c:v>165.5124512721338</c:v>
                </c:pt>
                <c:pt idx="320">
                  <c:v>165.51779740337062</c:v>
                </c:pt>
                <c:pt idx="321">
                  <c:v>165.5335925858187</c:v>
                </c:pt>
                <c:pt idx="322">
                  <c:v>165.54494255418618</c:v>
                </c:pt>
                <c:pt idx="323">
                  <c:v>165.54713467010669</c:v>
                </c:pt>
                <c:pt idx="324">
                  <c:v>165.5632408093937</c:v>
                </c:pt>
                <c:pt idx="325">
                  <c:v>165.56389866835352</c:v>
                </c:pt>
                <c:pt idx="326">
                  <c:v>165.5718727967801</c:v>
                </c:pt>
                <c:pt idx="327">
                  <c:v>165.57251113572337</c:v>
                </c:pt>
                <c:pt idx="328">
                  <c:v>165.52035566356872</c:v>
                </c:pt>
                <c:pt idx="329">
                  <c:v>165.49554855139053</c:v>
                </c:pt>
                <c:pt idx="330">
                  <c:v>165.48292578849976</c:v>
                </c:pt>
                <c:pt idx="331">
                  <c:v>165.47161509390972</c:v>
                </c:pt>
                <c:pt idx="332">
                  <c:v>165.45632745567735</c:v>
                </c:pt>
                <c:pt idx="333">
                  <c:v>165.44066223999337</c:v>
                </c:pt>
                <c:pt idx="334">
                  <c:v>165.42877583045336</c:v>
                </c:pt>
                <c:pt idx="335">
                  <c:v>165.40784036232031</c:v>
                </c:pt>
                <c:pt idx="336">
                  <c:v>165.38803860105267</c:v>
                </c:pt>
                <c:pt idx="337">
                  <c:v>165.37171501602401</c:v>
                </c:pt>
                <c:pt idx="338">
                  <c:v>165.35154225529638</c:v>
                </c:pt>
                <c:pt idx="339">
                  <c:v>165.33099624124841</c:v>
                </c:pt>
                <c:pt idx="340">
                  <c:v>165.31750428669068</c:v>
                </c:pt>
                <c:pt idx="341">
                  <c:v>165.29641961412659</c:v>
                </c:pt>
                <c:pt idx="342">
                  <c:v>165.27853758717643</c:v>
                </c:pt>
                <c:pt idx="343">
                  <c:v>165.2683013509214</c:v>
                </c:pt>
                <c:pt idx="344">
                  <c:v>165.2625452491346</c:v>
                </c:pt>
                <c:pt idx="345">
                  <c:v>165.26092000567019</c:v>
                </c:pt>
                <c:pt idx="346">
                  <c:v>165.26177708071722</c:v>
                </c:pt>
                <c:pt idx="347">
                  <c:v>165.26221409223791</c:v>
                </c:pt>
                <c:pt idx="348">
                  <c:v>165.26162909057979</c:v>
                </c:pt>
                <c:pt idx="349">
                  <c:v>165.26291755888997</c:v>
                </c:pt>
                <c:pt idx="350">
                  <c:v>165.27434663515547</c:v>
                </c:pt>
                <c:pt idx="351">
                  <c:v>165.27883755743323</c:v>
                </c:pt>
                <c:pt idx="352">
                  <c:v>165.28517762603985</c:v>
                </c:pt>
                <c:pt idx="353">
                  <c:v>165.30819043056138</c:v>
                </c:pt>
                <c:pt idx="354">
                  <c:v>165.31560142855935</c:v>
                </c:pt>
                <c:pt idx="355">
                  <c:v>165.31937204607814</c:v>
                </c:pt>
                <c:pt idx="356">
                  <c:v>165.32059959447915</c:v>
                </c:pt>
                <c:pt idx="357">
                  <c:v>165.31035796404908</c:v>
                </c:pt>
                <c:pt idx="358">
                  <c:v>165.30747869655525</c:v>
                </c:pt>
                <c:pt idx="359">
                  <c:v>165.30045544892914</c:v>
                </c:pt>
                <c:pt idx="360">
                  <c:v>165.29309636379324</c:v>
                </c:pt>
                <c:pt idx="361">
                  <c:v>165.28572514656338</c:v>
                </c:pt>
                <c:pt idx="362">
                  <c:v>165.28041241749668</c:v>
                </c:pt>
                <c:pt idx="363">
                  <c:v>165.26668179218331</c:v>
                </c:pt>
                <c:pt idx="364">
                  <c:v>165.25597249637974</c:v>
                </c:pt>
                <c:pt idx="365">
                  <c:v>165.23833328871893</c:v>
                </c:pt>
                <c:pt idx="366">
                  <c:v>165.21837188323946</c:v>
                </c:pt>
                <c:pt idx="367">
                  <c:v>165.18053515093192</c:v>
                </c:pt>
                <c:pt idx="368">
                  <c:v>165.17013970402814</c:v>
                </c:pt>
                <c:pt idx="369">
                  <c:v>165.15651834274348</c:v>
                </c:pt>
                <c:pt idx="370">
                  <c:v>165.14263364653988</c:v>
                </c:pt>
                <c:pt idx="371">
                  <c:v>165.12443040181509</c:v>
                </c:pt>
                <c:pt idx="372">
                  <c:v>165.08646886417435</c:v>
                </c:pt>
                <c:pt idx="373">
                  <c:v>165.06230381112553</c:v>
                </c:pt>
                <c:pt idx="374">
                  <c:v>165.04708413407997</c:v>
                </c:pt>
                <c:pt idx="375">
                  <c:v>165.03448195509387</c:v>
                </c:pt>
                <c:pt idx="376">
                  <c:v>165.0236153605538</c:v>
                </c:pt>
                <c:pt idx="377">
                  <c:v>165.0115784075428</c:v>
                </c:pt>
                <c:pt idx="378">
                  <c:v>164.98015562677799</c:v>
                </c:pt>
                <c:pt idx="379">
                  <c:v>164.92916562380853</c:v>
                </c:pt>
                <c:pt idx="380">
                  <c:v>164.91232406333347</c:v>
                </c:pt>
                <c:pt idx="381">
                  <c:v>164.88939435153287</c:v>
                </c:pt>
                <c:pt idx="382">
                  <c:v>164.84327340020931</c:v>
                </c:pt>
                <c:pt idx="383">
                  <c:v>164.80330338582442</c:v>
                </c:pt>
                <c:pt idx="384">
                  <c:v>164.76965892741671</c:v>
                </c:pt>
                <c:pt idx="385">
                  <c:v>164.7424615504859</c:v>
                </c:pt>
                <c:pt idx="386">
                  <c:v>164.71725093892471</c:v>
                </c:pt>
                <c:pt idx="387">
                  <c:v>164.69545496926105</c:v>
                </c:pt>
                <c:pt idx="388">
                  <c:v>164.67695138462443</c:v>
                </c:pt>
                <c:pt idx="389">
                  <c:v>164.66607385464044</c:v>
                </c:pt>
                <c:pt idx="390">
                  <c:v>164.65154590419777</c:v>
                </c:pt>
                <c:pt idx="391">
                  <c:v>164.63856690318821</c:v>
                </c:pt>
                <c:pt idx="392">
                  <c:v>164.61771114672422</c:v>
                </c:pt>
                <c:pt idx="393">
                  <c:v>164.58558289671387</c:v>
                </c:pt>
                <c:pt idx="394">
                  <c:v>164.55224311899377</c:v>
                </c:pt>
                <c:pt idx="395">
                  <c:v>164.49427920890099</c:v>
                </c:pt>
                <c:pt idx="396">
                  <c:v>164.45305841784548</c:v>
                </c:pt>
                <c:pt idx="397">
                  <c:v>164.41672459111541</c:v>
                </c:pt>
                <c:pt idx="398">
                  <c:v>164.38474736806171</c:v>
                </c:pt>
                <c:pt idx="399">
                  <c:v>164.35551609370251</c:v>
                </c:pt>
                <c:pt idx="400">
                  <c:v>164.33047008734903</c:v>
                </c:pt>
                <c:pt idx="401">
                  <c:v>164.30894060091788</c:v>
                </c:pt>
                <c:pt idx="402">
                  <c:v>164.28558106217704</c:v>
                </c:pt>
                <c:pt idx="403">
                  <c:v>164.26384236888191</c:v>
                </c:pt>
                <c:pt idx="404">
                  <c:v>164.24634294705521</c:v>
                </c:pt>
                <c:pt idx="405">
                  <c:v>164.22372781602215</c:v>
                </c:pt>
                <c:pt idx="406">
                  <c:v>164.1999495370269</c:v>
                </c:pt>
                <c:pt idx="407">
                  <c:v>164.17626375077785</c:v>
                </c:pt>
                <c:pt idx="408">
                  <c:v>164.1609631850975</c:v>
                </c:pt>
                <c:pt idx="409">
                  <c:v>164.14871919945972</c:v>
                </c:pt>
                <c:pt idx="410">
                  <c:v>164.13706761316436</c:v>
                </c:pt>
                <c:pt idx="411">
                  <c:v>164.12646900889061</c:v>
                </c:pt>
                <c:pt idx="412">
                  <c:v>164.11397214440035</c:v>
                </c:pt>
                <c:pt idx="413">
                  <c:v>164.09677507147373</c:v>
                </c:pt>
                <c:pt idx="414">
                  <c:v>164.08596970999045</c:v>
                </c:pt>
                <c:pt idx="415">
                  <c:v>164.06956274609195</c:v>
                </c:pt>
                <c:pt idx="416">
                  <c:v>164.05717223643518</c:v>
                </c:pt>
                <c:pt idx="417">
                  <c:v>164.04426415131726</c:v>
                </c:pt>
                <c:pt idx="418">
                  <c:v>164.03148425111573</c:v>
                </c:pt>
                <c:pt idx="419">
                  <c:v>164.02042884814122</c:v>
                </c:pt>
                <c:pt idx="420">
                  <c:v>164.01196929164794</c:v>
                </c:pt>
                <c:pt idx="421">
                  <c:v>164.00019979703771</c:v>
                </c:pt>
                <c:pt idx="422">
                  <c:v>163.99279322424715</c:v>
                </c:pt>
                <c:pt idx="423">
                  <c:v>163.97933069630147</c:v>
                </c:pt>
                <c:pt idx="424">
                  <c:v>163.96918247069036</c:v>
                </c:pt>
                <c:pt idx="425">
                  <c:v>163.95742012775315</c:v>
                </c:pt>
                <c:pt idx="426">
                  <c:v>163.94354594608797</c:v>
                </c:pt>
                <c:pt idx="427">
                  <c:v>163.93101976116756</c:v>
                </c:pt>
                <c:pt idx="428">
                  <c:v>163.92314470942034</c:v>
                </c:pt>
                <c:pt idx="429">
                  <c:v>163.90685035705695</c:v>
                </c:pt>
                <c:pt idx="430">
                  <c:v>163.86339043122638</c:v>
                </c:pt>
                <c:pt idx="431">
                  <c:v>163.83331279179268</c:v>
                </c:pt>
                <c:pt idx="432">
                  <c:v>163.80131187189346</c:v>
                </c:pt>
                <c:pt idx="433">
                  <c:v>163.7778272493849</c:v>
                </c:pt>
                <c:pt idx="434">
                  <c:v>163.75009527015587</c:v>
                </c:pt>
                <c:pt idx="435">
                  <c:v>163.72969633570557</c:v>
                </c:pt>
                <c:pt idx="436">
                  <c:v>163.70345115059925</c:v>
                </c:pt>
                <c:pt idx="437">
                  <c:v>163.67884113575266</c:v>
                </c:pt>
                <c:pt idx="438">
                  <c:v>163.65385134966098</c:v>
                </c:pt>
                <c:pt idx="439">
                  <c:v>163.62874599057304</c:v>
                </c:pt>
                <c:pt idx="440">
                  <c:v>163.61018988660283</c:v>
                </c:pt>
                <c:pt idx="441">
                  <c:v>163.58237793312108</c:v>
                </c:pt>
                <c:pt idx="442">
                  <c:v>163.55879193620717</c:v>
                </c:pt>
                <c:pt idx="443">
                  <c:v>163.53772336231461</c:v>
                </c:pt>
                <c:pt idx="444">
                  <c:v>163.51300481358987</c:v>
                </c:pt>
                <c:pt idx="445">
                  <c:v>163.48137974946698</c:v>
                </c:pt>
                <c:pt idx="446">
                  <c:v>163.44420039257861</c:v>
                </c:pt>
                <c:pt idx="447">
                  <c:v>163.40634102476594</c:v>
                </c:pt>
                <c:pt idx="448">
                  <c:v>163.35712539475426</c:v>
                </c:pt>
                <c:pt idx="449">
                  <c:v>163.31992632280725</c:v>
                </c:pt>
                <c:pt idx="450">
                  <c:v>163.28849803558361</c:v>
                </c:pt>
                <c:pt idx="451">
                  <c:v>163.26910641271064</c:v>
                </c:pt>
                <c:pt idx="452">
                  <c:v>163.24773821864176</c:v>
                </c:pt>
                <c:pt idx="453">
                  <c:v>163.22623111009131</c:v>
                </c:pt>
                <c:pt idx="454">
                  <c:v>163.19878017760922</c:v>
                </c:pt>
                <c:pt idx="455">
                  <c:v>163.15999814784607</c:v>
                </c:pt>
                <c:pt idx="456">
                  <c:v>163.13319319576172</c:v>
                </c:pt>
                <c:pt idx="457">
                  <c:v>163.1125650081228</c:v>
                </c:pt>
                <c:pt idx="458">
                  <c:v>163.08062908871702</c:v>
                </c:pt>
                <c:pt idx="459">
                  <c:v>163.05324085210816</c:v>
                </c:pt>
                <c:pt idx="460">
                  <c:v>163.02313105998698</c:v>
                </c:pt>
                <c:pt idx="461">
                  <c:v>162.98305787317494</c:v>
                </c:pt>
                <c:pt idx="462">
                  <c:v>162.93929486792695</c:v>
                </c:pt>
                <c:pt idx="463">
                  <c:v>162.88230013706095</c:v>
                </c:pt>
                <c:pt idx="464">
                  <c:v>162.83261523166792</c:v>
                </c:pt>
                <c:pt idx="465">
                  <c:v>162.79284856650548</c:v>
                </c:pt>
                <c:pt idx="466">
                  <c:v>162.74090894173543</c:v>
                </c:pt>
                <c:pt idx="467">
                  <c:v>162.71033702892964</c:v>
                </c:pt>
                <c:pt idx="468">
                  <c:v>162.67652998040552</c:v>
                </c:pt>
                <c:pt idx="469">
                  <c:v>162.64398323137445</c:v>
                </c:pt>
                <c:pt idx="470">
                  <c:v>162.60404033264305</c:v>
                </c:pt>
                <c:pt idx="471">
                  <c:v>162.55573313886904</c:v>
                </c:pt>
                <c:pt idx="472">
                  <c:v>162.50731539221874</c:v>
                </c:pt>
                <c:pt idx="473">
                  <c:v>162.47874084622762</c:v>
                </c:pt>
                <c:pt idx="474">
                  <c:v>162.44155668896224</c:v>
                </c:pt>
                <c:pt idx="475">
                  <c:v>162.40175206613276</c:v>
                </c:pt>
                <c:pt idx="476">
                  <c:v>162.34060835167105</c:v>
                </c:pt>
                <c:pt idx="477">
                  <c:v>162.29918000598448</c:v>
                </c:pt>
                <c:pt idx="478">
                  <c:v>162.26222522596021</c:v>
                </c:pt>
                <c:pt idx="479">
                  <c:v>162.2433502865583</c:v>
                </c:pt>
                <c:pt idx="480">
                  <c:v>162.20874471913308</c:v>
                </c:pt>
                <c:pt idx="481">
                  <c:v>162.13314465867336</c:v>
                </c:pt>
                <c:pt idx="482">
                  <c:v>162.09350654755943</c:v>
                </c:pt>
                <c:pt idx="483">
                  <c:v>162.04426520264516</c:v>
                </c:pt>
                <c:pt idx="484">
                  <c:v>161.97771281421578</c:v>
                </c:pt>
                <c:pt idx="485">
                  <c:v>161.86248369498077</c:v>
                </c:pt>
                <c:pt idx="486">
                  <c:v>161.7984387924279</c:v>
                </c:pt>
                <c:pt idx="487">
                  <c:v>161.71545784451988</c:v>
                </c:pt>
                <c:pt idx="488">
                  <c:v>161.64729827559347</c:v>
                </c:pt>
                <c:pt idx="489">
                  <c:v>161.59420506464855</c:v>
                </c:pt>
                <c:pt idx="490">
                  <c:v>161.53163048491635</c:v>
                </c:pt>
                <c:pt idx="491">
                  <c:v>161.48593396272719</c:v>
                </c:pt>
                <c:pt idx="492">
                  <c:v>161.44930600444025</c:v>
                </c:pt>
                <c:pt idx="493">
                  <c:v>161.39637793803686</c:v>
                </c:pt>
                <c:pt idx="494">
                  <c:v>161.30789874272037</c:v>
                </c:pt>
                <c:pt idx="495">
                  <c:v>161.24910335176654</c:v>
                </c:pt>
                <c:pt idx="496">
                  <c:v>161.20281131232878</c:v>
                </c:pt>
                <c:pt idx="497">
                  <c:v>161.18819856004325</c:v>
                </c:pt>
                <c:pt idx="498">
                  <c:v>161.16743510041772</c:v>
                </c:pt>
                <c:pt idx="499">
                  <c:v>161.13343177508671</c:v>
                </c:pt>
                <c:pt idx="500">
                  <c:v>161.10603964365328</c:v>
                </c:pt>
                <c:pt idx="501">
                  <c:v>161.08092863185701</c:v>
                </c:pt>
                <c:pt idx="502">
                  <c:v>161.03503283963263</c:v>
                </c:pt>
                <c:pt idx="503">
                  <c:v>160.96767075702553</c:v>
                </c:pt>
                <c:pt idx="504">
                  <c:v>160.90965825918079</c:v>
                </c:pt>
                <c:pt idx="505">
                  <c:v>160.82311876669309</c:v>
                </c:pt>
                <c:pt idx="506">
                  <c:v>160.77599816359646</c:v>
                </c:pt>
                <c:pt idx="507">
                  <c:v>160.72879195203336</c:v>
                </c:pt>
                <c:pt idx="508">
                  <c:v>160.67100898628323</c:v>
                </c:pt>
                <c:pt idx="509">
                  <c:v>160.60455343297374</c:v>
                </c:pt>
                <c:pt idx="510">
                  <c:v>160.55476566104807</c:v>
                </c:pt>
                <c:pt idx="511">
                  <c:v>160.5131728743265</c:v>
                </c:pt>
                <c:pt idx="512">
                  <c:v>160.46485292452704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BE-4453-82D7-D0DFD8977D3B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Data!$H$2:$H$514</c:f>
              <c:numCache>
                <c:formatCode>General</c:formatCode>
                <c:ptCount val="513"/>
                <c:pt idx="0">
                  <c:v>148.74</c:v>
                </c:pt>
                <c:pt idx="1">
                  <c:v>148.72616652524033</c:v>
                </c:pt>
                <c:pt idx="2">
                  <c:v>148.80096533958002</c:v>
                </c:pt>
                <c:pt idx="3">
                  <c:v>148.76063497937986</c:v>
                </c:pt>
                <c:pt idx="4">
                  <c:v>148.85742198324061</c:v>
                </c:pt>
                <c:pt idx="5">
                  <c:v>149.15486040664908</c:v>
                </c:pt>
                <c:pt idx="6">
                  <c:v>149.5358774963384</c:v>
                </c:pt>
                <c:pt idx="7">
                  <c:v>149.90198527574628</c:v>
                </c:pt>
                <c:pt idx="8">
                  <c:v>150.13806627153818</c:v>
                </c:pt>
                <c:pt idx="9">
                  <c:v>150.1834610513169</c:v>
                </c:pt>
                <c:pt idx="10">
                  <c:v>150.2250248143975</c:v>
                </c:pt>
                <c:pt idx="11">
                  <c:v>150.1469864208795</c:v>
                </c:pt>
                <c:pt idx="12">
                  <c:v>150.0639959075248</c:v>
                </c:pt>
                <c:pt idx="13">
                  <c:v>149.94792997079148</c:v>
                </c:pt>
                <c:pt idx="14">
                  <c:v>151.28901155357184</c:v>
                </c:pt>
                <c:pt idx="15">
                  <c:v>151.59040817345252</c:v>
                </c:pt>
                <c:pt idx="16">
                  <c:v>152.48843228840627</c:v>
                </c:pt>
                <c:pt idx="17">
                  <c:v>153.18501295497623</c:v>
                </c:pt>
                <c:pt idx="18">
                  <c:v>153.7535598102844</c:v>
                </c:pt>
                <c:pt idx="19">
                  <c:v>154.37142346489767</c:v>
                </c:pt>
                <c:pt idx="20">
                  <c:v>154.86472394366052</c:v>
                </c:pt>
                <c:pt idx="21">
                  <c:v>155.49835059600656</c:v>
                </c:pt>
                <c:pt idx="22">
                  <c:v>155.91253057055462</c:v>
                </c:pt>
                <c:pt idx="23">
                  <c:v>156.25302747943326</c:v>
                </c:pt>
                <c:pt idx="24">
                  <c:v>156.59749567359259</c:v>
                </c:pt>
                <c:pt idx="25">
                  <c:v>156.94332449758377</c:v>
                </c:pt>
                <c:pt idx="26">
                  <c:v>157.1803401722083</c:v>
                </c:pt>
                <c:pt idx="27">
                  <c:v>157.3065399618946</c:v>
                </c:pt>
                <c:pt idx="28">
                  <c:v>157.39397565863186</c:v>
                </c:pt>
                <c:pt idx="29">
                  <c:v>157.439131264266</c:v>
                </c:pt>
                <c:pt idx="30">
                  <c:v>157.44839928176108</c:v>
                </c:pt>
                <c:pt idx="31">
                  <c:v>157.52517522990306</c:v>
                </c:pt>
                <c:pt idx="32">
                  <c:v>157.6267757492727</c:v>
                </c:pt>
                <c:pt idx="33">
                  <c:v>157.77511879094851</c:v>
                </c:pt>
                <c:pt idx="34">
                  <c:v>158.03989924452767</c:v>
                </c:pt>
                <c:pt idx="35">
                  <c:v>158.28019794139396</c:v>
                </c:pt>
                <c:pt idx="36">
                  <c:v>158.50206024999906</c:v>
                </c:pt>
                <c:pt idx="37">
                  <c:v>158.64131670883606</c:v>
                </c:pt>
                <c:pt idx="38">
                  <c:v>158.71739526170791</c:v>
                </c:pt>
                <c:pt idx="39">
                  <c:v>158.81717263586489</c:v>
                </c:pt>
                <c:pt idx="40">
                  <c:v>158.93693320293158</c:v>
                </c:pt>
                <c:pt idx="41">
                  <c:v>158.99429201542571</c:v>
                </c:pt>
                <c:pt idx="42">
                  <c:v>159.05867163553305</c:v>
                </c:pt>
                <c:pt idx="43">
                  <c:v>159.12044899471962</c:v>
                </c:pt>
                <c:pt idx="44">
                  <c:v>159.20132177731122</c:v>
                </c:pt>
                <c:pt idx="45">
                  <c:v>159.30774732312335</c:v>
                </c:pt>
                <c:pt idx="46">
                  <c:v>159.40257226564646</c:v>
                </c:pt>
                <c:pt idx="47">
                  <c:v>159.54131779858886</c:v>
                </c:pt>
                <c:pt idx="48">
                  <c:v>159.66887443645606</c:v>
                </c:pt>
                <c:pt idx="49">
                  <c:v>159.82773210105034</c:v>
                </c:pt>
                <c:pt idx="50">
                  <c:v>159.9530988991651</c:v>
                </c:pt>
                <c:pt idx="51">
                  <c:v>160.1515285546094</c:v>
                </c:pt>
                <c:pt idx="52">
                  <c:v>160.2544044288494</c:v>
                </c:pt>
                <c:pt idx="53">
                  <c:v>160.37581904640021</c:v>
                </c:pt>
                <c:pt idx="54">
                  <c:v>160.47601328926129</c:v>
                </c:pt>
                <c:pt idx="55">
                  <c:v>160.5722972679327</c:v>
                </c:pt>
                <c:pt idx="56">
                  <c:v>160.67484462174502</c:v>
                </c:pt>
                <c:pt idx="57">
                  <c:v>160.73402712211961</c:v>
                </c:pt>
                <c:pt idx="58">
                  <c:v>160.7868819978988</c:v>
                </c:pt>
                <c:pt idx="59">
                  <c:v>160.91325660377859</c:v>
                </c:pt>
                <c:pt idx="60">
                  <c:v>161.02955083441879</c:v>
                </c:pt>
                <c:pt idx="61">
                  <c:v>161.07479603811174</c:v>
                </c:pt>
                <c:pt idx="62">
                  <c:v>161.12560146290906</c:v>
                </c:pt>
                <c:pt idx="63">
                  <c:v>161.08480894109115</c:v>
                </c:pt>
                <c:pt idx="64">
                  <c:v>161.03824254665494</c:v>
                </c:pt>
                <c:pt idx="65">
                  <c:v>161.00089932711538</c:v>
                </c:pt>
                <c:pt idx="66">
                  <c:v>160.96363929034746</c:v>
                </c:pt>
                <c:pt idx="67">
                  <c:v>160.93279573210606</c:v>
                </c:pt>
                <c:pt idx="68">
                  <c:v>160.91444255800678</c:v>
                </c:pt>
                <c:pt idx="69">
                  <c:v>160.87477486608208</c:v>
                </c:pt>
                <c:pt idx="70">
                  <c:v>160.83243045484579</c:v>
                </c:pt>
                <c:pt idx="71">
                  <c:v>160.7938599983782</c:v>
                </c:pt>
                <c:pt idx="72">
                  <c:v>160.75981991336869</c:v>
                </c:pt>
                <c:pt idx="73">
                  <c:v>160.73816207861233</c:v>
                </c:pt>
                <c:pt idx="74">
                  <c:v>160.72366683994971</c:v>
                </c:pt>
                <c:pt idx="75">
                  <c:v>160.73847990942923</c:v>
                </c:pt>
                <c:pt idx="76">
                  <c:v>160.79951387409889</c:v>
                </c:pt>
                <c:pt idx="77">
                  <c:v>160.8740494996245</c:v>
                </c:pt>
                <c:pt idx="78">
                  <c:v>160.97181415228579</c:v>
                </c:pt>
                <c:pt idx="79">
                  <c:v>161.06315441537637</c:v>
                </c:pt>
                <c:pt idx="80">
                  <c:v>161.10682947669528</c:v>
                </c:pt>
                <c:pt idx="81">
                  <c:v>161.14819549616357</c:v>
                </c:pt>
                <c:pt idx="82">
                  <c:v>161.26104236116151</c:v>
                </c:pt>
                <c:pt idx="83">
                  <c:v>161.3693437623343</c:v>
                </c:pt>
                <c:pt idx="84">
                  <c:v>161.46453287068223</c:v>
                </c:pt>
                <c:pt idx="85">
                  <c:v>161.57207831323336</c:v>
                </c:pt>
                <c:pt idx="86">
                  <c:v>161.67387481249881</c:v>
                </c:pt>
                <c:pt idx="87">
                  <c:v>161.82183785720215</c:v>
                </c:pt>
                <c:pt idx="88">
                  <c:v>161.92061756684026</c:v>
                </c:pt>
                <c:pt idx="89">
                  <c:v>162.04212272579713</c:v>
                </c:pt>
                <c:pt idx="90">
                  <c:v>162.18425222976498</c:v>
                </c:pt>
                <c:pt idx="91">
                  <c:v>162.30612972351614</c:v>
                </c:pt>
                <c:pt idx="92">
                  <c:v>162.4245694411162</c:v>
                </c:pt>
                <c:pt idx="93">
                  <c:v>162.54642711037428</c:v>
                </c:pt>
                <c:pt idx="94">
                  <c:v>162.72677393942584</c:v>
                </c:pt>
                <c:pt idx="95">
                  <c:v>162.86230650327792</c:v>
                </c:pt>
                <c:pt idx="96">
                  <c:v>162.97163548350366</c:v>
                </c:pt>
                <c:pt idx="97">
                  <c:v>163.12335475294469</c:v>
                </c:pt>
                <c:pt idx="98">
                  <c:v>163.24661427161604</c:v>
                </c:pt>
                <c:pt idx="99">
                  <c:v>163.31719971779864</c:v>
                </c:pt>
                <c:pt idx="100">
                  <c:v>163.37292419572384</c:v>
                </c:pt>
                <c:pt idx="101">
                  <c:v>163.41168008785939</c:v>
                </c:pt>
                <c:pt idx="102">
                  <c:v>163.41552356673279</c:v>
                </c:pt>
                <c:pt idx="103">
                  <c:v>163.43313353786814</c:v>
                </c:pt>
                <c:pt idx="104">
                  <c:v>163.53041285127424</c:v>
                </c:pt>
                <c:pt idx="105">
                  <c:v>163.58707042374709</c:v>
                </c:pt>
                <c:pt idx="106">
                  <c:v>163.69544788910815</c:v>
                </c:pt>
                <c:pt idx="107">
                  <c:v>163.76896973166629</c:v>
                </c:pt>
                <c:pt idx="108">
                  <c:v>163.90627053726257</c:v>
                </c:pt>
                <c:pt idx="109">
                  <c:v>163.986792449018</c:v>
                </c:pt>
                <c:pt idx="110">
                  <c:v>164.06541722749304</c:v>
                </c:pt>
                <c:pt idx="111">
                  <c:v>164.14236089556354</c:v>
                </c:pt>
                <c:pt idx="112">
                  <c:v>164.19254960150039</c:v>
                </c:pt>
                <c:pt idx="113">
                  <c:v>164.25715496836747</c:v>
                </c:pt>
                <c:pt idx="114">
                  <c:v>164.3141343695163</c:v>
                </c:pt>
                <c:pt idx="115">
                  <c:v>164.41632042350568</c:v>
                </c:pt>
                <c:pt idx="116">
                  <c:v>164.518176571509</c:v>
                </c:pt>
                <c:pt idx="117">
                  <c:v>164.63775634281495</c:v>
                </c:pt>
                <c:pt idx="118">
                  <c:v>164.83917057637541</c:v>
                </c:pt>
                <c:pt idx="119">
                  <c:v>164.95766840284423</c:v>
                </c:pt>
                <c:pt idx="120">
                  <c:v>165.0468987574931</c:v>
                </c:pt>
                <c:pt idx="121">
                  <c:v>165.11502309120829</c:v>
                </c:pt>
                <c:pt idx="122">
                  <c:v>165.16662558190535</c:v>
                </c:pt>
                <c:pt idx="123">
                  <c:v>165.22073896809451</c:v>
                </c:pt>
                <c:pt idx="124">
                  <c:v>165.2314659856321</c:v>
                </c:pt>
                <c:pt idx="125">
                  <c:v>165.24665963339794</c:v>
                </c:pt>
                <c:pt idx="126">
                  <c:v>165.24847286784566</c:v>
                </c:pt>
                <c:pt idx="127">
                  <c:v>165.28638360621201</c:v>
                </c:pt>
                <c:pt idx="128">
                  <c:v>165.33267693970865</c:v>
                </c:pt>
                <c:pt idx="129">
                  <c:v>165.36087137816511</c:v>
                </c:pt>
                <c:pt idx="130">
                  <c:v>165.40862430287768</c:v>
                </c:pt>
                <c:pt idx="131">
                  <c:v>165.44352645449251</c:v>
                </c:pt>
                <c:pt idx="132">
                  <c:v>165.48402995529099</c:v>
                </c:pt>
                <c:pt idx="133">
                  <c:v>165.50483316108398</c:v>
                </c:pt>
                <c:pt idx="134">
                  <c:v>165.56196688993262</c:v>
                </c:pt>
                <c:pt idx="135">
                  <c:v>165.67745149509878</c:v>
                </c:pt>
                <c:pt idx="136">
                  <c:v>165.75141791120237</c:v>
                </c:pt>
                <c:pt idx="137">
                  <c:v>165.82182956767525</c:v>
                </c:pt>
                <c:pt idx="138">
                  <c:v>165.89361924912234</c:v>
                </c:pt>
                <c:pt idx="139">
                  <c:v>165.92841331904469</c:v>
                </c:pt>
                <c:pt idx="140">
                  <c:v>165.98966248801563</c:v>
                </c:pt>
                <c:pt idx="141">
                  <c:v>166.04387409605815</c:v>
                </c:pt>
                <c:pt idx="142">
                  <c:v>166.11699630114728</c:v>
                </c:pt>
                <c:pt idx="143">
                  <c:v>166.21415158447209</c:v>
                </c:pt>
                <c:pt idx="144">
                  <c:v>166.21435900501081</c:v>
                </c:pt>
                <c:pt idx="145">
                  <c:v>166.19724473120203</c:v>
                </c:pt>
                <c:pt idx="146">
                  <c:v>166.25691254295518</c:v>
                </c:pt>
                <c:pt idx="147">
                  <c:v>166.39966017320998</c:v>
                </c:pt>
                <c:pt idx="148">
                  <c:v>166.48446532469549</c:v>
                </c:pt>
                <c:pt idx="149">
                  <c:v>166.54698028218041</c:v>
                </c:pt>
                <c:pt idx="150">
                  <c:v>166.64807453008572</c:v>
                </c:pt>
                <c:pt idx="151">
                  <c:v>166.74329982911414</c:v>
                </c:pt>
                <c:pt idx="152">
                  <c:v>166.82160158249314</c:v>
                </c:pt>
                <c:pt idx="153">
                  <c:v>166.85910778885682</c:v>
                </c:pt>
                <c:pt idx="154">
                  <c:v>166.88164056249897</c:v>
                </c:pt>
                <c:pt idx="155">
                  <c:v>166.93266089673662</c:v>
                </c:pt>
                <c:pt idx="156">
                  <c:v>166.99745793893547</c:v>
                </c:pt>
                <c:pt idx="157">
                  <c:v>167.0361444498711</c:v>
                </c:pt>
                <c:pt idx="158">
                  <c:v>167.0688098476349</c:v>
                </c:pt>
                <c:pt idx="159">
                  <c:v>167.12990865472617</c:v>
                </c:pt>
                <c:pt idx="160">
                  <c:v>167.18295183054812</c:v>
                </c:pt>
                <c:pt idx="161">
                  <c:v>167.2349851232816</c:v>
                </c:pt>
                <c:pt idx="162">
                  <c:v>167.27926131463917</c:v>
                </c:pt>
                <c:pt idx="163">
                  <c:v>167.35149706582294</c:v>
                </c:pt>
                <c:pt idx="164">
                  <c:v>167.39267997408618</c:v>
                </c:pt>
                <c:pt idx="165">
                  <c:v>167.43920751749422</c:v>
                </c:pt>
                <c:pt idx="166">
                  <c:v>167.48772209815536</c:v>
                </c:pt>
                <c:pt idx="167">
                  <c:v>167.58047766819661</c:v>
                </c:pt>
                <c:pt idx="168">
                  <c:v>167.7549572408368</c:v>
                </c:pt>
                <c:pt idx="169">
                  <c:v>167.92257659571433</c:v>
                </c:pt>
                <c:pt idx="170">
                  <c:v>168.06043201744058</c:v>
                </c:pt>
                <c:pt idx="171">
                  <c:v>168.19395080901012</c:v>
                </c:pt>
                <c:pt idx="172">
                  <c:v>168.34076529199916</c:v>
                </c:pt>
                <c:pt idx="173">
                  <c:v>168.51562032635186</c:v>
                </c:pt>
                <c:pt idx="174">
                  <c:v>168.6238631071721</c:v>
                </c:pt>
                <c:pt idx="175">
                  <c:v>168.70379177616297</c:v>
                </c:pt>
                <c:pt idx="176">
                  <c:v>168.78126194738806</c:v>
                </c:pt>
                <c:pt idx="177">
                  <c:v>168.94040866361308</c:v>
                </c:pt>
                <c:pt idx="178">
                  <c:v>169.04802631043674</c:v>
                </c:pt>
                <c:pt idx="179">
                  <c:v>169.12941829026275</c:v>
                </c:pt>
                <c:pt idx="180">
                  <c:v>169.20723714639993</c:v>
                </c:pt>
                <c:pt idx="181">
                  <c:v>169.51449055076404</c:v>
                </c:pt>
                <c:pt idx="182">
                  <c:v>169.63365221203156</c:v>
                </c:pt>
                <c:pt idx="183">
                  <c:v>169.70140687726706</c:v>
                </c:pt>
                <c:pt idx="184">
                  <c:v>169.78233630793173</c:v>
                </c:pt>
                <c:pt idx="185">
                  <c:v>169.8435679602311</c:v>
                </c:pt>
                <c:pt idx="186">
                  <c:v>169.90481994047894</c:v>
                </c:pt>
                <c:pt idx="187">
                  <c:v>169.97461049566334</c:v>
                </c:pt>
                <c:pt idx="188">
                  <c:v>170.04774067622341</c:v>
                </c:pt>
                <c:pt idx="189">
                  <c:v>170.09942478017425</c:v>
                </c:pt>
                <c:pt idx="190">
                  <c:v>170.12372138307884</c:v>
                </c:pt>
                <c:pt idx="191">
                  <c:v>170.14271671771994</c:v>
                </c:pt>
                <c:pt idx="192">
                  <c:v>170.14832634766222</c:v>
                </c:pt>
                <c:pt idx="193">
                  <c:v>170.16629308576202</c:v>
                </c:pt>
                <c:pt idx="194">
                  <c:v>170.20032240662283</c:v>
                </c:pt>
                <c:pt idx="195">
                  <c:v>170.22264725005982</c:v>
                </c:pt>
                <c:pt idx="196">
                  <c:v>170.26652711589657</c:v>
                </c:pt>
                <c:pt idx="197">
                  <c:v>170.31807459721639</c:v>
                </c:pt>
                <c:pt idx="198">
                  <c:v>170.39024996524719</c:v>
                </c:pt>
                <c:pt idx="199">
                  <c:v>170.44006407017184</c:v>
                </c:pt>
                <c:pt idx="200">
                  <c:v>170.49403734969917</c:v>
                </c:pt>
                <c:pt idx="201">
                  <c:v>170.54376685348188</c:v>
                </c:pt>
                <c:pt idx="202">
                  <c:v>170.56177952840002</c:v>
                </c:pt>
                <c:pt idx="203">
                  <c:v>170.58950046390771</c:v>
                </c:pt>
                <c:pt idx="204">
                  <c:v>170.60436360948773</c:v>
                </c:pt>
                <c:pt idx="205">
                  <c:v>170.62365259009906</c:v>
                </c:pt>
                <c:pt idx="206">
                  <c:v>170.62881893190433</c:v>
                </c:pt>
                <c:pt idx="207">
                  <c:v>170.64469710577961</c:v>
                </c:pt>
                <c:pt idx="208">
                  <c:v>170.64523684164249</c:v>
                </c:pt>
                <c:pt idx="209">
                  <c:v>170.63957581939997</c:v>
                </c:pt>
                <c:pt idx="210">
                  <c:v>170.62954369543618</c:v>
                </c:pt>
                <c:pt idx="211">
                  <c:v>170.61865149309972</c:v>
                </c:pt>
                <c:pt idx="212">
                  <c:v>170.60746573982038</c:v>
                </c:pt>
                <c:pt idx="213">
                  <c:v>170.59844015635935</c:v>
                </c:pt>
                <c:pt idx="214">
                  <c:v>170.56340683608593</c:v>
                </c:pt>
                <c:pt idx="215">
                  <c:v>170.54520827838977</c:v>
                </c:pt>
                <c:pt idx="216">
                  <c:v>170.55411205415129</c:v>
                </c:pt>
                <c:pt idx="217">
                  <c:v>170.54938820040857</c:v>
                </c:pt>
                <c:pt idx="218">
                  <c:v>170.54380416634103</c:v>
                </c:pt>
                <c:pt idx="219">
                  <c:v>170.54054807184761</c:v>
                </c:pt>
                <c:pt idx="220">
                  <c:v>170.54438942659121</c:v>
                </c:pt>
                <c:pt idx="221">
                  <c:v>170.57675566536901</c:v>
                </c:pt>
                <c:pt idx="222">
                  <c:v>170.60671967186258</c:v>
                </c:pt>
                <c:pt idx="223">
                  <c:v>170.63188237882159</c:v>
                </c:pt>
                <c:pt idx="224">
                  <c:v>170.66415929635554</c:v>
                </c:pt>
                <c:pt idx="225">
                  <c:v>170.7091975302001</c:v>
                </c:pt>
                <c:pt idx="226">
                  <c:v>170.82680362621838</c:v>
                </c:pt>
                <c:pt idx="227">
                  <c:v>171.03373241639341</c:v>
                </c:pt>
                <c:pt idx="228">
                  <c:v>171.15129071411619</c:v>
                </c:pt>
                <c:pt idx="229">
                  <c:v>171.26021203759771</c:v>
                </c:pt>
                <c:pt idx="230">
                  <c:v>171.3498144935671</c:v>
                </c:pt>
                <c:pt idx="231">
                  <c:v>171.46146097314528</c:v>
                </c:pt>
                <c:pt idx="232">
                  <c:v>171.53832676396382</c:v>
                </c:pt>
                <c:pt idx="233">
                  <c:v>171.60183104229233</c:v>
                </c:pt>
                <c:pt idx="234">
                  <c:v>171.66152403992194</c:v>
                </c:pt>
                <c:pt idx="235">
                  <c:v>171.70409430621189</c:v>
                </c:pt>
                <c:pt idx="236">
                  <c:v>171.7271107437418</c:v>
                </c:pt>
                <c:pt idx="237">
                  <c:v>171.75797639693866</c:v>
                </c:pt>
                <c:pt idx="238">
                  <c:v>171.77209607702082</c:v>
                </c:pt>
                <c:pt idx="239">
                  <c:v>171.78314673944391</c:v>
                </c:pt>
                <c:pt idx="240">
                  <c:v>171.79461120838383</c:v>
                </c:pt>
                <c:pt idx="241">
                  <c:v>171.81444163430257</c:v>
                </c:pt>
                <c:pt idx="242">
                  <c:v>171.82878626927527</c:v>
                </c:pt>
                <c:pt idx="243">
                  <c:v>171.8386284018315</c:v>
                </c:pt>
                <c:pt idx="244">
                  <c:v>171.85187417576583</c:v>
                </c:pt>
                <c:pt idx="245">
                  <c:v>171.88199828495365</c:v>
                </c:pt>
                <c:pt idx="246">
                  <c:v>171.88377825433048</c:v>
                </c:pt>
                <c:pt idx="247">
                  <c:v>171.87988212101186</c:v>
                </c:pt>
                <c:pt idx="248">
                  <c:v>171.88452237786322</c:v>
                </c:pt>
                <c:pt idx="249">
                  <c:v>171.88803325821155</c:v>
                </c:pt>
                <c:pt idx="250">
                  <c:v>171.8807536981333</c:v>
                </c:pt>
                <c:pt idx="251">
                  <c:v>171.87504019994321</c:v>
                </c:pt>
                <c:pt idx="252">
                  <c:v>171.86473345973084</c:v>
                </c:pt>
                <c:pt idx="253">
                  <c:v>171.85160130160421</c:v>
                </c:pt>
                <c:pt idx="254">
                  <c:v>171.82168036666391</c:v>
                </c:pt>
                <c:pt idx="255">
                  <c:v>171.79447069392606</c:v>
                </c:pt>
                <c:pt idx="256">
                  <c:v>171.77556741157889</c:v>
                </c:pt>
                <c:pt idx="257">
                  <c:v>171.74322602797335</c:v>
                </c:pt>
                <c:pt idx="258">
                  <c:v>171.71749447873881</c:v>
                </c:pt>
                <c:pt idx="259">
                  <c:v>171.69476069646694</c:v>
                </c:pt>
                <c:pt idx="260">
                  <c:v>171.66588958634364</c:v>
                </c:pt>
                <c:pt idx="261">
                  <c:v>171.64438509865766</c:v>
                </c:pt>
                <c:pt idx="262">
                  <c:v>171.62042403891255</c:v>
                </c:pt>
                <c:pt idx="263">
                  <c:v>171.58623640759916</c:v>
                </c:pt>
                <c:pt idx="264">
                  <c:v>171.57290752669039</c:v>
                </c:pt>
                <c:pt idx="265">
                  <c:v>171.56621269263474</c:v>
                </c:pt>
                <c:pt idx="266">
                  <c:v>171.55140007951681</c:v>
                </c:pt>
                <c:pt idx="267">
                  <c:v>171.56926299077386</c:v>
                </c:pt>
                <c:pt idx="268">
                  <c:v>171.56209446861371</c:v>
                </c:pt>
                <c:pt idx="269">
                  <c:v>171.55371282137639</c:v>
                </c:pt>
                <c:pt idx="270">
                  <c:v>171.54865173760689</c:v>
                </c:pt>
                <c:pt idx="271">
                  <c:v>171.53995865856598</c:v>
                </c:pt>
                <c:pt idx="272">
                  <c:v>171.54980528766106</c:v>
                </c:pt>
                <c:pt idx="273">
                  <c:v>171.5514415409894</c:v>
                </c:pt>
                <c:pt idx="274">
                  <c:v>171.56023747305133</c:v>
                </c:pt>
                <c:pt idx="275">
                  <c:v>171.56263073086424</c:v>
                </c:pt>
                <c:pt idx="276">
                  <c:v>171.56025205108924</c:v>
                </c:pt>
                <c:pt idx="277">
                  <c:v>171.55970078715021</c:v>
                </c:pt>
                <c:pt idx="278">
                  <c:v>171.56580726179016</c:v>
                </c:pt>
                <c:pt idx="279">
                  <c:v>171.5741001989563</c:v>
                </c:pt>
                <c:pt idx="280">
                  <c:v>171.59179056149955</c:v>
                </c:pt>
                <c:pt idx="281">
                  <c:v>171.5670278432128</c:v>
                </c:pt>
                <c:pt idx="282">
                  <c:v>171.55709663855444</c:v>
                </c:pt>
                <c:pt idx="283">
                  <c:v>171.5522248830404</c:v>
                </c:pt>
                <c:pt idx="284">
                  <c:v>171.5489259490752</c:v>
                </c:pt>
                <c:pt idx="285">
                  <c:v>171.57079311163568</c:v>
                </c:pt>
                <c:pt idx="286">
                  <c:v>171.59124750529932</c:v>
                </c:pt>
                <c:pt idx="287">
                  <c:v>171.62294082196945</c:v>
                </c:pt>
                <c:pt idx="288">
                  <c:v>171.63878598013963</c:v>
                </c:pt>
                <c:pt idx="289">
                  <c:v>171.65841053917765</c:v>
                </c:pt>
                <c:pt idx="290">
                  <c:v>171.71155436426432</c:v>
                </c:pt>
                <c:pt idx="291">
                  <c:v>171.76781375935818</c:v>
                </c:pt>
                <c:pt idx="292">
                  <c:v>171.82099794441626</c:v>
                </c:pt>
                <c:pt idx="293">
                  <c:v>171.86442784896224</c:v>
                </c:pt>
                <c:pt idx="294">
                  <c:v>171.90646474204939</c:v>
                </c:pt>
                <c:pt idx="295">
                  <c:v>171.97389970990295</c:v>
                </c:pt>
                <c:pt idx="296">
                  <c:v>172.05157314871801</c:v>
                </c:pt>
                <c:pt idx="297">
                  <c:v>172.09670632327663</c:v>
                </c:pt>
                <c:pt idx="298">
                  <c:v>172.10208278392162</c:v>
                </c:pt>
                <c:pt idx="299">
                  <c:v>172.10337569485691</c:v>
                </c:pt>
                <c:pt idx="300">
                  <c:v>172.10202697876997</c:v>
                </c:pt>
                <c:pt idx="301">
                  <c:v>172.11595004714846</c:v>
                </c:pt>
                <c:pt idx="302">
                  <c:v>172.11263513684011</c:v>
                </c:pt>
                <c:pt idx="303">
                  <c:v>172.11508275732129</c:v>
                </c:pt>
                <c:pt idx="304">
                  <c:v>172.11373256615721</c:v>
                </c:pt>
                <c:pt idx="305">
                  <c:v>172.11210375080697</c:v>
                </c:pt>
                <c:pt idx="306">
                  <c:v>172.10171859119527</c:v>
                </c:pt>
                <c:pt idx="307">
                  <c:v>172.08236958231578</c:v>
                </c:pt>
                <c:pt idx="308">
                  <c:v>172.07582755386832</c:v>
                </c:pt>
                <c:pt idx="309">
                  <c:v>172.07686511032929</c:v>
                </c:pt>
                <c:pt idx="310">
                  <c:v>172.07414002208503</c:v>
                </c:pt>
                <c:pt idx="311">
                  <c:v>172.09535694783551</c:v>
                </c:pt>
                <c:pt idx="312">
                  <c:v>172.10703357417529</c:v>
                </c:pt>
                <c:pt idx="313">
                  <c:v>172.11156211476646</c:v>
                </c:pt>
                <c:pt idx="314">
                  <c:v>172.14147994838817</c:v>
                </c:pt>
                <c:pt idx="315">
                  <c:v>172.12056935627135</c:v>
                </c:pt>
                <c:pt idx="316">
                  <c:v>172.0791952982172</c:v>
                </c:pt>
                <c:pt idx="317">
                  <c:v>172.04436919342544</c:v>
                </c:pt>
                <c:pt idx="318">
                  <c:v>172.0214267302573</c:v>
                </c:pt>
                <c:pt idx="319">
                  <c:v>172.00303146569303</c:v>
                </c:pt>
                <c:pt idx="320">
                  <c:v>171.99865293149895</c:v>
                </c:pt>
                <c:pt idx="321">
                  <c:v>172.00730163420943</c:v>
                </c:pt>
                <c:pt idx="322">
                  <c:v>172.01052920365976</c:v>
                </c:pt>
                <c:pt idx="323">
                  <c:v>172.00286542342408</c:v>
                </c:pt>
                <c:pt idx="324">
                  <c:v>172.01491877477559</c:v>
                </c:pt>
                <c:pt idx="325">
                  <c:v>172.00567533307134</c:v>
                </c:pt>
                <c:pt idx="326">
                  <c:v>172.00494906224287</c:v>
                </c:pt>
                <c:pt idx="327">
                  <c:v>171.9957740557669</c:v>
                </c:pt>
                <c:pt idx="328">
                  <c:v>171.94277080313307</c:v>
                </c:pt>
                <c:pt idx="329">
                  <c:v>171.91329199658796</c:v>
                </c:pt>
                <c:pt idx="330">
                  <c:v>171.89435062912307</c:v>
                </c:pt>
                <c:pt idx="331">
                  <c:v>171.87604503382448</c:v>
                </c:pt>
                <c:pt idx="332">
                  <c:v>171.85331550441836</c:v>
                </c:pt>
                <c:pt idx="333">
                  <c:v>171.83547910772941</c:v>
                </c:pt>
                <c:pt idx="334">
                  <c:v>171.82004524615169</c:v>
                </c:pt>
                <c:pt idx="335">
                  <c:v>171.80018143591917</c:v>
                </c:pt>
                <c:pt idx="336">
                  <c:v>171.7801145266009</c:v>
                </c:pt>
                <c:pt idx="337">
                  <c:v>171.76335715588712</c:v>
                </c:pt>
                <c:pt idx="338">
                  <c:v>171.74463021429278</c:v>
                </c:pt>
                <c:pt idx="339">
                  <c:v>171.72879325470802</c:v>
                </c:pt>
                <c:pt idx="340">
                  <c:v>171.71071448997125</c:v>
                </c:pt>
                <c:pt idx="341">
                  <c:v>171.69063384097345</c:v>
                </c:pt>
                <c:pt idx="342">
                  <c:v>171.67597196373325</c:v>
                </c:pt>
                <c:pt idx="343">
                  <c:v>171.65849416777604</c:v>
                </c:pt>
                <c:pt idx="344">
                  <c:v>171.64450490732463</c:v>
                </c:pt>
                <c:pt idx="345">
                  <c:v>171.63374352079649</c:v>
                </c:pt>
                <c:pt idx="346">
                  <c:v>171.62542321939634</c:v>
                </c:pt>
                <c:pt idx="347">
                  <c:v>171.61671057172612</c:v>
                </c:pt>
                <c:pt idx="348">
                  <c:v>171.60704772964095</c:v>
                </c:pt>
                <c:pt idx="349">
                  <c:v>171.59931052263681</c:v>
                </c:pt>
                <c:pt idx="350">
                  <c:v>171.60294611453179</c:v>
                </c:pt>
                <c:pt idx="351">
                  <c:v>171.59928711750408</c:v>
                </c:pt>
                <c:pt idx="352">
                  <c:v>171.59887065537885</c:v>
                </c:pt>
                <c:pt idx="353">
                  <c:v>171.61739847933578</c:v>
                </c:pt>
                <c:pt idx="354">
                  <c:v>171.61713319172534</c:v>
                </c:pt>
                <c:pt idx="355">
                  <c:v>171.61248288154749</c:v>
                </c:pt>
                <c:pt idx="356">
                  <c:v>171.60494489732596</c:v>
                </c:pt>
                <c:pt idx="357">
                  <c:v>171.58748555620326</c:v>
                </c:pt>
                <c:pt idx="358">
                  <c:v>171.57630987767436</c:v>
                </c:pt>
                <c:pt idx="359">
                  <c:v>171.56241463672322</c:v>
                </c:pt>
                <c:pt idx="360">
                  <c:v>171.5478655556343</c:v>
                </c:pt>
                <c:pt idx="361">
                  <c:v>171.53427856421075</c:v>
                </c:pt>
                <c:pt idx="362">
                  <c:v>171.52145778978036</c:v>
                </c:pt>
                <c:pt idx="363">
                  <c:v>171.50493924470609</c:v>
                </c:pt>
                <c:pt idx="364">
                  <c:v>171.4901570947298</c:v>
                </c:pt>
                <c:pt idx="365">
                  <c:v>171.47430800405917</c:v>
                </c:pt>
                <c:pt idx="366">
                  <c:v>171.45761653556457</c:v>
                </c:pt>
                <c:pt idx="367">
                  <c:v>171.41983712909743</c:v>
                </c:pt>
                <c:pt idx="368">
                  <c:v>171.40499376251989</c:v>
                </c:pt>
                <c:pt idx="369">
                  <c:v>171.38826421389626</c:v>
                </c:pt>
                <c:pt idx="370">
                  <c:v>171.37464146429485</c:v>
                </c:pt>
                <c:pt idx="371">
                  <c:v>171.3576014143602</c:v>
                </c:pt>
                <c:pt idx="372">
                  <c:v>171.31756554398504</c:v>
                </c:pt>
                <c:pt idx="373">
                  <c:v>171.29261302924064</c:v>
                </c:pt>
                <c:pt idx="374">
                  <c:v>171.27253594556052</c:v>
                </c:pt>
                <c:pt idx="375">
                  <c:v>171.25511438377691</c:v>
                </c:pt>
                <c:pt idx="376">
                  <c:v>171.24009405609971</c:v>
                </c:pt>
                <c:pt idx="377">
                  <c:v>171.22453768245882</c:v>
                </c:pt>
                <c:pt idx="378">
                  <c:v>171.19622136622513</c:v>
                </c:pt>
                <c:pt idx="379">
                  <c:v>171.14942724480619</c:v>
                </c:pt>
                <c:pt idx="380">
                  <c:v>171.13377390680859</c:v>
                </c:pt>
                <c:pt idx="381">
                  <c:v>171.11642794955162</c:v>
                </c:pt>
                <c:pt idx="382">
                  <c:v>171.0891227729557</c:v>
                </c:pt>
                <c:pt idx="383">
                  <c:v>171.07298742661365</c:v>
                </c:pt>
                <c:pt idx="384">
                  <c:v>171.05767509839652</c:v>
                </c:pt>
                <c:pt idx="385">
                  <c:v>171.04050419888912</c:v>
                </c:pt>
                <c:pt idx="386">
                  <c:v>171.02720725179134</c:v>
                </c:pt>
                <c:pt idx="387">
                  <c:v>171.01742062078836</c:v>
                </c:pt>
                <c:pt idx="388">
                  <c:v>170.99970717584358</c:v>
                </c:pt>
                <c:pt idx="389">
                  <c:v>170.98967735908266</c:v>
                </c:pt>
                <c:pt idx="390">
                  <c:v>170.9745847246781</c:v>
                </c:pt>
                <c:pt idx="391">
                  <c:v>170.96230799327304</c:v>
                </c:pt>
                <c:pt idx="392">
                  <c:v>170.94553393042153</c:v>
                </c:pt>
                <c:pt idx="393">
                  <c:v>170.91900269642315</c:v>
                </c:pt>
                <c:pt idx="394">
                  <c:v>170.90614576589817</c:v>
                </c:pt>
                <c:pt idx="395">
                  <c:v>170.88085327406637</c:v>
                </c:pt>
                <c:pt idx="396">
                  <c:v>170.87076963707534</c:v>
                </c:pt>
                <c:pt idx="397">
                  <c:v>170.86447226898102</c:v>
                </c:pt>
                <c:pt idx="398">
                  <c:v>170.86341121870757</c:v>
                </c:pt>
                <c:pt idx="399">
                  <c:v>170.85290091256425</c:v>
                </c:pt>
                <c:pt idx="400">
                  <c:v>170.8435379581164</c:v>
                </c:pt>
                <c:pt idx="401">
                  <c:v>170.83737405928568</c:v>
                </c:pt>
                <c:pt idx="402">
                  <c:v>170.82339978922491</c:v>
                </c:pt>
                <c:pt idx="403">
                  <c:v>170.8105051847825</c:v>
                </c:pt>
                <c:pt idx="404">
                  <c:v>170.80059423234206</c:v>
                </c:pt>
                <c:pt idx="405">
                  <c:v>170.79165790969532</c:v>
                </c:pt>
                <c:pt idx="406">
                  <c:v>170.77894594500228</c:v>
                </c:pt>
                <c:pt idx="407">
                  <c:v>170.7614033252645</c:v>
                </c:pt>
                <c:pt idx="408">
                  <c:v>170.74481513030975</c:v>
                </c:pt>
                <c:pt idx="409">
                  <c:v>170.72901065560578</c:v>
                </c:pt>
                <c:pt idx="410">
                  <c:v>170.71531668602154</c:v>
                </c:pt>
                <c:pt idx="411">
                  <c:v>170.70278206154262</c:v>
                </c:pt>
                <c:pt idx="412">
                  <c:v>170.69478667782366</c:v>
                </c:pt>
                <c:pt idx="413">
                  <c:v>170.68255351078929</c:v>
                </c:pt>
                <c:pt idx="414">
                  <c:v>170.67377527785817</c:v>
                </c:pt>
                <c:pt idx="415">
                  <c:v>170.66316210283426</c:v>
                </c:pt>
                <c:pt idx="416">
                  <c:v>170.65245251558639</c:v>
                </c:pt>
                <c:pt idx="417">
                  <c:v>170.63884149433909</c:v>
                </c:pt>
                <c:pt idx="418">
                  <c:v>170.62492491816633</c:v>
                </c:pt>
                <c:pt idx="419">
                  <c:v>170.61065406339412</c:v>
                </c:pt>
                <c:pt idx="420">
                  <c:v>170.59758356026359</c:v>
                </c:pt>
                <c:pt idx="421">
                  <c:v>170.58292074944322</c:v>
                </c:pt>
                <c:pt idx="422">
                  <c:v>170.57180468512294</c:v>
                </c:pt>
                <c:pt idx="423">
                  <c:v>170.55901556965694</c:v>
                </c:pt>
                <c:pt idx="424">
                  <c:v>170.54666150733567</c:v>
                </c:pt>
                <c:pt idx="425">
                  <c:v>170.53421667493043</c:v>
                </c:pt>
                <c:pt idx="426">
                  <c:v>170.52221774849002</c:v>
                </c:pt>
                <c:pt idx="427">
                  <c:v>170.50861013116199</c:v>
                </c:pt>
                <c:pt idx="428">
                  <c:v>170.4956346697235</c:v>
                </c:pt>
                <c:pt idx="429">
                  <c:v>170.47988909133136</c:v>
                </c:pt>
                <c:pt idx="430">
                  <c:v>170.44028847432838</c:v>
                </c:pt>
                <c:pt idx="431">
                  <c:v>170.42393597280321</c:v>
                </c:pt>
                <c:pt idx="432">
                  <c:v>170.40771476506754</c:v>
                </c:pt>
                <c:pt idx="433">
                  <c:v>170.40011442569957</c:v>
                </c:pt>
                <c:pt idx="434">
                  <c:v>170.38914316003681</c:v>
                </c:pt>
                <c:pt idx="435">
                  <c:v>170.38387100986509</c:v>
                </c:pt>
                <c:pt idx="436">
                  <c:v>170.36868364971656</c:v>
                </c:pt>
                <c:pt idx="437">
                  <c:v>170.35455412328531</c:v>
                </c:pt>
                <c:pt idx="438">
                  <c:v>170.34157647563532</c:v>
                </c:pt>
                <c:pt idx="439">
                  <c:v>170.33263069572567</c:v>
                </c:pt>
                <c:pt idx="440">
                  <c:v>170.32914807169152</c:v>
                </c:pt>
                <c:pt idx="441">
                  <c:v>170.32399529123347</c:v>
                </c:pt>
                <c:pt idx="442">
                  <c:v>170.31400134213848</c:v>
                </c:pt>
                <c:pt idx="443">
                  <c:v>170.31381169547367</c:v>
                </c:pt>
                <c:pt idx="444">
                  <c:v>170.31016349331844</c:v>
                </c:pt>
                <c:pt idx="445">
                  <c:v>170.30328946856383</c:v>
                </c:pt>
                <c:pt idx="446">
                  <c:v>170.30134273360056</c:v>
                </c:pt>
                <c:pt idx="447">
                  <c:v>170.28991094316063</c:v>
                </c:pt>
                <c:pt idx="448">
                  <c:v>170.27533041660791</c:v>
                </c:pt>
                <c:pt idx="449">
                  <c:v>170.26176333004545</c:v>
                </c:pt>
                <c:pt idx="450">
                  <c:v>170.2461750255714</c:v>
                </c:pt>
                <c:pt idx="451">
                  <c:v>170.24031284899587</c:v>
                </c:pt>
                <c:pt idx="452">
                  <c:v>170.23355114768086</c:v>
                </c:pt>
                <c:pt idx="453">
                  <c:v>170.22435122400492</c:v>
                </c:pt>
                <c:pt idx="454">
                  <c:v>170.20900926157537</c:v>
                </c:pt>
                <c:pt idx="455">
                  <c:v>170.18120919664651</c:v>
                </c:pt>
                <c:pt idx="456">
                  <c:v>170.16786851811057</c:v>
                </c:pt>
                <c:pt idx="457">
                  <c:v>170.16188073500393</c:v>
                </c:pt>
                <c:pt idx="458">
                  <c:v>170.15501570851612</c:v>
                </c:pt>
                <c:pt idx="459">
                  <c:v>170.14885786981731</c:v>
                </c:pt>
                <c:pt idx="460">
                  <c:v>170.13649834803653</c:v>
                </c:pt>
                <c:pt idx="461">
                  <c:v>170.12395217192613</c:v>
                </c:pt>
                <c:pt idx="462">
                  <c:v>170.11133623218842</c:v>
                </c:pt>
                <c:pt idx="463">
                  <c:v>170.09193881448979</c:v>
                </c:pt>
                <c:pt idx="464">
                  <c:v>170.07757095167753</c:v>
                </c:pt>
                <c:pt idx="465">
                  <c:v>170.06847309291271</c:v>
                </c:pt>
                <c:pt idx="466">
                  <c:v>170.0540687526418</c:v>
                </c:pt>
                <c:pt idx="467">
                  <c:v>170.04633967042375</c:v>
                </c:pt>
                <c:pt idx="468">
                  <c:v>170.03733686504233</c:v>
                </c:pt>
                <c:pt idx="469">
                  <c:v>170.02948388412685</c:v>
                </c:pt>
                <c:pt idx="470">
                  <c:v>170.01516630669468</c:v>
                </c:pt>
                <c:pt idx="471">
                  <c:v>170.00065110140099</c:v>
                </c:pt>
                <c:pt idx="472">
                  <c:v>169.98011433117992</c:v>
                </c:pt>
                <c:pt idx="473">
                  <c:v>169.97905050162967</c:v>
                </c:pt>
                <c:pt idx="474">
                  <c:v>169.9639113852553</c:v>
                </c:pt>
                <c:pt idx="475">
                  <c:v>169.93582419321629</c:v>
                </c:pt>
                <c:pt idx="476">
                  <c:v>169.90132320424414</c:v>
                </c:pt>
                <c:pt idx="477">
                  <c:v>169.87995662410589</c:v>
                </c:pt>
                <c:pt idx="478">
                  <c:v>169.86375384880648</c:v>
                </c:pt>
                <c:pt idx="479">
                  <c:v>169.86572473659095</c:v>
                </c:pt>
                <c:pt idx="480">
                  <c:v>169.8546028696575</c:v>
                </c:pt>
                <c:pt idx="481">
                  <c:v>169.80899226745453</c:v>
                </c:pt>
                <c:pt idx="482">
                  <c:v>169.79523434206536</c:v>
                </c:pt>
                <c:pt idx="483">
                  <c:v>169.77748481015126</c:v>
                </c:pt>
                <c:pt idx="484">
                  <c:v>169.75116260754731</c:v>
                </c:pt>
                <c:pt idx="485">
                  <c:v>169.70451185625035</c:v>
                </c:pt>
                <c:pt idx="486">
                  <c:v>169.70002812065931</c:v>
                </c:pt>
                <c:pt idx="487">
                  <c:v>169.67454261096574</c:v>
                </c:pt>
                <c:pt idx="488">
                  <c:v>169.65769377882026</c:v>
                </c:pt>
                <c:pt idx="489">
                  <c:v>169.64436781868739</c:v>
                </c:pt>
                <c:pt idx="490">
                  <c:v>169.61050059830575</c:v>
                </c:pt>
                <c:pt idx="491">
                  <c:v>169.59280386868676</c:v>
                </c:pt>
                <c:pt idx="492">
                  <c:v>169.57368172955148</c:v>
                </c:pt>
                <c:pt idx="493">
                  <c:v>169.54683677226183</c:v>
                </c:pt>
                <c:pt idx="494">
                  <c:v>169.48858793595829</c:v>
                </c:pt>
                <c:pt idx="495">
                  <c:v>169.46765573432322</c:v>
                </c:pt>
                <c:pt idx="496">
                  <c:v>169.45644169757819</c:v>
                </c:pt>
                <c:pt idx="497">
                  <c:v>169.47069191362212</c:v>
                </c:pt>
                <c:pt idx="498">
                  <c:v>169.47738478626241</c:v>
                </c:pt>
                <c:pt idx="499">
                  <c:v>169.47119898459789</c:v>
                </c:pt>
                <c:pt idx="500">
                  <c:v>169.47345490605977</c:v>
                </c:pt>
                <c:pt idx="501">
                  <c:v>169.48080345150532</c:v>
                </c:pt>
                <c:pt idx="502">
                  <c:v>169.47384188250854</c:v>
                </c:pt>
                <c:pt idx="503">
                  <c:v>169.45175863083844</c:v>
                </c:pt>
                <c:pt idx="504">
                  <c:v>169.44069800355464</c:v>
                </c:pt>
                <c:pt idx="505">
                  <c:v>169.41021607517658</c:v>
                </c:pt>
                <c:pt idx="506">
                  <c:v>169.40092379233735</c:v>
                </c:pt>
                <c:pt idx="507">
                  <c:v>169.38951693767268</c:v>
                </c:pt>
                <c:pt idx="508">
                  <c:v>169.360294300226</c:v>
                </c:pt>
                <c:pt idx="509">
                  <c:v>169.31895316776863</c:v>
                </c:pt>
                <c:pt idx="510">
                  <c:v>169.28633504920202</c:v>
                </c:pt>
                <c:pt idx="511">
                  <c:v>169.26783285743872</c:v>
                </c:pt>
                <c:pt idx="512">
                  <c:v>169.24270418105974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BE-4453-82D7-D0DFD8977D3B}"/>
            </c:ext>
          </c:extLst>
        </c:ser>
        <c:ser>
          <c:idx val="3"/>
          <c:order val="3"/>
          <c:tx>
            <c:strRef>
              <c:f>Data!$I$1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Data!$I$2:$I$514</c:f>
              <c:numCache>
                <c:formatCode>General</c:formatCode>
                <c:ptCount val="513"/>
                <c:pt idx="0">
                  <c:v>148.74</c:v>
                </c:pt>
                <c:pt idx="1">
                  <c:v>147.8261665252403</c:v>
                </c:pt>
                <c:pt idx="2">
                  <c:v>147.9915210857861</c:v>
                </c:pt>
                <c:pt idx="3">
                  <c:v>147.65317166170291</c:v>
                </c:pt>
                <c:pt idx="4">
                  <c:v>147.78073075545058</c:v>
                </c:pt>
                <c:pt idx="5">
                  <c:v>147.90676852968917</c:v>
                </c:pt>
                <c:pt idx="6">
                  <c:v>147.97471100415169</c:v>
                </c:pt>
                <c:pt idx="7">
                  <c:v>147.9943181795264</c:v>
                </c:pt>
                <c:pt idx="8">
                  <c:v>148.04161424224893</c:v>
                </c:pt>
                <c:pt idx="9">
                  <c:v>148.1490608940224</c:v>
                </c:pt>
                <c:pt idx="10">
                  <c:v>148.23256630564737</c:v>
                </c:pt>
                <c:pt idx="11">
                  <c:v>148.14812007550603</c:v>
                </c:pt>
                <c:pt idx="12">
                  <c:v>147.97131268330688</c:v>
                </c:pt>
                <c:pt idx="13">
                  <c:v>147.84617317404903</c:v>
                </c:pt>
                <c:pt idx="14">
                  <c:v>148.05241361403372</c:v>
                </c:pt>
                <c:pt idx="15">
                  <c:v>148.16525329556745</c:v>
                </c:pt>
                <c:pt idx="16">
                  <c:v>148.07358599209323</c:v>
                </c:pt>
                <c:pt idx="17">
                  <c:v>148.00553957977252</c:v>
                </c:pt>
                <c:pt idx="18">
                  <c:v>148.04400248284242</c:v>
                </c:pt>
                <c:pt idx="19">
                  <c:v>148.02153055241482</c:v>
                </c:pt>
                <c:pt idx="20">
                  <c:v>148.10932519562959</c:v>
                </c:pt>
                <c:pt idx="21">
                  <c:v>148.09431327876933</c:v>
                </c:pt>
                <c:pt idx="22">
                  <c:v>148.18733901959263</c:v>
                </c:pt>
                <c:pt idx="23">
                  <c:v>148.26564019975567</c:v>
                </c:pt>
                <c:pt idx="24">
                  <c:v>148.31573215125027</c:v>
                </c:pt>
                <c:pt idx="25">
                  <c:v>148.41200440716358</c:v>
                </c:pt>
                <c:pt idx="26">
                  <c:v>148.50170001019396</c:v>
                </c:pt>
                <c:pt idx="27">
                  <c:v>148.6141389878324</c:v>
                </c:pt>
                <c:pt idx="28">
                  <c:v>148.72039402752159</c:v>
                </c:pt>
                <c:pt idx="29">
                  <c:v>148.83649797232823</c:v>
                </c:pt>
                <c:pt idx="30">
                  <c:v>148.94296063484327</c:v>
                </c:pt>
                <c:pt idx="31">
                  <c:v>149.05467347380855</c:v>
                </c:pt>
                <c:pt idx="32">
                  <c:v>149.16827761818533</c:v>
                </c:pt>
                <c:pt idx="33">
                  <c:v>149.2743281906308</c:v>
                </c:pt>
                <c:pt idx="34">
                  <c:v>149.367853420415</c:v>
                </c:pt>
                <c:pt idx="35">
                  <c:v>149.45184511766479</c:v>
                </c:pt>
                <c:pt idx="36">
                  <c:v>149.50543291342657</c:v>
                </c:pt>
                <c:pt idx="37">
                  <c:v>149.56051584540282</c:v>
                </c:pt>
                <c:pt idx="38">
                  <c:v>149.6213521803997</c:v>
                </c:pt>
                <c:pt idx="39">
                  <c:v>149.6718705085429</c:v>
                </c:pt>
                <c:pt idx="40">
                  <c:v>149.80835994462325</c:v>
                </c:pt>
                <c:pt idx="41">
                  <c:v>149.8898890413291</c:v>
                </c:pt>
                <c:pt idx="42">
                  <c:v>149.95049904141038</c:v>
                </c:pt>
                <c:pt idx="43">
                  <c:v>150.02399165369806</c:v>
                </c:pt>
                <c:pt idx="44">
                  <c:v>150.10963570950426</c:v>
                </c:pt>
                <c:pt idx="45">
                  <c:v>150.17652396173224</c:v>
                </c:pt>
                <c:pt idx="46">
                  <c:v>150.25211198685631</c:v>
                </c:pt>
                <c:pt idx="47">
                  <c:v>150.31814171421678</c:v>
                </c:pt>
                <c:pt idx="48">
                  <c:v>150.36282724735833</c:v>
                </c:pt>
                <c:pt idx="49">
                  <c:v>150.42972018362866</c:v>
                </c:pt>
                <c:pt idx="50">
                  <c:v>150.51425828653018</c:v>
                </c:pt>
                <c:pt idx="51">
                  <c:v>150.68386109789094</c:v>
                </c:pt>
                <c:pt idx="52">
                  <c:v>150.77049124995727</c:v>
                </c:pt>
                <c:pt idx="53">
                  <c:v>150.85447742009129</c:v>
                </c:pt>
                <c:pt idx="54">
                  <c:v>150.9163787030709</c:v>
                </c:pt>
                <c:pt idx="55">
                  <c:v>150.98555857985582</c:v>
                </c:pt>
                <c:pt idx="56">
                  <c:v>151.07354600228444</c:v>
                </c:pt>
                <c:pt idx="57">
                  <c:v>151.16785972134747</c:v>
                </c:pt>
                <c:pt idx="58">
                  <c:v>151.24683525730589</c:v>
                </c:pt>
                <c:pt idx="59">
                  <c:v>151.33053111001178</c:v>
                </c:pt>
                <c:pt idx="60">
                  <c:v>151.4233701894251</c:v>
                </c:pt>
                <c:pt idx="61">
                  <c:v>151.49977566254552</c:v>
                </c:pt>
                <c:pt idx="62">
                  <c:v>151.58254785785982</c:v>
                </c:pt>
                <c:pt idx="63">
                  <c:v>151.61450999600103</c:v>
                </c:pt>
                <c:pt idx="64">
                  <c:v>151.63391668316291</c:v>
                </c:pt>
                <c:pt idx="65">
                  <c:v>151.66595406587774</c:v>
                </c:pt>
                <c:pt idx="66">
                  <c:v>151.69624529363458</c:v>
                </c:pt>
                <c:pt idx="67">
                  <c:v>151.73362703282754</c:v>
                </c:pt>
                <c:pt idx="68">
                  <c:v>151.78179172042678</c:v>
                </c:pt>
                <c:pt idx="69">
                  <c:v>151.80414349953679</c:v>
                </c:pt>
                <c:pt idx="70">
                  <c:v>151.81851033310528</c:v>
                </c:pt>
                <c:pt idx="71">
                  <c:v>151.83670023459422</c:v>
                </c:pt>
                <c:pt idx="72">
                  <c:v>151.86183053938055</c:v>
                </c:pt>
                <c:pt idx="73">
                  <c:v>151.90044393742767</c:v>
                </c:pt>
                <c:pt idx="74">
                  <c:v>151.94442212832064</c:v>
                </c:pt>
                <c:pt idx="75">
                  <c:v>152.01210100117552</c:v>
                </c:pt>
                <c:pt idx="76">
                  <c:v>152.08982236057486</c:v>
                </c:pt>
                <c:pt idx="77">
                  <c:v>152.15865041166944</c:v>
                </c:pt>
                <c:pt idx="78">
                  <c:v>152.22033261863623</c:v>
                </c:pt>
                <c:pt idx="79">
                  <c:v>152.28043047857861</c:v>
                </c:pt>
                <c:pt idx="80">
                  <c:v>152.32952209057368</c:v>
                </c:pt>
                <c:pt idx="81">
                  <c:v>152.36856488421114</c:v>
                </c:pt>
                <c:pt idx="82">
                  <c:v>152.43694604800061</c:v>
                </c:pt>
                <c:pt idx="83">
                  <c:v>152.4979346583759</c:v>
                </c:pt>
                <c:pt idx="84">
                  <c:v>152.5350864350369</c:v>
                </c:pt>
                <c:pt idx="85">
                  <c:v>152.56750355800784</c:v>
                </c:pt>
                <c:pt idx="86">
                  <c:v>152.60004217188873</c:v>
                </c:pt>
                <c:pt idx="87">
                  <c:v>152.63487750874006</c:v>
                </c:pt>
                <c:pt idx="88">
                  <c:v>152.65354698073688</c:v>
                </c:pt>
                <c:pt idx="89">
                  <c:v>152.66474986460742</c:v>
                </c:pt>
                <c:pt idx="90">
                  <c:v>152.67184225979508</c:v>
                </c:pt>
                <c:pt idx="91">
                  <c:v>152.70419514567968</c:v>
                </c:pt>
                <c:pt idx="92">
                  <c:v>152.74255278399698</c:v>
                </c:pt>
                <c:pt idx="93">
                  <c:v>152.76351030816772</c:v>
                </c:pt>
                <c:pt idx="94">
                  <c:v>152.79824220931644</c:v>
                </c:pt>
                <c:pt idx="95">
                  <c:v>152.80571212040667</c:v>
                </c:pt>
                <c:pt idx="96">
                  <c:v>152.80677709532861</c:v>
                </c:pt>
                <c:pt idx="97">
                  <c:v>152.81862711041305</c:v>
                </c:pt>
                <c:pt idx="98">
                  <c:v>152.83004338059627</c:v>
                </c:pt>
                <c:pt idx="99">
                  <c:v>152.86504309631619</c:v>
                </c:pt>
                <c:pt idx="100">
                  <c:v>152.89168957060747</c:v>
                </c:pt>
                <c:pt idx="101">
                  <c:v>152.94789429540634</c:v>
                </c:pt>
                <c:pt idx="102">
                  <c:v>152.98840789738225</c:v>
                </c:pt>
                <c:pt idx="103">
                  <c:v>153.0314195305547</c:v>
                </c:pt>
                <c:pt idx="104">
                  <c:v>153.12122499628506</c:v>
                </c:pt>
                <c:pt idx="105">
                  <c:v>153.16940531683304</c:v>
                </c:pt>
                <c:pt idx="106">
                  <c:v>153.2137681443516</c:v>
                </c:pt>
                <c:pt idx="107">
                  <c:v>153.25169183958513</c:v>
                </c:pt>
                <c:pt idx="108">
                  <c:v>153.28850407568473</c:v>
                </c:pt>
                <c:pt idx="109">
                  <c:v>153.31431102703934</c:v>
                </c:pt>
                <c:pt idx="110">
                  <c:v>153.33370402590148</c:v>
                </c:pt>
                <c:pt idx="111">
                  <c:v>153.3512566265064</c:v>
                </c:pt>
                <c:pt idx="112">
                  <c:v>153.39636935269937</c:v>
                </c:pt>
                <c:pt idx="113">
                  <c:v>153.43212097714834</c:v>
                </c:pt>
                <c:pt idx="114">
                  <c:v>153.45367077979125</c:v>
                </c:pt>
                <c:pt idx="115">
                  <c:v>153.50587263447363</c:v>
                </c:pt>
                <c:pt idx="116">
                  <c:v>153.53323681235861</c:v>
                </c:pt>
                <c:pt idx="117">
                  <c:v>153.60462070305283</c:v>
                </c:pt>
                <c:pt idx="118">
                  <c:v>153.74604834136693</c:v>
                </c:pt>
                <c:pt idx="119">
                  <c:v>153.80287308249481</c:v>
                </c:pt>
                <c:pt idx="120">
                  <c:v>153.86935562646434</c:v>
                </c:pt>
                <c:pt idx="121">
                  <c:v>153.90392144443098</c:v>
                </c:pt>
                <c:pt idx="122">
                  <c:v>153.94035727321051</c:v>
                </c:pt>
                <c:pt idx="123">
                  <c:v>154.00765038639219</c:v>
                </c:pt>
                <c:pt idx="124">
                  <c:v>154.05438876453354</c:v>
                </c:pt>
                <c:pt idx="125">
                  <c:v>154.09501703226283</c:v>
                </c:pt>
                <c:pt idx="126">
                  <c:v>154.12292689456658</c:v>
                </c:pt>
                <c:pt idx="127">
                  <c:v>154.1705694836028</c:v>
                </c:pt>
                <c:pt idx="128">
                  <c:v>154.20689629454736</c:v>
                </c:pt>
                <c:pt idx="129">
                  <c:v>154.23957686303302</c:v>
                </c:pt>
                <c:pt idx="130">
                  <c:v>154.27428102693773</c:v>
                </c:pt>
                <c:pt idx="131">
                  <c:v>154.31658861396014</c:v>
                </c:pt>
                <c:pt idx="132">
                  <c:v>154.34892054264836</c:v>
                </c:pt>
                <c:pt idx="133">
                  <c:v>154.38968470125548</c:v>
                </c:pt>
                <c:pt idx="134">
                  <c:v>154.43431292934119</c:v>
                </c:pt>
                <c:pt idx="135">
                  <c:v>154.48899226035255</c:v>
                </c:pt>
                <c:pt idx="136">
                  <c:v>154.52609933948233</c:v>
                </c:pt>
                <c:pt idx="137">
                  <c:v>154.57055900813629</c:v>
                </c:pt>
                <c:pt idx="138">
                  <c:v>154.61241077693595</c:v>
                </c:pt>
                <c:pt idx="139">
                  <c:v>154.64570210919368</c:v>
                </c:pt>
                <c:pt idx="140">
                  <c:v>154.68398330934346</c:v>
                </c:pt>
                <c:pt idx="141">
                  <c:v>154.73415342618179</c:v>
                </c:pt>
                <c:pt idx="142">
                  <c:v>154.7658898018291</c:v>
                </c:pt>
                <c:pt idx="143">
                  <c:v>154.80667296554154</c:v>
                </c:pt>
                <c:pt idx="144">
                  <c:v>154.84586018786132</c:v>
                </c:pt>
                <c:pt idx="145">
                  <c:v>154.86759840199869</c:v>
                </c:pt>
                <c:pt idx="146">
                  <c:v>154.94077242929214</c:v>
                </c:pt>
                <c:pt idx="147">
                  <c:v>155.02707971307987</c:v>
                </c:pt>
                <c:pt idx="148">
                  <c:v>155.09488664267488</c:v>
                </c:pt>
                <c:pt idx="149">
                  <c:v>155.14090765708772</c:v>
                </c:pt>
                <c:pt idx="150">
                  <c:v>155.19199517593157</c:v>
                </c:pt>
                <c:pt idx="151">
                  <c:v>155.22166783269958</c:v>
                </c:pt>
                <c:pt idx="152">
                  <c:v>155.24384329819401</c:v>
                </c:pt>
                <c:pt idx="153">
                  <c:v>155.28718092623444</c:v>
                </c:pt>
                <c:pt idx="154">
                  <c:v>155.30998269662561</c:v>
                </c:pt>
                <c:pt idx="155">
                  <c:v>155.34014551809352</c:v>
                </c:pt>
                <c:pt idx="156">
                  <c:v>155.39811359433068</c:v>
                </c:pt>
                <c:pt idx="157">
                  <c:v>155.43101921807934</c:v>
                </c:pt>
                <c:pt idx="158">
                  <c:v>155.4511116339803</c:v>
                </c:pt>
                <c:pt idx="159">
                  <c:v>155.46771731435726</c:v>
                </c:pt>
                <c:pt idx="160">
                  <c:v>155.48247000100787</c:v>
                </c:pt>
                <c:pt idx="161">
                  <c:v>155.49789147312538</c:v>
                </c:pt>
                <c:pt idx="162">
                  <c:v>155.52282507071564</c:v>
                </c:pt>
                <c:pt idx="163">
                  <c:v>155.55761182936035</c:v>
                </c:pt>
                <c:pt idx="164">
                  <c:v>155.580358197099</c:v>
                </c:pt>
                <c:pt idx="165">
                  <c:v>155.61209509981111</c:v>
                </c:pt>
                <c:pt idx="166">
                  <c:v>155.6320098675061</c:v>
                </c:pt>
                <c:pt idx="167">
                  <c:v>155.67123952878464</c:v>
                </c:pt>
                <c:pt idx="168">
                  <c:v>155.73053053850731</c:v>
                </c:pt>
                <c:pt idx="169">
                  <c:v>155.75264690835971</c:v>
                </c:pt>
                <c:pt idx="170">
                  <c:v>155.76132363504911</c:v>
                </c:pt>
                <c:pt idx="171">
                  <c:v>155.76742419196233</c:v>
                </c:pt>
                <c:pt idx="172">
                  <c:v>155.77991259369333</c:v>
                </c:pt>
                <c:pt idx="173">
                  <c:v>155.7805619815679</c:v>
                </c:pt>
                <c:pt idx="174">
                  <c:v>155.81170283750993</c:v>
                </c:pt>
                <c:pt idx="175">
                  <c:v>155.82581209207427</c:v>
                </c:pt>
                <c:pt idx="176">
                  <c:v>155.8280090307542</c:v>
                </c:pt>
                <c:pt idx="177">
                  <c:v>155.84497445078256</c:v>
                </c:pt>
                <c:pt idx="178">
                  <c:v>155.84668302325571</c:v>
                </c:pt>
                <c:pt idx="179">
                  <c:v>155.864611485957</c:v>
                </c:pt>
                <c:pt idx="180">
                  <c:v>155.91916622582121</c:v>
                </c:pt>
                <c:pt idx="181">
                  <c:v>156.16105207989483</c:v>
                </c:pt>
                <c:pt idx="182">
                  <c:v>156.22488699944535</c:v>
                </c:pt>
                <c:pt idx="183">
                  <c:v>156.24789936954267</c:v>
                </c:pt>
                <c:pt idx="184">
                  <c:v>156.30041752947633</c:v>
                </c:pt>
                <c:pt idx="185">
                  <c:v>156.32011421061259</c:v>
                </c:pt>
                <c:pt idx="186">
                  <c:v>156.33587938705745</c:v>
                </c:pt>
                <c:pt idx="187">
                  <c:v>156.367097936709</c:v>
                </c:pt>
                <c:pt idx="188">
                  <c:v>156.40533751266187</c:v>
                </c:pt>
                <c:pt idx="189">
                  <c:v>156.43870932700267</c:v>
                </c:pt>
                <c:pt idx="190">
                  <c:v>156.46594283310608</c:v>
                </c:pt>
                <c:pt idx="191">
                  <c:v>156.49930684425865</c:v>
                </c:pt>
                <c:pt idx="192">
                  <c:v>156.53103509091667</c:v>
                </c:pt>
                <c:pt idx="193">
                  <c:v>156.56871723532473</c:v>
                </c:pt>
                <c:pt idx="194">
                  <c:v>156.61401835655244</c:v>
                </c:pt>
                <c:pt idx="195">
                  <c:v>156.65034310038504</c:v>
                </c:pt>
                <c:pt idx="196">
                  <c:v>156.6882240927182</c:v>
                </c:pt>
                <c:pt idx="197">
                  <c:v>156.71734909748781</c:v>
                </c:pt>
                <c:pt idx="198">
                  <c:v>156.75355628162859</c:v>
                </c:pt>
                <c:pt idx="199">
                  <c:v>156.78436730142363</c:v>
                </c:pt>
                <c:pt idx="200">
                  <c:v>156.82129905407305</c:v>
                </c:pt>
                <c:pt idx="201">
                  <c:v>156.86597774448103</c:v>
                </c:pt>
                <c:pt idx="202">
                  <c:v>156.89544142608301</c:v>
                </c:pt>
                <c:pt idx="203">
                  <c:v>156.93344235098982</c:v>
                </c:pt>
                <c:pt idx="204">
                  <c:v>156.95967745918023</c:v>
                </c:pt>
                <c:pt idx="205">
                  <c:v>156.99013512562411</c:v>
                </c:pt>
                <c:pt idx="206">
                  <c:v>157.01615395538062</c:v>
                </c:pt>
                <c:pt idx="207">
                  <c:v>157.04574527748039</c:v>
                </c:pt>
                <c:pt idx="208">
                  <c:v>157.0723450722133</c:v>
                </c:pt>
                <c:pt idx="209">
                  <c:v>157.09617855302918</c:v>
                </c:pt>
                <c:pt idx="210">
                  <c:v>157.11753437797185</c:v>
                </c:pt>
                <c:pt idx="211">
                  <c:v>157.1379230589481</c:v>
                </c:pt>
                <c:pt idx="212">
                  <c:v>157.15782797498815</c:v>
                </c:pt>
                <c:pt idx="213">
                  <c:v>157.17849282930888</c:v>
                </c:pt>
                <c:pt idx="214">
                  <c:v>157.16797828205958</c:v>
                </c:pt>
                <c:pt idx="215">
                  <c:v>157.18044119079875</c:v>
                </c:pt>
                <c:pt idx="216">
                  <c:v>157.21146410093888</c:v>
                </c:pt>
                <c:pt idx="217">
                  <c:v>157.2349987023978</c:v>
                </c:pt>
                <c:pt idx="218">
                  <c:v>157.25795331079013</c:v>
                </c:pt>
                <c:pt idx="219">
                  <c:v>157.28100737109023</c:v>
                </c:pt>
                <c:pt idx="220">
                  <c:v>157.30921384263812</c:v>
                </c:pt>
                <c:pt idx="221">
                  <c:v>157.35212643480631</c:v>
                </c:pt>
                <c:pt idx="222">
                  <c:v>157.38305737515398</c:v>
                </c:pt>
                <c:pt idx="223">
                  <c:v>157.40934615139102</c:v>
                </c:pt>
                <c:pt idx="224">
                  <c:v>157.44185329475357</c:v>
                </c:pt>
                <c:pt idx="225">
                  <c:v>157.46879673669966</c:v>
                </c:pt>
                <c:pt idx="226">
                  <c:v>157.52154029023043</c:v>
                </c:pt>
                <c:pt idx="227">
                  <c:v>157.64729162934273</c:v>
                </c:pt>
                <c:pt idx="228">
                  <c:v>157.65143031863968</c:v>
                </c:pt>
                <c:pt idx="229">
                  <c:v>157.64912811770066</c:v>
                </c:pt>
                <c:pt idx="230">
                  <c:v>157.6324055101496</c:v>
                </c:pt>
                <c:pt idx="231">
                  <c:v>157.63250433906057</c:v>
                </c:pt>
                <c:pt idx="232">
                  <c:v>157.66839629993433</c:v>
                </c:pt>
                <c:pt idx="233">
                  <c:v>157.69597621253527</c:v>
                </c:pt>
                <c:pt idx="234">
                  <c:v>157.70866941031031</c:v>
                </c:pt>
                <c:pt idx="235">
                  <c:v>157.73227609774094</c:v>
                </c:pt>
                <c:pt idx="236">
                  <c:v>157.76390277529472</c:v>
                </c:pt>
                <c:pt idx="237">
                  <c:v>157.79167810494033</c:v>
                </c:pt>
                <c:pt idx="238">
                  <c:v>157.81580533783864</c:v>
                </c:pt>
                <c:pt idx="239">
                  <c:v>157.83543866632107</c:v>
                </c:pt>
                <c:pt idx="240">
                  <c:v>157.85410744593904</c:v>
                </c:pt>
                <c:pt idx="241">
                  <c:v>157.88069158225471</c:v>
                </c:pt>
                <c:pt idx="242">
                  <c:v>157.90733620053385</c:v>
                </c:pt>
                <c:pt idx="243">
                  <c:v>157.93631626028662</c:v>
                </c:pt>
                <c:pt idx="244">
                  <c:v>157.96812558942111</c:v>
                </c:pt>
                <c:pt idx="245">
                  <c:v>158.02140820230008</c:v>
                </c:pt>
                <c:pt idx="246">
                  <c:v>158.04606579186617</c:v>
                </c:pt>
                <c:pt idx="247">
                  <c:v>158.06166859870837</c:v>
                </c:pt>
                <c:pt idx="248">
                  <c:v>158.07952045714626</c:v>
                </c:pt>
                <c:pt idx="249">
                  <c:v>158.09967067498943</c:v>
                </c:pt>
                <c:pt idx="250">
                  <c:v>158.11779413768247</c:v>
                </c:pt>
                <c:pt idx="251">
                  <c:v>158.13594227247103</c:v>
                </c:pt>
                <c:pt idx="252">
                  <c:v>158.15246815361397</c:v>
                </c:pt>
                <c:pt idx="253">
                  <c:v>158.16635194246936</c:v>
                </c:pt>
                <c:pt idx="254">
                  <c:v>158.15116271168765</c:v>
                </c:pt>
                <c:pt idx="255">
                  <c:v>158.14206116618752</c:v>
                </c:pt>
                <c:pt idx="256">
                  <c:v>158.14437504064057</c:v>
                </c:pt>
                <c:pt idx="257">
                  <c:v>158.11376998281096</c:v>
                </c:pt>
                <c:pt idx="258">
                  <c:v>158.09198571880367</c:v>
                </c:pt>
                <c:pt idx="259">
                  <c:v>158.07923675193862</c:v>
                </c:pt>
                <c:pt idx="260">
                  <c:v>158.05986035780992</c:v>
                </c:pt>
                <c:pt idx="261">
                  <c:v>158.05266037289459</c:v>
                </c:pt>
                <c:pt idx="262">
                  <c:v>158.04597743290847</c:v>
                </c:pt>
                <c:pt idx="263">
                  <c:v>158.03139645947422</c:v>
                </c:pt>
                <c:pt idx="264">
                  <c:v>158.04362199754448</c:v>
                </c:pt>
                <c:pt idx="265">
                  <c:v>158.0616778862472</c:v>
                </c:pt>
                <c:pt idx="266">
                  <c:v>158.07172246404551</c:v>
                </c:pt>
                <c:pt idx="267">
                  <c:v>158.10288662681435</c:v>
                </c:pt>
                <c:pt idx="268">
                  <c:v>158.12004480903451</c:v>
                </c:pt>
                <c:pt idx="269">
                  <c:v>158.13580742672934</c:v>
                </c:pt>
                <c:pt idx="270">
                  <c:v>158.15246823449016</c:v>
                </c:pt>
                <c:pt idx="271">
                  <c:v>158.16794804144411</c:v>
                </c:pt>
                <c:pt idx="272">
                  <c:v>158.1948323977752</c:v>
                </c:pt>
                <c:pt idx="273">
                  <c:v>158.21577294339136</c:v>
                </c:pt>
                <c:pt idx="274">
                  <c:v>158.24046190816878</c:v>
                </c:pt>
                <c:pt idx="275">
                  <c:v>158.25925473406542</c:v>
                </c:pt>
                <c:pt idx="276">
                  <c:v>158.27649539452298</c:v>
                </c:pt>
                <c:pt idx="277">
                  <c:v>158.29673111514725</c:v>
                </c:pt>
                <c:pt idx="278">
                  <c:v>158.31667327486474</c:v>
                </c:pt>
                <c:pt idx="279">
                  <c:v>158.33808558514059</c:v>
                </c:pt>
                <c:pt idx="280">
                  <c:v>158.36096016416136</c:v>
                </c:pt>
                <c:pt idx="281">
                  <c:v>158.35685714203609</c:v>
                </c:pt>
                <c:pt idx="282">
                  <c:v>158.37025212085504</c:v>
                </c:pt>
                <c:pt idx="283">
                  <c:v>158.38770032576591</c:v>
                </c:pt>
                <c:pt idx="284">
                  <c:v>158.40533159351307</c:v>
                </c:pt>
                <c:pt idx="285">
                  <c:v>158.43671461551736</c:v>
                </c:pt>
                <c:pt idx="286">
                  <c:v>158.46502080467323</c:v>
                </c:pt>
                <c:pt idx="287">
                  <c:v>158.49045042627313</c:v>
                </c:pt>
                <c:pt idx="288">
                  <c:v>158.50980954456395</c:v>
                </c:pt>
                <c:pt idx="289">
                  <c:v>158.52859379960566</c:v>
                </c:pt>
                <c:pt idx="290">
                  <c:v>158.56622859375631</c:v>
                </c:pt>
                <c:pt idx="291">
                  <c:v>158.59032891258843</c:v>
                </c:pt>
                <c:pt idx="292">
                  <c:v>158.63444119427777</c:v>
                </c:pt>
                <c:pt idx="293">
                  <c:v>158.65658554365763</c:v>
                </c:pt>
                <c:pt idx="294">
                  <c:v>158.67733889481414</c:v>
                </c:pt>
                <c:pt idx="295">
                  <c:v>158.7110457383346</c:v>
                </c:pt>
                <c:pt idx="296">
                  <c:v>158.7523546367847</c:v>
                </c:pt>
                <c:pt idx="297">
                  <c:v>158.79076797005763</c:v>
                </c:pt>
                <c:pt idx="298">
                  <c:v>158.81441615733252</c:v>
                </c:pt>
                <c:pt idx="299">
                  <c:v>158.83326647651714</c:v>
                </c:pt>
                <c:pt idx="300">
                  <c:v>158.8510932688406</c:v>
                </c:pt>
                <c:pt idx="301">
                  <c:v>158.87823726659073</c:v>
                </c:pt>
                <c:pt idx="302">
                  <c:v>158.89454524203026</c:v>
                </c:pt>
                <c:pt idx="303">
                  <c:v>158.9143563612146</c:v>
                </c:pt>
                <c:pt idx="304">
                  <c:v>158.93278970080527</c:v>
                </c:pt>
                <c:pt idx="305">
                  <c:v>158.95214071852689</c:v>
                </c:pt>
                <c:pt idx="306">
                  <c:v>158.96320561818766</c:v>
                </c:pt>
                <c:pt idx="307">
                  <c:v>158.96142911895305</c:v>
                </c:pt>
                <c:pt idx="308">
                  <c:v>158.97566900923644</c:v>
                </c:pt>
                <c:pt idx="309">
                  <c:v>158.99312805496064</c:v>
                </c:pt>
                <c:pt idx="310">
                  <c:v>159.00860452164039</c:v>
                </c:pt>
                <c:pt idx="311">
                  <c:v>159.03953113071105</c:v>
                </c:pt>
                <c:pt idx="312">
                  <c:v>159.06027161718023</c:v>
                </c:pt>
                <c:pt idx="313">
                  <c:v>159.07840133754041</c:v>
                </c:pt>
                <c:pt idx="314">
                  <c:v>159.10708296898093</c:v>
                </c:pt>
                <c:pt idx="315">
                  <c:v>159.1049841729984</c:v>
                </c:pt>
                <c:pt idx="316">
                  <c:v>159.06975651747945</c:v>
                </c:pt>
                <c:pt idx="317">
                  <c:v>159.02985360747795</c:v>
                </c:pt>
                <c:pt idx="318">
                  <c:v>159.02200658902734</c:v>
                </c:pt>
                <c:pt idx="319">
                  <c:v>159.02187107857458</c:v>
                </c:pt>
                <c:pt idx="320">
                  <c:v>159.03694187524229</c:v>
                </c:pt>
                <c:pt idx="321">
                  <c:v>159.05988353742796</c:v>
                </c:pt>
                <c:pt idx="322">
                  <c:v>159.0793559047126</c:v>
                </c:pt>
                <c:pt idx="323">
                  <c:v>159.09140391678929</c:v>
                </c:pt>
                <c:pt idx="324">
                  <c:v>159.11156284401181</c:v>
                </c:pt>
                <c:pt idx="325">
                  <c:v>159.1221220036357</c:v>
                </c:pt>
                <c:pt idx="326">
                  <c:v>159.13879653131733</c:v>
                </c:pt>
                <c:pt idx="327">
                  <c:v>159.14924821567985</c:v>
                </c:pt>
                <c:pt idx="328">
                  <c:v>159.09794052400437</c:v>
                </c:pt>
                <c:pt idx="329">
                  <c:v>159.0778051061931</c:v>
                </c:pt>
                <c:pt idx="330">
                  <c:v>159.07150094787644</c:v>
                </c:pt>
                <c:pt idx="331">
                  <c:v>159.06718515399496</c:v>
                </c:pt>
                <c:pt idx="332">
                  <c:v>159.05933940693635</c:v>
                </c:pt>
                <c:pt idx="333">
                  <c:v>159.04584537225733</c:v>
                </c:pt>
                <c:pt idx="334">
                  <c:v>159.03750641475503</c:v>
                </c:pt>
                <c:pt idx="335">
                  <c:v>159.01549928872146</c:v>
                </c:pt>
                <c:pt idx="336">
                  <c:v>158.99596267550444</c:v>
                </c:pt>
                <c:pt idx="337">
                  <c:v>158.9800728761609</c:v>
                </c:pt>
                <c:pt idx="338">
                  <c:v>158.95845429629998</c:v>
                </c:pt>
                <c:pt idx="339">
                  <c:v>158.9331992277888</c:v>
                </c:pt>
                <c:pt idx="340">
                  <c:v>158.9242940834101</c:v>
                </c:pt>
                <c:pt idx="341">
                  <c:v>158.90220538727974</c:v>
                </c:pt>
                <c:pt idx="342">
                  <c:v>158.88110321061961</c:v>
                </c:pt>
                <c:pt idx="343">
                  <c:v>158.87810853406677</c:v>
                </c:pt>
                <c:pt idx="344">
                  <c:v>158.88058559094458</c:v>
                </c:pt>
                <c:pt idx="345">
                  <c:v>158.88809649054389</c:v>
                </c:pt>
                <c:pt idx="346">
                  <c:v>158.89813094203811</c:v>
                </c:pt>
                <c:pt idx="347">
                  <c:v>158.90771761274971</c:v>
                </c:pt>
                <c:pt idx="348">
                  <c:v>158.91621045151862</c:v>
                </c:pt>
                <c:pt idx="349">
                  <c:v>158.92652459514312</c:v>
                </c:pt>
                <c:pt idx="350">
                  <c:v>158.94574715577915</c:v>
                </c:pt>
                <c:pt idx="351">
                  <c:v>158.95838799736239</c:v>
                </c:pt>
                <c:pt idx="352">
                  <c:v>158.97148459670086</c:v>
                </c:pt>
                <c:pt idx="353">
                  <c:v>158.99898238178699</c:v>
                </c:pt>
                <c:pt idx="354">
                  <c:v>159.01406966539335</c:v>
                </c:pt>
                <c:pt idx="355">
                  <c:v>159.02626121060879</c:v>
                </c:pt>
                <c:pt idx="356">
                  <c:v>159.03625429163233</c:v>
                </c:pt>
                <c:pt idx="357">
                  <c:v>159.03323037189489</c:v>
                </c:pt>
                <c:pt idx="358">
                  <c:v>159.03864751543614</c:v>
                </c:pt>
                <c:pt idx="359">
                  <c:v>159.03849626113507</c:v>
                </c:pt>
                <c:pt idx="360">
                  <c:v>159.03832717195218</c:v>
                </c:pt>
                <c:pt idx="361">
                  <c:v>159.03717172891601</c:v>
                </c:pt>
                <c:pt idx="362">
                  <c:v>159.039367045213</c:v>
                </c:pt>
                <c:pt idx="363">
                  <c:v>159.02842433966052</c:v>
                </c:pt>
                <c:pt idx="364">
                  <c:v>159.02178789802969</c:v>
                </c:pt>
                <c:pt idx="365">
                  <c:v>159.0023585733787</c:v>
                </c:pt>
                <c:pt idx="366">
                  <c:v>158.97912723091434</c:v>
                </c:pt>
                <c:pt idx="367">
                  <c:v>158.9412331727664</c:v>
                </c:pt>
                <c:pt idx="368">
                  <c:v>158.9352856455364</c:v>
                </c:pt>
                <c:pt idx="369">
                  <c:v>158.9247724715907</c:v>
                </c:pt>
                <c:pt idx="370">
                  <c:v>158.9106258287849</c:v>
                </c:pt>
                <c:pt idx="371">
                  <c:v>158.89125938926998</c:v>
                </c:pt>
                <c:pt idx="372">
                  <c:v>158.85537218436366</c:v>
                </c:pt>
                <c:pt idx="373">
                  <c:v>158.83199459301042</c:v>
                </c:pt>
                <c:pt idx="374">
                  <c:v>158.82163232259941</c:v>
                </c:pt>
                <c:pt idx="375">
                  <c:v>158.81384952641082</c:v>
                </c:pt>
                <c:pt idx="376">
                  <c:v>158.8071366650079</c:v>
                </c:pt>
                <c:pt idx="377">
                  <c:v>158.79861913262678</c:v>
                </c:pt>
                <c:pt idx="378">
                  <c:v>158.76408988733084</c:v>
                </c:pt>
                <c:pt idx="379">
                  <c:v>158.70890400281087</c:v>
                </c:pt>
                <c:pt idx="380">
                  <c:v>158.69087421985836</c:v>
                </c:pt>
                <c:pt idx="381">
                  <c:v>158.66236075351412</c:v>
                </c:pt>
                <c:pt idx="382">
                  <c:v>158.59742402746292</c:v>
                </c:pt>
                <c:pt idx="383">
                  <c:v>158.53361934503519</c:v>
                </c:pt>
                <c:pt idx="384">
                  <c:v>158.48164275643691</c:v>
                </c:pt>
                <c:pt idx="385">
                  <c:v>158.44441890208267</c:v>
                </c:pt>
                <c:pt idx="386">
                  <c:v>158.40729462605807</c:v>
                </c:pt>
                <c:pt idx="387">
                  <c:v>158.37348931773374</c:v>
                </c:pt>
                <c:pt idx="388">
                  <c:v>158.35419559340528</c:v>
                </c:pt>
                <c:pt idx="389">
                  <c:v>158.34247035019823</c:v>
                </c:pt>
                <c:pt idx="390">
                  <c:v>158.32850708371745</c:v>
                </c:pt>
                <c:pt idx="391">
                  <c:v>158.31482581310337</c:v>
                </c:pt>
                <c:pt idx="392">
                  <c:v>158.2898883630269</c:v>
                </c:pt>
                <c:pt idx="393">
                  <c:v>158.2521630970046</c:v>
                </c:pt>
                <c:pt idx="394">
                  <c:v>158.19834047208937</c:v>
                </c:pt>
                <c:pt idx="395">
                  <c:v>158.10770514373561</c:v>
                </c:pt>
                <c:pt idx="396">
                  <c:v>158.03534719861563</c:v>
                </c:pt>
                <c:pt idx="397">
                  <c:v>157.9689769132498</c:v>
                </c:pt>
                <c:pt idx="398">
                  <c:v>157.90608351741585</c:v>
                </c:pt>
                <c:pt idx="399">
                  <c:v>157.85813127484076</c:v>
                </c:pt>
                <c:pt idx="400">
                  <c:v>157.81740221658166</c:v>
                </c:pt>
                <c:pt idx="401">
                  <c:v>157.78050714255008</c:v>
                </c:pt>
                <c:pt idx="402">
                  <c:v>157.74776233512918</c:v>
                </c:pt>
                <c:pt idx="403">
                  <c:v>157.71717955298132</c:v>
                </c:pt>
                <c:pt idx="404">
                  <c:v>157.69209166176836</c:v>
                </c:pt>
                <c:pt idx="405">
                  <c:v>157.65579772234898</c:v>
                </c:pt>
                <c:pt idx="406">
                  <c:v>157.62095312905151</c:v>
                </c:pt>
                <c:pt idx="407">
                  <c:v>157.5911241762912</c:v>
                </c:pt>
                <c:pt idx="408">
                  <c:v>157.57711123988526</c:v>
                </c:pt>
                <c:pt idx="409">
                  <c:v>157.56842774331366</c:v>
                </c:pt>
                <c:pt idx="410">
                  <c:v>157.55881854030719</c:v>
                </c:pt>
                <c:pt idx="411">
                  <c:v>157.5501559562386</c:v>
                </c:pt>
                <c:pt idx="412">
                  <c:v>157.53315761097704</c:v>
                </c:pt>
                <c:pt idx="413">
                  <c:v>157.51099663215817</c:v>
                </c:pt>
                <c:pt idx="414">
                  <c:v>157.49816414212273</c:v>
                </c:pt>
                <c:pt idx="415">
                  <c:v>157.47596338934963</c:v>
                </c:pt>
                <c:pt idx="416">
                  <c:v>157.46189195728397</c:v>
                </c:pt>
                <c:pt idx="417">
                  <c:v>157.44968680829544</c:v>
                </c:pt>
                <c:pt idx="418">
                  <c:v>157.43804358406513</c:v>
                </c:pt>
                <c:pt idx="419">
                  <c:v>157.43020363288832</c:v>
                </c:pt>
                <c:pt idx="420">
                  <c:v>157.4263550230323</c:v>
                </c:pt>
                <c:pt idx="421">
                  <c:v>157.4174788446322</c:v>
                </c:pt>
                <c:pt idx="422">
                  <c:v>157.41378176337136</c:v>
                </c:pt>
                <c:pt idx="423">
                  <c:v>157.39964582294601</c:v>
                </c:pt>
                <c:pt idx="424">
                  <c:v>157.39170343404504</c:v>
                </c:pt>
                <c:pt idx="425">
                  <c:v>157.38062358057587</c:v>
                </c:pt>
                <c:pt idx="426">
                  <c:v>157.36487414368591</c:v>
                </c:pt>
                <c:pt idx="427">
                  <c:v>157.35342939117314</c:v>
                </c:pt>
                <c:pt idx="428">
                  <c:v>157.35065474911718</c:v>
                </c:pt>
                <c:pt idx="429">
                  <c:v>157.33381162278255</c:v>
                </c:pt>
                <c:pt idx="430">
                  <c:v>157.28649238812437</c:v>
                </c:pt>
                <c:pt idx="431">
                  <c:v>157.24268961078215</c:v>
                </c:pt>
                <c:pt idx="432">
                  <c:v>157.19490897871938</c:v>
                </c:pt>
                <c:pt idx="433">
                  <c:v>157.15554007307023</c:v>
                </c:pt>
                <c:pt idx="434">
                  <c:v>157.11104738027493</c:v>
                </c:pt>
                <c:pt idx="435">
                  <c:v>157.07552166154605</c:v>
                </c:pt>
                <c:pt idx="436">
                  <c:v>157.03821865148194</c:v>
                </c:pt>
                <c:pt idx="437">
                  <c:v>157.00312814822001</c:v>
                </c:pt>
                <c:pt idx="438">
                  <c:v>156.96612622368664</c:v>
                </c:pt>
                <c:pt idx="439">
                  <c:v>156.92486128542041</c:v>
                </c:pt>
                <c:pt idx="440">
                  <c:v>156.89123170151413</c:v>
                </c:pt>
                <c:pt idx="441">
                  <c:v>156.84076057500869</c:v>
                </c:pt>
                <c:pt idx="442">
                  <c:v>156.80358253027586</c:v>
                </c:pt>
                <c:pt idx="443">
                  <c:v>156.76163502915554</c:v>
                </c:pt>
                <c:pt idx="444">
                  <c:v>156.71584613386131</c:v>
                </c:pt>
                <c:pt idx="445">
                  <c:v>156.65947003037013</c:v>
                </c:pt>
                <c:pt idx="446">
                  <c:v>156.58705805155665</c:v>
                </c:pt>
                <c:pt idx="447">
                  <c:v>156.52277110637124</c:v>
                </c:pt>
                <c:pt idx="448">
                  <c:v>156.43892037290061</c:v>
                </c:pt>
                <c:pt idx="449">
                  <c:v>156.37808931556904</c:v>
                </c:pt>
                <c:pt idx="450">
                  <c:v>156.33082104559583</c:v>
                </c:pt>
                <c:pt idx="451">
                  <c:v>156.29789997642541</c:v>
                </c:pt>
                <c:pt idx="452">
                  <c:v>156.26192528960266</c:v>
                </c:pt>
                <c:pt idx="453">
                  <c:v>156.22811099617769</c:v>
                </c:pt>
                <c:pt idx="454">
                  <c:v>156.18855109364307</c:v>
                </c:pt>
                <c:pt idx="455">
                  <c:v>156.13878709904563</c:v>
                </c:pt>
                <c:pt idx="456">
                  <c:v>156.09851787341287</c:v>
                </c:pt>
                <c:pt idx="457">
                  <c:v>156.06324928124167</c:v>
                </c:pt>
                <c:pt idx="458">
                  <c:v>156.00624246891792</c:v>
                </c:pt>
                <c:pt idx="459">
                  <c:v>155.95762383439902</c:v>
                </c:pt>
                <c:pt idx="460">
                  <c:v>155.90976377193743</c:v>
                </c:pt>
                <c:pt idx="461">
                  <c:v>155.84216357442375</c:v>
                </c:pt>
                <c:pt idx="462">
                  <c:v>155.76725350366547</c:v>
                </c:pt>
                <c:pt idx="463">
                  <c:v>155.67266145963211</c:v>
                </c:pt>
                <c:pt idx="464">
                  <c:v>155.5876595116583</c:v>
                </c:pt>
                <c:pt idx="465">
                  <c:v>155.51722404009826</c:v>
                </c:pt>
                <c:pt idx="466">
                  <c:v>155.42774913082906</c:v>
                </c:pt>
                <c:pt idx="467">
                  <c:v>155.37433438743554</c:v>
                </c:pt>
                <c:pt idx="468">
                  <c:v>155.3157230957687</c:v>
                </c:pt>
                <c:pt idx="469">
                  <c:v>155.25848257862205</c:v>
                </c:pt>
                <c:pt idx="470">
                  <c:v>155.19291435859142</c:v>
                </c:pt>
                <c:pt idx="471">
                  <c:v>155.1108151763371</c:v>
                </c:pt>
                <c:pt idx="472">
                  <c:v>155.03451645325757</c:v>
                </c:pt>
                <c:pt idx="473">
                  <c:v>154.97843119082557</c:v>
                </c:pt>
                <c:pt idx="474">
                  <c:v>154.91920199266917</c:v>
                </c:pt>
                <c:pt idx="475">
                  <c:v>154.86767993904922</c:v>
                </c:pt>
                <c:pt idx="476">
                  <c:v>154.77989349909797</c:v>
                </c:pt>
                <c:pt idx="477">
                  <c:v>154.71840338786308</c:v>
                </c:pt>
                <c:pt idx="478">
                  <c:v>154.66069660311393</c:v>
                </c:pt>
                <c:pt idx="479">
                  <c:v>154.62097583652564</c:v>
                </c:pt>
                <c:pt idx="480">
                  <c:v>154.56288656860866</c:v>
                </c:pt>
                <c:pt idx="481">
                  <c:v>154.45729704989219</c:v>
                </c:pt>
                <c:pt idx="482">
                  <c:v>154.3917787530535</c:v>
                </c:pt>
                <c:pt idx="483">
                  <c:v>154.31104559513906</c:v>
                </c:pt>
                <c:pt idx="484">
                  <c:v>154.20426302088424</c:v>
                </c:pt>
                <c:pt idx="485">
                  <c:v>154.02045553371119</c:v>
                </c:pt>
                <c:pt idx="486">
                  <c:v>153.89684946419649</c:v>
                </c:pt>
                <c:pt idx="487">
                  <c:v>153.75637307807401</c:v>
                </c:pt>
                <c:pt idx="488">
                  <c:v>153.63690277236668</c:v>
                </c:pt>
                <c:pt idx="489">
                  <c:v>153.54404231060971</c:v>
                </c:pt>
                <c:pt idx="490">
                  <c:v>153.45276037152695</c:v>
                </c:pt>
                <c:pt idx="491">
                  <c:v>153.37906405676762</c:v>
                </c:pt>
                <c:pt idx="492">
                  <c:v>153.32493027932901</c:v>
                </c:pt>
                <c:pt idx="493">
                  <c:v>153.2459191038119</c:v>
                </c:pt>
                <c:pt idx="494">
                  <c:v>153.12720954948244</c:v>
                </c:pt>
                <c:pt idx="495">
                  <c:v>153.03055096920986</c:v>
                </c:pt>
                <c:pt idx="496">
                  <c:v>152.94918092707937</c:v>
                </c:pt>
                <c:pt idx="497">
                  <c:v>152.90570520646438</c:v>
                </c:pt>
                <c:pt idx="498">
                  <c:v>152.85748541457303</c:v>
                </c:pt>
                <c:pt idx="499">
                  <c:v>152.79566456557552</c:v>
                </c:pt>
                <c:pt idx="500">
                  <c:v>152.73862438124678</c:v>
                </c:pt>
                <c:pt idx="501">
                  <c:v>152.68105381220869</c:v>
                </c:pt>
                <c:pt idx="502">
                  <c:v>152.59622379675673</c:v>
                </c:pt>
                <c:pt idx="503">
                  <c:v>152.48358288321262</c:v>
                </c:pt>
                <c:pt idx="504">
                  <c:v>152.37861851480693</c:v>
                </c:pt>
                <c:pt idx="505">
                  <c:v>152.23602145820959</c:v>
                </c:pt>
                <c:pt idx="506">
                  <c:v>152.15107253485556</c:v>
                </c:pt>
                <c:pt idx="507">
                  <c:v>152.06806696639404</c:v>
                </c:pt>
                <c:pt idx="508">
                  <c:v>151.98172367234045</c:v>
                </c:pt>
                <c:pt idx="509">
                  <c:v>151.89015369817886</c:v>
                </c:pt>
                <c:pt idx="510">
                  <c:v>151.82319627289411</c:v>
                </c:pt>
                <c:pt idx="511">
                  <c:v>151.75851289121428</c:v>
                </c:pt>
                <c:pt idx="512">
                  <c:v>151.68700166799434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BE-4453-82D7-D0DFD8977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32768"/>
        <c:axId val="1656352448"/>
      </c:lineChart>
      <c:dateAx>
        <c:axId val="1656332768"/>
        <c:scaling>
          <c:orientation val="minMax"/>
          <c:max val="46069"/>
          <c:min val="45658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52448"/>
        <c:crosses val="autoZero"/>
        <c:auto val="1"/>
        <c:lblOffset val="100"/>
        <c:baseTimeUnit val="days"/>
      </c:dateAx>
      <c:valAx>
        <c:axId val="1656352448"/>
        <c:scaling>
          <c:orientation val="minMax"/>
          <c:max val="180"/>
          <c:min val="1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3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Bollinger 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Data!$C$2:$C$514</c:f>
              <c:numCache>
                <c:formatCode>_([$$-409]* #,##0.00_);_([$$-409]* \(#,##0.00\);_([$$-409]* "-"??_);_(@_)</c:formatCode>
                <c:ptCount val="513"/>
                <c:pt idx="0">
                  <c:v>148.74</c:v>
                </c:pt>
                <c:pt idx="1">
                  <c:v>147.84</c:v>
                </c:pt>
                <c:pt idx="2">
                  <c:v>148.65</c:v>
                </c:pt>
                <c:pt idx="3">
                  <c:v>147.41999999999999</c:v>
                </c:pt>
                <c:pt idx="4">
                  <c:v>148.69</c:v>
                </c:pt>
                <c:pt idx="5">
                  <c:v>149.30000000000001</c:v>
                </c:pt>
                <c:pt idx="6">
                  <c:v>149.94</c:v>
                </c:pt>
                <c:pt idx="7">
                  <c:v>150.51</c:v>
                </c:pt>
                <c:pt idx="8">
                  <c:v>150.6</c:v>
                </c:pt>
                <c:pt idx="9">
                  <c:v>149.79</c:v>
                </c:pt>
                <c:pt idx="10">
                  <c:v>149.94</c:v>
                </c:pt>
                <c:pt idx="11">
                  <c:v>148.13999999999999</c:v>
                </c:pt>
                <c:pt idx="12">
                  <c:v>147.57</c:v>
                </c:pt>
                <c:pt idx="13">
                  <c:v>147.86000000000001</c:v>
                </c:pt>
                <c:pt idx="14">
                  <c:v>153.97999999999999</c:v>
                </c:pt>
                <c:pt idx="15">
                  <c:v>152.12</c:v>
                </c:pt>
                <c:pt idx="16">
                  <c:v>155.62</c:v>
                </c:pt>
                <c:pt idx="17">
                  <c:v>156.13999999999999</c:v>
                </c:pt>
                <c:pt idx="18">
                  <c:v>156.16</c:v>
                </c:pt>
                <c:pt idx="19">
                  <c:v>157.49</c:v>
                </c:pt>
                <c:pt idx="20">
                  <c:v>157.13999999999999</c:v>
                </c:pt>
                <c:pt idx="21">
                  <c:v>159.18</c:v>
                </c:pt>
                <c:pt idx="22">
                  <c:v>158.09</c:v>
                </c:pt>
                <c:pt idx="23">
                  <c:v>158.21</c:v>
                </c:pt>
                <c:pt idx="24">
                  <c:v>158.96</c:v>
                </c:pt>
                <c:pt idx="25">
                  <c:v>159.12</c:v>
                </c:pt>
                <c:pt idx="26">
                  <c:v>158.63999999999999</c:v>
                </c:pt>
                <c:pt idx="27">
                  <c:v>157.41999999999999</c:v>
                </c:pt>
                <c:pt idx="28">
                  <c:v>157.11000000000001</c:v>
                </c:pt>
                <c:pt idx="29">
                  <c:v>156.27000000000001</c:v>
                </c:pt>
                <c:pt idx="30">
                  <c:v>155.63</c:v>
                </c:pt>
                <c:pt idx="31">
                  <c:v>157.01</c:v>
                </c:pt>
                <c:pt idx="32">
                  <c:v>157.51</c:v>
                </c:pt>
                <c:pt idx="33">
                  <c:v>158.51</c:v>
                </c:pt>
                <c:pt idx="34">
                  <c:v>160.4</c:v>
                </c:pt>
                <c:pt idx="35">
                  <c:v>160.56</c:v>
                </c:pt>
                <c:pt idx="36">
                  <c:v>161.03</c:v>
                </c:pt>
                <c:pt idx="37">
                  <c:v>160.22</c:v>
                </c:pt>
                <c:pt idx="38">
                  <c:v>159.30000000000001</c:v>
                </c:pt>
                <c:pt idx="39">
                  <c:v>160.05000000000001</c:v>
                </c:pt>
                <c:pt idx="40">
                  <c:v>158.94</c:v>
                </c:pt>
                <c:pt idx="41">
                  <c:v>158.85</c:v>
                </c:pt>
                <c:pt idx="42">
                  <c:v>159.56</c:v>
                </c:pt>
                <c:pt idx="43">
                  <c:v>159.32</c:v>
                </c:pt>
                <c:pt idx="44">
                  <c:v>159.57</c:v>
                </c:pt>
                <c:pt idx="45">
                  <c:v>160.62</c:v>
                </c:pt>
                <c:pt idx="46">
                  <c:v>160.35</c:v>
                </c:pt>
                <c:pt idx="47">
                  <c:v>161.55000000000001</c:v>
                </c:pt>
                <c:pt idx="48">
                  <c:v>161.93</c:v>
                </c:pt>
                <c:pt idx="49">
                  <c:v>162.30000000000001</c:v>
                </c:pt>
                <c:pt idx="50">
                  <c:v>161.5</c:v>
                </c:pt>
                <c:pt idx="51">
                  <c:v>161.38</c:v>
                </c:pt>
                <c:pt idx="52">
                  <c:v>161.21</c:v>
                </c:pt>
                <c:pt idx="53">
                  <c:v>161.83000000000001</c:v>
                </c:pt>
                <c:pt idx="54">
                  <c:v>161.99</c:v>
                </c:pt>
                <c:pt idx="55">
                  <c:v>161.86000000000001</c:v>
                </c:pt>
                <c:pt idx="56">
                  <c:v>161.66</c:v>
                </c:pt>
                <c:pt idx="57">
                  <c:v>160.19</c:v>
                </c:pt>
                <c:pt idx="58">
                  <c:v>160.55000000000001</c:v>
                </c:pt>
                <c:pt idx="59">
                  <c:v>162.61000000000001</c:v>
                </c:pt>
                <c:pt idx="60">
                  <c:v>162.25</c:v>
                </c:pt>
                <c:pt idx="61">
                  <c:v>160.58000000000001</c:v>
                </c:pt>
                <c:pt idx="62">
                  <c:v>160.57</c:v>
                </c:pt>
                <c:pt idx="63">
                  <c:v>156.15</c:v>
                </c:pt>
                <c:pt idx="64">
                  <c:v>155.44999999999999</c:v>
                </c:pt>
                <c:pt idx="65">
                  <c:v>156.1</c:v>
                </c:pt>
                <c:pt idx="66">
                  <c:v>156.04</c:v>
                </c:pt>
                <c:pt idx="67">
                  <c:v>156.66</c:v>
                </c:pt>
                <c:pt idx="68">
                  <c:v>157.24</c:v>
                </c:pt>
                <c:pt idx="69">
                  <c:v>155.84</c:v>
                </c:pt>
                <c:pt idx="70">
                  <c:v>155.33000000000001</c:v>
                </c:pt>
                <c:pt idx="71">
                  <c:v>155.44999999999999</c:v>
                </c:pt>
                <c:pt idx="72">
                  <c:v>155.94999999999999</c:v>
                </c:pt>
                <c:pt idx="73">
                  <c:v>156.96</c:v>
                </c:pt>
                <c:pt idx="74">
                  <c:v>157.29</c:v>
                </c:pt>
                <c:pt idx="75">
                  <c:v>158.13999999999999</c:v>
                </c:pt>
                <c:pt idx="76">
                  <c:v>160.54</c:v>
                </c:pt>
                <c:pt idx="77">
                  <c:v>161.5</c:v>
                </c:pt>
                <c:pt idx="78">
                  <c:v>162.6</c:v>
                </c:pt>
                <c:pt idx="79">
                  <c:v>162.55000000000001</c:v>
                </c:pt>
                <c:pt idx="80">
                  <c:v>161.29</c:v>
                </c:pt>
                <c:pt idx="81">
                  <c:v>161.66</c:v>
                </c:pt>
                <c:pt idx="82">
                  <c:v>163.19999999999999</c:v>
                </c:pt>
                <c:pt idx="83">
                  <c:v>163.4</c:v>
                </c:pt>
                <c:pt idx="84">
                  <c:v>163.84</c:v>
                </c:pt>
                <c:pt idx="85">
                  <c:v>164.46</c:v>
                </c:pt>
                <c:pt idx="86">
                  <c:v>164.44</c:v>
                </c:pt>
                <c:pt idx="87">
                  <c:v>165.76</c:v>
                </c:pt>
                <c:pt idx="88">
                  <c:v>165.07</c:v>
                </c:pt>
                <c:pt idx="89">
                  <c:v>166.04</c:v>
                </c:pt>
                <c:pt idx="90">
                  <c:v>166.85</c:v>
                </c:pt>
                <c:pt idx="91">
                  <c:v>165.87</c:v>
                </c:pt>
                <c:pt idx="92">
                  <c:v>165.76</c:v>
                </c:pt>
                <c:pt idx="93">
                  <c:v>166.51</c:v>
                </c:pt>
                <c:pt idx="94">
                  <c:v>167.86</c:v>
                </c:pt>
                <c:pt idx="95">
                  <c:v>167.64</c:v>
                </c:pt>
                <c:pt idx="96">
                  <c:v>167.31</c:v>
                </c:pt>
                <c:pt idx="97">
                  <c:v>168.35</c:v>
                </c:pt>
                <c:pt idx="98">
                  <c:v>167.81</c:v>
                </c:pt>
                <c:pt idx="99">
                  <c:v>165.49</c:v>
                </c:pt>
                <c:pt idx="100">
                  <c:v>165.33</c:v>
                </c:pt>
                <c:pt idx="101">
                  <c:v>163.11000000000001</c:v>
                </c:pt>
                <c:pt idx="102">
                  <c:v>161.65</c:v>
                </c:pt>
                <c:pt idx="103">
                  <c:v>162.58000000000001</c:v>
                </c:pt>
                <c:pt idx="104">
                  <c:v>164.54</c:v>
                </c:pt>
                <c:pt idx="105">
                  <c:v>164.65</c:v>
                </c:pt>
                <c:pt idx="106">
                  <c:v>167.01</c:v>
                </c:pt>
                <c:pt idx="107">
                  <c:v>166.05</c:v>
                </c:pt>
                <c:pt idx="108">
                  <c:v>168.47</c:v>
                </c:pt>
                <c:pt idx="109">
                  <c:v>167.06</c:v>
                </c:pt>
                <c:pt idx="110">
                  <c:v>167.35</c:v>
                </c:pt>
                <c:pt idx="111">
                  <c:v>167.48</c:v>
                </c:pt>
                <c:pt idx="112">
                  <c:v>165.18</c:v>
                </c:pt>
                <c:pt idx="113">
                  <c:v>166.41</c:v>
                </c:pt>
                <c:pt idx="114">
                  <c:v>166.79</c:v>
                </c:pt>
                <c:pt idx="115">
                  <c:v>167.5</c:v>
                </c:pt>
                <c:pt idx="116">
                  <c:v>168.56</c:v>
                </c:pt>
                <c:pt idx="117">
                  <c:v>167.67</c:v>
                </c:pt>
                <c:pt idx="118">
                  <c:v>168.26</c:v>
                </c:pt>
                <c:pt idx="119">
                  <c:v>168.45</c:v>
                </c:pt>
                <c:pt idx="120">
                  <c:v>166.85</c:v>
                </c:pt>
                <c:pt idx="121">
                  <c:v>167.45</c:v>
                </c:pt>
                <c:pt idx="122">
                  <c:v>166.62</c:v>
                </c:pt>
                <c:pt idx="123">
                  <c:v>164.92</c:v>
                </c:pt>
                <c:pt idx="124">
                  <c:v>162.72</c:v>
                </c:pt>
                <c:pt idx="125">
                  <c:v>163.9</c:v>
                </c:pt>
                <c:pt idx="126">
                  <c:v>163.83000000000001</c:v>
                </c:pt>
                <c:pt idx="127">
                  <c:v>165.21</c:v>
                </c:pt>
                <c:pt idx="128">
                  <c:v>166.52</c:v>
                </c:pt>
                <c:pt idx="129">
                  <c:v>165.66</c:v>
                </c:pt>
                <c:pt idx="130">
                  <c:v>166.8</c:v>
                </c:pt>
                <c:pt idx="131">
                  <c:v>165.54</c:v>
                </c:pt>
                <c:pt idx="132">
                  <c:v>166.61</c:v>
                </c:pt>
                <c:pt idx="133">
                  <c:v>164.58</c:v>
                </c:pt>
                <c:pt idx="134">
                  <c:v>166.95</c:v>
                </c:pt>
                <c:pt idx="135">
                  <c:v>169.44</c:v>
                </c:pt>
                <c:pt idx="136">
                  <c:v>168.44</c:v>
                </c:pt>
                <c:pt idx="137">
                  <c:v>167.96</c:v>
                </c:pt>
                <c:pt idx="138">
                  <c:v>168.25</c:v>
                </c:pt>
                <c:pt idx="139">
                  <c:v>166.62</c:v>
                </c:pt>
                <c:pt idx="140">
                  <c:v>168</c:v>
                </c:pt>
                <c:pt idx="141">
                  <c:v>166.9</c:v>
                </c:pt>
                <c:pt idx="142">
                  <c:v>169.11</c:v>
                </c:pt>
                <c:pt idx="143">
                  <c:v>169.93</c:v>
                </c:pt>
                <c:pt idx="144">
                  <c:v>161.69999999999999</c:v>
                </c:pt>
                <c:pt idx="145">
                  <c:v>160.76</c:v>
                </c:pt>
                <c:pt idx="146">
                  <c:v>165.69</c:v>
                </c:pt>
                <c:pt idx="147">
                  <c:v>170.08</c:v>
                </c:pt>
                <c:pt idx="148">
                  <c:v>168.06</c:v>
                </c:pt>
                <c:pt idx="149">
                  <c:v>168.09</c:v>
                </c:pt>
                <c:pt idx="150">
                  <c:v>170.02</c:v>
                </c:pt>
                <c:pt idx="151">
                  <c:v>170.87</c:v>
                </c:pt>
                <c:pt idx="152">
                  <c:v>170.54</c:v>
                </c:pt>
                <c:pt idx="153">
                  <c:v>166.81</c:v>
                </c:pt>
                <c:pt idx="154">
                  <c:v>167.29</c:v>
                </c:pt>
                <c:pt idx="155">
                  <c:v>168.8</c:v>
                </c:pt>
                <c:pt idx="156">
                  <c:v>167.92</c:v>
                </c:pt>
                <c:pt idx="157">
                  <c:v>167.89</c:v>
                </c:pt>
                <c:pt idx="158">
                  <c:v>168.42</c:v>
                </c:pt>
                <c:pt idx="159">
                  <c:v>170.41</c:v>
                </c:pt>
                <c:pt idx="160">
                  <c:v>170.16</c:v>
                </c:pt>
                <c:pt idx="161">
                  <c:v>170.15</c:v>
                </c:pt>
                <c:pt idx="162">
                  <c:v>169.17</c:v>
                </c:pt>
                <c:pt idx="163">
                  <c:v>170.35</c:v>
                </c:pt>
                <c:pt idx="164">
                  <c:v>169.25</c:v>
                </c:pt>
                <c:pt idx="165">
                  <c:v>169.06</c:v>
                </c:pt>
                <c:pt idx="166">
                  <c:v>170.03</c:v>
                </c:pt>
                <c:pt idx="167">
                  <c:v>171.54</c:v>
                </c:pt>
                <c:pt idx="168">
                  <c:v>174.52</c:v>
                </c:pt>
                <c:pt idx="169">
                  <c:v>175.9</c:v>
                </c:pt>
                <c:pt idx="170">
                  <c:v>175.47</c:v>
                </c:pt>
                <c:pt idx="171">
                  <c:v>175.59</c:v>
                </c:pt>
                <c:pt idx="172">
                  <c:v>176.06</c:v>
                </c:pt>
                <c:pt idx="173">
                  <c:v>177.79</c:v>
                </c:pt>
                <c:pt idx="174">
                  <c:v>173.92</c:v>
                </c:pt>
                <c:pt idx="175">
                  <c:v>173.47</c:v>
                </c:pt>
                <c:pt idx="176">
                  <c:v>174.08</c:v>
                </c:pt>
                <c:pt idx="177">
                  <c:v>177.24</c:v>
                </c:pt>
                <c:pt idx="178">
                  <c:v>175.88</c:v>
                </c:pt>
                <c:pt idx="179">
                  <c:v>173.92</c:v>
                </c:pt>
                <c:pt idx="180">
                  <c:v>171.54</c:v>
                </c:pt>
                <c:pt idx="181">
                  <c:v>174.22</c:v>
                </c:pt>
                <c:pt idx="182">
                  <c:v>173.77</c:v>
                </c:pt>
                <c:pt idx="183">
                  <c:v>173.24</c:v>
                </c:pt>
                <c:pt idx="184">
                  <c:v>172.26</c:v>
                </c:pt>
                <c:pt idx="185">
                  <c:v>173.21</c:v>
                </c:pt>
                <c:pt idx="186">
                  <c:v>173.55</c:v>
                </c:pt>
                <c:pt idx="187">
                  <c:v>173.2</c:v>
                </c:pt>
                <c:pt idx="188">
                  <c:v>173.04</c:v>
                </c:pt>
                <c:pt idx="189">
                  <c:v>171.92</c:v>
                </c:pt>
                <c:pt idx="190">
                  <c:v>170.12</c:v>
                </c:pt>
                <c:pt idx="191">
                  <c:v>168.88</c:v>
                </c:pt>
                <c:pt idx="192">
                  <c:v>167.12</c:v>
                </c:pt>
                <c:pt idx="193">
                  <c:v>168.16</c:v>
                </c:pt>
                <c:pt idx="194">
                  <c:v>169.27</c:v>
                </c:pt>
                <c:pt idx="195">
                  <c:v>168.95</c:v>
                </c:pt>
                <c:pt idx="196">
                  <c:v>171.09</c:v>
                </c:pt>
                <c:pt idx="197">
                  <c:v>172.51</c:v>
                </c:pt>
                <c:pt idx="198">
                  <c:v>173.57</c:v>
                </c:pt>
                <c:pt idx="199">
                  <c:v>172.38</c:v>
                </c:pt>
                <c:pt idx="200">
                  <c:v>172.28</c:v>
                </c:pt>
                <c:pt idx="201">
                  <c:v>171.28</c:v>
                </c:pt>
                <c:pt idx="202">
                  <c:v>169.54</c:v>
                </c:pt>
                <c:pt idx="203">
                  <c:v>169.7</c:v>
                </c:pt>
                <c:pt idx="204">
                  <c:v>169.58</c:v>
                </c:pt>
                <c:pt idx="205">
                  <c:v>169.62</c:v>
                </c:pt>
                <c:pt idx="206">
                  <c:v>168.22</c:v>
                </c:pt>
                <c:pt idx="207">
                  <c:v>169.3</c:v>
                </c:pt>
                <c:pt idx="208">
                  <c:v>167.17</c:v>
                </c:pt>
                <c:pt idx="209">
                  <c:v>166.16</c:v>
                </c:pt>
                <c:pt idx="210">
                  <c:v>165.18</c:v>
                </c:pt>
                <c:pt idx="211">
                  <c:v>165.1</c:v>
                </c:pt>
                <c:pt idx="212">
                  <c:v>165.08</c:v>
                </c:pt>
                <c:pt idx="213">
                  <c:v>165.76</c:v>
                </c:pt>
                <c:pt idx="214">
                  <c:v>161.05000000000001</c:v>
                </c:pt>
                <c:pt idx="215">
                  <c:v>163.41</c:v>
                </c:pt>
                <c:pt idx="216">
                  <c:v>167.71</c:v>
                </c:pt>
                <c:pt idx="217">
                  <c:v>166.03</c:v>
                </c:pt>
                <c:pt idx="218">
                  <c:v>165.84</c:v>
                </c:pt>
                <c:pt idx="219">
                  <c:v>166.58</c:v>
                </c:pt>
                <c:pt idx="220">
                  <c:v>167.08</c:v>
                </c:pt>
                <c:pt idx="221">
                  <c:v>169.54</c:v>
                </c:pt>
                <c:pt idx="222">
                  <c:v>170.75</c:v>
                </c:pt>
                <c:pt idx="223">
                  <c:v>170.76</c:v>
                </c:pt>
                <c:pt idx="224">
                  <c:v>170.89</c:v>
                </c:pt>
                <c:pt idx="225">
                  <c:v>172.75</c:v>
                </c:pt>
                <c:pt idx="226">
                  <c:v>176.28</c:v>
                </c:pt>
                <c:pt idx="227">
                  <c:v>177.39</c:v>
                </c:pt>
                <c:pt idx="228">
                  <c:v>179.31</c:v>
                </c:pt>
                <c:pt idx="229">
                  <c:v>179.36</c:v>
                </c:pt>
                <c:pt idx="230">
                  <c:v>179.26</c:v>
                </c:pt>
                <c:pt idx="231">
                  <c:v>179.7</c:v>
                </c:pt>
                <c:pt idx="232">
                  <c:v>175.42</c:v>
                </c:pt>
                <c:pt idx="233">
                  <c:v>175.11</c:v>
                </c:pt>
                <c:pt idx="234">
                  <c:v>176.03</c:v>
                </c:pt>
                <c:pt idx="235">
                  <c:v>173.82</c:v>
                </c:pt>
                <c:pt idx="236">
                  <c:v>170.79</c:v>
                </c:pt>
                <c:pt idx="237">
                  <c:v>172.28</c:v>
                </c:pt>
                <c:pt idx="238">
                  <c:v>170.63</c:v>
                </c:pt>
                <c:pt idx="239">
                  <c:v>170.85</c:v>
                </c:pt>
                <c:pt idx="240">
                  <c:v>171.06</c:v>
                </c:pt>
                <c:pt idx="241">
                  <c:v>171.14</c:v>
                </c:pt>
                <c:pt idx="242">
                  <c:v>170.33</c:v>
                </c:pt>
                <c:pt idx="243">
                  <c:v>169.08</c:v>
                </c:pt>
                <c:pt idx="244">
                  <c:v>169.19</c:v>
                </c:pt>
                <c:pt idx="245">
                  <c:v>168.06</c:v>
                </c:pt>
                <c:pt idx="246">
                  <c:v>168.11</c:v>
                </c:pt>
                <c:pt idx="247">
                  <c:v>168.94</c:v>
                </c:pt>
                <c:pt idx="248">
                  <c:v>170.16</c:v>
                </c:pt>
                <c:pt idx="249">
                  <c:v>169.53</c:v>
                </c:pt>
                <c:pt idx="250">
                  <c:v>167.09</c:v>
                </c:pt>
                <c:pt idx="251">
                  <c:v>167.65</c:v>
                </c:pt>
                <c:pt idx="252">
                  <c:v>165.98</c:v>
                </c:pt>
                <c:pt idx="253">
                  <c:v>165.13</c:v>
                </c:pt>
                <c:pt idx="254">
                  <c:v>160.6</c:v>
                </c:pt>
                <c:pt idx="255">
                  <c:v>161.30000000000001</c:v>
                </c:pt>
                <c:pt idx="256">
                  <c:v>162.1</c:v>
                </c:pt>
                <c:pt idx="257">
                  <c:v>158.56</c:v>
                </c:pt>
                <c:pt idx="258">
                  <c:v>158.84</c:v>
                </c:pt>
                <c:pt idx="259">
                  <c:v>159.74</c:v>
                </c:pt>
                <c:pt idx="260">
                  <c:v>159.65</c:v>
                </c:pt>
                <c:pt idx="261">
                  <c:v>160.5</c:v>
                </c:pt>
                <c:pt idx="262">
                  <c:v>161.13</c:v>
                </c:pt>
                <c:pt idx="263">
                  <c:v>161.72</c:v>
                </c:pt>
                <c:pt idx="264">
                  <c:v>164.74</c:v>
                </c:pt>
                <c:pt idx="265">
                  <c:v>166.15</c:v>
                </c:pt>
                <c:pt idx="266">
                  <c:v>164.12</c:v>
                </c:pt>
                <c:pt idx="267">
                  <c:v>169.66</c:v>
                </c:pt>
                <c:pt idx="268">
                  <c:v>166.19</c:v>
                </c:pt>
                <c:pt idx="269">
                  <c:v>166.23</c:v>
                </c:pt>
                <c:pt idx="270">
                  <c:v>167.41</c:v>
                </c:pt>
                <c:pt idx="271">
                  <c:v>165.99</c:v>
                </c:pt>
                <c:pt idx="272">
                  <c:v>168.76</c:v>
                </c:pt>
                <c:pt idx="273">
                  <c:v>168.13</c:v>
                </c:pt>
                <c:pt idx="274">
                  <c:v>169.01</c:v>
                </c:pt>
                <c:pt idx="275">
                  <c:v>168.88</c:v>
                </c:pt>
                <c:pt idx="276">
                  <c:v>167.97</c:v>
                </c:pt>
                <c:pt idx="277">
                  <c:v>167.53</c:v>
                </c:pt>
                <c:pt idx="278">
                  <c:v>169.43</c:v>
                </c:pt>
                <c:pt idx="279">
                  <c:v>169.58</c:v>
                </c:pt>
                <c:pt idx="280">
                  <c:v>171.02</c:v>
                </c:pt>
                <c:pt idx="281">
                  <c:v>162.88999999999999</c:v>
                </c:pt>
                <c:pt idx="282">
                  <c:v>165.43</c:v>
                </c:pt>
                <c:pt idx="283">
                  <c:v>166.49</c:v>
                </c:pt>
                <c:pt idx="284">
                  <c:v>167.21</c:v>
                </c:pt>
                <c:pt idx="285">
                  <c:v>170.23</c:v>
                </c:pt>
                <c:pt idx="286">
                  <c:v>170.54</c:v>
                </c:pt>
                <c:pt idx="287">
                  <c:v>172.65</c:v>
                </c:pt>
                <c:pt idx="288">
                  <c:v>171.3</c:v>
                </c:pt>
                <c:pt idx="289">
                  <c:v>171.97</c:v>
                </c:pt>
                <c:pt idx="290">
                  <c:v>173.84</c:v>
                </c:pt>
                <c:pt idx="291">
                  <c:v>175.59</c:v>
                </c:pt>
                <c:pt idx="292">
                  <c:v>173.18</c:v>
                </c:pt>
                <c:pt idx="293">
                  <c:v>174.61</c:v>
                </c:pt>
                <c:pt idx="294">
                  <c:v>174.66</c:v>
                </c:pt>
                <c:pt idx="295">
                  <c:v>175.95</c:v>
                </c:pt>
                <c:pt idx="296">
                  <c:v>176.26</c:v>
                </c:pt>
                <c:pt idx="297">
                  <c:v>173.12</c:v>
                </c:pt>
                <c:pt idx="298">
                  <c:v>168.37</c:v>
                </c:pt>
                <c:pt idx="299">
                  <c:v>168.59</c:v>
                </c:pt>
                <c:pt idx="300">
                  <c:v>167.97</c:v>
                </c:pt>
                <c:pt idx="301">
                  <c:v>169.76</c:v>
                </c:pt>
                <c:pt idx="302">
                  <c:v>167.71</c:v>
                </c:pt>
                <c:pt idx="303">
                  <c:v>168.57</c:v>
                </c:pt>
                <c:pt idx="304">
                  <c:v>167.55</c:v>
                </c:pt>
                <c:pt idx="305">
                  <c:v>166.69</c:v>
                </c:pt>
                <c:pt idx="306">
                  <c:v>165.65</c:v>
                </c:pt>
                <c:pt idx="307">
                  <c:v>162.85</c:v>
                </c:pt>
                <c:pt idx="308">
                  <c:v>166.58</c:v>
                </c:pt>
                <c:pt idx="309">
                  <c:v>168.71</c:v>
                </c:pt>
                <c:pt idx="310">
                  <c:v>168.03</c:v>
                </c:pt>
                <c:pt idx="311">
                  <c:v>170.42</c:v>
                </c:pt>
                <c:pt idx="312">
                  <c:v>170.56</c:v>
                </c:pt>
                <c:pt idx="313">
                  <c:v>169.5</c:v>
                </c:pt>
                <c:pt idx="314">
                  <c:v>172.39</c:v>
                </c:pt>
                <c:pt idx="315">
                  <c:v>163.75</c:v>
                </c:pt>
                <c:pt idx="316">
                  <c:v>160.22999999999999</c:v>
                </c:pt>
                <c:pt idx="317">
                  <c:v>158.38999999999999</c:v>
                </c:pt>
                <c:pt idx="318">
                  <c:v>162.32</c:v>
                </c:pt>
                <c:pt idx="319">
                  <c:v>163.56</c:v>
                </c:pt>
                <c:pt idx="320">
                  <c:v>166.91</c:v>
                </c:pt>
                <c:pt idx="321">
                  <c:v>169.13</c:v>
                </c:pt>
                <c:pt idx="322">
                  <c:v>168.47</c:v>
                </c:pt>
                <c:pt idx="323">
                  <c:v>166.39</c:v>
                </c:pt>
                <c:pt idx="324">
                  <c:v>170.63</c:v>
                </c:pt>
                <c:pt idx="325">
                  <c:v>165.75</c:v>
                </c:pt>
                <c:pt idx="326">
                  <c:v>167.88</c:v>
                </c:pt>
                <c:pt idx="327">
                  <c:v>165.73</c:v>
                </c:pt>
                <c:pt idx="328">
                  <c:v>159.53</c:v>
                </c:pt>
                <c:pt idx="329">
                  <c:v>161.02000000000001</c:v>
                </c:pt>
                <c:pt idx="330">
                  <c:v>161.85</c:v>
                </c:pt>
                <c:pt idx="331">
                  <c:v>162.26</c:v>
                </c:pt>
                <c:pt idx="332">
                  <c:v>162.57</c:v>
                </c:pt>
                <c:pt idx="333">
                  <c:v>159.97999999999999</c:v>
                </c:pt>
                <c:pt idx="334">
                  <c:v>160.52000000000001</c:v>
                </c:pt>
                <c:pt idx="335">
                  <c:v>158.83000000000001</c:v>
                </c:pt>
                <c:pt idx="336">
                  <c:v>159.25</c:v>
                </c:pt>
                <c:pt idx="337">
                  <c:v>159.29</c:v>
                </c:pt>
                <c:pt idx="338">
                  <c:v>158.65</c:v>
                </c:pt>
                <c:pt idx="339">
                  <c:v>157.66</c:v>
                </c:pt>
                <c:pt idx="340">
                  <c:v>160.9</c:v>
                </c:pt>
                <c:pt idx="341">
                  <c:v>158.72999999999999</c:v>
                </c:pt>
                <c:pt idx="342">
                  <c:v>158.02000000000001</c:v>
                </c:pt>
                <c:pt idx="343">
                  <c:v>162.41</c:v>
                </c:pt>
                <c:pt idx="344">
                  <c:v>163.28</c:v>
                </c:pt>
                <c:pt idx="345">
                  <c:v>164.77</c:v>
                </c:pt>
                <c:pt idx="346">
                  <c:v>165.64</c:v>
                </c:pt>
                <c:pt idx="347">
                  <c:v>165.43</c:v>
                </c:pt>
                <c:pt idx="348">
                  <c:v>165.03</c:v>
                </c:pt>
                <c:pt idx="349">
                  <c:v>165.86</c:v>
                </c:pt>
                <c:pt idx="350">
                  <c:v>167.76</c:v>
                </c:pt>
                <c:pt idx="351">
                  <c:v>167.36</c:v>
                </c:pt>
                <c:pt idx="352">
                  <c:v>168.56</c:v>
                </c:pt>
                <c:pt idx="353">
                  <c:v>169.89</c:v>
                </c:pt>
                <c:pt idx="354">
                  <c:v>167.78</c:v>
                </c:pt>
                <c:pt idx="355">
                  <c:v>166.85</c:v>
                </c:pt>
                <c:pt idx="356">
                  <c:v>165.95</c:v>
                </c:pt>
                <c:pt idx="357">
                  <c:v>162.80000000000001</c:v>
                </c:pt>
                <c:pt idx="358">
                  <c:v>164.02</c:v>
                </c:pt>
                <c:pt idx="359">
                  <c:v>162.56</c:v>
                </c:pt>
                <c:pt idx="360">
                  <c:v>162.84</c:v>
                </c:pt>
                <c:pt idx="361">
                  <c:v>162.11000000000001</c:v>
                </c:pt>
                <c:pt idx="362">
                  <c:v>163.18</c:v>
                </c:pt>
                <c:pt idx="363">
                  <c:v>160.28</c:v>
                </c:pt>
                <c:pt idx="364">
                  <c:v>160.88</c:v>
                </c:pt>
                <c:pt idx="365">
                  <c:v>158.52000000000001</c:v>
                </c:pt>
                <c:pt idx="366">
                  <c:v>158.02000000000001</c:v>
                </c:pt>
                <c:pt idx="367">
                  <c:v>159.08000000000001</c:v>
                </c:pt>
                <c:pt idx="368">
                  <c:v>161.03</c:v>
                </c:pt>
                <c:pt idx="369">
                  <c:v>160.36000000000001</c:v>
                </c:pt>
                <c:pt idx="370">
                  <c:v>158.97</c:v>
                </c:pt>
                <c:pt idx="371">
                  <c:v>158.63</c:v>
                </c:pt>
                <c:pt idx="372">
                  <c:v>159.86000000000001</c:v>
                </c:pt>
                <c:pt idx="373">
                  <c:v>159.32</c:v>
                </c:pt>
                <c:pt idx="374">
                  <c:v>161.22</c:v>
                </c:pt>
                <c:pt idx="375">
                  <c:v>161.19999999999999</c:v>
                </c:pt>
                <c:pt idx="376">
                  <c:v>160.83000000000001</c:v>
                </c:pt>
                <c:pt idx="377">
                  <c:v>160.5</c:v>
                </c:pt>
                <c:pt idx="378">
                  <c:v>157.88999999999999</c:v>
                </c:pt>
                <c:pt idx="379">
                  <c:v>157.52000000000001</c:v>
                </c:pt>
                <c:pt idx="380">
                  <c:v>158.49</c:v>
                </c:pt>
                <c:pt idx="381">
                  <c:v>157.05000000000001</c:v>
                </c:pt>
                <c:pt idx="382">
                  <c:v>153.76</c:v>
                </c:pt>
                <c:pt idx="383">
                  <c:v>152.68</c:v>
                </c:pt>
                <c:pt idx="384">
                  <c:v>153.72999999999999</c:v>
                </c:pt>
                <c:pt idx="385">
                  <c:v>155.62</c:v>
                </c:pt>
                <c:pt idx="386">
                  <c:v>155.1</c:v>
                </c:pt>
                <c:pt idx="387">
                  <c:v>155.03</c:v>
                </c:pt>
                <c:pt idx="388">
                  <c:v>158.32</c:v>
                </c:pt>
                <c:pt idx="389">
                  <c:v>158.28</c:v>
                </c:pt>
                <c:pt idx="390">
                  <c:v>158.81</c:v>
                </c:pt>
                <c:pt idx="391">
                  <c:v>158.30000000000001</c:v>
                </c:pt>
                <c:pt idx="392">
                  <c:v>157.11000000000001</c:v>
                </c:pt>
                <c:pt idx="393">
                  <c:v>156.61000000000001</c:v>
                </c:pt>
                <c:pt idx="394">
                  <c:v>152.88</c:v>
                </c:pt>
                <c:pt idx="395">
                  <c:v>150.47</c:v>
                </c:pt>
                <c:pt idx="396">
                  <c:v>150.65</c:v>
                </c:pt>
                <c:pt idx="397">
                  <c:v>150.76</c:v>
                </c:pt>
                <c:pt idx="398">
                  <c:v>150.51</c:v>
                </c:pt>
                <c:pt idx="399">
                  <c:v>152.86000000000001</c:v>
                </c:pt>
                <c:pt idx="400">
                  <c:v>153.49</c:v>
                </c:pt>
                <c:pt idx="401">
                  <c:v>153.51</c:v>
                </c:pt>
                <c:pt idx="402">
                  <c:v>154.97999999999999</c:v>
                </c:pt>
                <c:pt idx="403">
                  <c:v>155.09</c:v>
                </c:pt>
                <c:pt idx="404">
                  <c:v>155.41</c:v>
                </c:pt>
                <c:pt idx="405">
                  <c:v>153.74</c:v>
                </c:pt>
                <c:pt idx="406">
                  <c:v>154.36000000000001</c:v>
                </c:pt>
                <c:pt idx="407">
                  <c:v>155.72</c:v>
                </c:pt>
                <c:pt idx="408">
                  <c:v>158.4</c:v>
                </c:pt>
                <c:pt idx="409">
                  <c:v>159.51</c:v>
                </c:pt>
                <c:pt idx="410">
                  <c:v>158.72999999999999</c:v>
                </c:pt>
                <c:pt idx="411">
                  <c:v>158.66999999999999</c:v>
                </c:pt>
                <c:pt idx="412">
                  <c:v>156.15</c:v>
                </c:pt>
                <c:pt idx="413">
                  <c:v>155.97</c:v>
                </c:pt>
                <c:pt idx="414">
                  <c:v>156.96</c:v>
                </c:pt>
                <c:pt idx="415">
                  <c:v>155.65</c:v>
                </c:pt>
                <c:pt idx="416">
                  <c:v>157.04</c:v>
                </c:pt>
                <c:pt idx="417">
                  <c:v>157.99</c:v>
                </c:pt>
                <c:pt idx="418">
                  <c:v>158.16999999999999</c:v>
                </c:pt>
                <c:pt idx="419">
                  <c:v>159.19</c:v>
                </c:pt>
                <c:pt idx="420">
                  <c:v>160.02000000000001</c:v>
                </c:pt>
                <c:pt idx="421">
                  <c:v>159.01</c:v>
                </c:pt>
                <c:pt idx="422">
                  <c:v>159.46</c:v>
                </c:pt>
                <c:pt idx="423">
                  <c:v>157.35</c:v>
                </c:pt>
                <c:pt idx="424">
                  <c:v>158.63</c:v>
                </c:pt>
                <c:pt idx="425">
                  <c:v>157.9</c:v>
                </c:pt>
                <c:pt idx="426">
                  <c:v>156.83000000000001</c:v>
                </c:pt>
                <c:pt idx="427">
                  <c:v>158.05000000000001</c:v>
                </c:pt>
                <c:pt idx="428">
                  <c:v>160.33000000000001</c:v>
                </c:pt>
                <c:pt idx="429">
                  <c:v>157.32</c:v>
                </c:pt>
                <c:pt idx="430">
                  <c:v>156.04</c:v>
                </c:pt>
                <c:pt idx="431">
                  <c:v>153.07</c:v>
                </c:pt>
                <c:pt idx="432">
                  <c:v>152.5</c:v>
                </c:pt>
                <c:pt idx="433">
                  <c:v>152.41999999999999</c:v>
                </c:pt>
                <c:pt idx="434">
                  <c:v>152.15</c:v>
                </c:pt>
                <c:pt idx="435">
                  <c:v>152.5</c:v>
                </c:pt>
                <c:pt idx="436">
                  <c:v>153.53</c:v>
                </c:pt>
                <c:pt idx="437">
                  <c:v>153.65</c:v>
                </c:pt>
                <c:pt idx="438">
                  <c:v>153.18</c:v>
                </c:pt>
                <c:pt idx="439">
                  <c:v>152.05000000000001</c:v>
                </c:pt>
                <c:pt idx="440">
                  <c:v>152.27000000000001</c:v>
                </c:pt>
                <c:pt idx="441">
                  <c:v>150.41</c:v>
                </c:pt>
                <c:pt idx="442">
                  <c:v>152.54</c:v>
                </c:pt>
                <c:pt idx="443">
                  <c:v>150.69</c:v>
                </c:pt>
                <c:pt idx="444">
                  <c:v>150.58000000000001</c:v>
                </c:pt>
                <c:pt idx="445">
                  <c:v>149.69</c:v>
                </c:pt>
                <c:pt idx="446">
                  <c:v>147.49</c:v>
                </c:pt>
                <c:pt idx="447">
                  <c:v>149.16</c:v>
                </c:pt>
                <c:pt idx="448">
                  <c:v>147.41999999999999</c:v>
                </c:pt>
                <c:pt idx="449">
                  <c:v>149.6</c:v>
                </c:pt>
                <c:pt idx="450">
                  <c:v>151.4</c:v>
                </c:pt>
                <c:pt idx="451">
                  <c:v>151.96</c:v>
                </c:pt>
                <c:pt idx="452">
                  <c:v>151.62</c:v>
                </c:pt>
                <c:pt idx="453">
                  <c:v>152.19999999999999</c:v>
                </c:pt>
                <c:pt idx="454">
                  <c:v>152.21</c:v>
                </c:pt>
                <c:pt idx="455">
                  <c:v>152.49</c:v>
                </c:pt>
                <c:pt idx="456">
                  <c:v>151.74</c:v>
                </c:pt>
                <c:pt idx="457">
                  <c:v>151.37</c:v>
                </c:pt>
                <c:pt idx="458">
                  <c:v>148.77000000000001</c:v>
                </c:pt>
                <c:pt idx="459">
                  <c:v>149.58000000000001</c:v>
                </c:pt>
                <c:pt idx="460">
                  <c:v>150.37</c:v>
                </c:pt>
                <c:pt idx="461">
                  <c:v>148.02000000000001</c:v>
                </c:pt>
                <c:pt idx="462">
                  <c:v>147.16999999999999</c:v>
                </c:pt>
                <c:pt idx="463">
                  <c:v>145.79</c:v>
                </c:pt>
                <c:pt idx="464">
                  <c:v>146.13</c:v>
                </c:pt>
                <c:pt idx="465">
                  <c:v>146.97999999999999</c:v>
                </c:pt>
                <c:pt idx="466">
                  <c:v>145.5</c:v>
                </c:pt>
                <c:pt idx="467">
                  <c:v>148.54</c:v>
                </c:pt>
                <c:pt idx="468">
                  <c:v>148.01</c:v>
                </c:pt>
                <c:pt idx="469">
                  <c:v>147.96</c:v>
                </c:pt>
                <c:pt idx="470">
                  <c:v>147.66999999999999</c:v>
                </c:pt>
                <c:pt idx="471">
                  <c:v>145.82</c:v>
                </c:pt>
                <c:pt idx="472">
                  <c:v>146.99</c:v>
                </c:pt>
                <c:pt idx="473">
                  <c:v>146.99</c:v>
                </c:pt>
                <c:pt idx="474">
                  <c:v>148.19</c:v>
                </c:pt>
                <c:pt idx="475">
                  <c:v>150.91999999999999</c:v>
                </c:pt>
                <c:pt idx="476">
                  <c:v>146.97999999999999</c:v>
                </c:pt>
                <c:pt idx="477">
                  <c:v>148.49</c:v>
                </c:pt>
                <c:pt idx="478">
                  <c:v>148.25</c:v>
                </c:pt>
                <c:pt idx="479">
                  <c:v>148.16</c:v>
                </c:pt>
                <c:pt idx="480">
                  <c:v>147.44</c:v>
                </c:pt>
                <c:pt idx="481">
                  <c:v>145.86000000000001</c:v>
                </c:pt>
                <c:pt idx="482">
                  <c:v>146.71</c:v>
                </c:pt>
                <c:pt idx="483">
                  <c:v>145.36000000000001</c:v>
                </c:pt>
                <c:pt idx="484">
                  <c:v>143.44999999999999</c:v>
                </c:pt>
                <c:pt idx="485">
                  <c:v>138.34</c:v>
                </c:pt>
                <c:pt idx="486">
                  <c:v>139.63</c:v>
                </c:pt>
                <c:pt idx="487">
                  <c:v>139.82</c:v>
                </c:pt>
                <c:pt idx="488">
                  <c:v>140.76</c:v>
                </c:pt>
                <c:pt idx="489">
                  <c:v>142.84</c:v>
                </c:pt>
                <c:pt idx="490">
                  <c:v>145.13</c:v>
                </c:pt>
                <c:pt idx="491">
                  <c:v>145.21</c:v>
                </c:pt>
                <c:pt idx="492">
                  <c:v>147.81</c:v>
                </c:pt>
                <c:pt idx="493">
                  <c:v>145.52000000000001</c:v>
                </c:pt>
                <c:pt idx="494">
                  <c:v>144.46</c:v>
                </c:pt>
                <c:pt idx="495">
                  <c:v>142.69</c:v>
                </c:pt>
                <c:pt idx="496">
                  <c:v>143.18</c:v>
                </c:pt>
                <c:pt idx="497">
                  <c:v>144.49</c:v>
                </c:pt>
                <c:pt idx="498">
                  <c:v>144.74</c:v>
                </c:pt>
                <c:pt idx="499">
                  <c:v>144.57</c:v>
                </c:pt>
                <c:pt idx="500">
                  <c:v>144.05000000000001</c:v>
                </c:pt>
                <c:pt idx="501">
                  <c:v>143.31</c:v>
                </c:pt>
                <c:pt idx="502">
                  <c:v>141.79</c:v>
                </c:pt>
                <c:pt idx="503">
                  <c:v>140.37</c:v>
                </c:pt>
                <c:pt idx="504">
                  <c:v>139.91</c:v>
                </c:pt>
                <c:pt idx="505">
                  <c:v>138.04</c:v>
                </c:pt>
                <c:pt idx="506">
                  <c:v>141.53</c:v>
                </c:pt>
                <c:pt idx="507">
                  <c:v>141.87</c:v>
                </c:pt>
                <c:pt idx="508">
                  <c:v>143.46</c:v>
                </c:pt>
                <c:pt idx="509">
                  <c:v>144.24</c:v>
                </c:pt>
                <c:pt idx="510">
                  <c:v>146.35</c:v>
                </c:pt>
                <c:pt idx="511">
                  <c:v>144.63</c:v>
                </c:pt>
                <c:pt idx="512">
                  <c:v>144.53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2-4057-AC0F-B85F75168E7F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Data!$J$2:$J$514</c:f>
              <c:numCache>
                <c:formatCode>General</c:formatCode>
                <c:ptCount val="513"/>
                <c:pt idx="19">
                  <c:v>150.82499999999996</c:v>
                </c:pt>
                <c:pt idx="20">
                  <c:v>151.24499999999995</c:v>
                </c:pt>
                <c:pt idx="21">
                  <c:v>151.81199999999995</c:v>
                </c:pt>
                <c:pt idx="22">
                  <c:v>152.28399999999996</c:v>
                </c:pt>
                <c:pt idx="23">
                  <c:v>152.82349999999997</c:v>
                </c:pt>
                <c:pt idx="24">
                  <c:v>153.33699999999993</c:v>
                </c:pt>
                <c:pt idx="25">
                  <c:v>153.82799999999997</c:v>
                </c:pt>
                <c:pt idx="26">
                  <c:v>154.26299999999998</c:v>
                </c:pt>
                <c:pt idx="27">
                  <c:v>154.60849999999999</c:v>
                </c:pt>
                <c:pt idx="28">
                  <c:v>154.934</c:v>
                </c:pt>
                <c:pt idx="29">
                  <c:v>155.25799999999998</c:v>
                </c:pt>
                <c:pt idx="30">
                  <c:v>155.54249999999999</c:v>
                </c:pt>
                <c:pt idx="31">
                  <c:v>155.98600000000002</c:v>
                </c:pt>
                <c:pt idx="32">
                  <c:v>156.483</c:v>
                </c:pt>
                <c:pt idx="33">
                  <c:v>157.01550000000003</c:v>
                </c:pt>
                <c:pt idx="34">
                  <c:v>157.33650000000006</c:v>
                </c:pt>
                <c:pt idx="35">
                  <c:v>157.75850000000005</c:v>
                </c:pt>
                <c:pt idx="36">
                  <c:v>158.02900000000002</c:v>
                </c:pt>
                <c:pt idx="37">
                  <c:v>158.23300000000003</c:v>
                </c:pt>
                <c:pt idx="38">
                  <c:v>158.39000000000004</c:v>
                </c:pt>
                <c:pt idx="39">
                  <c:v>158.51800000000003</c:v>
                </c:pt>
                <c:pt idx="40">
                  <c:v>158.608</c:v>
                </c:pt>
                <c:pt idx="41">
                  <c:v>158.5915</c:v>
                </c:pt>
                <c:pt idx="42">
                  <c:v>158.66500000000002</c:v>
                </c:pt>
                <c:pt idx="43">
                  <c:v>158.72050000000002</c:v>
                </c:pt>
                <c:pt idx="44">
                  <c:v>158.75100000000003</c:v>
                </c:pt>
                <c:pt idx="45">
                  <c:v>158.82600000000002</c:v>
                </c:pt>
                <c:pt idx="46">
                  <c:v>158.91149999999999</c:v>
                </c:pt>
                <c:pt idx="47">
                  <c:v>159.11799999999999</c:v>
                </c:pt>
                <c:pt idx="48">
                  <c:v>159.35899999999998</c:v>
                </c:pt>
                <c:pt idx="49">
                  <c:v>159.66050000000001</c:v>
                </c:pt>
                <c:pt idx="50">
                  <c:v>159.95400000000001</c:v>
                </c:pt>
                <c:pt idx="51">
                  <c:v>160.17249999999999</c:v>
                </c:pt>
                <c:pt idx="52">
                  <c:v>160.35750000000002</c:v>
                </c:pt>
                <c:pt idx="53">
                  <c:v>160.52349999999998</c:v>
                </c:pt>
                <c:pt idx="54">
                  <c:v>160.60300000000001</c:v>
                </c:pt>
                <c:pt idx="55">
                  <c:v>160.66800000000001</c:v>
                </c:pt>
                <c:pt idx="56">
                  <c:v>160.6995</c:v>
                </c:pt>
                <c:pt idx="57">
                  <c:v>160.69800000000001</c:v>
                </c:pt>
                <c:pt idx="58">
                  <c:v>160.76050000000001</c:v>
                </c:pt>
                <c:pt idx="59">
                  <c:v>160.88849999999999</c:v>
                </c:pt>
                <c:pt idx="60">
                  <c:v>161.05400000000003</c:v>
                </c:pt>
                <c:pt idx="61">
                  <c:v>161.1405</c:v>
                </c:pt>
                <c:pt idx="62">
                  <c:v>161.191</c:v>
                </c:pt>
                <c:pt idx="63">
                  <c:v>161.0325</c:v>
                </c:pt>
                <c:pt idx="64">
                  <c:v>160.82650000000001</c:v>
                </c:pt>
                <c:pt idx="65">
                  <c:v>160.60050000000001</c:v>
                </c:pt>
                <c:pt idx="66">
                  <c:v>160.38500000000002</c:v>
                </c:pt>
                <c:pt idx="67">
                  <c:v>160.1405</c:v>
                </c:pt>
                <c:pt idx="68">
                  <c:v>159.90600000000001</c:v>
                </c:pt>
                <c:pt idx="69">
                  <c:v>159.583</c:v>
                </c:pt>
                <c:pt idx="70">
                  <c:v>159.27449999999999</c:v>
                </c:pt>
                <c:pt idx="71">
                  <c:v>158.97799999999998</c:v>
                </c:pt>
                <c:pt idx="72">
                  <c:v>158.71499999999997</c:v>
                </c:pt>
                <c:pt idx="73">
                  <c:v>158.47149999999996</c:v>
                </c:pt>
                <c:pt idx="74">
                  <c:v>158.23649999999998</c:v>
                </c:pt>
                <c:pt idx="75">
                  <c:v>158.0505</c:v>
                </c:pt>
                <c:pt idx="76">
                  <c:v>157.99449999999996</c:v>
                </c:pt>
                <c:pt idx="77">
                  <c:v>158.05999999999997</c:v>
                </c:pt>
                <c:pt idx="78">
                  <c:v>158.16249999999997</c:v>
                </c:pt>
                <c:pt idx="79">
                  <c:v>158.15950000000001</c:v>
                </c:pt>
                <c:pt idx="80">
                  <c:v>158.11150000000001</c:v>
                </c:pt>
                <c:pt idx="81">
                  <c:v>158.16550000000001</c:v>
                </c:pt>
                <c:pt idx="82">
                  <c:v>158.29699999999997</c:v>
                </c:pt>
                <c:pt idx="83">
                  <c:v>158.65949999999998</c:v>
                </c:pt>
                <c:pt idx="84">
                  <c:v>159.07900000000001</c:v>
                </c:pt>
                <c:pt idx="85">
                  <c:v>159.49700000000001</c:v>
                </c:pt>
                <c:pt idx="86">
                  <c:v>159.917</c:v>
                </c:pt>
                <c:pt idx="87">
                  <c:v>160.37200000000001</c:v>
                </c:pt>
                <c:pt idx="88">
                  <c:v>160.76349999999999</c:v>
                </c:pt>
                <c:pt idx="89">
                  <c:v>161.27349999999998</c:v>
                </c:pt>
                <c:pt idx="90">
                  <c:v>161.84949999999998</c:v>
                </c:pt>
                <c:pt idx="91">
                  <c:v>162.37049999999999</c:v>
                </c:pt>
                <c:pt idx="92">
                  <c:v>162.86100000000002</c:v>
                </c:pt>
                <c:pt idx="93">
                  <c:v>163.33850000000001</c:v>
                </c:pt>
                <c:pt idx="94">
                  <c:v>163.86700000000002</c:v>
                </c:pt>
                <c:pt idx="95">
                  <c:v>164.34200000000001</c:v>
                </c:pt>
                <c:pt idx="96">
                  <c:v>164.68049999999999</c:v>
                </c:pt>
                <c:pt idx="97">
                  <c:v>165.023</c:v>
                </c:pt>
                <c:pt idx="98">
                  <c:v>165.28349999999998</c:v>
                </c:pt>
                <c:pt idx="99">
                  <c:v>165.43049999999999</c:v>
                </c:pt>
                <c:pt idx="100">
                  <c:v>165.63249999999999</c:v>
                </c:pt>
                <c:pt idx="101">
                  <c:v>165.70499999999998</c:v>
                </c:pt>
                <c:pt idx="102">
                  <c:v>165.6275</c:v>
                </c:pt>
                <c:pt idx="103">
                  <c:v>165.58649999999997</c:v>
                </c:pt>
                <c:pt idx="104">
                  <c:v>165.62149999999997</c:v>
                </c:pt>
                <c:pt idx="105">
                  <c:v>165.63099999999997</c:v>
                </c:pt>
                <c:pt idx="106">
                  <c:v>165.75949999999997</c:v>
                </c:pt>
                <c:pt idx="107">
                  <c:v>165.77400000000003</c:v>
                </c:pt>
                <c:pt idx="108">
                  <c:v>165.94399999999999</c:v>
                </c:pt>
                <c:pt idx="109">
                  <c:v>165.99499999999998</c:v>
                </c:pt>
                <c:pt idx="110">
                  <c:v>166.02</c:v>
                </c:pt>
                <c:pt idx="111">
                  <c:v>166.10050000000001</c:v>
                </c:pt>
                <c:pt idx="112">
                  <c:v>166.07149999999999</c:v>
                </c:pt>
                <c:pt idx="113">
                  <c:v>166.06649999999996</c:v>
                </c:pt>
                <c:pt idx="114">
                  <c:v>166.01299999999998</c:v>
                </c:pt>
                <c:pt idx="115">
                  <c:v>166.00599999999997</c:v>
                </c:pt>
                <c:pt idx="116">
                  <c:v>166.06849999999997</c:v>
                </c:pt>
                <c:pt idx="117">
                  <c:v>166.03449999999998</c:v>
                </c:pt>
                <c:pt idx="118">
                  <c:v>166.05699999999996</c:v>
                </c:pt>
                <c:pt idx="119">
                  <c:v>166.20499999999998</c:v>
                </c:pt>
                <c:pt idx="120">
                  <c:v>166.28099999999998</c:v>
                </c:pt>
                <c:pt idx="121">
                  <c:v>166.49799999999999</c:v>
                </c:pt>
                <c:pt idx="122">
                  <c:v>166.74649999999994</c:v>
                </c:pt>
                <c:pt idx="123">
                  <c:v>166.86349999999999</c:v>
                </c:pt>
                <c:pt idx="124">
                  <c:v>166.77249999999995</c:v>
                </c:pt>
                <c:pt idx="125">
                  <c:v>166.73499999999996</c:v>
                </c:pt>
                <c:pt idx="126">
                  <c:v>166.57599999999996</c:v>
                </c:pt>
                <c:pt idx="127">
                  <c:v>166.53399999999999</c:v>
                </c:pt>
                <c:pt idx="128">
                  <c:v>166.43649999999997</c:v>
                </c:pt>
                <c:pt idx="129">
                  <c:v>166.3665</c:v>
                </c:pt>
                <c:pt idx="130">
                  <c:v>166.339</c:v>
                </c:pt>
                <c:pt idx="131">
                  <c:v>166.24199999999999</c:v>
                </c:pt>
                <c:pt idx="132">
                  <c:v>166.3135</c:v>
                </c:pt>
                <c:pt idx="133">
                  <c:v>166.22200000000004</c:v>
                </c:pt>
                <c:pt idx="134">
                  <c:v>166.23</c:v>
                </c:pt>
                <c:pt idx="135">
                  <c:v>166.32700000000003</c:v>
                </c:pt>
                <c:pt idx="136">
                  <c:v>166.321</c:v>
                </c:pt>
                <c:pt idx="137">
                  <c:v>166.3355</c:v>
                </c:pt>
                <c:pt idx="138">
                  <c:v>166.33499999999998</c:v>
                </c:pt>
                <c:pt idx="139">
                  <c:v>166.24349999999998</c:v>
                </c:pt>
                <c:pt idx="140">
                  <c:v>166.30099999999999</c:v>
                </c:pt>
                <c:pt idx="141">
                  <c:v>166.27349999999998</c:v>
                </c:pt>
                <c:pt idx="142">
                  <c:v>166.398</c:v>
                </c:pt>
                <c:pt idx="143">
                  <c:v>166.64849999999998</c:v>
                </c:pt>
                <c:pt idx="144">
                  <c:v>166.5975</c:v>
                </c:pt>
                <c:pt idx="145">
                  <c:v>166.44049999999999</c:v>
                </c:pt>
                <c:pt idx="146">
                  <c:v>166.53350000000003</c:v>
                </c:pt>
                <c:pt idx="147">
                  <c:v>166.77700000000002</c:v>
                </c:pt>
                <c:pt idx="148">
                  <c:v>166.85399999999998</c:v>
                </c:pt>
                <c:pt idx="149">
                  <c:v>166.97550000000001</c:v>
                </c:pt>
                <c:pt idx="150">
                  <c:v>167.13650000000001</c:v>
                </c:pt>
                <c:pt idx="151">
                  <c:v>167.40299999999999</c:v>
                </c:pt>
                <c:pt idx="152">
                  <c:v>167.59950000000001</c:v>
                </c:pt>
                <c:pt idx="153">
                  <c:v>167.71099999999998</c:v>
                </c:pt>
                <c:pt idx="154">
                  <c:v>167.72800000000001</c:v>
                </c:pt>
                <c:pt idx="155">
                  <c:v>167.696</c:v>
                </c:pt>
                <c:pt idx="156">
                  <c:v>167.67000000000002</c:v>
                </c:pt>
                <c:pt idx="157">
                  <c:v>167.66649999999998</c:v>
                </c:pt>
                <c:pt idx="158">
                  <c:v>167.67500000000001</c:v>
                </c:pt>
                <c:pt idx="159">
                  <c:v>167.86449999999999</c:v>
                </c:pt>
                <c:pt idx="160">
                  <c:v>167.97249999999997</c:v>
                </c:pt>
                <c:pt idx="161">
                  <c:v>168.13499999999999</c:v>
                </c:pt>
                <c:pt idx="162">
                  <c:v>168.13799999999998</c:v>
                </c:pt>
                <c:pt idx="163">
                  <c:v>168.15899999999996</c:v>
                </c:pt>
                <c:pt idx="164">
                  <c:v>168.53649999999999</c:v>
                </c:pt>
                <c:pt idx="165">
                  <c:v>168.95149999999998</c:v>
                </c:pt>
                <c:pt idx="166">
                  <c:v>169.16849999999999</c:v>
                </c:pt>
                <c:pt idx="167">
                  <c:v>169.24150000000003</c:v>
                </c:pt>
                <c:pt idx="168">
                  <c:v>169.56450000000001</c:v>
                </c:pt>
                <c:pt idx="169">
                  <c:v>169.95500000000001</c:v>
                </c:pt>
                <c:pt idx="170">
                  <c:v>170.22750000000002</c:v>
                </c:pt>
                <c:pt idx="171">
                  <c:v>170.46350000000001</c:v>
                </c:pt>
                <c:pt idx="172">
                  <c:v>170.73950000000002</c:v>
                </c:pt>
                <c:pt idx="173">
                  <c:v>171.2885</c:v>
                </c:pt>
                <c:pt idx="174">
                  <c:v>171.62</c:v>
                </c:pt>
                <c:pt idx="175">
                  <c:v>171.8535</c:v>
                </c:pt>
                <c:pt idx="176">
                  <c:v>172.16149999999996</c:v>
                </c:pt>
                <c:pt idx="177">
                  <c:v>172.62899999999996</c:v>
                </c:pt>
                <c:pt idx="178">
                  <c:v>173.00200000000001</c:v>
                </c:pt>
                <c:pt idx="179">
                  <c:v>173.17750000000001</c:v>
                </c:pt>
                <c:pt idx="180">
                  <c:v>173.24650000000003</c:v>
                </c:pt>
                <c:pt idx="181">
                  <c:v>173.45</c:v>
                </c:pt>
                <c:pt idx="182">
                  <c:v>173.67999999999998</c:v>
                </c:pt>
                <c:pt idx="183">
                  <c:v>173.8245</c:v>
                </c:pt>
                <c:pt idx="184">
                  <c:v>173.97499999999999</c:v>
                </c:pt>
                <c:pt idx="185">
                  <c:v>174.18249999999998</c:v>
                </c:pt>
                <c:pt idx="186">
                  <c:v>174.35849999999999</c:v>
                </c:pt>
                <c:pt idx="187">
                  <c:v>174.44149999999999</c:v>
                </c:pt>
                <c:pt idx="188">
                  <c:v>174.36750000000001</c:v>
                </c:pt>
                <c:pt idx="189">
                  <c:v>174.16849999999999</c:v>
                </c:pt>
                <c:pt idx="190">
                  <c:v>173.90100000000001</c:v>
                </c:pt>
                <c:pt idx="191">
                  <c:v>173.56550000000001</c:v>
                </c:pt>
                <c:pt idx="192">
                  <c:v>173.11849999999998</c:v>
                </c:pt>
                <c:pt idx="193">
                  <c:v>172.637</c:v>
                </c:pt>
                <c:pt idx="194">
                  <c:v>172.40449999999998</c:v>
                </c:pt>
                <c:pt idx="195">
                  <c:v>172.17849999999996</c:v>
                </c:pt>
                <c:pt idx="196">
                  <c:v>172.029</c:v>
                </c:pt>
                <c:pt idx="197">
                  <c:v>171.79249999999996</c:v>
                </c:pt>
                <c:pt idx="198">
                  <c:v>171.67699999999996</c:v>
                </c:pt>
                <c:pt idx="199">
                  <c:v>171.60000000000002</c:v>
                </c:pt>
                <c:pt idx="200">
                  <c:v>171.63700000000003</c:v>
                </c:pt>
                <c:pt idx="201">
                  <c:v>171.49000000000004</c:v>
                </c:pt>
                <c:pt idx="202">
                  <c:v>171.27850000000007</c:v>
                </c:pt>
                <c:pt idx="203">
                  <c:v>171.10150000000004</c:v>
                </c:pt>
                <c:pt idx="204">
                  <c:v>170.96750000000003</c:v>
                </c:pt>
                <c:pt idx="205">
                  <c:v>170.78800000000001</c:v>
                </c:pt>
                <c:pt idx="206">
                  <c:v>170.5215</c:v>
                </c:pt>
                <c:pt idx="207">
                  <c:v>170.32649999999998</c:v>
                </c:pt>
                <c:pt idx="208">
                  <c:v>170.03299999999996</c:v>
                </c:pt>
                <c:pt idx="209">
                  <c:v>169.74499999999995</c:v>
                </c:pt>
                <c:pt idx="210">
                  <c:v>169.49799999999996</c:v>
                </c:pt>
                <c:pt idx="211">
                  <c:v>169.309</c:v>
                </c:pt>
                <c:pt idx="212">
                  <c:v>169.20699999999997</c:v>
                </c:pt>
                <c:pt idx="213">
                  <c:v>169.08699999999999</c:v>
                </c:pt>
                <c:pt idx="214">
                  <c:v>168.67599999999999</c:v>
                </c:pt>
                <c:pt idx="215">
                  <c:v>168.39899999999997</c:v>
                </c:pt>
                <c:pt idx="216">
                  <c:v>168.22999999999996</c:v>
                </c:pt>
                <c:pt idx="217">
                  <c:v>167.90600000000001</c:v>
                </c:pt>
                <c:pt idx="218">
                  <c:v>167.51949999999999</c:v>
                </c:pt>
                <c:pt idx="219">
                  <c:v>167.22950000000003</c:v>
                </c:pt>
                <c:pt idx="220">
                  <c:v>166.96950000000001</c:v>
                </c:pt>
                <c:pt idx="221">
                  <c:v>166.88249999999999</c:v>
                </c:pt>
                <c:pt idx="222">
                  <c:v>166.94300000000001</c:v>
                </c:pt>
                <c:pt idx="223">
                  <c:v>166.99600000000001</c:v>
                </c:pt>
                <c:pt idx="224">
                  <c:v>167.0615</c:v>
                </c:pt>
                <c:pt idx="225">
                  <c:v>167.21800000000002</c:v>
                </c:pt>
                <c:pt idx="226">
                  <c:v>167.62100000000001</c:v>
                </c:pt>
                <c:pt idx="227">
                  <c:v>168.02549999999999</c:v>
                </c:pt>
                <c:pt idx="228">
                  <c:v>168.63249999999999</c:v>
                </c:pt>
                <c:pt idx="229">
                  <c:v>169.29249999999999</c:v>
                </c:pt>
                <c:pt idx="230">
                  <c:v>169.99649999999997</c:v>
                </c:pt>
                <c:pt idx="231">
                  <c:v>170.72649999999999</c:v>
                </c:pt>
                <c:pt idx="232">
                  <c:v>171.24349999999998</c:v>
                </c:pt>
                <c:pt idx="233">
                  <c:v>171.71099999999998</c:v>
                </c:pt>
                <c:pt idx="234">
                  <c:v>172.46000000000004</c:v>
                </c:pt>
                <c:pt idx="235">
                  <c:v>172.98050000000006</c:v>
                </c:pt>
                <c:pt idx="236">
                  <c:v>173.1345</c:v>
                </c:pt>
                <c:pt idx="237">
                  <c:v>173.44700000000003</c:v>
                </c:pt>
                <c:pt idx="238">
                  <c:v>173.68650000000002</c:v>
                </c:pt>
                <c:pt idx="239">
                  <c:v>173.90000000000003</c:v>
                </c:pt>
                <c:pt idx="240">
                  <c:v>174.09900000000005</c:v>
                </c:pt>
                <c:pt idx="241">
                  <c:v>174.17900000000003</c:v>
                </c:pt>
                <c:pt idx="242">
                  <c:v>174.15800000000002</c:v>
                </c:pt>
                <c:pt idx="243">
                  <c:v>174.07400000000001</c:v>
                </c:pt>
                <c:pt idx="244">
                  <c:v>173.98899999999998</c:v>
                </c:pt>
                <c:pt idx="245">
                  <c:v>173.75449999999998</c:v>
                </c:pt>
                <c:pt idx="246">
                  <c:v>173.34599999999998</c:v>
                </c:pt>
                <c:pt idx="247">
                  <c:v>172.92349999999999</c:v>
                </c:pt>
                <c:pt idx="248">
                  <c:v>172.46599999999995</c:v>
                </c:pt>
                <c:pt idx="249">
                  <c:v>171.97449999999998</c:v>
                </c:pt>
                <c:pt idx="250">
                  <c:v>171.36599999999999</c:v>
                </c:pt>
                <c:pt idx="251">
                  <c:v>170.76349999999999</c:v>
                </c:pt>
                <c:pt idx="252">
                  <c:v>170.29149999999998</c:v>
                </c:pt>
                <c:pt idx="253">
                  <c:v>169.79250000000002</c:v>
                </c:pt>
                <c:pt idx="254">
                  <c:v>169.02100000000002</c:v>
                </c:pt>
                <c:pt idx="255">
                  <c:v>168.39500000000004</c:v>
                </c:pt>
                <c:pt idx="256">
                  <c:v>167.96050000000002</c:v>
                </c:pt>
                <c:pt idx="257">
                  <c:v>167.27450000000002</c:v>
                </c:pt>
                <c:pt idx="258">
                  <c:v>166.685</c:v>
                </c:pt>
                <c:pt idx="259">
                  <c:v>166.12950000000001</c:v>
                </c:pt>
                <c:pt idx="260">
                  <c:v>165.559</c:v>
                </c:pt>
                <c:pt idx="261">
                  <c:v>165.02700000000002</c:v>
                </c:pt>
                <c:pt idx="262">
                  <c:v>164.56700000000004</c:v>
                </c:pt>
                <c:pt idx="263">
                  <c:v>164.19900000000001</c:v>
                </c:pt>
                <c:pt idx="264">
                  <c:v>163.97649999999999</c:v>
                </c:pt>
                <c:pt idx="265">
                  <c:v>163.88099999999997</c:v>
                </c:pt>
                <c:pt idx="266">
                  <c:v>163.68149999999997</c:v>
                </c:pt>
                <c:pt idx="267">
                  <c:v>163.71749999999994</c:v>
                </c:pt>
                <c:pt idx="268">
                  <c:v>163.51900000000001</c:v>
                </c:pt>
                <c:pt idx="269">
                  <c:v>163.35399999999998</c:v>
                </c:pt>
                <c:pt idx="270">
                  <c:v>163.37</c:v>
                </c:pt>
                <c:pt idx="271">
                  <c:v>163.28699999999998</c:v>
                </c:pt>
                <c:pt idx="272">
                  <c:v>163.42600000000002</c:v>
                </c:pt>
                <c:pt idx="273">
                  <c:v>163.57600000000002</c:v>
                </c:pt>
                <c:pt idx="274">
                  <c:v>163.99650000000003</c:v>
                </c:pt>
                <c:pt idx="275">
                  <c:v>164.37550000000002</c:v>
                </c:pt>
                <c:pt idx="276">
                  <c:v>164.66900000000004</c:v>
                </c:pt>
                <c:pt idx="277">
                  <c:v>165.11750000000006</c:v>
                </c:pt>
                <c:pt idx="278">
                  <c:v>165.64700000000005</c:v>
                </c:pt>
                <c:pt idx="279">
                  <c:v>166.13900000000001</c:v>
                </c:pt>
                <c:pt idx="280">
                  <c:v>166.70749999999998</c:v>
                </c:pt>
                <c:pt idx="281">
                  <c:v>166.82699999999997</c:v>
                </c:pt>
                <c:pt idx="282">
                  <c:v>167.04199999999997</c:v>
                </c:pt>
                <c:pt idx="283">
                  <c:v>167.28049999999999</c:v>
                </c:pt>
                <c:pt idx="284">
                  <c:v>167.40399999999994</c:v>
                </c:pt>
                <c:pt idx="285">
                  <c:v>167.60799999999998</c:v>
                </c:pt>
                <c:pt idx="286">
                  <c:v>167.92899999999997</c:v>
                </c:pt>
                <c:pt idx="287">
                  <c:v>168.07849999999999</c:v>
                </c:pt>
                <c:pt idx="288">
                  <c:v>168.334</c:v>
                </c:pt>
                <c:pt idx="289">
                  <c:v>168.62099999999998</c:v>
                </c:pt>
                <c:pt idx="290">
                  <c:v>168.94250000000002</c:v>
                </c:pt>
                <c:pt idx="291">
                  <c:v>169.42250000000001</c:v>
                </c:pt>
                <c:pt idx="292">
                  <c:v>169.64350000000002</c:v>
                </c:pt>
                <c:pt idx="293">
                  <c:v>169.96750000000003</c:v>
                </c:pt>
                <c:pt idx="294">
                  <c:v>170.25</c:v>
                </c:pt>
                <c:pt idx="295">
                  <c:v>170.6035</c:v>
                </c:pt>
                <c:pt idx="296">
                  <c:v>171.01799999999997</c:v>
                </c:pt>
                <c:pt idx="297">
                  <c:v>171.29749999999999</c:v>
                </c:pt>
                <c:pt idx="298">
                  <c:v>171.24449999999996</c:v>
                </c:pt>
                <c:pt idx="299">
                  <c:v>171.19499999999999</c:v>
                </c:pt>
                <c:pt idx="300">
                  <c:v>171.04249999999996</c:v>
                </c:pt>
                <c:pt idx="301">
                  <c:v>171.38599999999997</c:v>
                </c:pt>
                <c:pt idx="302">
                  <c:v>171.49999999999994</c:v>
                </c:pt>
                <c:pt idx="303">
                  <c:v>171.60399999999998</c:v>
                </c:pt>
                <c:pt idx="304">
                  <c:v>171.62099999999998</c:v>
                </c:pt>
                <c:pt idx="305">
                  <c:v>171.44400000000005</c:v>
                </c:pt>
                <c:pt idx="306">
                  <c:v>171.19950000000006</c:v>
                </c:pt>
                <c:pt idx="307">
                  <c:v>170.70950000000002</c:v>
                </c:pt>
                <c:pt idx="308">
                  <c:v>170.4735</c:v>
                </c:pt>
                <c:pt idx="309">
                  <c:v>170.31049999999999</c:v>
                </c:pt>
                <c:pt idx="310">
                  <c:v>170.02</c:v>
                </c:pt>
                <c:pt idx="311">
                  <c:v>169.76150000000001</c:v>
                </c:pt>
                <c:pt idx="312">
                  <c:v>169.63050000000001</c:v>
                </c:pt>
                <c:pt idx="313">
                  <c:v>169.375</c:v>
                </c:pt>
                <c:pt idx="314">
                  <c:v>169.26150000000001</c:v>
                </c:pt>
                <c:pt idx="315">
                  <c:v>168.6515</c:v>
                </c:pt>
                <c:pt idx="316">
                  <c:v>167.85</c:v>
                </c:pt>
                <c:pt idx="317">
                  <c:v>167.11349999999999</c:v>
                </c:pt>
                <c:pt idx="318">
                  <c:v>166.81099999999998</c:v>
                </c:pt>
                <c:pt idx="319">
                  <c:v>166.55950000000001</c:v>
                </c:pt>
                <c:pt idx="320">
                  <c:v>166.50649999999999</c:v>
                </c:pt>
                <c:pt idx="321">
                  <c:v>166.47499999999999</c:v>
                </c:pt>
                <c:pt idx="322">
                  <c:v>166.51299999999998</c:v>
                </c:pt>
                <c:pt idx="323">
                  <c:v>166.404</c:v>
                </c:pt>
                <c:pt idx="324">
                  <c:v>166.55799999999999</c:v>
                </c:pt>
                <c:pt idx="325">
                  <c:v>166.511</c:v>
                </c:pt>
                <c:pt idx="326">
                  <c:v>166.6225</c:v>
                </c:pt>
                <c:pt idx="327">
                  <c:v>166.76650000000001</c:v>
                </c:pt>
                <c:pt idx="328">
                  <c:v>166.41400000000002</c:v>
                </c:pt>
                <c:pt idx="329">
                  <c:v>166.02950000000001</c:v>
                </c:pt>
                <c:pt idx="330">
                  <c:v>165.72050000000002</c:v>
                </c:pt>
                <c:pt idx="331">
                  <c:v>165.31250000000006</c:v>
                </c:pt>
                <c:pt idx="332">
                  <c:v>164.91300000000004</c:v>
                </c:pt>
                <c:pt idx="333">
                  <c:v>164.43700000000004</c:v>
                </c:pt>
                <c:pt idx="334">
                  <c:v>163.84350000000001</c:v>
                </c:pt>
                <c:pt idx="335">
                  <c:v>163.59750000000003</c:v>
                </c:pt>
                <c:pt idx="336">
                  <c:v>163.54850000000005</c:v>
                </c:pt>
                <c:pt idx="337">
                  <c:v>163.59350000000001</c:v>
                </c:pt>
                <c:pt idx="338">
                  <c:v>163.41000000000003</c:v>
                </c:pt>
                <c:pt idx="339">
                  <c:v>163.11499999999998</c:v>
                </c:pt>
                <c:pt idx="340">
                  <c:v>162.81449999999998</c:v>
                </c:pt>
                <c:pt idx="341">
                  <c:v>162.2945</c:v>
                </c:pt>
                <c:pt idx="342">
                  <c:v>161.77199999999999</c:v>
                </c:pt>
                <c:pt idx="343">
                  <c:v>161.57299999999998</c:v>
                </c:pt>
                <c:pt idx="344">
                  <c:v>161.2055</c:v>
                </c:pt>
                <c:pt idx="345">
                  <c:v>161.15649999999999</c:v>
                </c:pt>
                <c:pt idx="346">
                  <c:v>161.0445</c:v>
                </c:pt>
                <c:pt idx="347">
                  <c:v>161.02949999999998</c:v>
                </c:pt>
                <c:pt idx="348">
                  <c:v>161.30450000000002</c:v>
                </c:pt>
                <c:pt idx="349">
                  <c:v>161.54650000000001</c:v>
                </c:pt>
                <c:pt idx="350">
                  <c:v>161.84200000000001</c:v>
                </c:pt>
                <c:pt idx="351">
                  <c:v>162.09700000000001</c:v>
                </c:pt>
                <c:pt idx="352">
                  <c:v>162.3965</c:v>
                </c:pt>
                <c:pt idx="353">
                  <c:v>162.892</c:v>
                </c:pt>
                <c:pt idx="354">
                  <c:v>163.25500000000002</c:v>
                </c:pt>
                <c:pt idx="355">
                  <c:v>163.65600000000001</c:v>
                </c:pt>
                <c:pt idx="356">
                  <c:v>163.99100000000001</c:v>
                </c:pt>
                <c:pt idx="357">
                  <c:v>164.16650000000001</c:v>
                </c:pt>
                <c:pt idx="358">
                  <c:v>164.435</c:v>
                </c:pt>
                <c:pt idx="359">
                  <c:v>164.68</c:v>
                </c:pt>
                <c:pt idx="360">
                  <c:v>164.77699999999999</c:v>
                </c:pt>
                <c:pt idx="361">
                  <c:v>164.946</c:v>
                </c:pt>
                <c:pt idx="362">
                  <c:v>165.20400000000001</c:v>
                </c:pt>
                <c:pt idx="363">
                  <c:v>165.09750000000003</c:v>
                </c:pt>
                <c:pt idx="364">
                  <c:v>164.97750000000002</c:v>
                </c:pt>
                <c:pt idx="365">
                  <c:v>164.66500000000002</c:v>
                </c:pt>
                <c:pt idx="366">
                  <c:v>164.28400000000002</c:v>
                </c:pt>
                <c:pt idx="367">
                  <c:v>163.9665</c:v>
                </c:pt>
                <c:pt idx="368">
                  <c:v>163.76650000000001</c:v>
                </c:pt>
                <c:pt idx="369">
                  <c:v>163.4915</c:v>
                </c:pt>
                <c:pt idx="370">
                  <c:v>163.05199999999999</c:v>
                </c:pt>
                <c:pt idx="371">
                  <c:v>162.6155</c:v>
                </c:pt>
                <c:pt idx="372">
                  <c:v>162.18049999999999</c:v>
                </c:pt>
                <c:pt idx="373">
                  <c:v>161.65200000000002</c:v>
                </c:pt>
                <c:pt idx="374">
                  <c:v>161.32400000000001</c:v>
                </c:pt>
                <c:pt idx="375">
                  <c:v>161.04149999999998</c:v>
                </c:pt>
                <c:pt idx="376">
                  <c:v>160.78549999999998</c:v>
                </c:pt>
                <c:pt idx="377">
                  <c:v>160.67049999999998</c:v>
                </c:pt>
                <c:pt idx="378">
                  <c:v>160.36399999999998</c:v>
                </c:pt>
                <c:pt idx="379">
                  <c:v>160.11199999999999</c:v>
                </c:pt>
                <c:pt idx="380">
                  <c:v>159.89449999999997</c:v>
                </c:pt>
                <c:pt idx="381">
                  <c:v>159.64150000000001</c:v>
                </c:pt>
                <c:pt idx="382">
                  <c:v>159.1705</c:v>
                </c:pt>
                <c:pt idx="383">
                  <c:v>158.79050000000001</c:v>
                </c:pt>
                <c:pt idx="384">
                  <c:v>158.43299999999999</c:v>
                </c:pt>
                <c:pt idx="385">
                  <c:v>158.28800000000001</c:v>
                </c:pt>
                <c:pt idx="386">
                  <c:v>158.142</c:v>
                </c:pt>
                <c:pt idx="387">
                  <c:v>157.93950000000001</c:v>
                </c:pt>
                <c:pt idx="388">
                  <c:v>157.80400000000003</c:v>
                </c:pt>
                <c:pt idx="389">
                  <c:v>157.69999999999999</c:v>
                </c:pt>
                <c:pt idx="390">
                  <c:v>157.69200000000001</c:v>
                </c:pt>
                <c:pt idx="391">
                  <c:v>157.6755</c:v>
                </c:pt>
                <c:pt idx="392">
                  <c:v>157.53800000000004</c:v>
                </c:pt>
                <c:pt idx="393">
                  <c:v>157.40250000000006</c:v>
                </c:pt>
                <c:pt idx="394">
                  <c:v>156.98550000000003</c:v>
                </c:pt>
                <c:pt idx="395">
                  <c:v>156.44900000000001</c:v>
                </c:pt>
                <c:pt idx="396">
                  <c:v>155.94000000000003</c:v>
                </c:pt>
                <c:pt idx="397">
                  <c:v>155.45300000000003</c:v>
                </c:pt>
                <c:pt idx="398">
                  <c:v>155.084</c:v>
                </c:pt>
                <c:pt idx="399">
                  <c:v>154.851</c:v>
                </c:pt>
                <c:pt idx="400">
                  <c:v>154.60100000000003</c:v>
                </c:pt>
                <c:pt idx="401">
                  <c:v>154.42400000000004</c:v>
                </c:pt>
                <c:pt idx="402">
                  <c:v>154.48500000000007</c:v>
                </c:pt>
                <c:pt idx="403">
                  <c:v>154.60550000000006</c:v>
                </c:pt>
                <c:pt idx="404">
                  <c:v>154.68950000000001</c:v>
                </c:pt>
                <c:pt idx="405">
                  <c:v>154.59550000000004</c:v>
                </c:pt>
                <c:pt idx="406">
                  <c:v>154.55850000000004</c:v>
                </c:pt>
                <c:pt idx="407">
                  <c:v>154.59299999999999</c:v>
                </c:pt>
                <c:pt idx="408">
                  <c:v>154.59700000000001</c:v>
                </c:pt>
                <c:pt idx="409">
                  <c:v>154.6585</c:v>
                </c:pt>
                <c:pt idx="410">
                  <c:v>154.65449999999998</c:v>
                </c:pt>
                <c:pt idx="411">
                  <c:v>154.67299999999997</c:v>
                </c:pt>
                <c:pt idx="412">
                  <c:v>154.625</c:v>
                </c:pt>
                <c:pt idx="413">
                  <c:v>154.59300000000002</c:v>
                </c:pt>
                <c:pt idx="414">
                  <c:v>154.797</c:v>
                </c:pt>
                <c:pt idx="415">
                  <c:v>155.05600000000001</c:v>
                </c:pt>
                <c:pt idx="416">
                  <c:v>155.37550000000002</c:v>
                </c:pt>
                <c:pt idx="417">
                  <c:v>155.73700000000002</c:v>
                </c:pt>
                <c:pt idx="418">
                  <c:v>156.12000000000003</c:v>
                </c:pt>
                <c:pt idx="419">
                  <c:v>156.4365</c:v>
                </c:pt>
                <c:pt idx="420">
                  <c:v>156.76300000000001</c:v>
                </c:pt>
                <c:pt idx="421">
                  <c:v>157.03800000000001</c:v>
                </c:pt>
                <c:pt idx="422">
                  <c:v>157.26200000000003</c:v>
                </c:pt>
                <c:pt idx="423">
                  <c:v>157.37500000000003</c:v>
                </c:pt>
                <c:pt idx="424">
                  <c:v>157.53600000000003</c:v>
                </c:pt>
                <c:pt idx="425">
                  <c:v>157.744</c:v>
                </c:pt>
                <c:pt idx="426">
                  <c:v>157.86750000000001</c:v>
                </c:pt>
                <c:pt idx="427">
                  <c:v>157.98400000000001</c:v>
                </c:pt>
                <c:pt idx="428">
                  <c:v>158.08050000000003</c:v>
                </c:pt>
                <c:pt idx="429">
                  <c:v>157.97100000000003</c:v>
                </c:pt>
                <c:pt idx="430">
                  <c:v>157.83650000000003</c:v>
                </c:pt>
                <c:pt idx="431">
                  <c:v>157.55650000000003</c:v>
                </c:pt>
                <c:pt idx="432">
                  <c:v>157.37400000000002</c:v>
                </c:pt>
                <c:pt idx="433">
                  <c:v>157.19650000000001</c:v>
                </c:pt>
                <c:pt idx="434">
                  <c:v>156.95600000000002</c:v>
                </c:pt>
                <c:pt idx="435">
                  <c:v>156.79850000000002</c:v>
                </c:pt>
                <c:pt idx="436">
                  <c:v>156.62300000000002</c:v>
                </c:pt>
                <c:pt idx="437">
                  <c:v>156.40600000000001</c:v>
                </c:pt>
                <c:pt idx="438">
                  <c:v>156.15649999999999</c:v>
                </c:pt>
                <c:pt idx="439">
                  <c:v>155.79950000000002</c:v>
                </c:pt>
                <c:pt idx="440">
                  <c:v>155.41200000000001</c:v>
                </c:pt>
                <c:pt idx="441">
                  <c:v>154.98200000000003</c:v>
                </c:pt>
                <c:pt idx="442">
                  <c:v>154.63600000000002</c:v>
                </c:pt>
                <c:pt idx="443">
                  <c:v>154.303</c:v>
                </c:pt>
                <c:pt idx="444">
                  <c:v>153.90050000000002</c:v>
                </c:pt>
                <c:pt idx="445">
                  <c:v>153.49</c:v>
                </c:pt>
                <c:pt idx="446">
                  <c:v>153.023</c:v>
                </c:pt>
                <c:pt idx="447">
                  <c:v>152.57849999999999</c:v>
                </c:pt>
                <c:pt idx="448">
                  <c:v>151.93299999999999</c:v>
                </c:pt>
                <c:pt idx="449">
                  <c:v>151.547</c:v>
                </c:pt>
                <c:pt idx="450">
                  <c:v>151.315</c:v>
                </c:pt>
                <c:pt idx="451">
                  <c:v>151.25949999999997</c:v>
                </c:pt>
                <c:pt idx="452">
                  <c:v>151.21549999999999</c:v>
                </c:pt>
                <c:pt idx="453">
                  <c:v>151.2045</c:v>
                </c:pt>
                <c:pt idx="454">
                  <c:v>151.20749999999998</c:v>
                </c:pt>
                <c:pt idx="455">
                  <c:v>151.20700000000002</c:v>
                </c:pt>
                <c:pt idx="456">
                  <c:v>151.11749999999998</c:v>
                </c:pt>
                <c:pt idx="457">
                  <c:v>151.00349999999997</c:v>
                </c:pt>
                <c:pt idx="458">
                  <c:v>150.78299999999996</c:v>
                </c:pt>
                <c:pt idx="459">
                  <c:v>150.65950000000001</c:v>
                </c:pt>
                <c:pt idx="460">
                  <c:v>150.56449999999998</c:v>
                </c:pt>
                <c:pt idx="461">
                  <c:v>150.44499999999999</c:v>
                </c:pt>
                <c:pt idx="462">
                  <c:v>150.17649999999998</c:v>
                </c:pt>
                <c:pt idx="463">
                  <c:v>149.9315</c:v>
                </c:pt>
                <c:pt idx="464">
                  <c:v>149.709</c:v>
                </c:pt>
                <c:pt idx="465">
                  <c:v>149.57350000000002</c:v>
                </c:pt>
                <c:pt idx="466">
                  <c:v>149.47399999999999</c:v>
                </c:pt>
                <c:pt idx="467">
                  <c:v>149.44300000000001</c:v>
                </c:pt>
                <c:pt idx="468">
                  <c:v>149.4725</c:v>
                </c:pt>
                <c:pt idx="469">
                  <c:v>149.39050000000003</c:v>
                </c:pt>
                <c:pt idx="470">
                  <c:v>149.20400000000001</c:v>
                </c:pt>
                <c:pt idx="471">
                  <c:v>148.89699999999999</c:v>
                </c:pt>
                <c:pt idx="472">
                  <c:v>148.66550000000001</c:v>
                </c:pt>
                <c:pt idx="473">
                  <c:v>148.40500000000003</c:v>
                </c:pt>
                <c:pt idx="474">
                  <c:v>148.20400000000001</c:v>
                </c:pt>
                <c:pt idx="475">
                  <c:v>148.12549999999999</c:v>
                </c:pt>
                <c:pt idx="476">
                  <c:v>147.88749999999999</c:v>
                </c:pt>
                <c:pt idx="477">
                  <c:v>147.74349999999998</c:v>
                </c:pt>
                <c:pt idx="478">
                  <c:v>147.71749999999997</c:v>
                </c:pt>
                <c:pt idx="479">
                  <c:v>147.6465</c:v>
                </c:pt>
                <c:pt idx="480">
                  <c:v>147.50000000000003</c:v>
                </c:pt>
                <c:pt idx="481">
                  <c:v>147.392</c:v>
                </c:pt>
                <c:pt idx="482">
                  <c:v>147.369</c:v>
                </c:pt>
                <c:pt idx="483">
                  <c:v>147.34750000000003</c:v>
                </c:pt>
                <c:pt idx="484">
                  <c:v>147.21350000000001</c:v>
                </c:pt>
                <c:pt idx="485">
                  <c:v>146.78150000000002</c:v>
                </c:pt>
                <c:pt idx="486">
                  <c:v>146.48800000000003</c:v>
                </c:pt>
                <c:pt idx="487">
                  <c:v>146.05200000000005</c:v>
                </c:pt>
                <c:pt idx="488">
                  <c:v>145.68950000000004</c:v>
                </c:pt>
                <c:pt idx="489">
                  <c:v>145.43350000000004</c:v>
                </c:pt>
                <c:pt idx="490">
                  <c:v>145.30650000000006</c:v>
                </c:pt>
                <c:pt idx="491">
                  <c:v>145.27600000000001</c:v>
                </c:pt>
                <c:pt idx="492">
                  <c:v>145.31700000000004</c:v>
                </c:pt>
                <c:pt idx="493">
                  <c:v>145.24350000000001</c:v>
                </c:pt>
                <c:pt idx="494">
                  <c:v>145.05700000000002</c:v>
                </c:pt>
                <c:pt idx="495">
                  <c:v>144.6455</c:v>
                </c:pt>
                <c:pt idx="496">
                  <c:v>144.45549999999997</c:v>
                </c:pt>
                <c:pt idx="497">
                  <c:v>144.25549999999998</c:v>
                </c:pt>
                <c:pt idx="498">
                  <c:v>144.07999999999998</c:v>
                </c:pt>
                <c:pt idx="499">
                  <c:v>143.90049999999999</c:v>
                </c:pt>
                <c:pt idx="500">
                  <c:v>143.73100000000002</c:v>
                </c:pt>
                <c:pt idx="501">
                  <c:v>143.6035</c:v>
                </c:pt>
                <c:pt idx="502">
                  <c:v>143.35750000000002</c:v>
                </c:pt>
                <c:pt idx="503">
                  <c:v>143.108</c:v>
                </c:pt>
                <c:pt idx="504">
                  <c:v>142.93099999999998</c:v>
                </c:pt>
                <c:pt idx="505">
                  <c:v>142.916</c:v>
                </c:pt>
                <c:pt idx="506">
                  <c:v>143.011</c:v>
                </c:pt>
                <c:pt idx="507">
                  <c:v>143.11349999999999</c:v>
                </c:pt>
                <c:pt idx="508">
                  <c:v>143.24849999999998</c:v>
                </c:pt>
                <c:pt idx="509">
                  <c:v>143.3185</c:v>
                </c:pt>
                <c:pt idx="510">
                  <c:v>143.37950000000004</c:v>
                </c:pt>
                <c:pt idx="511">
                  <c:v>143.35049999999998</c:v>
                </c:pt>
                <c:pt idx="512">
                  <c:v>143.18650000000002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92-4057-AC0F-B85F75168E7F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Data!$L$2:$L$514</c:f>
              <c:numCache>
                <c:formatCode>General</c:formatCode>
                <c:ptCount val="513"/>
                <c:pt idx="19">
                  <c:v>157.33985266626632</c:v>
                </c:pt>
                <c:pt idx="20">
                  <c:v>158.25791590379376</c:v>
                </c:pt>
                <c:pt idx="21">
                  <c:v>159.46981499687183</c:v>
                </c:pt>
                <c:pt idx="22">
                  <c:v>160.27754318381895</c:v>
                </c:pt>
                <c:pt idx="23">
                  <c:v>160.89094275663476</c:v>
                </c:pt>
                <c:pt idx="24">
                  <c:v>161.60162875276632</c:v>
                </c:pt>
                <c:pt idx="25">
                  <c:v>162.24813276554909</c:v>
                </c:pt>
                <c:pt idx="26">
                  <c:v>162.7361504114312</c:v>
                </c:pt>
                <c:pt idx="27">
                  <c:v>163.00043917744253</c:v>
                </c:pt>
                <c:pt idx="28">
                  <c:v>163.17494373747391</c:v>
                </c:pt>
                <c:pt idx="29">
                  <c:v>163.14952936948686</c:v>
                </c:pt>
                <c:pt idx="30">
                  <c:v>163.02652614696268</c:v>
                </c:pt>
                <c:pt idx="31">
                  <c:v>162.62675582255039</c:v>
                </c:pt>
                <c:pt idx="32">
                  <c:v>161.83437208180246</c:v>
                </c:pt>
                <c:pt idx="33">
                  <c:v>160.57279332350791</c:v>
                </c:pt>
                <c:pt idx="34">
                  <c:v>160.89910859483615</c:v>
                </c:pt>
                <c:pt idx="35">
                  <c:v>160.65696620056019</c:v>
                </c:pt>
                <c:pt idx="36">
                  <c:v>161.09224148918312</c:v>
                </c:pt>
                <c:pt idx="37">
                  <c:v>161.30995064360124</c:v>
                </c:pt>
                <c:pt idx="38">
                  <c:v>161.33937638368383</c:v>
                </c:pt>
                <c:pt idx="39">
                  <c:v>161.52456544739573</c:v>
                </c:pt>
                <c:pt idx="40">
                  <c:v>161.54790762475716</c:v>
                </c:pt>
                <c:pt idx="41">
                  <c:v>161.52157831761684</c:v>
                </c:pt>
                <c:pt idx="42">
                  <c:v>161.61578580078347</c:v>
                </c:pt>
                <c:pt idx="43">
                  <c:v>161.67700202275026</c:v>
                </c:pt>
                <c:pt idx="44">
                  <c:v>161.73040227138549</c:v>
                </c:pt>
                <c:pt idx="45">
                  <c:v>161.9179072635375</c:v>
                </c:pt>
                <c:pt idx="46">
                  <c:v>162.07548333218045</c:v>
                </c:pt>
                <c:pt idx="47">
                  <c:v>162.40867326337874</c:v>
                </c:pt>
                <c:pt idx="48">
                  <c:v>162.73536303859953</c:v>
                </c:pt>
                <c:pt idx="49">
                  <c:v>162.95127482477434</c:v>
                </c:pt>
                <c:pt idx="50">
                  <c:v>162.73947661989831</c:v>
                </c:pt>
                <c:pt idx="51">
                  <c:v>162.65469660784555</c:v>
                </c:pt>
                <c:pt idx="52">
                  <c:v>162.53727183740821</c:v>
                </c:pt>
                <c:pt idx="53">
                  <c:v>162.61473760889146</c:v>
                </c:pt>
                <c:pt idx="54">
                  <c:v>162.79302619546939</c:v>
                </c:pt>
                <c:pt idx="55">
                  <c:v>162.92868084760696</c:v>
                </c:pt>
                <c:pt idx="56">
                  <c:v>162.99864835491204</c:v>
                </c:pt>
                <c:pt idx="57">
                  <c:v>162.9985042925411</c:v>
                </c:pt>
                <c:pt idx="58">
                  <c:v>162.96708798290842</c:v>
                </c:pt>
                <c:pt idx="59">
                  <c:v>163.21528024656166</c:v>
                </c:pt>
                <c:pt idx="60">
                  <c:v>163.26522876057163</c:v>
                </c:pt>
                <c:pt idx="61">
                  <c:v>163.11094985512929</c:v>
                </c:pt>
                <c:pt idx="62">
                  <c:v>163.03885394729301</c:v>
                </c:pt>
                <c:pt idx="63">
                  <c:v>163.84704025412771</c:v>
                </c:pt>
                <c:pt idx="64">
                  <c:v>164.5485383493033</c:v>
                </c:pt>
                <c:pt idx="65">
                  <c:v>164.88216458038781</c:v>
                </c:pt>
                <c:pt idx="66">
                  <c:v>165.12867612278652</c:v>
                </c:pt>
                <c:pt idx="67">
                  <c:v>165.12910796953261</c:v>
                </c:pt>
                <c:pt idx="68">
                  <c:v>164.98060716654373</c:v>
                </c:pt>
                <c:pt idx="69">
                  <c:v>164.83526407321042</c:v>
                </c:pt>
                <c:pt idx="70">
                  <c:v>164.77176238087745</c:v>
                </c:pt>
                <c:pt idx="71">
                  <c:v>164.63448058704162</c:v>
                </c:pt>
                <c:pt idx="72">
                  <c:v>164.4234148412672</c:v>
                </c:pt>
                <c:pt idx="73">
                  <c:v>164.03405251897144</c:v>
                </c:pt>
                <c:pt idx="74">
                  <c:v>163.56538958513181</c:v>
                </c:pt>
                <c:pt idx="75">
                  <c:v>163.09918289233622</c:v>
                </c:pt>
                <c:pt idx="76">
                  <c:v>162.8973476150949</c:v>
                </c:pt>
                <c:pt idx="77">
                  <c:v>163.11886610969191</c:v>
                </c:pt>
                <c:pt idx="78">
                  <c:v>163.5087032765023</c:v>
                </c:pt>
                <c:pt idx="79">
                  <c:v>163.49525220366797</c:v>
                </c:pt>
                <c:pt idx="80">
                  <c:v>163.30776292839892</c:v>
                </c:pt>
                <c:pt idx="81">
                  <c:v>163.49062406576499</c:v>
                </c:pt>
                <c:pt idx="82">
                  <c:v>163.98936275058171</c:v>
                </c:pt>
                <c:pt idx="83">
                  <c:v>164.68954922734551</c:v>
                </c:pt>
                <c:pt idx="84">
                  <c:v>165.3321538148025</c:v>
                </c:pt>
                <c:pt idx="85">
                  <c:v>166.02339047495468</c:v>
                </c:pt>
                <c:pt idx="86">
                  <c:v>166.58625104293461</c:v>
                </c:pt>
                <c:pt idx="87">
                  <c:v>167.34060508581922</c:v>
                </c:pt>
                <c:pt idx="88">
                  <c:v>167.86966122589553</c:v>
                </c:pt>
                <c:pt idx="89">
                  <c:v>168.3559000541</c:v>
                </c:pt>
                <c:pt idx="90">
                  <c:v>168.76855827178966</c:v>
                </c:pt>
                <c:pt idx="91">
                  <c:v>168.8134560884655</c:v>
                </c:pt>
                <c:pt idx="92">
                  <c:v>168.71239803357869</c:v>
                </c:pt>
                <c:pt idx="93">
                  <c:v>168.70050777399857</c:v>
                </c:pt>
                <c:pt idx="94">
                  <c:v>168.78402134908612</c:v>
                </c:pt>
                <c:pt idx="95">
                  <c:v>168.73734969568616</c:v>
                </c:pt>
                <c:pt idx="96">
                  <c:v>168.88144964201391</c:v>
                </c:pt>
                <c:pt idx="97">
                  <c:v>169.24902015089722</c:v>
                </c:pt>
                <c:pt idx="98">
                  <c:v>169.52293032419263</c:v>
                </c:pt>
                <c:pt idx="99">
                  <c:v>169.47001781906286</c:v>
                </c:pt>
                <c:pt idx="100">
                  <c:v>169.17351903263364</c:v>
                </c:pt>
                <c:pt idx="101">
                  <c:v>168.95061242294884</c:v>
                </c:pt>
                <c:pt idx="102">
                  <c:v>169.184091360455</c:v>
                </c:pt>
                <c:pt idx="103">
                  <c:v>169.26792578214929</c:v>
                </c:pt>
                <c:pt idx="104">
                  <c:v>169.24588103608556</c:v>
                </c:pt>
                <c:pt idx="105">
                  <c:v>169.24353898176014</c:v>
                </c:pt>
                <c:pt idx="106">
                  <c:v>169.37649191681646</c:v>
                </c:pt>
                <c:pt idx="107">
                  <c:v>169.39332474074206</c:v>
                </c:pt>
                <c:pt idx="108">
                  <c:v>169.73921804380194</c:v>
                </c:pt>
                <c:pt idx="109">
                  <c:v>169.82292234425987</c:v>
                </c:pt>
                <c:pt idx="110">
                  <c:v>169.8778477774122</c:v>
                </c:pt>
                <c:pt idx="111">
                  <c:v>170.01198632404075</c:v>
                </c:pt>
                <c:pt idx="112">
                  <c:v>170.00216902032824</c:v>
                </c:pt>
                <c:pt idx="113">
                  <c:v>169.99507426930856</c:v>
                </c:pt>
                <c:pt idx="114">
                  <c:v>169.86717395068061</c:v>
                </c:pt>
                <c:pt idx="115">
                  <c:v>169.84822194487563</c:v>
                </c:pt>
                <c:pt idx="116">
                  <c:v>170.03857371004085</c:v>
                </c:pt>
                <c:pt idx="117">
                  <c:v>169.93331209979058</c:v>
                </c:pt>
                <c:pt idx="118">
                  <c:v>170.00385271017163</c:v>
                </c:pt>
                <c:pt idx="119">
                  <c:v>170.28216878031284</c:v>
                </c:pt>
                <c:pt idx="120">
                  <c:v>170.34614271129041</c:v>
                </c:pt>
                <c:pt idx="121">
                  <c:v>170.30561342575632</c:v>
                </c:pt>
                <c:pt idx="122">
                  <c:v>169.7949458508005</c:v>
                </c:pt>
                <c:pt idx="123">
                  <c:v>169.37009991979068</c:v>
                </c:pt>
                <c:pt idx="124">
                  <c:v>169.7264901649695</c:v>
                </c:pt>
                <c:pt idx="125">
                  <c:v>169.81863763315849</c:v>
                </c:pt>
                <c:pt idx="126">
                  <c:v>169.91712114810517</c:v>
                </c:pt>
                <c:pt idx="127">
                  <c:v>169.923726894759</c:v>
                </c:pt>
                <c:pt idx="128">
                  <c:v>169.70164785673109</c:v>
                </c:pt>
                <c:pt idx="129">
                  <c:v>169.63539181286419</c:v>
                </c:pt>
                <c:pt idx="130">
                  <c:v>169.58220763897003</c:v>
                </c:pt>
                <c:pt idx="131">
                  <c:v>169.45744692809077</c:v>
                </c:pt>
                <c:pt idx="132">
                  <c:v>169.49290924668321</c:v>
                </c:pt>
                <c:pt idx="133">
                  <c:v>169.49370710309179</c:v>
                </c:pt>
                <c:pt idx="134">
                  <c:v>169.50833076909254</c:v>
                </c:pt>
                <c:pt idx="135">
                  <c:v>169.86784200512579</c:v>
                </c:pt>
                <c:pt idx="136">
                  <c:v>169.84628251947348</c:v>
                </c:pt>
                <c:pt idx="137">
                  <c:v>169.88643745961616</c:v>
                </c:pt>
                <c:pt idx="138">
                  <c:v>169.88479910476781</c:v>
                </c:pt>
                <c:pt idx="139">
                  <c:v>169.65541889210687</c:v>
                </c:pt>
                <c:pt idx="140">
                  <c:v>169.7937588251304</c:v>
                </c:pt>
                <c:pt idx="141">
                  <c:v>169.73670371910171</c:v>
                </c:pt>
                <c:pt idx="142">
                  <c:v>170.08542157811345</c:v>
                </c:pt>
                <c:pt idx="143">
                  <c:v>170.58541450116377</c:v>
                </c:pt>
                <c:pt idx="144">
                  <c:v>170.76817898044129</c:v>
                </c:pt>
                <c:pt idx="145">
                  <c:v>171.22932679841975</c:v>
                </c:pt>
                <c:pt idx="146">
                  <c:v>171.17896536108634</c:v>
                </c:pt>
                <c:pt idx="147">
                  <c:v>171.63599751410777</c:v>
                </c:pt>
                <c:pt idx="148">
                  <c:v>171.74455545225476</c:v>
                </c:pt>
                <c:pt idx="149">
                  <c:v>171.86189561489482</c:v>
                </c:pt>
                <c:pt idx="150">
                  <c:v>172.20725941577115</c:v>
                </c:pt>
                <c:pt idx="151">
                  <c:v>172.67666086768654</c:v>
                </c:pt>
                <c:pt idx="152">
                  <c:v>173.03901033012892</c:v>
                </c:pt>
                <c:pt idx="153">
                  <c:v>172.97860866547919</c:v>
                </c:pt>
                <c:pt idx="154">
                  <c:v>172.98745604551812</c:v>
                </c:pt>
                <c:pt idx="155">
                  <c:v>172.91926133247884</c:v>
                </c:pt>
                <c:pt idx="156">
                  <c:v>172.88283436388147</c:v>
                </c:pt>
                <c:pt idx="157">
                  <c:v>172.87860847324208</c:v>
                </c:pt>
                <c:pt idx="158">
                  <c:v>172.89166761952799</c:v>
                </c:pt>
                <c:pt idx="159">
                  <c:v>173.19393553839379</c:v>
                </c:pt>
                <c:pt idx="160">
                  <c:v>173.40013639553212</c:v>
                </c:pt>
                <c:pt idx="161">
                  <c:v>173.62172081148276</c:v>
                </c:pt>
                <c:pt idx="162">
                  <c:v>173.62703059219979</c:v>
                </c:pt>
                <c:pt idx="163">
                  <c:v>173.68001783140903</c:v>
                </c:pt>
                <c:pt idx="164">
                  <c:v>173.1570320951277</c:v>
                </c:pt>
                <c:pt idx="165">
                  <c:v>171.77116235380649</c:v>
                </c:pt>
                <c:pt idx="166">
                  <c:v>171.56801113442103</c:v>
                </c:pt>
                <c:pt idx="167">
                  <c:v>171.83848023014994</c:v>
                </c:pt>
                <c:pt idx="168">
                  <c:v>173.01079457762822</c:v>
                </c:pt>
                <c:pt idx="169">
                  <c:v>174.33990472800542</c:v>
                </c:pt>
                <c:pt idx="170">
                  <c:v>175.25910485018659</c:v>
                </c:pt>
                <c:pt idx="171">
                  <c:v>176.03571783304884</c:v>
                </c:pt>
                <c:pt idx="172">
                  <c:v>176.8486319910615</c:v>
                </c:pt>
                <c:pt idx="173">
                  <c:v>177.86625605634947</c:v>
                </c:pt>
                <c:pt idx="174">
                  <c:v>178.01500792147982</c:v>
                </c:pt>
                <c:pt idx="175">
                  <c:v>178.15531686416494</c:v>
                </c:pt>
                <c:pt idx="176">
                  <c:v>178.25245714542206</c:v>
                </c:pt>
                <c:pt idx="177">
                  <c:v>178.77457059146963</c:v>
                </c:pt>
                <c:pt idx="178">
                  <c:v>178.97507855033075</c:v>
                </c:pt>
                <c:pt idx="179">
                  <c:v>179.03505787086448</c:v>
                </c:pt>
                <c:pt idx="180">
                  <c:v>178.98571056372191</c:v>
                </c:pt>
                <c:pt idx="181">
                  <c:v>179.01283153949876</c:v>
                </c:pt>
                <c:pt idx="182">
                  <c:v>178.86530717762366</c:v>
                </c:pt>
                <c:pt idx="183">
                  <c:v>178.77482789982537</c:v>
                </c:pt>
                <c:pt idx="184">
                  <c:v>178.50492157478297</c:v>
                </c:pt>
                <c:pt idx="185">
                  <c:v>178.10377194723986</c:v>
                </c:pt>
                <c:pt idx="186">
                  <c:v>177.77902796786509</c:v>
                </c:pt>
                <c:pt idx="187">
                  <c:v>177.64792299471742</c:v>
                </c:pt>
                <c:pt idx="188">
                  <c:v>177.6340441258792</c:v>
                </c:pt>
                <c:pt idx="189">
                  <c:v>177.52561828178494</c:v>
                </c:pt>
                <c:pt idx="190">
                  <c:v>177.6510590872538</c:v>
                </c:pt>
                <c:pt idx="191">
                  <c:v>177.8428699494211</c:v>
                </c:pt>
                <c:pt idx="192">
                  <c:v>178.10756709980089</c:v>
                </c:pt>
                <c:pt idx="193">
                  <c:v>177.5863906057636</c:v>
                </c:pt>
                <c:pt idx="194">
                  <c:v>177.53372883297797</c:v>
                </c:pt>
                <c:pt idx="195">
                  <c:v>177.50459178330698</c:v>
                </c:pt>
                <c:pt idx="196">
                  <c:v>177.29790740696379</c:v>
                </c:pt>
                <c:pt idx="197">
                  <c:v>176.46773768042019</c:v>
                </c:pt>
                <c:pt idx="198">
                  <c:v>176.03009496674187</c:v>
                </c:pt>
                <c:pt idx="199">
                  <c:v>175.83902670060255</c:v>
                </c:pt>
                <c:pt idx="200">
                  <c:v>175.88672618312984</c:v>
                </c:pt>
                <c:pt idx="201">
                  <c:v>175.56325551939921</c:v>
                </c:pt>
                <c:pt idx="202">
                  <c:v>175.2921256086382</c:v>
                </c:pt>
                <c:pt idx="203">
                  <c:v>175.06279311688684</c:v>
                </c:pt>
                <c:pt idx="204">
                  <c:v>174.94506802184719</c:v>
                </c:pt>
                <c:pt idx="205">
                  <c:v>174.66213881771773</c:v>
                </c:pt>
                <c:pt idx="206">
                  <c:v>174.32836512832583</c:v>
                </c:pt>
                <c:pt idx="207">
                  <c:v>173.95084037555728</c:v>
                </c:pt>
                <c:pt idx="208">
                  <c:v>173.68273885150845</c:v>
                </c:pt>
                <c:pt idx="209">
                  <c:v>173.66668868030888</c:v>
                </c:pt>
                <c:pt idx="210">
                  <c:v>173.91165631934146</c:v>
                </c:pt>
                <c:pt idx="211">
                  <c:v>174.13824817075462</c:v>
                </c:pt>
                <c:pt idx="212">
                  <c:v>174.30937137850728</c:v>
                </c:pt>
                <c:pt idx="213">
                  <c:v>174.40152864672325</c:v>
                </c:pt>
                <c:pt idx="214">
                  <c:v>175.08884040852905</c:v>
                </c:pt>
                <c:pt idx="215">
                  <c:v>175.22715502552711</c:v>
                </c:pt>
                <c:pt idx="216">
                  <c:v>174.94407947211636</c:v>
                </c:pt>
                <c:pt idx="217">
                  <c:v>174.37123789605855</c:v>
                </c:pt>
                <c:pt idx="218">
                  <c:v>173.46214684959045</c:v>
                </c:pt>
                <c:pt idx="219">
                  <c:v>172.72251364893341</c:v>
                </c:pt>
                <c:pt idx="220">
                  <c:v>171.92159673827797</c:v>
                </c:pt>
                <c:pt idx="221">
                  <c:v>171.56979918868109</c:v>
                </c:pt>
                <c:pt idx="222">
                  <c:v>171.80278600351909</c:v>
                </c:pt>
                <c:pt idx="223">
                  <c:v>172.0032679808034</c:v>
                </c:pt>
                <c:pt idx="224">
                  <c:v>172.24235250046542</c:v>
                </c:pt>
                <c:pt idx="225">
                  <c:v>172.8900760146343</c:v>
                </c:pt>
                <c:pt idx="226">
                  <c:v>174.58990507143963</c:v>
                </c:pt>
                <c:pt idx="227">
                  <c:v>176.23369481404183</c:v>
                </c:pt>
                <c:pt idx="228">
                  <c:v>178.24901840926793</c:v>
                </c:pt>
                <c:pt idx="229">
                  <c:v>179.95005748654199</c:v>
                </c:pt>
                <c:pt idx="230">
                  <c:v>181.34780741368584</c:v>
                </c:pt>
                <c:pt idx="231">
                  <c:v>182.61698319145674</c:v>
                </c:pt>
                <c:pt idx="232">
                  <c:v>182.99865344993754</c:v>
                </c:pt>
                <c:pt idx="233">
                  <c:v>183.29031167847933</c:v>
                </c:pt>
                <c:pt idx="234">
                  <c:v>183.02965866102247</c:v>
                </c:pt>
                <c:pt idx="235">
                  <c:v>182.66160144886206</c:v>
                </c:pt>
                <c:pt idx="236">
                  <c:v>182.55713227274461</c:v>
                </c:pt>
                <c:pt idx="237">
                  <c:v>182.27323624858241</c:v>
                </c:pt>
                <c:pt idx="238">
                  <c:v>181.88095839705426</c:v>
                </c:pt>
                <c:pt idx="239">
                  <c:v>181.51701972386081</c:v>
                </c:pt>
                <c:pt idx="240">
                  <c:v>181.15294820388968</c:v>
                </c:pt>
                <c:pt idx="241">
                  <c:v>181.04914257110934</c:v>
                </c:pt>
                <c:pt idx="242">
                  <c:v>181.07468493762121</c:v>
                </c:pt>
                <c:pt idx="243">
                  <c:v>181.20201854802951</c:v>
                </c:pt>
                <c:pt idx="244">
                  <c:v>181.31468918978021</c:v>
                </c:pt>
                <c:pt idx="245">
                  <c:v>181.53342287226394</c:v>
                </c:pt>
                <c:pt idx="246">
                  <c:v>181.41902304298898</c:v>
                </c:pt>
                <c:pt idx="247">
                  <c:v>180.98985448866722</c:v>
                </c:pt>
                <c:pt idx="248">
                  <c:v>180.02944783533897</c:v>
                </c:pt>
                <c:pt idx="249">
                  <c:v>178.90253146644122</c:v>
                </c:pt>
                <c:pt idx="250">
                  <c:v>177.71320128958629</c:v>
                </c:pt>
                <c:pt idx="251">
                  <c:v>175.96382498984437</c:v>
                </c:pt>
                <c:pt idx="252">
                  <c:v>175.4254787586955</c:v>
                </c:pt>
                <c:pt idx="253">
                  <c:v>174.89445782854099</c:v>
                </c:pt>
                <c:pt idx="254">
                  <c:v>174.77624986882688</c:v>
                </c:pt>
                <c:pt idx="255">
                  <c:v>174.65396746150762</c:v>
                </c:pt>
                <c:pt idx="256">
                  <c:v>174.70695942230756</c:v>
                </c:pt>
                <c:pt idx="257">
                  <c:v>174.90400360529165</c:v>
                </c:pt>
                <c:pt idx="258">
                  <c:v>175.01282905937109</c:v>
                </c:pt>
                <c:pt idx="259">
                  <c:v>174.7640657252208</c:v>
                </c:pt>
                <c:pt idx="260">
                  <c:v>174.32861716742286</c:v>
                </c:pt>
                <c:pt idx="261">
                  <c:v>173.66095768249752</c:v>
                </c:pt>
                <c:pt idx="262">
                  <c:v>172.98905900565518</c:v>
                </c:pt>
                <c:pt idx="263">
                  <c:v>172.43182748641394</c:v>
                </c:pt>
                <c:pt idx="264">
                  <c:v>171.87513219338106</c:v>
                </c:pt>
                <c:pt idx="265">
                  <c:v>171.61624510549632</c:v>
                </c:pt>
                <c:pt idx="266">
                  <c:v>171.15902076841681</c:v>
                </c:pt>
                <c:pt idx="267">
                  <c:v>171.30770109296046</c:v>
                </c:pt>
                <c:pt idx="268">
                  <c:v>170.58965663592554</c:v>
                </c:pt>
                <c:pt idx="269">
                  <c:v>169.97367211781432</c:v>
                </c:pt>
                <c:pt idx="270">
                  <c:v>170.02912274924211</c:v>
                </c:pt>
                <c:pt idx="271">
                  <c:v>169.76029445125366</c:v>
                </c:pt>
                <c:pt idx="272">
                  <c:v>170.25252535489707</c:v>
                </c:pt>
                <c:pt idx="273">
                  <c:v>170.68612443447262</c:v>
                </c:pt>
                <c:pt idx="274">
                  <c:v>171.35593726395609</c:v>
                </c:pt>
                <c:pt idx="275">
                  <c:v>171.92841362392861</c:v>
                </c:pt>
                <c:pt idx="276">
                  <c:v>172.30534770788955</c:v>
                </c:pt>
                <c:pt idx="277">
                  <c:v>172.28222315548464</c:v>
                </c:pt>
                <c:pt idx="278">
                  <c:v>172.41248858468288</c:v>
                </c:pt>
                <c:pt idx="279">
                  <c:v>172.51577991663999</c:v>
                </c:pt>
                <c:pt idx="280">
                  <c:v>172.66178152013762</c:v>
                </c:pt>
                <c:pt idx="281">
                  <c:v>172.3360092719013</c:v>
                </c:pt>
                <c:pt idx="282">
                  <c:v>171.91361315550012</c:v>
                </c:pt>
                <c:pt idx="283">
                  <c:v>171.47506528078139</c:v>
                </c:pt>
                <c:pt idx="284">
                  <c:v>171.42549697186712</c:v>
                </c:pt>
                <c:pt idx="285">
                  <c:v>171.77303035940156</c:v>
                </c:pt>
                <c:pt idx="286">
                  <c:v>171.94921680483708</c:v>
                </c:pt>
                <c:pt idx="287">
                  <c:v>172.56508010656574</c:v>
                </c:pt>
                <c:pt idx="288">
                  <c:v>172.9479532085324</c:v>
                </c:pt>
                <c:pt idx="289">
                  <c:v>173.39520657502925</c:v>
                </c:pt>
                <c:pt idx="290">
                  <c:v>174.21349661004996</c:v>
                </c:pt>
                <c:pt idx="291">
                  <c:v>175.27750550586285</c:v>
                </c:pt>
                <c:pt idx="292">
                  <c:v>175.72259714556887</c:v>
                </c:pt>
                <c:pt idx="293">
                  <c:v>176.38809474208625</c:v>
                </c:pt>
                <c:pt idx="294">
                  <c:v>176.98280734440263</c:v>
                </c:pt>
                <c:pt idx="295">
                  <c:v>177.76236869921718</c:v>
                </c:pt>
                <c:pt idx="296">
                  <c:v>178.48806827278034</c:v>
                </c:pt>
                <c:pt idx="297">
                  <c:v>178.6352032832954</c:v>
                </c:pt>
                <c:pt idx="298">
                  <c:v>178.65396045340182</c:v>
                </c:pt>
                <c:pt idx="299">
                  <c:v>178.66426756079449</c:v>
                </c:pt>
                <c:pt idx="300">
                  <c:v>178.65007482624006</c:v>
                </c:pt>
                <c:pt idx="301">
                  <c:v>177.99904739053585</c:v>
                </c:pt>
                <c:pt idx="302">
                  <c:v>177.74934522885982</c:v>
                </c:pt>
                <c:pt idx="303">
                  <c:v>177.56486323667266</c:v>
                </c:pt>
                <c:pt idx="304">
                  <c:v>177.53082019496716</c:v>
                </c:pt>
                <c:pt idx="305">
                  <c:v>177.72934938106911</c:v>
                </c:pt>
                <c:pt idx="306">
                  <c:v>177.9928294681738</c:v>
                </c:pt>
                <c:pt idx="307">
                  <c:v>178.41482959778662</c:v>
                </c:pt>
                <c:pt idx="308">
                  <c:v>178.38894333299751</c:v>
                </c:pt>
                <c:pt idx="309">
                  <c:v>178.23045075742266</c:v>
                </c:pt>
                <c:pt idx="310">
                  <c:v>177.82016464063759</c:v>
                </c:pt>
                <c:pt idx="311">
                  <c:v>177.1142775632571</c:v>
                </c:pt>
                <c:pt idx="312">
                  <c:v>176.81834200101665</c:v>
                </c:pt>
                <c:pt idx="313">
                  <c:v>176.17012363854829</c:v>
                </c:pt>
                <c:pt idx="314">
                  <c:v>175.75402939113386</c:v>
                </c:pt>
                <c:pt idx="315">
                  <c:v>174.78037995262463</c:v>
                </c:pt>
                <c:pt idx="316">
                  <c:v>173.9820452499446</c:v>
                </c:pt>
                <c:pt idx="317">
                  <c:v>174.06414487731362</c:v>
                </c:pt>
                <c:pt idx="318">
                  <c:v>174.05193887486101</c:v>
                </c:pt>
                <c:pt idx="319">
                  <c:v>173.88914126357025</c:v>
                </c:pt>
                <c:pt idx="320">
                  <c:v>173.8084745707294</c:v>
                </c:pt>
                <c:pt idx="321">
                  <c:v>173.72311554456525</c:v>
                </c:pt>
                <c:pt idx="322">
                  <c:v>173.79626155972502</c:v>
                </c:pt>
                <c:pt idx="323">
                  <c:v>173.6226057846155</c:v>
                </c:pt>
                <c:pt idx="324">
                  <c:v>174.00727718146638</c:v>
                </c:pt>
                <c:pt idx="325">
                  <c:v>173.96862739185792</c:v>
                </c:pt>
                <c:pt idx="326">
                  <c:v>174.09259723039659</c:v>
                </c:pt>
                <c:pt idx="327">
                  <c:v>174.03881599973491</c:v>
                </c:pt>
                <c:pt idx="328">
                  <c:v>174.37519906335194</c:v>
                </c:pt>
                <c:pt idx="329">
                  <c:v>174.26197861889275</c:v>
                </c:pt>
                <c:pt idx="330">
                  <c:v>174.0994422143597</c:v>
                </c:pt>
                <c:pt idx="331">
                  <c:v>173.52086768182329</c:v>
                </c:pt>
                <c:pt idx="332">
                  <c:v>172.81816446781207</c:v>
                </c:pt>
                <c:pt idx="333">
                  <c:v>172.32566768819282</c:v>
                </c:pt>
                <c:pt idx="334">
                  <c:v>170.96123847880293</c:v>
                </c:pt>
                <c:pt idx="335">
                  <c:v>171.06055391138312</c:v>
                </c:pt>
                <c:pt idx="336">
                  <c:v>171.11677526760994</c:v>
                </c:pt>
                <c:pt idx="337">
                  <c:v>171.04239189922339</c:v>
                </c:pt>
                <c:pt idx="338">
                  <c:v>171.16549245102431</c:v>
                </c:pt>
                <c:pt idx="339">
                  <c:v>171.28427362615227</c:v>
                </c:pt>
                <c:pt idx="340">
                  <c:v>170.83682536179666</c:v>
                </c:pt>
                <c:pt idx="341">
                  <c:v>169.93220005337099</c:v>
                </c:pt>
                <c:pt idx="342">
                  <c:v>169.05229958897729</c:v>
                </c:pt>
                <c:pt idx="343">
                  <c:v>168.53231363826845</c:v>
                </c:pt>
                <c:pt idx="344">
                  <c:v>166.79186865386112</c:v>
                </c:pt>
                <c:pt idx="345">
                  <c:v>166.59013511162792</c:v>
                </c:pt>
                <c:pt idx="346">
                  <c:v>165.96248621602913</c:v>
                </c:pt>
                <c:pt idx="347">
                  <c:v>165.88879375418625</c:v>
                </c:pt>
                <c:pt idx="348">
                  <c:v>166.42213709867008</c:v>
                </c:pt>
                <c:pt idx="349">
                  <c:v>167.05063920800089</c:v>
                </c:pt>
                <c:pt idx="350">
                  <c:v>168.00936606749806</c:v>
                </c:pt>
                <c:pt idx="351">
                  <c:v>168.74049337401087</c:v>
                </c:pt>
                <c:pt idx="352">
                  <c:v>169.64253201759419</c:v>
                </c:pt>
                <c:pt idx="353">
                  <c:v>170.77003502083315</c:v>
                </c:pt>
                <c:pt idx="354">
                  <c:v>171.33918989854826</c:v>
                </c:pt>
                <c:pt idx="355">
                  <c:v>171.61060118422037</c:v>
                </c:pt>
                <c:pt idx="356">
                  <c:v>171.72560549124927</c:v>
                </c:pt>
                <c:pt idx="357">
                  <c:v>171.60562353354672</c:v>
                </c:pt>
                <c:pt idx="358">
                  <c:v>171.40886851792197</c:v>
                </c:pt>
                <c:pt idx="359">
                  <c:v>170.9616357239513</c:v>
                </c:pt>
                <c:pt idx="360">
                  <c:v>170.86994708745499</c:v>
                </c:pt>
                <c:pt idx="361">
                  <c:v>170.49604940708213</c:v>
                </c:pt>
                <c:pt idx="362">
                  <c:v>169.79535297110374</c:v>
                </c:pt>
                <c:pt idx="363">
                  <c:v>170.04660890437546</c:v>
                </c:pt>
                <c:pt idx="364">
                  <c:v>170.21985734439346</c:v>
                </c:pt>
                <c:pt idx="365">
                  <c:v>170.65172390860769</c:v>
                </c:pt>
                <c:pt idx="366">
                  <c:v>170.94174230738761</c:v>
                </c:pt>
                <c:pt idx="367">
                  <c:v>170.98974643781744</c:v>
                </c:pt>
                <c:pt idx="368">
                  <c:v>170.88933880426751</c:v>
                </c:pt>
                <c:pt idx="369">
                  <c:v>170.69821404791537</c:v>
                </c:pt>
                <c:pt idx="370">
                  <c:v>170.23472957938179</c:v>
                </c:pt>
                <c:pt idx="371">
                  <c:v>169.7568502335269</c:v>
                </c:pt>
                <c:pt idx="372">
                  <c:v>168.84092348898562</c:v>
                </c:pt>
                <c:pt idx="373">
                  <c:v>167.34365076415031</c:v>
                </c:pt>
                <c:pt idx="374">
                  <c:v>166.23067172005844</c:v>
                </c:pt>
                <c:pt idx="375">
                  <c:v>165.20249317597688</c:v>
                </c:pt>
                <c:pt idx="376">
                  <c:v>164.24599874713851</c:v>
                </c:pt>
                <c:pt idx="377">
                  <c:v>163.99948894086791</c:v>
                </c:pt>
                <c:pt idx="378">
                  <c:v>163.51872844773482</c:v>
                </c:pt>
                <c:pt idx="379">
                  <c:v>163.33263478541926</c:v>
                </c:pt>
                <c:pt idx="380">
                  <c:v>162.92112205315289</c:v>
                </c:pt>
                <c:pt idx="381">
                  <c:v>162.73358344001258</c:v>
                </c:pt>
                <c:pt idx="382">
                  <c:v>162.81377484263092</c:v>
                </c:pt>
                <c:pt idx="383">
                  <c:v>163.40298865353049</c:v>
                </c:pt>
                <c:pt idx="384">
                  <c:v>163.45386216123339</c:v>
                </c:pt>
                <c:pt idx="385">
                  <c:v>163.46340580661632</c:v>
                </c:pt>
                <c:pt idx="386">
                  <c:v>163.51038934975159</c:v>
                </c:pt>
                <c:pt idx="387">
                  <c:v>163.46223187547804</c:v>
                </c:pt>
                <c:pt idx="388">
                  <c:v>163.1371945595981</c:v>
                </c:pt>
                <c:pt idx="389">
                  <c:v>162.90285751446157</c:v>
                </c:pt>
                <c:pt idx="390">
                  <c:v>162.88712159829322</c:v>
                </c:pt>
                <c:pt idx="391">
                  <c:v>162.86016351747861</c:v>
                </c:pt>
                <c:pt idx="392">
                  <c:v>162.62364791711366</c:v>
                </c:pt>
                <c:pt idx="393">
                  <c:v>162.43233885898636</c:v>
                </c:pt>
                <c:pt idx="394">
                  <c:v>162.06535691883047</c:v>
                </c:pt>
                <c:pt idx="395">
                  <c:v>161.9071003057262</c:v>
                </c:pt>
                <c:pt idx="396">
                  <c:v>161.57373672385253</c:v>
                </c:pt>
                <c:pt idx="397">
                  <c:v>161.11088913586019</c:v>
                </c:pt>
                <c:pt idx="398">
                  <c:v>161.02806701102696</c:v>
                </c:pt>
                <c:pt idx="399">
                  <c:v>160.75822982543647</c:v>
                </c:pt>
                <c:pt idx="400">
                  <c:v>160.27852688931966</c:v>
                </c:pt>
                <c:pt idx="401">
                  <c:v>159.99987057163088</c:v>
                </c:pt>
                <c:pt idx="402">
                  <c:v>160.05697687681763</c:v>
                </c:pt>
                <c:pt idx="403">
                  <c:v>160.11702849178795</c:v>
                </c:pt>
                <c:pt idx="404">
                  <c:v>160.19605293837787</c:v>
                </c:pt>
                <c:pt idx="405">
                  <c:v>160.09935692516004</c:v>
                </c:pt>
                <c:pt idx="406">
                  <c:v>160.05802447705113</c:v>
                </c:pt>
                <c:pt idx="407">
                  <c:v>160.11359531496186</c:v>
                </c:pt>
                <c:pt idx="408">
                  <c:v>160.12906956610368</c:v>
                </c:pt>
                <c:pt idx="409">
                  <c:v>160.38683134516501</c:v>
                </c:pt>
                <c:pt idx="410">
                  <c:v>160.37072427831518</c:v>
                </c:pt>
                <c:pt idx="411">
                  <c:v>160.44106124502119</c:v>
                </c:pt>
                <c:pt idx="412">
                  <c:v>160.32322687102612</c:v>
                </c:pt>
                <c:pt idx="413">
                  <c:v>160.25133935095153</c:v>
                </c:pt>
                <c:pt idx="414">
                  <c:v>160.48939233770088</c:v>
                </c:pt>
                <c:pt idx="415">
                  <c:v>160.3788184065844</c:v>
                </c:pt>
                <c:pt idx="416">
                  <c:v>160.33980829442586</c:v>
                </c:pt>
                <c:pt idx="417">
                  <c:v>160.32485169310158</c:v>
                </c:pt>
                <c:pt idx="418">
                  <c:v>160.11062058226275</c:v>
                </c:pt>
                <c:pt idx="419">
                  <c:v>160.34163440701366</c:v>
                </c:pt>
                <c:pt idx="420">
                  <c:v>160.72241037609336</c:v>
                </c:pt>
                <c:pt idx="421">
                  <c:v>160.80544838961612</c:v>
                </c:pt>
                <c:pt idx="422">
                  <c:v>161.04693189815674</c:v>
                </c:pt>
                <c:pt idx="423">
                  <c:v>161.01922831337447</c:v>
                </c:pt>
                <c:pt idx="424">
                  <c:v>161.09829612528361</c:v>
                </c:pt>
                <c:pt idx="425">
                  <c:v>160.82654440357311</c:v>
                </c:pt>
                <c:pt idx="426">
                  <c:v>160.55132190169169</c:v>
                </c:pt>
                <c:pt idx="427">
                  <c:v>160.47033655680085</c:v>
                </c:pt>
                <c:pt idx="428">
                  <c:v>160.77584862504398</c:v>
                </c:pt>
                <c:pt idx="429">
                  <c:v>160.59892213294881</c:v>
                </c:pt>
                <c:pt idx="430">
                  <c:v>160.57393079701043</c:v>
                </c:pt>
                <c:pt idx="431">
                  <c:v>160.99164513598237</c:v>
                </c:pt>
                <c:pt idx="432">
                  <c:v>161.45153485899459</c:v>
                </c:pt>
                <c:pt idx="433">
                  <c:v>161.80577337577537</c:v>
                </c:pt>
                <c:pt idx="434">
                  <c:v>162.08938054204771</c:v>
                </c:pt>
                <c:pt idx="435">
                  <c:v>162.28195367542452</c:v>
                </c:pt>
                <c:pt idx="436">
                  <c:v>162.29533396685872</c:v>
                </c:pt>
                <c:pt idx="437">
                  <c:v>162.18912026504725</c:v>
                </c:pt>
                <c:pt idx="438">
                  <c:v>162.04871886541011</c:v>
                </c:pt>
                <c:pt idx="439">
                  <c:v>161.78235084307863</c:v>
                </c:pt>
                <c:pt idx="440">
                  <c:v>161.24593917655898</c:v>
                </c:pt>
                <c:pt idx="441">
                  <c:v>160.96516796917558</c:v>
                </c:pt>
                <c:pt idx="442">
                  <c:v>160.32178060187269</c:v>
                </c:pt>
                <c:pt idx="443">
                  <c:v>160.09856672674991</c:v>
                </c:pt>
                <c:pt idx="444">
                  <c:v>159.54698926791082</c:v>
                </c:pt>
                <c:pt idx="445">
                  <c:v>159.10587224326122</c:v>
                </c:pt>
                <c:pt idx="446">
                  <c:v>159.01049960993296</c:v>
                </c:pt>
                <c:pt idx="447">
                  <c:v>158.30909480700782</c:v>
                </c:pt>
                <c:pt idx="448">
                  <c:v>156.83583741692931</c:v>
                </c:pt>
                <c:pt idx="449">
                  <c:v>155.84198655104811</c:v>
                </c:pt>
                <c:pt idx="450">
                  <c:v>155.05330527322067</c:v>
                </c:pt>
                <c:pt idx="451">
                  <c:v>154.92025330182764</c:v>
                </c:pt>
                <c:pt idx="452">
                  <c:v>154.83438889607089</c:v>
                </c:pt>
                <c:pt idx="453">
                  <c:v>154.80928322583526</c:v>
                </c:pt>
                <c:pt idx="454">
                  <c:v>154.81569462072829</c:v>
                </c:pt>
                <c:pt idx="455">
                  <c:v>154.81444318261421</c:v>
                </c:pt>
                <c:pt idx="456">
                  <c:v>154.56766780675039</c:v>
                </c:pt>
                <c:pt idx="457">
                  <c:v>154.24574272606736</c:v>
                </c:pt>
                <c:pt idx="458">
                  <c:v>154.00174836739862</c:v>
                </c:pt>
                <c:pt idx="459">
                  <c:v>153.86306692651044</c:v>
                </c:pt>
                <c:pt idx="460">
                  <c:v>153.67841089349574</c:v>
                </c:pt>
                <c:pt idx="461">
                  <c:v>153.76077092726641</c:v>
                </c:pt>
                <c:pt idx="462">
                  <c:v>153.64418100882236</c:v>
                </c:pt>
                <c:pt idx="463">
                  <c:v>153.90231603703825</c:v>
                </c:pt>
                <c:pt idx="464">
                  <c:v>154.01164985671315</c:v>
                </c:pt>
                <c:pt idx="465">
                  <c:v>154.04600442028558</c:v>
                </c:pt>
                <c:pt idx="466">
                  <c:v>154.22174361920315</c:v>
                </c:pt>
                <c:pt idx="467">
                  <c:v>154.20744330431165</c:v>
                </c:pt>
                <c:pt idx="468">
                  <c:v>154.19129054531206</c:v>
                </c:pt>
                <c:pt idx="469">
                  <c:v>154.15672094591338</c:v>
                </c:pt>
                <c:pt idx="470">
                  <c:v>153.93088792692237</c:v>
                </c:pt>
                <c:pt idx="471">
                  <c:v>153.6675769263818</c:v>
                </c:pt>
                <c:pt idx="472">
                  <c:v>153.32783496956421</c:v>
                </c:pt>
                <c:pt idx="473">
                  <c:v>152.8109744128077</c:v>
                </c:pt>
                <c:pt idx="474">
                  <c:v>152.22944747430907</c:v>
                </c:pt>
                <c:pt idx="475">
                  <c:v>151.84893064786678</c:v>
                </c:pt>
                <c:pt idx="476">
                  <c:v>151.22684676877159</c:v>
                </c:pt>
                <c:pt idx="477">
                  <c:v>150.67388007234914</c:v>
                </c:pt>
                <c:pt idx="478">
                  <c:v>150.61861321646307</c:v>
                </c:pt>
                <c:pt idx="479">
                  <c:v>150.4224969285589</c:v>
                </c:pt>
                <c:pt idx="480">
                  <c:v>149.96235659480917</c:v>
                </c:pt>
                <c:pt idx="481">
                  <c:v>149.9460935151655</c:v>
                </c:pt>
                <c:pt idx="482">
                  <c:v>149.93974144537083</c:v>
                </c:pt>
                <c:pt idx="483">
                  <c:v>149.98028819585068</c:v>
                </c:pt>
                <c:pt idx="484">
                  <c:v>150.33470270341252</c:v>
                </c:pt>
                <c:pt idx="485">
                  <c:v>151.83335854283771</c:v>
                </c:pt>
                <c:pt idx="486">
                  <c:v>152.4528959050343</c:v>
                </c:pt>
                <c:pt idx="487">
                  <c:v>152.62874563579095</c:v>
                </c:pt>
                <c:pt idx="488">
                  <c:v>152.60246105343552</c:v>
                </c:pt>
                <c:pt idx="489">
                  <c:v>152.37159703926923</c:v>
                </c:pt>
                <c:pt idx="490">
                  <c:v>152.16475288477901</c:v>
                </c:pt>
                <c:pt idx="491">
                  <c:v>152.13006187676524</c:v>
                </c:pt>
                <c:pt idx="492">
                  <c:v>152.22383902108325</c:v>
                </c:pt>
                <c:pt idx="493">
                  <c:v>152.10652457490789</c:v>
                </c:pt>
                <c:pt idx="494">
                  <c:v>151.78426768653634</c:v>
                </c:pt>
                <c:pt idx="495">
                  <c:v>150.84919830275288</c:v>
                </c:pt>
                <c:pt idx="496">
                  <c:v>150.59053648168279</c:v>
                </c:pt>
                <c:pt idx="497">
                  <c:v>150.09020010053283</c:v>
                </c:pt>
                <c:pt idx="498">
                  <c:v>149.61211485210151</c:v>
                </c:pt>
                <c:pt idx="499">
                  <c:v>149.09806410557667</c:v>
                </c:pt>
                <c:pt idx="500">
                  <c:v>148.65653774782646</c:v>
                </c:pt>
                <c:pt idx="501">
                  <c:v>148.42797390096086</c:v>
                </c:pt>
                <c:pt idx="502">
                  <c:v>148.01383637327169</c:v>
                </c:pt>
                <c:pt idx="503">
                  <c:v>147.84657895642943</c:v>
                </c:pt>
                <c:pt idx="504">
                  <c:v>147.87576395051531</c:v>
                </c:pt>
                <c:pt idx="505">
                  <c:v>147.92085827129895</c:v>
                </c:pt>
                <c:pt idx="506">
                  <c:v>147.82159313554882</c:v>
                </c:pt>
                <c:pt idx="507">
                  <c:v>147.72088206291644</c:v>
                </c:pt>
                <c:pt idx="508">
                  <c:v>147.72179985345798</c:v>
                </c:pt>
                <c:pt idx="509">
                  <c:v>147.80866832412187</c:v>
                </c:pt>
                <c:pt idx="510">
                  <c:v>148.00441411015558</c:v>
                </c:pt>
                <c:pt idx="511">
                  <c:v>147.934175725648</c:v>
                </c:pt>
                <c:pt idx="512">
                  <c:v>147.30996443507988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92-4057-AC0F-B85F75168E7F}"/>
            </c:ext>
          </c:extLst>
        </c:ser>
        <c:ser>
          <c:idx val="3"/>
          <c:order val="3"/>
          <c:tx>
            <c:strRef>
              <c:f>Data!$M$1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Data!$M$2:$M$514</c:f>
              <c:numCache>
                <c:formatCode>General</c:formatCode>
                <c:ptCount val="513"/>
                <c:pt idx="19">
                  <c:v>144.3101473337336</c:v>
                </c:pt>
                <c:pt idx="20">
                  <c:v>144.23208409620614</c:v>
                </c:pt>
                <c:pt idx="21">
                  <c:v>144.15418500312808</c:v>
                </c:pt>
                <c:pt idx="22">
                  <c:v>144.29045681618098</c:v>
                </c:pt>
                <c:pt idx="23">
                  <c:v>144.75605724336518</c:v>
                </c:pt>
                <c:pt idx="24">
                  <c:v>145.07237124723355</c:v>
                </c:pt>
                <c:pt idx="25">
                  <c:v>145.40786723445086</c:v>
                </c:pt>
                <c:pt idx="26">
                  <c:v>145.78984958856876</c:v>
                </c:pt>
                <c:pt idx="27">
                  <c:v>146.21656082255745</c:v>
                </c:pt>
                <c:pt idx="28">
                  <c:v>146.69305626252608</c:v>
                </c:pt>
                <c:pt idx="29">
                  <c:v>147.36647063051311</c:v>
                </c:pt>
                <c:pt idx="30">
                  <c:v>148.0584738530373</c:v>
                </c:pt>
                <c:pt idx="31">
                  <c:v>149.34524417744964</c:v>
                </c:pt>
                <c:pt idx="32">
                  <c:v>151.13162791819755</c:v>
                </c:pt>
                <c:pt idx="33">
                  <c:v>153.45820667649215</c:v>
                </c:pt>
                <c:pt idx="34">
                  <c:v>153.77389140516397</c:v>
                </c:pt>
                <c:pt idx="35">
                  <c:v>154.86003379943992</c:v>
                </c:pt>
                <c:pt idx="36">
                  <c:v>154.96575851081693</c:v>
                </c:pt>
                <c:pt idx="37">
                  <c:v>155.15604935639882</c:v>
                </c:pt>
                <c:pt idx="38">
                  <c:v>155.44062361631626</c:v>
                </c:pt>
                <c:pt idx="39">
                  <c:v>155.51143455260433</c:v>
                </c:pt>
                <c:pt idx="40">
                  <c:v>155.66809237524285</c:v>
                </c:pt>
                <c:pt idx="41">
                  <c:v>155.66142168238315</c:v>
                </c:pt>
                <c:pt idx="42">
                  <c:v>155.71421419921657</c:v>
                </c:pt>
                <c:pt idx="43">
                  <c:v>155.76399797724977</c:v>
                </c:pt>
                <c:pt idx="44">
                  <c:v>155.77159772861458</c:v>
                </c:pt>
                <c:pt idx="45">
                  <c:v>155.73409273646254</c:v>
                </c:pt>
                <c:pt idx="46">
                  <c:v>155.74751666781953</c:v>
                </c:pt>
                <c:pt idx="47">
                  <c:v>155.82732673662125</c:v>
                </c:pt>
                <c:pt idx="48">
                  <c:v>155.98263696140043</c:v>
                </c:pt>
                <c:pt idx="49">
                  <c:v>156.36972517522568</c:v>
                </c:pt>
                <c:pt idx="50">
                  <c:v>157.1685233801017</c:v>
                </c:pt>
                <c:pt idx="51">
                  <c:v>157.69030339215442</c:v>
                </c:pt>
                <c:pt idx="52">
                  <c:v>158.17772816259182</c:v>
                </c:pt>
                <c:pt idx="53">
                  <c:v>158.43226239110851</c:v>
                </c:pt>
                <c:pt idx="54">
                  <c:v>158.41297380453062</c:v>
                </c:pt>
                <c:pt idx="55">
                  <c:v>158.40731915239306</c:v>
                </c:pt>
                <c:pt idx="56">
                  <c:v>158.40035164508797</c:v>
                </c:pt>
                <c:pt idx="57">
                  <c:v>158.39749570745892</c:v>
                </c:pt>
                <c:pt idx="58">
                  <c:v>158.55391201709159</c:v>
                </c:pt>
                <c:pt idx="59">
                  <c:v>158.56171975343833</c:v>
                </c:pt>
                <c:pt idx="60">
                  <c:v>158.84277123942843</c:v>
                </c:pt>
                <c:pt idx="61">
                  <c:v>159.17005014487071</c:v>
                </c:pt>
                <c:pt idx="62">
                  <c:v>159.343146052707</c:v>
                </c:pt>
                <c:pt idx="63">
                  <c:v>158.21795974587229</c:v>
                </c:pt>
                <c:pt idx="64">
                  <c:v>157.10446165069672</c:v>
                </c:pt>
                <c:pt idx="65">
                  <c:v>156.31883541961221</c:v>
                </c:pt>
                <c:pt idx="66">
                  <c:v>155.64132387721352</c:v>
                </c:pt>
                <c:pt idx="67">
                  <c:v>155.15189203046739</c:v>
                </c:pt>
                <c:pt idx="68">
                  <c:v>154.83139283345628</c:v>
                </c:pt>
                <c:pt idx="69">
                  <c:v>154.33073592678957</c:v>
                </c:pt>
                <c:pt idx="70">
                  <c:v>153.77723761912253</c:v>
                </c:pt>
                <c:pt idx="71">
                  <c:v>153.32151941295834</c:v>
                </c:pt>
                <c:pt idx="72">
                  <c:v>153.00658515873275</c:v>
                </c:pt>
                <c:pt idx="73">
                  <c:v>152.90894748102849</c:v>
                </c:pt>
                <c:pt idx="74">
                  <c:v>152.90761041486815</c:v>
                </c:pt>
                <c:pt idx="75">
                  <c:v>153.00181710766378</c:v>
                </c:pt>
                <c:pt idx="76">
                  <c:v>153.09165238490502</c:v>
                </c:pt>
                <c:pt idx="77">
                  <c:v>153.00113389030804</c:v>
                </c:pt>
                <c:pt idx="78">
                  <c:v>152.81629672349763</c:v>
                </c:pt>
                <c:pt idx="79">
                  <c:v>152.82374779633204</c:v>
                </c:pt>
                <c:pt idx="80">
                  <c:v>152.9152370716011</c:v>
                </c:pt>
                <c:pt idx="81">
                  <c:v>152.84037593423503</c:v>
                </c:pt>
                <c:pt idx="82">
                  <c:v>152.60463724941823</c:v>
                </c:pt>
                <c:pt idx="83">
                  <c:v>152.62945077265445</c:v>
                </c:pt>
                <c:pt idx="84">
                  <c:v>152.82584618519752</c:v>
                </c:pt>
                <c:pt idx="85">
                  <c:v>152.97060952504535</c:v>
                </c:pt>
                <c:pt idx="86">
                  <c:v>153.2477489570654</c:v>
                </c:pt>
                <c:pt idx="87">
                  <c:v>153.40339491418081</c:v>
                </c:pt>
                <c:pt idx="88">
                  <c:v>153.65733877410446</c:v>
                </c:pt>
                <c:pt idx="89">
                  <c:v>154.19109994589996</c:v>
                </c:pt>
                <c:pt idx="90">
                  <c:v>154.9304417282103</c:v>
                </c:pt>
                <c:pt idx="91">
                  <c:v>155.92754391153449</c:v>
                </c:pt>
                <c:pt idx="92">
                  <c:v>157.00960196642134</c:v>
                </c:pt>
                <c:pt idx="93">
                  <c:v>157.97649222600145</c:v>
                </c:pt>
                <c:pt idx="94">
                  <c:v>158.94997865091392</c:v>
                </c:pt>
                <c:pt idx="95">
                  <c:v>159.94665030431386</c:v>
                </c:pt>
                <c:pt idx="96">
                  <c:v>160.47955035798608</c:v>
                </c:pt>
                <c:pt idx="97">
                  <c:v>160.79697984910277</c:v>
                </c:pt>
                <c:pt idx="98">
                  <c:v>161.04406967580732</c:v>
                </c:pt>
                <c:pt idx="99">
                  <c:v>161.39098218093713</c:v>
                </c:pt>
                <c:pt idx="100">
                  <c:v>162.09148096736635</c:v>
                </c:pt>
                <c:pt idx="101">
                  <c:v>162.45938757705113</c:v>
                </c:pt>
                <c:pt idx="102">
                  <c:v>162.070908639545</c:v>
                </c:pt>
                <c:pt idx="103">
                  <c:v>161.90507421785065</c:v>
                </c:pt>
                <c:pt idx="104">
                  <c:v>161.99711896391437</c:v>
                </c:pt>
                <c:pt idx="105">
                  <c:v>162.0184610182398</c:v>
                </c:pt>
                <c:pt idx="106">
                  <c:v>162.14250808318349</c:v>
                </c:pt>
                <c:pt idx="107">
                  <c:v>162.154675259258</c:v>
                </c:pt>
                <c:pt idx="108">
                  <c:v>162.14878195619804</c:v>
                </c:pt>
                <c:pt idx="109">
                  <c:v>162.16707765574009</c:v>
                </c:pt>
                <c:pt idx="110">
                  <c:v>162.16215222258782</c:v>
                </c:pt>
                <c:pt idx="111">
                  <c:v>162.18901367595927</c:v>
                </c:pt>
                <c:pt idx="112">
                  <c:v>162.14083097967173</c:v>
                </c:pt>
                <c:pt idx="113">
                  <c:v>162.13792573069136</c:v>
                </c:pt>
                <c:pt idx="114">
                  <c:v>162.15882604931934</c:v>
                </c:pt>
                <c:pt idx="115">
                  <c:v>162.16377805512431</c:v>
                </c:pt>
                <c:pt idx="116">
                  <c:v>162.09842628995909</c:v>
                </c:pt>
                <c:pt idx="117">
                  <c:v>162.13568790020938</c:v>
                </c:pt>
                <c:pt idx="118">
                  <c:v>162.11014728982829</c:v>
                </c:pt>
                <c:pt idx="119">
                  <c:v>162.12783121968712</c:v>
                </c:pt>
                <c:pt idx="120">
                  <c:v>162.21585728870954</c:v>
                </c:pt>
                <c:pt idx="121">
                  <c:v>162.69038657424366</c:v>
                </c:pt>
                <c:pt idx="122">
                  <c:v>163.69805414919938</c:v>
                </c:pt>
                <c:pt idx="123">
                  <c:v>164.3569000802093</c:v>
                </c:pt>
                <c:pt idx="124">
                  <c:v>163.8185098350304</c:v>
                </c:pt>
                <c:pt idx="125">
                  <c:v>163.65136236684143</c:v>
                </c:pt>
                <c:pt idx="126">
                  <c:v>163.23487885189476</c:v>
                </c:pt>
                <c:pt idx="127">
                  <c:v>163.14427310524098</c:v>
                </c:pt>
                <c:pt idx="128">
                  <c:v>163.17135214326885</c:v>
                </c:pt>
                <c:pt idx="129">
                  <c:v>163.09760818713582</c:v>
                </c:pt>
                <c:pt idx="130">
                  <c:v>163.09579236102996</c:v>
                </c:pt>
                <c:pt idx="131">
                  <c:v>163.02655307190921</c:v>
                </c:pt>
                <c:pt idx="132">
                  <c:v>163.1340907533168</c:v>
                </c:pt>
                <c:pt idx="133">
                  <c:v>162.95029289690828</c:v>
                </c:pt>
                <c:pt idx="134">
                  <c:v>162.95166923090744</c:v>
                </c:pt>
                <c:pt idx="135">
                  <c:v>162.78615799487426</c:v>
                </c:pt>
                <c:pt idx="136">
                  <c:v>162.79571748052652</c:v>
                </c:pt>
                <c:pt idx="137">
                  <c:v>162.78456254038383</c:v>
                </c:pt>
                <c:pt idx="138">
                  <c:v>162.78520089523215</c:v>
                </c:pt>
                <c:pt idx="139">
                  <c:v>162.8315811078931</c:v>
                </c:pt>
                <c:pt idx="140">
                  <c:v>162.80824117486958</c:v>
                </c:pt>
                <c:pt idx="141">
                  <c:v>162.81029628089826</c:v>
                </c:pt>
                <c:pt idx="142">
                  <c:v>162.71057842188654</c:v>
                </c:pt>
                <c:pt idx="143">
                  <c:v>162.7115854988362</c:v>
                </c:pt>
                <c:pt idx="144">
                  <c:v>162.4268210195587</c:v>
                </c:pt>
                <c:pt idx="145">
                  <c:v>161.65167320158022</c:v>
                </c:pt>
                <c:pt idx="146">
                  <c:v>161.88803463891372</c:v>
                </c:pt>
                <c:pt idx="147">
                  <c:v>161.91800248589226</c:v>
                </c:pt>
                <c:pt idx="148">
                  <c:v>161.96344454774521</c:v>
                </c:pt>
                <c:pt idx="149">
                  <c:v>162.0891043851052</c:v>
                </c:pt>
                <c:pt idx="150">
                  <c:v>162.06574058422888</c:v>
                </c:pt>
                <c:pt idx="151">
                  <c:v>162.12933913231345</c:v>
                </c:pt>
                <c:pt idx="152">
                  <c:v>162.15998966987109</c:v>
                </c:pt>
                <c:pt idx="153">
                  <c:v>162.44339133452078</c:v>
                </c:pt>
                <c:pt idx="154">
                  <c:v>162.4685439544819</c:v>
                </c:pt>
                <c:pt idx="155">
                  <c:v>162.47273866752116</c:v>
                </c:pt>
                <c:pt idx="156">
                  <c:v>162.45716563611856</c:v>
                </c:pt>
                <c:pt idx="157">
                  <c:v>162.45439152675789</c:v>
                </c:pt>
                <c:pt idx="158">
                  <c:v>162.45833238047203</c:v>
                </c:pt>
                <c:pt idx="159">
                  <c:v>162.5350644616062</c:v>
                </c:pt>
                <c:pt idx="160">
                  <c:v>162.54486360446782</c:v>
                </c:pt>
                <c:pt idx="161">
                  <c:v>162.64827918851722</c:v>
                </c:pt>
                <c:pt idx="162">
                  <c:v>162.64896940780017</c:v>
                </c:pt>
                <c:pt idx="163">
                  <c:v>162.6379821685909</c:v>
                </c:pt>
                <c:pt idx="164">
                  <c:v>163.91596790487228</c:v>
                </c:pt>
                <c:pt idx="165">
                  <c:v>166.13183764619347</c:v>
                </c:pt>
                <c:pt idx="166">
                  <c:v>166.76898886557896</c:v>
                </c:pt>
                <c:pt idx="167">
                  <c:v>166.64451976985012</c:v>
                </c:pt>
                <c:pt idx="168">
                  <c:v>166.1182054223718</c:v>
                </c:pt>
                <c:pt idx="169">
                  <c:v>165.5700952719946</c:v>
                </c:pt>
                <c:pt idx="170">
                  <c:v>165.19589514981345</c:v>
                </c:pt>
                <c:pt idx="171">
                  <c:v>164.89128216695119</c:v>
                </c:pt>
                <c:pt idx="172">
                  <c:v>164.63036800893855</c:v>
                </c:pt>
                <c:pt idx="173">
                  <c:v>164.71074394365053</c:v>
                </c:pt>
                <c:pt idx="174">
                  <c:v>165.22499207852019</c:v>
                </c:pt>
                <c:pt idx="175">
                  <c:v>165.55168313583505</c:v>
                </c:pt>
                <c:pt idx="176">
                  <c:v>166.07054285457787</c:v>
                </c:pt>
                <c:pt idx="177">
                  <c:v>166.4834294085303</c:v>
                </c:pt>
                <c:pt idx="178">
                  <c:v>167.02892144966927</c:v>
                </c:pt>
                <c:pt idx="179">
                  <c:v>167.31994212913554</c:v>
                </c:pt>
                <c:pt idx="180">
                  <c:v>167.50728943627814</c:v>
                </c:pt>
                <c:pt idx="181">
                  <c:v>167.88716846050121</c:v>
                </c:pt>
                <c:pt idx="182">
                  <c:v>168.49469282237629</c:v>
                </c:pt>
                <c:pt idx="183">
                  <c:v>168.87417210017463</c:v>
                </c:pt>
                <c:pt idx="184">
                  <c:v>169.44507842521702</c:v>
                </c:pt>
                <c:pt idx="185">
                  <c:v>170.26122805276009</c:v>
                </c:pt>
                <c:pt idx="186">
                  <c:v>170.93797203213489</c:v>
                </c:pt>
                <c:pt idx="187">
                  <c:v>171.23507700528256</c:v>
                </c:pt>
                <c:pt idx="188">
                  <c:v>171.10095587412081</c:v>
                </c:pt>
                <c:pt idx="189">
                  <c:v>170.81138171821505</c:v>
                </c:pt>
                <c:pt idx="190">
                  <c:v>170.15094091274622</c:v>
                </c:pt>
                <c:pt idx="191">
                  <c:v>169.28813005057893</c:v>
                </c:pt>
                <c:pt idx="192">
                  <c:v>168.12943290019908</c:v>
                </c:pt>
                <c:pt idx="193">
                  <c:v>167.6876093942364</c:v>
                </c:pt>
                <c:pt idx="194">
                  <c:v>167.275271167022</c:v>
                </c:pt>
                <c:pt idx="195">
                  <c:v>166.85240821669294</c:v>
                </c:pt>
                <c:pt idx="196">
                  <c:v>166.76009259303621</c:v>
                </c:pt>
                <c:pt idx="197">
                  <c:v>167.11726231957974</c:v>
                </c:pt>
                <c:pt idx="198">
                  <c:v>167.32390503325806</c:v>
                </c:pt>
                <c:pt idx="199">
                  <c:v>167.3609732993975</c:v>
                </c:pt>
                <c:pt idx="200">
                  <c:v>167.38727381687022</c:v>
                </c:pt>
                <c:pt idx="201">
                  <c:v>167.41674448060087</c:v>
                </c:pt>
                <c:pt idx="202">
                  <c:v>167.26487439136193</c:v>
                </c:pt>
                <c:pt idx="203">
                  <c:v>167.14020688311325</c:v>
                </c:pt>
                <c:pt idx="204">
                  <c:v>166.98993197815287</c:v>
                </c:pt>
                <c:pt idx="205">
                  <c:v>166.91386118228229</c:v>
                </c:pt>
                <c:pt idx="206">
                  <c:v>166.71463487167418</c:v>
                </c:pt>
                <c:pt idx="207">
                  <c:v>166.70215962444269</c:v>
                </c:pt>
                <c:pt idx="208">
                  <c:v>166.38326114849147</c:v>
                </c:pt>
                <c:pt idx="209">
                  <c:v>165.82331131969102</c:v>
                </c:pt>
                <c:pt idx="210">
                  <c:v>165.08434368065846</c:v>
                </c:pt>
                <c:pt idx="211">
                  <c:v>164.47975182924537</c:v>
                </c:pt>
                <c:pt idx="212">
                  <c:v>164.10462862149265</c:v>
                </c:pt>
                <c:pt idx="213">
                  <c:v>163.77247135327673</c:v>
                </c:pt>
                <c:pt idx="214">
                  <c:v>162.26315959147092</c:v>
                </c:pt>
                <c:pt idx="215">
                  <c:v>161.57084497447283</c:v>
                </c:pt>
                <c:pt idx="216">
                  <c:v>161.51592052788357</c:v>
                </c:pt>
                <c:pt idx="217">
                  <c:v>161.44076210394147</c:v>
                </c:pt>
                <c:pt idx="218">
                  <c:v>161.57685315040953</c:v>
                </c:pt>
                <c:pt idx="219">
                  <c:v>161.73648635106665</c:v>
                </c:pt>
                <c:pt idx="220">
                  <c:v>162.01740326172205</c:v>
                </c:pt>
                <c:pt idx="221">
                  <c:v>162.1952008113189</c:v>
                </c:pt>
                <c:pt idx="222">
                  <c:v>162.08321399648094</c:v>
                </c:pt>
                <c:pt idx="223">
                  <c:v>161.98873201919662</c:v>
                </c:pt>
                <c:pt idx="224">
                  <c:v>161.88064749953458</c:v>
                </c:pt>
                <c:pt idx="225">
                  <c:v>161.54592398536573</c:v>
                </c:pt>
                <c:pt idx="226">
                  <c:v>160.65209492856039</c:v>
                </c:pt>
                <c:pt idx="227">
                  <c:v>159.81730518595816</c:v>
                </c:pt>
                <c:pt idx="228">
                  <c:v>159.01598159073205</c:v>
                </c:pt>
                <c:pt idx="229">
                  <c:v>158.63494251345799</c:v>
                </c:pt>
                <c:pt idx="230">
                  <c:v>158.6451925863141</c:v>
                </c:pt>
                <c:pt idx="231">
                  <c:v>158.83601680854323</c:v>
                </c:pt>
                <c:pt idx="232">
                  <c:v>159.48834655006243</c:v>
                </c:pt>
                <c:pt idx="233">
                  <c:v>160.13168832152064</c:v>
                </c:pt>
                <c:pt idx="234">
                  <c:v>161.89034133897761</c:v>
                </c:pt>
                <c:pt idx="235">
                  <c:v>163.29939855113807</c:v>
                </c:pt>
                <c:pt idx="236">
                  <c:v>163.7118677272554</c:v>
                </c:pt>
                <c:pt idx="237">
                  <c:v>164.62076375141766</c:v>
                </c:pt>
                <c:pt idx="238">
                  <c:v>165.49204160294579</c:v>
                </c:pt>
                <c:pt idx="239">
                  <c:v>166.28298027613926</c:v>
                </c:pt>
                <c:pt idx="240">
                  <c:v>167.04505179611041</c:v>
                </c:pt>
                <c:pt idx="241">
                  <c:v>167.30885742889072</c:v>
                </c:pt>
                <c:pt idx="242">
                  <c:v>167.24131506237882</c:v>
                </c:pt>
                <c:pt idx="243">
                  <c:v>166.94598145197051</c:v>
                </c:pt>
                <c:pt idx="244">
                  <c:v>166.66331081021974</c:v>
                </c:pt>
                <c:pt idx="245">
                  <c:v>165.97557712773602</c:v>
                </c:pt>
                <c:pt idx="246">
                  <c:v>165.27297695701097</c:v>
                </c:pt>
                <c:pt idx="247">
                  <c:v>164.85714551133276</c:v>
                </c:pt>
                <c:pt idx="248">
                  <c:v>164.90255216466093</c:v>
                </c:pt>
                <c:pt idx="249">
                  <c:v>165.04646853355874</c:v>
                </c:pt>
                <c:pt idx="250">
                  <c:v>165.01879871041368</c:v>
                </c:pt>
                <c:pt idx="251">
                  <c:v>165.56317501015562</c:v>
                </c:pt>
                <c:pt idx="252">
                  <c:v>165.15752124130447</c:v>
                </c:pt>
                <c:pt idx="253">
                  <c:v>164.69054217145904</c:v>
                </c:pt>
                <c:pt idx="254">
                  <c:v>163.26575013117315</c:v>
                </c:pt>
                <c:pt idx="255">
                  <c:v>162.13603253849246</c:v>
                </c:pt>
                <c:pt idx="256">
                  <c:v>161.21404057769249</c:v>
                </c:pt>
                <c:pt idx="257">
                  <c:v>159.64499639470839</c:v>
                </c:pt>
                <c:pt idx="258">
                  <c:v>158.35717094062892</c:v>
                </c:pt>
                <c:pt idx="259">
                  <c:v>157.49493427477921</c:v>
                </c:pt>
                <c:pt idx="260">
                  <c:v>156.78938283257713</c:v>
                </c:pt>
                <c:pt idx="261">
                  <c:v>156.39304231750251</c:v>
                </c:pt>
                <c:pt idx="262">
                  <c:v>156.14494099434489</c:v>
                </c:pt>
                <c:pt idx="263">
                  <c:v>155.96617251358609</c:v>
                </c:pt>
                <c:pt idx="264">
                  <c:v>156.07786780661891</c:v>
                </c:pt>
                <c:pt idx="265">
                  <c:v>156.14575489450363</c:v>
                </c:pt>
                <c:pt idx="266">
                  <c:v>156.20397923158313</c:v>
                </c:pt>
                <c:pt idx="267">
                  <c:v>156.12729890703943</c:v>
                </c:pt>
                <c:pt idx="268">
                  <c:v>156.44834336407447</c:v>
                </c:pt>
                <c:pt idx="269">
                  <c:v>156.73432788218565</c:v>
                </c:pt>
                <c:pt idx="270">
                  <c:v>156.7108772507579</c:v>
                </c:pt>
                <c:pt idx="271">
                  <c:v>156.8137055487463</c:v>
                </c:pt>
                <c:pt idx="272">
                  <c:v>156.59947464510296</c:v>
                </c:pt>
                <c:pt idx="273">
                  <c:v>156.46587556552743</c:v>
                </c:pt>
                <c:pt idx="274">
                  <c:v>156.63706273604396</c:v>
                </c:pt>
                <c:pt idx="275">
                  <c:v>156.82258637607143</c:v>
                </c:pt>
                <c:pt idx="276">
                  <c:v>157.03265229211053</c:v>
                </c:pt>
                <c:pt idx="277">
                  <c:v>157.95277684451548</c:v>
                </c:pt>
                <c:pt idx="278">
                  <c:v>158.88151141531722</c:v>
                </c:pt>
                <c:pt idx="279">
                  <c:v>159.76222008336003</c:v>
                </c:pt>
                <c:pt idx="280">
                  <c:v>160.75321847986234</c:v>
                </c:pt>
                <c:pt idx="281">
                  <c:v>161.31799072809864</c:v>
                </c:pt>
                <c:pt idx="282">
                  <c:v>162.17038684449983</c:v>
                </c:pt>
                <c:pt idx="283">
                  <c:v>163.08593471921859</c:v>
                </c:pt>
                <c:pt idx="284">
                  <c:v>163.38250302813276</c:v>
                </c:pt>
                <c:pt idx="285">
                  <c:v>163.44296964059839</c:v>
                </c:pt>
                <c:pt idx="286">
                  <c:v>163.90878319516287</c:v>
                </c:pt>
                <c:pt idx="287">
                  <c:v>163.59191989343424</c:v>
                </c:pt>
                <c:pt idx="288">
                  <c:v>163.72004679146761</c:v>
                </c:pt>
                <c:pt idx="289">
                  <c:v>163.84679342497071</c:v>
                </c:pt>
                <c:pt idx="290">
                  <c:v>163.67150338995009</c:v>
                </c:pt>
                <c:pt idx="291">
                  <c:v>163.56749449413718</c:v>
                </c:pt>
                <c:pt idx="292">
                  <c:v>163.56440285443117</c:v>
                </c:pt>
                <c:pt idx="293">
                  <c:v>163.54690525791381</c:v>
                </c:pt>
                <c:pt idx="294">
                  <c:v>163.51719265559737</c:v>
                </c:pt>
                <c:pt idx="295">
                  <c:v>163.44463130078282</c:v>
                </c:pt>
                <c:pt idx="296">
                  <c:v>163.54793172721961</c:v>
                </c:pt>
                <c:pt idx="297">
                  <c:v>163.95979671670457</c:v>
                </c:pt>
                <c:pt idx="298">
                  <c:v>163.8350395465981</c:v>
                </c:pt>
                <c:pt idx="299">
                  <c:v>163.7257324392055</c:v>
                </c:pt>
                <c:pt idx="300">
                  <c:v>163.43492517375986</c:v>
                </c:pt>
                <c:pt idx="301">
                  <c:v>164.77295260946408</c:v>
                </c:pt>
                <c:pt idx="302">
                  <c:v>165.25065477114006</c:v>
                </c:pt>
                <c:pt idx="303">
                  <c:v>165.64313676332731</c:v>
                </c:pt>
                <c:pt idx="304">
                  <c:v>165.7111798050328</c:v>
                </c:pt>
                <c:pt idx="305">
                  <c:v>165.15865061893098</c:v>
                </c:pt>
                <c:pt idx="306">
                  <c:v>164.40617053182632</c:v>
                </c:pt>
                <c:pt idx="307">
                  <c:v>163.00417040221342</c:v>
                </c:pt>
                <c:pt idx="308">
                  <c:v>162.55805666700249</c:v>
                </c:pt>
                <c:pt idx="309">
                  <c:v>162.39054924257732</c:v>
                </c:pt>
                <c:pt idx="310">
                  <c:v>162.21983535936243</c:v>
                </c:pt>
                <c:pt idx="311">
                  <c:v>162.40872243674292</c:v>
                </c:pt>
                <c:pt idx="312">
                  <c:v>162.44265799898338</c:v>
                </c:pt>
                <c:pt idx="313">
                  <c:v>162.57987636145171</c:v>
                </c:pt>
                <c:pt idx="314">
                  <c:v>162.76897060886617</c:v>
                </c:pt>
                <c:pt idx="315">
                  <c:v>162.52262004737537</c:v>
                </c:pt>
                <c:pt idx="316">
                  <c:v>161.71795475005538</c:v>
                </c:pt>
                <c:pt idx="317">
                  <c:v>160.16285512268635</c:v>
                </c:pt>
                <c:pt idx="318">
                  <c:v>159.57006112513895</c:v>
                </c:pt>
                <c:pt idx="319">
                  <c:v>159.22985873642978</c:v>
                </c:pt>
                <c:pt idx="320">
                  <c:v>159.20452542927057</c:v>
                </c:pt>
                <c:pt idx="321">
                  <c:v>159.22688445543474</c:v>
                </c:pt>
                <c:pt idx="322">
                  <c:v>159.22973844027493</c:v>
                </c:pt>
                <c:pt idx="323">
                  <c:v>159.18539421538449</c:v>
                </c:pt>
                <c:pt idx="324">
                  <c:v>159.10872281853361</c:v>
                </c:pt>
                <c:pt idx="325">
                  <c:v>159.05337260814207</c:v>
                </c:pt>
                <c:pt idx="326">
                  <c:v>159.15240276960341</c:v>
                </c:pt>
                <c:pt idx="327">
                  <c:v>159.49418400026511</c:v>
                </c:pt>
                <c:pt idx="328">
                  <c:v>158.45280093664809</c:v>
                </c:pt>
                <c:pt idx="329">
                  <c:v>157.79702138110727</c:v>
                </c:pt>
                <c:pt idx="330">
                  <c:v>157.34155778564033</c:v>
                </c:pt>
                <c:pt idx="331">
                  <c:v>157.10413231817682</c:v>
                </c:pt>
                <c:pt idx="332">
                  <c:v>157.00783553218801</c:v>
                </c:pt>
                <c:pt idx="333">
                  <c:v>156.54833231180726</c:v>
                </c:pt>
                <c:pt idx="334">
                  <c:v>156.72576152119709</c:v>
                </c:pt>
                <c:pt idx="335">
                  <c:v>156.13444608861693</c:v>
                </c:pt>
                <c:pt idx="336">
                  <c:v>155.98022473239016</c:v>
                </c:pt>
                <c:pt idx="337">
                  <c:v>156.14460810077662</c:v>
                </c:pt>
                <c:pt idx="338">
                  <c:v>155.65450754897574</c:v>
                </c:pt>
                <c:pt idx="339">
                  <c:v>154.94572637384769</c:v>
                </c:pt>
                <c:pt idx="340">
                  <c:v>154.79217463820331</c:v>
                </c:pt>
                <c:pt idx="341">
                  <c:v>154.65679994662901</c:v>
                </c:pt>
                <c:pt idx="342">
                  <c:v>154.49170041102269</c:v>
                </c:pt>
                <c:pt idx="343">
                  <c:v>154.61368636173151</c:v>
                </c:pt>
                <c:pt idx="344">
                  <c:v>155.61913134613889</c:v>
                </c:pt>
                <c:pt idx="345">
                  <c:v>155.72286488837207</c:v>
                </c:pt>
                <c:pt idx="346">
                  <c:v>156.12651378397086</c:v>
                </c:pt>
                <c:pt idx="347">
                  <c:v>156.17020624581372</c:v>
                </c:pt>
                <c:pt idx="348">
                  <c:v>156.18686290132996</c:v>
                </c:pt>
                <c:pt idx="349">
                  <c:v>156.04236079199913</c:v>
                </c:pt>
                <c:pt idx="350">
                  <c:v>155.67463393250196</c:v>
                </c:pt>
                <c:pt idx="351">
                  <c:v>155.45350662598915</c:v>
                </c:pt>
                <c:pt idx="352">
                  <c:v>155.15046798240581</c:v>
                </c:pt>
                <c:pt idx="353">
                  <c:v>155.01396497916684</c:v>
                </c:pt>
                <c:pt idx="354">
                  <c:v>155.17081010145179</c:v>
                </c:pt>
                <c:pt idx="355">
                  <c:v>155.70139881577964</c:v>
                </c:pt>
                <c:pt idx="356">
                  <c:v>156.25639450875076</c:v>
                </c:pt>
                <c:pt idx="357">
                  <c:v>156.72737646645331</c:v>
                </c:pt>
                <c:pt idx="358">
                  <c:v>157.46113148207803</c:v>
                </c:pt>
                <c:pt idx="359">
                  <c:v>158.39836427604871</c:v>
                </c:pt>
                <c:pt idx="360">
                  <c:v>158.68405291254498</c:v>
                </c:pt>
                <c:pt idx="361">
                  <c:v>159.39595059291787</c:v>
                </c:pt>
                <c:pt idx="362">
                  <c:v>160.61264702889628</c:v>
                </c:pt>
                <c:pt idx="363">
                  <c:v>160.14839109562459</c:v>
                </c:pt>
                <c:pt idx="364">
                  <c:v>159.73514265560658</c:v>
                </c:pt>
                <c:pt idx="365">
                  <c:v>158.67827609139235</c:v>
                </c:pt>
                <c:pt idx="366">
                  <c:v>157.62625769261243</c:v>
                </c:pt>
                <c:pt idx="367">
                  <c:v>156.94325356218255</c:v>
                </c:pt>
                <c:pt idx="368">
                  <c:v>156.64366119573251</c:v>
                </c:pt>
                <c:pt idx="369">
                  <c:v>156.28478595208463</c:v>
                </c:pt>
                <c:pt idx="370">
                  <c:v>155.86927042061819</c:v>
                </c:pt>
                <c:pt idx="371">
                  <c:v>155.47414976647309</c:v>
                </c:pt>
                <c:pt idx="372">
                  <c:v>155.52007651101437</c:v>
                </c:pt>
                <c:pt idx="373">
                  <c:v>155.96034923584972</c:v>
                </c:pt>
                <c:pt idx="374">
                  <c:v>156.41732827994159</c:v>
                </c:pt>
                <c:pt idx="375">
                  <c:v>156.88050682402309</c:v>
                </c:pt>
                <c:pt idx="376">
                  <c:v>157.32500125286145</c:v>
                </c:pt>
                <c:pt idx="377">
                  <c:v>157.34151105913205</c:v>
                </c:pt>
                <c:pt idx="378">
                  <c:v>157.20927155226514</c:v>
                </c:pt>
                <c:pt idx="379">
                  <c:v>156.89136521458073</c:v>
                </c:pt>
                <c:pt idx="380">
                  <c:v>156.86787794684705</c:v>
                </c:pt>
                <c:pt idx="381">
                  <c:v>156.54941655998743</c:v>
                </c:pt>
                <c:pt idx="382">
                  <c:v>155.52722515736909</c:v>
                </c:pt>
                <c:pt idx="383">
                  <c:v>154.17801134646953</c:v>
                </c:pt>
                <c:pt idx="384">
                  <c:v>153.4121378387666</c:v>
                </c:pt>
                <c:pt idx="385">
                  <c:v>153.1125941933837</c:v>
                </c:pt>
                <c:pt idx="386">
                  <c:v>152.7736106502484</c:v>
                </c:pt>
                <c:pt idx="387">
                  <c:v>152.41676812452198</c:v>
                </c:pt>
                <c:pt idx="388">
                  <c:v>152.47080544040196</c:v>
                </c:pt>
                <c:pt idx="389">
                  <c:v>152.4971424855384</c:v>
                </c:pt>
                <c:pt idx="390">
                  <c:v>152.49687840170679</c:v>
                </c:pt>
                <c:pt idx="391">
                  <c:v>152.49083648252139</c:v>
                </c:pt>
                <c:pt idx="392">
                  <c:v>152.45235208288642</c:v>
                </c:pt>
                <c:pt idx="393">
                  <c:v>152.37266114101377</c:v>
                </c:pt>
                <c:pt idx="394">
                  <c:v>151.90564308116959</c:v>
                </c:pt>
                <c:pt idx="395">
                  <c:v>150.99089969427382</c:v>
                </c:pt>
                <c:pt idx="396">
                  <c:v>150.30626327614752</c:v>
                </c:pt>
                <c:pt idx="397">
                  <c:v>149.79511086413987</c:v>
                </c:pt>
                <c:pt idx="398">
                  <c:v>149.13993298897304</c:v>
                </c:pt>
                <c:pt idx="399">
                  <c:v>148.94377017456353</c:v>
                </c:pt>
                <c:pt idx="400">
                  <c:v>148.92347311068039</c:v>
                </c:pt>
                <c:pt idx="401">
                  <c:v>148.84812942836919</c:v>
                </c:pt>
                <c:pt idx="402">
                  <c:v>148.91302312318251</c:v>
                </c:pt>
                <c:pt idx="403">
                  <c:v>149.09397150821218</c:v>
                </c:pt>
                <c:pt idx="404">
                  <c:v>149.18294706162214</c:v>
                </c:pt>
                <c:pt idx="405">
                  <c:v>149.09164307484005</c:v>
                </c:pt>
                <c:pt idx="406">
                  <c:v>149.05897552294894</c:v>
                </c:pt>
                <c:pt idx="407">
                  <c:v>149.07240468503812</c:v>
                </c:pt>
                <c:pt idx="408">
                  <c:v>149.06493043389634</c:v>
                </c:pt>
                <c:pt idx="409">
                  <c:v>148.930168654835</c:v>
                </c:pt>
                <c:pt idx="410">
                  <c:v>148.93827572168479</c:v>
                </c:pt>
                <c:pt idx="411">
                  <c:v>148.90493875497876</c:v>
                </c:pt>
                <c:pt idx="412">
                  <c:v>148.92677312897388</c:v>
                </c:pt>
                <c:pt idx="413">
                  <c:v>148.93466064904851</c:v>
                </c:pt>
                <c:pt idx="414">
                  <c:v>149.10460766229912</c:v>
                </c:pt>
                <c:pt idx="415">
                  <c:v>149.73318159341562</c:v>
                </c:pt>
                <c:pt idx="416">
                  <c:v>150.41119170557417</c:v>
                </c:pt>
                <c:pt idx="417">
                  <c:v>151.14914830689847</c:v>
                </c:pt>
                <c:pt idx="418">
                  <c:v>152.12937941773731</c:v>
                </c:pt>
                <c:pt idx="419">
                  <c:v>152.53136559298633</c:v>
                </c:pt>
                <c:pt idx="420">
                  <c:v>152.80358962390665</c:v>
                </c:pt>
                <c:pt idx="421">
                  <c:v>153.2705516103839</c:v>
                </c:pt>
                <c:pt idx="422">
                  <c:v>153.47706810184332</c:v>
                </c:pt>
                <c:pt idx="423">
                  <c:v>153.73077168662559</c:v>
                </c:pt>
                <c:pt idx="424">
                  <c:v>153.97370387471645</c:v>
                </c:pt>
                <c:pt idx="425">
                  <c:v>154.66145559642689</c:v>
                </c:pt>
                <c:pt idx="426">
                  <c:v>155.18367809830832</c:v>
                </c:pt>
                <c:pt idx="427">
                  <c:v>155.49766344319917</c:v>
                </c:pt>
                <c:pt idx="428">
                  <c:v>155.38515137495608</c:v>
                </c:pt>
                <c:pt idx="429">
                  <c:v>155.34307786705125</c:v>
                </c:pt>
                <c:pt idx="430">
                  <c:v>155.09906920298963</c:v>
                </c:pt>
                <c:pt idx="431">
                  <c:v>154.12135486401769</c:v>
                </c:pt>
                <c:pt idx="432">
                  <c:v>153.29646514100546</c:v>
                </c:pt>
                <c:pt idx="433">
                  <c:v>152.58722662422466</c:v>
                </c:pt>
                <c:pt idx="434">
                  <c:v>151.82261945795233</c:v>
                </c:pt>
                <c:pt idx="435">
                  <c:v>151.31504632457552</c:v>
                </c:pt>
                <c:pt idx="436">
                  <c:v>150.95066603314132</c:v>
                </c:pt>
                <c:pt idx="437">
                  <c:v>150.62287973495276</c:v>
                </c:pt>
                <c:pt idx="438">
                  <c:v>150.26428113458988</c:v>
                </c:pt>
                <c:pt idx="439">
                  <c:v>149.81664915692141</c:v>
                </c:pt>
                <c:pt idx="440">
                  <c:v>149.57806082344104</c:v>
                </c:pt>
                <c:pt idx="441">
                  <c:v>148.99883203082447</c:v>
                </c:pt>
                <c:pt idx="442">
                  <c:v>148.95021939812736</c:v>
                </c:pt>
                <c:pt idx="443">
                  <c:v>148.50743327325009</c:v>
                </c:pt>
                <c:pt idx="444">
                  <c:v>148.25401073208923</c:v>
                </c:pt>
                <c:pt idx="445">
                  <c:v>147.8741277567388</c:v>
                </c:pt>
                <c:pt idx="446">
                  <c:v>147.03550039006703</c:v>
                </c:pt>
                <c:pt idx="447">
                  <c:v>146.84790519299216</c:v>
                </c:pt>
                <c:pt idx="448">
                  <c:v>147.03016258307068</c:v>
                </c:pt>
                <c:pt idx="449">
                  <c:v>147.25201344895189</c:v>
                </c:pt>
                <c:pt idx="450">
                  <c:v>147.57669472677932</c:v>
                </c:pt>
                <c:pt idx="451">
                  <c:v>147.59874669817231</c:v>
                </c:pt>
                <c:pt idx="452">
                  <c:v>147.59661110392909</c:v>
                </c:pt>
                <c:pt idx="453">
                  <c:v>147.59971677416473</c:v>
                </c:pt>
                <c:pt idx="454">
                  <c:v>147.59930537927167</c:v>
                </c:pt>
                <c:pt idx="455">
                  <c:v>147.59955681738583</c:v>
                </c:pt>
                <c:pt idx="456">
                  <c:v>147.66733219324956</c:v>
                </c:pt>
                <c:pt idx="457">
                  <c:v>147.76125727393259</c:v>
                </c:pt>
                <c:pt idx="458">
                  <c:v>147.5642516326013</c:v>
                </c:pt>
                <c:pt idx="459">
                  <c:v>147.45593307348958</c:v>
                </c:pt>
                <c:pt idx="460">
                  <c:v>147.45058910650422</c:v>
                </c:pt>
                <c:pt idx="461">
                  <c:v>147.12922907273358</c:v>
                </c:pt>
                <c:pt idx="462">
                  <c:v>146.70881899117759</c:v>
                </c:pt>
                <c:pt idx="463">
                  <c:v>145.96068396296175</c:v>
                </c:pt>
                <c:pt idx="464">
                  <c:v>145.40635014328686</c:v>
                </c:pt>
                <c:pt idx="465">
                  <c:v>145.10099557971446</c:v>
                </c:pt>
                <c:pt idx="466">
                  <c:v>144.72625638079683</c:v>
                </c:pt>
                <c:pt idx="467">
                  <c:v>144.67855669568837</c:v>
                </c:pt>
                <c:pt idx="468">
                  <c:v>144.75370945468794</c:v>
                </c:pt>
                <c:pt idx="469">
                  <c:v>144.62427905408668</c:v>
                </c:pt>
                <c:pt idx="470">
                  <c:v>144.47711207307765</c:v>
                </c:pt>
                <c:pt idx="471">
                  <c:v>144.12642307361818</c:v>
                </c:pt>
                <c:pt idx="472">
                  <c:v>144.00316503043581</c:v>
                </c:pt>
                <c:pt idx="473">
                  <c:v>143.99902558719236</c:v>
                </c:pt>
                <c:pt idx="474">
                  <c:v>144.17855252569095</c:v>
                </c:pt>
                <c:pt idx="475">
                  <c:v>144.4020693521332</c:v>
                </c:pt>
                <c:pt idx="476">
                  <c:v>144.54815323122838</c:v>
                </c:pt>
                <c:pt idx="477">
                  <c:v>144.81311992765083</c:v>
                </c:pt>
                <c:pt idx="478">
                  <c:v>144.81638678353687</c:v>
                </c:pt>
                <c:pt idx="479">
                  <c:v>144.87050307144111</c:v>
                </c:pt>
                <c:pt idx="480">
                  <c:v>145.03764340519089</c:v>
                </c:pt>
                <c:pt idx="481">
                  <c:v>144.83790648483449</c:v>
                </c:pt>
                <c:pt idx="482">
                  <c:v>144.79825855462917</c:v>
                </c:pt>
                <c:pt idx="483">
                  <c:v>144.71471180414937</c:v>
                </c:pt>
                <c:pt idx="484">
                  <c:v>144.0922972965875</c:v>
                </c:pt>
                <c:pt idx="485">
                  <c:v>141.72964145716233</c:v>
                </c:pt>
                <c:pt idx="486">
                  <c:v>140.52310409496576</c:v>
                </c:pt>
                <c:pt idx="487">
                  <c:v>139.47525436420915</c:v>
                </c:pt>
                <c:pt idx="488">
                  <c:v>138.77653894656456</c:v>
                </c:pt>
                <c:pt idx="489">
                  <c:v>138.49540296073084</c:v>
                </c:pt>
                <c:pt idx="490">
                  <c:v>138.44824711522111</c:v>
                </c:pt>
                <c:pt idx="491">
                  <c:v>138.42193812323478</c:v>
                </c:pt>
                <c:pt idx="492">
                  <c:v>138.41016097891682</c:v>
                </c:pt>
                <c:pt idx="493">
                  <c:v>138.38047542509213</c:v>
                </c:pt>
                <c:pt idx="494">
                  <c:v>138.32973231346369</c:v>
                </c:pt>
                <c:pt idx="495">
                  <c:v>138.44180169724712</c:v>
                </c:pt>
                <c:pt idx="496">
                  <c:v>138.32046351831715</c:v>
                </c:pt>
                <c:pt idx="497">
                  <c:v>138.42079989946714</c:v>
                </c:pt>
                <c:pt idx="498">
                  <c:v>138.54788514789846</c:v>
                </c:pt>
                <c:pt idx="499">
                  <c:v>138.70293589442332</c:v>
                </c:pt>
                <c:pt idx="500">
                  <c:v>138.80546225217358</c:v>
                </c:pt>
                <c:pt idx="501">
                  <c:v>138.77902609903913</c:v>
                </c:pt>
                <c:pt idx="502">
                  <c:v>138.70116362672834</c:v>
                </c:pt>
                <c:pt idx="503">
                  <c:v>138.36942104357058</c:v>
                </c:pt>
                <c:pt idx="504">
                  <c:v>137.98623604948466</c:v>
                </c:pt>
                <c:pt idx="505">
                  <c:v>137.91114172870104</c:v>
                </c:pt>
                <c:pt idx="506">
                  <c:v>138.20040686445117</c:v>
                </c:pt>
                <c:pt idx="507">
                  <c:v>138.50611793708353</c:v>
                </c:pt>
                <c:pt idx="508">
                  <c:v>138.77520014654198</c:v>
                </c:pt>
                <c:pt idx="509">
                  <c:v>138.82833167587813</c:v>
                </c:pt>
                <c:pt idx="510">
                  <c:v>138.75458588984449</c:v>
                </c:pt>
                <c:pt idx="511">
                  <c:v>138.76682427435196</c:v>
                </c:pt>
                <c:pt idx="512">
                  <c:v>139.06303556492017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92-4057-AC0F-B85F75168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60128"/>
        <c:axId val="1656360608"/>
      </c:lineChart>
      <c:dateAx>
        <c:axId val="1656360128"/>
        <c:scaling>
          <c:orientation val="minMax"/>
          <c:max val="46054"/>
          <c:min val="45901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608"/>
        <c:crosses val="autoZero"/>
        <c:auto val="1"/>
        <c:lblOffset val="100"/>
        <c:baseTimeUnit val="days"/>
      </c:dateAx>
      <c:valAx>
        <c:axId val="1656360608"/>
        <c:scaling>
          <c:orientation val="minMax"/>
          <c:max val="165"/>
          <c:min val="1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MACD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Data!$AA$1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Data!$AA$2:$AA$514</c:f>
              <c:numCache>
                <c:formatCode>General</c:formatCode>
                <c:ptCount val="513"/>
                <c:pt idx="35">
                  <c:v>-0.17795063745124962</c:v>
                </c:pt>
                <c:pt idx="36">
                  <c:v>-0.18612565688410099</c:v>
                </c:pt>
                <c:pt idx="37">
                  <c:v>-0.26476996302986899</c:v>
                </c:pt>
                <c:pt idx="38">
                  <c:v>-0.27628142550993751</c:v>
                </c:pt>
                <c:pt idx="39">
                  <c:v>-0.36318302572077688</c:v>
                </c:pt>
                <c:pt idx="40">
                  <c:v>-0.42686039355643679</c:v>
                </c:pt>
                <c:pt idx="41">
                  <c:v>-0.42061615738768854</c:v>
                </c:pt>
                <c:pt idx="42">
                  <c:v>-0.43054185893579788</c:v>
                </c:pt>
                <c:pt idx="43">
                  <c:v>-0.41783029524764359</c:v>
                </c:pt>
                <c:pt idx="44">
                  <c:v>-0.33959004262411852</c:v>
                </c:pt>
                <c:pt idx="45">
                  <c:v>-0.3078444824461557</c:v>
                </c:pt>
                <c:pt idx="46">
                  <c:v>-0.21239144380480091</c:v>
                </c:pt>
                <c:pt idx="47">
                  <c:v>-0.13385799916344188</c:v>
                </c:pt>
                <c:pt idx="48">
                  <c:v>-7.0379368374167361E-2</c:v>
                </c:pt>
                <c:pt idx="49">
                  <c:v>-9.4170715816464634E-2</c:v>
                </c:pt>
                <c:pt idx="50">
                  <c:v>-0.12780336766145761</c:v>
                </c:pt>
                <c:pt idx="51">
                  <c:v>-0.16874087272730165</c:v>
                </c:pt>
                <c:pt idx="52">
                  <c:v>-0.16131035761419832</c:v>
                </c:pt>
                <c:pt idx="53">
                  <c:v>-0.15294169079917341</c:v>
                </c:pt>
                <c:pt idx="54">
                  <c:v>-0.16258224547230427</c:v>
                </c:pt>
                <c:pt idx="55">
                  <c:v>-0.1871019361141264</c:v>
                </c:pt>
                <c:pt idx="56">
                  <c:v>-0.30028420811330081</c:v>
                </c:pt>
                <c:pt idx="57">
                  <c:v>-0.34563453346671946</c:v>
                </c:pt>
                <c:pt idx="58">
                  <c:v>-0.23681397028635542</c:v>
                </c:pt>
                <c:pt idx="59">
                  <c:v>-0.19096563419677159</c:v>
                </c:pt>
                <c:pt idx="60">
                  <c:v>-0.27015640590400358</c:v>
                </c:pt>
                <c:pt idx="61">
                  <c:v>-0.31701489382528503</c:v>
                </c:pt>
                <c:pt idx="62">
                  <c:v>-0.6218650896505642</c:v>
                </c:pt>
                <c:pt idx="63">
                  <c:v>-0.83361967312246921</c:v>
                </c:pt>
                <c:pt idx="64">
                  <c:v>-0.88786937114672271</c:v>
                </c:pt>
                <c:pt idx="65">
                  <c:v>-0.88384110695150353</c:v>
                </c:pt>
                <c:pt idx="66">
                  <c:v>-0.79808604927288473</c:v>
                </c:pt>
                <c:pt idx="67">
                  <c:v>-0.66633534958723628</c:v>
                </c:pt>
                <c:pt idx="68">
                  <c:v>-0.63750232327193468</c:v>
                </c:pt>
                <c:pt idx="69">
                  <c:v>-0.61643685811640381</c:v>
                </c:pt>
                <c:pt idx="70">
                  <c:v>-0.55973412380847298</c:v>
                </c:pt>
                <c:pt idx="71">
                  <c:v>-0.45814063109223002</c:v>
                </c:pt>
                <c:pt idx="72">
                  <c:v>-0.3001449757300938</c:v>
                </c:pt>
                <c:pt idx="73">
                  <c:v>-0.15779185112567273</c:v>
                </c:pt>
                <c:pt idx="74">
                  <c:v>8.3927695870333885E-4</c:v>
                </c:pt>
                <c:pt idx="75">
                  <c:v>0.26027290244270729</c:v>
                </c:pt>
                <c:pt idx="76">
                  <c:v>0.47679699059639202</c:v>
                </c:pt>
                <c:pt idx="77">
                  <c:v>0.6629234177040142</c:v>
                </c:pt>
                <c:pt idx="78">
                  <c:v>0.74533887494529227</c:v>
                </c:pt>
                <c:pt idx="79">
                  <c:v>0.67951179975415443</c:v>
                </c:pt>
                <c:pt idx="80">
                  <c:v>0.62669398840510138</c:v>
                </c:pt>
                <c:pt idx="81">
                  <c:v>0.65803723284910243</c:v>
                </c:pt>
                <c:pt idx="82">
                  <c:v>0.65347246245099089</c:v>
                </c:pt>
                <c:pt idx="83">
                  <c:v>0.64046738020131122</c:v>
                </c:pt>
                <c:pt idx="84">
                  <c:v>0.63288124667495516</c:v>
                </c:pt>
                <c:pt idx="85">
                  <c:v>0.58680351365768479</c:v>
                </c:pt>
                <c:pt idx="86">
                  <c:v>0.60319368830018871</c:v>
                </c:pt>
                <c:pt idx="87">
                  <c:v>0.52823003251844014</c:v>
                </c:pt>
                <c:pt idx="88">
                  <c:v>0.50467066319546627</c:v>
                </c:pt>
                <c:pt idx="89">
                  <c:v>0.50320445309166417</c:v>
                </c:pt>
                <c:pt idx="90">
                  <c:v>0.40028214535721673</c:v>
                </c:pt>
                <c:pt idx="91">
                  <c:v>0.2937735221449711</c:v>
                </c:pt>
                <c:pt idx="92">
                  <c:v>0.24481404549761421</c:v>
                </c:pt>
                <c:pt idx="93">
                  <c:v>0.27222441323254531</c:v>
                </c:pt>
                <c:pt idx="94">
                  <c:v>0.2452508364295416</c:v>
                </c:pt>
                <c:pt idx="95">
                  <c:v>0.17802553696472523</c:v>
                </c:pt>
                <c:pt idx="96">
                  <c:v>0.17611974204398861</c:v>
                </c:pt>
                <c:pt idx="97">
                  <c:v>0.11402153069190724</c:v>
                </c:pt>
                <c:pt idx="98">
                  <c:v>-9.640415003495395E-2</c:v>
                </c:pt>
                <c:pt idx="99">
                  <c:v>-0.25070187468512373</c:v>
                </c:pt>
                <c:pt idx="100">
                  <c:v>-0.49262412933469779</c:v>
                </c:pt>
                <c:pt idx="101">
                  <c:v>-0.7271615629326087</c:v>
                </c:pt>
                <c:pt idx="102">
                  <c:v>-0.79059392912332749</c:v>
                </c:pt>
                <c:pt idx="103">
                  <c:v>-0.6759216072491161</c:v>
                </c:pt>
                <c:pt idx="104">
                  <c:v>-0.57215014595156544</c:v>
                </c:pt>
                <c:pt idx="105">
                  <c:v>-0.33575721484765875</c:v>
                </c:pt>
                <c:pt idx="106">
                  <c:v>-0.23974120910854568</c:v>
                </c:pt>
                <c:pt idx="107">
                  <c:v>-2.049393590097115E-2</c:v>
                </c:pt>
                <c:pt idx="108">
                  <c:v>2.0124061422769901E-2</c:v>
                </c:pt>
                <c:pt idx="109">
                  <c:v>5.50955883922426E-2</c:v>
                </c:pt>
                <c:pt idx="110">
                  <c:v>7.4358351701057313E-2</c:v>
                </c:pt>
                <c:pt idx="111">
                  <c:v>-7.2481020407753172E-2</c:v>
                </c:pt>
                <c:pt idx="112">
                  <c:v>-9.02908783534625E-2</c:v>
                </c:pt>
                <c:pt idx="113">
                  <c:v>-8.033313742516146E-2</c:v>
                </c:pt>
                <c:pt idx="114">
                  <c:v>-3.2250280174574986E-2</c:v>
                </c:pt>
                <c:pt idx="115">
                  <c:v>5.9617765798649747E-2</c:v>
                </c:pt>
                <c:pt idx="116">
                  <c:v>4.9533319636373863E-2</c:v>
                </c:pt>
                <c:pt idx="117">
                  <c:v>7.0412915878210303E-2</c:v>
                </c:pt>
                <c:pt idx="118">
                  <c:v>8.3918080283492014E-2</c:v>
                </c:pt>
                <c:pt idx="119">
                  <c:v>-2.2331753867709692E-2</c:v>
                </c:pt>
                <c:pt idx="120">
                  <c:v>-5.7622150215381973E-2</c:v>
                </c:pt>
                <c:pt idx="121">
                  <c:v>-0.13771449149252413</c:v>
                </c:pt>
                <c:pt idx="122">
                  <c:v>-0.29689673935598104</c:v>
                </c:pt>
                <c:pt idx="123">
                  <c:v>-0.5285385561562137</c:v>
                </c:pt>
                <c:pt idx="124">
                  <c:v>-0.57654523019874093</c:v>
                </c:pt>
                <c:pt idx="125">
                  <c:v>-0.58539438175341274</c:v>
                </c:pt>
                <c:pt idx="126">
                  <c:v>-0.47536662492820686</c:v>
                </c:pt>
                <c:pt idx="127">
                  <c:v>-0.29998074155619797</c:v>
                </c:pt>
                <c:pt idx="128">
                  <c:v>-0.23062428217422207</c:v>
                </c:pt>
                <c:pt idx="129">
                  <c:v>-0.10319982479990392</c:v>
                </c:pt>
                <c:pt idx="130">
                  <c:v>-9.8986451749058041E-2</c:v>
                </c:pt>
                <c:pt idx="131">
                  <c:v>-2.3299504492821907E-2</c:v>
                </c:pt>
                <c:pt idx="132">
                  <c:v>-0.10456359399078927</c:v>
                </c:pt>
                <c:pt idx="133">
                  <c:v>1.0944875540761304E-3</c:v>
                </c:pt>
                <c:pt idx="134">
                  <c:v>0.22602861849764416</c:v>
                </c:pt>
                <c:pt idx="135">
                  <c:v>0.29069243594707966</c:v>
                </c:pt>
                <c:pt idx="136">
                  <c:v>0.2840347800103703</c:v>
                </c:pt>
                <c:pt idx="137">
                  <c:v>0.28151544002886136</c:v>
                </c:pt>
                <c:pt idx="138">
                  <c:v>0.15855043911791944</c:v>
                </c:pt>
                <c:pt idx="139">
                  <c:v>0.15826825946341117</c:v>
                </c:pt>
                <c:pt idx="140">
                  <c:v>7.6267556089498201E-2</c:v>
                </c:pt>
                <c:pt idx="141">
                  <c:v>0.15840851561851577</c:v>
                </c:pt>
                <c:pt idx="142">
                  <c:v>0.25005672691625958</c:v>
                </c:pt>
                <c:pt idx="143">
                  <c:v>-0.23526023865294687</c:v>
                </c:pt>
                <c:pt idx="144">
                  <c:v>-0.59099970722306128</c:v>
                </c:pt>
                <c:pt idx="145">
                  <c:v>-0.47091736574400245</c:v>
                </c:pt>
                <c:pt idx="146">
                  <c:v>-9.2282269221654334E-2</c:v>
                </c:pt>
                <c:pt idx="147">
                  <c:v>1.9699112625188364E-2</c:v>
                </c:pt>
                <c:pt idx="148">
                  <c:v>8.9458175541254487E-2</c:v>
                </c:pt>
                <c:pt idx="149">
                  <c:v>0.25014588956029338</c:v>
                </c:pt>
                <c:pt idx="150">
                  <c:v>0.38990919501255206</c:v>
                </c:pt>
                <c:pt idx="151">
                  <c:v>0.43303733789777171</c:v>
                </c:pt>
                <c:pt idx="152">
                  <c:v>0.19536854783669855</c:v>
                </c:pt>
                <c:pt idx="153">
                  <c:v>6.2387751082387144E-2</c:v>
                </c:pt>
                <c:pt idx="154">
                  <c:v>6.7584432923198157E-2</c:v>
                </c:pt>
                <c:pt idx="155">
                  <c:v>6.4374076379070111E-3</c:v>
                </c:pt>
                <c:pt idx="156">
                  <c:v>-3.8856797785919994E-2</c:v>
                </c:pt>
                <c:pt idx="157">
                  <c:v>-3.6013911507286889E-2</c:v>
                </c:pt>
                <c:pt idx="158">
                  <c:v>9.0107214646612865E-2</c:v>
                </c:pt>
                <c:pt idx="159">
                  <c:v>0.14372833589908796</c:v>
                </c:pt>
                <c:pt idx="160">
                  <c:v>0.16408560422260365</c:v>
                </c:pt>
                <c:pt idx="161">
                  <c:v>0.10024945412758168</c:v>
                </c:pt>
                <c:pt idx="162">
                  <c:v>0.12460656199937437</c:v>
                </c:pt>
                <c:pt idx="163">
                  <c:v>5.7176378470264799E-2</c:v>
                </c:pt>
                <c:pt idx="164">
                  <c:v>-6.3057419079614041E-3</c:v>
                </c:pt>
                <c:pt idx="165">
                  <c:v>1.0057406949321002E-2</c:v>
                </c:pt>
                <c:pt idx="166">
                  <c:v>0.11004685599829622</c:v>
                </c:pt>
                <c:pt idx="167">
                  <c:v>0.35077118451988931</c:v>
                </c:pt>
                <c:pt idx="168">
                  <c:v>0.56417850133648551</c:v>
                </c:pt>
                <c:pt idx="169">
                  <c:v>0.63248103181234683</c:v>
                </c:pt>
                <c:pt idx="170">
                  <c:v>0.63991232473504156</c:v>
                </c:pt>
                <c:pt idx="171">
                  <c:v>0.62967883728377272</c:v>
                </c:pt>
                <c:pt idx="172">
                  <c:v>0.68788495500915259</c:v>
                </c:pt>
                <c:pt idx="173">
                  <c:v>0.42698968415535266</c:v>
                </c:pt>
                <c:pt idx="174">
                  <c:v>0.19704762056357539</c:v>
                </c:pt>
                <c:pt idx="175">
                  <c:v>6.5757982815894511E-2</c:v>
                </c:pt>
                <c:pt idx="176">
                  <c:v>0.16576936111952012</c:v>
                </c:pt>
                <c:pt idx="177">
                  <c:v>0.11667931116558417</c:v>
                </c:pt>
                <c:pt idx="178">
                  <c:v>-6.1847777951958838E-2</c:v>
                </c:pt>
                <c:pt idx="179">
                  <c:v>-0.33880726579853171</c:v>
                </c:pt>
                <c:pt idx="180">
                  <c:v>-0.33925401099939667</c:v>
                </c:pt>
                <c:pt idx="181">
                  <c:v>-0.36534056616452482</c:v>
                </c:pt>
                <c:pt idx="182">
                  <c:v>-0.41040288521613077</c:v>
                </c:pt>
                <c:pt idx="183">
                  <c:v>-0.49277916175009429</c:v>
                </c:pt>
                <c:pt idx="184">
                  <c:v>-0.46993356884961601</c:v>
                </c:pt>
                <c:pt idx="185">
                  <c:v>-0.42019225167190699</c:v>
                </c:pt>
                <c:pt idx="186">
                  <c:v>-0.39927722251057995</c:v>
                </c:pt>
                <c:pt idx="187">
                  <c:v>-0.38449096292805762</c:v>
                </c:pt>
                <c:pt idx="188">
                  <c:v>-0.43470984212993002</c:v>
                </c:pt>
                <c:pt idx="189">
                  <c:v>-0.56544534606550489</c:v>
                </c:pt>
                <c:pt idx="190">
                  <c:v>-0.70276708331209881</c:v>
                </c:pt>
                <c:pt idx="191">
                  <c:v>-0.86860174846872451</c:v>
                </c:pt>
                <c:pt idx="192">
                  <c:v>-0.86294525950160428</c:v>
                </c:pt>
                <c:pt idx="193">
                  <c:v>-0.7436638966944914</c:v>
                </c:pt>
                <c:pt idx="194">
                  <c:v>-0.64898188919648203</c:v>
                </c:pt>
                <c:pt idx="195">
                  <c:v>-0.41621105433266992</c:v>
                </c:pt>
                <c:pt idx="196">
                  <c:v>-0.15409113826537418</c:v>
                </c:pt>
                <c:pt idx="197">
                  <c:v>9.0060300080481659E-2</c:v>
                </c:pt>
                <c:pt idx="198">
                  <c:v>0.16635561362758228</c:v>
                </c:pt>
                <c:pt idx="199">
                  <c:v>0.20262452912372342</c:v>
                </c:pt>
                <c:pt idx="200">
                  <c:v>0.15400667755530917</c:v>
                </c:pt>
                <c:pt idx="201">
                  <c:v>7.1559894417025927E-3</c:v>
                </c:pt>
                <c:pt idx="202">
                  <c:v>-7.2329730495911959E-2</c:v>
                </c:pt>
                <c:pt idx="203">
                  <c:v>-0.12312971245635496</c:v>
                </c:pt>
                <c:pt idx="204">
                  <c:v>-0.14279554685838969</c:v>
                </c:pt>
                <c:pt idx="205">
                  <c:v>-0.23348816116542426</c:v>
                </c:pt>
                <c:pt idx="206">
                  <c:v>-0.20514475537823862</c:v>
                </c:pt>
                <c:pt idx="207">
                  <c:v>-0.30806482093422272</c:v>
                </c:pt>
                <c:pt idx="208">
                  <c:v>-0.41568512191047591</c:v>
                </c:pt>
                <c:pt idx="209">
                  <c:v>-0.51774784498635829</c:v>
                </c:pt>
                <c:pt idx="210">
                  <c:v>-0.55236093980395107</c:v>
                </c:pt>
                <c:pt idx="211">
                  <c:v>-0.537795436577861</c:v>
                </c:pt>
                <c:pt idx="212">
                  <c:v>-0.44727117933612837</c:v>
                </c:pt>
                <c:pt idx="213">
                  <c:v>-0.65684066427766186</c:v>
                </c:pt>
                <c:pt idx="214">
                  <c:v>-0.59082915841003869</c:v>
                </c:pt>
                <c:pt idx="215">
                  <c:v>-0.23039637163988713</c:v>
                </c:pt>
                <c:pt idx="216">
                  <c:v>-8.5425021851770033E-2</c:v>
                </c:pt>
                <c:pt idx="217">
                  <c:v>1.2182655700797129E-2</c:v>
                </c:pt>
                <c:pt idx="218">
                  <c:v>0.13430960595039743</c:v>
                </c:pt>
                <c:pt idx="219">
                  <c:v>0.24978030669567919</c:v>
                </c:pt>
                <c:pt idx="220">
                  <c:v>0.47953915550359283</c:v>
                </c:pt>
                <c:pt idx="221">
                  <c:v>0.68802221636653216</c:v>
                </c:pt>
                <c:pt idx="222">
                  <c:v>0.79409166058880931</c:v>
                </c:pt>
                <c:pt idx="223">
                  <c:v>0.83625812258003762</c:v>
                </c:pt>
                <c:pt idx="224">
                  <c:v>0.94465955468652107</c:v>
                </c:pt>
                <c:pt idx="225">
                  <c:v>1.1933156290461944</c:v>
                </c:pt>
                <c:pt idx="226">
                  <c:v>1.3596870795432761</c:v>
                </c:pt>
                <c:pt idx="227">
                  <c:v>1.5143559613721194</c:v>
                </c:pt>
                <c:pt idx="228">
                  <c:v>1.5307913466147407</c:v>
                </c:pt>
                <c:pt idx="229">
                  <c:v>1.4466614514735565</c:v>
                </c:pt>
                <c:pt idx="230">
                  <c:v>1.3350737193665143</c:v>
                </c:pt>
                <c:pt idx="231">
                  <c:v>0.90786328401953398</c:v>
                </c:pt>
                <c:pt idx="232">
                  <c:v>0.55650865115229053</c:v>
                </c:pt>
                <c:pt idx="233">
                  <c:v>0.34834488685872156</c:v>
                </c:pt>
                <c:pt idx="234">
                  <c:v>4.0299437208280775E-2</c:v>
                </c:pt>
                <c:pt idx="235">
                  <c:v>-0.36662400120199745</c:v>
                </c:pt>
                <c:pt idx="236">
                  <c:v>-0.52489919761643411</c:v>
                </c:pt>
                <c:pt idx="237">
                  <c:v>-0.71822055867132772</c:v>
                </c:pt>
                <c:pt idx="238">
                  <c:v>-0.80239795029760419</c:v>
                </c:pt>
                <c:pt idx="239">
                  <c:v>-0.81256264779151555</c:v>
                </c:pt>
                <c:pt idx="240">
                  <c:v>-0.78224907388585585</c:v>
                </c:pt>
                <c:pt idx="241">
                  <c:v>-0.78316840822194966</c:v>
                </c:pt>
                <c:pt idx="242">
                  <c:v>-0.82991050419573986</c:v>
                </c:pt>
                <c:pt idx="243">
                  <c:v>-0.81423956481628657</c:v>
                </c:pt>
                <c:pt idx="244">
                  <c:v>-0.83754892701806205</c:v>
                </c:pt>
                <c:pt idx="245">
                  <c:v>-0.80685468506529767</c:v>
                </c:pt>
                <c:pt idx="246">
                  <c:v>-0.69230431032014605</c:v>
                </c:pt>
                <c:pt idx="247">
                  <c:v>-0.50473266558276997</c:v>
                </c:pt>
                <c:pt idx="248">
                  <c:v>-0.39813780925681352</c:v>
                </c:pt>
                <c:pt idx="249">
                  <c:v>-0.4624880485419941</c:v>
                </c:pt>
                <c:pt idx="250">
                  <c:v>-0.43810292085500613</c:v>
                </c:pt>
                <c:pt idx="251">
                  <c:v>-0.50069335806507875</c:v>
                </c:pt>
                <c:pt idx="252">
                  <c:v>-0.56104563443826749</c:v>
                </c:pt>
                <c:pt idx="253">
                  <c:v>-0.85040157526463678</c:v>
                </c:pt>
                <c:pt idx="254">
                  <c:v>-0.93241944090088613</c:v>
                </c:pt>
                <c:pt idx="255">
                  <c:v>-0.87167536687262492</c:v>
                </c:pt>
                <c:pt idx="256">
                  <c:v>-0.99961711604220405</c:v>
                </c:pt>
                <c:pt idx="257">
                  <c:v>-0.99305476044239782</c:v>
                </c:pt>
                <c:pt idx="258">
                  <c:v>-0.86070152303471437</c:v>
                </c:pt>
                <c:pt idx="259">
                  <c:v>-0.71766094759893306</c:v>
                </c:pt>
                <c:pt idx="260">
                  <c:v>-0.51379588060689496</c:v>
                </c:pt>
                <c:pt idx="261">
                  <c:v>-0.29536298565417596</c:v>
                </c:pt>
                <c:pt idx="262">
                  <c:v>-8.1129386220683664E-2</c:v>
                </c:pt>
                <c:pt idx="263">
                  <c:v>0.27450353020760554</c:v>
                </c:pt>
                <c:pt idx="264">
                  <c:v>0.59674784621541521</c:v>
                </c:pt>
                <c:pt idx="265">
                  <c:v>0.66027938221171256</c:v>
                </c:pt>
                <c:pt idx="266">
                  <c:v>1.0399191365253504</c:v>
                </c:pt>
                <c:pt idx="267">
                  <c:v>1.0204207177370521</c:v>
                </c:pt>
                <c:pt idx="268">
                  <c:v>0.97344661874670813</c:v>
                </c:pt>
                <c:pt idx="269">
                  <c:v>0.98224721058824249</c:v>
                </c:pt>
                <c:pt idx="270">
                  <c:v>0.85738029053413922</c:v>
                </c:pt>
                <c:pt idx="271">
                  <c:v>0.92072076215965903</c:v>
                </c:pt>
                <c:pt idx="272">
                  <c:v>0.87962700267943172</c:v>
                </c:pt>
                <c:pt idx="273">
                  <c:v>0.86958991764084081</c:v>
                </c:pt>
                <c:pt idx="274">
                  <c:v>0.81310690327966584</c:v>
                </c:pt>
                <c:pt idx="275">
                  <c:v>0.67884240028783316</c:v>
                </c:pt>
                <c:pt idx="276">
                  <c:v>0.53131141705693963</c:v>
                </c:pt>
                <c:pt idx="277">
                  <c:v>0.53132144609153242</c:v>
                </c:pt>
                <c:pt idx="278">
                  <c:v>0.5109148967994035</c:v>
                </c:pt>
                <c:pt idx="279">
                  <c:v>0.55994168470855155</c:v>
                </c:pt>
                <c:pt idx="280">
                  <c:v>3.790661489399838E-2</c:v>
                </c:pt>
                <c:pt idx="281">
                  <c:v>-0.13384494696198324</c:v>
                </c:pt>
                <c:pt idx="282">
                  <c:v>-0.17118717421222762</c:v>
                </c:pt>
                <c:pt idx="283">
                  <c:v>-0.14363452871593207</c:v>
                </c:pt>
                <c:pt idx="284">
                  <c:v>7.0256609515595758E-2</c:v>
                </c:pt>
                <c:pt idx="285">
                  <c:v>0.2166225801422455</c:v>
                </c:pt>
                <c:pt idx="286">
                  <c:v>0.42737040604892162</c:v>
                </c:pt>
                <c:pt idx="287">
                  <c:v>0.44564060187034271</c:v>
                </c:pt>
                <c:pt idx="288">
                  <c:v>0.47020777004684478</c:v>
                </c:pt>
                <c:pt idx="289">
                  <c:v>0.57294340491176032</c:v>
                </c:pt>
                <c:pt idx="290">
                  <c:v>0.71032397500747968</c:v>
                </c:pt>
                <c:pt idx="291">
                  <c:v>0.59511714932258108</c:v>
                </c:pt>
                <c:pt idx="292">
                  <c:v>0.57133620626281489</c:v>
                </c:pt>
                <c:pt idx="293">
                  <c:v>0.51673530469823947</c:v>
                </c:pt>
                <c:pt idx="294">
                  <c:v>0.52363547855804482</c:v>
                </c:pt>
                <c:pt idx="295">
                  <c:v>0.50498683478683359</c:v>
                </c:pt>
                <c:pt idx="296">
                  <c:v>0.24998037249348437</c:v>
                </c:pt>
                <c:pt idx="297">
                  <c:v>-0.24311892588722062</c:v>
                </c:pt>
                <c:pt idx="298">
                  <c:v>-0.54187321488989593</c:v>
                </c:pt>
                <c:pt idx="299">
                  <c:v>-0.75552642254576141</c:v>
                </c:pt>
                <c:pt idx="300">
                  <c:v>-0.74911729955997952</c:v>
                </c:pt>
                <c:pt idx="301">
                  <c:v>-0.84846578706468212</c:v>
                </c:pt>
                <c:pt idx="302">
                  <c:v>-0.82124985721364918</c:v>
                </c:pt>
                <c:pt idx="303">
                  <c:v>-0.83423791997013697</c:v>
                </c:pt>
                <c:pt idx="304">
                  <c:v>-0.85963198752139203</c:v>
                </c:pt>
                <c:pt idx="305">
                  <c:v>-0.90099860385291419</c:v>
                </c:pt>
                <c:pt idx="306">
                  <c:v>-1.060473528184686</c:v>
                </c:pt>
                <c:pt idx="307">
                  <c:v>-0.86647013436773834</c:v>
                </c:pt>
                <c:pt idx="308">
                  <c:v>-0.5612167586306388</c:v>
                </c:pt>
                <c:pt idx="309">
                  <c:v>-0.380284444671943</c:v>
                </c:pt>
                <c:pt idx="310">
                  <c:v>-8.9971961517687493E-2</c:v>
                </c:pt>
                <c:pt idx="311">
                  <c:v>0.11029455326680843</c:v>
                </c:pt>
                <c:pt idx="312">
                  <c:v>0.16679111774928718</c:v>
                </c:pt>
                <c:pt idx="313">
                  <c:v>0.38191344078700495</c:v>
                </c:pt>
                <c:pt idx="314">
                  <c:v>-5.1505873253243128E-2</c:v>
                </c:pt>
                <c:pt idx="315">
                  <c:v>-0.54183413339099673</c:v>
                </c:pt>
                <c:pt idx="316">
                  <c:v>-0.93367937600227513</c:v>
                </c:pt>
                <c:pt idx="317">
                  <c:v>-0.87290023166004915</c:v>
                </c:pt>
                <c:pt idx="318">
                  <c:v>-0.70129103301807882</c:v>
                </c:pt>
                <c:pt idx="319">
                  <c:v>-0.33295808646345115</c:v>
                </c:pt>
                <c:pt idx="320">
                  <c:v>6.8013791126337209E-2</c:v>
                </c:pt>
                <c:pt idx="321">
                  <c:v>0.28447362098732243</c:v>
                </c:pt>
                <c:pt idx="322">
                  <c:v>0.28266823641364058</c:v>
                </c:pt>
                <c:pt idx="323">
                  <c:v>0.54683646241372708</c:v>
                </c:pt>
                <c:pt idx="324">
                  <c:v>0.38060021490357876</c:v>
                </c:pt>
                <c:pt idx="325">
                  <c:v>0.39980351898886823</c:v>
                </c:pt>
                <c:pt idx="326">
                  <c:v>0.26017923828966905</c:v>
                </c:pt>
                <c:pt idx="327">
                  <c:v>-0.23073029961284186</c:v>
                </c:pt>
                <c:pt idx="328">
                  <c:v>-0.42480062625502157</c:v>
                </c:pt>
                <c:pt idx="329">
                  <c:v>-0.46379585036587589</c:v>
                </c:pt>
                <c:pt idx="330">
                  <c:v>-0.42929514467382934</c:v>
                </c:pt>
                <c:pt idx="331">
                  <c:v>-0.35594051394577897</c:v>
                </c:pt>
                <c:pt idx="332">
                  <c:v>-0.44633833132687362</c:v>
                </c:pt>
                <c:pt idx="333">
                  <c:v>-0.43386762471689266</c:v>
                </c:pt>
                <c:pt idx="334">
                  <c:v>-0.49889917344543999</c:v>
                </c:pt>
                <c:pt idx="335">
                  <c:v>-0.47330621031963105</c:v>
                </c:pt>
                <c:pt idx="336">
                  <c:v>-0.41542513592684971</c:v>
                </c:pt>
                <c:pt idx="337">
                  <c:v>-0.38278989395955465</c:v>
                </c:pt>
                <c:pt idx="338">
                  <c:v>-0.38915277071204213</c:v>
                </c:pt>
                <c:pt idx="339">
                  <c:v>-0.14878968441476914</c:v>
                </c:pt>
                <c:pt idx="340">
                  <c:v>-0.11129821398474471</c:v>
                </c:pt>
                <c:pt idx="341">
                  <c:v>-0.10950064661880554</c:v>
                </c:pt>
                <c:pt idx="342">
                  <c:v>0.19555010195409173</c:v>
                </c:pt>
                <c:pt idx="343">
                  <c:v>0.44959893032823417</c:v>
                </c:pt>
                <c:pt idx="344">
                  <c:v>0.69690530847423027</c:v>
                </c:pt>
                <c:pt idx="345">
                  <c:v>0.88586610070898519</c:v>
                </c:pt>
                <c:pt idx="346">
                  <c:v>0.95740922810561324</c:v>
                </c:pt>
                <c:pt idx="347">
                  <c:v>0.93729934356220679</c:v>
                </c:pt>
                <c:pt idx="348">
                  <c:v>0.93715675182203695</c:v>
                </c:pt>
                <c:pt idx="349">
                  <c:v>1.0156856777549987</c:v>
                </c:pt>
                <c:pt idx="350">
                  <c:v>0.99031219089232281</c:v>
                </c:pt>
                <c:pt idx="351">
                  <c:v>1.0009959450282375</c:v>
                </c:pt>
                <c:pt idx="352">
                  <c:v>1.0397344432882967</c:v>
                </c:pt>
                <c:pt idx="353">
                  <c:v>0.87212384691783928</c:v>
                </c:pt>
                <c:pt idx="354">
                  <c:v>0.65728115674960041</c:v>
                </c:pt>
                <c:pt idx="355">
                  <c:v>0.42451316725991661</c:v>
                </c:pt>
                <c:pt idx="356">
                  <c:v>4.815473509814816E-2</c:v>
                </c:pt>
                <c:pt idx="357">
                  <c:v>-0.1197006373034496</c:v>
                </c:pt>
                <c:pt idx="358">
                  <c:v>-0.31882959229965069</c:v>
                </c:pt>
                <c:pt idx="359">
                  <c:v>-0.4153521419541566</c:v>
                </c:pt>
                <c:pt idx="360">
                  <c:v>-0.50601228191522785</c:v>
                </c:pt>
                <c:pt idx="361">
                  <c:v>-0.47222032349066767</c:v>
                </c:pt>
                <c:pt idx="362">
                  <c:v>-0.61447547085347798</c:v>
                </c:pt>
                <c:pt idx="363">
                  <c:v>-0.63485394637889414</c:v>
                </c:pt>
                <c:pt idx="364">
                  <c:v>-0.76522753611796834</c:v>
                </c:pt>
                <c:pt idx="365">
                  <c:v>-0.83726457043514357</c:v>
                </c:pt>
                <c:pt idx="366">
                  <c:v>-0.76749723073351517</c:v>
                </c:pt>
                <c:pt idx="367">
                  <c:v>-0.55395997360106186</c:v>
                </c:pt>
                <c:pt idx="368">
                  <c:v>-0.42744418574946641</c:v>
                </c:pt>
                <c:pt idx="369">
                  <c:v>-0.40707842180002085</c:v>
                </c:pt>
                <c:pt idx="370">
                  <c:v>-0.38637668228849242</c:v>
                </c:pt>
                <c:pt idx="371">
                  <c:v>-0.26547521638814819</c:v>
                </c:pt>
                <c:pt idx="372">
                  <c:v>-0.20046055104025506</c:v>
                </c:pt>
                <c:pt idx="373">
                  <c:v>-1.771083590062128E-2</c:v>
                </c:pt>
                <c:pt idx="374">
                  <c:v>0.10676333754191325</c:v>
                </c:pt>
                <c:pt idx="375">
                  <c:v>0.16560687099945981</c:v>
                </c:pt>
                <c:pt idx="376">
                  <c:v>0.18240497052791405</c:v>
                </c:pt>
                <c:pt idx="377">
                  <c:v>2.6049211161320418E-2</c:v>
                </c:pt>
                <c:pt idx="378">
                  <c:v>-8.7747409611200533E-2</c:v>
                </c:pt>
                <c:pt idx="379">
                  <c:v>-8.3187716307966841E-2</c:v>
                </c:pt>
                <c:pt idx="380">
                  <c:v>-0.15829457311028139</c:v>
                </c:pt>
                <c:pt idx="381">
                  <c:v>-0.39709954729034869</c:v>
                </c:pt>
                <c:pt idx="382">
                  <c:v>-0.58404667149987666</c:v>
                </c:pt>
                <c:pt idx="383">
                  <c:v>-0.59142743839839773</c:v>
                </c:pt>
                <c:pt idx="384">
                  <c:v>-0.43091775894345097</c:v>
                </c:pt>
                <c:pt idx="385">
                  <c:v>-0.326410203981504</c:v>
                </c:pt>
                <c:pt idx="386">
                  <c:v>-0.23302025083318734</c:v>
                </c:pt>
                <c:pt idx="387">
                  <c:v>6.34641999326091E-2</c:v>
                </c:pt>
                <c:pt idx="388">
                  <c:v>0.2590446741224004</c:v>
                </c:pt>
                <c:pt idx="389">
                  <c:v>0.4169134921551807</c:v>
                </c:pt>
                <c:pt idx="390">
                  <c:v>0.47554902984584757</c:v>
                </c:pt>
                <c:pt idx="391">
                  <c:v>0.42443341428111991</c:v>
                </c:pt>
                <c:pt idx="392">
                  <c:v>0.35027428555052453</c:v>
                </c:pt>
                <c:pt idx="393">
                  <c:v>5.8630073183768339E-2</c:v>
                </c:pt>
                <c:pt idx="394">
                  <c:v>-0.26993541824553713</c:v>
                </c:pt>
                <c:pt idx="395">
                  <c:v>-0.43851551940948563</c:v>
                </c:pt>
                <c:pt idx="396">
                  <c:v>-0.50145040081469627</c:v>
                </c:pt>
                <c:pt idx="397">
                  <c:v>-0.51670120676281406</c:v>
                </c:pt>
                <c:pt idx="398">
                  <c:v>-0.33416149306588894</c:v>
                </c:pt>
                <c:pt idx="399">
                  <c:v>-0.14622430704889422</c:v>
                </c:pt>
                <c:pt idx="400">
                  <c:v>-3.3515679454674263E-3</c:v>
                </c:pt>
                <c:pt idx="401">
                  <c:v>0.19632927524304877</c:v>
                </c:pt>
                <c:pt idx="402">
                  <c:v>0.33390924083571805</c:v>
                </c:pt>
                <c:pt idx="403">
                  <c:v>0.43799407300769699</c:v>
                </c:pt>
                <c:pt idx="404">
                  <c:v>0.38763307747901443</c:v>
                </c:pt>
                <c:pt idx="405">
                  <c:v>0.38836739181250968</c:v>
                </c:pt>
                <c:pt idx="406">
                  <c:v>0.46742866589664911</c:v>
                </c:pt>
                <c:pt idx="407">
                  <c:v>0.67461319003571241</c:v>
                </c:pt>
                <c:pt idx="408">
                  <c:v>0.84951061792374827</c:v>
                </c:pt>
                <c:pt idx="409">
                  <c:v>0.87245111606050063</c:v>
                </c:pt>
                <c:pt idx="410">
                  <c:v>0.84290560108091561</c:v>
                </c:pt>
                <c:pt idx="411">
                  <c:v>0.62309908926132551</c:v>
                </c:pt>
                <c:pt idx="412">
                  <c:v>0.44347645562194937</c:v>
                </c:pt>
                <c:pt idx="413">
                  <c:v>0.3721123077208417</c:v>
                </c:pt>
                <c:pt idx="414">
                  <c:v>0.22471476192120116</c:v>
                </c:pt>
                <c:pt idx="415">
                  <c:v>0.20918330015430997</c:v>
                </c:pt>
                <c:pt idx="416">
                  <c:v>0.24856058694470151</c:v>
                </c:pt>
                <c:pt idx="417">
                  <c:v>0.27058327013421274</c:v>
                </c:pt>
                <c:pt idx="418">
                  <c:v>0.3335640821585476</c:v>
                </c:pt>
                <c:pt idx="419">
                  <c:v>0.4060294814668638</c:v>
                </c:pt>
                <c:pt idx="420">
                  <c:v>0.36229095561856528</c:v>
                </c:pt>
                <c:pt idx="421">
                  <c:v>0.34035896132770904</c:v>
                </c:pt>
                <c:pt idx="422">
                  <c:v>0.16909562364234021</c:v>
                </c:pt>
                <c:pt idx="423">
                  <c:v>0.12916867731794801</c:v>
                </c:pt>
                <c:pt idx="424">
                  <c:v>4.508596737514281E-2</c:v>
                </c:pt>
                <c:pt idx="425">
                  <c:v>-8.4065730906719094E-2</c:v>
                </c:pt>
                <c:pt idx="426">
                  <c:v>-8.8361399563146481E-2</c:v>
                </c:pt>
                <c:pt idx="427">
                  <c:v>5.3673575485602143E-2</c:v>
                </c:pt>
                <c:pt idx="428">
                  <c:v>-5.7737719511682495E-2</c:v>
                </c:pt>
                <c:pt idx="429">
                  <c:v>-0.21162770797495012</c:v>
                </c:pt>
                <c:pt idx="430">
                  <c:v>-0.4914448605647368</c:v>
                </c:pt>
                <c:pt idx="431">
                  <c:v>-0.68123974709110047</c:v>
                </c:pt>
                <c:pt idx="432">
                  <c:v>-0.77183772124217487</c:v>
                </c:pt>
                <c:pt idx="433">
                  <c:v>-0.80587787880085382</c:v>
                </c:pt>
                <c:pt idx="434">
                  <c:v>-0.76128054105344967</c:v>
                </c:pt>
                <c:pt idx="435">
                  <c:v>-0.62460148710763219</c:v>
                </c:pt>
                <c:pt idx="436">
                  <c:v>-0.49402282016825971</c:v>
                </c:pt>
                <c:pt idx="437">
                  <c:v>-0.41063935082711822</c:v>
                </c:pt>
                <c:pt idx="438">
                  <c:v>-0.40239174424047519</c:v>
                </c:pt>
                <c:pt idx="439">
                  <c:v>-0.35459921563610797</c:v>
                </c:pt>
                <c:pt idx="440">
                  <c:v>-0.41645859674665164</c:v>
                </c:pt>
                <c:pt idx="441">
                  <c:v>-0.28822122756496427</c:v>
                </c:pt>
                <c:pt idx="442">
                  <c:v>-0.30089470039642086</c:v>
                </c:pt>
                <c:pt idx="443">
                  <c:v>-0.2894954597875834</c:v>
                </c:pt>
                <c:pt idx="444">
                  <c:v>-0.31272343485547571</c:v>
                </c:pt>
                <c:pt idx="445">
                  <c:v>-0.43932580866902926</c:v>
                </c:pt>
                <c:pt idx="446">
                  <c:v>-0.37610887592689179</c:v>
                </c:pt>
                <c:pt idx="447">
                  <c:v>-0.41399182073307905</c:v>
                </c:pt>
                <c:pt idx="448">
                  <c:v>-0.26214751032447747</c:v>
                </c:pt>
                <c:pt idx="449">
                  <c:v>-2.2998986685100586E-2</c:v>
                </c:pt>
                <c:pt idx="450">
                  <c:v>0.17925208186921582</c:v>
                </c:pt>
                <c:pt idx="451">
                  <c:v>0.28992975599160831</c:v>
                </c:pt>
                <c:pt idx="452">
                  <c:v>0.39546053614344645</c:v>
                </c:pt>
                <c:pt idx="453">
                  <c:v>0.45495584205814388</c:v>
                </c:pt>
                <c:pt idx="454">
                  <c:v>0.49867199516758376</c:v>
                </c:pt>
                <c:pt idx="455">
                  <c:v>0.46333763992801091</c:v>
                </c:pt>
                <c:pt idx="456">
                  <c:v>0.40350291485277467</c:v>
                </c:pt>
                <c:pt idx="457">
                  <c:v>0.18821541269961295</c:v>
                </c:pt>
                <c:pt idx="458">
                  <c:v>0.10396810072402918</c:v>
                </c:pt>
                <c:pt idx="459">
                  <c:v>0.10475730697874974</c:v>
                </c:pt>
                <c:pt idx="460">
                  <c:v>-4.1821843547192428E-2</c:v>
                </c:pt>
                <c:pt idx="461">
                  <c:v>-0.17726288765496367</c:v>
                </c:pt>
                <c:pt idx="462">
                  <c:v>-0.33204208294878446</c:v>
                </c:pt>
                <c:pt idx="463">
                  <c:v>-0.38030510274736229</c:v>
                </c:pt>
                <c:pt idx="464">
                  <c:v>-0.32586201925402469</c:v>
                </c:pt>
                <c:pt idx="465">
                  <c:v>-0.35785118760301748</c:v>
                </c:pt>
                <c:pt idx="466">
                  <c:v>-0.15306603617314041</c:v>
                </c:pt>
                <c:pt idx="467">
                  <c:v>-3.8090695586638246E-2</c:v>
                </c:pt>
                <c:pt idx="468">
                  <c:v>4.5285693159855533E-2</c:v>
                </c:pt>
                <c:pt idx="469">
                  <c:v>8.9066288424056284E-2</c:v>
                </c:pt>
                <c:pt idx="470">
                  <c:v>5.9754006406871341E-3</c:v>
                </c:pt>
                <c:pt idx="471">
                  <c:v>4.0435412413530436E-2</c:v>
                </c:pt>
                <c:pt idx="472">
                  <c:v>7.2008772778463737E-2</c:v>
                </c:pt>
                <c:pt idx="473">
                  <c:v>0.17653478226394848</c:v>
                </c:pt>
                <c:pt idx="474">
                  <c:v>0.41854533991519705</c:v>
                </c:pt>
                <c:pt idx="475">
                  <c:v>0.30742418834638463</c:v>
                </c:pt>
                <c:pt idx="476">
                  <c:v>0.32789766301621892</c:v>
                </c:pt>
                <c:pt idx="477">
                  <c:v>0.31735058984609388</c:v>
                </c:pt>
                <c:pt idx="478">
                  <c:v>0.29676267664650091</c:v>
                </c:pt>
                <c:pt idx="479">
                  <c:v>0.2300791014955218</c:v>
                </c:pt>
                <c:pt idx="480">
                  <c:v>8.2591733957919633E-2</c:v>
                </c:pt>
                <c:pt idx="481">
                  <c:v>4.7078326108232149E-2</c:v>
                </c:pt>
                <c:pt idx="482">
                  <c:v>-5.6896463009583953E-2</c:v>
                </c:pt>
                <c:pt idx="483">
                  <c:v>-0.23393920252287137</c:v>
                </c:pt>
                <c:pt idx="484">
                  <c:v>-0.65118197428099234</c:v>
                </c:pt>
                <c:pt idx="485">
                  <c:v>-0.78718769337273597</c:v>
                </c:pt>
                <c:pt idx="486">
                  <c:v>-0.80819510200123501</c:v>
                </c:pt>
                <c:pt idx="487">
                  <c:v>-0.70631726646370185</c:v>
                </c:pt>
                <c:pt idx="488">
                  <c:v>-0.45839596837398799</c:v>
                </c:pt>
                <c:pt idx="489">
                  <c:v>-0.11748741486742009</c:v>
                </c:pt>
                <c:pt idx="490">
                  <c:v>0.12306349971917641</c:v>
                </c:pt>
                <c:pt idx="491">
                  <c:v>0.44864214025857074</c:v>
                </c:pt>
                <c:pt idx="492">
                  <c:v>0.49735621957714793</c:v>
                </c:pt>
                <c:pt idx="493">
                  <c:v>0.44734543421275719</c:v>
                </c:pt>
                <c:pt idx="494">
                  <c:v>0.2917473322475137</c:v>
                </c:pt>
                <c:pt idx="495">
                  <c:v>0.22168882446505034</c:v>
                </c:pt>
                <c:pt idx="496">
                  <c:v>0.26074267053970956</c:v>
                </c:pt>
                <c:pt idx="497">
                  <c:v>0.29789775007409114</c:v>
                </c:pt>
                <c:pt idx="498">
                  <c:v>0.30443260082683321</c:v>
                </c:pt>
                <c:pt idx="499">
                  <c:v>0.26840267190300815</c:v>
                </c:pt>
                <c:pt idx="500">
                  <c:v>0.1929310820841269</c:v>
                </c:pt>
                <c:pt idx="501">
                  <c:v>4.6477062037568295E-2</c:v>
                </c:pt>
                <c:pt idx="502">
                  <c:v>-0.13051417262685083</c:v>
                </c:pt>
                <c:pt idx="503">
                  <c:v>-0.25580494335961634</c:v>
                </c:pt>
                <c:pt idx="504">
                  <c:v>-0.43152279044246211</c:v>
                </c:pt>
                <c:pt idx="505">
                  <c:v>-0.28658972635245528</c:v>
                </c:pt>
                <c:pt idx="506">
                  <c:v>-0.1486489589580362</c:v>
                </c:pt>
                <c:pt idx="507">
                  <c:v>5.7788970185900901E-2</c:v>
                </c:pt>
                <c:pt idx="508">
                  <c:v>0.24451375549079235</c:v>
                </c:pt>
                <c:pt idx="509">
                  <c:v>0.49341449891937206</c:v>
                </c:pt>
                <c:pt idx="510">
                  <c:v>0.5226918962196756</c:v>
                </c:pt>
                <c:pt idx="511">
                  <c:v>0.51497216025643933</c:v>
                </c:pt>
                <c:pt idx="512">
                  <c:v>0.6473056895226178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4644624"/>
        <c:axId val="1724646064"/>
      </c:barChart>
      <c:lineChart>
        <c:grouping val="standard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Data!$Y$2:$Y$514</c:f>
              <c:numCache>
                <c:formatCode>General</c:formatCode>
                <c:ptCount val="513"/>
                <c:pt idx="25">
                  <c:v>3.858648230619707</c:v>
                </c:pt>
                <c:pt idx="26">
                  <c:v>3.614957200813393</c:v>
                </c:pt>
                <c:pt idx="27">
                  <c:v>3.3581057421239677</c:v>
                </c:pt>
                <c:pt idx="28">
                  <c:v>3.0515912859755758</c:v>
                </c:pt>
                <c:pt idx="29">
                  <c:v>2.7256145321729832</c:v>
                </c:pt>
                <c:pt idx="30">
                  <c:v>2.5492439754083023</c:v>
                </c:pt>
                <c:pt idx="31">
                  <c:v>2.4218967417561146</c:v>
                </c:pt>
                <c:pt idx="32">
                  <c:v>2.3742953850000106</c:v>
                </c:pt>
                <c:pt idx="33">
                  <c:v>2.4607126082253501</c:v>
                </c:pt>
                <c:pt idx="34">
                  <c:v>2.5131396337354772</c:v>
                </c:pt>
                <c:pt idx="35">
                  <c:v>2.5630680482094021</c:v>
                </c:pt>
                <c:pt idx="36">
                  <c:v>2.5083616145555254</c:v>
                </c:pt>
                <c:pt idx="37">
                  <c:v>2.3635248176522907</c:v>
                </c:pt>
                <c:pt idx="38">
                  <c:v>2.2829429987947378</c:v>
                </c:pt>
                <c:pt idx="39">
                  <c:v>2.1052456421537045</c:v>
                </c:pt>
                <c:pt idx="40">
                  <c:v>1.9348531759289358</c:v>
                </c:pt>
                <c:pt idx="41">
                  <c:v>1.8359433727507621</c:v>
                </c:pt>
                <c:pt idx="42">
                  <c:v>1.7183822064687035</c:v>
                </c:pt>
                <c:pt idx="43">
                  <c:v>1.6266361963449469</c:v>
                </c:pt>
                <c:pt idx="44">
                  <c:v>1.6199789383124426</c:v>
                </c:pt>
                <c:pt idx="45">
                  <c:v>1.5747633778788668</c:v>
                </c:pt>
                <c:pt idx="46">
                  <c:v>1.6171185555690215</c:v>
                </c:pt>
                <c:pt idx="47">
                  <c:v>1.6621875004195203</c:v>
                </c:pt>
                <c:pt idx="48">
                  <c:v>1.708071289115253</c:v>
                </c:pt>
                <c:pt idx="49">
                  <c:v>1.6607372627188397</c:v>
                </c:pt>
                <c:pt idx="50">
                  <c:v>1.5951537689584825</c:v>
                </c:pt>
                <c:pt idx="51">
                  <c:v>1.5120310457108133</c:v>
                </c:pt>
                <c:pt idx="52">
                  <c:v>1.4791339714203673</c:v>
                </c:pt>
                <c:pt idx="53">
                  <c:v>1.449267215535599</c:v>
                </c:pt>
                <c:pt idx="54">
                  <c:v>1.3989810994943923</c:v>
                </c:pt>
                <c:pt idx="55">
                  <c:v>1.3276859248240385</c:v>
                </c:pt>
                <c:pt idx="56">
                  <c:v>1.139432600796539</c:v>
                </c:pt>
                <c:pt idx="57">
                  <c:v>1.0076736420764405</c:v>
                </c:pt>
                <c:pt idx="58">
                  <c:v>1.0572907126852158</c:v>
                </c:pt>
                <c:pt idx="59">
                  <c:v>1.0553976402256069</c:v>
                </c:pt>
                <c:pt idx="60">
                  <c:v>0.90866776704237395</c:v>
                </c:pt>
                <c:pt idx="61">
                  <c:v>0.78255555566477142</c:v>
                </c:pt>
                <c:pt idx="62">
                  <c:v>0.32223908742685126</c:v>
                </c:pt>
                <c:pt idx="63">
                  <c:v>-9.792041432567089E-2</c:v>
                </c:pt>
                <c:pt idx="64">
                  <c:v>-0.37413745513660501</c:v>
                </c:pt>
                <c:pt idx="65">
                  <c:v>-0.59106946767926161</c:v>
                </c:pt>
                <c:pt idx="66">
                  <c:v>-0.70483592231886405</c:v>
                </c:pt>
                <c:pt idx="67">
                  <c:v>-0.73966906003002464</c:v>
                </c:pt>
                <c:pt idx="68">
                  <c:v>-0.87021161453270679</c:v>
                </c:pt>
                <c:pt idx="69">
                  <c:v>-1.0032553639062769</c:v>
                </c:pt>
                <c:pt idx="70">
                  <c:v>-1.0864861605504643</c:v>
                </c:pt>
                <c:pt idx="71">
                  <c:v>-1.0994278256072789</c:v>
                </c:pt>
                <c:pt idx="72">
                  <c:v>-1.0164684141776661</c:v>
                </c:pt>
                <c:pt idx="73">
                  <c:v>-0.91356325235466329</c:v>
                </c:pt>
                <c:pt idx="74">
                  <c:v>-0.75472230503061155</c:v>
                </c:pt>
                <c:pt idx="75">
                  <c:v>-0.43022045393593089</c:v>
                </c:pt>
                <c:pt idx="76">
                  <c:v>-9.4497118133148206E-2</c:v>
                </c:pt>
                <c:pt idx="77">
                  <c:v>0.2573601634004774</c:v>
                </c:pt>
                <c:pt idx="78">
                  <c:v>0.52611033937807861</c:v>
                </c:pt>
                <c:pt idx="79">
                  <c:v>0.63016121412547932</c:v>
                </c:pt>
                <c:pt idx="80">
                  <c:v>0.73401689987770169</c:v>
                </c:pt>
                <c:pt idx="81">
                  <c:v>0.92986945253397835</c:v>
                </c:pt>
                <c:pt idx="82">
                  <c:v>1.0886727977486146</c:v>
                </c:pt>
                <c:pt idx="83">
                  <c:v>1.2357845605492628</c:v>
                </c:pt>
                <c:pt idx="84">
                  <c:v>1.3864187386916456</c:v>
                </c:pt>
                <c:pt idx="85">
                  <c:v>1.4870418840887965</c:v>
                </c:pt>
                <c:pt idx="86">
                  <c:v>1.6542304808063477</c:v>
                </c:pt>
                <c:pt idx="87">
                  <c:v>1.7113243331542094</c:v>
                </c:pt>
                <c:pt idx="88">
                  <c:v>1.8139326296301022</c:v>
                </c:pt>
                <c:pt idx="89">
                  <c:v>1.938267532799216</c:v>
                </c:pt>
                <c:pt idx="90">
                  <c:v>1.935415761404073</c:v>
                </c:pt>
                <c:pt idx="91">
                  <c:v>1.9023505187280705</c:v>
                </c:pt>
                <c:pt idx="92">
                  <c:v>1.9145945534551174</c:v>
                </c:pt>
                <c:pt idx="93">
                  <c:v>2.0100610244981851</c:v>
                </c:pt>
                <c:pt idx="94">
                  <c:v>2.0444001568025669</c:v>
                </c:pt>
                <c:pt idx="95">
                  <c:v>2.021681241578932</c:v>
                </c:pt>
                <c:pt idx="96">
                  <c:v>2.0638053821691926</c:v>
                </c:pt>
                <c:pt idx="97">
                  <c:v>2.0302125534900881</c:v>
                </c:pt>
                <c:pt idx="98">
                  <c:v>1.7956858352544884</c:v>
                </c:pt>
                <c:pt idx="99">
                  <c:v>1.5787126419330377</c:v>
                </c:pt>
                <c:pt idx="100">
                  <c:v>1.2136343549497894</c:v>
                </c:pt>
                <c:pt idx="101">
                  <c:v>0.79730653061872658</c:v>
                </c:pt>
                <c:pt idx="102">
                  <c:v>0.53622568214717603</c:v>
                </c:pt>
                <c:pt idx="103">
                  <c:v>0.48191760220910851</c:v>
                </c:pt>
                <c:pt idx="104">
                  <c:v>0.44265152701876787</c:v>
                </c:pt>
                <c:pt idx="105">
                  <c:v>0.59510515441075995</c:v>
                </c:pt>
                <c:pt idx="106">
                  <c:v>0.63118585787273673</c:v>
                </c:pt>
                <c:pt idx="107">
                  <c:v>0.84530964710506851</c:v>
                </c:pt>
                <c:pt idx="108">
                  <c:v>0.89095865978450206</c:v>
                </c:pt>
                <c:pt idx="109">
                  <c:v>0.93970408385203541</c:v>
                </c:pt>
                <c:pt idx="110">
                  <c:v>0.97755643508611456</c:v>
                </c:pt>
                <c:pt idx="111">
                  <c:v>0.81259680787536581</c:v>
                </c:pt>
                <c:pt idx="112">
                  <c:v>0.77221423034129089</c:v>
                </c:pt>
                <c:pt idx="113">
                  <c:v>0.76208868691330167</c:v>
                </c:pt>
                <c:pt idx="114">
                  <c:v>0.80210897412024451</c:v>
                </c:pt>
                <c:pt idx="115">
                  <c:v>0.90888146154313176</c:v>
                </c:pt>
                <c:pt idx="116">
                  <c:v>0.9111803452899494</c:v>
                </c:pt>
                <c:pt idx="117">
                  <c:v>0.94966317050133853</c:v>
                </c:pt>
                <c:pt idx="118">
                  <c:v>0.98414785497749335</c:v>
                </c:pt>
                <c:pt idx="119">
                  <c:v>0.87231508235936417</c:v>
                </c:pt>
                <c:pt idx="120">
                  <c:v>0.82261914845784645</c:v>
                </c:pt>
                <c:pt idx="121">
                  <c:v>0.70809818430757332</c:v>
                </c:pt>
                <c:pt idx="122">
                  <c:v>0.47469175160512123</c:v>
                </c:pt>
                <c:pt idx="123">
                  <c:v>0.11091529576583525</c:v>
                </c:pt>
                <c:pt idx="124">
                  <c:v>-8.1227685826377183E-2</c:v>
                </c:pt>
                <c:pt idx="125">
                  <c:v>-0.2364254328194022</c:v>
                </c:pt>
                <c:pt idx="126">
                  <c:v>-0.24523933222624805</c:v>
                </c:pt>
                <c:pt idx="127">
                  <c:v>-0.14484863424328864</c:v>
                </c:pt>
                <c:pt idx="128">
                  <c:v>-0.13314824540486825</c:v>
                </c:pt>
                <c:pt idx="129">
                  <c:v>-3.1523744230526063E-2</c:v>
                </c:pt>
                <c:pt idx="130">
                  <c:v>-5.2056984116944705E-2</c:v>
                </c:pt>
                <c:pt idx="131">
                  <c:v>1.7805087016085963E-2</c:v>
                </c:pt>
                <c:pt idx="132">
                  <c:v>-8.9599900979578706E-2</c:v>
                </c:pt>
                <c:pt idx="133">
                  <c:v>1.6331802453805722E-2</c:v>
                </c:pt>
                <c:pt idx="134">
                  <c:v>0.29777308802178482</c:v>
                </c:pt>
                <c:pt idx="135">
                  <c:v>0.43511001445799025</c:v>
                </c:pt>
                <c:pt idx="136">
                  <c:v>0.49946105352387349</c:v>
                </c:pt>
                <c:pt idx="137">
                  <c:v>0.56732057354957988</c:v>
                </c:pt>
                <c:pt idx="138">
                  <c:v>0.48399318241811784</c:v>
                </c:pt>
                <c:pt idx="139">
                  <c:v>0.52327806762946238</c:v>
                </c:pt>
                <c:pt idx="140">
                  <c:v>0.46034425327792405</c:v>
                </c:pt>
                <c:pt idx="141">
                  <c:v>0.58208734171157062</c:v>
                </c:pt>
                <c:pt idx="142">
                  <c:v>0.7362497347383794</c:v>
                </c:pt>
                <c:pt idx="143">
                  <c:v>0.19211770950593632</c:v>
                </c:pt>
                <c:pt idx="144">
                  <c:v>-0.31137168586994335</c:v>
                </c:pt>
                <c:pt idx="145">
                  <c:v>-0.30901868582688508</c:v>
                </c:pt>
                <c:pt idx="146">
                  <c:v>4.6545843390049413E-2</c:v>
                </c:pt>
                <c:pt idx="147">
                  <c:v>0.16345200339318922</c:v>
                </c:pt>
                <c:pt idx="148">
                  <c:v>0.25557561019456898</c:v>
                </c:pt>
                <c:pt idx="149">
                  <c:v>0.47879979660368122</c:v>
                </c:pt>
                <c:pt idx="150">
                  <c:v>0.71604040080907794</c:v>
                </c:pt>
                <c:pt idx="151">
                  <c:v>0.86742787816874056</c:v>
                </c:pt>
                <c:pt idx="152">
                  <c:v>0.67860122506684206</c:v>
                </c:pt>
                <c:pt idx="153">
                  <c:v>0.56121736608312744</c:v>
                </c:pt>
                <c:pt idx="154">
                  <c:v>0.58331015615473802</c:v>
                </c:pt>
                <c:pt idx="155">
                  <c:v>0.52377248277892363</c:v>
                </c:pt>
                <c:pt idx="156">
                  <c:v>0.46876407790861663</c:v>
                </c:pt>
                <c:pt idx="157">
                  <c:v>0.46260348631042802</c:v>
                </c:pt>
                <c:pt idx="158">
                  <c:v>0.611251416125981</c:v>
                </c:pt>
                <c:pt idx="159">
                  <c:v>0.70080462135322819</c:v>
                </c:pt>
                <c:pt idx="160">
                  <c:v>0.76218329073239488</c:v>
                </c:pt>
                <c:pt idx="161">
                  <c:v>0.7234095041692683</c:v>
                </c:pt>
                <c:pt idx="162">
                  <c:v>0.77891825254090463</c:v>
                </c:pt>
                <c:pt idx="163">
                  <c:v>0.72578216362936132</c:v>
                </c:pt>
                <c:pt idx="164">
                  <c:v>0.66072360777414474</c:v>
                </c:pt>
                <c:pt idx="165">
                  <c:v>0.67960110836875742</c:v>
                </c:pt>
                <c:pt idx="166">
                  <c:v>0.80710227141730684</c:v>
                </c:pt>
                <c:pt idx="167">
                  <c:v>1.1355193960688723</c:v>
                </c:pt>
                <c:pt idx="168">
                  <c:v>1.4899713382195898</c:v>
                </c:pt>
                <c:pt idx="169">
                  <c:v>1.7163941266485381</c:v>
                </c:pt>
                <c:pt idx="170">
                  <c:v>1.8838035007549934</c:v>
                </c:pt>
                <c:pt idx="171">
                  <c:v>2.0309897226246676</c:v>
                </c:pt>
                <c:pt idx="172">
                  <c:v>2.2611670791023357</c:v>
                </c:pt>
                <c:pt idx="173">
                  <c:v>2.1070192292873742</c:v>
                </c:pt>
                <c:pt idx="174">
                  <c:v>1.9263390708364909</c:v>
                </c:pt>
                <c:pt idx="175">
                  <c:v>1.8114889287927838</c:v>
                </c:pt>
                <c:pt idx="176">
                  <c:v>1.9529426473762896</c:v>
                </c:pt>
                <c:pt idx="177">
                  <c:v>1.9330224252137498</c:v>
                </c:pt>
                <c:pt idx="178">
                  <c:v>1.739033391608217</c:v>
                </c:pt>
                <c:pt idx="179">
                  <c:v>1.3773720873120112</c:v>
                </c:pt>
                <c:pt idx="180">
                  <c:v>1.2921118393612971</c:v>
                </c:pt>
                <c:pt idx="181">
                  <c:v>1.174690142655038</c:v>
                </c:pt>
                <c:pt idx="182">
                  <c:v>1.0270271022993995</c:v>
                </c:pt>
                <c:pt idx="183">
                  <c:v>0.82145603532791256</c:v>
                </c:pt>
                <c:pt idx="184">
                  <c:v>0.72681823601598694</c:v>
                </c:pt>
                <c:pt idx="185">
                  <c:v>0.67151149027571932</c:v>
                </c:pt>
                <c:pt idx="186">
                  <c:v>0.5926072138094014</c:v>
                </c:pt>
                <c:pt idx="187">
                  <c:v>0.5112707326599093</c:v>
                </c:pt>
                <c:pt idx="188">
                  <c:v>0.3523743929255545</c:v>
                </c:pt>
                <c:pt idx="189">
                  <c:v>8.0277552473603464E-2</c:v>
                </c:pt>
                <c:pt idx="190">
                  <c:v>-0.23273595560101512</c:v>
                </c:pt>
                <c:pt idx="191">
                  <c:v>-0.61572105787482201</c:v>
                </c:pt>
                <c:pt idx="192">
                  <c:v>-0.82580088378310279</c:v>
                </c:pt>
                <c:pt idx="193">
                  <c:v>-0.89243549514961273</c:v>
                </c:pt>
                <c:pt idx="194">
                  <c:v>-0.95999895995072393</c:v>
                </c:pt>
                <c:pt idx="195">
                  <c:v>-0.83128088867007932</c:v>
                </c:pt>
                <c:pt idx="196">
                  <c:v>-0.60768375716912715</c:v>
                </c:pt>
                <c:pt idx="197">
                  <c:v>-0.3410172438031509</c:v>
                </c:pt>
                <c:pt idx="198">
                  <c:v>-0.2231330268491547</c:v>
                </c:pt>
                <c:pt idx="199">
                  <c:v>-0.13620797907208271</c:v>
                </c:pt>
                <c:pt idx="200">
                  <c:v>-0.14632416125166969</c:v>
                </c:pt>
                <c:pt idx="201">
                  <c:v>-0.29138585200485068</c:v>
                </c:pt>
                <c:pt idx="202">
                  <c:v>-0.38895400456644325</c:v>
                </c:pt>
                <c:pt idx="203">
                  <c:v>-0.47053641464097495</c:v>
                </c:pt>
                <c:pt idx="204">
                  <c:v>-0.52590113575760711</c:v>
                </c:pt>
                <c:pt idx="205">
                  <c:v>-0.6749657903559978</c:v>
                </c:pt>
                <c:pt idx="206">
                  <c:v>-0.69790857341337187</c:v>
                </c:pt>
                <c:pt idx="207">
                  <c:v>-0.87784484420291164</c:v>
                </c:pt>
                <c:pt idx="208">
                  <c:v>-1.0893864256567838</c:v>
                </c:pt>
                <c:pt idx="209">
                  <c:v>-1.3208861099792557</c:v>
                </c:pt>
                <c:pt idx="210">
                  <c:v>-1.4935894397478364</c:v>
                </c:pt>
                <c:pt idx="211">
                  <c:v>-1.6134727956662118</c:v>
                </c:pt>
                <c:pt idx="212">
                  <c:v>-1.6347663332585114</c:v>
                </c:pt>
                <c:pt idx="213">
                  <c:v>-2.0085459842694604</c:v>
                </c:pt>
                <c:pt idx="214">
                  <c:v>-2.090241768004347</c:v>
                </c:pt>
                <c:pt idx="215">
                  <c:v>-1.7874080741441674</c:v>
                </c:pt>
                <c:pt idx="216">
                  <c:v>-1.663792979818993</c:v>
                </c:pt>
                <c:pt idx="217">
                  <c:v>-1.5631396383412266</c:v>
                </c:pt>
                <c:pt idx="218">
                  <c:v>-1.4074352866040272</c:v>
                </c:pt>
                <c:pt idx="219">
                  <c:v>-1.2295195091848257</c:v>
                </c:pt>
                <c:pt idx="220">
                  <c:v>-0.87987587150101376</c:v>
                </c:pt>
                <c:pt idx="221">
                  <c:v>-0.49938725654644145</c:v>
                </c:pt>
                <c:pt idx="222">
                  <c:v>-0.19479489717696197</c:v>
                </c:pt>
                <c:pt idx="223">
                  <c:v>5.6436095459275748E-2</c:v>
                </c:pt>
                <c:pt idx="224">
                  <c:v>0.40100241623738953</c:v>
                </c:pt>
                <c:pt idx="225">
                  <c:v>0.9479873978586113</c:v>
                </c:pt>
                <c:pt idx="226">
                  <c:v>1.454280618241512</c:v>
                </c:pt>
                <c:pt idx="227">
                  <c:v>1.9875384904133853</c:v>
                </c:pt>
                <c:pt idx="228">
                  <c:v>2.3866717123096919</c:v>
                </c:pt>
                <c:pt idx="229">
                  <c:v>2.6642071800368967</c:v>
                </c:pt>
                <c:pt idx="230">
                  <c:v>2.8863878777714831</c:v>
                </c:pt>
                <c:pt idx="231">
                  <c:v>2.6861432634293863</c:v>
                </c:pt>
                <c:pt idx="232">
                  <c:v>2.4739157933502156</c:v>
                </c:pt>
                <c:pt idx="233">
                  <c:v>2.3528382507713275</c:v>
                </c:pt>
                <c:pt idx="234">
                  <c:v>2.054867660422957</c:v>
                </c:pt>
                <c:pt idx="235">
                  <c:v>1.5562882217121796</c:v>
                </c:pt>
                <c:pt idx="236">
                  <c:v>1.2667882258936345</c:v>
                </c:pt>
                <c:pt idx="237">
                  <c:v>0.89391172517090922</c:v>
                </c:pt>
                <c:pt idx="238">
                  <c:v>0.60913484597023171</c:v>
                </c:pt>
                <c:pt idx="239">
                  <c:v>0.39582948652844152</c:v>
                </c:pt>
                <c:pt idx="240">
                  <c:v>0.23058079196263748</c:v>
                </c:pt>
                <c:pt idx="241">
                  <c:v>3.3869355571056303E-2</c:v>
                </c:pt>
                <c:pt idx="242">
                  <c:v>-0.22035036645166883</c:v>
                </c:pt>
                <c:pt idx="243">
                  <c:v>-0.40823931827628712</c:v>
                </c:pt>
                <c:pt idx="244">
                  <c:v>-0.64093591223257818</c:v>
                </c:pt>
                <c:pt idx="245">
                  <c:v>-0.81195534154613824</c:v>
                </c:pt>
                <c:pt idx="246">
                  <c:v>-0.87048104438102314</c:v>
                </c:pt>
                <c:pt idx="247">
                  <c:v>-0.80909256603933954</c:v>
                </c:pt>
                <c:pt idx="248">
                  <c:v>-0.80203216202758654</c:v>
                </c:pt>
                <c:pt idx="249">
                  <c:v>-0.98200441344826572</c:v>
                </c:pt>
                <c:pt idx="250">
                  <c:v>-1.0671450159750293</c:v>
                </c:pt>
                <c:pt idx="251">
                  <c:v>-1.2549087927013716</c:v>
                </c:pt>
                <c:pt idx="252">
                  <c:v>-1.4555224776841271</c:v>
                </c:pt>
                <c:pt idx="253">
                  <c:v>-1.9574788123266558</c:v>
                </c:pt>
                <c:pt idx="254">
                  <c:v>-2.2726015381881268</c:v>
                </c:pt>
                <c:pt idx="255">
                  <c:v>-2.429776305878022</c:v>
                </c:pt>
                <c:pt idx="256">
                  <c:v>-2.8076223340581521</c:v>
                </c:pt>
                <c:pt idx="257">
                  <c:v>-3.0493236685689453</c:v>
                </c:pt>
                <c:pt idx="258">
                  <c:v>-3.1321458119199406</c:v>
                </c:pt>
                <c:pt idx="259">
                  <c:v>-3.168520473383893</c:v>
                </c:pt>
                <c:pt idx="260">
                  <c:v>-3.0931043765435788</c:v>
                </c:pt>
                <c:pt idx="261">
                  <c:v>-2.9485122280044038</c:v>
                </c:pt>
                <c:pt idx="262">
                  <c:v>-2.7545609751260827</c:v>
                </c:pt>
                <c:pt idx="263">
                  <c:v>-2.3303021761458922</c:v>
                </c:pt>
                <c:pt idx="264">
                  <c:v>-1.8588708985842288</c:v>
                </c:pt>
                <c:pt idx="265">
                  <c:v>-1.6302695170350034</c:v>
                </c:pt>
                <c:pt idx="266">
                  <c:v>-0.99064997859002801</c:v>
                </c:pt>
                <c:pt idx="267">
                  <c:v>-0.75504321794406337</c:v>
                </c:pt>
                <c:pt idx="268">
                  <c:v>-0.55865566224773033</c:v>
                </c:pt>
                <c:pt idx="269">
                  <c:v>-0.30429326775913523</c:v>
                </c:pt>
                <c:pt idx="270">
                  <c:v>-0.21481511517970375</c:v>
                </c:pt>
                <c:pt idx="271">
                  <c:v>7.8705546985730734E-2</c:v>
                </c:pt>
                <c:pt idx="272">
                  <c:v>0.2575185381753613</c:v>
                </c:pt>
                <c:pt idx="273">
                  <c:v>0.46487893254698065</c:v>
                </c:pt>
                <c:pt idx="274">
                  <c:v>0.61167264400572208</c:v>
                </c:pt>
                <c:pt idx="275">
                  <c:v>0.64711874108584766</c:v>
                </c:pt>
                <c:pt idx="276">
                  <c:v>0.63241561211918906</c:v>
                </c:pt>
                <c:pt idx="277">
                  <c:v>0.76525600267666505</c:v>
                </c:pt>
                <c:pt idx="278">
                  <c:v>0.87257817758438705</c:v>
                </c:pt>
                <c:pt idx="279">
                  <c:v>1.0615903866706731</c:v>
                </c:pt>
                <c:pt idx="280">
                  <c:v>0.54903197057961961</c:v>
                </c:pt>
                <c:pt idx="281">
                  <c:v>0.34381917198314227</c:v>
                </c:pt>
                <c:pt idx="282">
                  <c:v>0.263680151179841</c:v>
                </c:pt>
                <c:pt idx="283">
                  <c:v>0.25532416449715356</c:v>
                </c:pt>
                <c:pt idx="284">
                  <c:v>0.48677945510758036</c:v>
                </c:pt>
                <c:pt idx="285">
                  <c:v>0.68730107076979152</c:v>
                </c:pt>
                <c:pt idx="286">
                  <c:v>1.0048914981886981</c:v>
                </c:pt>
                <c:pt idx="287">
                  <c:v>1.1345718444777049</c:v>
                </c:pt>
                <c:pt idx="288">
                  <c:v>1.2766909551659182</c:v>
                </c:pt>
                <c:pt idx="289">
                  <c:v>1.5226624412587739</c:v>
                </c:pt>
                <c:pt idx="290">
                  <c:v>1.8376240051063633</c:v>
                </c:pt>
                <c:pt idx="291">
                  <c:v>1.8711964667521102</c:v>
                </c:pt>
                <c:pt idx="292">
                  <c:v>1.9902495752580478</c:v>
                </c:pt>
                <c:pt idx="293">
                  <c:v>2.0648324998680323</c:v>
                </c:pt>
                <c:pt idx="294">
                  <c:v>2.2026415433673492</c:v>
                </c:pt>
                <c:pt idx="295">
                  <c:v>2.3102396082928465</c:v>
                </c:pt>
                <c:pt idx="296">
                  <c:v>2.1177282391228687</c:v>
                </c:pt>
                <c:pt idx="297">
                  <c:v>1.5638492092703586</c:v>
                </c:pt>
                <c:pt idx="298">
                  <c:v>1.1296266165452096</c:v>
                </c:pt>
                <c:pt idx="299">
                  <c:v>0.7270918032529039</c:v>
                </c:pt>
                <c:pt idx="300">
                  <c:v>0.54622160134869091</c:v>
                </c:pt>
                <c:pt idx="301">
                  <c:v>0.23475666707781784</c:v>
                </c:pt>
                <c:pt idx="302">
                  <c:v>5.6660132625438564E-2</c:v>
                </c:pt>
                <c:pt idx="303">
                  <c:v>-0.16488741012358332</c:v>
                </c:pt>
                <c:pt idx="304">
                  <c:v>-0.40518947455518628</c:v>
                </c:pt>
                <c:pt idx="305">
                  <c:v>-0.67180574184993702</c:v>
                </c:pt>
                <c:pt idx="306">
                  <c:v>-1.0963990482278803</c:v>
                </c:pt>
                <c:pt idx="307">
                  <c:v>-1.1190131880028673</c:v>
                </c:pt>
                <c:pt idx="308">
                  <c:v>-0.95406400192342744</c:v>
                </c:pt>
                <c:pt idx="309">
                  <c:v>-0.86820279913271747</c:v>
                </c:pt>
                <c:pt idx="310">
                  <c:v>-0.60038330635788384</c:v>
                </c:pt>
                <c:pt idx="311">
                  <c:v>-0.37254315325668586</c:v>
                </c:pt>
                <c:pt idx="312">
                  <c:v>-0.27434880933688532</c:v>
                </c:pt>
                <c:pt idx="313">
                  <c:v>3.6251873897583664E-2</c:v>
                </c:pt>
                <c:pt idx="314">
                  <c:v>-0.41004390845597527</c:v>
                </c:pt>
                <c:pt idx="315">
                  <c:v>-1.0358307019414781</c:v>
                </c:pt>
                <c:pt idx="316">
                  <c:v>-1.6610957885533253</c:v>
                </c:pt>
                <c:pt idx="317">
                  <c:v>-1.8185417021261117</c:v>
                </c:pt>
                <c:pt idx="318">
                  <c:v>-1.8222552617386611</c:v>
                </c:pt>
                <c:pt idx="319">
                  <c:v>-1.5371618367998963</c:v>
                </c:pt>
                <c:pt idx="320">
                  <c:v>-1.1191865114285235</c:v>
                </c:pt>
                <c:pt idx="321">
                  <c:v>-0.83160827632070777</c:v>
                </c:pt>
                <c:pt idx="322">
                  <c:v>-0.76274660179097964</c:v>
                </c:pt>
                <c:pt idx="323">
                  <c:v>-0.36186926018746135</c:v>
                </c:pt>
                <c:pt idx="324">
                  <c:v>-0.43295545397171509</c:v>
                </c:pt>
                <c:pt idx="325">
                  <c:v>-0.31380127013920855</c:v>
                </c:pt>
                <c:pt idx="326">
                  <c:v>-0.38838074126599054</c:v>
                </c:pt>
                <c:pt idx="327">
                  <c:v>-0.93697285407171194</c:v>
                </c:pt>
                <c:pt idx="328">
                  <c:v>-1.237243337277647</c:v>
                </c:pt>
                <c:pt idx="329">
                  <c:v>-1.3921875239799704</c:v>
                </c:pt>
                <c:pt idx="330">
                  <c:v>-1.4650106044563813</c:v>
                </c:pt>
                <c:pt idx="331">
                  <c:v>-1.4806411022147756</c:v>
                </c:pt>
                <c:pt idx="332">
                  <c:v>-1.6826235024275888</c:v>
                </c:pt>
                <c:pt idx="333">
                  <c:v>-1.7786197019968313</c:v>
                </c:pt>
                <c:pt idx="334">
                  <c:v>-1.9683760440867388</c:v>
                </c:pt>
                <c:pt idx="335">
                  <c:v>-2.0611096335408376</c:v>
                </c:pt>
                <c:pt idx="336">
                  <c:v>-2.1070848431297691</c:v>
                </c:pt>
                <c:pt idx="337">
                  <c:v>-2.1701470746523626</c:v>
                </c:pt>
                <c:pt idx="338">
                  <c:v>-2.2737981440828605</c:v>
                </c:pt>
                <c:pt idx="339">
                  <c:v>-2.07063247888928</c:v>
                </c:pt>
                <c:pt idx="340">
                  <c:v>-2.0609655619554417</c:v>
                </c:pt>
                <c:pt idx="341">
                  <c:v>-2.0865431562442041</c:v>
                </c:pt>
                <c:pt idx="342">
                  <c:v>-1.732604882182784</c:v>
                </c:pt>
                <c:pt idx="343">
                  <c:v>-1.3661563212265833</c:v>
                </c:pt>
                <c:pt idx="344">
                  <c:v>-0.94462361596202982</c:v>
                </c:pt>
                <c:pt idx="345">
                  <c:v>-0.53419629855002881</c:v>
                </c:pt>
                <c:pt idx="346">
                  <c:v>-0.22330086412699757</c:v>
                </c:pt>
                <c:pt idx="347">
                  <c:v>-9.0859127798523787E-3</c:v>
                </c:pt>
                <c:pt idx="348">
                  <c:v>0.22506068343548691</c:v>
                </c:pt>
                <c:pt idx="349">
                  <c:v>0.55751102880719827</c:v>
                </c:pt>
                <c:pt idx="350">
                  <c:v>0.77971558966760313</c:v>
                </c:pt>
                <c:pt idx="351">
                  <c:v>1.0406483300605771</c:v>
                </c:pt>
                <c:pt idx="352">
                  <c:v>1.3393204391427105</c:v>
                </c:pt>
                <c:pt idx="353">
                  <c:v>1.389740804501713</c:v>
                </c:pt>
                <c:pt idx="354">
                  <c:v>1.3392184035208743</c:v>
                </c:pt>
                <c:pt idx="355">
                  <c:v>1.2125787058461697</c:v>
                </c:pt>
                <c:pt idx="356">
                  <c:v>0.84825895745893831</c:v>
                </c:pt>
                <c:pt idx="357">
                  <c:v>0.65047842573147818</c:v>
                </c:pt>
                <c:pt idx="358">
                  <c:v>0.37164207266036442</c:v>
                </c:pt>
                <c:pt idx="359">
                  <c:v>0.17128148751731942</c:v>
                </c:pt>
                <c:pt idx="360">
                  <c:v>-4.5881722922558765E-2</c:v>
                </c:pt>
                <c:pt idx="361">
                  <c:v>-0.13014484537066551</c:v>
                </c:pt>
                <c:pt idx="362">
                  <c:v>-0.42601886044684534</c:v>
                </c:pt>
                <c:pt idx="363">
                  <c:v>-0.60511082256698501</c:v>
                </c:pt>
                <c:pt idx="364">
                  <c:v>-0.92679129633555135</c:v>
                </c:pt>
                <c:pt idx="365">
                  <c:v>-1.2081444732615125</c:v>
                </c:pt>
                <c:pt idx="366">
                  <c:v>-1.3302514412432629</c:v>
                </c:pt>
                <c:pt idx="367">
                  <c:v>-1.2552041775110752</c:v>
                </c:pt>
                <c:pt idx="368">
                  <c:v>-1.2355494360968464</c:v>
                </c:pt>
                <c:pt idx="369">
                  <c:v>-1.3169532775974062</c:v>
                </c:pt>
                <c:pt idx="370">
                  <c:v>-1.3928457086580011</c:v>
                </c:pt>
                <c:pt idx="371">
                  <c:v>-1.3383130468546938</c:v>
                </c:pt>
                <c:pt idx="372">
                  <c:v>-1.3234135192668646</c:v>
                </c:pt>
                <c:pt idx="373">
                  <c:v>-1.1450915131023862</c:v>
                </c:pt>
                <c:pt idx="374">
                  <c:v>-0.99392650527437354</c:v>
                </c:pt>
                <c:pt idx="375">
                  <c:v>-0.89368125406696208</c:v>
                </c:pt>
                <c:pt idx="376">
                  <c:v>-0.83128191190652956</c:v>
                </c:pt>
                <c:pt idx="377">
                  <c:v>-0.98112536848279319</c:v>
                </c:pt>
                <c:pt idx="378">
                  <c:v>-1.1168588416581144</c:v>
                </c:pt>
                <c:pt idx="379">
                  <c:v>-1.1330960774318726</c:v>
                </c:pt>
                <c:pt idx="380">
                  <c:v>-1.2477765775117575</c:v>
                </c:pt>
                <c:pt idx="381">
                  <c:v>-1.585856438514412</c:v>
                </c:pt>
                <c:pt idx="382">
                  <c:v>-1.9188152305989092</c:v>
                </c:pt>
                <c:pt idx="383">
                  <c:v>-2.0740528570970298</c:v>
                </c:pt>
                <c:pt idx="384">
                  <c:v>-2.0212726173779458</c:v>
                </c:pt>
                <c:pt idx="385">
                  <c:v>-1.998367613411375</c:v>
                </c:pt>
                <c:pt idx="386">
                  <c:v>-1.9632327229713553</c:v>
                </c:pt>
                <c:pt idx="387">
                  <c:v>-1.6508822222224069</c:v>
                </c:pt>
                <c:pt idx="388">
                  <c:v>-1.3905405795020158</c:v>
                </c:pt>
                <c:pt idx="389">
                  <c:v>-1.1284433884304406</c:v>
                </c:pt>
                <c:pt idx="390">
                  <c:v>-0.9509205932783118</c:v>
                </c:pt>
                <c:pt idx="391">
                  <c:v>-0.89592785527275964</c:v>
                </c:pt>
                <c:pt idx="392">
                  <c:v>-0.88251841261572395</c:v>
                </c:pt>
                <c:pt idx="393">
                  <c:v>-1.1595051066865381</c:v>
                </c:pt>
                <c:pt idx="394">
                  <c:v>-1.555554452677228</c:v>
                </c:pt>
                <c:pt idx="395">
                  <c:v>-1.833763433693548</c:v>
                </c:pt>
                <c:pt idx="396">
                  <c:v>-2.0220609153024327</c:v>
                </c:pt>
                <c:pt idx="397">
                  <c:v>-2.1664870229412543</c:v>
                </c:pt>
                <c:pt idx="398">
                  <c:v>-2.0674876825108015</c:v>
                </c:pt>
                <c:pt idx="399">
                  <c:v>-1.9161065732560303</c:v>
                </c:pt>
                <c:pt idx="400">
                  <c:v>-1.7740717261389705</c:v>
                </c:pt>
                <c:pt idx="401">
                  <c:v>-1.5253085641396922</c:v>
                </c:pt>
                <c:pt idx="402">
                  <c:v>-1.3042512883380937</c:v>
                </c:pt>
                <c:pt idx="403">
                  <c:v>-1.0906679379141906</c:v>
                </c:pt>
                <c:pt idx="404">
                  <c:v>-1.0441206640731195</c:v>
                </c:pt>
                <c:pt idx="405">
                  <c:v>-0.94629450178649677</c:v>
                </c:pt>
                <c:pt idx="406">
                  <c:v>-0.75037606122819511</c:v>
                </c:pt>
                <c:pt idx="407">
                  <c:v>-0.37453823958020394</c:v>
                </c:pt>
                <c:pt idx="408">
                  <c:v>1.2736842788768854E-2</c:v>
                </c:pt>
                <c:pt idx="409">
                  <c:v>0.25379011994064626</c:v>
                </c:pt>
                <c:pt idx="410">
                  <c:v>0.43497100523129006</c:v>
                </c:pt>
                <c:pt idx="411">
                  <c:v>0.3709392657270314</c:v>
                </c:pt>
                <c:pt idx="412">
                  <c:v>0.30218574599314252</c:v>
                </c:pt>
                <c:pt idx="413">
                  <c:v>0.32384967502224526</c:v>
                </c:pt>
                <c:pt idx="414">
                  <c:v>0.232630819702905</c:v>
                </c:pt>
                <c:pt idx="415">
                  <c:v>0.26939518297459131</c:v>
                </c:pt>
                <c:pt idx="416">
                  <c:v>0.37091261650115825</c:v>
                </c:pt>
                <c:pt idx="417">
                  <c:v>0.46058111722422268</c:v>
                </c:pt>
                <c:pt idx="418">
                  <c:v>0.60695294978819447</c:v>
                </c:pt>
                <c:pt idx="419">
                  <c:v>0.78092571946322664</c:v>
                </c:pt>
                <c:pt idx="420">
                  <c:v>0.82775993251956947</c:v>
                </c:pt>
                <c:pt idx="421">
                  <c:v>0.89091767856064052</c:v>
                </c:pt>
                <c:pt idx="422">
                  <c:v>0.7619282467858568</c:v>
                </c:pt>
                <c:pt idx="423">
                  <c:v>0.75429346979095158</c:v>
                </c:pt>
                <c:pt idx="424">
                  <c:v>0.68148225169193211</c:v>
                </c:pt>
                <c:pt idx="425">
                  <c:v>0.53131412068339046</c:v>
                </c:pt>
                <c:pt idx="426">
                  <c:v>0.50492810213617645</c:v>
                </c:pt>
                <c:pt idx="427">
                  <c:v>0.66038147105632561</c:v>
                </c:pt>
                <c:pt idx="428">
                  <c:v>0.53453574618112043</c:v>
                </c:pt>
                <c:pt idx="429">
                  <c:v>0.32773883072411536</c:v>
                </c:pt>
                <c:pt idx="430">
                  <c:v>-7.4939537006855517E-2</c:v>
                </c:pt>
                <c:pt idx="431">
                  <c:v>-0.43504436030599436</c:v>
                </c:pt>
                <c:pt idx="432">
                  <c:v>-0.71860176476761239</c:v>
                </c:pt>
                <c:pt idx="433">
                  <c:v>-0.95411139202650475</c:v>
                </c:pt>
                <c:pt idx="434">
                  <c:v>-1.099834189542463</c:v>
                </c:pt>
                <c:pt idx="435">
                  <c:v>-1.1193055073735536</c:v>
                </c:pt>
                <c:pt idx="436">
                  <c:v>-1.1122325454762461</c:v>
                </c:pt>
                <c:pt idx="437">
                  <c:v>-1.1315089138418841</c:v>
                </c:pt>
                <c:pt idx="438">
                  <c:v>-1.2238592433153599</c:v>
                </c:pt>
                <c:pt idx="439">
                  <c:v>-1.2647165186200198</c:v>
                </c:pt>
                <c:pt idx="440">
                  <c:v>-1.4306905489172266</c:v>
                </c:pt>
                <c:pt idx="441">
                  <c:v>-1.3745084866267803</c:v>
                </c:pt>
                <c:pt idx="442">
                  <c:v>-1.4624056345573422</c:v>
                </c:pt>
                <c:pt idx="443">
                  <c:v>-1.5233802588954006</c:v>
                </c:pt>
                <c:pt idx="444">
                  <c:v>-1.6247890926771618</c:v>
                </c:pt>
                <c:pt idx="445">
                  <c:v>-1.8612229186579725</c:v>
                </c:pt>
                <c:pt idx="446">
                  <c:v>-1.8920332048975581</c:v>
                </c:pt>
                <c:pt idx="447">
                  <c:v>-2.0334141048870151</c:v>
                </c:pt>
                <c:pt idx="448">
                  <c:v>-1.9471066720595331</c:v>
                </c:pt>
                <c:pt idx="449">
                  <c:v>-1.7137078950914315</c:v>
                </c:pt>
                <c:pt idx="450">
                  <c:v>-1.4666438060698113</c:v>
                </c:pt>
                <c:pt idx="451">
                  <c:v>-1.2834836929495168</c:v>
                </c:pt>
                <c:pt idx="452">
                  <c:v>-1.0790877787618172</c:v>
                </c:pt>
                <c:pt idx="453">
                  <c:v>-0.90585351233258393</c:v>
                </c:pt>
                <c:pt idx="454">
                  <c:v>-0.73746936043124833</c:v>
                </c:pt>
                <c:pt idx="455">
                  <c:v>-0.65696930568881839</c:v>
                </c:pt>
                <c:pt idx="456">
                  <c:v>-0.61592830205086102</c:v>
                </c:pt>
                <c:pt idx="457">
                  <c:v>-0.78416195102911956</c:v>
                </c:pt>
                <c:pt idx="458">
                  <c:v>-0.84241723782369604</c:v>
                </c:pt>
                <c:pt idx="459">
                  <c:v>-0.81543870482428815</c:v>
                </c:pt>
                <c:pt idx="460">
                  <c:v>-0.97247331623702848</c:v>
                </c:pt>
                <c:pt idx="461">
                  <c:v>-1.1522300822585407</c:v>
                </c:pt>
                <c:pt idx="462">
                  <c:v>-1.3900197982895577</c:v>
                </c:pt>
                <c:pt idx="463">
                  <c:v>-1.5333590937749761</c:v>
                </c:pt>
                <c:pt idx="464">
                  <c:v>-1.5603815150951448</c:v>
                </c:pt>
                <c:pt idx="465">
                  <c:v>-1.681833480344892</c:v>
                </c:pt>
                <c:pt idx="466">
                  <c:v>-1.5153148379583001</c:v>
                </c:pt>
                <c:pt idx="467">
                  <c:v>-1.4098621712684576</c:v>
                </c:pt>
                <c:pt idx="468">
                  <c:v>-1.3151643592319999</c:v>
                </c:pt>
                <c:pt idx="469">
                  <c:v>-1.2491171918617852</c:v>
                </c:pt>
                <c:pt idx="470">
                  <c:v>-1.3307142294849825</c:v>
                </c:pt>
                <c:pt idx="471">
                  <c:v>-1.2861453646087568</c:v>
                </c:pt>
                <c:pt idx="472">
                  <c:v>-1.2365698110492076</c:v>
                </c:pt>
                <c:pt idx="473">
                  <c:v>-1.0879101059977359</c:v>
                </c:pt>
                <c:pt idx="474">
                  <c:v>-0.74126321336768797</c:v>
                </c:pt>
                <c:pt idx="475">
                  <c:v>-0.77552831784990417</c:v>
                </c:pt>
                <c:pt idx="476">
                  <c:v>-0.67308042742601515</c:v>
                </c:pt>
                <c:pt idx="477">
                  <c:v>-0.60428985313461681</c:v>
                </c:pt>
                <c:pt idx="478">
                  <c:v>-0.55068709717258457</c:v>
                </c:pt>
                <c:pt idx="479">
                  <c:v>-0.55985089694968337</c:v>
                </c:pt>
                <c:pt idx="480">
                  <c:v>-0.68669033099780563</c:v>
                </c:pt>
                <c:pt idx="481">
                  <c:v>-0.71043415732043513</c:v>
                </c:pt>
                <c:pt idx="482">
                  <c:v>-0.82863306219064725</c:v>
                </c:pt>
                <c:pt idx="483">
                  <c:v>-1.0641606023346526</c:v>
                </c:pt>
                <c:pt idx="484">
                  <c:v>-1.6441988676630217</c:v>
                </c:pt>
                <c:pt idx="485">
                  <c:v>-1.9770015100979492</c:v>
                </c:pt>
                <c:pt idx="486">
                  <c:v>-2.2000576942267571</c:v>
                </c:pt>
                <c:pt idx="487">
                  <c:v>-2.2747591753051495</c:v>
                </c:pt>
                <c:pt idx="488">
                  <c:v>-2.141436869308933</c:v>
                </c:pt>
                <c:pt idx="489">
                  <c:v>-1.8299001695192203</c:v>
                </c:pt>
                <c:pt idx="490">
                  <c:v>-1.5585833800028297</c:v>
                </c:pt>
                <c:pt idx="491">
                  <c:v>-1.120844204398793</c:v>
                </c:pt>
                <c:pt idx="492">
                  <c:v>-0.94779107018592867</c:v>
                </c:pt>
                <c:pt idx="493">
                  <c:v>-0.88596549699713023</c:v>
                </c:pt>
                <c:pt idx="494">
                  <c:v>-0.96862676590049546</c:v>
                </c:pt>
                <c:pt idx="495">
                  <c:v>-0.98326306756669624</c:v>
                </c:pt>
                <c:pt idx="496">
                  <c:v>-0.87902355385710962</c:v>
                </c:pt>
                <c:pt idx="497">
                  <c:v>-0.76739403680420537</c:v>
                </c:pt>
                <c:pt idx="498">
                  <c:v>-0.68475103584475505</c:v>
                </c:pt>
                <c:pt idx="499">
                  <c:v>-0.65368029679282813</c:v>
                </c:pt>
                <c:pt idx="500">
                  <c:v>-0.68091911609067779</c:v>
                </c:pt>
                <c:pt idx="501">
                  <c:v>-0.81575387062784444</c:v>
                </c:pt>
                <c:pt idx="502">
                  <c:v>-1.0253736484489764</c:v>
                </c:pt>
                <c:pt idx="503">
                  <c:v>-1.214615655021646</c:v>
                </c:pt>
                <c:pt idx="504">
                  <c:v>-1.4982141997151075</c:v>
                </c:pt>
                <c:pt idx="505">
                  <c:v>-1.4249285672132146</c:v>
                </c:pt>
                <c:pt idx="506">
                  <c:v>-1.3241500395583046</c:v>
                </c:pt>
                <c:pt idx="507">
                  <c:v>-1.1032648678678925</c:v>
                </c:pt>
                <c:pt idx="508">
                  <c:v>-0.85541164369030298</c:v>
                </c:pt>
                <c:pt idx="509">
                  <c:v>-0.48315727553188026</c:v>
                </c:pt>
                <c:pt idx="510">
                  <c:v>-0.32320690417665787</c:v>
                </c:pt>
                <c:pt idx="511">
                  <c:v>-0.2021836000757844</c:v>
                </c:pt>
                <c:pt idx="512">
                  <c:v>9.1976351571048554E-2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D9-4A54-B092-251A3BCC8C3B}"/>
            </c:ext>
          </c:extLst>
        </c:ser>
        <c:ser>
          <c:idx val="1"/>
          <c:order val="1"/>
          <c:tx>
            <c:strRef>
              <c:f>Data!$Z$1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Data!$Z$2:$Z$514</c:f>
              <c:numCache>
                <c:formatCode>General</c:formatCode>
                <c:ptCount val="513"/>
                <c:pt idx="34">
                  <c:v>2.7855063450234638</c:v>
                </c:pt>
                <c:pt idx="35">
                  <c:v>2.7410186856606518</c:v>
                </c:pt>
                <c:pt idx="36">
                  <c:v>2.6944872714396264</c:v>
                </c:pt>
                <c:pt idx="37">
                  <c:v>2.6282947806821597</c:v>
                </c:pt>
                <c:pt idx="38">
                  <c:v>2.5592244243046753</c:v>
                </c:pt>
                <c:pt idx="39">
                  <c:v>2.4684286678744813</c:v>
                </c:pt>
                <c:pt idx="40">
                  <c:v>2.3617135694853726</c:v>
                </c:pt>
                <c:pt idx="41">
                  <c:v>2.2565595301384507</c:v>
                </c:pt>
                <c:pt idx="42">
                  <c:v>2.1489240654045014</c:v>
                </c:pt>
                <c:pt idx="43">
                  <c:v>2.0444664915925905</c:v>
                </c:pt>
                <c:pt idx="44">
                  <c:v>1.9595689809365611</c:v>
                </c:pt>
                <c:pt idx="45">
                  <c:v>1.8826078603250225</c:v>
                </c:pt>
                <c:pt idx="46">
                  <c:v>1.8295099993738224</c:v>
                </c:pt>
                <c:pt idx="47">
                  <c:v>1.7960454995829622</c:v>
                </c:pt>
                <c:pt idx="48">
                  <c:v>1.7784506574894203</c:v>
                </c:pt>
                <c:pt idx="49">
                  <c:v>1.7549079785353043</c:v>
                </c:pt>
                <c:pt idx="50">
                  <c:v>1.7229571366199401</c:v>
                </c:pt>
                <c:pt idx="51">
                  <c:v>1.6807719184381149</c:v>
                </c:pt>
                <c:pt idx="52">
                  <c:v>1.6404443290345656</c:v>
                </c:pt>
                <c:pt idx="53">
                  <c:v>1.6022089063347724</c:v>
                </c:pt>
                <c:pt idx="54">
                  <c:v>1.5615633449666966</c:v>
                </c:pt>
                <c:pt idx="55">
                  <c:v>1.5147878609381649</c:v>
                </c:pt>
                <c:pt idx="56">
                  <c:v>1.4397168089098398</c:v>
                </c:pt>
                <c:pt idx="57">
                  <c:v>1.35330817554316</c:v>
                </c:pt>
                <c:pt idx="58">
                  <c:v>1.2941046829715712</c:v>
                </c:pt>
                <c:pt idx="59">
                  <c:v>1.2463632744223785</c:v>
                </c:pt>
                <c:pt idx="60">
                  <c:v>1.1788241729463775</c:v>
                </c:pt>
                <c:pt idx="61">
                  <c:v>1.0995704494900564</c:v>
                </c:pt>
                <c:pt idx="62">
                  <c:v>0.94410417707741545</c:v>
                </c:pt>
                <c:pt idx="63">
                  <c:v>0.73569925879679832</c:v>
                </c:pt>
                <c:pt idx="64">
                  <c:v>0.5137319160101177</c:v>
                </c:pt>
                <c:pt idx="65">
                  <c:v>0.29277163927224187</c:v>
                </c:pt>
                <c:pt idx="66">
                  <c:v>9.3250126954020685E-2</c:v>
                </c:pt>
                <c:pt idx="67">
                  <c:v>-7.33337104427884E-2</c:v>
                </c:pt>
                <c:pt idx="68">
                  <c:v>-0.23270929126077208</c:v>
                </c:pt>
                <c:pt idx="69">
                  <c:v>-0.38681850578987309</c:v>
                </c:pt>
                <c:pt idx="70">
                  <c:v>-0.52675203674199134</c:v>
                </c:pt>
                <c:pt idx="71">
                  <c:v>-0.6412871945150489</c:v>
                </c:pt>
                <c:pt idx="72">
                  <c:v>-0.71632343844757229</c:v>
                </c:pt>
                <c:pt idx="73">
                  <c:v>-0.75577140122899056</c:v>
                </c:pt>
                <c:pt idx="74">
                  <c:v>-0.75556158198931489</c:v>
                </c:pt>
                <c:pt idx="75">
                  <c:v>-0.69049335637863818</c:v>
                </c:pt>
                <c:pt idx="76">
                  <c:v>-0.57129410872954023</c:v>
                </c:pt>
                <c:pt idx="77">
                  <c:v>-0.40556325430353674</c:v>
                </c:pt>
                <c:pt idx="78">
                  <c:v>-0.21922853556721367</c:v>
                </c:pt>
                <c:pt idx="79">
                  <c:v>-4.9350585628675087E-2</c:v>
                </c:pt>
                <c:pt idx="80">
                  <c:v>0.10732291147260029</c:v>
                </c:pt>
                <c:pt idx="81">
                  <c:v>0.27183221968487592</c:v>
                </c:pt>
                <c:pt idx="82">
                  <c:v>0.4352003352976237</c:v>
                </c:pt>
                <c:pt idx="83">
                  <c:v>0.59531718034795156</c:v>
                </c:pt>
                <c:pt idx="84">
                  <c:v>0.7535374920166904</c:v>
                </c:pt>
                <c:pt idx="85">
                  <c:v>0.90023837043111166</c:v>
                </c:pt>
                <c:pt idx="86">
                  <c:v>1.051036792506159</c:v>
                </c:pt>
                <c:pt idx="87">
                  <c:v>1.1830943006357693</c:v>
                </c:pt>
                <c:pt idx="88">
                  <c:v>1.3092619664346359</c:v>
                </c:pt>
                <c:pt idx="89">
                  <c:v>1.4350630797075519</c:v>
                </c:pt>
                <c:pt idx="90">
                  <c:v>1.5351336160468563</c:v>
                </c:pt>
                <c:pt idx="91">
                  <c:v>1.6085769965830994</c:v>
                </c:pt>
                <c:pt idx="92">
                  <c:v>1.6697805079575032</c:v>
                </c:pt>
                <c:pt idx="93">
                  <c:v>1.7378366112656398</c:v>
                </c:pt>
                <c:pt idx="94">
                  <c:v>1.7991493203730253</c:v>
                </c:pt>
                <c:pt idx="95">
                  <c:v>1.8436557046142068</c:v>
                </c:pt>
                <c:pt idx="96">
                  <c:v>1.887685640125204</c:v>
                </c:pt>
                <c:pt idx="97">
                  <c:v>1.9161910227981809</c:v>
                </c:pt>
                <c:pt idx="98">
                  <c:v>1.8920899852894424</c:v>
                </c:pt>
                <c:pt idx="99">
                  <c:v>1.8294145166181615</c:v>
                </c:pt>
                <c:pt idx="100">
                  <c:v>1.7062584842844872</c:v>
                </c:pt>
                <c:pt idx="101">
                  <c:v>1.5244680935513353</c:v>
                </c:pt>
                <c:pt idx="102">
                  <c:v>1.3268196112705035</c:v>
                </c:pt>
                <c:pt idx="103">
                  <c:v>1.1578392094582246</c:v>
                </c:pt>
                <c:pt idx="104">
                  <c:v>1.0148016729703333</c:v>
                </c:pt>
                <c:pt idx="105">
                  <c:v>0.9308623692584187</c:v>
                </c:pt>
                <c:pt idx="106">
                  <c:v>0.87092706698128242</c:v>
                </c:pt>
                <c:pt idx="107">
                  <c:v>0.86580358300603966</c:v>
                </c:pt>
                <c:pt idx="108">
                  <c:v>0.87083459836173216</c:v>
                </c:pt>
                <c:pt idx="109">
                  <c:v>0.88460849545979281</c:v>
                </c:pt>
                <c:pt idx="110">
                  <c:v>0.90319808338505725</c:v>
                </c:pt>
                <c:pt idx="111">
                  <c:v>0.88507782828311898</c:v>
                </c:pt>
                <c:pt idx="112">
                  <c:v>0.86250510869475339</c:v>
                </c:pt>
                <c:pt idx="113">
                  <c:v>0.84242182433846313</c:v>
                </c:pt>
                <c:pt idx="114">
                  <c:v>0.8343592542948195</c:v>
                </c:pt>
                <c:pt idx="115">
                  <c:v>0.84926369574448202</c:v>
                </c:pt>
                <c:pt idx="116">
                  <c:v>0.86164702565357554</c:v>
                </c:pt>
                <c:pt idx="117">
                  <c:v>0.87925025462312822</c:v>
                </c:pt>
                <c:pt idx="118">
                  <c:v>0.90022977469400134</c:v>
                </c:pt>
                <c:pt idx="119">
                  <c:v>0.89464683622707386</c:v>
                </c:pt>
                <c:pt idx="120">
                  <c:v>0.88024129867322842</c:v>
                </c:pt>
                <c:pt idx="121">
                  <c:v>0.84581267580009745</c:v>
                </c:pt>
                <c:pt idx="122">
                  <c:v>0.77158849096110227</c:v>
                </c:pt>
                <c:pt idx="123">
                  <c:v>0.63945385192204895</c:v>
                </c:pt>
                <c:pt idx="124">
                  <c:v>0.49531754437236375</c:v>
                </c:pt>
                <c:pt idx="125">
                  <c:v>0.34896894893401054</c:v>
                </c:pt>
                <c:pt idx="126">
                  <c:v>0.23012729270195881</c:v>
                </c:pt>
                <c:pt idx="127">
                  <c:v>0.15513210731290933</c:v>
                </c:pt>
                <c:pt idx="128">
                  <c:v>9.7476036769353819E-2</c:v>
                </c:pt>
                <c:pt idx="129">
                  <c:v>7.1676080569377854E-2</c:v>
                </c:pt>
                <c:pt idx="130">
                  <c:v>4.6929467632113343E-2</c:v>
                </c:pt>
                <c:pt idx="131">
                  <c:v>4.110459150890787E-2</c:v>
                </c:pt>
                <c:pt idx="132">
                  <c:v>1.4963693011210557E-2</c:v>
                </c:pt>
                <c:pt idx="133">
                  <c:v>1.5237314899729591E-2</c:v>
                </c:pt>
                <c:pt idx="134">
                  <c:v>7.1744469524140639E-2</c:v>
                </c:pt>
                <c:pt idx="135">
                  <c:v>0.14441757851091058</c:v>
                </c:pt>
                <c:pt idx="136">
                  <c:v>0.21542627351350319</c:v>
                </c:pt>
                <c:pt idx="137">
                  <c:v>0.28580513352071851</c:v>
                </c:pt>
                <c:pt idx="138">
                  <c:v>0.3254427433001984</c:v>
                </c:pt>
                <c:pt idx="139">
                  <c:v>0.36500980816605122</c:v>
                </c:pt>
                <c:pt idx="140">
                  <c:v>0.38407669718842585</c:v>
                </c:pt>
                <c:pt idx="141">
                  <c:v>0.42367882609305485</c:v>
                </c:pt>
                <c:pt idx="142">
                  <c:v>0.48619300782211983</c:v>
                </c:pt>
                <c:pt idx="143">
                  <c:v>0.42737794815888319</c:v>
                </c:pt>
                <c:pt idx="144">
                  <c:v>0.27962802135311793</c:v>
                </c:pt>
                <c:pt idx="145">
                  <c:v>0.16189867991711734</c:v>
                </c:pt>
                <c:pt idx="146">
                  <c:v>0.13882811261170375</c:v>
                </c:pt>
                <c:pt idx="147">
                  <c:v>0.14375289076800085</c:v>
                </c:pt>
                <c:pt idx="148">
                  <c:v>0.16611743465331449</c:v>
                </c:pt>
                <c:pt idx="149">
                  <c:v>0.22865390704338784</c:v>
                </c:pt>
                <c:pt idx="150">
                  <c:v>0.32613120579652588</c:v>
                </c:pt>
                <c:pt idx="151">
                  <c:v>0.43439054027096885</c:v>
                </c:pt>
                <c:pt idx="152">
                  <c:v>0.48323267723014351</c:v>
                </c:pt>
                <c:pt idx="153">
                  <c:v>0.4988296150007403</c:v>
                </c:pt>
                <c:pt idx="154">
                  <c:v>0.51572572323153987</c:v>
                </c:pt>
                <c:pt idx="155">
                  <c:v>0.51733507514101662</c:v>
                </c:pt>
                <c:pt idx="156">
                  <c:v>0.50762087569453662</c:v>
                </c:pt>
                <c:pt idx="157">
                  <c:v>0.49861739781771491</c:v>
                </c:pt>
                <c:pt idx="158">
                  <c:v>0.52114420147936813</c:v>
                </c:pt>
                <c:pt idx="159">
                  <c:v>0.55707628545414023</c:v>
                </c:pt>
                <c:pt idx="160">
                  <c:v>0.59809768650979123</c:v>
                </c:pt>
                <c:pt idx="161">
                  <c:v>0.62316005004168662</c:v>
                </c:pt>
                <c:pt idx="162">
                  <c:v>0.65431169054153027</c:v>
                </c:pt>
                <c:pt idx="163">
                  <c:v>0.66860578515909652</c:v>
                </c:pt>
                <c:pt idx="164">
                  <c:v>0.66702934968210614</c:v>
                </c:pt>
                <c:pt idx="165">
                  <c:v>0.66954370141943642</c:v>
                </c:pt>
                <c:pt idx="166">
                  <c:v>0.69705541541901062</c:v>
                </c:pt>
                <c:pt idx="167">
                  <c:v>0.784748211548983</c:v>
                </c:pt>
                <c:pt idx="168">
                  <c:v>0.92579283688310432</c:v>
                </c:pt>
                <c:pt idx="169">
                  <c:v>1.0839130948361912</c:v>
                </c:pt>
                <c:pt idx="170">
                  <c:v>1.2438911760199518</c:v>
                </c:pt>
                <c:pt idx="171">
                  <c:v>1.4013108853408949</c:v>
                </c:pt>
                <c:pt idx="172">
                  <c:v>1.5732821240931831</c:v>
                </c:pt>
                <c:pt idx="173">
                  <c:v>1.6800295451320215</c:v>
                </c:pt>
                <c:pt idx="174">
                  <c:v>1.7292914502729155</c:v>
                </c:pt>
                <c:pt idx="175">
                  <c:v>1.7457309459768893</c:v>
                </c:pt>
                <c:pt idx="176">
                  <c:v>1.7871732862567695</c:v>
                </c:pt>
                <c:pt idx="177">
                  <c:v>1.8163431140481656</c:v>
                </c:pt>
                <c:pt idx="178">
                  <c:v>1.8008811695601759</c:v>
                </c:pt>
                <c:pt idx="179">
                  <c:v>1.7161793531105429</c:v>
                </c:pt>
                <c:pt idx="180">
                  <c:v>1.6313658503606938</c:v>
                </c:pt>
                <c:pt idx="181">
                  <c:v>1.5400307088195628</c:v>
                </c:pt>
                <c:pt idx="182">
                  <c:v>1.4374299875155303</c:v>
                </c:pt>
                <c:pt idx="183">
                  <c:v>1.3142351970780068</c:v>
                </c:pt>
                <c:pt idx="184">
                  <c:v>1.196751804865603</c:v>
                </c:pt>
                <c:pt idx="185">
                  <c:v>1.0917037419476263</c:v>
                </c:pt>
                <c:pt idx="186">
                  <c:v>0.99188443631998136</c:v>
                </c:pt>
                <c:pt idx="187">
                  <c:v>0.89576169558796692</c:v>
                </c:pt>
                <c:pt idx="188">
                  <c:v>0.78708423505548453</c:v>
                </c:pt>
                <c:pt idx="189">
                  <c:v>0.64572289853910836</c:v>
                </c:pt>
                <c:pt idx="190">
                  <c:v>0.47003112771108368</c:v>
                </c:pt>
                <c:pt idx="191">
                  <c:v>0.25288069059390256</c:v>
                </c:pt>
                <c:pt idx="192">
                  <c:v>3.7144375718501488E-2</c:v>
                </c:pt>
                <c:pt idx="193">
                  <c:v>-0.14877159845512136</c:v>
                </c:pt>
                <c:pt idx="194">
                  <c:v>-0.3110170707542419</c:v>
                </c:pt>
                <c:pt idx="195">
                  <c:v>-0.4150698343374094</c:v>
                </c:pt>
                <c:pt idx="196">
                  <c:v>-0.45359261890375296</c:v>
                </c:pt>
                <c:pt idx="197">
                  <c:v>-0.43107754388363256</c:v>
                </c:pt>
                <c:pt idx="198">
                  <c:v>-0.38948864047673698</c:v>
                </c:pt>
                <c:pt idx="199">
                  <c:v>-0.33883250819580613</c:v>
                </c:pt>
                <c:pt idx="200">
                  <c:v>-0.30033083880697886</c:v>
                </c:pt>
                <c:pt idx="201">
                  <c:v>-0.29854184144655327</c:v>
                </c:pt>
                <c:pt idx="202">
                  <c:v>-0.31662427407053129</c:v>
                </c:pt>
                <c:pt idx="203">
                  <c:v>-0.34740670218462</c:v>
                </c:pt>
                <c:pt idx="204">
                  <c:v>-0.38310558889921742</c:v>
                </c:pt>
                <c:pt idx="205">
                  <c:v>-0.44147762919057354</c:v>
                </c:pt>
                <c:pt idx="206">
                  <c:v>-0.49276381803513325</c:v>
                </c:pt>
                <c:pt idx="207">
                  <c:v>-0.56978002326868893</c:v>
                </c:pt>
                <c:pt idx="208">
                  <c:v>-0.67370130374630788</c:v>
                </c:pt>
                <c:pt idx="209">
                  <c:v>-0.80313826499289742</c:v>
                </c:pt>
                <c:pt idx="210">
                  <c:v>-0.94122849994388535</c:v>
                </c:pt>
                <c:pt idx="211">
                  <c:v>-1.0756773590883508</c:v>
                </c:pt>
                <c:pt idx="212">
                  <c:v>-1.187495153922383</c:v>
                </c:pt>
                <c:pt idx="213">
                  <c:v>-1.3517053199917985</c:v>
                </c:pt>
                <c:pt idx="214">
                  <c:v>-1.4994126095943083</c:v>
                </c:pt>
                <c:pt idx="215">
                  <c:v>-1.5570117025042802</c:v>
                </c:pt>
                <c:pt idx="216">
                  <c:v>-1.578367957967223</c:v>
                </c:pt>
                <c:pt idx="217">
                  <c:v>-1.5753222940420237</c:v>
                </c:pt>
                <c:pt idx="218">
                  <c:v>-1.5417448925544246</c:v>
                </c:pt>
                <c:pt idx="219">
                  <c:v>-1.4792998158805049</c:v>
                </c:pt>
                <c:pt idx="220">
                  <c:v>-1.3594150270046066</c:v>
                </c:pt>
                <c:pt idx="221">
                  <c:v>-1.1874094729129736</c:v>
                </c:pt>
                <c:pt idx="222">
                  <c:v>-0.98888655776577128</c:v>
                </c:pt>
                <c:pt idx="223">
                  <c:v>-0.77982202712076187</c:v>
                </c:pt>
                <c:pt idx="224">
                  <c:v>-0.54365713844913155</c:v>
                </c:pt>
                <c:pt idx="225">
                  <c:v>-0.24532823118758298</c:v>
                </c:pt>
                <c:pt idx="226">
                  <c:v>9.4593538698236029E-2</c:v>
                </c:pt>
                <c:pt idx="227">
                  <c:v>0.4731825290412659</c:v>
                </c:pt>
                <c:pt idx="228">
                  <c:v>0.85588036569495118</c:v>
                </c:pt>
                <c:pt idx="229">
                  <c:v>1.2175457285633402</c:v>
                </c:pt>
                <c:pt idx="230">
                  <c:v>1.5513141584049688</c:v>
                </c:pt>
                <c:pt idx="231">
                  <c:v>1.7782799794098523</c:v>
                </c:pt>
                <c:pt idx="232">
                  <c:v>1.9174071421979251</c:v>
                </c:pt>
                <c:pt idx="233">
                  <c:v>2.0044933639126059</c:v>
                </c:pt>
                <c:pt idx="234">
                  <c:v>2.0145682232146762</c:v>
                </c:pt>
                <c:pt idx="235">
                  <c:v>1.9229122229141771</c:v>
                </c:pt>
                <c:pt idx="236">
                  <c:v>1.7916874235100686</c:v>
                </c:pt>
                <c:pt idx="237">
                  <c:v>1.6121322838422369</c:v>
                </c:pt>
                <c:pt idx="238">
                  <c:v>1.4115327962678359</c:v>
                </c:pt>
                <c:pt idx="239">
                  <c:v>1.2083921343199571</c:v>
                </c:pt>
                <c:pt idx="240">
                  <c:v>1.0128298658484933</c:v>
                </c:pt>
                <c:pt idx="241">
                  <c:v>0.81703776379300597</c:v>
                </c:pt>
                <c:pt idx="242">
                  <c:v>0.60956013774407103</c:v>
                </c:pt>
                <c:pt idx="243">
                  <c:v>0.40600024653999939</c:v>
                </c:pt>
                <c:pt idx="244">
                  <c:v>0.1966130147854839</c:v>
                </c:pt>
                <c:pt idx="245">
                  <c:v>-5.100656480840543E-3</c:v>
                </c:pt>
                <c:pt idx="246">
                  <c:v>-0.17817673406087708</c:v>
                </c:pt>
                <c:pt idx="247">
                  <c:v>-0.30435990045656958</c:v>
                </c:pt>
                <c:pt idx="248">
                  <c:v>-0.40389435277077301</c:v>
                </c:pt>
                <c:pt idx="249">
                  <c:v>-0.51951636490627162</c:v>
                </c:pt>
                <c:pt idx="250">
                  <c:v>-0.62904209512002318</c:v>
                </c:pt>
                <c:pt idx="251">
                  <c:v>-0.75421543463629281</c:v>
                </c:pt>
                <c:pt idx="252">
                  <c:v>-0.89447684324585963</c:v>
                </c:pt>
                <c:pt idx="253">
                  <c:v>-1.107077237062019</c:v>
                </c:pt>
                <c:pt idx="254">
                  <c:v>-1.3401820972872407</c:v>
                </c:pt>
                <c:pt idx="255">
                  <c:v>-1.558100939005397</c:v>
                </c:pt>
                <c:pt idx="256">
                  <c:v>-1.808005218015948</c:v>
                </c:pt>
                <c:pt idx="257">
                  <c:v>-2.0562689081265475</c:v>
                </c:pt>
                <c:pt idx="258">
                  <c:v>-2.2714442888852262</c:v>
                </c:pt>
                <c:pt idx="259">
                  <c:v>-2.4508595257849599</c:v>
                </c:pt>
                <c:pt idx="260">
                  <c:v>-2.5793084959366839</c:v>
                </c:pt>
                <c:pt idx="261">
                  <c:v>-2.6531492423502279</c:v>
                </c:pt>
                <c:pt idx="262">
                  <c:v>-2.673431588905399</c:v>
                </c:pt>
                <c:pt idx="263">
                  <c:v>-2.6048057063534977</c:v>
                </c:pt>
                <c:pt idx="264">
                  <c:v>-2.455618744799644</c:v>
                </c:pt>
                <c:pt idx="265">
                  <c:v>-2.290548899246716</c:v>
                </c:pt>
                <c:pt idx="266">
                  <c:v>-2.0305691151153784</c:v>
                </c:pt>
                <c:pt idx="267">
                  <c:v>-1.7754639356811155</c:v>
                </c:pt>
                <c:pt idx="268">
                  <c:v>-1.5321022809944385</c:v>
                </c:pt>
                <c:pt idx="269">
                  <c:v>-1.2865404783473777</c:v>
                </c:pt>
                <c:pt idx="270">
                  <c:v>-1.072195405713843</c:v>
                </c:pt>
                <c:pt idx="271">
                  <c:v>-0.8420152151739283</c:v>
                </c:pt>
                <c:pt idx="272">
                  <c:v>-0.62210846450407042</c:v>
                </c:pt>
                <c:pt idx="273">
                  <c:v>-0.40471098509386022</c:v>
                </c:pt>
                <c:pt idx="274">
                  <c:v>-0.20143425927394376</c:v>
                </c:pt>
                <c:pt idx="275">
                  <c:v>-3.1723659201985471E-2</c:v>
                </c:pt>
                <c:pt idx="276">
                  <c:v>0.10110419506224945</c:v>
                </c:pt>
                <c:pt idx="277">
                  <c:v>0.2339345565851326</c:v>
                </c:pt>
                <c:pt idx="278">
                  <c:v>0.36166328078498355</c:v>
                </c:pt>
                <c:pt idx="279">
                  <c:v>0.50164870196212152</c:v>
                </c:pt>
                <c:pt idx="280">
                  <c:v>0.51112535568562123</c:v>
                </c:pt>
                <c:pt idx="281">
                  <c:v>0.4776641189451255</c:v>
                </c:pt>
                <c:pt idx="282">
                  <c:v>0.43486732539206863</c:v>
                </c:pt>
                <c:pt idx="283">
                  <c:v>0.39895869321308564</c:v>
                </c:pt>
                <c:pt idx="284">
                  <c:v>0.4165228455919846</c:v>
                </c:pt>
                <c:pt idx="285">
                  <c:v>0.47067849062754602</c:v>
                </c:pt>
                <c:pt idx="286">
                  <c:v>0.57752109213977643</c:v>
                </c:pt>
                <c:pt idx="287">
                  <c:v>0.68893124260736216</c:v>
                </c:pt>
                <c:pt idx="288">
                  <c:v>0.80648318511907346</c:v>
                </c:pt>
                <c:pt idx="289">
                  <c:v>0.9497190363470136</c:v>
                </c:pt>
                <c:pt idx="290">
                  <c:v>1.1273000300988836</c:v>
                </c:pt>
                <c:pt idx="291">
                  <c:v>1.2760793174295291</c:v>
                </c:pt>
                <c:pt idx="292">
                  <c:v>1.4189133689952329</c:v>
                </c:pt>
                <c:pt idx="293">
                  <c:v>1.5480971951697928</c:v>
                </c:pt>
                <c:pt idx="294">
                  <c:v>1.6790060648093044</c:v>
                </c:pt>
                <c:pt idx="295">
                  <c:v>1.8052527735060129</c:v>
                </c:pt>
                <c:pt idx="296">
                  <c:v>1.8677478666293843</c:v>
                </c:pt>
                <c:pt idx="297">
                  <c:v>1.8069681351575793</c:v>
                </c:pt>
                <c:pt idx="298">
                  <c:v>1.6714998314351055</c:v>
                </c:pt>
                <c:pt idx="299">
                  <c:v>1.4826182257986653</c:v>
                </c:pt>
                <c:pt idx="300">
                  <c:v>1.2953389009086704</c:v>
                </c:pt>
                <c:pt idx="301">
                  <c:v>1.0832224541425</c:v>
                </c:pt>
                <c:pt idx="302">
                  <c:v>0.87790998983908775</c:v>
                </c:pt>
                <c:pt idx="303">
                  <c:v>0.66935050984655364</c:v>
                </c:pt>
                <c:pt idx="304">
                  <c:v>0.45444251296620569</c:v>
                </c:pt>
                <c:pt idx="305">
                  <c:v>0.22919286200297717</c:v>
                </c:pt>
                <c:pt idx="306">
                  <c:v>-3.5925520043194298E-2</c:v>
                </c:pt>
                <c:pt idx="307">
                  <c:v>-0.25254305363512891</c:v>
                </c:pt>
                <c:pt idx="308">
                  <c:v>-0.39284724329278864</c:v>
                </c:pt>
                <c:pt idx="309">
                  <c:v>-0.48791835446077447</c:v>
                </c:pt>
                <c:pt idx="310">
                  <c:v>-0.51041134484019635</c:v>
                </c:pt>
                <c:pt idx="311">
                  <c:v>-0.48283770652349428</c:v>
                </c:pt>
                <c:pt idx="312">
                  <c:v>-0.4411399270861725</c:v>
                </c:pt>
                <c:pt idx="313">
                  <c:v>-0.34566156688942129</c:v>
                </c:pt>
                <c:pt idx="314">
                  <c:v>-0.35853803520273214</c:v>
                </c:pt>
                <c:pt idx="315">
                  <c:v>-0.49399656855048135</c:v>
                </c:pt>
                <c:pt idx="316">
                  <c:v>-0.72741641255105016</c:v>
                </c:pt>
                <c:pt idx="317">
                  <c:v>-0.94564147046606251</c:v>
                </c:pt>
                <c:pt idx="318">
                  <c:v>-1.1209642287205823</c:v>
                </c:pt>
                <c:pt idx="319">
                  <c:v>-1.2042037503364451</c:v>
                </c:pt>
                <c:pt idx="320">
                  <c:v>-1.1872003025548608</c:v>
                </c:pt>
                <c:pt idx="321">
                  <c:v>-1.1160818973080302</c:v>
                </c:pt>
                <c:pt idx="322">
                  <c:v>-1.0454148382046202</c:v>
                </c:pt>
                <c:pt idx="323">
                  <c:v>-0.90870572260118843</c:v>
                </c:pt>
                <c:pt idx="324">
                  <c:v>-0.81355566887529385</c:v>
                </c:pt>
                <c:pt idx="325">
                  <c:v>-0.71360478912807679</c:v>
                </c:pt>
                <c:pt idx="326">
                  <c:v>-0.64855997955565958</c:v>
                </c:pt>
                <c:pt idx="327">
                  <c:v>-0.70624255445887008</c:v>
                </c:pt>
                <c:pt idx="328">
                  <c:v>-0.81244271102262544</c:v>
                </c:pt>
                <c:pt idx="329">
                  <c:v>-0.92839167361409447</c:v>
                </c:pt>
                <c:pt idx="330">
                  <c:v>-1.035715459782552</c:v>
                </c:pt>
                <c:pt idx="331">
                  <c:v>-1.1247005882689967</c:v>
                </c:pt>
                <c:pt idx="332">
                  <c:v>-1.2362851711007152</c:v>
                </c:pt>
                <c:pt idx="333">
                  <c:v>-1.3447520772799386</c:v>
                </c:pt>
                <c:pt idx="334">
                  <c:v>-1.4694768706412988</c:v>
                </c:pt>
                <c:pt idx="335">
                  <c:v>-1.5878034232212066</c:v>
                </c:pt>
                <c:pt idx="336">
                  <c:v>-1.6916597072029194</c:v>
                </c:pt>
                <c:pt idx="337">
                  <c:v>-1.7873571806928079</c:v>
                </c:pt>
                <c:pt idx="338">
                  <c:v>-1.8846453733708184</c:v>
                </c:pt>
                <c:pt idx="339">
                  <c:v>-1.9218427944745109</c:v>
                </c:pt>
                <c:pt idx="340">
                  <c:v>-1.949667347970697</c:v>
                </c:pt>
                <c:pt idx="341">
                  <c:v>-1.9770425096253985</c:v>
                </c:pt>
                <c:pt idx="342">
                  <c:v>-1.9281549841368757</c:v>
                </c:pt>
                <c:pt idx="343">
                  <c:v>-1.8157552515548174</c:v>
                </c:pt>
                <c:pt idx="344">
                  <c:v>-1.6415289244362601</c:v>
                </c:pt>
                <c:pt idx="345">
                  <c:v>-1.420062399259014</c:v>
                </c:pt>
                <c:pt idx="346">
                  <c:v>-1.1807100922326108</c:v>
                </c:pt>
                <c:pt idx="347">
                  <c:v>-0.94638525634205917</c:v>
                </c:pt>
                <c:pt idx="348">
                  <c:v>-0.71209606838655004</c:v>
                </c:pt>
                <c:pt idx="349">
                  <c:v>-0.45817464894780036</c:v>
                </c:pt>
                <c:pt idx="350">
                  <c:v>-0.21059660122471965</c:v>
                </c:pt>
                <c:pt idx="351">
                  <c:v>3.9652385032339699E-2</c:v>
                </c:pt>
                <c:pt idx="352">
                  <c:v>0.29958599585441387</c:v>
                </c:pt>
                <c:pt idx="353">
                  <c:v>0.51761695758387372</c:v>
                </c:pt>
                <c:pt idx="354">
                  <c:v>0.68193724677127388</c:v>
                </c:pt>
                <c:pt idx="355">
                  <c:v>0.78806553858625306</c:v>
                </c:pt>
                <c:pt idx="356">
                  <c:v>0.80010422236079015</c:v>
                </c:pt>
                <c:pt idx="357">
                  <c:v>0.77017906303492778</c:v>
                </c:pt>
                <c:pt idx="358">
                  <c:v>0.69047166496001511</c:v>
                </c:pt>
                <c:pt idx="359">
                  <c:v>0.58663362947147601</c:v>
                </c:pt>
                <c:pt idx="360">
                  <c:v>0.46013055899266908</c:v>
                </c:pt>
                <c:pt idx="361">
                  <c:v>0.34207547812000216</c:v>
                </c:pt>
                <c:pt idx="362">
                  <c:v>0.18845661040663264</c:v>
                </c:pt>
                <c:pt idx="363">
                  <c:v>2.9743123811909106E-2</c:v>
                </c:pt>
                <c:pt idx="364">
                  <c:v>-0.16156376021758298</c:v>
                </c:pt>
                <c:pt idx="365">
                  <c:v>-0.37087990282636896</c:v>
                </c:pt>
                <c:pt idx="366">
                  <c:v>-0.56275421050974772</c:v>
                </c:pt>
                <c:pt idx="367">
                  <c:v>-0.7012442039100133</c:v>
                </c:pt>
                <c:pt idx="368">
                  <c:v>-0.80810525034738001</c:v>
                </c:pt>
                <c:pt idx="369">
                  <c:v>-0.90987485579738536</c:v>
                </c:pt>
                <c:pt idx="370">
                  <c:v>-1.0064690263695086</c:v>
                </c:pt>
                <c:pt idx="371">
                  <c:v>-1.0728378304665456</c:v>
                </c:pt>
                <c:pt idx="372">
                  <c:v>-1.1229529682266095</c:v>
                </c:pt>
                <c:pt idx="373">
                  <c:v>-1.1273806772017649</c:v>
                </c:pt>
                <c:pt idx="374">
                  <c:v>-1.1006898428162868</c:v>
                </c:pt>
                <c:pt idx="375">
                  <c:v>-1.0592881250664219</c:v>
                </c:pt>
                <c:pt idx="376">
                  <c:v>-1.0136868824344436</c:v>
                </c:pt>
                <c:pt idx="377">
                  <c:v>-1.0071745796441136</c:v>
                </c:pt>
                <c:pt idx="378">
                  <c:v>-1.0291114320469139</c:v>
                </c:pt>
                <c:pt idx="379">
                  <c:v>-1.0499083611239057</c:v>
                </c:pt>
                <c:pt idx="380">
                  <c:v>-1.0894820044014761</c:v>
                </c:pt>
                <c:pt idx="381">
                  <c:v>-1.1887568912240634</c:v>
                </c:pt>
                <c:pt idx="382">
                  <c:v>-1.3347685590990326</c:v>
                </c:pt>
                <c:pt idx="383">
                  <c:v>-1.4826254186986321</c:v>
                </c:pt>
                <c:pt idx="384">
                  <c:v>-1.5903548584344949</c:v>
                </c:pt>
                <c:pt idx="385">
                  <c:v>-1.671957409429871</c:v>
                </c:pt>
                <c:pt idx="386">
                  <c:v>-1.730212472138168</c:v>
                </c:pt>
                <c:pt idx="387">
                  <c:v>-1.714346422155016</c:v>
                </c:pt>
                <c:pt idx="388">
                  <c:v>-1.6495852536244162</c:v>
                </c:pt>
                <c:pt idx="389">
                  <c:v>-1.5453568805856213</c:v>
                </c:pt>
                <c:pt idx="390">
                  <c:v>-1.4264696231241594</c:v>
                </c:pt>
                <c:pt idx="391">
                  <c:v>-1.3203612695538796</c:v>
                </c:pt>
                <c:pt idx="392">
                  <c:v>-1.2327926981662485</c:v>
                </c:pt>
                <c:pt idx="393">
                  <c:v>-1.2181351798703064</c:v>
                </c:pt>
                <c:pt idx="394">
                  <c:v>-1.2856190344316909</c:v>
                </c:pt>
                <c:pt idx="395">
                  <c:v>-1.3952479142840624</c:v>
                </c:pt>
                <c:pt idx="396">
                  <c:v>-1.5206105144877364</c:v>
                </c:pt>
                <c:pt idx="397">
                  <c:v>-1.6497858161784402</c:v>
                </c:pt>
                <c:pt idx="398">
                  <c:v>-1.7333261894449126</c:v>
                </c:pt>
                <c:pt idx="399">
                  <c:v>-1.7698822662071361</c:v>
                </c:pt>
                <c:pt idx="400">
                  <c:v>-1.770720158193503</c:v>
                </c:pt>
                <c:pt idx="401">
                  <c:v>-1.721637839382741</c:v>
                </c:pt>
                <c:pt idx="402">
                  <c:v>-1.6381605291738117</c:v>
                </c:pt>
                <c:pt idx="403">
                  <c:v>-1.5286620109218876</c:v>
                </c:pt>
                <c:pt idx="404">
                  <c:v>-1.431753741552134</c:v>
                </c:pt>
                <c:pt idx="405">
                  <c:v>-1.3346618935990064</c:v>
                </c:pt>
                <c:pt idx="406">
                  <c:v>-1.2178047271248442</c:v>
                </c:pt>
                <c:pt idx="407">
                  <c:v>-1.0491514296159163</c:v>
                </c:pt>
                <c:pt idx="408">
                  <c:v>-0.83677377513497941</c:v>
                </c:pt>
                <c:pt idx="409">
                  <c:v>-0.61866099611985437</c:v>
                </c:pt>
                <c:pt idx="410">
                  <c:v>-0.40793459584962555</c:v>
                </c:pt>
                <c:pt idx="411">
                  <c:v>-0.25215982353429417</c:v>
                </c:pt>
                <c:pt idx="412">
                  <c:v>-0.14129070962880685</c:v>
                </c:pt>
                <c:pt idx="413">
                  <c:v>-4.826263269859643E-2</c:v>
                </c:pt>
                <c:pt idx="414">
                  <c:v>7.9160577817038585E-3</c:v>
                </c:pt>
                <c:pt idx="415">
                  <c:v>6.0211882820281351E-2</c:v>
                </c:pt>
                <c:pt idx="416">
                  <c:v>0.12235202955645674</c:v>
                </c:pt>
                <c:pt idx="417">
                  <c:v>0.18999784709000994</c:v>
                </c:pt>
                <c:pt idx="418">
                  <c:v>0.27338886762964687</c:v>
                </c:pt>
                <c:pt idx="419">
                  <c:v>0.37489623799636285</c:v>
                </c:pt>
                <c:pt idx="420">
                  <c:v>0.46546897690100419</c:v>
                </c:pt>
                <c:pt idx="421">
                  <c:v>0.55055871723293148</c:v>
                </c:pt>
                <c:pt idx="422">
                  <c:v>0.59283262314351659</c:v>
                </c:pt>
                <c:pt idx="423">
                  <c:v>0.62512479247300357</c:v>
                </c:pt>
                <c:pt idx="424">
                  <c:v>0.6363962843167893</c:v>
                </c:pt>
                <c:pt idx="425">
                  <c:v>0.61537985159010955</c:v>
                </c:pt>
                <c:pt idx="426">
                  <c:v>0.59328950169932293</c:v>
                </c:pt>
                <c:pt idx="427">
                  <c:v>0.60670789557072347</c:v>
                </c:pt>
                <c:pt idx="428">
                  <c:v>0.59227346569280293</c:v>
                </c:pt>
                <c:pt idx="429">
                  <c:v>0.53936653869906548</c:v>
                </c:pt>
                <c:pt idx="430">
                  <c:v>0.41650532355788128</c:v>
                </c:pt>
                <c:pt idx="431">
                  <c:v>0.24619538678510616</c:v>
                </c:pt>
                <c:pt idx="432">
                  <c:v>5.3235956474562474E-2</c:v>
                </c:pt>
                <c:pt idx="433">
                  <c:v>-0.14823351322565098</c:v>
                </c:pt>
                <c:pt idx="434">
                  <c:v>-0.33855364848901337</c:v>
                </c:pt>
                <c:pt idx="435">
                  <c:v>-0.49470402026592142</c:v>
                </c:pt>
                <c:pt idx="436">
                  <c:v>-0.61820972530798635</c:v>
                </c:pt>
                <c:pt idx="437">
                  <c:v>-0.7208695630147659</c:v>
                </c:pt>
                <c:pt idx="438">
                  <c:v>-0.8214674990748847</c:v>
                </c:pt>
                <c:pt idx="439">
                  <c:v>-0.9101173029839118</c:v>
                </c:pt>
                <c:pt idx="440">
                  <c:v>-1.0142319521705749</c:v>
                </c:pt>
                <c:pt idx="441">
                  <c:v>-1.086287259061816</c:v>
                </c:pt>
                <c:pt idx="442">
                  <c:v>-1.1615109341609213</c:v>
                </c:pt>
                <c:pt idx="443">
                  <c:v>-1.2338847991078172</c:v>
                </c:pt>
                <c:pt idx="444">
                  <c:v>-1.312065657821686</c:v>
                </c:pt>
                <c:pt idx="445">
                  <c:v>-1.4218971099889433</c:v>
                </c:pt>
                <c:pt idx="446">
                  <c:v>-1.5159243289706663</c:v>
                </c:pt>
                <c:pt idx="447">
                  <c:v>-1.6194222841539361</c:v>
                </c:pt>
                <c:pt idx="448">
                  <c:v>-1.6849591617350557</c:v>
                </c:pt>
                <c:pt idx="449">
                  <c:v>-1.6907089084063309</c:v>
                </c:pt>
                <c:pt idx="450">
                  <c:v>-1.6458958879390271</c:v>
                </c:pt>
                <c:pt idx="451">
                  <c:v>-1.5734134489411251</c:v>
                </c:pt>
                <c:pt idx="452">
                  <c:v>-1.4745483149052636</c:v>
                </c:pt>
                <c:pt idx="453">
                  <c:v>-1.3608093543907278</c:v>
                </c:pt>
                <c:pt idx="454">
                  <c:v>-1.2361413555988321</c:v>
                </c:pt>
                <c:pt idx="455">
                  <c:v>-1.1203069456168293</c:v>
                </c:pt>
                <c:pt idx="456">
                  <c:v>-1.0194312169036357</c:v>
                </c:pt>
                <c:pt idx="457">
                  <c:v>-0.97237736372873251</c:v>
                </c:pt>
                <c:pt idx="458">
                  <c:v>-0.94638533854772522</c:v>
                </c:pt>
                <c:pt idx="459">
                  <c:v>-0.92019601180303789</c:v>
                </c:pt>
                <c:pt idx="460">
                  <c:v>-0.93065147268983606</c:v>
                </c:pt>
                <c:pt idx="461">
                  <c:v>-0.97496719460357706</c:v>
                </c:pt>
                <c:pt idx="462">
                  <c:v>-1.0579777153407732</c:v>
                </c:pt>
                <c:pt idx="463">
                  <c:v>-1.1530539910276139</c:v>
                </c:pt>
                <c:pt idx="464">
                  <c:v>-1.2345194958411201</c:v>
                </c:pt>
                <c:pt idx="465">
                  <c:v>-1.3239822927418745</c:v>
                </c:pt>
                <c:pt idx="466">
                  <c:v>-1.3622488017851597</c:v>
                </c:pt>
                <c:pt idx="467">
                  <c:v>-1.3717714756818193</c:v>
                </c:pt>
                <c:pt idx="468">
                  <c:v>-1.3604500523918555</c:v>
                </c:pt>
                <c:pt idx="469">
                  <c:v>-1.3381834802858414</c:v>
                </c:pt>
                <c:pt idx="470">
                  <c:v>-1.3366896301256697</c:v>
                </c:pt>
                <c:pt idx="471">
                  <c:v>-1.3265807770222873</c:v>
                </c:pt>
                <c:pt idx="472">
                  <c:v>-1.3085785838276713</c:v>
                </c:pt>
                <c:pt idx="473">
                  <c:v>-1.2644448882616843</c:v>
                </c:pt>
                <c:pt idx="474">
                  <c:v>-1.159808553282885</c:v>
                </c:pt>
                <c:pt idx="475">
                  <c:v>-1.0829525061962888</c:v>
                </c:pt>
                <c:pt idx="476">
                  <c:v>-1.0009780904422341</c:v>
                </c:pt>
                <c:pt idx="477">
                  <c:v>-0.92164044298071068</c:v>
                </c:pt>
                <c:pt idx="478">
                  <c:v>-0.84744977381908548</c:v>
                </c:pt>
                <c:pt idx="479">
                  <c:v>-0.78992999844520517</c:v>
                </c:pt>
                <c:pt idx="480">
                  <c:v>-0.76928206495572526</c:v>
                </c:pt>
                <c:pt idx="481">
                  <c:v>-0.75751248342866728</c:v>
                </c:pt>
                <c:pt idx="482">
                  <c:v>-0.7717365991810633</c:v>
                </c:pt>
                <c:pt idx="483">
                  <c:v>-0.83022139981178122</c:v>
                </c:pt>
                <c:pt idx="484">
                  <c:v>-0.99301689338202936</c:v>
                </c:pt>
                <c:pt idx="485">
                  <c:v>-1.1898138167252132</c:v>
                </c:pt>
                <c:pt idx="486">
                  <c:v>-1.3918625922255221</c:v>
                </c:pt>
                <c:pt idx="487">
                  <c:v>-1.5684419088414476</c:v>
                </c:pt>
                <c:pt idx="488">
                  <c:v>-1.683040900934945</c:v>
                </c:pt>
                <c:pt idx="489">
                  <c:v>-1.7124127546518002</c:v>
                </c:pt>
                <c:pt idx="490">
                  <c:v>-1.6816468797220061</c:v>
                </c:pt>
                <c:pt idx="491">
                  <c:v>-1.5694863446573637</c:v>
                </c:pt>
                <c:pt idx="492">
                  <c:v>-1.4451472897630766</c:v>
                </c:pt>
                <c:pt idx="493">
                  <c:v>-1.3333109312098874</c:v>
                </c:pt>
                <c:pt idx="494">
                  <c:v>-1.2603740981480092</c:v>
                </c:pt>
                <c:pt idx="495">
                  <c:v>-1.2049518920317466</c:v>
                </c:pt>
                <c:pt idx="496">
                  <c:v>-1.1397662243968192</c:v>
                </c:pt>
                <c:pt idx="497">
                  <c:v>-1.0652917868782965</c:v>
                </c:pt>
                <c:pt idx="498">
                  <c:v>-0.98918363667158826</c:v>
                </c:pt>
                <c:pt idx="499">
                  <c:v>-0.92208296869583628</c:v>
                </c:pt>
                <c:pt idx="500">
                  <c:v>-0.87385019817480469</c:v>
                </c:pt>
                <c:pt idx="501">
                  <c:v>-0.86223093266541273</c:v>
                </c:pt>
                <c:pt idx="502">
                  <c:v>-0.89485947582212555</c:v>
                </c:pt>
                <c:pt idx="503">
                  <c:v>-0.95881071166202969</c:v>
                </c:pt>
                <c:pt idx="504">
                  <c:v>-1.0666914092726454</c:v>
                </c:pt>
                <c:pt idx="505">
                  <c:v>-1.1383388408607593</c:v>
                </c:pt>
                <c:pt idx="506">
                  <c:v>-1.1755010806002684</c:v>
                </c:pt>
                <c:pt idx="507">
                  <c:v>-1.1610538380537934</c:v>
                </c:pt>
                <c:pt idx="508">
                  <c:v>-1.0999253991810953</c:v>
                </c:pt>
                <c:pt idx="509">
                  <c:v>-0.97657177445125232</c:v>
                </c:pt>
                <c:pt idx="510">
                  <c:v>-0.84589880039633347</c:v>
                </c:pt>
                <c:pt idx="511">
                  <c:v>-0.71715576033222372</c:v>
                </c:pt>
                <c:pt idx="512">
                  <c:v>-0.55532933795156925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644624"/>
        <c:axId val="1724646064"/>
      </c:lineChart>
      <c:dateAx>
        <c:axId val="1724644624"/>
        <c:scaling>
          <c:orientation val="minMax"/>
          <c:max val="46044"/>
          <c:min val="45901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6064"/>
        <c:crosses val="autoZero"/>
        <c:auto val="1"/>
        <c:lblOffset val="100"/>
        <c:baseTimeUnit val="days"/>
      </c:dateAx>
      <c:valAx>
        <c:axId val="1724646064"/>
        <c:scaling>
          <c:orientation val="minMax"/>
          <c:max val="1.5"/>
          <c:min val="-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</a:t>
            </a:r>
            <a:r>
              <a:rPr lang="en-US" baseline="0"/>
              <a:t> + 20d SMA + 100d SMA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Data!$B$2:$B$523</c:f>
              <c:numCache>
                <c:formatCode>m/d/yyyy</c:formatCode>
                <c:ptCount val="52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</c:numCache>
            </c:numRef>
          </c:cat>
          <c:val>
            <c:numRef>
              <c:f>Data!$C$2:$C$523</c:f>
              <c:numCache>
                <c:formatCode>_([$$-409]* #,##0.00_);_([$$-409]* \(#,##0.00\);_([$$-409]* "-"??_);_(@_)</c:formatCode>
                <c:ptCount val="522"/>
                <c:pt idx="0">
                  <c:v>148.74</c:v>
                </c:pt>
                <c:pt idx="1">
                  <c:v>147.84</c:v>
                </c:pt>
                <c:pt idx="2">
                  <c:v>148.65</c:v>
                </c:pt>
                <c:pt idx="3">
                  <c:v>147.41999999999999</c:v>
                </c:pt>
                <c:pt idx="4">
                  <c:v>148.69</c:v>
                </c:pt>
                <c:pt idx="5">
                  <c:v>149.30000000000001</c:v>
                </c:pt>
                <c:pt idx="6">
                  <c:v>149.94</c:v>
                </c:pt>
                <c:pt idx="7">
                  <c:v>150.51</c:v>
                </c:pt>
                <c:pt idx="8">
                  <c:v>150.6</c:v>
                </c:pt>
                <c:pt idx="9">
                  <c:v>149.79</c:v>
                </c:pt>
                <c:pt idx="10">
                  <c:v>149.94</c:v>
                </c:pt>
                <c:pt idx="11">
                  <c:v>148.13999999999999</c:v>
                </c:pt>
                <c:pt idx="12">
                  <c:v>147.57</c:v>
                </c:pt>
                <c:pt idx="13">
                  <c:v>147.86000000000001</c:v>
                </c:pt>
                <c:pt idx="14">
                  <c:v>153.97999999999999</c:v>
                </c:pt>
                <c:pt idx="15">
                  <c:v>152.12</c:v>
                </c:pt>
                <c:pt idx="16">
                  <c:v>155.62</c:v>
                </c:pt>
                <c:pt idx="17">
                  <c:v>156.13999999999999</c:v>
                </c:pt>
                <c:pt idx="18">
                  <c:v>156.16</c:v>
                </c:pt>
                <c:pt idx="19">
                  <c:v>157.49</c:v>
                </c:pt>
                <c:pt idx="20">
                  <c:v>157.13999999999999</c:v>
                </c:pt>
                <c:pt idx="21">
                  <c:v>159.18</c:v>
                </c:pt>
                <c:pt idx="22">
                  <c:v>158.09</c:v>
                </c:pt>
                <c:pt idx="23">
                  <c:v>158.21</c:v>
                </c:pt>
                <c:pt idx="24">
                  <c:v>158.96</c:v>
                </c:pt>
                <c:pt idx="25">
                  <c:v>159.12</c:v>
                </c:pt>
                <c:pt idx="26">
                  <c:v>158.63999999999999</c:v>
                </c:pt>
                <c:pt idx="27">
                  <c:v>157.41999999999999</c:v>
                </c:pt>
                <c:pt idx="28">
                  <c:v>157.11000000000001</c:v>
                </c:pt>
                <c:pt idx="29">
                  <c:v>156.27000000000001</c:v>
                </c:pt>
                <c:pt idx="30">
                  <c:v>155.63</c:v>
                </c:pt>
                <c:pt idx="31">
                  <c:v>157.01</c:v>
                </c:pt>
                <c:pt idx="32">
                  <c:v>157.51</c:v>
                </c:pt>
                <c:pt idx="33">
                  <c:v>158.51</c:v>
                </c:pt>
                <c:pt idx="34">
                  <c:v>160.4</c:v>
                </c:pt>
                <c:pt idx="35">
                  <c:v>160.56</c:v>
                </c:pt>
                <c:pt idx="36">
                  <c:v>161.03</c:v>
                </c:pt>
                <c:pt idx="37">
                  <c:v>160.22</c:v>
                </c:pt>
                <c:pt idx="38">
                  <c:v>159.30000000000001</c:v>
                </c:pt>
                <c:pt idx="39">
                  <c:v>160.05000000000001</c:v>
                </c:pt>
                <c:pt idx="40">
                  <c:v>158.94</c:v>
                </c:pt>
                <c:pt idx="41">
                  <c:v>158.85</c:v>
                </c:pt>
                <c:pt idx="42">
                  <c:v>159.56</c:v>
                </c:pt>
                <c:pt idx="43">
                  <c:v>159.32</c:v>
                </c:pt>
                <c:pt idx="44">
                  <c:v>159.57</c:v>
                </c:pt>
                <c:pt idx="45">
                  <c:v>160.62</c:v>
                </c:pt>
                <c:pt idx="46">
                  <c:v>160.35</c:v>
                </c:pt>
                <c:pt idx="47">
                  <c:v>161.55000000000001</c:v>
                </c:pt>
                <c:pt idx="48">
                  <c:v>161.93</c:v>
                </c:pt>
                <c:pt idx="49">
                  <c:v>162.30000000000001</c:v>
                </c:pt>
                <c:pt idx="50">
                  <c:v>161.5</c:v>
                </c:pt>
                <c:pt idx="51">
                  <c:v>161.38</c:v>
                </c:pt>
                <c:pt idx="52">
                  <c:v>161.21</c:v>
                </c:pt>
                <c:pt idx="53">
                  <c:v>161.83000000000001</c:v>
                </c:pt>
                <c:pt idx="54">
                  <c:v>161.99</c:v>
                </c:pt>
                <c:pt idx="55">
                  <c:v>161.86000000000001</c:v>
                </c:pt>
                <c:pt idx="56">
                  <c:v>161.66</c:v>
                </c:pt>
                <c:pt idx="57">
                  <c:v>160.19</c:v>
                </c:pt>
                <c:pt idx="58">
                  <c:v>160.55000000000001</c:v>
                </c:pt>
                <c:pt idx="59">
                  <c:v>162.61000000000001</c:v>
                </c:pt>
                <c:pt idx="60">
                  <c:v>162.25</c:v>
                </c:pt>
                <c:pt idx="61">
                  <c:v>160.58000000000001</c:v>
                </c:pt>
                <c:pt idx="62">
                  <c:v>160.57</c:v>
                </c:pt>
                <c:pt idx="63">
                  <c:v>156.15</c:v>
                </c:pt>
                <c:pt idx="64">
                  <c:v>155.44999999999999</c:v>
                </c:pt>
                <c:pt idx="65">
                  <c:v>156.1</c:v>
                </c:pt>
                <c:pt idx="66">
                  <c:v>156.04</c:v>
                </c:pt>
                <c:pt idx="67">
                  <c:v>156.66</c:v>
                </c:pt>
                <c:pt idx="68">
                  <c:v>157.24</c:v>
                </c:pt>
                <c:pt idx="69">
                  <c:v>155.84</c:v>
                </c:pt>
                <c:pt idx="70">
                  <c:v>155.33000000000001</c:v>
                </c:pt>
                <c:pt idx="71">
                  <c:v>155.44999999999999</c:v>
                </c:pt>
                <c:pt idx="72">
                  <c:v>155.94999999999999</c:v>
                </c:pt>
                <c:pt idx="73">
                  <c:v>156.96</c:v>
                </c:pt>
                <c:pt idx="74">
                  <c:v>157.29</c:v>
                </c:pt>
                <c:pt idx="75">
                  <c:v>158.13999999999999</c:v>
                </c:pt>
                <c:pt idx="76">
                  <c:v>160.54</c:v>
                </c:pt>
                <c:pt idx="77">
                  <c:v>161.5</c:v>
                </c:pt>
                <c:pt idx="78">
                  <c:v>162.6</c:v>
                </c:pt>
                <c:pt idx="79">
                  <c:v>162.55000000000001</c:v>
                </c:pt>
                <c:pt idx="80">
                  <c:v>161.29</c:v>
                </c:pt>
                <c:pt idx="81">
                  <c:v>161.66</c:v>
                </c:pt>
                <c:pt idx="82">
                  <c:v>163.19999999999999</c:v>
                </c:pt>
                <c:pt idx="83">
                  <c:v>163.4</c:v>
                </c:pt>
                <c:pt idx="84">
                  <c:v>163.84</c:v>
                </c:pt>
                <c:pt idx="85">
                  <c:v>164.46</c:v>
                </c:pt>
                <c:pt idx="86">
                  <c:v>164.44</c:v>
                </c:pt>
                <c:pt idx="87">
                  <c:v>165.76</c:v>
                </c:pt>
                <c:pt idx="88">
                  <c:v>165.07</c:v>
                </c:pt>
                <c:pt idx="89">
                  <c:v>166.04</c:v>
                </c:pt>
                <c:pt idx="90">
                  <c:v>166.85</c:v>
                </c:pt>
                <c:pt idx="91">
                  <c:v>165.87</c:v>
                </c:pt>
                <c:pt idx="92">
                  <c:v>165.76</c:v>
                </c:pt>
                <c:pt idx="93">
                  <c:v>166.51</c:v>
                </c:pt>
                <c:pt idx="94">
                  <c:v>167.86</c:v>
                </c:pt>
                <c:pt idx="95">
                  <c:v>167.64</c:v>
                </c:pt>
                <c:pt idx="96">
                  <c:v>167.31</c:v>
                </c:pt>
                <c:pt idx="97">
                  <c:v>168.35</c:v>
                </c:pt>
                <c:pt idx="98">
                  <c:v>167.81</c:v>
                </c:pt>
                <c:pt idx="99">
                  <c:v>165.49</c:v>
                </c:pt>
                <c:pt idx="100">
                  <c:v>165.33</c:v>
                </c:pt>
                <c:pt idx="101">
                  <c:v>163.11000000000001</c:v>
                </c:pt>
                <c:pt idx="102">
                  <c:v>161.65</c:v>
                </c:pt>
                <c:pt idx="103">
                  <c:v>162.58000000000001</c:v>
                </c:pt>
                <c:pt idx="104">
                  <c:v>164.54</c:v>
                </c:pt>
                <c:pt idx="105">
                  <c:v>164.65</c:v>
                </c:pt>
                <c:pt idx="106">
                  <c:v>167.01</c:v>
                </c:pt>
                <c:pt idx="107">
                  <c:v>166.05</c:v>
                </c:pt>
                <c:pt idx="108">
                  <c:v>168.47</c:v>
                </c:pt>
                <c:pt idx="109">
                  <c:v>167.06</c:v>
                </c:pt>
                <c:pt idx="110">
                  <c:v>167.35</c:v>
                </c:pt>
                <c:pt idx="111">
                  <c:v>167.48</c:v>
                </c:pt>
                <c:pt idx="112">
                  <c:v>165.18</c:v>
                </c:pt>
                <c:pt idx="113">
                  <c:v>166.41</c:v>
                </c:pt>
                <c:pt idx="114">
                  <c:v>166.79</c:v>
                </c:pt>
                <c:pt idx="115">
                  <c:v>167.5</c:v>
                </c:pt>
                <c:pt idx="116">
                  <c:v>168.56</c:v>
                </c:pt>
                <c:pt idx="117">
                  <c:v>167.67</c:v>
                </c:pt>
                <c:pt idx="118">
                  <c:v>168.26</c:v>
                </c:pt>
                <c:pt idx="119">
                  <c:v>168.45</c:v>
                </c:pt>
                <c:pt idx="120">
                  <c:v>166.85</c:v>
                </c:pt>
                <c:pt idx="121">
                  <c:v>167.45</c:v>
                </c:pt>
                <c:pt idx="122">
                  <c:v>166.62</c:v>
                </c:pt>
                <c:pt idx="123">
                  <c:v>164.92</c:v>
                </c:pt>
                <c:pt idx="124">
                  <c:v>162.72</c:v>
                </c:pt>
                <c:pt idx="125">
                  <c:v>163.9</c:v>
                </c:pt>
                <c:pt idx="126">
                  <c:v>163.83000000000001</c:v>
                </c:pt>
                <c:pt idx="127">
                  <c:v>165.21</c:v>
                </c:pt>
                <c:pt idx="128">
                  <c:v>166.52</c:v>
                </c:pt>
                <c:pt idx="129">
                  <c:v>165.66</c:v>
                </c:pt>
                <c:pt idx="130">
                  <c:v>166.8</c:v>
                </c:pt>
                <c:pt idx="131">
                  <c:v>165.54</c:v>
                </c:pt>
                <c:pt idx="132">
                  <c:v>166.61</c:v>
                </c:pt>
                <c:pt idx="133">
                  <c:v>164.58</c:v>
                </c:pt>
                <c:pt idx="134">
                  <c:v>166.95</c:v>
                </c:pt>
                <c:pt idx="135">
                  <c:v>169.44</c:v>
                </c:pt>
                <c:pt idx="136">
                  <c:v>168.44</c:v>
                </c:pt>
                <c:pt idx="137">
                  <c:v>167.96</c:v>
                </c:pt>
                <c:pt idx="138">
                  <c:v>168.25</c:v>
                </c:pt>
                <c:pt idx="139">
                  <c:v>166.62</c:v>
                </c:pt>
                <c:pt idx="140">
                  <c:v>168</c:v>
                </c:pt>
                <c:pt idx="141">
                  <c:v>166.9</c:v>
                </c:pt>
                <c:pt idx="142">
                  <c:v>169.11</c:v>
                </c:pt>
                <c:pt idx="143">
                  <c:v>169.93</c:v>
                </c:pt>
                <c:pt idx="144">
                  <c:v>161.69999999999999</c:v>
                </c:pt>
                <c:pt idx="145">
                  <c:v>160.76</c:v>
                </c:pt>
                <c:pt idx="146">
                  <c:v>165.69</c:v>
                </c:pt>
                <c:pt idx="147">
                  <c:v>170.08</c:v>
                </c:pt>
                <c:pt idx="148">
                  <c:v>168.06</c:v>
                </c:pt>
                <c:pt idx="149">
                  <c:v>168.09</c:v>
                </c:pt>
                <c:pt idx="150">
                  <c:v>170.02</c:v>
                </c:pt>
                <c:pt idx="151">
                  <c:v>170.87</c:v>
                </c:pt>
                <c:pt idx="152">
                  <c:v>170.54</c:v>
                </c:pt>
                <c:pt idx="153">
                  <c:v>166.81</c:v>
                </c:pt>
                <c:pt idx="154">
                  <c:v>167.29</c:v>
                </c:pt>
                <c:pt idx="155">
                  <c:v>168.8</c:v>
                </c:pt>
                <c:pt idx="156">
                  <c:v>167.92</c:v>
                </c:pt>
                <c:pt idx="157">
                  <c:v>167.89</c:v>
                </c:pt>
                <c:pt idx="158">
                  <c:v>168.42</c:v>
                </c:pt>
                <c:pt idx="159">
                  <c:v>170.41</c:v>
                </c:pt>
                <c:pt idx="160">
                  <c:v>170.16</c:v>
                </c:pt>
                <c:pt idx="161">
                  <c:v>170.15</c:v>
                </c:pt>
                <c:pt idx="162">
                  <c:v>169.17</c:v>
                </c:pt>
                <c:pt idx="163">
                  <c:v>170.35</c:v>
                </c:pt>
                <c:pt idx="164">
                  <c:v>169.25</c:v>
                </c:pt>
                <c:pt idx="165">
                  <c:v>169.06</c:v>
                </c:pt>
                <c:pt idx="166">
                  <c:v>170.03</c:v>
                </c:pt>
                <c:pt idx="167">
                  <c:v>171.54</c:v>
                </c:pt>
                <c:pt idx="168">
                  <c:v>174.52</c:v>
                </c:pt>
                <c:pt idx="169">
                  <c:v>175.9</c:v>
                </c:pt>
                <c:pt idx="170">
                  <c:v>175.47</c:v>
                </c:pt>
                <c:pt idx="171">
                  <c:v>175.59</c:v>
                </c:pt>
                <c:pt idx="172">
                  <c:v>176.06</c:v>
                </c:pt>
                <c:pt idx="173">
                  <c:v>177.79</c:v>
                </c:pt>
                <c:pt idx="174">
                  <c:v>173.92</c:v>
                </c:pt>
                <c:pt idx="175">
                  <c:v>173.47</c:v>
                </c:pt>
                <c:pt idx="176">
                  <c:v>174.08</c:v>
                </c:pt>
                <c:pt idx="177">
                  <c:v>177.24</c:v>
                </c:pt>
                <c:pt idx="178">
                  <c:v>175.88</c:v>
                </c:pt>
                <c:pt idx="179">
                  <c:v>173.92</c:v>
                </c:pt>
                <c:pt idx="180">
                  <c:v>171.54</c:v>
                </c:pt>
                <c:pt idx="181">
                  <c:v>174.22</c:v>
                </c:pt>
                <c:pt idx="182">
                  <c:v>173.77</c:v>
                </c:pt>
                <c:pt idx="183">
                  <c:v>173.24</c:v>
                </c:pt>
                <c:pt idx="184">
                  <c:v>172.26</c:v>
                </c:pt>
                <c:pt idx="185">
                  <c:v>173.21</c:v>
                </c:pt>
                <c:pt idx="186">
                  <c:v>173.55</c:v>
                </c:pt>
                <c:pt idx="187">
                  <c:v>173.2</c:v>
                </c:pt>
                <c:pt idx="188">
                  <c:v>173.04</c:v>
                </c:pt>
                <c:pt idx="189">
                  <c:v>171.92</c:v>
                </c:pt>
                <c:pt idx="190">
                  <c:v>170.12</c:v>
                </c:pt>
                <c:pt idx="191">
                  <c:v>168.88</c:v>
                </c:pt>
                <c:pt idx="192">
                  <c:v>167.12</c:v>
                </c:pt>
                <c:pt idx="193">
                  <c:v>168.16</c:v>
                </c:pt>
                <c:pt idx="194">
                  <c:v>169.27</c:v>
                </c:pt>
                <c:pt idx="195">
                  <c:v>168.95</c:v>
                </c:pt>
                <c:pt idx="196">
                  <c:v>171.09</c:v>
                </c:pt>
                <c:pt idx="197">
                  <c:v>172.51</c:v>
                </c:pt>
                <c:pt idx="198">
                  <c:v>173.57</c:v>
                </c:pt>
                <c:pt idx="199">
                  <c:v>172.38</c:v>
                </c:pt>
                <c:pt idx="200">
                  <c:v>172.28</c:v>
                </c:pt>
                <c:pt idx="201">
                  <c:v>171.28</c:v>
                </c:pt>
                <c:pt idx="202">
                  <c:v>169.54</c:v>
                </c:pt>
                <c:pt idx="203">
                  <c:v>169.7</c:v>
                </c:pt>
                <c:pt idx="204">
                  <c:v>169.58</c:v>
                </c:pt>
                <c:pt idx="205">
                  <c:v>169.62</c:v>
                </c:pt>
                <c:pt idx="206">
                  <c:v>168.22</c:v>
                </c:pt>
                <c:pt idx="207">
                  <c:v>169.3</c:v>
                </c:pt>
                <c:pt idx="208">
                  <c:v>167.17</c:v>
                </c:pt>
                <c:pt idx="209">
                  <c:v>166.16</c:v>
                </c:pt>
                <c:pt idx="210">
                  <c:v>165.18</c:v>
                </c:pt>
                <c:pt idx="211">
                  <c:v>165.1</c:v>
                </c:pt>
                <c:pt idx="212">
                  <c:v>165.08</c:v>
                </c:pt>
                <c:pt idx="213">
                  <c:v>165.76</c:v>
                </c:pt>
                <c:pt idx="214">
                  <c:v>161.05000000000001</c:v>
                </c:pt>
                <c:pt idx="215">
                  <c:v>163.41</c:v>
                </c:pt>
                <c:pt idx="216">
                  <c:v>167.71</c:v>
                </c:pt>
                <c:pt idx="217">
                  <c:v>166.03</c:v>
                </c:pt>
                <c:pt idx="218">
                  <c:v>165.84</c:v>
                </c:pt>
                <c:pt idx="219">
                  <c:v>166.58</c:v>
                </c:pt>
                <c:pt idx="220">
                  <c:v>167.08</c:v>
                </c:pt>
                <c:pt idx="221">
                  <c:v>169.54</c:v>
                </c:pt>
                <c:pt idx="222">
                  <c:v>170.75</c:v>
                </c:pt>
                <c:pt idx="223">
                  <c:v>170.76</c:v>
                </c:pt>
                <c:pt idx="224">
                  <c:v>170.89</c:v>
                </c:pt>
                <c:pt idx="225">
                  <c:v>172.75</c:v>
                </c:pt>
                <c:pt idx="226">
                  <c:v>176.28</c:v>
                </c:pt>
                <c:pt idx="227">
                  <c:v>177.39</c:v>
                </c:pt>
                <c:pt idx="228">
                  <c:v>179.31</c:v>
                </c:pt>
                <c:pt idx="229">
                  <c:v>179.36</c:v>
                </c:pt>
                <c:pt idx="230">
                  <c:v>179.26</c:v>
                </c:pt>
                <c:pt idx="231">
                  <c:v>179.7</c:v>
                </c:pt>
                <c:pt idx="232">
                  <c:v>175.42</c:v>
                </c:pt>
                <c:pt idx="233">
                  <c:v>175.11</c:v>
                </c:pt>
                <c:pt idx="234">
                  <c:v>176.03</c:v>
                </c:pt>
                <c:pt idx="235">
                  <c:v>173.82</c:v>
                </c:pt>
                <c:pt idx="236">
                  <c:v>170.79</c:v>
                </c:pt>
                <c:pt idx="237">
                  <c:v>172.28</c:v>
                </c:pt>
                <c:pt idx="238">
                  <c:v>170.63</c:v>
                </c:pt>
                <c:pt idx="239">
                  <c:v>170.85</c:v>
                </c:pt>
                <c:pt idx="240">
                  <c:v>171.06</c:v>
                </c:pt>
                <c:pt idx="241">
                  <c:v>171.14</c:v>
                </c:pt>
                <c:pt idx="242">
                  <c:v>170.33</c:v>
                </c:pt>
                <c:pt idx="243">
                  <c:v>169.08</c:v>
                </c:pt>
                <c:pt idx="244">
                  <c:v>169.19</c:v>
                </c:pt>
                <c:pt idx="245">
                  <c:v>168.06</c:v>
                </c:pt>
                <c:pt idx="246">
                  <c:v>168.11</c:v>
                </c:pt>
                <c:pt idx="247">
                  <c:v>168.94</c:v>
                </c:pt>
                <c:pt idx="248">
                  <c:v>170.16</c:v>
                </c:pt>
                <c:pt idx="249">
                  <c:v>169.53</c:v>
                </c:pt>
                <c:pt idx="250">
                  <c:v>167.09</c:v>
                </c:pt>
                <c:pt idx="251">
                  <c:v>167.65</c:v>
                </c:pt>
                <c:pt idx="252">
                  <c:v>165.98</c:v>
                </c:pt>
                <c:pt idx="253">
                  <c:v>165.13</c:v>
                </c:pt>
                <c:pt idx="254">
                  <c:v>160.6</c:v>
                </c:pt>
                <c:pt idx="255">
                  <c:v>161.30000000000001</c:v>
                </c:pt>
                <c:pt idx="256">
                  <c:v>162.1</c:v>
                </c:pt>
                <c:pt idx="257">
                  <c:v>158.56</c:v>
                </c:pt>
                <c:pt idx="258">
                  <c:v>158.84</c:v>
                </c:pt>
                <c:pt idx="259">
                  <c:v>159.74</c:v>
                </c:pt>
                <c:pt idx="260">
                  <c:v>159.65</c:v>
                </c:pt>
                <c:pt idx="261">
                  <c:v>160.5</c:v>
                </c:pt>
                <c:pt idx="262">
                  <c:v>161.13</c:v>
                </c:pt>
                <c:pt idx="263">
                  <c:v>161.72</c:v>
                </c:pt>
                <c:pt idx="264">
                  <c:v>164.74</c:v>
                </c:pt>
                <c:pt idx="265">
                  <c:v>166.15</c:v>
                </c:pt>
                <c:pt idx="266">
                  <c:v>164.12</c:v>
                </c:pt>
                <c:pt idx="267">
                  <c:v>169.66</c:v>
                </c:pt>
                <c:pt idx="268">
                  <c:v>166.19</c:v>
                </c:pt>
                <c:pt idx="269">
                  <c:v>166.23</c:v>
                </c:pt>
                <c:pt idx="270">
                  <c:v>167.41</c:v>
                </c:pt>
                <c:pt idx="271">
                  <c:v>165.99</c:v>
                </c:pt>
                <c:pt idx="272">
                  <c:v>168.76</c:v>
                </c:pt>
                <c:pt idx="273">
                  <c:v>168.13</c:v>
                </c:pt>
                <c:pt idx="274">
                  <c:v>169.01</c:v>
                </c:pt>
                <c:pt idx="275">
                  <c:v>168.88</c:v>
                </c:pt>
                <c:pt idx="276">
                  <c:v>167.97</c:v>
                </c:pt>
                <c:pt idx="277">
                  <c:v>167.53</c:v>
                </c:pt>
                <c:pt idx="278">
                  <c:v>169.43</c:v>
                </c:pt>
                <c:pt idx="279">
                  <c:v>169.58</c:v>
                </c:pt>
                <c:pt idx="280">
                  <c:v>171.02</c:v>
                </c:pt>
                <c:pt idx="281">
                  <c:v>162.88999999999999</c:v>
                </c:pt>
                <c:pt idx="282">
                  <c:v>165.43</c:v>
                </c:pt>
                <c:pt idx="283">
                  <c:v>166.49</c:v>
                </c:pt>
                <c:pt idx="284">
                  <c:v>167.21</c:v>
                </c:pt>
                <c:pt idx="285">
                  <c:v>170.23</c:v>
                </c:pt>
                <c:pt idx="286">
                  <c:v>170.54</c:v>
                </c:pt>
                <c:pt idx="287">
                  <c:v>172.65</c:v>
                </c:pt>
                <c:pt idx="288">
                  <c:v>171.3</c:v>
                </c:pt>
                <c:pt idx="289">
                  <c:v>171.97</c:v>
                </c:pt>
                <c:pt idx="290">
                  <c:v>173.84</c:v>
                </c:pt>
                <c:pt idx="291">
                  <c:v>175.59</c:v>
                </c:pt>
                <c:pt idx="292">
                  <c:v>173.18</c:v>
                </c:pt>
                <c:pt idx="293">
                  <c:v>174.61</c:v>
                </c:pt>
                <c:pt idx="294">
                  <c:v>174.66</c:v>
                </c:pt>
                <c:pt idx="295">
                  <c:v>175.95</c:v>
                </c:pt>
                <c:pt idx="296">
                  <c:v>176.26</c:v>
                </c:pt>
                <c:pt idx="297">
                  <c:v>173.12</c:v>
                </c:pt>
                <c:pt idx="298">
                  <c:v>168.37</c:v>
                </c:pt>
                <c:pt idx="299">
                  <c:v>168.59</c:v>
                </c:pt>
                <c:pt idx="300">
                  <c:v>167.97</c:v>
                </c:pt>
                <c:pt idx="301">
                  <c:v>169.76</c:v>
                </c:pt>
                <c:pt idx="302">
                  <c:v>167.71</c:v>
                </c:pt>
                <c:pt idx="303">
                  <c:v>168.57</c:v>
                </c:pt>
                <c:pt idx="304">
                  <c:v>167.55</c:v>
                </c:pt>
                <c:pt idx="305">
                  <c:v>166.69</c:v>
                </c:pt>
                <c:pt idx="306">
                  <c:v>165.65</c:v>
                </c:pt>
                <c:pt idx="307">
                  <c:v>162.85</c:v>
                </c:pt>
                <c:pt idx="308">
                  <c:v>166.58</c:v>
                </c:pt>
                <c:pt idx="309">
                  <c:v>168.71</c:v>
                </c:pt>
                <c:pt idx="310">
                  <c:v>168.03</c:v>
                </c:pt>
                <c:pt idx="311">
                  <c:v>170.42</c:v>
                </c:pt>
                <c:pt idx="312">
                  <c:v>170.56</c:v>
                </c:pt>
                <c:pt idx="313">
                  <c:v>169.5</c:v>
                </c:pt>
                <c:pt idx="314">
                  <c:v>172.39</c:v>
                </c:pt>
                <c:pt idx="315">
                  <c:v>163.75</c:v>
                </c:pt>
                <c:pt idx="316">
                  <c:v>160.22999999999999</c:v>
                </c:pt>
                <c:pt idx="317">
                  <c:v>158.38999999999999</c:v>
                </c:pt>
                <c:pt idx="318">
                  <c:v>162.32</c:v>
                </c:pt>
                <c:pt idx="319">
                  <c:v>163.56</c:v>
                </c:pt>
                <c:pt idx="320">
                  <c:v>166.91</c:v>
                </c:pt>
                <c:pt idx="321">
                  <c:v>169.13</c:v>
                </c:pt>
                <c:pt idx="322">
                  <c:v>168.47</c:v>
                </c:pt>
                <c:pt idx="323">
                  <c:v>166.39</c:v>
                </c:pt>
                <c:pt idx="324">
                  <c:v>170.63</c:v>
                </c:pt>
                <c:pt idx="325">
                  <c:v>165.75</c:v>
                </c:pt>
                <c:pt idx="326">
                  <c:v>167.88</c:v>
                </c:pt>
                <c:pt idx="327">
                  <c:v>165.73</c:v>
                </c:pt>
                <c:pt idx="328">
                  <c:v>159.53</c:v>
                </c:pt>
                <c:pt idx="329">
                  <c:v>161.02000000000001</c:v>
                </c:pt>
                <c:pt idx="330">
                  <c:v>161.85</c:v>
                </c:pt>
                <c:pt idx="331">
                  <c:v>162.26</c:v>
                </c:pt>
                <c:pt idx="332">
                  <c:v>162.57</c:v>
                </c:pt>
                <c:pt idx="333">
                  <c:v>159.97999999999999</c:v>
                </c:pt>
                <c:pt idx="334">
                  <c:v>160.52000000000001</c:v>
                </c:pt>
                <c:pt idx="335">
                  <c:v>158.83000000000001</c:v>
                </c:pt>
                <c:pt idx="336">
                  <c:v>159.25</c:v>
                </c:pt>
                <c:pt idx="337">
                  <c:v>159.29</c:v>
                </c:pt>
                <c:pt idx="338">
                  <c:v>158.65</c:v>
                </c:pt>
                <c:pt idx="339">
                  <c:v>157.66</c:v>
                </c:pt>
                <c:pt idx="340">
                  <c:v>160.9</c:v>
                </c:pt>
                <c:pt idx="341">
                  <c:v>158.72999999999999</c:v>
                </c:pt>
                <c:pt idx="342">
                  <c:v>158.02000000000001</c:v>
                </c:pt>
                <c:pt idx="343">
                  <c:v>162.41</c:v>
                </c:pt>
                <c:pt idx="344">
                  <c:v>163.28</c:v>
                </c:pt>
                <c:pt idx="345">
                  <c:v>164.77</c:v>
                </c:pt>
                <c:pt idx="346">
                  <c:v>165.64</c:v>
                </c:pt>
                <c:pt idx="347">
                  <c:v>165.43</c:v>
                </c:pt>
                <c:pt idx="348">
                  <c:v>165.03</c:v>
                </c:pt>
                <c:pt idx="349">
                  <c:v>165.86</c:v>
                </c:pt>
                <c:pt idx="350">
                  <c:v>167.76</c:v>
                </c:pt>
                <c:pt idx="351">
                  <c:v>167.36</c:v>
                </c:pt>
                <c:pt idx="352">
                  <c:v>168.56</c:v>
                </c:pt>
                <c:pt idx="353">
                  <c:v>169.89</c:v>
                </c:pt>
                <c:pt idx="354">
                  <c:v>167.78</c:v>
                </c:pt>
                <c:pt idx="355">
                  <c:v>166.85</c:v>
                </c:pt>
                <c:pt idx="356">
                  <c:v>165.95</c:v>
                </c:pt>
                <c:pt idx="357">
                  <c:v>162.80000000000001</c:v>
                </c:pt>
                <c:pt idx="358">
                  <c:v>164.02</c:v>
                </c:pt>
                <c:pt idx="359">
                  <c:v>162.56</c:v>
                </c:pt>
                <c:pt idx="360">
                  <c:v>162.84</c:v>
                </c:pt>
                <c:pt idx="361">
                  <c:v>162.11000000000001</c:v>
                </c:pt>
                <c:pt idx="362">
                  <c:v>163.18</c:v>
                </c:pt>
                <c:pt idx="363">
                  <c:v>160.28</c:v>
                </c:pt>
                <c:pt idx="364">
                  <c:v>160.88</c:v>
                </c:pt>
                <c:pt idx="365">
                  <c:v>158.52000000000001</c:v>
                </c:pt>
                <c:pt idx="366">
                  <c:v>158.02000000000001</c:v>
                </c:pt>
                <c:pt idx="367">
                  <c:v>159.08000000000001</c:v>
                </c:pt>
                <c:pt idx="368">
                  <c:v>161.03</c:v>
                </c:pt>
                <c:pt idx="369">
                  <c:v>160.36000000000001</c:v>
                </c:pt>
                <c:pt idx="370">
                  <c:v>158.97</c:v>
                </c:pt>
                <c:pt idx="371">
                  <c:v>158.63</c:v>
                </c:pt>
                <c:pt idx="372">
                  <c:v>159.86000000000001</c:v>
                </c:pt>
                <c:pt idx="373">
                  <c:v>159.32</c:v>
                </c:pt>
                <c:pt idx="374">
                  <c:v>161.22</c:v>
                </c:pt>
                <c:pt idx="375">
                  <c:v>161.19999999999999</c:v>
                </c:pt>
                <c:pt idx="376">
                  <c:v>160.83000000000001</c:v>
                </c:pt>
                <c:pt idx="377">
                  <c:v>160.5</c:v>
                </c:pt>
                <c:pt idx="378">
                  <c:v>157.88999999999999</c:v>
                </c:pt>
                <c:pt idx="379">
                  <c:v>157.52000000000001</c:v>
                </c:pt>
                <c:pt idx="380">
                  <c:v>158.49</c:v>
                </c:pt>
                <c:pt idx="381">
                  <c:v>157.05000000000001</c:v>
                </c:pt>
                <c:pt idx="382">
                  <c:v>153.76</c:v>
                </c:pt>
                <c:pt idx="383">
                  <c:v>152.68</c:v>
                </c:pt>
                <c:pt idx="384">
                  <c:v>153.72999999999999</c:v>
                </c:pt>
                <c:pt idx="385">
                  <c:v>155.62</c:v>
                </c:pt>
                <c:pt idx="386">
                  <c:v>155.1</c:v>
                </c:pt>
                <c:pt idx="387">
                  <c:v>155.03</c:v>
                </c:pt>
                <c:pt idx="388">
                  <c:v>158.32</c:v>
                </c:pt>
                <c:pt idx="389">
                  <c:v>158.28</c:v>
                </c:pt>
                <c:pt idx="390">
                  <c:v>158.81</c:v>
                </c:pt>
                <c:pt idx="391">
                  <c:v>158.30000000000001</c:v>
                </c:pt>
                <c:pt idx="392">
                  <c:v>157.11000000000001</c:v>
                </c:pt>
                <c:pt idx="393">
                  <c:v>156.61000000000001</c:v>
                </c:pt>
                <c:pt idx="394">
                  <c:v>152.88</c:v>
                </c:pt>
                <c:pt idx="395">
                  <c:v>150.47</c:v>
                </c:pt>
                <c:pt idx="396">
                  <c:v>150.65</c:v>
                </c:pt>
                <c:pt idx="397">
                  <c:v>150.76</c:v>
                </c:pt>
                <c:pt idx="398">
                  <c:v>150.51</c:v>
                </c:pt>
                <c:pt idx="399">
                  <c:v>152.86000000000001</c:v>
                </c:pt>
                <c:pt idx="400">
                  <c:v>153.49</c:v>
                </c:pt>
                <c:pt idx="401">
                  <c:v>153.51</c:v>
                </c:pt>
                <c:pt idx="402">
                  <c:v>154.97999999999999</c:v>
                </c:pt>
                <c:pt idx="403">
                  <c:v>155.09</c:v>
                </c:pt>
                <c:pt idx="404">
                  <c:v>155.41</c:v>
                </c:pt>
                <c:pt idx="405">
                  <c:v>153.74</c:v>
                </c:pt>
                <c:pt idx="406">
                  <c:v>154.36000000000001</c:v>
                </c:pt>
                <c:pt idx="407">
                  <c:v>155.72</c:v>
                </c:pt>
                <c:pt idx="408">
                  <c:v>158.4</c:v>
                </c:pt>
                <c:pt idx="409">
                  <c:v>159.51</c:v>
                </c:pt>
                <c:pt idx="410">
                  <c:v>158.72999999999999</c:v>
                </c:pt>
                <c:pt idx="411">
                  <c:v>158.66999999999999</c:v>
                </c:pt>
                <c:pt idx="412">
                  <c:v>156.15</c:v>
                </c:pt>
                <c:pt idx="413">
                  <c:v>155.97</c:v>
                </c:pt>
                <c:pt idx="414">
                  <c:v>156.96</c:v>
                </c:pt>
                <c:pt idx="415">
                  <c:v>155.65</c:v>
                </c:pt>
                <c:pt idx="416">
                  <c:v>157.04</c:v>
                </c:pt>
                <c:pt idx="417">
                  <c:v>157.99</c:v>
                </c:pt>
                <c:pt idx="418">
                  <c:v>158.16999999999999</c:v>
                </c:pt>
                <c:pt idx="419">
                  <c:v>159.19</c:v>
                </c:pt>
                <c:pt idx="420">
                  <c:v>160.02000000000001</c:v>
                </c:pt>
                <c:pt idx="421">
                  <c:v>159.01</c:v>
                </c:pt>
                <c:pt idx="422">
                  <c:v>159.46</c:v>
                </c:pt>
                <c:pt idx="423">
                  <c:v>157.35</c:v>
                </c:pt>
                <c:pt idx="424">
                  <c:v>158.63</c:v>
                </c:pt>
                <c:pt idx="425">
                  <c:v>157.9</c:v>
                </c:pt>
                <c:pt idx="426">
                  <c:v>156.83000000000001</c:v>
                </c:pt>
                <c:pt idx="427">
                  <c:v>158.05000000000001</c:v>
                </c:pt>
                <c:pt idx="428">
                  <c:v>160.33000000000001</c:v>
                </c:pt>
                <c:pt idx="429">
                  <c:v>157.32</c:v>
                </c:pt>
                <c:pt idx="430">
                  <c:v>156.04</c:v>
                </c:pt>
                <c:pt idx="431">
                  <c:v>153.07</c:v>
                </c:pt>
                <c:pt idx="432">
                  <c:v>152.5</c:v>
                </c:pt>
                <c:pt idx="433">
                  <c:v>152.41999999999999</c:v>
                </c:pt>
                <c:pt idx="434">
                  <c:v>152.15</c:v>
                </c:pt>
                <c:pt idx="435">
                  <c:v>152.5</c:v>
                </c:pt>
                <c:pt idx="436">
                  <c:v>153.53</c:v>
                </c:pt>
                <c:pt idx="437">
                  <c:v>153.65</c:v>
                </c:pt>
                <c:pt idx="438">
                  <c:v>153.18</c:v>
                </c:pt>
                <c:pt idx="439">
                  <c:v>152.05000000000001</c:v>
                </c:pt>
                <c:pt idx="440">
                  <c:v>152.27000000000001</c:v>
                </c:pt>
                <c:pt idx="441">
                  <c:v>150.41</c:v>
                </c:pt>
                <c:pt idx="442">
                  <c:v>152.54</c:v>
                </c:pt>
                <c:pt idx="443">
                  <c:v>150.69</c:v>
                </c:pt>
                <c:pt idx="444">
                  <c:v>150.58000000000001</c:v>
                </c:pt>
                <c:pt idx="445">
                  <c:v>149.69</c:v>
                </c:pt>
                <c:pt idx="446">
                  <c:v>147.49</c:v>
                </c:pt>
                <c:pt idx="447">
                  <c:v>149.16</c:v>
                </c:pt>
                <c:pt idx="448">
                  <c:v>147.41999999999999</c:v>
                </c:pt>
                <c:pt idx="449">
                  <c:v>149.6</c:v>
                </c:pt>
                <c:pt idx="450">
                  <c:v>151.4</c:v>
                </c:pt>
                <c:pt idx="451">
                  <c:v>151.96</c:v>
                </c:pt>
                <c:pt idx="452">
                  <c:v>151.62</c:v>
                </c:pt>
                <c:pt idx="453">
                  <c:v>152.19999999999999</c:v>
                </c:pt>
                <c:pt idx="454">
                  <c:v>152.21</c:v>
                </c:pt>
                <c:pt idx="455">
                  <c:v>152.49</c:v>
                </c:pt>
                <c:pt idx="456">
                  <c:v>151.74</c:v>
                </c:pt>
                <c:pt idx="457">
                  <c:v>151.37</c:v>
                </c:pt>
                <c:pt idx="458">
                  <c:v>148.77000000000001</c:v>
                </c:pt>
                <c:pt idx="459">
                  <c:v>149.58000000000001</c:v>
                </c:pt>
                <c:pt idx="460">
                  <c:v>150.37</c:v>
                </c:pt>
                <c:pt idx="461">
                  <c:v>148.02000000000001</c:v>
                </c:pt>
                <c:pt idx="462">
                  <c:v>147.16999999999999</c:v>
                </c:pt>
                <c:pt idx="463">
                  <c:v>145.79</c:v>
                </c:pt>
                <c:pt idx="464">
                  <c:v>146.13</c:v>
                </c:pt>
                <c:pt idx="465">
                  <c:v>146.97999999999999</c:v>
                </c:pt>
                <c:pt idx="466">
                  <c:v>145.5</c:v>
                </c:pt>
                <c:pt idx="467">
                  <c:v>148.54</c:v>
                </c:pt>
                <c:pt idx="468">
                  <c:v>148.01</c:v>
                </c:pt>
                <c:pt idx="469">
                  <c:v>147.96</c:v>
                </c:pt>
                <c:pt idx="470">
                  <c:v>147.66999999999999</c:v>
                </c:pt>
                <c:pt idx="471">
                  <c:v>145.82</c:v>
                </c:pt>
                <c:pt idx="472">
                  <c:v>146.99</c:v>
                </c:pt>
                <c:pt idx="473">
                  <c:v>146.99</c:v>
                </c:pt>
                <c:pt idx="474">
                  <c:v>148.19</c:v>
                </c:pt>
                <c:pt idx="475">
                  <c:v>150.91999999999999</c:v>
                </c:pt>
                <c:pt idx="476">
                  <c:v>146.97999999999999</c:v>
                </c:pt>
                <c:pt idx="477">
                  <c:v>148.49</c:v>
                </c:pt>
                <c:pt idx="478">
                  <c:v>148.25</c:v>
                </c:pt>
                <c:pt idx="479">
                  <c:v>148.16</c:v>
                </c:pt>
                <c:pt idx="480">
                  <c:v>147.44</c:v>
                </c:pt>
                <c:pt idx="481">
                  <c:v>145.86000000000001</c:v>
                </c:pt>
                <c:pt idx="482">
                  <c:v>146.71</c:v>
                </c:pt>
                <c:pt idx="483">
                  <c:v>145.36000000000001</c:v>
                </c:pt>
                <c:pt idx="484">
                  <c:v>143.44999999999999</c:v>
                </c:pt>
                <c:pt idx="485">
                  <c:v>138.34</c:v>
                </c:pt>
                <c:pt idx="486">
                  <c:v>139.63</c:v>
                </c:pt>
                <c:pt idx="487">
                  <c:v>139.82</c:v>
                </c:pt>
                <c:pt idx="488">
                  <c:v>140.76</c:v>
                </c:pt>
                <c:pt idx="489">
                  <c:v>142.84</c:v>
                </c:pt>
                <c:pt idx="490">
                  <c:v>145.13</c:v>
                </c:pt>
                <c:pt idx="491">
                  <c:v>145.21</c:v>
                </c:pt>
                <c:pt idx="492">
                  <c:v>147.81</c:v>
                </c:pt>
                <c:pt idx="493">
                  <c:v>145.52000000000001</c:v>
                </c:pt>
                <c:pt idx="494">
                  <c:v>144.46</c:v>
                </c:pt>
                <c:pt idx="495">
                  <c:v>142.69</c:v>
                </c:pt>
                <c:pt idx="496">
                  <c:v>143.18</c:v>
                </c:pt>
                <c:pt idx="497">
                  <c:v>144.49</c:v>
                </c:pt>
                <c:pt idx="498">
                  <c:v>144.74</c:v>
                </c:pt>
                <c:pt idx="499">
                  <c:v>144.57</c:v>
                </c:pt>
                <c:pt idx="500">
                  <c:v>144.05000000000001</c:v>
                </c:pt>
                <c:pt idx="501">
                  <c:v>143.31</c:v>
                </c:pt>
                <c:pt idx="502">
                  <c:v>141.79</c:v>
                </c:pt>
                <c:pt idx="503">
                  <c:v>140.37</c:v>
                </c:pt>
                <c:pt idx="504">
                  <c:v>139.91</c:v>
                </c:pt>
                <c:pt idx="505">
                  <c:v>138.04</c:v>
                </c:pt>
                <c:pt idx="506">
                  <c:v>141.53</c:v>
                </c:pt>
                <c:pt idx="507">
                  <c:v>141.87</c:v>
                </c:pt>
                <c:pt idx="508">
                  <c:v>143.46</c:v>
                </c:pt>
                <c:pt idx="509">
                  <c:v>144.24</c:v>
                </c:pt>
                <c:pt idx="510">
                  <c:v>146.35</c:v>
                </c:pt>
                <c:pt idx="511">
                  <c:v>144.63</c:v>
                </c:pt>
                <c:pt idx="512">
                  <c:v>144.53</c:v>
                </c:pt>
                <c:pt idx="513">
                  <c:v>147</c:v>
                </c:pt>
                <c:pt idx="514">
                  <c:v>146.06</c:v>
                </c:pt>
                <c:pt idx="515">
                  <c:v>149.93</c:v>
                </c:pt>
                <c:pt idx="516">
                  <c:v>150.15</c:v>
                </c:pt>
                <c:pt idx="517">
                  <c:v>149.49</c:v>
                </c:pt>
                <c:pt idx="518">
                  <c:v>148.34</c:v>
                </c:pt>
                <c:pt idx="519">
                  <c:v>147.34</c:v>
                </c:pt>
                <c:pt idx="520">
                  <c:v>149.9</c:v>
                </c:pt>
                <c:pt idx="521">
                  <c:v>151.77000000000001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FB-4536-BB01-2BC035A9E0F4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Data!$B$2:$B$523</c:f>
              <c:numCache>
                <c:formatCode>m/d/yyyy</c:formatCode>
                <c:ptCount val="52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</c:numCache>
            </c:numRef>
          </c:cat>
          <c:val>
            <c:numRef>
              <c:f>Data!$J$2:$J$523</c:f>
              <c:numCache>
                <c:formatCode>General</c:formatCode>
                <c:ptCount val="522"/>
                <c:pt idx="19">
                  <c:v>150.82499999999996</c:v>
                </c:pt>
                <c:pt idx="20">
                  <c:v>151.24499999999995</c:v>
                </c:pt>
                <c:pt idx="21">
                  <c:v>151.81199999999995</c:v>
                </c:pt>
                <c:pt idx="22">
                  <c:v>152.28399999999996</c:v>
                </c:pt>
                <c:pt idx="23">
                  <c:v>152.82349999999997</c:v>
                </c:pt>
                <c:pt idx="24">
                  <c:v>153.33699999999993</c:v>
                </c:pt>
                <c:pt idx="25">
                  <c:v>153.82799999999997</c:v>
                </c:pt>
                <c:pt idx="26">
                  <c:v>154.26299999999998</c:v>
                </c:pt>
                <c:pt idx="27">
                  <c:v>154.60849999999999</c:v>
                </c:pt>
                <c:pt idx="28">
                  <c:v>154.934</c:v>
                </c:pt>
                <c:pt idx="29">
                  <c:v>155.25799999999998</c:v>
                </c:pt>
                <c:pt idx="30">
                  <c:v>155.54249999999999</c:v>
                </c:pt>
                <c:pt idx="31">
                  <c:v>155.98600000000002</c:v>
                </c:pt>
                <c:pt idx="32">
                  <c:v>156.483</c:v>
                </c:pt>
                <c:pt idx="33">
                  <c:v>157.01550000000003</c:v>
                </c:pt>
                <c:pt idx="34">
                  <c:v>157.33650000000006</c:v>
                </c:pt>
                <c:pt idx="35">
                  <c:v>157.75850000000005</c:v>
                </c:pt>
                <c:pt idx="36">
                  <c:v>158.02900000000002</c:v>
                </c:pt>
                <c:pt idx="37">
                  <c:v>158.23300000000003</c:v>
                </c:pt>
                <c:pt idx="38">
                  <c:v>158.39000000000004</c:v>
                </c:pt>
                <c:pt idx="39">
                  <c:v>158.51800000000003</c:v>
                </c:pt>
                <c:pt idx="40">
                  <c:v>158.608</c:v>
                </c:pt>
                <c:pt idx="41">
                  <c:v>158.5915</c:v>
                </c:pt>
                <c:pt idx="42">
                  <c:v>158.66500000000002</c:v>
                </c:pt>
                <c:pt idx="43">
                  <c:v>158.72050000000002</c:v>
                </c:pt>
                <c:pt idx="44">
                  <c:v>158.75100000000003</c:v>
                </c:pt>
                <c:pt idx="45">
                  <c:v>158.82600000000002</c:v>
                </c:pt>
                <c:pt idx="46">
                  <c:v>158.91149999999999</c:v>
                </c:pt>
                <c:pt idx="47">
                  <c:v>159.11799999999999</c:v>
                </c:pt>
                <c:pt idx="48">
                  <c:v>159.35899999999998</c:v>
                </c:pt>
                <c:pt idx="49">
                  <c:v>159.66050000000001</c:v>
                </c:pt>
                <c:pt idx="50">
                  <c:v>159.95400000000001</c:v>
                </c:pt>
                <c:pt idx="51">
                  <c:v>160.17249999999999</c:v>
                </c:pt>
                <c:pt idx="52">
                  <c:v>160.35750000000002</c:v>
                </c:pt>
                <c:pt idx="53">
                  <c:v>160.52349999999998</c:v>
                </c:pt>
                <c:pt idx="54">
                  <c:v>160.60300000000001</c:v>
                </c:pt>
                <c:pt idx="55">
                  <c:v>160.66800000000001</c:v>
                </c:pt>
                <c:pt idx="56">
                  <c:v>160.6995</c:v>
                </c:pt>
                <c:pt idx="57">
                  <c:v>160.69800000000001</c:v>
                </c:pt>
                <c:pt idx="58">
                  <c:v>160.76050000000001</c:v>
                </c:pt>
                <c:pt idx="59">
                  <c:v>160.88849999999999</c:v>
                </c:pt>
                <c:pt idx="60">
                  <c:v>161.05400000000003</c:v>
                </c:pt>
                <c:pt idx="61">
                  <c:v>161.1405</c:v>
                </c:pt>
                <c:pt idx="62">
                  <c:v>161.191</c:v>
                </c:pt>
                <c:pt idx="63">
                  <c:v>161.0325</c:v>
                </c:pt>
                <c:pt idx="64">
                  <c:v>160.82650000000001</c:v>
                </c:pt>
                <c:pt idx="65">
                  <c:v>160.60050000000001</c:v>
                </c:pt>
                <c:pt idx="66">
                  <c:v>160.38500000000002</c:v>
                </c:pt>
                <c:pt idx="67">
                  <c:v>160.1405</c:v>
                </c:pt>
                <c:pt idx="68">
                  <c:v>159.90600000000001</c:v>
                </c:pt>
                <c:pt idx="69">
                  <c:v>159.583</c:v>
                </c:pt>
                <c:pt idx="70">
                  <c:v>159.27449999999999</c:v>
                </c:pt>
                <c:pt idx="71">
                  <c:v>158.97799999999998</c:v>
                </c:pt>
                <c:pt idx="72">
                  <c:v>158.71499999999997</c:v>
                </c:pt>
                <c:pt idx="73">
                  <c:v>158.47149999999996</c:v>
                </c:pt>
                <c:pt idx="74">
                  <c:v>158.23649999999998</c:v>
                </c:pt>
                <c:pt idx="75">
                  <c:v>158.0505</c:v>
                </c:pt>
                <c:pt idx="76">
                  <c:v>157.99449999999996</c:v>
                </c:pt>
                <c:pt idx="77">
                  <c:v>158.05999999999997</c:v>
                </c:pt>
                <c:pt idx="78">
                  <c:v>158.16249999999997</c:v>
                </c:pt>
                <c:pt idx="79">
                  <c:v>158.15950000000001</c:v>
                </c:pt>
                <c:pt idx="80">
                  <c:v>158.11150000000001</c:v>
                </c:pt>
                <c:pt idx="81">
                  <c:v>158.16550000000001</c:v>
                </c:pt>
                <c:pt idx="82">
                  <c:v>158.29699999999997</c:v>
                </c:pt>
                <c:pt idx="83">
                  <c:v>158.65949999999998</c:v>
                </c:pt>
                <c:pt idx="84">
                  <c:v>159.07900000000001</c:v>
                </c:pt>
                <c:pt idx="85">
                  <c:v>159.49700000000001</c:v>
                </c:pt>
                <c:pt idx="86">
                  <c:v>159.917</c:v>
                </c:pt>
                <c:pt idx="87">
                  <c:v>160.37200000000001</c:v>
                </c:pt>
                <c:pt idx="88">
                  <c:v>160.76349999999999</c:v>
                </c:pt>
                <c:pt idx="89">
                  <c:v>161.27349999999998</c:v>
                </c:pt>
                <c:pt idx="90">
                  <c:v>161.84949999999998</c:v>
                </c:pt>
                <c:pt idx="91">
                  <c:v>162.37049999999999</c:v>
                </c:pt>
                <c:pt idx="92">
                  <c:v>162.86100000000002</c:v>
                </c:pt>
                <c:pt idx="93">
                  <c:v>163.33850000000001</c:v>
                </c:pt>
                <c:pt idx="94">
                  <c:v>163.86700000000002</c:v>
                </c:pt>
                <c:pt idx="95">
                  <c:v>164.34200000000001</c:v>
                </c:pt>
                <c:pt idx="96">
                  <c:v>164.68049999999999</c:v>
                </c:pt>
                <c:pt idx="97">
                  <c:v>165.023</c:v>
                </c:pt>
                <c:pt idx="98">
                  <c:v>165.28349999999998</c:v>
                </c:pt>
                <c:pt idx="99">
                  <c:v>165.43049999999999</c:v>
                </c:pt>
                <c:pt idx="100">
                  <c:v>165.63249999999999</c:v>
                </c:pt>
                <c:pt idx="101">
                  <c:v>165.70499999999998</c:v>
                </c:pt>
                <c:pt idx="102">
                  <c:v>165.6275</c:v>
                </c:pt>
                <c:pt idx="103">
                  <c:v>165.58649999999997</c:v>
                </c:pt>
                <c:pt idx="104">
                  <c:v>165.62149999999997</c:v>
                </c:pt>
                <c:pt idx="105">
                  <c:v>165.63099999999997</c:v>
                </c:pt>
                <c:pt idx="106">
                  <c:v>165.75949999999997</c:v>
                </c:pt>
                <c:pt idx="107">
                  <c:v>165.77400000000003</c:v>
                </c:pt>
                <c:pt idx="108">
                  <c:v>165.94399999999999</c:v>
                </c:pt>
                <c:pt idx="109">
                  <c:v>165.99499999999998</c:v>
                </c:pt>
                <c:pt idx="110">
                  <c:v>166.02</c:v>
                </c:pt>
                <c:pt idx="111">
                  <c:v>166.10050000000001</c:v>
                </c:pt>
                <c:pt idx="112">
                  <c:v>166.07149999999999</c:v>
                </c:pt>
                <c:pt idx="113">
                  <c:v>166.06649999999996</c:v>
                </c:pt>
                <c:pt idx="114">
                  <c:v>166.01299999999998</c:v>
                </c:pt>
                <c:pt idx="115">
                  <c:v>166.00599999999997</c:v>
                </c:pt>
                <c:pt idx="116">
                  <c:v>166.06849999999997</c:v>
                </c:pt>
                <c:pt idx="117">
                  <c:v>166.03449999999998</c:v>
                </c:pt>
                <c:pt idx="118">
                  <c:v>166.05699999999996</c:v>
                </c:pt>
                <c:pt idx="119">
                  <c:v>166.20499999999998</c:v>
                </c:pt>
                <c:pt idx="120">
                  <c:v>166.28099999999998</c:v>
                </c:pt>
                <c:pt idx="121">
                  <c:v>166.49799999999999</c:v>
                </c:pt>
                <c:pt idx="122">
                  <c:v>166.74649999999994</c:v>
                </c:pt>
                <c:pt idx="123">
                  <c:v>166.86349999999999</c:v>
                </c:pt>
                <c:pt idx="124">
                  <c:v>166.77249999999995</c:v>
                </c:pt>
                <c:pt idx="125">
                  <c:v>166.73499999999996</c:v>
                </c:pt>
                <c:pt idx="126">
                  <c:v>166.57599999999996</c:v>
                </c:pt>
                <c:pt idx="127">
                  <c:v>166.53399999999999</c:v>
                </c:pt>
                <c:pt idx="128">
                  <c:v>166.43649999999997</c:v>
                </c:pt>
                <c:pt idx="129">
                  <c:v>166.3665</c:v>
                </c:pt>
                <c:pt idx="130">
                  <c:v>166.339</c:v>
                </c:pt>
                <c:pt idx="131">
                  <c:v>166.24199999999999</c:v>
                </c:pt>
                <c:pt idx="132">
                  <c:v>166.3135</c:v>
                </c:pt>
                <c:pt idx="133">
                  <c:v>166.22200000000004</c:v>
                </c:pt>
                <c:pt idx="134">
                  <c:v>166.23</c:v>
                </c:pt>
                <c:pt idx="135">
                  <c:v>166.32700000000003</c:v>
                </c:pt>
                <c:pt idx="136">
                  <c:v>166.321</c:v>
                </c:pt>
                <c:pt idx="137">
                  <c:v>166.3355</c:v>
                </c:pt>
                <c:pt idx="138">
                  <c:v>166.33499999999998</c:v>
                </c:pt>
                <c:pt idx="139">
                  <c:v>166.24349999999998</c:v>
                </c:pt>
                <c:pt idx="140">
                  <c:v>166.30099999999999</c:v>
                </c:pt>
                <c:pt idx="141">
                  <c:v>166.27349999999998</c:v>
                </c:pt>
                <c:pt idx="142">
                  <c:v>166.398</c:v>
                </c:pt>
                <c:pt idx="143">
                  <c:v>166.64849999999998</c:v>
                </c:pt>
                <c:pt idx="144">
                  <c:v>166.5975</c:v>
                </c:pt>
                <c:pt idx="145">
                  <c:v>166.44049999999999</c:v>
                </c:pt>
                <c:pt idx="146">
                  <c:v>166.53350000000003</c:v>
                </c:pt>
                <c:pt idx="147">
                  <c:v>166.77700000000002</c:v>
                </c:pt>
                <c:pt idx="148">
                  <c:v>166.85399999999998</c:v>
                </c:pt>
                <c:pt idx="149">
                  <c:v>166.97550000000001</c:v>
                </c:pt>
                <c:pt idx="150">
                  <c:v>167.13650000000001</c:v>
                </c:pt>
                <c:pt idx="151">
                  <c:v>167.40299999999999</c:v>
                </c:pt>
                <c:pt idx="152">
                  <c:v>167.59950000000001</c:v>
                </c:pt>
                <c:pt idx="153">
                  <c:v>167.71099999999998</c:v>
                </c:pt>
                <c:pt idx="154">
                  <c:v>167.72800000000001</c:v>
                </c:pt>
                <c:pt idx="155">
                  <c:v>167.696</c:v>
                </c:pt>
                <c:pt idx="156">
                  <c:v>167.67000000000002</c:v>
                </c:pt>
                <c:pt idx="157">
                  <c:v>167.66649999999998</c:v>
                </c:pt>
                <c:pt idx="158">
                  <c:v>167.67500000000001</c:v>
                </c:pt>
                <c:pt idx="159">
                  <c:v>167.86449999999999</c:v>
                </c:pt>
                <c:pt idx="160">
                  <c:v>167.97249999999997</c:v>
                </c:pt>
                <c:pt idx="161">
                  <c:v>168.13499999999999</c:v>
                </c:pt>
                <c:pt idx="162">
                  <c:v>168.13799999999998</c:v>
                </c:pt>
                <c:pt idx="163">
                  <c:v>168.15899999999996</c:v>
                </c:pt>
                <c:pt idx="164">
                  <c:v>168.53649999999999</c:v>
                </c:pt>
                <c:pt idx="165">
                  <c:v>168.95149999999998</c:v>
                </c:pt>
                <c:pt idx="166">
                  <c:v>169.16849999999999</c:v>
                </c:pt>
                <c:pt idx="167">
                  <c:v>169.24150000000003</c:v>
                </c:pt>
                <c:pt idx="168">
                  <c:v>169.56450000000001</c:v>
                </c:pt>
                <c:pt idx="169">
                  <c:v>169.95500000000001</c:v>
                </c:pt>
                <c:pt idx="170">
                  <c:v>170.22750000000002</c:v>
                </c:pt>
                <c:pt idx="171">
                  <c:v>170.46350000000001</c:v>
                </c:pt>
                <c:pt idx="172">
                  <c:v>170.73950000000002</c:v>
                </c:pt>
                <c:pt idx="173">
                  <c:v>171.2885</c:v>
                </c:pt>
                <c:pt idx="174">
                  <c:v>171.62</c:v>
                </c:pt>
                <c:pt idx="175">
                  <c:v>171.8535</c:v>
                </c:pt>
                <c:pt idx="176">
                  <c:v>172.16149999999996</c:v>
                </c:pt>
                <c:pt idx="177">
                  <c:v>172.62899999999996</c:v>
                </c:pt>
                <c:pt idx="178">
                  <c:v>173.00200000000001</c:v>
                </c:pt>
                <c:pt idx="179">
                  <c:v>173.17750000000001</c:v>
                </c:pt>
                <c:pt idx="180">
                  <c:v>173.24650000000003</c:v>
                </c:pt>
                <c:pt idx="181">
                  <c:v>173.45</c:v>
                </c:pt>
                <c:pt idx="182">
                  <c:v>173.67999999999998</c:v>
                </c:pt>
                <c:pt idx="183">
                  <c:v>173.8245</c:v>
                </c:pt>
                <c:pt idx="184">
                  <c:v>173.97499999999999</c:v>
                </c:pt>
                <c:pt idx="185">
                  <c:v>174.18249999999998</c:v>
                </c:pt>
                <c:pt idx="186">
                  <c:v>174.35849999999999</c:v>
                </c:pt>
                <c:pt idx="187">
                  <c:v>174.44149999999999</c:v>
                </c:pt>
                <c:pt idx="188">
                  <c:v>174.36750000000001</c:v>
                </c:pt>
                <c:pt idx="189">
                  <c:v>174.16849999999999</c:v>
                </c:pt>
                <c:pt idx="190">
                  <c:v>173.90100000000001</c:v>
                </c:pt>
                <c:pt idx="191">
                  <c:v>173.56550000000001</c:v>
                </c:pt>
                <c:pt idx="192">
                  <c:v>173.11849999999998</c:v>
                </c:pt>
                <c:pt idx="193">
                  <c:v>172.637</c:v>
                </c:pt>
                <c:pt idx="194">
                  <c:v>172.40449999999998</c:v>
                </c:pt>
                <c:pt idx="195">
                  <c:v>172.17849999999996</c:v>
                </c:pt>
                <c:pt idx="196">
                  <c:v>172.029</c:v>
                </c:pt>
                <c:pt idx="197">
                  <c:v>171.79249999999996</c:v>
                </c:pt>
                <c:pt idx="198">
                  <c:v>171.67699999999996</c:v>
                </c:pt>
                <c:pt idx="199">
                  <c:v>171.60000000000002</c:v>
                </c:pt>
                <c:pt idx="200">
                  <c:v>171.63700000000003</c:v>
                </c:pt>
                <c:pt idx="201">
                  <c:v>171.49000000000004</c:v>
                </c:pt>
                <c:pt idx="202">
                  <c:v>171.27850000000007</c:v>
                </c:pt>
                <c:pt idx="203">
                  <c:v>171.10150000000004</c:v>
                </c:pt>
                <c:pt idx="204">
                  <c:v>170.96750000000003</c:v>
                </c:pt>
                <c:pt idx="205">
                  <c:v>170.78800000000001</c:v>
                </c:pt>
                <c:pt idx="206">
                  <c:v>170.5215</c:v>
                </c:pt>
                <c:pt idx="207">
                  <c:v>170.32649999999998</c:v>
                </c:pt>
                <c:pt idx="208">
                  <c:v>170.03299999999996</c:v>
                </c:pt>
                <c:pt idx="209">
                  <c:v>169.74499999999995</c:v>
                </c:pt>
                <c:pt idx="210">
                  <c:v>169.49799999999996</c:v>
                </c:pt>
                <c:pt idx="211">
                  <c:v>169.309</c:v>
                </c:pt>
                <c:pt idx="212">
                  <c:v>169.20699999999997</c:v>
                </c:pt>
                <c:pt idx="213">
                  <c:v>169.08699999999999</c:v>
                </c:pt>
                <c:pt idx="214">
                  <c:v>168.67599999999999</c:v>
                </c:pt>
                <c:pt idx="215">
                  <c:v>168.39899999999997</c:v>
                </c:pt>
                <c:pt idx="216">
                  <c:v>168.22999999999996</c:v>
                </c:pt>
                <c:pt idx="217">
                  <c:v>167.90600000000001</c:v>
                </c:pt>
                <c:pt idx="218">
                  <c:v>167.51949999999999</c:v>
                </c:pt>
                <c:pt idx="219">
                  <c:v>167.22950000000003</c:v>
                </c:pt>
                <c:pt idx="220">
                  <c:v>166.96950000000001</c:v>
                </c:pt>
                <c:pt idx="221">
                  <c:v>166.88249999999999</c:v>
                </c:pt>
                <c:pt idx="222">
                  <c:v>166.94300000000001</c:v>
                </c:pt>
                <c:pt idx="223">
                  <c:v>166.99600000000001</c:v>
                </c:pt>
                <c:pt idx="224">
                  <c:v>167.0615</c:v>
                </c:pt>
                <c:pt idx="225">
                  <c:v>167.21800000000002</c:v>
                </c:pt>
                <c:pt idx="226">
                  <c:v>167.62100000000001</c:v>
                </c:pt>
                <c:pt idx="227">
                  <c:v>168.02549999999999</c:v>
                </c:pt>
                <c:pt idx="228">
                  <c:v>168.63249999999999</c:v>
                </c:pt>
                <c:pt idx="229">
                  <c:v>169.29249999999999</c:v>
                </c:pt>
                <c:pt idx="230">
                  <c:v>169.99649999999997</c:v>
                </c:pt>
                <c:pt idx="231">
                  <c:v>170.72649999999999</c:v>
                </c:pt>
                <c:pt idx="232">
                  <c:v>171.24349999999998</c:v>
                </c:pt>
                <c:pt idx="233">
                  <c:v>171.71099999999998</c:v>
                </c:pt>
                <c:pt idx="234">
                  <c:v>172.46000000000004</c:v>
                </c:pt>
                <c:pt idx="235">
                  <c:v>172.98050000000006</c:v>
                </c:pt>
                <c:pt idx="236">
                  <c:v>173.1345</c:v>
                </c:pt>
                <c:pt idx="237">
                  <c:v>173.44700000000003</c:v>
                </c:pt>
                <c:pt idx="238">
                  <c:v>173.68650000000002</c:v>
                </c:pt>
                <c:pt idx="239">
                  <c:v>173.90000000000003</c:v>
                </c:pt>
                <c:pt idx="240">
                  <c:v>174.09900000000005</c:v>
                </c:pt>
                <c:pt idx="241">
                  <c:v>174.17900000000003</c:v>
                </c:pt>
                <c:pt idx="242">
                  <c:v>174.15800000000002</c:v>
                </c:pt>
                <c:pt idx="243">
                  <c:v>174.07400000000001</c:v>
                </c:pt>
                <c:pt idx="244">
                  <c:v>173.98899999999998</c:v>
                </c:pt>
                <c:pt idx="245">
                  <c:v>173.75449999999998</c:v>
                </c:pt>
                <c:pt idx="246">
                  <c:v>173.34599999999998</c:v>
                </c:pt>
                <c:pt idx="247">
                  <c:v>172.92349999999999</c:v>
                </c:pt>
                <c:pt idx="248">
                  <c:v>172.46599999999995</c:v>
                </c:pt>
                <c:pt idx="249">
                  <c:v>171.97449999999998</c:v>
                </c:pt>
                <c:pt idx="250">
                  <c:v>171.36599999999999</c:v>
                </c:pt>
                <c:pt idx="251">
                  <c:v>170.76349999999999</c:v>
                </c:pt>
                <c:pt idx="252">
                  <c:v>170.29149999999998</c:v>
                </c:pt>
                <c:pt idx="253">
                  <c:v>169.79250000000002</c:v>
                </c:pt>
                <c:pt idx="254">
                  <c:v>169.02100000000002</c:v>
                </c:pt>
                <c:pt idx="255">
                  <c:v>168.39500000000004</c:v>
                </c:pt>
                <c:pt idx="256">
                  <c:v>167.96050000000002</c:v>
                </c:pt>
                <c:pt idx="257">
                  <c:v>167.27450000000002</c:v>
                </c:pt>
                <c:pt idx="258">
                  <c:v>166.685</c:v>
                </c:pt>
                <c:pt idx="259">
                  <c:v>166.12950000000001</c:v>
                </c:pt>
                <c:pt idx="260">
                  <c:v>165.559</c:v>
                </c:pt>
                <c:pt idx="261">
                  <c:v>165.02700000000002</c:v>
                </c:pt>
                <c:pt idx="262">
                  <c:v>164.56700000000004</c:v>
                </c:pt>
                <c:pt idx="263">
                  <c:v>164.19900000000001</c:v>
                </c:pt>
                <c:pt idx="264">
                  <c:v>163.97649999999999</c:v>
                </c:pt>
                <c:pt idx="265">
                  <c:v>163.88099999999997</c:v>
                </c:pt>
                <c:pt idx="266">
                  <c:v>163.68149999999997</c:v>
                </c:pt>
                <c:pt idx="267">
                  <c:v>163.71749999999994</c:v>
                </c:pt>
                <c:pt idx="268">
                  <c:v>163.51900000000001</c:v>
                </c:pt>
                <c:pt idx="269">
                  <c:v>163.35399999999998</c:v>
                </c:pt>
                <c:pt idx="270">
                  <c:v>163.37</c:v>
                </c:pt>
                <c:pt idx="271">
                  <c:v>163.28699999999998</c:v>
                </c:pt>
                <c:pt idx="272">
                  <c:v>163.42600000000002</c:v>
                </c:pt>
                <c:pt idx="273">
                  <c:v>163.57600000000002</c:v>
                </c:pt>
                <c:pt idx="274">
                  <c:v>163.99650000000003</c:v>
                </c:pt>
                <c:pt idx="275">
                  <c:v>164.37550000000002</c:v>
                </c:pt>
                <c:pt idx="276">
                  <c:v>164.66900000000004</c:v>
                </c:pt>
                <c:pt idx="277">
                  <c:v>165.11750000000006</c:v>
                </c:pt>
                <c:pt idx="278">
                  <c:v>165.64700000000005</c:v>
                </c:pt>
                <c:pt idx="279">
                  <c:v>166.13900000000001</c:v>
                </c:pt>
                <c:pt idx="280">
                  <c:v>166.70749999999998</c:v>
                </c:pt>
                <c:pt idx="281">
                  <c:v>166.82699999999997</c:v>
                </c:pt>
                <c:pt idx="282">
                  <c:v>167.04199999999997</c:v>
                </c:pt>
                <c:pt idx="283">
                  <c:v>167.28049999999999</c:v>
                </c:pt>
                <c:pt idx="284">
                  <c:v>167.40399999999994</c:v>
                </c:pt>
                <c:pt idx="285">
                  <c:v>167.60799999999998</c:v>
                </c:pt>
                <c:pt idx="286">
                  <c:v>167.92899999999997</c:v>
                </c:pt>
                <c:pt idx="287">
                  <c:v>168.07849999999999</c:v>
                </c:pt>
                <c:pt idx="288">
                  <c:v>168.334</c:v>
                </c:pt>
                <c:pt idx="289">
                  <c:v>168.62099999999998</c:v>
                </c:pt>
                <c:pt idx="290">
                  <c:v>168.94250000000002</c:v>
                </c:pt>
                <c:pt idx="291">
                  <c:v>169.42250000000001</c:v>
                </c:pt>
                <c:pt idx="292">
                  <c:v>169.64350000000002</c:v>
                </c:pt>
                <c:pt idx="293">
                  <c:v>169.96750000000003</c:v>
                </c:pt>
                <c:pt idx="294">
                  <c:v>170.25</c:v>
                </c:pt>
                <c:pt idx="295">
                  <c:v>170.6035</c:v>
                </c:pt>
                <c:pt idx="296">
                  <c:v>171.01799999999997</c:v>
                </c:pt>
                <c:pt idx="297">
                  <c:v>171.29749999999999</c:v>
                </c:pt>
                <c:pt idx="298">
                  <c:v>171.24449999999996</c:v>
                </c:pt>
                <c:pt idx="299">
                  <c:v>171.19499999999999</c:v>
                </c:pt>
                <c:pt idx="300">
                  <c:v>171.04249999999996</c:v>
                </c:pt>
                <c:pt idx="301">
                  <c:v>171.38599999999997</c:v>
                </c:pt>
                <c:pt idx="302">
                  <c:v>171.49999999999994</c:v>
                </c:pt>
                <c:pt idx="303">
                  <c:v>171.60399999999998</c:v>
                </c:pt>
                <c:pt idx="304">
                  <c:v>171.62099999999998</c:v>
                </c:pt>
                <c:pt idx="305">
                  <c:v>171.44400000000005</c:v>
                </c:pt>
                <c:pt idx="306">
                  <c:v>171.19950000000006</c:v>
                </c:pt>
                <c:pt idx="307">
                  <c:v>170.70950000000002</c:v>
                </c:pt>
                <c:pt idx="308">
                  <c:v>170.4735</c:v>
                </c:pt>
                <c:pt idx="309">
                  <c:v>170.31049999999999</c:v>
                </c:pt>
                <c:pt idx="310">
                  <c:v>170.02</c:v>
                </c:pt>
                <c:pt idx="311">
                  <c:v>169.76150000000001</c:v>
                </c:pt>
                <c:pt idx="312">
                  <c:v>169.63050000000001</c:v>
                </c:pt>
                <c:pt idx="313">
                  <c:v>169.375</c:v>
                </c:pt>
                <c:pt idx="314">
                  <c:v>169.26150000000001</c:v>
                </c:pt>
                <c:pt idx="315">
                  <c:v>168.6515</c:v>
                </c:pt>
                <c:pt idx="316">
                  <c:v>167.85</c:v>
                </c:pt>
                <c:pt idx="317">
                  <c:v>167.11349999999999</c:v>
                </c:pt>
                <c:pt idx="318">
                  <c:v>166.81099999999998</c:v>
                </c:pt>
                <c:pt idx="319">
                  <c:v>166.55950000000001</c:v>
                </c:pt>
                <c:pt idx="320">
                  <c:v>166.50649999999999</c:v>
                </c:pt>
                <c:pt idx="321">
                  <c:v>166.47499999999999</c:v>
                </c:pt>
                <c:pt idx="322">
                  <c:v>166.51299999999998</c:v>
                </c:pt>
                <c:pt idx="323">
                  <c:v>166.404</c:v>
                </c:pt>
                <c:pt idx="324">
                  <c:v>166.55799999999999</c:v>
                </c:pt>
                <c:pt idx="325">
                  <c:v>166.511</c:v>
                </c:pt>
                <c:pt idx="326">
                  <c:v>166.6225</c:v>
                </c:pt>
                <c:pt idx="327">
                  <c:v>166.76650000000001</c:v>
                </c:pt>
                <c:pt idx="328">
                  <c:v>166.41400000000002</c:v>
                </c:pt>
                <c:pt idx="329">
                  <c:v>166.02950000000001</c:v>
                </c:pt>
                <c:pt idx="330">
                  <c:v>165.72050000000002</c:v>
                </c:pt>
                <c:pt idx="331">
                  <c:v>165.31250000000006</c:v>
                </c:pt>
                <c:pt idx="332">
                  <c:v>164.91300000000004</c:v>
                </c:pt>
                <c:pt idx="333">
                  <c:v>164.43700000000004</c:v>
                </c:pt>
                <c:pt idx="334">
                  <c:v>163.84350000000001</c:v>
                </c:pt>
                <c:pt idx="335">
                  <c:v>163.59750000000003</c:v>
                </c:pt>
                <c:pt idx="336">
                  <c:v>163.54850000000005</c:v>
                </c:pt>
                <c:pt idx="337">
                  <c:v>163.59350000000001</c:v>
                </c:pt>
                <c:pt idx="338">
                  <c:v>163.41000000000003</c:v>
                </c:pt>
                <c:pt idx="339">
                  <c:v>163.11499999999998</c:v>
                </c:pt>
                <c:pt idx="340">
                  <c:v>162.81449999999998</c:v>
                </c:pt>
                <c:pt idx="341">
                  <c:v>162.2945</c:v>
                </c:pt>
                <c:pt idx="342">
                  <c:v>161.77199999999999</c:v>
                </c:pt>
                <c:pt idx="343">
                  <c:v>161.57299999999998</c:v>
                </c:pt>
                <c:pt idx="344">
                  <c:v>161.2055</c:v>
                </c:pt>
                <c:pt idx="345">
                  <c:v>161.15649999999999</c:v>
                </c:pt>
                <c:pt idx="346">
                  <c:v>161.0445</c:v>
                </c:pt>
                <c:pt idx="347">
                  <c:v>161.02949999999998</c:v>
                </c:pt>
                <c:pt idx="348">
                  <c:v>161.30450000000002</c:v>
                </c:pt>
                <c:pt idx="349">
                  <c:v>161.54650000000001</c:v>
                </c:pt>
                <c:pt idx="350">
                  <c:v>161.84200000000001</c:v>
                </c:pt>
                <c:pt idx="351">
                  <c:v>162.09700000000001</c:v>
                </c:pt>
                <c:pt idx="352">
                  <c:v>162.3965</c:v>
                </c:pt>
                <c:pt idx="353">
                  <c:v>162.892</c:v>
                </c:pt>
                <c:pt idx="354">
                  <c:v>163.25500000000002</c:v>
                </c:pt>
                <c:pt idx="355">
                  <c:v>163.65600000000001</c:v>
                </c:pt>
                <c:pt idx="356">
                  <c:v>163.99100000000001</c:v>
                </c:pt>
                <c:pt idx="357">
                  <c:v>164.16650000000001</c:v>
                </c:pt>
                <c:pt idx="358">
                  <c:v>164.435</c:v>
                </c:pt>
                <c:pt idx="359">
                  <c:v>164.68</c:v>
                </c:pt>
                <c:pt idx="360">
                  <c:v>164.77699999999999</c:v>
                </c:pt>
                <c:pt idx="361">
                  <c:v>164.946</c:v>
                </c:pt>
                <c:pt idx="362">
                  <c:v>165.20400000000001</c:v>
                </c:pt>
                <c:pt idx="363">
                  <c:v>165.09750000000003</c:v>
                </c:pt>
                <c:pt idx="364">
                  <c:v>164.97750000000002</c:v>
                </c:pt>
                <c:pt idx="365">
                  <c:v>164.66500000000002</c:v>
                </c:pt>
                <c:pt idx="366">
                  <c:v>164.28400000000002</c:v>
                </c:pt>
                <c:pt idx="367">
                  <c:v>163.9665</c:v>
                </c:pt>
                <c:pt idx="368">
                  <c:v>163.76650000000001</c:v>
                </c:pt>
                <c:pt idx="369">
                  <c:v>163.4915</c:v>
                </c:pt>
                <c:pt idx="370">
                  <c:v>163.05199999999999</c:v>
                </c:pt>
                <c:pt idx="371">
                  <c:v>162.6155</c:v>
                </c:pt>
                <c:pt idx="372">
                  <c:v>162.18049999999999</c:v>
                </c:pt>
                <c:pt idx="373">
                  <c:v>161.65200000000002</c:v>
                </c:pt>
                <c:pt idx="374">
                  <c:v>161.32400000000001</c:v>
                </c:pt>
                <c:pt idx="375">
                  <c:v>161.04149999999998</c:v>
                </c:pt>
                <c:pt idx="376">
                  <c:v>160.78549999999998</c:v>
                </c:pt>
                <c:pt idx="377">
                  <c:v>160.67049999999998</c:v>
                </c:pt>
                <c:pt idx="378">
                  <c:v>160.36399999999998</c:v>
                </c:pt>
                <c:pt idx="379">
                  <c:v>160.11199999999999</c:v>
                </c:pt>
                <c:pt idx="380">
                  <c:v>159.89449999999997</c:v>
                </c:pt>
                <c:pt idx="381">
                  <c:v>159.64150000000001</c:v>
                </c:pt>
                <c:pt idx="382">
                  <c:v>159.1705</c:v>
                </c:pt>
                <c:pt idx="383">
                  <c:v>158.79050000000001</c:v>
                </c:pt>
                <c:pt idx="384">
                  <c:v>158.43299999999999</c:v>
                </c:pt>
                <c:pt idx="385">
                  <c:v>158.28800000000001</c:v>
                </c:pt>
                <c:pt idx="386">
                  <c:v>158.142</c:v>
                </c:pt>
                <c:pt idx="387">
                  <c:v>157.93950000000001</c:v>
                </c:pt>
                <c:pt idx="388">
                  <c:v>157.80400000000003</c:v>
                </c:pt>
                <c:pt idx="389">
                  <c:v>157.69999999999999</c:v>
                </c:pt>
                <c:pt idx="390">
                  <c:v>157.69200000000001</c:v>
                </c:pt>
                <c:pt idx="391">
                  <c:v>157.6755</c:v>
                </c:pt>
                <c:pt idx="392">
                  <c:v>157.53800000000004</c:v>
                </c:pt>
                <c:pt idx="393">
                  <c:v>157.40250000000006</c:v>
                </c:pt>
                <c:pt idx="394">
                  <c:v>156.98550000000003</c:v>
                </c:pt>
                <c:pt idx="395">
                  <c:v>156.44900000000001</c:v>
                </c:pt>
                <c:pt idx="396">
                  <c:v>155.94000000000003</c:v>
                </c:pt>
                <c:pt idx="397">
                  <c:v>155.45300000000003</c:v>
                </c:pt>
                <c:pt idx="398">
                  <c:v>155.084</c:v>
                </c:pt>
                <c:pt idx="399">
                  <c:v>154.851</c:v>
                </c:pt>
                <c:pt idx="400">
                  <c:v>154.60100000000003</c:v>
                </c:pt>
                <c:pt idx="401">
                  <c:v>154.42400000000004</c:v>
                </c:pt>
                <c:pt idx="402">
                  <c:v>154.48500000000007</c:v>
                </c:pt>
                <c:pt idx="403">
                  <c:v>154.60550000000006</c:v>
                </c:pt>
                <c:pt idx="404">
                  <c:v>154.68950000000001</c:v>
                </c:pt>
                <c:pt idx="405">
                  <c:v>154.59550000000004</c:v>
                </c:pt>
                <c:pt idx="406">
                  <c:v>154.55850000000004</c:v>
                </c:pt>
                <c:pt idx="407">
                  <c:v>154.59299999999999</c:v>
                </c:pt>
                <c:pt idx="408">
                  <c:v>154.59700000000001</c:v>
                </c:pt>
                <c:pt idx="409">
                  <c:v>154.6585</c:v>
                </c:pt>
                <c:pt idx="410">
                  <c:v>154.65449999999998</c:v>
                </c:pt>
                <c:pt idx="411">
                  <c:v>154.67299999999997</c:v>
                </c:pt>
                <c:pt idx="412">
                  <c:v>154.625</c:v>
                </c:pt>
                <c:pt idx="413">
                  <c:v>154.59300000000002</c:v>
                </c:pt>
                <c:pt idx="414">
                  <c:v>154.797</c:v>
                </c:pt>
                <c:pt idx="415">
                  <c:v>155.05600000000001</c:v>
                </c:pt>
                <c:pt idx="416">
                  <c:v>155.37550000000002</c:v>
                </c:pt>
                <c:pt idx="417">
                  <c:v>155.73700000000002</c:v>
                </c:pt>
                <c:pt idx="418">
                  <c:v>156.12000000000003</c:v>
                </c:pt>
                <c:pt idx="419">
                  <c:v>156.4365</c:v>
                </c:pt>
                <c:pt idx="420">
                  <c:v>156.76300000000001</c:v>
                </c:pt>
                <c:pt idx="421">
                  <c:v>157.03800000000001</c:v>
                </c:pt>
                <c:pt idx="422">
                  <c:v>157.26200000000003</c:v>
                </c:pt>
                <c:pt idx="423">
                  <c:v>157.37500000000003</c:v>
                </c:pt>
                <c:pt idx="424">
                  <c:v>157.53600000000003</c:v>
                </c:pt>
                <c:pt idx="425">
                  <c:v>157.744</c:v>
                </c:pt>
                <c:pt idx="426">
                  <c:v>157.86750000000001</c:v>
                </c:pt>
                <c:pt idx="427">
                  <c:v>157.98400000000001</c:v>
                </c:pt>
                <c:pt idx="428">
                  <c:v>158.08050000000003</c:v>
                </c:pt>
                <c:pt idx="429">
                  <c:v>157.97100000000003</c:v>
                </c:pt>
                <c:pt idx="430">
                  <c:v>157.83650000000003</c:v>
                </c:pt>
                <c:pt idx="431">
                  <c:v>157.55650000000003</c:v>
                </c:pt>
                <c:pt idx="432">
                  <c:v>157.37400000000002</c:v>
                </c:pt>
                <c:pt idx="433">
                  <c:v>157.19650000000001</c:v>
                </c:pt>
                <c:pt idx="434">
                  <c:v>156.95600000000002</c:v>
                </c:pt>
                <c:pt idx="435">
                  <c:v>156.79850000000002</c:v>
                </c:pt>
                <c:pt idx="436">
                  <c:v>156.62300000000002</c:v>
                </c:pt>
                <c:pt idx="437">
                  <c:v>156.40600000000001</c:v>
                </c:pt>
                <c:pt idx="438">
                  <c:v>156.15649999999999</c:v>
                </c:pt>
                <c:pt idx="439">
                  <c:v>155.79950000000002</c:v>
                </c:pt>
                <c:pt idx="440">
                  <c:v>155.41200000000001</c:v>
                </c:pt>
                <c:pt idx="441">
                  <c:v>154.98200000000003</c:v>
                </c:pt>
                <c:pt idx="442">
                  <c:v>154.63600000000002</c:v>
                </c:pt>
                <c:pt idx="443">
                  <c:v>154.303</c:v>
                </c:pt>
                <c:pt idx="444">
                  <c:v>153.90050000000002</c:v>
                </c:pt>
                <c:pt idx="445">
                  <c:v>153.49</c:v>
                </c:pt>
                <c:pt idx="446">
                  <c:v>153.023</c:v>
                </c:pt>
                <c:pt idx="447">
                  <c:v>152.57849999999999</c:v>
                </c:pt>
                <c:pt idx="448">
                  <c:v>151.93299999999999</c:v>
                </c:pt>
                <c:pt idx="449">
                  <c:v>151.547</c:v>
                </c:pt>
                <c:pt idx="450">
                  <c:v>151.315</c:v>
                </c:pt>
                <c:pt idx="451">
                  <c:v>151.25949999999997</c:v>
                </c:pt>
                <c:pt idx="452">
                  <c:v>151.21549999999999</c:v>
                </c:pt>
                <c:pt idx="453">
                  <c:v>151.2045</c:v>
                </c:pt>
                <c:pt idx="454">
                  <c:v>151.20749999999998</c:v>
                </c:pt>
                <c:pt idx="455">
                  <c:v>151.20700000000002</c:v>
                </c:pt>
                <c:pt idx="456">
                  <c:v>151.11749999999998</c:v>
                </c:pt>
                <c:pt idx="457">
                  <c:v>151.00349999999997</c:v>
                </c:pt>
                <c:pt idx="458">
                  <c:v>150.78299999999996</c:v>
                </c:pt>
                <c:pt idx="459">
                  <c:v>150.65950000000001</c:v>
                </c:pt>
                <c:pt idx="460">
                  <c:v>150.56449999999998</c:v>
                </c:pt>
                <c:pt idx="461">
                  <c:v>150.44499999999999</c:v>
                </c:pt>
                <c:pt idx="462">
                  <c:v>150.17649999999998</c:v>
                </c:pt>
                <c:pt idx="463">
                  <c:v>149.9315</c:v>
                </c:pt>
                <c:pt idx="464">
                  <c:v>149.709</c:v>
                </c:pt>
                <c:pt idx="465">
                  <c:v>149.57350000000002</c:v>
                </c:pt>
                <c:pt idx="466">
                  <c:v>149.47399999999999</c:v>
                </c:pt>
                <c:pt idx="467">
                  <c:v>149.44300000000001</c:v>
                </c:pt>
                <c:pt idx="468">
                  <c:v>149.4725</c:v>
                </c:pt>
                <c:pt idx="469">
                  <c:v>149.39050000000003</c:v>
                </c:pt>
                <c:pt idx="470">
                  <c:v>149.20400000000001</c:v>
                </c:pt>
                <c:pt idx="471">
                  <c:v>148.89699999999999</c:v>
                </c:pt>
                <c:pt idx="472">
                  <c:v>148.66550000000001</c:v>
                </c:pt>
                <c:pt idx="473">
                  <c:v>148.40500000000003</c:v>
                </c:pt>
                <c:pt idx="474">
                  <c:v>148.20400000000001</c:v>
                </c:pt>
                <c:pt idx="475">
                  <c:v>148.12549999999999</c:v>
                </c:pt>
                <c:pt idx="476">
                  <c:v>147.88749999999999</c:v>
                </c:pt>
                <c:pt idx="477">
                  <c:v>147.74349999999998</c:v>
                </c:pt>
                <c:pt idx="478">
                  <c:v>147.71749999999997</c:v>
                </c:pt>
                <c:pt idx="479">
                  <c:v>147.6465</c:v>
                </c:pt>
                <c:pt idx="480">
                  <c:v>147.50000000000003</c:v>
                </c:pt>
                <c:pt idx="481">
                  <c:v>147.392</c:v>
                </c:pt>
                <c:pt idx="482">
                  <c:v>147.369</c:v>
                </c:pt>
                <c:pt idx="483">
                  <c:v>147.34750000000003</c:v>
                </c:pt>
                <c:pt idx="484">
                  <c:v>147.21350000000001</c:v>
                </c:pt>
                <c:pt idx="485">
                  <c:v>146.78150000000002</c:v>
                </c:pt>
                <c:pt idx="486">
                  <c:v>146.48800000000003</c:v>
                </c:pt>
                <c:pt idx="487">
                  <c:v>146.05200000000005</c:v>
                </c:pt>
                <c:pt idx="488">
                  <c:v>145.68950000000004</c:v>
                </c:pt>
                <c:pt idx="489">
                  <c:v>145.43350000000004</c:v>
                </c:pt>
                <c:pt idx="490">
                  <c:v>145.30650000000006</c:v>
                </c:pt>
                <c:pt idx="491">
                  <c:v>145.27600000000001</c:v>
                </c:pt>
                <c:pt idx="492">
                  <c:v>145.31700000000004</c:v>
                </c:pt>
                <c:pt idx="493">
                  <c:v>145.24350000000001</c:v>
                </c:pt>
                <c:pt idx="494">
                  <c:v>145.05700000000002</c:v>
                </c:pt>
                <c:pt idx="495">
                  <c:v>144.6455</c:v>
                </c:pt>
                <c:pt idx="496">
                  <c:v>144.45549999999997</c:v>
                </c:pt>
                <c:pt idx="497">
                  <c:v>144.25549999999998</c:v>
                </c:pt>
                <c:pt idx="498">
                  <c:v>144.07999999999998</c:v>
                </c:pt>
                <c:pt idx="499">
                  <c:v>143.90049999999999</c:v>
                </c:pt>
                <c:pt idx="500">
                  <c:v>143.73100000000002</c:v>
                </c:pt>
                <c:pt idx="501">
                  <c:v>143.6035</c:v>
                </c:pt>
                <c:pt idx="502">
                  <c:v>143.35750000000002</c:v>
                </c:pt>
                <c:pt idx="503">
                  <c:v>143.108</c:v>
                </c:pt>
                <c:pt idx="504">
                  <c:v>142.93099999999998</c:v>
                </c:pt>
                <c:pt idx="505">
                  <c:v>142.916</c:v>
                </c:pt>
                <c:pt idx="506">
                  <c:v>143.011</c:v>
                </c:pt>
                <c:pt idx="507">
                  <c:v>143.11349999999999</c:v>
                </c:pt>
                <c:pt idx="508">
                  <c:v>143.24849999999998</c:v>
                </c:pt>
                <c:pt idx="509">
                  <c:v>143.3185</c:v>
                </c:pt>
                <c:pt idx="510">
                  <c:v>143.37950000000004</c:v>
                </c:pt>
                <c:pt idx="511">
                  <c:v>143.35049999999998</c:v>
                </c:pt>
                <c:pt idx="512">
                  <c:v>143.18650000000002</c:v>
                </c:pt>
                <c:pt idx="513">
                  <c:v>143.26050000000001</c:v>
                </c:pt>
                <c:pt idx="514">
                  <c:v>143.34049999999999</c:v>
                </c:pt>
                <c:pt idx="515">
                  <c:v>143.70250000000001</c:v>
                </c:pt>
                <c:pt idx="516">
                  <c:v>144.05099999999999</c:v>
                </c:pt>
                <c:pt idx="517">
                  <c:v>144.30099999999999</c:v>
                </c:pt>
                <c:pt idx="518">
                  <c:v>144.48099999999999</c:v>
                </c:pt>
                <c:pt idx="519">
                  <c:v>144.61950000000002</c:v>
                </c:pt>
                <c:pt idx="520">
                  <c:v>144.91200000000001</c:v>
                </c:pt>
                <c:pt idx="521">
                  <c:v>145.33500000000004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FB-4536-BB01-2BC035A9E0F4}"/>
            </c:ext>
          </c:extLst>
        </c:ser>
        <c:ser>
          <c:idx val="2"/>
          <c:order val="2"/>
          <c:tx>
            <c:strRef>
              <c:f>Data!$AB$1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Data!$B$2:$B$523</c:f>
              <c:numCache>
                <c:formatCode>m/d/yyyy</c:formatCode>
                <c:ptCount val="52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</c:numCache>
            </c:numRef>
          </c:cat>
          <c:val>
            <c:numRef>
              <c:f>Data!$AB$2:$AB$523</c:f>
              <c:numCache>
                <c:formatCode>General</c:formatCode>
                <c:ptCount val="522"/>
                <c:pt idx="99">
                  <c:v>158.76430000000005</c:v>
                </c:pt>
                <c:pt idx="100">
                  <c:v>158.93020000000007</c:v>
                </c:pt>
                <c:pt idx="101">
                  <c:v>159.08290000000008</c:v>
                </c:pt>
                <c:pt idx="102">
                  <c:v>159.21290000000008</c:v>
                </c:pt>
                <c:pt idx="103">
                  <c:v>159.36450000000005</c:v>
                </c:pt>
                <c:pt idx="104">
                  <c:v>159.52300000000005</c:v>
                </c:pt>
                <c:pt idx="105">
                  <c:v>159.67650000000006</c:v>
                </c:pt>
                <c:pt idx="106">
                  <c:v>159.84720000000007</c:v>
                </c:pt>
                <c:pt idx="107">
                  <c:v>160.00260000000006</c:v>
                </c:pt>
                <c:pt idx="108">
                  <c:v>160.18130000000005</c:v>
                </c:pt>
                <c:pt idx="109">
                  <c:v>160.35400000000004</c:v>
                </c:pt>
                <c:pt idx="110">
                  <c:v>160.52810000000005</c:v>
                </c:pt>
                <c:pt idx="111">
                  <c:v>160.72150000000005</c:v>
                </c:pt>
                <c:pt idx="112">
                  <c:v>160.89760000000004</c:v>
                </c:pt>
                <c:pt idx="113">
                  <c:v>161.08310000000003</c:v>
                </c:pt>
                <c:pt idx="114">
                  <c:v>161.21120000000005</c:v>
                </c:pt>
                <c:pt idx="115">
                  <c:v>161.36500000000004</c:v>
                </c:pt>
                <c:pt idx="116">
                  <c:v>161.49440000000001</c:v>
                </c:pt>
                <c:pt idx="117">
                  <c:v>161.60970000000003</c:v>
                </c:pt>
                <c:pt idx="118">
                  <c:v>161.73070000000004</c:v>
                </c:pt>
                <c:pt idx="119">
                  <c:v>161.84030000000004</c:v>
                </c:pt>
                <c:pt idx="120">
                  <c:v>161.93740000000003</c:v>
                </c:pt>
                <c:pt idx="121">
                  <c:v>162.02010000000001</c:v>
                </c:pt>
                <c:pt idx="122">
                  <c:v>162.10540000000003</c:v>
                </c:pt>
                <c:pt idx="123">
                  <c:v>162.17250000000004</c:v>
                </c:pt>
                <c:pt idx="124">
                  <c:v>162.21010000000001</c:v>
                </c:pt>
                <c:pt idx="125">
                  <c:v>162.25790000000001</c:v>
                </c:pt>
                <c:pt idx="126">
                  <c:v>162.30980000000002</c:v>
                </c:pt>
                <c:pt idx="127">
                  <c:v>162.3877</c:v>
                </c:pt>
                <c:pt idx="128">
                  <c:v>162.48180000000002</c:v>
                </c:pt>
                <c:pt idx="129">
                  <c:v>162.57570000000001</c:v>
                </c:pt>
                <c:pt idx="130">
                  <c:v>162.6874</c:v>
                </c:pt>
                <c:pt idx="131">
                  <c:v>162.77270000000001</c:v>
                </c:pt>
                <c:pt idx="132">
                  <c:v>162.86369999999999</c:v>
                </c:pt>
                <c:pt idx="133">
                  <c:v>162.92440000000002</c:v>
                </c:pt>
                <c:pt idx="134">
                  <c:v>162.98990000000003</c:v>
                </c:pt>
                <c:pt idx="135">
                  <c:v>163.07870000000003</c:v>
                </c:pt>
                <c:pt idx="136">
                  <c:v>163.15280000000004</c:v>
                </c:pt>
                <c:pt idx="137">
                  <c:v>163.23020000000002</c:v>
                </c:pt>
                <c:pt idx="138">
                  <c:v>163.31970000000004</c:v>
                </c:pt>
                <c:pt idx="139">
                  <c:v>163.38540000000003</c:v>
                </c:pt>
                <c:pt idx="140">
                  <c:v>163.47600000000003</c:v>
                </c:pt>
                <c:pt idx="141">
                  <c:v>163.55650000000003</c:v>
                </c:pt>
                <c:pt idx="142">
                  <c:v>163.65200000000002</c:v>
                </c:pt>
                <c:pt idx="143">
                  <c:v>163.75810000000001</c:v>
                </c:pt>
                <c:pt idx="144">
                  <c:v>163.77940000000001</c:v>
                </c:pt>
                <c:pt idx="145">
                  <c:v>163.78080000000003</c:v>
                </c:pt>
                <c:pt idx="146">
                  <c:v>163.83420000000007</c:v>
                </c:pt>
                <c:pt idx="147">
                  <c:v>163.91950000000008</c:v>
                </c:pt>
                <c:pt idx="148">
                  <c:v>163.98080000000004</c:v>
                </c:pt>
                <c:pt idx="149">
                  <c:v>164.03870000000006</c:v>
                </c:pt>
                <c:pt idx="150">
                  <c:v>164.12390000000002</c:v>
                </c:pt>
                <c:pt idx="151">
                  <c:v>164.21880000000004</c:v>
                </c:pt>
                <c:pt idx="152">
                  <c:v>164.31210000000007</c:v>
                </c:pt>
                <c:pt idx="153">
                  <c:v>164.36190000000005</c:v>
                </c:pt>
                <c:pt idx="154">
                  <c:v>164.41490000000005</c:v>
                </c:pt>
                <c:pt idx="155">
                  <c:v>164.48430000000005</c:v>
                </c:pt>
                <c:pt idx="156">
                  <c:v>164.54690000000005</c:v>
                </c:pt>
                <c:pt idx="157">
                  <c:v>164.62390000000008</c:v>
                </c:pt>
                <c:pt idx="158">
                  <c:v>164.70260000000005</c:v>
                </c:pt>
                <c:pt idx="159">
                  <c:v>164.78060000000008</c:v>
                </c:pt>
                <c:pt idx="160">
                  <c:v>164.85970000000009</c:v>
                </c:pt>
                <c:pt idx="161">
                  <c:v>164.95540000000008</c:v>
                </c:pt>
                <c:pt idx="162">
                  <c:v>165.04140000000007</c:v>
                </c:pt>
                <c:pt idx="163">
                  <c:v>165.18340000000006</c:v>
                </c:pt>
                <c:pt idx="164">
                  <c:v>165.32140000000007</c:v>
                </c:pt>
                <c:pt idx="165">
                  <c:v>165.45100000000011</c:v>
                </c:pt>
                <c:pt idx="166">
                  <c:v>165.59090000000006</c:v>
                </c:pt>
                <c:pt idx="167">
                  <c:v>165.73970000000008</c:v>
                </c:pt>
                <c:pt idx="168">
                  <c:v>165.91250000000008</c:v>
                </c:pt>
                <c:pt idx="169">
                  <c:v>166.11310000000009</c:v>
                </c:pt>
                <c:pt idx="170">
                  <c:v>166.31450000000007</c:v>
                </c:pt>
                <c:pt idx="171">
                  <c:v>166.51590000000007</c:v>
                </c:pt>
                <c:pt idx="172">
                  <c:v>166.71700000000004</c:v>
                </c:pt>
                <c:pt idx="173">
                  <c:v>166.92530000000005</c:v>
                </c:pt>
                <c:pt idx="174">
                  <c:v>167.09160000000003</c:v>
                </c:pt>
                <c:pt idx="175">
                  <c:v>167.24490000000006</c:v>
                </c:pt>
                <c:pt idx="176">
                  <c:v>167.38030000000009</c:v>
                </c:pt>
                <c:pt idx="177">
                  <c:v>167.53770000000011</c:v>
                </c:pt>
                <c:pt idx="178">
                  <c:v>167.67050000000009</c:v>
                </c:pt>
                <c:pt idx="179">
                  <c:v>167.78420000000006</c:v>
                </c:pt>
                <c:pt idx="180">
                  <c:v>167.88670000000005</c:v>
                </c:pt>
                <c:pt idx="181">
                  <c:v>168.01230000000007</c:v>
                </c:pt>
                <c:pt idx="182">
                  <c:v>168.11800000000005</c:v>
                </c:pt>
                <c:pt idx="183">
                  <c:v>168.21640000000008</c:v>
                </c:pt>
                <c:pt idx="184">
                  <c:v>168.3006</c:v>
                </c:pt>
                <c:pt idx="185">
                  <c:v>168.38810000000001</c:v>
                </c:pt>
                <c:pt idx="186">
                  <c:v>168.47919999999999</c:v>
                </c:pt>
                <c:pt idx="187">
                  <c:v>168.55360000000005</c:v>
                </c:pt>
                <c:pt idx="188">
                  <c:v>168.63330000000005</c:v>
                </c:pt>
                <c:pt idx="189">
                  <c:v>168.69209999999998</c:v>
                </c:pt>
                <c:pt idx="190">
                  <c:v>168.72479999999999</c:v>
                </c:pt>
                <c:pt idx="191">
                  <c:v>168.75490000000002</c:v>
                </c:pt>
                <c:pt idx="192">
                  <c:v>168.76850000000002</c:v>
                </c:pt>
                <c:pt idx="193">
                  <c:v>168.785</c:v>
                </c:pt>
                <c:pt idx="194">
                  <c:v>168.79910000000001</c:v>
                </c:pt>
                <c:pt idx="195">
                  <c:v>168.81220000000002</c:v>
                </c:pt>
                <c:pt idx="196">
                  <c:v>168.85</c:v>
                </c:pt>
                <c:pt idx="197">
                  <c:v>168.89160000000001</c:v>
                </c:pt>
                <c:pt idx="198">
                  <c:v>168.94919999999999</c:v>
                </c:pt>
                <c:pt idx="199">
                  <c:v>169.0181</c:v>
                </c:pt>
                <c:pt idx="200">
                  <c:v>169.08759999999998</c:v>
                </c:pt>
                <c:pt idx="201">
                  <c:v>169.16929999999999</c:v>
                </c:pt>
                <c:pt idx="202">
                  <c:v>169.24819999999997</c:v>
                </c:pt>
                <c:pt idx="203">
                  <c:v>169.31939999999997</c:v>
                </c:pt>
                <c:pt idx="204">
                  <c:v>169.36980000000003</c:v>
                </c:pt>
                <c:pt idx="205">
                  <c:v>169.4195</c:v>
                </c:pt>
                <c:pt idx="206">
                  <c:v>169.43160000000003</c:v>
                </c:pt>
                <c:pt idx="207">
                  <c:v>169.46410000000003</c:v>
                </c:pt>
                <c:pt idx="208">
                  <c:v>169.4511</c:v>
                </c:pt>
                <c:pt idx="209">
                  <c:v>169.44210000000004</c:v>
                </c:pt>
                <c:pt idx="210">
                  <c:v>169.42040000000006</c:v>
                </c:pt>
                <c:pt idx="211">
                  <c:v>169.39660000000003</c:v>
                </c:pt>
                <c:pt idx="212">
                  <c:v>169.39560000000006</c:v>
                </c:pt>
                <c:pt idx="213">
                  <c:v>169.38910000000004</c:v>
                </c:pt>
                <c:pt idx="214">
                  <c:v>169.33170000000001</c:v>
                </c:pt>
                <c:pt idx="215">
                  <c:v>169.29080000000002</c:v>
                </c:pt>
                <c:pt idx="216">
                  <c:v>169.28230000000002</c:v>
                </c:pt>
                <c:pt idx="217">
                  <c:v>169.26590000000004</c:v>
                </c:pt>
                <c:pt idx="218">
                  <c:v>169.24170000000001</c:v>
                </c:pt>
                <c:pt idx="219">
                  <c:v>169.22300000000004</c:v>
                </c:pt>
                <c:pt idx="220">
                  <c:v>169.22530000000006</c:v>
                </c:pt>
                <c:pt idx="221">
                  <c:v>169.24620000000007</c:v>
                </c:pt>
                <c:pt idx="222">
                  <c:v>169.28750000000008</c:v>
                </c:pt>
                <c:pt idx="223">
                  <c:v>169.34590000000003</c:v>
                </c:pt>
                <c:pt idx="224">
                  <c:v>169.42760000000001</c:v>
                </c:pt>
                <c:pt idx="225">
                  <c:v>169.51610000000005</c:v>
                </c:pt>
                <c:pt idx="226">
                  <c:v>169.64060000000006</c:v>
                </c:pt>
                <c:pt idx="227">
                  <c:v>169.76240000000004</c:v>
                </c:pt>
                <c:pt idx="228">
                  <c:v>169.89030000000002</c:v>
                </c:pt>
                <c:pt idx="229">
                  <c:v>170.02730000000008</c:v>
                </c:pt>
                <c:pt idx="230">
                  <c:v>170.15190000000007</c:v>
                </c:pt>
                <c:pt idx="231">
                  <c:v>170.29350000000005</c:v>
                </c:pt>
                <c:pt idx="232">
                  <c:v>170.38160000000005</c:v>
                </c:pt>
                <c:pt idx="233">
                  <c:v>170.48690000000002</c:v>
                </c:pt>
                <c:pt idx="234">
                  <c:v>170.57770000000005</c:v>
                </c:pt>
                <c:pt idx="235">
                  <c:v>170.62150000000005</c:v>
                </c:pt>
                <c:pt idx="236">
                  <c:v>170.64500000000007</c:v>
                </c:pt>
                <c:pt idx="237">
                  <c:v>170.68820000000008</c:v>
                </c:pt>
                <c:pt idx="238">
                  <c:v>170.7120000000001</c:v>
                </c:pt>
                <c:pt idx="239">
                  <c:v>170.75430000000009</c:v>
                </c:pt>
                <c:pt idx="240">
                  <c:v>170.78490000000005</c:v>
                </c:pt>
                <c:pt idx="241">
                  <c:v>170.82730000000006</c:v>
                </c:pt>
                <c:pt idx="242">
                  <c:v>170.83950000000007</c:v>
                </c:pt>
                <c:pt idx="243">
                  <c:v>170.8310000000001</c:v>
                </c:pt>
                <c:pt idx="244">
                  <c:v>170.90590000000012</c:v>
                </c:pt>
                <c:pt idx="245">
                  <c:v>170.9789000000001</c:v>
                </c:pt>
                <c:pt idx="246">
                  <c:v>171.00310000000007</c:v>
                </c:pt>
                <c:pt idx="247">
                  <c:v>170.99170000000007</c:v>
                </c:pt>
                <c:pt idx="248">
                  <c:v>171.01270000000005</c:v>
                </c:pt>
                <c:pt idx="249">
                  <c:v>171.02710000000002</c:v>
                </c:pt>
                <c:pt idx="250">
                  <c:v>170.99780000000001</c:v>
                </c:pt>
                <c:pt idx="251">
                  <c:v>170.96560000000005</c:v>
                </c:pt>
                <c:pt idx="252">
                  <c:v>170.92000000000007</c:v>
                </c:pt>
                <c:pt idx="253">
                  <c:v>170.90320000000008</c:v>
                </c:pt>
                <c:pt idx="254">
                  <c:v>170.83630000000005</c:v>
                </c:pt>
                <c:pt idx="255">
                  <c:v>170.76130000000001</c:v>
                </c:pt>
                <c:pt idx="256">
                  <c:v>170.70310000000001</c:v>
                </c:pt>
                <c:pt idx="257">
                  <c:v>170.60980000000001</c:v>
                </c:pt>
                <c:pt idx="258">
                  <c:v>170.51399999999998</c:v>
                </c:pt>
                <c:pt idx="259">
                  <c:v>170.40730000000002</c:v>
                </c:pt>
                <c:pt idx="260">
                  <c:v>170.30220000000006</c:v>
                </c:pt>
                <c:pt idx="261">
                  <c:v>170.20570000000004</c:v>
                </c:pt>
                <c:pt idx="262">
                  <c:v>170.12530000000004</c:v>
                </c:pt>
                <c:pt idx="263">
                  <c:v>170.03900000000004</c:v>
                </c:pt>
                <c:pt idx="264">
                  <c:v>169.99390000000005</c:v>
                </c:pt>
                <c:pt idx="265">
                  <c:v>169.96480000000003</c:v>
                </c:pt>
                <c:pt idx="266">
                  <c:v>169.90570000000002</c:v>
                </c:pt>
                <c:pt idx="267">
                  <c:v>169.88690000000003</c:v>
                </c:pt>
                <c:pt idx="268">
                  <c:v>169.80360000000002</c:v>
                </c:pt>
                <c:pt idx="269">
                  <c:v>169.70689999999999</c:v>
                </c:pt>
                <c:pt idx="270">
                  <c:v>169.62630000000001</c:v>
                </c:pt>
                <c:pt idx="271">
                  <c:v>169.53030000000001</c:v>
                </c:pt>
                <c:pt idx="272">
                  <c:v>169.4573</c:v>
                </c:pt>
                <c:pt idx="273">
                  <c:v>169.36070000000001</c:v>
                </c:pt>
                <c:pt idx="274">
                  <c:v>169.31159999999997</c:v>
                </c:pt>
                <c:pt idx="275">
                  <c:v>169.26570000000001</c:v>
                </c:pt>
                <c:pt idx="276">
                  <c:v>169.20460000000003</c:v>
                </c:pt>
                <c:pt idx="277">
                  <c:v>169.10749999999999</c:v>
                </c:pt>
                <c:pt idx="278">
                  <c:v>169.04300000000001</c:v>
                </c:pt>
                <c:pt idx="279">
                  <c:v>168.99960000000002</c:v>
                </c:pt>
                <c:pt idx="280">
                  <c:v>168.99440000000001</c:v>
                </c:pt>
                <c:pt idx="281">
                  <c:v>168.8811</c:v>
                </c:pt>
                <c:pt idx="282">
                  <c:v>168.79769999999999</c:v>
                </c:pt>
                <c:pt idx="283">
                  <c:v>168.7302</c:v>
                </c:pt>
                <c:pt idx="284">
                  <c:v>168.67969999999997</c:v>
                </c:pt>
                <c:pt idx="285">
                  <c:v>168.64989999999997</c:v>
                </c:pt>
                <c:pt idx="286">
                  <c:v>168.61979999999997</c:v>
                </c:pt>
                <c:pt idx="287">
                  <c:v>168.61429999999996</c:v>
                </c:pt>
                <c:pt idx="288">
                  <c:v>168.59689999999992</c:v>
                </c:pt>
                <c:pt idx="289">
                  <c:v>168.59739999999994</c:v>
                </c:pt>
                <c:pt idx="290">
                  <c:v>168.63459999999995</c:v>
                </c:pt>
                <c:pt idx="291">
                  <c:v>168.70169999999996</c:v>
                </c:pt>
                <c:pt idx="292">
                  <c:v>168.76229999999993</c:v>
                </c:pt>
                <c:pt idx="293">
                  <c:v>168.82679999999993</c:v>
                </c:pt>
                <c:pt idx="294">
                  <c:v>168.88069999999996</c:v>
                </c:pt>
                <c:pt idx="295">
                  <c:v>168.95069999999996</c:v>
                </c:pt>
                <c:pt idx="296">
                  <c:v>169.00239999999994</c:v>
                </c:pt>
                <c:pt idx="297">
                  <c:v>169.00849999999991</c:v>
                </c:pt>
                <c:pt idx="298">
                  <c:v>168.95649999999989</c:v>
                </c:pt>
                <c:pt idx="299">
                  <c:v>168.91859999999994</c:v>
                </c:pt>
                <c:pt idx="300">
                  <c:v>168.87549999999996</c:v>
                </c:pt>
                <c:pt idx="301">
                  <c:v>168.86029999999994</c:v>
                </c:pt>
                <c:pt idx="302">
                  <c:v>168.84199999999993</c:v>
                </c:pt>
                <c:pt idx="303">
                  <c:v>168.83069999999992</c:v>
                </c:pt>
                <c:pt idx="304">
                  <c:v>168.81039999999993</c:v>
                </c:pt>
                <c:pt idx="305">
                  <c:v>168.78109999999992</c:v>
                </c:pt>
                <c:pt idx="306">
                  <c:v>168.75539999999992</c:v>
                </c:pt>
                <c:pt idx="307">
                  <c:v>168.69089999999994</c:v>
                </c:pt>
                <c:pt idx="308">
                  <c:v>168.68499999999997</c:v>
                </c:pt>
                <c:pt idx="309">
                  <c:v>168.71049999999997</c:v>
                </c:pt>
                <c:pt idx="310">
                  <c:v>168.73899999999995</c:v>
                </c:pt>
                <c:pt idx="311">
                  <c:v>168.79219999999995</c:v>
                </c:pt>
                <c:pt idx="312">
                  <c:v>168.84699999999998</c:v>
                </c:pt>
                <c:pt idx="313">
                  <c:v>168.8844</c:v>
                </c:pt>
                <c:pt idx="314">
                  <c:v>168.99779999999998</c:v>
                </c:pt>
                <c:pt idx="315">
                  <c:v>169.00119999999998</c:v>
                </c:pt>
                <c:pt idx="316">
                  <c:v>168.92639999999994</c:v>
                </c:pt>
                <c:pt idx="317">
                  <c:v>168.84999999999997</c:v>
                </c:pt>
                <c:pt idx="318">
                  <c:v>168.81479999999996</c:v>
                </c:pt>
                <c:pt idx="319">
                  <c:v>168.78459999999995</c:v>
                </c:pt>
                <c:pt idx="320">
                  <c:v>168.78289999999998</c:v>
                </c:pt>
                <c:pt idx="321">
                  <c:v>168.77879999999996</c:v>
                </c:pt>
                <c:pt idx="322">
                  <c:v>168.75599999999997</c:v>
                </c:pt>
                <c:pt idx="323">
                  <c:v>168.71229999999991</c:v>
                </c:pt>
                <c:pt idx="324">
                  <c:v>168.70969999999994</c:v>
                </c:pt>
                <c:pt idx="325">
                  <c:v>168.63969999999995</c:v>
                </c:pt>
                <c:pt idx="326">
                  <c:v>168.55569999999992</c:v>
                </c:pt>
                <c:pt idx="327">
                  <c:v>168.43909999999997</c:v>
                </c:pt>
                <c:pt idx="328">
                  <c:v>168.24129999999994</c:v>
                </c:pt>
                <c:pt idx="329">
                  <c:v>168.05789999999993</c:v>
                </c:pt>
                <c:pt idx="330">
                  <c:v>167.88379999999989</c:v>
                </c:pt>
                <c:pt idx="331">
                  <c:v>167.70939999999987</c:v>
                </c:pt>
                <c:pt idx="332">
                  <c:v>167.5808999999999</c:v>
                </c:pt>
                <c:pt idx="333">
                  <c:v>167.42959999999991</c:v>
                </c:pt>
                <c:pt idx="334">
                  <c:v>167.27449999999996</c:v>
                </c:pt>
                <c:pt idx="335">
                  <c:v>167.12459999999999</c:v>
                </c:pt>
                <c:pt idx="336">
                  <c:v>167.00919999999994</c:v>
                </c:pt>
                <c:pt idx="337">
                  <c:v>166.87929999999994</c:v>
                </c:pt>
                <c:pt idx="338">
                  <c:v>166.75949999999997</c:v>
                </c:pt>
                <c:pt idx="339">
                  <c:v>166.62759999999994</c:v>
                </c:pt>
                <c:pt idx="340">
                  <c:v>166.52599999999998</c:v>
                </c:pt>
                <c:pt idx="341">
                  <c:v>166.40189999999996</c:v>
                </c:pt>
                <c:pt idx="342">
                  <c:v>166.27879999999996</c:v>
                </c:pt>
                <c:pt idx="343">
                  <c:v>166.21209999999996</c:v>
                </c:pt>
                <c:pt idx="344">
                  <c:v>166.15299999999996</c:v>
                </c:pt>
                <c:pt idx="345">
                  <c:v>166.12009999999995</c:v>
                </c:pt>
                <c:pt idx="346">
                  <c:v>166.09539999999993</c:v>
                </c:pt>
                <c:pt idx="347">
                  <c:v>166.06029999999996</c:v>
                </c:pt>
                <c:pt idx="348">
                  <c:v>166.00899999999993</c:v>
                </c:pt>
                <c:pt idx="349">
                  <c:v>165.97229999999996</c:v>
                </c:pt>
                <c:pt idx="350">
                  <c:v>165.97899999999993</c:v>
                </c:pt>
                <c:pt idx="351">
                  <c:v>165.97609999999997</c:v>
                </c:pt>
                <c:pt idx="352">
                  <c:v>166.00189999999998</c:v>
                </c:pt>
                <c:pt idx="353">
                  <c:v>166.04949999999997</c:v>
                </c:pt>
                <c:pt idx="354">
                  <c:v>166.12129999999996</c:v>
                </c:pt>
                <c:pt idx="355">
                  <c:v>166.17679999999993</c:v>
                </c:pt>
                <c:pt idx="356">
                  <c:v>166.21529999999998</c:v>
                </c:pt>
                <c:pt idx="357">
                  <c:v>166.25769999999997</c:v>
                </c:pt>
                <c:pt idx="358">
                  <c:v>166.30949999999996</c:v>
                </c:pt>
                <c:pt idx="359">
                  <c:v>166.33769999999996</c:v>
                </c:pt>
                <c:pt idx="360">
                  <c:v>166.36959999999996</c:v>
                </c:pt>
                <c:pt idx="361">
                  <c:v>166.38569999999996</c:v>
                </c:pt>
                <c:pt idx="362">
                  <c:v>166.40619999999996</c:v>
                </c:pt>
                <c:pt idx="363">
                  <c:v>166.39179999999996</c:v>
                </c:pt>
                <c:pt idx="364">
                  <c:v>166.35319999999999</c:v>
                </c:pt>
                <c:pt idx="365">
                  <c:v>166.27689999999998</c:v>
                </c:pt>
                <c:pt idx="366">
                  <c:v>166.2159</c:v>
                </c:pt>
                <c:pt idx="367">
                  <c:v>166.11010000000002</c:v>
                </c:pt>
                <c:pt idx="368">
                  <c:v>166.05849999999998</c:v>
                </c:pt>
                <c:pt idx="369">
                  <c:v>165.99980000000002</c:v>
                </c:pt>
                <c:pt idx="370">
                  <c:v>165.91540000000003</c:v>
                </c:pt>
                <c:pt idx="371">
                  <c:v>165.84180000000003</c:v>
                </c:pt>
                <c:pt idx="372">
                  <c:v>165.75280000000004</c:v>
                </c:pt>
                <c:pt idx="373">
                  <c:v>165.66470000000001</c:v>
                </c:pt>
                <c:pt idx="374">
                  <c:v>165.58680000000007</c:v>
                </c:pt>
                <c:pt idx="375">
                  <c:v>165.51000000000008</c:v>
                </c:pt>
                <c:pt idx="376">
                  <c:v>165.43860000000004</c:v>
                </c:pt>
                <c:pt idx="377">
                  <c:v>165.36830000000006</c:v>
                </c:pt>
                <c:pt idx="378">
                  <c:v>165.25290000000004</c:v>
                </c:pt>
                <c:pt idx="379">
                  <c:v>165.13230000000004</c:v>
                </c:pt>
                <c:pt idx="380">
                  <c:v>165.00700000000003</c:v>
                </c:pt>
                <c:pt idx="381">
                  <c:v>164.94860000000006</c:v>
                </c:pt>
                <c:pt idx="382">
                  <c:v>164.83190000000002</c:v>
                </c:pt>
                <c:pt idx="383">
                  <c:v>164.69380000000004</c:v>
                </c:pt>
                <c:pt idx="384">
                  <c:v>164.55900000000005</c:v>
                </c:pt>
                <c:pt idx="385">
                  <c:v>164.41290000000004</c:v>
                </c:pt>
                <c:pt idx="386">
                  <c:v>164.25850000000005</c:v>
                </c:pt>
                <c:pt idx="387">
                  <c:v>164.08230000000006</c:v>
                </c:pt>
                <c:pt idx="388">
                  <c:v>163.95250000000007</c:v>
                </c:pt>
                <c:pt idx="389">
                  <c:v>163.81560000000007</c:v>
                </c:pt>
                <c:pt idx="390">
                  <c:v>163.66530000000006</c:v>
                </c:pt>
                <c:pt idx="391">
                  <c:v>163.49240000000006</c:v>
                </c:pt>
                <c:pt idx="392">
                  <c:v>163.33170000000004</c:v>
                </c:pt>
                <c:pt idx="393">
                  <c:v>163.15170000000006</c:v>
                </c:pt>
                <c:pt idx="394">
                  <c:v>162.93390000000005</c:v>
                </c:pt>
                <c:pt idx="395">
                  <c:v>162.67910000000003</c:v>
                </c:pt>
                <c:pt idx="396">
                  <c:v>162.42300000000003</c:v>
                </c:pt>
                <c:pt idx="397">
                  <c:v>162.19940000000003</c:v>
                </c:pt>
                <c:pt idx="398">
                  <c:v>162.02080000000001</c:v>
                </c:pt>
                <c:pt idx="399">
                  <c:v>161.86350000000002</c:v>
                </c:pt>
                <c:pt idx="400">
                  <c:v>161.71870000000001</c:v>
                </c:pt>
                <c:pt idx="401">
                  <c:v>161.55620000000002</c:v>
                </c:pt>
                <c:pt idx="402">
                  <c:v>161.4289</c:v>
                </c:pt>
                <c:pt idx="403">
                  <c:v>161.29410000000004</c:v>
                </c:pt>
                <c:pt idx="404">
                  <c:v>161.17270000000002</c:v>
                </c:pt>
                <c:pt idx="405">
                  <c:v>161.04320000000001</c:v>
                </c:pt>
                <c:pt idx="406">
                  <c:v>160.93030000000002</c:v>
                </c:pt>
                <c:pt idx="407">
                  <c:v>160.85900000000001</c:v>
                </c:pt>
                <c:pt idx="408">
                  <c:v>160.77720000000002</c:v>
                </c:pt>
                <c:pt idx="409">
                  <c:v>160.68520000000001</c:v>
                </c:pt>
                <c:pt idx="410">
                  <c:v>160.59220000000002</c:v>
                </c:pt>
                <c:pt idx="411">
                  <c:v>160.47470000000004</c:v>
                </c:pt>
                <c:pt idx="412">
                  <c:v>160.3306</c:v>
                </c:pt>
                <c:pt idx="413">
                  <c:v>160.1953</c:v>
                </c:pt>
                <c:pt idx="414">
                  <c:v>160.041</c:v>
                </c:pt>
                <c:pt idx="415">
                  <c:v>159.96</c:v>
                </c:pt>
                <c:pt idx="416">
                  <c:v>159.9281</c:v>
                </c:pt>
                <c:pt idx="417">
                  <c:v>159.92410000000001</c:v>
                </c:pt>
                <c:pt idx="418">
                  <c:v>159.8826</c:v>
                </c:pt>
                <c:pt idx="419">
                  <c:v>159.8389</c:v>
                </c:pt>
                <c:pt idx="420">
                  <c:v>159.77000000000001</c:v>
                </c:pt>
                <c:pt idx="421">
                  <c:v>159.6688</c:v>
                </c:pt>
                <c:pt idx="422">
                  <c:v>159.5787</c:v>
                </c:pt>
                <c:pt idx="423">
                  <c:v>159.48830000000001</c:v>
                </c:pt>
                <c:pt idx="424">
                  <c:v>159.3683</c:v>
                </c:pt>
                <c:pt idx="425">
                  <c:v>159.28979999999999</c:v>
                </c:pt>
                <c:pt idx="426">
                  <c:v>159.17929999999998</c:v>
                </c:pt>
                <c:pt idx="427">
                  <c:v>159.10249999999999</c:v>
                </c:pt>
                <c:pt idx="428">
                  <c:v>159.11049999999997</c:v>
                </c:pt>
                <c:pt idx="429">
                  <c:v>159.0735</c:v>
                </c:pt>
                <c:pt idx="430">
                  <c:v>159.0154</c:v>
                </c:pt>
                <c:pt idx="431">
                  <c:v>158.92349999999999</c:v>
                </c:pt>
                <c:pt idx="432">
                  <c:v>158.8228</c:v>
                </c:pt>
                <c:pt idx="433">
                  <c:v>158.74719999999999</c:v>
                </c:pt>
                <c:pt idx="434">
                  <c:v>158.66349999999997</c:v>
                </c:pt>
                <c:pt idx="435">
                  <c:v>158.60019999999997</c:v>
                </c:pt>
                <c:pt idx="436">
                  <c:v>158.54299999999998</c:v>
                </c:pt>
                <c:pt idx="437">
                  <c:v>158.48659999999998</c:v>
                </c:pt>
                <c:pt idx="438">
                  <c:v>158.43189999999996</c:v>
                </c:pt>
                <c:pt idx="439">
                  <c:v>158.37579999999997</c:v>
                </c:pt>
                <c:pt idx="440">
                  <c:v>158.28949999999998</c:v>
                </c:pt>
                <c:pt idx="441">
                  <c:v>158.20629999999994</c:v>
                </c:pt>
                <c:pt idx="442">
                  <c:v>158.15149999999997</c:v>
                </c:pt>
                <c:pt idx="443">
                  <c:v>158.03429999999997</c:v>
                </c:pt>
                <c:pt idx="444">
                  <c:v>157.90729999999999</c:v>
                </c:pt>
                <c:pt idx="445">
                  <c:v>157.75649999999999</c:v>
                </c:pt>
                <c:pt idx="446">
                  <c:v>157.57499999999999</c:v>
                </c:pt>
                <c:pt idx="447">
                  <c:v>157.41229999999999</c:v>
                </c:pt>
                <c:pt idx="448">
                  <c:v>157.2362</c:v>
                </c:pt>
                <c:pt idx="449">
                  <c:v>157.07359999999997</c:v>
                </c:pt>
                <c:pt idx="450">
                  <c:v>156.90999999999997</c:v>
                </c:pt>
                <c:pt idx="451">
                  <c:v>156.75599999999997</c:v>
                </c:pt>
                <c:pt idx="452">
                  <c:v>156.58659999999998</c:v>
                </c:pt>
                <c:pt idx="453">
                  <c:v>156.40969999999999</c:v>
                </c:pt>
                <c:pt idx="454">
                  <c:v>156.25399999999996</c:v>
                </c:pt>
                <c:pt idx="455">
                  <c:v>156.11039999999997</c:v>
                </c:pt>
                <c:pt idx="456">
                  <c:v>155.96829999999997</c:v>
                </c:pt>
                <c:pt idx="457">
                  <c:v>155.85399999999998</c:v>
                </c:pt>
                <c:pt idx="458">
                  <c:v>155.70149999999998</c:v>
                </c:pt>
                <c:pt idx="459">
                  <c:v>155.57169999999999</c:v>
                </c:pt>
                <c:pt idx="460">
                  <c:v>155.447</c:v>
                </c:pt>
                <c:pt idx="461">
                  <c:v>155.30610000000001</c:v>
                </c:pt>
                <c:pt idx="462">
                  <c:v>155.14600000000002</c:v>
                </c:pt>
                <c:pt idx="463">
                  <c:v>155.00110000000004</c:v>
                </c:pt>
                <c:pt idx="464">
                  <c:v>154.8536</c:v>
                </c:pt>
                <c:pt idx="465">
                  <c:v>154.73820000000001</c:v>
                </c:pt>
                <c:pt idx="466">
                  <c:v>154.613</c:v>
                </c:pt>
                <c:pt idx="467">
                  <c:v>154.5076</c:v>
                </c:pt>
                <c:pt idx="468">
                  <c:v>154.37739999999999</c:v>
                </c:pt>
                <c:pt idx="469">
                  <c:v>154.2534</c:v>
                </c:pt>
                <c:pt idx="470">
                  <c:v>154.1404</c:v>
                </c:pt>
                <c:pt idx="471">
                  <c:v>154.01230000000001</c:v>
                </c:pt>
                <c:pt idx="472">
                  <c:v>153.88360000000003</c:v>
                </c:pt>
                <c:pt idx="473">
                  <c:v>153.76030000000003</c:v>
                </c:pt>
                <c:pt idx="474">
                  <c:v>153.63000000000002</c:v>
                </c:pt>
                <c:pt idx="475">
                  <c:v>153.52720000000002</c:v>
                </c:pt>
                <c:pt idx="476">
                  <c:v>153.38870000000003</c:v>
                </c:pt>
                <c:pt idx="477">
                  <c:v>153.26860000000002</c:v>
                </c:pt>
                <c:pt idx="478">
                  <c:v>153.17220000000003</c:v>
                </c:pt>
                <c:pt idx="479">
                  <c:v>153.07859999999999</c:v>
                </c:pt>
                <c:pt idx="480">
                  <c:v>152.96810000000002</c:v>
                </c:pt>
                <c:pt idx="481">
                  <c:v>152.85620000000003</c:v>
                </c:pt>
                <c:pt idx="482">
                  <c:v>152.78570000000002</c:v>
                </c:pt>
                <c:pt idx="483">
                  <c:v>152.71250000000001</c:v>
                </c:pt>
                <c:pt idx="484">
                  <c:v>152.60970000000003</c:v>
                </c:pt>
                <c:pt idx="485">
                  <c:v>152.43690000000004</c:v>
                </c:pt>
                <c:pt idx="486">
                  <c:v>152.28220000000002</c:v>
                </c:pt>
                <c:pt idx="487">
                  <c:v>152.1301</c:v>
                </c:pt>
                <c:pt idx="488">
                  <c:v>151.95450000000002</c:v>
                </c:pt>
                <c:pt idx="489">
                  <c:v>151.80010000000001</c:v>
                </c:pt>
                <c:pt idx="490">
                  <c:v>151.66329999999999</c:v>
                </c:pt>
                <c:pt idx="491">
                  <c:v>151.5324</c:v>
                </c:pt>
                <c:pt idx="492">
                  <c:v>151.43939999999998</c:v>
                </c:pt>
                <c:pt idx="493">
                  <c:v>151.32849999999999</c:v>
                </c:pt>
                <c:pt idx="494">
                  <c:v>151.24429999999998</c:v>
                </c:pt>
                <c:pt idx="495">
                  <c:v>151.16649999999998</c:v>
                </c:pt>
                <c:pt idx="496">
                  <c:v>151.09179999999998</c:v>
                </c:pt>
                <c:pt idx="497">
                  <c:v>151.02909999999997</c:v>
                </c:pt>
                <c:pt idx="498">
                  <c:v>150.97139999999999</c:v>
                </c:pt>
                <c:pt idx="499">
                  <c:v>150.88849999999999</c:v>
                </c:pt>
                <c:pt idx="500">
                  <c:v>150.79409999999996</c:v>
                </c:pt>
                <c:pt idx="501">
                  <c:v>150.69209999999995</c:v>
                </c:pt>
                <c:pt idx="502">
                  <c:v>150.56019999999998</c:v>
                </c:pt>
                <c:pt idx="503">
                  <c:v>150.41299999999998</c:v>
                </c:pt>
                <c:pt idx="504">
                  <c:v>150.25799999999998</c:v>
                </c:pt>
                <c:pt idx="505">
                  <c:v>150.101</c:v>
                </c:pt>
                <c:pt idx="506">
                  <c:v>149.97269999999997</c:v>
                </c:pt>
                <c:pt idx="507">
                  <c:v>149.83419999999998</c:v>
                </c:pt>
                <c:pt idx="508">
                  <c:v>149.68479999999997</c:v>
                </c:pt>
                <c:pt idx="509">
                  <c:v>149.53209999999999</c:v>
                </c:pt>
                <c:pt idx="510">
                  <c:v>149.4083</c:v>
                </c:pt>
                <c:pt idx="511">
                  <c:v>149.2679</c:v>
                </c:pt>
                <c:pt idx="512">
                  <c:v>149.15170000000001</c:v>
                </c:pt>
                <c:pt idx="513">
                  <c:v>149.06199999999998</c:v>
                </c:pt>
                <c:pt idx="514">
                  <c:v>148.95299999999997</c:v>
                </c:pt>
                <c:pt idx="515">
                  <c:v>148.89579999999998</c:v>
                </c:pt>
                <c:pt idx="516">
                  <c:v>148.82689999999997</c:v>
                </c:pt>
                <c:pt idx="517">
                  <c:v>148.74189999999999</c:v>
                </c:pt>
                <c:pt idx="518">
                  <c:v>148.64359999999999</c:v>
                </c:pt>
                <c:pt idx="519">
                  <c:v>148.52509999999998</c:v>
                </c:pt>
                <c:pt idx="520">
                  <c:v>148.42389999999997</c:v>
                </c:pt>
                <c:pt idx="521">
                  <c:v>148.35149999999999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FB-4536-BB01-2BC035A9E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482000"/>
        <c:axId val="152481520"/>
      </c:lineChart>
      <c:dateAx>
        <c:axId val="152482000"/>
        <c:scaling>
          <c:orientation val="minMax"/>
          <c:max val="46063"/>
          <c:min val="45659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81520"/>
        <c:crosses val="autoZero"/>
        <c:auto val="1"/>
        <c:lblOffset val="100"/>
        <c:baseTimeUnit val="days"/>
      </c:dateAx>
      <c:valAx>
        <c:axId val="152481520"/>
        <c:scaling>
          <c:orientation val="minMax"/>
          <c:max val="180"/>
          <c:min val="1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8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Dividends  2000 -</a:t>
            </a:r>
            <a:r>
              <a:rPr lang="en-US" baseline="0"/>
              <a:t>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Dividends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Dividends!$A$2:$A$106</c:f>
              <c:numCache>
                <c:formatCode>m/d/yyyy</c:formatCode>
                <c:ptCount val="105"/>
                <c:pt idx="0">
                  <c:v>36544</c:v>
                </c:pt>
                <c:pt idx="1">
                  <c:v>36634</c:v>
                </c:pt>
                <c:pt idx="2">
                  <c:v>36726</c:v>
                </c:pt>
                <c:pt idx="3">
                  <c:v>36817</c:v>
                </c:pt>
                <c:pt idx="4">
                  <c:v>36908</c:v>
                </c:pt>
                <c:pt idx="5">
                  <c:v>36999</c:v>
                </c:pt>
                <c:pt idx="6">
                  <c:v>37090</c:v>
                </c:pt>
                <c:pt idx="7">
                  <c:v>37181</c:v>
                </c:pt>
                <c:pt idx="8">
                  <c:v>37272</c:v>
                </c:pt>
                <c:pt idx="9">
                  <c:v>37363</c:v>
                </c:pt>
                <c:pt idx="10">
                  <c:v>37410</c:v>
                </c:pt>
                <c:pt idx="11">
                  <c:v>37454</c:v>
                </c:pt>
                <c:pt idx="12">
                  <c:v>37545</c:v>
                </c:pt>
                <c:pt idx="13">
                  <c:v>37643</c:v>
                </c:pt>
                <c:pt idx="14">
                  <c:v>37726</c:v>
                </c:pt>
                <c:pt idx="15">
                  <c:v>37818</c:v>
                </c:pt>
                <c:pt idx="16">
                  <c:v>37916</c:v>
                </c:pt>
                <c:pt idx="17">
                  <c:v>38007</c:v>
                </c:pt>
                <c:pt idx="18">
                  <c:v>38098</c:v>
                </c:pt>
                <c:pt idx="19">
                  <c:v>38189</c:v>
                </c:pt>
                <c:pt idx="20">
                  <c:v>38280</c:v>
                </c:pt>
                <c:pt idx="21">
                  <c:v>38371</c:v>
                </c:pt>
                <c:pt idx="22">
                  <c:v>38462</c:v>
                </c:pt>
                <c:pt idx="23">
                  <c:v>38553</c:v>
                </c:pt>
                <c:pt idx="24">
                  <c:v>38644</c:v>
                </c:pt>
                <c:pt idx="25">
                  <c:v>38735</c:v>
                </c:pt>
                <c:pt idx="26">
                  <c:v>38826</c:v>
                </c:pt>
                <c:pt idx="27">
                  <c:v>38917</c:v>
                </c:pt>
                <c:pt idx="28">
                  <c:v>39008</c:v>
                </c:pt>
                <c:pt idx="29">
                  <c:v>39099</c:v>
                </c:pt>
                <c:pt idx="30">
                  <c:v>39197</c:v>
                </c:pt>
                <c:pt idx="31">
                  <c:v>39281</c:v>
                </c:pt>
                <c:pt idx="32">
                  <c:v>39372</c:v>
                </c:pt>
                <c:pt idx="33">
                  <c:v>39463</c:v>
                </c:pt>
                <c:pt idx="34">
                  <c:v>39554</c:v>
                </c:pt>
                <c:pt idx="35">
                  <c:v>39645</c:v>
                </c:pt>
                <c:pt idx="36">
                  <c:v>39743</c:v>
                </c:pt>
                <c:pt idx="37">
                  <c:v>39834</c:v>
                </c:pt>
                <c:pt idx="38">
                  <c:v>39925</c:v>
                </c:pt>
                <c:pt idx="39">
                  <c:v>40016</c:v>
                </c:pt>
                <c:pt idx="40">
                  <c:v>40107</c:v>
                </c:pt>
                <c:pt idx="41">
                  <c:v>40198</c:v>
                </c:pt>
                <c:pt idx="42">
                  <c:v>40296</c:v>
                </c:pt>
                <c:pt idx="43">
                  <c:v>40380</c:v>
                </c:pt>
                <c:pt idx="44">
                  <c:v>40471</c:v>
                </c:pt>
                <c:pt idx="45">
                  <c:v>40562</c:v>
                </c:pt>
                <c:pt idx="46">
                  <c:v>40660</c:v>
                </c:pt>
                <c:pt idx="47">
                  <c:v>40744</c:v>
                </c:pt>
                <c:pt idx="48">
                  <c:v>40835</c:v>
                </c:pt>
                <c:pt idx="49">
                  <c:v>40926</c:v>
                </c:pt>
                <c:pt idx="50">
                  <c:v>41024</c:v>
                </c:pt>
                <c:pt idx="51">
                  <c:v>41108</c:v>
                </c:pt>
                <c:pt idx="52">
                  <c:v>41199</c:v>
                </c:pt>
                <c:pt idx="53">
                  <c:v>41290</c:v>
                </c:pt>
                <c:pt idx="54">
                  <c:v>41388</c:v>
                </c:pt>
                <c:pt idx="55">
                  <c:v>41472</c:v>
                </c:pt>
                <c:pt idx="56">
                  <c:v>41563</c:v>
                </c:pt>
                <c:pt idx="57">
                  <c:v>41661</c:v>
                </c:pt>
                <c:pt idx="58">
                  <c:v>41752</c:v>
                </c:pt>
                <c:pt idx="59">
                  <c:v>41836</c:v>
                </c:pt>
                <c:pt idx="60">
                  <c:v>41934</c:v>
                </c:pt>
                <c:pt idx="61">
                  <c:v>42025</c:v>
                </c:pt>
                <c:pt idx="62">
                  <c:v>42117</c:v>
                </c:pt>
                <c:pt idx="63">
                  <c:v>42207</c:v>
                </c:pt>
                <c:pt idx="64">
                  <c:v>42298</c:v>
                </c:pt>
                <c:pt idx="65">
                  <c:v>42389</c:v>
                </c:pt>
                <c:pt idx="66">
                  <c:v>42474</c:v>
                </c:pt>
                <c:pt idx="67">
                  <c:v>42571</c:v>
                </c:pt>
                <c:pt idx="68">
                  <c:v>42662</c:v>
                </c:pt>
                <c:pt idx="69">
                  <c:v>42753</c:v>
                </c:pt>
                <c:pt idx="70">
                  <c:v>42844</c:v>
                </c:pt>
                <c:pt idx="71">
                  <c:v>42935</c:v>
                </c:pt>
                <c:pt idx="72">
                  <c:v>43027</c:v>
                </c:pt>
                <c:pt idx="73">
                  <c:v>43118</c:v>
                </c:pt>
                <c:pt idx="74">
                  <c:v>43209</c:v>
                </c:pt>
                <c:pt idx="75">
                  <c:v>43300</c:v>
                </c:pt>
                <c:pt idx="76">
                  <c:v>43391</c:v>
                </c:pt>
                <c:pt idx="77">
                  <c:v>43482</c:v>
                </c:pt>
                <c:pt idx="78">
                  <c:v>43572</c:v>
                </c:pt>
                <c:pt idx="79">
                  <c:v>43664</c:v>
                </c:pt>
                <c:pt idx="80">
                  <c:v>43755</c:v>
                </c:pt>
                <c:pt idx="81">
                  <c:v>43853</c:v>
                </c:pt>
                <c:pt idx="82">
                  <c:v>43944</c:v>
                </c:pt>
                <c:pt idx="83">
                  <c:v>44035</c:v>
                </c:pt>
                <c:pt idx="84">
                  <c:v>44126</c:v>
                </c:pt>
                <c:pt idx="85">
                  <c:v>44217</c:v>
                </c:pt>
                <c:pt idx="86">
                  <c:v>44308</c:v>
                </c:pt>
                <c:pt idx="87">
                  <c:v>44399</c:v>
                </c:pt>
                <c:pt idx="88">
                  <c:v>44490</c:v>
                </c:pt>
                <c:pt idx="89">
                  <c:v>44581</c:v>
                </c:pt>
                <c:pt idx="90">
                  <c:v>44672</c:v>
                </c:pt>
                <c:pt idx="91">
                  <c:v>44763</c:v>
                </c:pt>
                <c:pt idx="92">
                  <c:v>44854</c:v>
                </c:pt>
                <c:pt idx="93">
                  <c:v>44945</c:v>
                </c:pt>
                <c:pt idx="94">
                  <c:v>45036</c:v>
                </c:pt>
                <c:pt idx="95">
                  <c:v>45127</c:v>
                </c:pt>
                <c:pt idx="96">
                  <c:v>45218</c:v>
                </c:pt>
                <c:pt idx="97">
                  <c:v>45309</c:v>
                </c:pt>
                <c:pt idx="98">
                  <c:v>45400</c:v>
                </c:pt>
                <c:pt idx="99">
                  <c:v>45492</c:v>
                </c:pt>
                <c:pt idx="100">
                  <c:v>45583</c:v>
                </c:pt>
                <c:pt idx="101">
                  <c:v>45681</c:v>
                </c:pt>
                <c:pt idx="102">
                  <c:v>45768</c:v>
                </c:pt>
                <c:pt idx="103">
                  <c:v>45856</c:v>
                </c:pt>
                <c:pt idx="104">
                  <c:v>45954</c:v>
                </c:pt>
              </c:numCache>
            </c:numRef>
          </c:cat>
          <c:val>
            <c:numRef>
              <c:f>Dividends!$B$2:$B$106</c:f>
              <c:numCache>
                <c:formatCode>"$"#,##0.00_);[Red]\("$"#,##0.00\)</c:formatCode>
                <c:ptCount val="105"/>
                <c:pt idx="0">
                  <c:v>0.16</c:v>
                </c:pt>
                <c:pt idx="1">
                  <c:v>0.16</c:v>
                </c:pt>
                <c:pt idx="2">
                  <c:v>0.18</c:v>
                </c:pt>
                <c:pt idx="3">
                  <c:v>0.18</c:v>
                </c:pt>
                <c:pt idx="4">
                  <c:v>0.18</c:v>
                </c:pt>
                <c:pt idx="5">
                  <c:v>0.18</c:v>
                </c:pt>
                <c:pt idx="6">
                  <c:v>0.19</c:v>
                </c:pt>
                <c:pt idx="7">
                  <c:v>0.19</c:v>
                </c:pt>
                <c:pt idx="8">
                  <c:v>0.19</c:v>
                </c:pt>
                <c:pt idx="9">
                  <c:v>0.19</c:v>
                </c:pt>
                <c:pt idx="10">
                  <c:v>0.35</c:v>
                </c:pt>
                <c:pt idx="11">
                  <c:v>0.21</c:v>
                </c:pt>
                <c:pt idx="12">
                  <c:v>0.21</c:v>
                </c:pt>
                <c:pt idx="13">
                  <c:v>0.21</c:v>
                </c:pt>
                <c:pt idx="14">
                  <c:v>0.21</c:v>
                </c:pt>
                <c:pt idx="15">
                  <c:v>0.23</c:v>
                </c:pt>
                <c:pt idx="16">
                  <c:v>0.23</c:v>
                </c:pt>
                <c:pt idx="17">
                  <c:v>0.23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</c:v>
                </c:pt>
                <c:pt idx="22">
                  <c:v>0.28000000000000003</c:v>
                </c:pt>
                <c:pt idx="23">
                  <c:v>0.28000000000000003</c:v>
                </c:pt>
                <c:pt idx="24">
                  <c:v>0.28000000000000003</c:v>
                </c:pt>
                <c:pt idx="25">
                  <c:v>0.28000000000000003</c:v>
                </c:pt>
                <c:pt idx="26">
                  <c:v>0.31</c:v>
                </c:pt>
                <c:pt idx="27">
                  <c:v>0.31</c:v>
                </c:pt>
                <c:pt idx="28">
                  <c:v>0.31</c:v>
                </c:pt>
                <c:pt idx="29">
                  <c:v>0.31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0.4</c:v>
                </c:pt>
                <c:pt idx="35">
                  <c:v>0.4</c:v>
                </c:pt>
                <c:pt idx="36">
                  <c:v>0.4</c:v>
                </c:pt>
                <c:pt idx="37">
                  <c:v>0.4</c:v>
                </c:pt>
                <c:pt idx="38">
                  <c:v>0.44</c:v>
                </c:pt>
                <c:pt idx="39">
                  <c:v>0.44</c:v>
                </c:pt>
                <c:pt idx="40">
                  <c:v>0.44</c:v>
                </c:pt>
                <c:pt idx="41">
                  <c:v>0.44</c:v>
                </c:pt>
                <c:pt idx="42">
                  <c:v>0.48</c:v>
                </c:pt>
                <c:pt idx="43">
                  <c:v>0.48</c:v>
                </c:pt>
                <c:pt idx="44">
                  <c:v>0.48</c:v>
                </c:pt>
                <c:pt idx="45">
                  <c:v>0.48</c:v>
                </c:pt>
                <c:pt idx="46">
                  <c:v>0.53</c:v>
                </c:pt>
                <c:pt idx="47">
                  <c:v>0.53</c:v>
                </c:pt>
                <c:pt idx="48">
                  <c:v>0.53</c:v>
                </c:pt>
                <c:pt idx="49">
                  <c:v>0.53</c:v>
                </c:pt>
                <c:pt idx="50">
                  <c:v>0.56000000000000005</c:v>
                </c:pt>
                <c:pt idx="51">
                  <c:v>0.56000000000000005</c:v>
                </c:pt>
                <c:pt idx="52">
                  <c:v>0.56000000000000005</c:v>
                </c:pt>
                <c:pt idx="53">
                  <c:v>0.56000000000000005</c:v>
                </c:pt>
                <c:pt idx="54">
                  <c:v>0.6</c:v>
                </c:pt>
                <c:pt idx="55">
                  <c:v>0.6</c:v>
                </c:pt>
                <c:pt idx="56">
                  <c:v>0.6</c:v>
                </c:pt>
                <c:pt idx="57">
                  <c:v>0.6</c:v>
                </c:pt>
                <c:pt idx="58">
                  <c:v>0.64</c:v>
                </c:pt>
                <c:pt idx="59">
                  <c:v>0.64</c:v>
                </c:pt>
                <c:pt idx="60">
                  <c:v>0.64</c:v>
                </c:pt>
                <c:pt idx="61">
                  <c:v>0.64</c:v>
                </c:pt>
                <c:pt idx="62">
                  <c:v>0.66</c:v>
                </c:pt>
                <c:pt idx="63">
                  <c:v>0.66</c:v>
                </c:pt>
                <c:pt idx="64">
                  <c:v>0.66</c:v>
                </c:pt>
                <c:pt idx="65">
                  <c:v>0.66</c:v>
                </c:pt>
                <c:pt idx="66">
                  <c:v>0.67</c:v>
                </c:pt>
                <c:pt idx="67">
                  <c:v>0.67</c:v>
                </c:pt>
                <c:pt idx="68">
                  <c:v>0.67</c:v>
                </c:pt>
                <c:pt idx="69">
                  <c:v>0.67</c:v>
                </c:pt>
                <c:pt idx="70">
                  <c:v>0.69</c:v>
                </c:pt>
                <c:pt idx="71">
                  <c:v>0.69</c:v>
                </c:pt>
                <c:pt idx="72">
                  <c:v>0.69</c:v>
                </c:pt>
                <c:pt idx="73">
                  <c:v>0.69</c:v>
                </c:pt>
                <c:pt idx="74">
                  <c:v>0.72</c:v>
                </c:pt>
                <c:pt idx="75">
                  <c:v>0.72</c:v>
                </c:pt>
                <c:pt idx="76">
                  <c:v>0.72</c:v>
                </c:pt>
                <c:pt idx="77">
                  <c:v>0.72</c:v>
                </c:pt>
                <c:pt idx="78">
                  <c:v>0.75</c:v>
                </c:pt>
                <c:pt idx="79">
                  <c:v>0.75</c:v>
                </c:pt>
                <c:pt idx="80">
                  <c:v>0.75</c:v>
                </c:pt>
                <c:pt idx="81">
                  <c:v>0.75</c:v>
                </c:pt>
                <c:pt idx="82">
                  <c:v>0.79</c:v>
                </c:pt>
                <c:pt idx="83">
                  <c:v>0.79</c:v>
                </c:pt>
                <c:pt idx="84">
                  <c:v>0.79</c:v>
                </c:pt>
                <c:pt idx="85">
                  <c:v>0.79</c:v>
                </c:pt>
                <c:pt idx="86">
                  <c:v>0.87</c:v>
                </c:pt>
                <c:pt idx="87">
                  <c:v>0.87</c:v>
                </c:pt>
                <c:pt idx="88">
                  <c:v>0.87</c:v>
                </c:pt>
                <c:pt idx="89">
                  <c:v>0.87</c:v>
                </c:pt>
                <c:pt idx="90">
                  <c:v>0.91</c:v>
                </c:pt>
                <c:pt idx="91">
                  <c:v>0.91</c:v>
                </c:pt>
                <c:pt idx="92">
                  <c:v>0.91</c:v>
                </c:pt>
                <c:pt idx="93">
                  <c:v>0.91</c:v>
                </c:pt>
                <c:pt idx="94">
                  <c:v>0.94</c:v>
                </c:pt>
                <c:pt idx="95">
                  <c:v>0.94</c:v>
                </c:pt>
                <c:pt idx="96">
                  <c:v>0.94</c:v>
                </c:pt>
                <c:pt idx="97">
                  <c:v>0.94</c:v>
                </c:pt>
                <c:pt idx="98">
                  <c:v>1.01</c:v>
                </c:pt>
                <c:pt idx="99">
                  <c:v>1.01</c:v>
                </c:pt>
                <c:pt idx="100">
                  <c:v>1.01</c:v>
                </c:pt>
                <c:pt idx="101">
                  <c:v>1.01</c:v>
                </c:pt>
                <c:pt idx="102">
                  <c:v>1.06</c:v>
                </c:pt>
                <c:pt idx="103">
                  <c:v>1.06</c:v>
                </c:pt>
                <c:pt idx="104">
                  <c:v>1.06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5-47E0-9D10-50DACA152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651200"/>
        <c:axId val="1587651680"/>
      </c:barChart>
      <c:dateAx>
        <c:axId val="15876512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651680"/>
        <c:crosses val="autoZero"/>
        <c:auto val="1"/>
        <c:lblOffset val="100"/>
        <c:baseTimeUnit val="days"/>
      </c:dateAx>
      <c:valAx>
        <c:axId val="158765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65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Forecast!$B$2:$B$120</c:f>
              <c:numCache>
                <c:formatCode>General</c:formatCode>
                <c:ptCount val="119"/>
                <c:pt idx="0">
                  <c:v>148.16249999999999</c:v>
                </c:pt>
                <c:pt idx="1">
                  <c:v>149.80799999999999</c:v>
                </c:pt>
                <c:pt idx="2">
                  <c:v>148.85999999999999</c:v>
                </c:pt>
                <c:pt idx="3">
                  <c:v>153.14400000000001</c:v>
                </c:pt>
                <c:pt idx="4">
                  <c:v>157.61199999999999</c:v>
                </c:pt>
                <c:pt idx="5">
                  <c:v>158.47</c:v>
                </c:pt>
                <c:pt idx="6">
                  <c:v>156.70599999999999</c:v>
                </c:pt>
                <c:pt idx="7">
                  <c:v>160.125</c:v>
                </c:pt>
                <c:pt idx="8">
                  <c:v>159.47200000000001</c:v>
                </c:pt>
                <c:pt idx="9">
                  <c:v>159.88399999999999</c:v>
                </c:pt>
                <c:pt idx="10">
                  <c:v>161.732</c:v>
                </c:pt>
                <c:pt idx="11">
                  <c:v>161.71</c:v>
                </c:pt>
                <c:pt idx="12">
                  <c:v>161.4</c:v>
                </c:pt>
                <c:pt idx="13">
                  <c:v>157.77000000000001</c:v>
                </c:pt>
                <c:pt idx="14">
                  <c:v>156.22200000000001</c:v>
                </c:pt>
                <c:pt idx="15">
                  <c:v>156.75799999999998</c:v>
                </c:pt>
                <c:pt idx="16">
                  <c:v>161.696</c:v>
                </c:pt>
                <c:pt idx="17">
                  <c:v>163.31200000000001</c:v>
                </c:pt>
                <c:pt idx="18">
                  <c:v>165.63200000000001</c:v>
                </c:pt>
                <c:pt idx="19">
                  <c:v>166.72800000000001</c:v>
                </c:pt>
                <c:pt idx="20">
                  <c:v>166.858</c:v>
                </c:pt>
                <c:pt idx="21">
                  <c:v>162.97</c:v>
                </c:pt>
                <c:pt idx="22">
                  <c:v>166.648</c:v>
                </c:pt>
                <c:pt idx="23">
                  <c:v>166.642</c:v>
                </c:pt>
                <c:pt idx="24">
                  <c:v>167.9975</c:v>
                </c:pt>
                <c:pt idx="25">
                  <c:v>166.858</c:v>
                </c:pt>
                <c:pt idx="26">
                  <c:v>163.91500000000002</c:v>
                </c:pt>
                <c:pt idx="27">
                  <c:v>166.226</c:v>
                </c:pt>
                <c:pt idx="28">
                  <c:v>167.47399999999999</c:v>
                </c:pt>
                <c:pt idx="29">
                  <c:v>167.77600000000001</c:v>
                </c:pt>
                <c:pt idx="30">
                  <c:v>165.63200000000001</c:v>
                </c:pt>
                <c:pt idx="31">
                  <c:v>169.51599999999999</c:v>
                </c:pt>
                <c:pt idx="32">
                  <c:v>167.74199999999999</c:v>
                </c:pt>
                <c:pt idx="33">
                  <c:v>169.66200000000001</c:v>
                </c:pt>
                <c:pt idx="34">
                  <c:v>170.04599999999999</c:v>
                </c:pt>
                <c:pt idx="35">
                  <c:v>175.37</c:v>
                </c:pt>
                <c:pt idx="36">
                  <c:v>175.06399999999999</c:v>
                </c:pt>
                <c:pt idx="37">
                  <c:v>174.56</c:v>
                </c:pt>
                <c:pt idx="38">
                  <c:v>173.20600000000002</c:v>
                </c:pt>
                <c:pt idx="39">
                  <c:v>171.43199999999999</c:v>
                </c:pt>
                <c:pt idx="40">
                  <c:v>168.91800000000001</c:v>
                </c:pt>
                <c:pt idx="41">
                  <c:v>172.404</c:v>
                </c:pt>
                <c:pt idx="42">
                  <c:v>169.33199999999999</c:v>
                </c:pt>
                <c:pt idx="43">
                  <c:v>166.58199999999999</c:v>
                </c:pt>
                <c:pt idx="44">
                  <c:v>164.602</c:v>
                </c:pt>
                <c:pt idx="45">
                  <c:v>167.01400000000001</c:v>
                </c:pt>
                <c:pt idx="46">
                  <c:v>172.286</c:v>
                </c:pt>
                <c:pt idx="47">
                  <c:v>178.82999999999998</c:v>
                </c:pt>
                <c:pt idx="48">
                  <c:v>176.01599999999999</c:v>
                </c:pt>
                <c:pt idx="49">
                  <c:v>171.12199999999999</c:v>
                </c:pt>
                <c:pt idx="50">
                  <c:v>169.56</c:v>
                </c:pt>
                <c:pt idx="51">
                  <c:v>169.185</c:v>
                </c:pt>
                <c:pt idx="52">
                  <c:v>166.46250000000001</c:v>
                </c:pt>
                <c:pt idx="53">
                  <c:v>160.63999999999999</c:v>
                </c:pt>
                <c:pt idx="54">
                  <c:v>159.97200000000001</c:v>
                </c:pt>
                <c:pt idx="55">
                  <c:v>164.1825</c:v>
                </c:pt>
                <c:pt idx="56">
                  <c:v>167.096</c:v>
                </c:pt>
                <c:pt idx="57">
                  <c:v>168.54999999999998</c:v>
                </c:pt>
                <c:pt idx="58">
                  <c:v>168.09</c:v>
                </c:pt>
                <c:pt idx="59">
                  <c:v>167.34</c:v>
                </c:pt>
                <c:pt idx="60">
                  <c:v>172.06</c:v>
                </c:pt>
                <c:pt idx="61">
                  <c:v>174.798</c:v>
                </c:pt>
                <c:pt idx="62">
                  <c:v>170.86199999999999</c:v>
                </c:pt>
                <c:pt idx="63">
                  <c:v>168.05600000000001</c:v>
                </c:pt>
                <c:pt idx="64">
                  <c:v>166.364</c:v>
                </c:pt>
                <c:pt idx="65">
                  <c:v>169.32399999999998</c:v>
                </c:pt>
                <c:pt idx="66">
                  <c:v>162.28199999999998</c:v>
                </c:pt>
                <c:pt idx="67">
                  <c:v>168.655</c:v>
                </c:pt>
                <c:pt idx="68">
                  <c:v>163.982</c:v>
                </c:pt>
                <c:pt idx="69">
                  <c:v>161.43600000000001</c:v>
                </c:pt>
                <c:pt idx="70">
                  <c:v>158.73599999999999</c:v>
                </c:pt>
                <c:pt idx="71">
                  <c:v>160.66800000000001</c:v>
                </c:pt>
                <c:pt idx="72">
                  <c:v>165.346</c:v>
                </c:pt>
                <c:pt idx="73">
                  <c:v>168.39249999999998</c:v>
                </c:pt>
                <c:pt idx="74">
                  <c:v>165.48</c:v>
                </c:pt>
                <c:pt idx="75">
                  <c:v>162.19400000000002</c:v>
                </c:pt>
                <c:pt idx="76">
                  <c:v>159.125</c:v>
                </c:pt>
                <c:pt idx="77">
                  <c:v>159.77000000000001</c:v>
                </c:pt>
                <c:pt idx="78">
                  <c:v>160.64249999999998</c:v>
                </c:pt>
                <c:pt idx="79">
                  <c:v>158.29</c:v>
                </c:pt>
                <c:pt idx="80">
                  <c:v>154.178</c:v>
                </c:pt>
                <c:pt idx="81">
                  <c:v>157.74799999999999</c:v>
                </c:pt>
                <c:pt idx="82">
                  <c:v>153.54400000000001</c:v>
                </c:pt>
                <c:pt idx="83">
                  <c:v>152.226</c:v>
                </c:pt>
                <c:pt idx="84">
                  <c:v>154.71600000000001</c:v>
                </c:pt>
                <c:pt idx="85">
                  <c:v>158.20599999999999</c:v>
                </c:pt>
                <c:pt idx="86">
                  <c:v>156.35400000000001</c:v>
                </c:pt>
                <c:pt idx="87">
                  <c:v>158.8425</c:v>
                </c:pt>
                <c:pt idx="88">
                  <c:v>158.47</c:v>
                </c:pt>
                <c:pt idx="89">
                  <c:v>157.714</c:v>
                </c:pt>
                <c:pt idx="90">
                  <c:v>152.52799999999999</c:v>
                </c:pt>
                <c:pt idx="91">
                  <c:v>152.93600000000001</c:v>
                </c:pt>
                <c:pt idx="92">
                  <c:v>150.78200000000001</c:v>
                </c:pt>
                <c:pt idx="93">
                  <c:v>149.01400000000001</c:v>
                </c:pt>
                <c:pt idx="94">
                  <c:v>152.096</c:v>
                </c:pt>
                <c:pt idx="95">
                  <c:v>150.36600000000001</c:v>
                </c:pt>
                <c:pt idx="96">
                  <c:v>146.81799999999998</c:v>
                </c:pt>
                <c:pt idx="97">
                  <c:v>147.536</c:v>
                </c:pt>
                <c:pt idx="98">
                  <c:v>147.78200000000001</c:v>
                </c:pt>
                <c:pt idx="99">
                  <c:v>147.97</c:v>
                </c:pt>
                <c:pt idx="100">
                  <c:v>145.76400000000001</c:v>
                </c:pt>
                <c:pt idx="101">
                  <c:v>140.27799999999999</c:v>
                </c:pt>
                <c:pt idx="102">
                  <c:v>145.626</c:v>
                </c:pt>
                <c:pt idx="103">
                  <c:v>143.77500000000001</c:v>
                </c:pt>
                <c:pt idx="104">
                  <c:v>143.43</c:v>
                </c:pt>
                <c:pt idx="105">
                  <c:v>140.34399999999999</c:v>
                </c:pt>
                <c:pt idx="106">
                  <c:v>144.642</c:v>
                </c:pt>
                <c:pt idx="107">
                  <c:v>148.285</c:v>
                </c:pt>
                <c:pt idx="108">
                  <c:v>149.36799999999999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30-4DCD-8394-910E94956FC9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XL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Forecast!$C$2:$C$120</c:f>
              <c:numCache>
                <c:formatCode>General</c:formatCode>
                <c:ptCount val="119"/>
                <c:pt idx="105">
                  <c:v>143.36135617696297</c:v>
                </c:pt>
                <c:pt idx="106">
                  <c:v>139.48468797173075</c:v>
                </c:pt>
                <c:pt idx="107">
                  <c:v>143.42158129313302</c:v>
                </c:pt>
                <c:pt idx="108">
                  <c:v>148.80917071629275</c:v>
                </c:pt>
                <c:pt idx="109">
                  <c:v>147.06762368031531</c:v>
                </c:pt>
                <c:pt idx="110">
                  <c:v>147.08462255657651</c:v>
                </c:pt>
                <c:pt idx="111">
                  <c:v>146.90415105863769</c:v>
                </c:pt>
                <c:pt idx="112">
                  <c:v>146.66927386340939</c:v>
                </c:pt>
                <c:pt idx="113">
                  <c:v>146.45687315780475</c:v>
                </c:pt>
                <c:pt idx="114">
                  <c:v>146.21856058336598</c:v>
                </c:pt>
                <c:pt idx="115">
                  <c:v>144.05394443348703</c:v>
                </c:pt>
                <c:pt idx="116">
                  <c:v>145.68877730130708</c:v>
                </c:pt>
                <c:pt idx="117">
                  <c:v>145.42168664871775</c:v>
                </c:pt>
                <c:pt idx="118">
                  <c:v>145.19923538668652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30-4DCD-8394-910E94956FC9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Calc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Forecast!$D$2:$D$120</c:f>
              <c:numCache>
                <c:formatCode>General</c:formatCode>
                <c:ptCount val="119"/>
                <c:pt idx="105">
                  <c:v>146.37728142784701</c:v>
                </c:pt>
                <c:pt idx="106">
                  <c:v>144.98440301876499</c:v>
                </c:pt>
                <c:pt idx="107">
                  <c:v>147.50924164403199</c:v>
                </c:pt>
                <c:pt idx="108">
                  <c:v>147.03643738552501</c:v>
                </c:pt>
                <c:pt idx="109">
                  <c:v>147.28093599710499</c:v>
                </c:pt>
                <c:pt idx="110">
                  <c:v>149.68021411946</c:v>
                </c:pt>
                <c:pt idx="111">
                  <c:v>149.72084557049899</c:v>
                </c:pt>
                <c:pt idx="112">
                  <c:v>148.50927153910399</c:v>
                </c:pt>
                <c:pt idx="113">
                  <c:v>145.38519946040901</c:v>
                </c:pt>
                <c:pt idx="114">
                  <c:v>143.77131808981301</c:v>
                </c:pt>
                <c:pt idx="115">
                  <c:v>144.664065472522</c:v>
                </c:pt>
                <c:pt idx="116">
                  <c:v>147.59923453294701</c:v>
                </c:pt>
                <c:pt idx="117">
                  <c:v>151.316004731015</c:v>
                </c:pt>
                <c:pt idx="118">
                  <c:v>152.26023563816199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30-4DCD-8394-910E94956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137632"/>
        <c:axId val="129138112"/>
      </c:lineChart>
      <c:dateAx>
        <c:axId val="129137632"/>
        <c:scaling>
          <c:orientation val="minMax"/>
          <c:min val="45717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38112"/>
        <c:crosses val="autoZero"/>
        <c:auto val="1"/>
        <c:lblOffset val="100"/>
        <c:baseTimeUnit val="days"/>
      </c:dateAx>
      <c:valAx>
        <c:axId val="129138112"/>
        <c:scaling>
          <c:orientation val="minMax"/>
          <c:max val="180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37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18</xdr:row>
      <xdr:rowOff>161925</xdr:rowOff>
    </xdr:from>
    <xdr:to>
      <xdr:col>7</xdr:col>
      <xdr:colOff>104775</xdr:colOff>
      <xdr:row>31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2EE4F6-19E4-434E-9024-31B828EED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333375</xdr:colOff>
      <xdr:row>33</xdr:row>
      <xdr:rowOff>0</xdr:rowOff>
    </xdr:from>
    <xdr:to>
      <xdr:col>7</xdr:col>
      <xdr:colOff>200025</xdr:colOff>
      <xdr:row>47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D67309-7988-41D0-9D3C-AB3613E15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49</xdr:row>
      <xdr:rowOff>9524</xdr:rowOff>
    </xdr:from>
    <xdr:to>
      <xdr:col>7</xdr:col>
      <xdr:colOff>161925</xdr:colOff>
      <xdr:row>61</xdr:row>
      <xdr:rowOff>114299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C53CF6-7F8D-4429-85C1-CCE74AE51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352425</xdr:colOff>
      <xdr:row>2</xdr:row>
      <xdr:rowOff>104776</xdr:rowOff>
    </xdr:from>
    <xdr:to>
      <xdr:col>7</xdr:col>
      <xdr:colOff>66675</xdr:colOff>
      <xdr:row>16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3AD0D2-B3AE-4D17-A5FF-3FF5910D2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381000</xdr:colOff>
      <xdr:row>78</xdr:row>
      <xdr:rowOff>152400</xdr:rowOff>
    </xdr:from>
    <xdr:to>
      <xdr:col>7</xdr:col>
      <xdr:colOff>200026</xdr:colOff>
      <xdr:row>93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8DE69D-CA14-4F4F-8026-43910C9C6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295275</xdr:colOff>
      <xdr:row>63</xdr:row>
      <xdr:rowOff>38100</xdr:rowOff>
    </xdr:from>
    <xdr:to>
      <xdr:col>7</xdr:col>
      <xdr:colOff>171450</xdr:colOff>
      <xdr:row>77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F83B0E-7582-44B9-BFA1-034291A46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3C48B7-11E1-432A-8E54-03FFB0324DC7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Week" tableColumnId="1"/>
      <queryTableField id="2" name="Average" tableColumnId="2"/>
      <queryTableField id="3" dataBound="0" tableColumnId="3"/>
      <queryTableField id="4" dataBound="0" tableColumnId="4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522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  <v t="i">732</v>
    <v t="i">735</v>
    <v t="i">736</v>
    <v t="i">737</v>
    <v t="i">738</v>
    <v t="i">739</v>
    <v t="i">742</v>
    <v t="i">743</v>
    <v t="i">744</v>
    <v t="i">745</v>
    <v t="i">746</v>
    <v t="i">750</v>
    <v t="i">751</v>
    <v t="i">752</v>
    <v t="i">753</v>
    <v t="i">756</v>
    <v t="i">757</v>
    <v t="i">758</v>
    <v t="i">759</v>
    <v t="i">760</v>
  </a>
  <a r="1" c="522">
    <v>148.74</v>
    <v>147.84</v>
    <v>148.65</v>
    <v>147.41999999999999</v>
    <v>148.69</v>
    <v>149.30000000000001</v>
    <v>149.94</v>
    <v>150.51</v>
    <v>150.6</v>
    <v>149.79</v>
    <v>149.94</v>
    <v>148.13999999999999</v>
    <v>147.57</v>
    <v>147.86000000000001</v>
    <v>153.97999999999999</v>
    <v>152.12</v>
    <v>155.62</v>
    <v>156.13999999999999</v>
    <v>156.16</v>
    <v>157.49</v>
    <v>157.13999999999999</v>
    <v>159.18</v>
    <v>158.09</v>
    <v>158.21</v>
    <v>158.96</v>
    <v>159.12</v>
    <v>158.63999999999999</v>
    <v>157.41999999999999</v>
    <v>157.11000000000001</v>
    <v>156.27000000000001</v>
    <v>155.63</v>
    <v>157.01</v>
    <v>157.51</v>
    <v>158.51</v>
    <v>160.4</v>
    <v>160.56</v>
    <v>161.03</v>
    <v>160.22</v>
    <v>159.30000000000001</v>
    <v>160.05000000000001</v>
    <v>158.94</v>
    <v>158.85</v>
    <v>159.56</v>
    <v>159.32</v>
    <v>159.57</v>
    <v>160.62</v>
    <v>160.35</v>
    <v>161.55000000000001</v>
    <v>161.93</v>
    <v>162.30000000000001</v>
    <v>161.5</v>
    <v>161.38</v>
    <v>161.21</v>
    <v>161.83000000000001</v>
    <v>161.99</v>
    <v>161.86000000000001</v>
    <v>161.66</v>
    <v>160.19</v>
    <v>160.55000000000001</v>
    <v>162.61000000000001</v>
    <v>162.25</v>
    <v>160.58000000000001</v>
    <v>160.57</v>
    <v>156.15</v>
    <v>155.44999999999999</v>
    <v>156.1</v>
    <v>156.04</v>
    <v>156.66</v>
    <v>157.24</v>
    <v>155.84</v>
    <v>155.33000000000001</v>
    <v>155.44999999999999</v>
    <v>155.94999999999999</v>
    <v>156.96</v>
    <v>157.29</v>
    <v>158.13999999999999</v>
    <v>160.54</v>
    <v>161.5</v>
    <v>162.6</v>
    <v>162.55000000000001</v>
    <v>161.29</v>
    <v>161.66</v>
    <v>163.19999999999999</v>
    <v>163.4</v>
    <v>163.84</v>
    <v>164.46</v>
    <v>164.44</v>
    <v>165.76</v>
    <v>165.07</v>
    <v>166.04</v>
    <v>166.85</v>
    <v>165.87</v>
    <v>165.76</v>
    <v>166.51</v>
    <v>167.86</v>
    <v>167.64</v>
    <v>167.31</v>
    <v>168.35</v>
    <v>167.81</v>
    <v>165.49</v>
    <v>165.33</v>
    <v>163.11000000000001</v>
    <v>161.65</v>
    <v>162.58000000000001</v>
    <v>164.54</v>
    <v>164.65</v>
    <v>167.01</v>
    <v>166.05</v>
    <v>168.47</v>
    <v>167.06</v>
    <v>167.35</v>
    <v>167.48</v>
    <v>165.18</v>
    <v>166.41</v>
    <v>166.79</v>
    <v>167.5</v>
    <v>168.56</v>
    <v>167.67</v>
    <v>168.26</v>
    <v>168.45</v>
    <v>166.85</v>
    <v>167.45</v>
    <v>166.62</v>
    <v>164.92</v>
    <v>162.72</v>
    <v>163.9</v>
    <v>163.83000000000001</v>
    <v>165.21</v>
    <v>166.52</v>
    <v>165.66</v>
    <v>166.8</v>
    <v>165.54</v>
    <v>166.61</v>
    <v>164.58</v>
    <v>166.95</v>
    <v>169.44</v>
    <v>168.44</v>
    <v>167.96</v>
    <v>168.25</v>
    <v>166.62</v>
    <v>168</v>
    <v>166.9</v>
    <v>169.11</v>
    <v>169.93</v>
    <v>161.69999999999999</v>
    <v>160.76</v>
    <v>165.69</v>
    <v>170.08</v>
    <v>168.06</v>
    <v>168.09</v>
    <v>170.02</v>
    <v>170.87</v>
    <v>170.54</v>
    <v>166.81</v>
    <v>167.29</v>
    <v>168.8</v>
    <v>167.92</v>
    <v>167.89</v>
    <v>168.42</v>
    <v>170.41</v>
    <v>170.16</v>
    <v>170.15</v>
    <v>169.17</v>
    <v>170.35</v>
    <v>169.25</v>
    <v>169.06</v>
    <v>170.03</v>
    <v>171.54</v>
    <v>174.52</v>
    <v>175.9</v>
    <v>175.47</v>
    <v>175.59</v>
    <v>176.06</v>
    <v>177.79</v>
    <v>173.92</v>
    <v>173.47</v>
    <v>174.08</v>
    <v>177.24</v>
    <v>175.88</v>
    <v>173.92</v>
    <v>171.54</v>
    <v>174.22</v>
    <v>173.77</v>
    <v>173.24</v>
    <v>172.26</v>
    <v>173.21</v>
    <v>173.55</v>
    <v>173.2</v>
    <v>173.04</v>
    <v>171.92</v>
    <v>170.12</v>
    <v>168.88</v>
    <v>167.12</v>
    <v>168.16</v>
    <v>169.27</v>
    <v>168.95</v>
    <v>171.09</v>
    <v>172.51</v>
    <v>173.57</v>
    <v>172.38</v>
    <v>172.28</v>
    <v>171.28</v>
    <v>169.54</v>
    <v>169.7</v>
    <v>169.58</v>
    <v>169.62</v>
    <v>168.22</v>
    <v>169.3</v>
    <v>167.17</v>
    <v>166.16</v>
    <v>165.18</v>
    <v>165.1</v>
    <v>165.08</v>
    <v>165.76</v>
    <v>161.05000000000001</v>
    <v>163.41</v>
    <v>167.71</v>
    <v>166.03</v>
    <v>165.84</v>
    <v>166.58</v>
    <v>167.08</v>
    <v>169.54</v>
    <v>170.75</v>
    <v>170.76</v>
    <v>170.89</v>
    <v>172.75</v>
    <v>176.28</v>
    <v>177.39</v>
    <v>179.31</v>
    <v>179.36</v>
    <v>179.26</v>
    <v>179.7</v>
    <v>175.42</v>
    <v>175.11</v>
    <v>176.03</v>
    <v>173.82</v>
    <v>170.79</v>
    <v>172.28</v>
    <v>170.63</v>
    <v>170.85</v>
    <v>171.06</v>
    <v>171.14</v>
    <v>170.33</v>
    <v>169.08</v>
    <v>169.19</v>
    <v>168.06</v>
    <v>168.11</v>
    <v>168.94</v>
    <v>170.16</v>
    <v>169.53</v>
    <v>167.09</v>
    <v>167.65</v>
    <v>165.98</v>
    <v>165.13</v>
    <v>160.6</v>
    <v>161.30000000000001</v>
    <v>162.1</v>
    <v>158.56</v>
    <v>158.84</v>
    <v>159.74</v>
    <v>159.65</v>
    <v>160.5</v>
    <v>161.13</v>
    <v>161.72</v>
    <v>164.74</v>
    <v>166.15</v>
    <v>164.12</v>
    <v>169.66</v>
    <v>166.19</v>
    <v>166.23</v>
    <v>167.41</v>
    <v>165.99</v>
    <v>168.76</v>
    <v>168.13</v>
    <v>169.01</v>
    <v>168.88</v>
    <v>167.97</v>
    <v>167.53</v>
    <v>169.43</v>
    <v>169.58</v>
    <v>171.02</v>
    <v>162.88999999999999</v>
    <v>165.43</v>
    <v>166.49</v>
    <v>167.21</v>
    <v>170.23</v>
    <v>170.54</v>
    <v>172.65</v>
    <v>171.3</v>
    <v>171.97</v>
    <v>173.84</v>
    <v>175.59</v>
    <v>173.18</v>
    <v>174.61</v>
    <v>174.66</v>
    <v>175.95</v>
    <v>176.26</v>
    <v>173.12</v>
    <v>168.37</v>
    <v>168.59</v>
    <v>167.97</v>
    <v>169.76</v>
    <v>167.71</v>
    <v>168.57</v>
    <v>167.55</v>
    <v>166.69</v>
    <v>165.65</v>
    <v>162.85</v>
    <v>166.58</v>
    <v>168.71</v>
    <v>168.03</v>
    <v>170.42</v>
    <v>170.56</v>
    <v>169.5</v>
    <v>172.39</v>
    <v>163.75</v>
    <v>160.22999999999999</v>
    <v>158.38999999999999</v>
    <v>162.32</v>
    <v>163.56</v>
    <v>166.91</v>
    <v>169.13</v>
    <v>168.47</v>
    <v>166.39</v>
    <v>170.63</v>
    <v>165.75</v>
    <v>167.88</v>
    <v>165.73</v>
    <v>159.53</v>
    <v>161.02000000000001</v>
    <v>161.85</v>
    <v>162.26</v>
    <v>162.57</v>
    <v>159.97999999999999</v>
    <v>160.52000000000001</v>
    <v>158.83000000000001</v>
    <v>159.25</v>
    <v>159.29</v>
    <v>158.65</v>
    <v>157.66</v>
    <v>160.9</v>
    <v>158.72999999999999</v>
    <v>158.02000000000001</v>
    <v>162.41</v>
    <v>163.28</v>
    <v>164.77</v>
    <v>165.64</v>
    <v>165.43</v>
    <v>165.03</v>
    <v>165.86</v>
    <v>167.76</v>
    <v>167.36</v>
    <v>168.56</v>
    <v>169.89</v>
    <v>167.78</v>
    <v>166.85</v>
    <v>165.95</v>
    <v>162.80000000000001</v>
    <v>164.02</v>
    <v>162.56</v>
    <v>162.84</v>
    <v>162.11000000000001</v>
    <v>163.18</v>
    <v>160.28</v>
    <v>160.88</v>
    <v>158.52000000000001</v>
    <v>158.02000000000001</v>
    <v>159.08000000000001</v>
    <v>161.03</v>
    <v>160.36000000000001</v>
    <v>158.97</v>
    <v>158.63</v>
    <v>159.86000000000001</v>
    <v>159.32</v>
    <v>161.22</v>
    <v>161.19999999999999</v>
    <v>160.83000000000001</v>
    <v>160.5</v>
    <v>157.88999999999999</v>
    <v>157.52000000000001</v>
    <v>158.49</v>
    <v>157.05000000000001</v>
    <v>153.76</v>
    <v>152.68</v>
    <v>153.72999999999999</v>
    <v>155.62</v>
    <v>155.1</v>
    <v>155.03</v>
    <v>158.32</v>
    <v>158.28</v>
    <v>158.81</v>
    <v>158.30000000000001</v>
    <v>157.11000000000001</v>
    <v>156.61000000000001</v>
    <v>152.88</v>
    <v>150.47</v>
    <v>150.65</v>
    <v>150.76</v>
    <v>150.51</v>
    <v>152.86000000000001</v>
    <v>153.49</v>
    <v>153.51</v>
    <v>154.97999999999999</v>
    <v>155.09</v>
    <v>155.41</v>
    <v>153.74</v>
    <v>154.36000000000001</v>
    <v>155.72</v>
    <v>158.4</v>
    <v>159.51</v>
    <v>158.72999999999999</v>
    <v>158.66999999999999</v>
    <v>156.15</v>
    <v>155.97</v>
    <v>156.96</v>
    <v>155.65</v>
    <v>157.04</v>
    <v>157.99</v>
    <v>158.16999999999999</v>
    <v>159.19</v>
    <v>160.02000000000001</v>
    <v>159.01</v>
    <v>159.46</v>
    <v>157.35</v>
    <v>158.63</v>
    <v>157.9</v>
    <v>156.83000000000001</v>
    <v>158.05000000000001</v>
    <v>160.33000000000001</v>
    <v>157.32</v>
    <v>156.04</v>
    <v>153.07</v>
    <v>152.5</v>
    <v>152.41999999999999</v>
    <v>152.15</v>
    <v>152.5</v>
    <v>153.53</v>
    <v>153.65</v>
    <v>153.18</v>
    <v>152.05000000000001</v>
    <v>152.27000000000001</v>
    <v>150.41</v>
    <v>152.54</v>
    <v>150.69</v>
    <v>150.58000000000001</v>
    <v>149.69</v>
    <v>147.49</v>
    <v>149.16</v>
    <v>147.41999999999999</v>
    <v>149.6</v>
    <v>151.4</v>
    <v>151.96</v>
    <v>151.62</v>
    <v>152.19999999999999</v>
    <v>152.21</v>
    <v>152.49</v>
    <v>151.74</v>
    <v>151.37</v>
    <v>148.77000000000001</v>
    <v>149.58000000000001</v>
    <v>150.37</v>
    <v>148.02000000000001</v>
    <v>147.16999999999999</v>
    <v>145.79</v>
    <v>146.13</v>
    <v>146.97999999999999</v>
    <v>145.5</v>
    <v>148.54</v>
    <v>148.01</v>
    <v>147.96</v>
    <v>147.66999999999999</v>
    <v>145.82</v>
    <v>146.99</v>
    <v>146.99</v>
    <v>148.19</v>
    <v>150.91999999999999</v>
    <v>146.97999999999999</v>
    <v>148.49</v>
    <v>148.25</v>
    <v>148.16</v>
    <v>147.44</v>
    <v>145.86000000000001</v>
    <v>146.71</v>
    <v>145.36000000000001</v>
    <v>143.44999999999999</v>
    <v>138.34</v>
    <v>139.63</v>
    <v>139.82</v>
    <v>140.76</v>
    <v>142.84</v>
    <v>145.13</v>
    <v>145.21</v>
    <v>147.81</v>
    <v>145.52000000000001</v>
    <v>144.46</v>
    <v>142.69</v>
    <v>143.18</v>
    <v>144.49</v>
    <v>144.74</v>
    <v>144.57</v>
    <v>144.05000000000001</v>
    <v>143.31</v>
    <v>141.79</v>
    <v>140.37</v>
    <v>139.91</v>
    <v>138.04</v>
    <v>141.53</v>
    <v>141.87</v>
    <v>143.46</v>
    <v>144.24</v>
    <v>146.35</v>
    <v>144.63</v>
    <v>144.53</v>
    <v>147</v>
    <v>146.06</v>
    <v>149.93</v>
    <v>150.15</v>
    <v>149.49</v>
    <v>148.34</v>
    <v>147.34</v>
    <v>149.9</v>
    <v>151.77000000000001</v>
  </a>
  <a r="1" c="522">
    <v>7238388</v>
    <v>7697534</v>
    <v>7067618</v>
    <v>5294358</v>
    <v>8255307</v>
    <v>9786934</v>
    <v>8591116</v>
    <v>6659447</v>
    <v>5684834</v>
    <v>8120101</v>
    <v>6541439</v>
    <v>6526221</v>
    <v>7848138</v>
    <v>11084134</v>
    <v>19101558</v>
    <v>11592672</v>
    <v>10352452</v>
    <v>8356819</v>
    <v>8987609</v>
    <v>7794730</v>
    <v>8870215</v>
    <v>7601144</v>
    <v>7937716</v>
    <v>6931933</v>
    <v>6185982</v>
    <v>7209276</v>
    <v>6121778</v>
    <v>5978181</v>
    <v>5482124</v>
    <v>6046869</v>
    <v>5727455</v>
    <v>6249241</v>
    <v>6617706</v>
    <v>6622058</v>
    <v>7121116</v>
    <v>6619639</v>
    <v>5486533</v>
    <v>4531936</v>
    <v>3868405</v>
    <v>3802915</v>
    <v>8348201</v>
    <v>4819929</v>
    <v>3841623</v>
    <v>4481715</v>
    <v>5405719</v>
    <v>4783943</v>
    <v>5080225</v>
    <v>5171060</v>
    <v>4229060</v>
    <v>5410679</v>
    <v>5848057</v>
    <v>10956888</v>
    <v>6086268</v>
    <v>6148240</v>
    <v>4870296</v>
    <v>5211676</v>
    <v>6393425</v>
    <v>7145692</v>
    <v>5842850</v>
    <v>6599711</v>
    <v>7191571</v>
    <v>5971857</v>
    <v>6771395</v>
    <v>9601812</v>
    <v>6801662</v>
    <v>5121197</v>
    <v>5476752</v>
    <v>4613751</v>
    <v>7785084</v>
    <v>8209765</v>
    <v>6770659</v>
    <v>5753987</v>
    <v>6103296</v>
    <v>6621906</v>
    <v>7819261</v>
    <v>12034186</v>
    <v>8926327</v>
    <v>7707250</v>
    <v>7217563</v>
    <v>7094620</v>
    <v>5659784</v>
    <v>4622164</v>
    <v>8106098</v>
    <v>7543154</v>
    <v>5647490</v>
    <v>5581692</v>
    <v>5472549</v>
    <v>6433090</v>
    <v>4579471</v>
    <v>4671126</v>
    <v>4879427</v>
    <v>5725523</v>
    <v>6009837</v>
    <v>5102897</v>
    <v>6793672</v>
    <v>4700819</v>
    <v>3804823</v>
    <v>5147065</v>
    <v>4536733</v>
    <v>4729792</v>
    <v>3820090</v>
    <v>6466193</v>
    <v>4360383</v>
    <v>4756454</v>
    <v>10341644</v>
    <v>5828442</v>
    <v>6277001</v>
    <v>5243345</v>
    <v>6302243</v>
    <v>4558190</v>
    <v>4110668</v>
    <v>3947671</v>
    <v>5474498</v>
    <v>4902180</v>
    <v>3694974</v>
    <v>6759352</v>
    <v>5112634</v>
    <v>8483606</v>
    <v>14682061</v>
    <v>7565304</v>
    <v>8323968</v>
    <v>5164046</v>
    <v>5006990</v>
    <v>9253317</v>
    <v>7638639</v>
    <v>5449219</v>
    <v>2980461</v>
    <v>6509248</v>
    <v>5144458</v>
    <v>4393179</v>
    <v>5037097</v>
    <v>5833061</v>
    <v>4684642</v>
    <v>5752513</v>
    <v>6378312</v>
    <v>7982328</v>
    <v>5926346</v>
    <v>6597090</v>
    <v>6383031</v>
    <v>4863398</v>
    <v>5906992</v>
    <v>7338521</v>
    <v>5581557</v>
    <v>6797832</v>
    <v>15746254</v>
    <v>9660902</v>
    <v>12532700</v>
    <v>11899038</v>
    <v>10338767</v>
    <v>7454869</v>
    <v>8385546</v>
    <v>6386941</v>
    <v>5377378</v>
    <v>7208103</v>
    <v>3770007</v>
    <v>5476675</v>
    <v>9491625</v>
    <v>5640925</v>
    <v>3885315</v>
    <v>4513600</v>
    <v>4082026</v>
    <v>4097382</v>
    <v>4771267</v>
    <v>6472417</v>
    <v>4456635</v>
    <v>5645040</v>
    <v>4413165</v>
    <v>7301617</v>
    <v>10101418</v>
    <v>7517526</v>
    <v>6061865</v>
    <v>5785684</v>
    <v>6450204</v>
    <v>6396311</v>
    <v>6828173</v>
    <v>4839752</v>
    <v>3917986</v>
    <v>6892335</v>
    <v>4757247</v>
    <v>5102884</v>
    <v>8692016</v>
    <v>28647462</v>
    <v>10265199</v>
    <v>5422351</v>
    <v>8916483</v>
    <v>4957367</v>
    <v>4599709</v>
    <v>6296653</v>
    <v>7130825</v>
    <v>6212890</v>
    <v>4794348</v>
    <v>6003668</v>
    <v>6325281</v>
    <v>7472965</v>
    <v>8758806</v>
    <v>6932308</v>
    <v>7036480</v>
    <v>5909158</v>
    <v>7172262</v>
    <v>6117053</v>
    <v>7045586</v>
    <v>8372536</v>
    <v>5522460</v>
    <v>7511671</v>
    <v>4837810</v>
    <v>5861303</v>
    <v>4877911</v>
    <v>5754043</v>
    <v>5681358</v>
    <v>5518085</v>
    <v>6056514</v>
    <v>5455095</v>
    <v>5130338</v>
    <v>4397441</v>
    <v>11473688</v>
    <v>9056725</v>
    <v>7506566</v>
    <v>6364403</v>
    <v>6507823</v>
    <v>5412566</v>
    <v>7444273</v>
    <v>9939416</v>
    <v>6681087</v>
    <v>5683673</v>
    <v>7081237</v>
    <v>6240403</v>
    <v>10609785</v>
    <v>19357005</v>
    <v>6276933</v>
    <v>5522912</v>
    <v>3823708</v>
    <v>5728297</v>
    <v>8127329</v>
    <v>6823659</v>
    <v>5022189</v>
    <v>5741167</v>
    <v>7164286</v>
    <v>6220088</v>
    <v>5237533</v>
    <v>4072810</v>
    <v>3884513</v>
    <v>5943680</v>
    <v>6069344</v>
    <v>7517081</v>
    <v>8585220</v>
    <v>21999342</v>
    <v>6984079</v>
    <v>2460756</v>
    <v>3629533</v>
    <v>4367879</v>
    <v>4354543</v>
    <v>3957920</v>
    <v>5401712</v>
    <v>5256807</v>
    <v>8731671</v>
    <v>8447744</v>
    <v>4974783</v>
    <v>8501525</v>
    <v>6772198</v>
    <v>5982254</v>
    <v>8059231</v>
    <v>5774429</v>
    <v>7262739</v>
    <v>13914694</v>
    <v>14356691</v>
    <v>7614308</v>
    <v>6199939</v>
    <v>9170829</v>
    <v>6716387</v>
    <v>4850295</v>
    <v>4136546</v>
    <v>5464903</v>
    <v>8668729</v>
    <v>6410938</v>
    <v>7537232</v>
    <v>4957889</v>
    <v>4535617</v>
    <v>7063167</v>
    <v>5438081</v>
    <v>6037671</v>
    <v>6328365</v>
    <v>13179478</v>
    <v>7075681</v>
    <v>7910823</v>
    <v>6162601</v>
    <v>9813720</v>
    <v>8564057</v>
    <v>7314856</v>
    <v>5519041</v>
    <v>5466965</v>
    <v>10240069</v>
    <v>7615570</v>
    <v>12118023</v>
    <v>6989086</v>
    <v>6702490</v>
    <v>9566763</v>
    <v>11047022</v>
    <v>11032285</v>
    <v>10159136</v>
    <v>6609126</v>
    <v>6790624</v>
    <v>9931678</v>
    <v>6100242</v>
    <v>7569165</v>
    <v>8789167</v>
    <v>16027251</v>
    <v>6102109</v>
    <v>8366736</v>
    <v>7757259</v>
    <v>6211735</v>
    <v>5479306</v>
    <v>11520451</v>
    <v>7021507</v>
    <v>6274548</v>
    <v>9393270</v>
    <v>13454205</v>
    <v>15708009</v>
    <v>11541114</v>
    <v>10670212</v>
    <v>10581571</v>
    <v>8603200</v>
    <v>9877411</v>
    <v>8764978</v>
    <v>5897634</v>
    <v>7227061</v>
    <v>8062360</v>
    <v>7907421</v>
    <v>9309164</v>
    <v>20077665</v>
    <v>12893200</v>
    <v>8126981</v>
    <v>8266154</v>
    <v>12475539</v>
    <v>6792815</v>
    <v>5750165</v>
    <v>7576219</v>
    <v>7703843</v>
    <v>6430156</v>
    <v>7230806</v>
    <v>6453232</v>
    <v>7378380</v>
    <v>7780827</v>
    <v>5988905</v>
    <v>8727316</v>
    <v>7100784</v>
    <v>8120219</v>
    <v>5576561</v>
    <v>6424153</v>
    <v>6245571</v>
    <v>5349868</v>
    <v>11423794</v>
    <v>5385942</v>
    <v>4842554</v>
    <v>12587537</v>
    <v>7574428</v>
    <v>6223447</v>
    <v>4939333</v>
    <v>10352288</v>
    <v>5697877</v>
    <v>6544199</v>
    <v>7680015</v>
    <v>5960052</v>
    <v>6509891</v>
    <v>7104547</v>
    <v>6331961</v>
    <v>6809747</v>
    <v>7211225</v>
    <v>16173371</v>
    <v>6588223</v>
    <v>7470052</v>
    <v>5933715</v>
    <v>7410446</v>
    <v>19256955</v>
    <v>11238201</v>
    <v>10664891</v>
    <v>8848744</v>
    <v>6999589</v>
    <v>7225695</v>
    <v>12034764</v>
    <v>18770894</v>
    <v>7201748</v>
    <v>8053808</v>
    <v>11491688</v>
    <v>9142615</v>
    <v>8478997</v>
    <v>8319996</v>
    <v>7337252</v>
    <v>6328370</v>
    <v>8186970</v>
    <v>4804795</v>
    <v>7027392</v>
    <v>5800248</v>
    <v>7885026</v>
    <v>11466058</v>
    <v>8162888</v>
    <v>11845443</v>
    <v>8594220</v>
    <v>7679361</v>
    <v>6670065</v>
    <v>7376213</v>
    <v>6719044</v>
    <v>5811281</v>
    <v>7331707</v>
    <v>6938336</v>
    <v>5812356</v>
    <v>6343715</v>
    <v>7121700</v>
    <v>8274726</v>
    <v>7868129</v>
    <v>7840355</v>
    <v>6417695</v>
    <v>5797325</v>
    <v>4692505</v>
    <v>6337977</v>
    <v>4551219</v>
    <v>5857727</v>
    <v>5318179</v>
    <v>6432837</v>
    <v>6592451</v>
    <v>6935245</v>
    <v>6436150</v>
    <v>7178356</v>
    <v>4984936</v>
    <v>6205463</v>
    <v>5819875</v>
    <v>5957021</v>
    <v>5994966</v>
    <v>6559608</v>
    <v>6764169</v>
    <v>7651487</v>
    <v>17224774</v>
    <v>8712910</v>
    <v>8853418</v>
    <v>6483264</v>
    <v>7511415</v>
    <v>5721092</v>
    <v>8139711</v>
    <v>7762609</v>
    <v>7566014</v>
    <v>6892089</v>
    <v>5212584</v>
    <v>6736960</v>
    <v>6844361</v>
    <v>5254728</v>
    <v>6134461</v>
    <v>7374046</v>
    <v>7511103</v>
    <v>8585346</v>
    <v>10003073</v>
    <v>8809673</v>
    <v>8612894</v>
    <v>5601287</v>
    <v>6013379</v>
    <v>6394378</v>
    <v>8205353</v>
    <v>11968491</v>
    <v>7775323</v>
    <v>5819257</v>
    <v>7405466</v>
    <v>6760702</v>
    <v>7930334</v>
    <v>8946383</v>
    <v>9295449</v>
    <v>11199878</v>
    <v>10024549</v>
    <v>8500097</v>
    <v>10208085</v>
    <v>7332540</v>
    <v>7851052</v>
    <v>7566789</v>
    <v>9151066</v>
    <v>9902310</v>
    <v>10735177</v>
    <v>6367038</v>
    <v>9021325</v>
    <v>12017986</v>
    <v>13846906</v>
    <v>10477661</v>
    <v>9238450</v>
    <v>4707161</v>
    <v>8240689</v>
    <v>16376769</v>
    <v>9125320</v>
    <v>10479267</v>
    <v>12791745</v>
    <v>17507504</v>
    <v>10375688</v>
    <v>13650378</v>
    <v>11797981</v>
    <v>10268768</v>
    <v>13877674</v>
    <v>10251720</v>
    <v>9833261</v>
    <v>12239860</v>
    <v>19345622</v>
    <v>11731360</v>
    <v>9541563</v>
    <v>3259209</v>
    <v>4711505</v>
    <v>7662127</v>
    <v>6006432</v>
    <v>5293220</v>
    <v>8946091</v>
    <v>12297334</v>
    <v>10421756</v>
    <v>14369142</v>
    <v>9297080</v>
    <v>9528476</v>
    <v>12812014</v>
    <v>15549150</v>
    <v>13474983</v>
    <v>10102757</v>
    <v>11729334</v>
    <v>12901430</v>
    <v>14126814</v>
    <v>18501854</v>
    <v>14562626</v>
    <v>12655663</v>
    <v>9546000</v>
    <v>7465812</v>
    <v>11035563</v>
    <v>12651426</v>
  </a>
</arrayData>
</file>

<file path=xl/richData/rdrichvalue.xml><?xml version="1.0" encoding="utf-8"?>
<rvData xmlns="http://schemas.microsoft.com/office/spreadsheetml/2017/richdata" count="1524">
  <rv s="0">
    <fb>45293</fb>
    <v>0</v>
  </rv>
  <rv s="0">
    <fb>148.74</fb>
    <v>1</v>
  </rv>
  <rv s="0">
    <fb>7238388</fb>
    <v>2</v>
  </rv>
  <rv s="0">
    <fb>45294</fb>
    <v>0</v>
  </rv>
  <rv s="0">
    <fb>147.84</fb>
    <v>1</v>
  </rv>
  <rv s="0">
    <fb>7697534</fb>
    <v>2</v>
  </rv>
  <rv s="0">
    <fb>45295</fb>
    <v>0</v>
  </rv>
  <rv s="0">
    <fb>148.65</fb>
    <v>1</v>
  </rv>
  <rv s="0">
    <fb>7067618</fb>
    <v>2</v>
  </rv>
  <rv s="0">
    <fb>45296</fb>
    <v>0</v>
  </rv>
  <rv s="0">
    <fb>147.41999999999999</fb>
    <v>1</v>
  </rv>
  <rv s="0">
    <fb>5294358</fb>
    <v>2</v>
  </rv>
  <rv s="0">
    <fb>45299</fb>
    <v>0</v>
  </rv>
  <rv s="0">
    <fb>148.69</fb>
    <v>1</v>
  </rv>
  <rv s="0">
    <fb>8255307</fb>
    <v>2</v>
  </rv>
  <rv s="0">
    <fb>45300</fb>
    <v>0</v>
  </rv>
  <rv s="0">
    <fb>149.30000000000001</fb>
    <v>1</v>
  </rv>
  <rv s="0">
    <fb>9786934</fb>
    <v>2</v>
  </rv>
  <rv s="0">
    <fb>45301</fb>
    <v>0</v>
  </rv>
  <rv s="0">
    <fb>149.94</fb>
    <v>1</v>
  </rv>
  <rv s="0">
    <fb>8591116</fb>
    <v>2</v>
  </rv>
  <rv s="0">
    <fb>45302</fb>
    <v>0</v>
  </rv>
  <rv s="0">
    <fb>150.51</fb>
    <v>1</v>
  </rv>
  <rv s="0">
    <fb>6659447</fb>
    <v>2</v>
  </rv>
  <rv s="0">
    <fb>45303</fb>
    <v>0</v>
  </rv>
  <rv s="0">
    <fb>150.6</fb>
    <v>1</v>
  </rv>
  <rv s="0">
    <fb>5684834</fb>
    <v>2</v>
  </rv>
  <rv s="0">
    <fb>45307</fb>
    <v>0</v>
  </rv>
  <rv s="0">
    <fb>149.79</fb>
    <v>1</v>
  </rv>
  <rv s="0">
    <fb>8120101</fb>
    <v>2</v>
  </rv>
  <rv s="0">
    <fb>45308</fb>
    <v>0</v>
  </rv>
  <rv s="0">
    <fb>6541439</fb>
    <v>2</v>
  </rv>
  <rv s="0">
    <fb>45309</fb>
    <v>0</v>
  </rv>
  <rv s="0">
    <fb>148.13999999999999</fb>
    <v>1</v>
  </rv>
  <rv s="0">
    <fb>6526221</fb>
    <v>2</v>
  </rv>
  <rv s="0">
    <fb>45310</fb>
    <v>0</v>
  </rv>
  <rv s="0">
    <fb>147.57</fb>
    <v>1</v>
  </rv>
  <rv s="0">
    <fb>7848138</fb>
    <v>2</v>
  </rv>
  <rv s="0">
    <fb>45313</fb>
    <v>0</v>
  </rv>
  <rv s="0">
    <fb>147.86000000000001</fb>
    <v>1</v>
  </rv>
  <rv s="0">
    <fb>11084134</fb>
    <v>2</v>
  </rv>
  <rv s="0">
    <fb>45314</fb>
    <v>0</v>
  </rv>
  <rv s="0">
    <fb>153.97999999999999</fb>
    <v>1</v>
  </rv>
  <rv s="0">
    <fb>19101558</fb>
    <v>2</v>
  </rv>
  <rv s="0">
    <fb>45315</fb>
    <v>0</v>
  </rv>
  <rv s="0">
    <fb>152.12</fb>
    <v>1</v>
  </rv>
  <rv s="0">
    <fb>11592672</fb>
    <v>2</v>
  </rv>
  <rv s="0">
    <fb>45316</fb>
    <v>0</v>
  </rv>
  <rv s="0">
    <fb>155.62</fb>
    <v>1</v>
  </rv>
  <rv s="0">
    <fb>10352452</fb>
    <v>2</v>
  </rv>
  <rv s="0">
    <fb>45317</fb>
    <v>0</v>
  </rv>
  <rv s="0">
    <fb>156.13999999999999</fb>
    <v>1</v>
  </rv>
  <rv s="0">
    <fb>8356819</fb>
    <v>2</v>
  </rv>
  <rv s="0">
    <fb>45320</fb>
    <v>0</v>
  </rv>
  <rv s="0">
    <fb>156.16</fb>
    <v>1</v>
  </rv>
  <rv s="0">
    <fb>8987609</fb>
    <v>2</v>
  </rv>
  <rv s="0">
    <fb>45321</fb>
    <v>0</v>
  </rv>
  <rv s="0">
    <fb>157.49</fb>
    <v>1</v>
  </rv>
  <rv s="0">
    <fb>7794730</fb>
    <v>2</v>
  </rv>
  <rv s="0">
    <fb>45322</fb>
    <v>0</v>
  </rv>
  <rv s="0">
    <fb>157.13999999999999</fb>
    <v>1</v>
  </rv>
  <rv s="0">
    <fb>8870215</fb>
    <v>2</v>
  </rv>
  <rv s="0">
    <fb>45323</fb>
    <v>0</v>
  </rv>
  <rv s="0">
    <fb>159.18</fb>
    <v>1</v>
  </rv>
  <rv s="0">
    <fb>7601144</fb>
    <v>2</v>
  </rv>
  <rv s="0">
    <fb>45324</fb>
    <v>0</v>
  </rv>
  <rv s="0">
    <fb>158.09</fb>
    <v>1</v>
  </rv>
  <rv s="0">
    <fb>7937716</fb>
    <v>2</v>
  </rv>
  <rv s="0">
    <fb>45327</fb>
    <v>0</v>
  </rv>
  <rv s="0">
    <fb>158.21</fb>
    <v>1</v>
  </rv>
  <rv s="0">
    <fb>6931933</fb>
    <v>2</v>
  </rv>
  <rv s="0">
    <fb>45328</fb>
    <v>0</v>
  </rv>
  <rv s="0">
    <fb>158.96</fb>
    <v>1</v>
  </rv>
  <rv s="0">
    <fb>6185982</fb>
    <v>2</v>
  </rv>
  <rv s="0">
    <fb>45329</fb>
    <v>0</v>
  </rv>
  <rv s="0">
    <fb>159.12</fb>
    <v>1</v>
  </rv>
  <rv s="0">
    <fb>7209276</fb>
    <v>2</v>
  </rv>
  <rv s="0">
    <fb>45330</fb>
    <v>0</v>
  </rv>
  <rv s="0">
    <fb>158.63999999999999</fb>
    <v>1</v>
  </rv>
  <rv s="0">
    <fb>6121778</fb>
    <v>2</v>
  </rv>
  <rv s="0">
    <fb>45331</fb>
    <v>0</v>
  </rv>
  <rv s="0">
    <fb>157.41999999999999</fb>
    <v>1</v>
  </rv>
  <rv s="0">
    <fb>5978181</fb>
    <v>2</v>
  </rv>
  <rv s="0">
    <fb>45334</fb>
    <v>0</v>
  </rv>
  <rv s="0">
    <fb>157.11000000000001</fb>
    <v>1</v>
  </rv>
  <rv s="0">
    <fb>5482124</fb>
    <v>2</v>
  </rv>
  <rv s="0">
    <fb>45335</fb>
    <v>0</v>
  </rv>
  <rv s="0">
    <fb>156.27000000000001</fb>
    <v>1</v>
  </rv>
  <rv s="0">
    <fb>6046869</fb>
    <v>2</v>
  </rv>
  <rv s="0">
    <fb>45336</fb>
    <v>0</v>
  </rv>
  <rv s="0">
    <fb>155.63</fb>
    <v>1</v>
  </rv>
  <rv s="0">
    <fb>5727455</fb>
    <v>2</v>
  </rv>
  <rv s="0">
    <fb>45337</fb>
    <v>0</v>
  </rv>
  <rv s="0">
    <fb>157.01</fb>
    <v>1</v>
  </rv>
  <rv s="0">
    <fb>6249241</fb>
    <v>2</v>
  </rv>
  <rv s="0">
    <fb>45338</fb>
    <v>0</v>
  </rv>
  <rv s="0">
    <fb>157.51</fb>
    <v>1</v>
  </rv>
  <rv s="0">
    <fb>6617706</fb>
    <v>2</v>
  </rv>
  <rv s="0">
    <fb>45342</fb>
    <v>0</v>
  </rv>
  <rv s="0">
    <fb>158.51</fb>
    <v>1</v>
  </rv>
  <rv s="0">
    <fb>6622058</fb>
    <v>2</v>
  </rv>
  <rv s="0">
    <fb>45343</fb>
    <v>0</v>
  </rv>
  <rv s="0">
    <fb>160.4</fb>
    <v>1</v>
  </rv>
  <rv s="0">
    <fb>7121116</fb>
    <v>2</v>
  </rv>
  <rv s="0">
    <fb>45344</fb>
    <v>0</v>
  </rv>
  <rv s="0">
    <fb>160.56</fb>
    <v>1</v>
  </rv>
  <rv s="0">
    <fb>6619639</fb>
    <v>2</v>
  </rv>
  <rv s="0">
    <fb>45345</fb>
    <v>0</v>
  </rv>
  <rv s="0">
    <fb>161.03</fb>
    <v>1</v>
  </rv>
  <rv s="0">
    <fb>5486533</fb>
    <v>2</v>
  </rv>
  <rv s="0">
    <fb>45348</fb>
    <v>0</v>
  </rv>
  <rv s="0">
    <fb>160.22</fb>
    <v>1</v>
  </rv>
  <rv s="0">
    <fb>4531936</fb>
    <v>2</v>
  </rv>
  <rv s="0">
    <fb>45349</fb>
    <v>0</v>
  </rv>
  <rv s="0">
    <fb>159.30000000000001</fb>
    <v>1</v>
  </rv>
  <rv s="0">
    <fb>3868405</fb>
    <v>2</v>
  </rv>
  <rv s="0">
    <fb>45350</fb>
    <v>0</v>
  </rv>
  <rv s="0">
    <fb>160.05000000000001</fb>
    <v>1</v>
  </rv>
  <rv s="0">
    <fb>3802915</fb>
    <v>2</v>
  </rv>
  <rv s="0">
    <fb>45351</fb>
    <v>0</v>
  </rv>
  <rv s="0">
    <fb>158.94</fb>
    <v>1</v>
  </rv>
  <rv s="0">
    <fb>8348201</fb>
    <v>2</v>
  </rv>
  <rv s="0">
    <fb>45352</fb>
    <v>0</v>
  </rv>
  <rv s="0">
    <fb>158.85</fb>
    <v>1</v>
  </rv>
  <rv s="0">
    <fb>4819929</fb>
    <v>2</v>
  </rv>
  <rv s="0">
    <fb>45355</fb>
    <v>0</v>
  </rv>
  <rv s="0">
    <fb>159.56</fb>
    <v>1</v>
  </rv>
  <rv s="0">
    <fb>3841623</fb>
    <v>2</v>
  </rv>
  <rv s="0">
    <fb>45356</fb>
    <v>0</v>
  </rv>
  <rv s="0">
    <fb>159.32</fb>
    <v>1</v>
  </rv>
  <rv s="0">
    <fb>4481715</fb>
    <v>2</v>
  </rv>
  <rv s="0">
    <fb>45357</fb>
    <v>0</v>
  </rv>
  <rv s="0">
    <fb>159.57</fb>
    <v>1</v>
  </rv>
  <rv s="0">
    <fb>5405719</fb>
    <v>2</v>
  </rv>
  <rv s="0">
    <fb>45358</fb>
    <v>0</v>
  </rv>
  <rv s="0">
    <fb>160.62</fb>
    <v>1</v>
  </rv>
  <rv s="0">
    <fb>4783943</fb>
    <v>2</v>
  </rv>
  <rv s="0">
    <fb>45359</fb>
    <v>0</v>
  </rv>
  <rv s="0">
    <fb>160.35</fb>
    <v>1</v>
  </rv>
  <rv s="0">
    <fb>5080225</fb>
    <v>2</v>
  </rv>
  <rv s="0">
    <fb>45362</fb>
    <v>0</v>
  </rv>
  <rv s="0">
    <fb>161.55000000000001</fb>
    <v>1</v>
  </rv>
  <rv s="0">
    <fb>5171060</fb>
    <v>2</v>
  </rv>
  <rv s="0">
    <fb>45363</fb>
    <v>0</v>
  </rv>
  <rv s="0">
    <fb>161.93</fb>
    <v>1</v>
  </rv>
  <rv s="0">
    <fb>4229060</fb>
    <v>2</v>
  </rv>
  <rv s="0">
    <fb>45364</fb>
    <v>0</v>
  </rv>
  <rv s="0">
    <fb>162.30000000000001</fb>
    <v>1</v>
  </rv>
  <rv s="0">
    <fb>5410679</fb>
    <v>2</v>
  </rv>
  <rv s="0">
    <fb>45365</fb>
    <v>0</v>
  </rv>
  <rv s="0">
    <fb>161.5</fb>
    <v>1</v>
  </rv>
  <rv s="0">
    <fb>5848057</fb>
    <v>2</v>
  </rv>
  <rv s="0">
    <fb>45366</fb>
    <v>0</v>
  </rv>
  <rv s="0">
    <fb>161.38</fb>
    <v>1</v>
  </rv>
  <rv s="0">
    <fb>10956888</fb>
    <v>2</v>
  </rv>
  <rv s="0">
    <fb>45369</fb>
    <v>0</v>
  </rv>
  <rv s="0">
    <fb>161.21</fb>
    <v>1</v>
  </rv>
  <rv s="0">
    <fb>6086268</fb>
    <v>2</v>
  </rv>
  <rv s="0">
    <fb>45370</fb>
    <v>0</v>
  </rv>
  <rv s="0">
    <fb>161.83000000000001</fb>
    <v>1</v>
  </rv>
  <rv s="0">
    <fb>6148240</fb>
    <v>2</v>
  </rv>
  <rv s="0">
    <fb>45371</fb>
    <v>0</v>
  </rv>
  <rv s="0">
    <fb>161.99</fb>
    <v>1</v>
  </rv>
  <rv s="0">
    <fb>4870296</fb>
    <v>2</v>
  </rv>
  <rv s="0">
    <fb>45372</fb>
    <v>0</v>
  </rv>
  <rv s="0">
    <fb>161.86000000000001</fb>
    <v>1</v>
  </rv>
  <rv s="0">
    <fb>5211676</fb>
    <v>2</v>
  </rv>
  <rv s="0">
    <fb>45373</fb>
    <v>0</v>
  </rv>
  <rv s="0">
    <fb>161.66</fb>
    <v>1</v>
  </rv>
  <rv s="0">
    <fb>6393425</fb>
    <v>2</v>
  </rv>
  <rv s="0">
    <fb>45376</fb>
    <v>0</v>
  </rv>
  <rv s="0">
    <fb>160.19</fb>
    <v>1</v>
  </rv>
  <rv s="0">
    <fb>7145692</fb>
    <v>2</v>
  </rv>
  <rv s="0">
    <fb>45377</fb>
    <v>0</v>
  </rv>
  <rv s="0">
    <fb>160.55000000000001</fb>
    <v>1</v>
  </rv>
  <rv s="0">
    <fb>5842850</fb>
    <v>2</v>
  </rv>
  <rv s="0">
    <fb>45378</fb>
    <v>0</v>
  </rv>
  <rv s="0">
    <fb>162.61000000000001</fb>
    <v>1</v>
  </rv>
  <rv s="0">
    <fb>6599711</fb>
    <v>2</v>
  </rv>
  <rv s="0">
    <fb>45379</fb>
    <v>0</v>
  </rv>
  <rv s="0">
    <fb>162.25</fb>
    <v>1</v>
  </rv>
  <rv s="0">
    <fb>7191571</fb>
    <v>2</v>
  </rv>
  <rv s="0">
    <fb>45383</fb>
    <v>0</v>
  </rv>
  <rv s="0">
    <fb>160.58000000000001</fb>
    <v>1</v>
  </rv>
  <rv s="0">
    <fb>5971857</fb>
    <v>2</v>
  </rv>
  <rv s="0">
    <fb>45384</fb>
    <v>0</v>
  </rv>
  <rv s="0">
    <fb>160.57</fb>
    <v>1</v>
  </rv>
  <rv s="0">
    <fb>6771395</fb>
    <v>2</v>
  </rv>
  <rv s="0">
    <fb>45385</fb>
    <v>0</v>
  </rv>
  <rv s="0">
    <fb>156.15</fb>
    <v>1</v>
  </rv>
  <rv s="0">
    <fb>9601812</fb>
    <v>2</v>
  </rv>
  <rv s="0">
    <fb>45386</fb>
    <v>0</v>
  </rv>
  <rv s="0">
    <fb>155.44999999999999</fb>
    <v>1</v>
  </rv>
  <rv s="0">
    <fb>6801662</fb>
    <v>2</v>
  </rv>
  <rv s="0">
    <fb>45387</fb>
    <v>0</v>
  </rv>
  <rv s="0">
    <fb>156.1</fb>
    <v>1</v>
  </rv>
  <rv s="0">
    <fb>5121197</fb>
    <v>2</v>
  </rv>
  <rv s="0">
    <fb>45390</fb>
    <v>0</v>
  </rv>
  <rv s="0">
    <fb>156.04</fb>
    <v>1</v>
  </rv>
  <rv s="0">
    <fb>5476752</fb>
    <v>2</v>
  </rv>
  <rv s="0">
    <fb>45391</fb>
    <v>0</v>
  </rv>
  <rv s="0">
    <fb>156.66</fb>
    <v>1</v>
  </rv>
  <rv s="0">
    <fb>4613751</fb>
    <v>2</v>
  </rv>
  <rv s="0">
    <fb>45392</fb>
    <v>0</v>
  </rv>
  <rv s="0">
    <fb>157.24</fb>
    <v>1</v>
  </rv>
  <rv s="0">
    <fb>7785084</fb>
    <v>2</v>
  </rv>
  <rv s="0">
    <fb>45393</fb>
    <v>0</v>
  </rv>
  <rv s="0">
    <fb>155.84</fb>
    <v>1</v>
  </rv>
  <rv s="0">
    <fb>8209765</fb>
    <v>2</v>
  </rv>
  <rv s="0">
    <fb>45394</fb>
    <v>0</v>
  </rv>
  <rv s="0">
    <fb>155.33000000000001</fb>
    <v>1</v>
  </rv>
  <rv s="0">
    <fb>6770659</fb>
    <v>2</v>
  </rv>
  <rv s="0">
    <fb>45397</fb>
    <v>0</v>
  </rv>
  <rv s="0">
    <fb>5753987</fb>
    <v>2</v>
  </rv>
  <rv s="0">
    <fb>45398</fb>
    <v>0</v>
  </rv>
  <rv s="0">
    <fb>155.94999999999999</fb>
    <v>1</v>
  </rv>
  <rv s="0">
    <fb>6103296</fb>
    <v>2</v>
  </rv>
  <rv s="0">
    <fb>45399</fb>
    <v>0</v>
  </rv>
  <rv s="0">
    <fb>156.96</fb>
    <v>1</v>
  </rv>
  <rv s="0">
    <fb>6621906</fb>
    <v>2</v>
  </rv>
  <rv s="0">
    <fb>45400</fb>
    <v>0</v>
  </rv>
  <rv s="0">
    <fb>157.29</fb>
    <v>1</v>
  </rv>
  <rv s="0">
    <fb>7819261</fb>
    <v>2</v>
  </rv>
  <rv s="0">
    <fb>45401</fb>
    <v>0</v>
  </rv>
  <rv s="0">
    <fb>158.13999999999999</fb>
    <v>1</v>
  </rv>
  <rv s="0">
    <fb>12034186</fb>
    <v>2</v>
  </rv>
  <rv s="0">
    <fb>45404</fb>
    <v>0</v>
  </rv>
  <rv s="0">
    <fb>160.54</fb>
    <v>1</v>
  </rv>
  <rv s="0">
    <fb>8926327</fb>
    <v>2</v>
  </rv>
  <rv s="0">
    <fb>45405</fb>
    <v>0</v>
  </rv>
  <rv s="0">
    <fb>7707250</fb>
    <v>2</v>
  </rv>
  <rv s="0">
    <fb>45406</fb>
    <v>0</v>
  </rv>
  <rv s="0">
    <fb>162.6</fb>
    <v>1</v>
  </rv>
  <rv s="0">
    <fb>7217563</fb>
    <v>2</v>
  </rv>
  <rv s="0">
    <fb>45407</fb>
    <v>0</v>
  </rv>
  <rv s="0">
    <fb>162.55000000000001</fb>
    <v>1</v>
  </rv>
  <rv s="0">
    <fb>7094620</fb>
    <v>2</v>
  </rv>
  <rv s="0">
    <fb>45408</fb>
    <v>0</v>
  </rv>
  <rv s="0">
    <fb>161.29</fb>
    <v>1</v>
  </rv>
  <rv s="0">
    <fb>5659784</fb>
    <v>2</v>
  </rv>
  <rv s="0">
    <fb>45411</fb>
    <v>0</v>
  </rv>
  <rv s="0">
    <fb>4622164</fb>
    <v>2</v>
  </rv>
  <rv s="0">
    <fb>45412</fb>
    <v>0</v>
  </rv>
  <rv s="0">
    <fb>163.19999999999999</fb>
    <v>1</v>
  </rv>
  <rv s="0">
    <fb>8106098</fb>
    <v>2</v>
  </rv>
  <rv s="0">
    <fb>45413</fb>
    <v>0</v>
  </rv>
  <rv s="0">
    <fb>163.4</fb>
    <v>1</v>
  </rv>
  <rv s="0">
    <fb>7543154</fb>
    <v>2</v>
  </rv>
  <rv s="0">
    <fb>45414</fb>
    <v>0</v>
  </rv>
  <rv s="0">
    <fb>163.84</fb>
    <v>1</v>
  </rv>
  <rv s="0">
    <fb>5647490</fb>
    <v>2</v>
  </rv>
  <rv s="0">
    <fb>45415</fb>
    <v>0</v>
  </rv>
  <rv s="0">
    <fb>164.46</fb>
    <v>1</v>
  </rv>
  <rv s="0">
    <fb>5581692</fb>
    <v>2</v>
  </rv>
  <rv s="0">
    <fb>45418</fb>
    <v>0</v>
  </rv>
  <rv s="0">
    <fb>164.44</fb>
    <v>1</v>
  </rv>
  <rv s="0">
    <fb>5472549</fb>
    <v>2</v>
  </rv>
  <rv s="0">
    <fb>45419</fb>
    <v>0</v>
  </rv>
  <rv s="0">
    <fb>165.76</fb>
    <v>1</v>
  </rv>
  <rv s="0">
    <fb>6433090</fb>
    <v>2</v>
  </rv>
  <rv s="0">
    <fb>45420</fb>
    <v>0</v>
  </rv>
  <rv s="0">
    <fb>165.07</fb>
    <v>1</v>
  </rv>
  <rv s="0">
    <fb>4579471</fb>
    <v>2</v>
  </rv>
  <rv s="0">
    <fb>45421</fb>
    <v>0</v>
  </rv>
  <rv s="0">
    <fb>166.04</fb>
    <v>1</v>
  </rv>
  <rv s="0">
    <fb>4671126</fb>
    <v>2</v>
  </rv>
  <rv s="0">
    <fb>45422</fb>
    <v>0</v>
  </rv>
  <rv s="0">
    <fb>166.85</fb>
    <v>1</v>
  </rv>
  <rv s="0">
    <fb>4879427</fb>
    <v>2</v>
  </rv>
  <rv s="0">
    <fb>45425</fb>
    <v>0</v>
  </rv>
  <rv s="0">
    <fb>165.87</fb>
    <v>1</v>
  </rv>
  <rv s="0">
    <fb>5725523</fb>
    <v>2</v>
  </rv>
  <rv s="0">
    <fb>45426</fb>
    <v>0</v>
  </rv>
  <rv s="0">
    <fb>6009837</fb>
    <v>2</v>
  </rv>
  <rv s="0">
    <fb>45427</fb>
    <v>0</v>
  </rv>
  <rv s="0">
    <fb>166.51</fb>
    <v>1</v>
  </rv>
  <rv s="0">
    <fb>5102897</fb>
    <v>2</v>
  </rv>
  <rv s="0">
    <fb>45428</fb>
    <v>0</v>
  </rv>
  <rv s="0">
    <fb>167.86</fb>
    <v>1</v>
  </rv>
  <rv s="0">
    <fb>6793672</fb>
    <v>2</v>
  </rv>
  <rv s="0">
    <fb>45429</fb>
    <v>0</v>
  </rv>
  <rv s="0">
    <fb>167.64</fb>
    <v>1</v>
  </rv>
  <rv s="0">
    <fb>4700819</fb>
    <v>2</v>
  </rv>
  <rv s="0">
    <fb>45432</fb>
    <v>0</v>
  </rv>
  <rv s="0">
    <fb>167.31</fb>
    <v>1</v>
  </rv>
  <rv s="0">
    <fb>3804823</fb>
    <v>2</v>
  </rv>
  <rv s="0">
    <fb>45433</fb>
    <v>0</v>
  </rv>
  <rv s="0">
    <fb>168.35</fb>
    <v>1</v>
  </rv>
  <rv s="0">
    <fb>5147065</fb>
    <v>2</v>
  </rv>
  <rv s="0">
    <fb>45434</fb>
    <v>0</v>
  </rv>
  <rv s="0">
    <fb>167.81</fb>
    <v>1</v>
  </rv>
  <rv s="0">
    <fb>4536733</fb>
    <v>2</v>
  </rv>
  <rv s="0">
    <fb>45435</fb>
    <v>0</v>
  </rv>
  <rv s="0">
    <fb>165.49</fb>
    <v>1</v>
  </rv>
  <rv s="0">
    <fb>4729792</fb>
    <v>2</v>
  </rv>
  <rv s="0">
    <fb>45436</fb>
    <v>0</v>
  </rv>
  <rv s="0">
    <fb>165.33</fb>
    <v>1</v>
  </rv>
  <rv s="0">
    <fb>3820090</fb>
    <v>2</v>
  </rv>
  <rv s="0">
    <fb>45440</fb>
    <v>0</v>
  </rv>
  <rv s="0">
    <fb>163.11000000000001</fb>
    <v>1</v>
  </rv>
  <rv s="0">
    <fb>6466193</fb>
    <v>2</v>
  </rv>
  <rv s="0">
    <fb>45441</fb>
    <v>0</v>
  </rv>
  <rv s="0">
    <fb>161.65</fb>
    <v>1</v>
  </rv>
  <rv s="0">
    <fb>4360383</fb>
    <v>2</v>
  </rv>
  <rv s="0">
    <fb>45442</fb>
    <v>0</v>
  </rv>
  <rv s="0">
    <fb>162.58000000000001</fb>
    <v>1</v>
  </rv>
  <rv s="0">
    <fb>4756454</fb>
    <v>2</v>
  </rv>
  <rv s="0">
    <fb>45443</fb>
    <v>0</v>
  </rv>
  <rv s="0">
    <fb>164.54</fb>
    <v>1</v>
  </rv>
  <rv s="0">
    <fb>10341644</fb>
    <v>2</v>
  </rv>
  <rv s="0">
    <fb>45446</fb>
    <v>0</v>
  </rv>
  <rv s="0">
    <fb>164.65</fb>
    <v>1</v>
  </rv>
  <rv s="0">
    <fb>5828442</fb>
    <v>2</v>
  </rv>
  <rv s="0">
    <fb>45447</fb>
    <v>0</v>
  </rv>
  <rv s="0">
    <fb>167.01</fb>
    <v>1</v>
  </rv>
  <rv s="0">
    <fb>6277001</fb>
    <v>2</v>
  </rv>
  <rv s="0">
    <fb>45448</fb>
    <v>0</v>
  </rv>
  <rv s="0">
    <fb>166.05</fb>
    <v>1</v>
  </rv>
  <rv s="0">
    <fb>5243345</fb>
    <v>2</v>
  </rv>
  <rv s="0">
    <fb>45449</fb>
    <v>0</v>
  </rv>
  <rv s="0">
    <fb>168.47</fb>
    <v>1</v>
  </rv>
  <rv s="0">
    <fb>6302243</fb>
    <v>2</v>
  </rv>
  <rv s="0">
    <fb>45450</fb>
    <v>0</v>
  </rv>
  <rv s="0">
    <fb>167.06</fb>
    <v>1</v>
  </rv>
  <rv s="0">
    <fb>4558190</fb>
    <v>2</v>
  </rv>
  <rv s="0">
    <fb>45453</fb>
    <v>0</v>
  </rv>
  <rv s="0">
    <fb>167.35</fb>
    <v>1</v>
  </rv>
  <rv s="0">
    <fb>4110668</fb>
    <v>2</v>
  </rv>
  <rv s="0">
    <fb>45454</fb>
    <v>0</v>
  </rv>
  <rv s="0">
    <fb>167.48</fb>
    <v>1</v>
  </rv>
  <rv s="0">
    <fb>3947671</fb>
    <v>2</v>
  </rv>
  <rv s="0">
    <fb>45455</fb>
    <v>0</v>
  </rv>
  <rv s="0">
    <fb>165.18</fb>
    <v>1</v>
  </rv>
  <rv s="0">
    <fb>5474498</fb>
    <v>2</v>
  </rv>
  <rv s="0">
    <fb>45456</fb>
    <v>0</v>
  </rv>
  <rv s="0">
    <fb>166.41</fb>
    <v>1</v>
  </rv>
  <rv s="0">
    <fb>4902180</fb>
    <v>2</v>
  </rv>
  <rv s="0">
    <fb>45457</fb>
    <v>0</v>
  </rv>
  <rv s="0">
    <fb>166.79</fb>
    <v>1</v>
  </rv>
  <rv s="0">
    <fb>3694974</fb>
    <v>2</v>
  </rv>
  <rv s="0">
    <fb>45460</fb>
    <v>0</v>
  </rv>
  <rv s="0">
    <fb>167.5</fb>
    <v>1</v>
  </rv>
  <rv s="0">
    <fb>6759352</fb>
    <v>2</v>
  </rv>
  <rv s="0">
    <fb>45461</fb>
    <v>0</v>
  </rv>
  <rv s="0">
    <fb>168.56</fb>
    <v>1</v>
  </rv>
  <rv s="0">
    <fb>5112634</fb>
    <v>2</v>
  </rv>
  <rv s="0">
    <fb>45463</fb>
    <v>0</v>
  </rv>
  <rv s="0">
    <fb>167.67</fb>
    <v>1</v>
  </rv>
  <rv s="0">
    <fb>8483606</fb>
    <v>2</v>
  </rv>
  <rv s="0">
    <fb>45464</fb>
    <v>0</v>
  </rv>
  <rv s="0">
    <fb>168.26</fb>
    <v>1</v>
  </rv>
  <rv s="0">
    <fb>14682061</fb>
    <v>2</v>
  </rv>
  <rv s="0">
    <fb>45467</fb>
    <v>0</v>
  </rv>
  <rv s="0">
    <fb>168.45</fb>
    <v>1</v>
  </rv>
  <rv s="0">
    <fb>7565304</fb>
    <v>2</v>
  </rv>
  <rv s="0">
    <fb>45468</fb>
    <v>0</v>
  </rv>
  <rv s="0">
    <fb>8323968</fb>
    <v>2</v>
  </rv>
  <rv s="0">
    <fb>45469</fb>
    <v>0</v>
  </rv>
  <rv s="0">
    <fb>167.45</fb>
    <v>1</v>
  </rv>
  <rv s="0">
    <fb>5164046</fb>
    <v>2</v>
  </rv>
  <rv s="0">
    <fb>45470</fb>
    <v>0</v>
  </rv>
  <rv s="0">
    <fb>166.62</fb>
    <v>1</v>
  </rv>
  <rv s="0">
    <fb>5006990</fb>
    <v>2</v>
  </rv>
  <rv s="0">
    <fb>45471</fb>
    <v>0</v>
  </rv>
  <rv s="0">
    <fb>164.92</fb>
    <v>1</v>
  </rv>
  <rv s="0">
    <fb>9253317</fb>
    <v>2</v>
  </rv>
  <rv s="0">
    <fb>45474</fb>
    <v>0</v>
  </rv>
  <rv s="0">
    <fb>162.72</fb>
    <v>1</v>
  </rv>
  <rv s="0">
    <fb>7638639</fb>
    <v>2</v>
  </rv>
  <rv s="0">
    <fb>45475</fb>
    <v>0</v>
  </rv>
  <rv s="0">
    <fb>163.9</fb>
    <v>1</v>
  </rv>
  <rv s="0">
    <fb>5449219</fb>
    <v>2</v>
  </rv>
  <rv s="0">
    <fb>45476</fb>
    <v>0</v>
  </rv>
  <rv s="0">
    <fb>163.83000000000001</fb>
    <v>1</v>
  </rv>
  <rv s="0">
    <fb>2980461</fb>
    <v>2</v>
  </rv>
  <rv s="0">
    <fb>45478</fb>
    <v>0</v>
  </rv>
  <rv s="0">
    <fb>165.21</fb>
    <v>1</v>
  </rv>
  <rv s="0">
    <fb>6509248</fb>
    <v>2</v>
  </rv>
  <rv s="0">
    <fb>45481</fb>
    <v>0</v>
  </rv>
  <rv s="0">
    <fb>166.52</fb>
    <v>1</v>
  </rv>
  <rv s="0">
    <fb>5144458</fb>
    <v>2</v>
  </rv>
  <rv s="0">
    <fb>45482</fb>
    <v>0</v>
  </rv>
  <rv s="0">
    <fb>165.66</fb>
    <v>1</v>
  </rv>
  <rv s="0">
    <fb>4393179</fb>
    <v>2</v>
  </rv>
  <rv s="0">
    <fb>45483</fb>
    <v>0</v>
  </rv>
  <rv s="0">
    <fb>166.8</fb>
    <v>1</v>
  </rv>
  <rv s="0">
    <fb>5037097</fb>
    <v>2</v>
  </rv>
  <rv s="0">
    <fb>45484</fb>
    <v>0</v>
  </rv>
  <rv s="0">
    <fb>165.54</fb>
    <v>1</v>
  </rv>
  <rv s="0">
    <fb>5833061</fb>
    <v>2</v>
  </rv>
  <rv s="0">
    <fb>45485</fb>
    <v>0</v>
  </rv>
  <rv s="0">
    <fb>166.61</fb>
    <v>1</v>
  </rv>
  <rv s="0">
    <fb>4684642</fb>
    <v>2</v>
  </rv>
  <rv s="0">
    <fb>45488</fb>
    <v>0</v>
  </rv>
  <rv s="0">
    <fb>164.58</fb>
    <v>1</v>
  </rv>
  <rv s="0">
    <fb>5752513</fb>
    <v>2</v>
  </rv>
  <rv s="0">
    <fb>45489</fb>
    <v>0</v>
  </rv>
  <rv s="0">
    <fb>166.95</fb>
    <v>1</v>
  </rv>
  <rv s="0">
    <fb>6378312</fb>
    <v>2</v>
  </rv>
  <rv s="0">
    <fb>45490</fb>
    <v>0</v>
  </rv>
  <rv s="0">
    <fb>169.44</fb>
    <v>1</v>
  </rv>
  <rv s="0">
    <fb>7982328</fb>
    <v>2</v>
  </rv>
  <rv s="0">
    <fb>45491</fb>
    <v>0</v>
  </rv>
  <rv s="0">
    <fb>168.44</fb>
    <v>1</v>
  </rv>
  <rv s="0">
    <fb>5926346</fb>
    <v>2</v>
  </rv>
  <rv s="0">
    <fb>45492</fb>
    <v>0</v>
  </rv>
  <rv s="0">
    <fb>167.96</fb>
    <v>1</v>
  </rv>
  <rv s="0">
    <fb>6597090</fb>
    <v>2</v>
  </rv>
  <rv s="0">
    <fb>45495</fb>
    <v>0</v>
  </rv>
  <rv s="0">
    <fb>168.25</fb>
    <v>1</v>
  </rv>
  <rv s="0">
    <fb>6383031</fb>
    <v>2</v>
  </rv>
  <rv s="0">
    <fb>45496</fb>
    <v>0</v>
  </rv>
  <rv s="0">
    <fb>4863398</fb>
    <v>2</v>
  </rv>
  <rv s="0">
    <fb>45497</fb>
    <v>0</v>
  </rv>
  <rv s="0">
    <fb>168</fb>
    <v>1</v>
  </rv>
  <rv s="0">
    <fb>5906992</fb>
    <v>2</v>
  </rv>
  <rv s="0">
    <fb>45498</fb>
    <v>0</v>
  </rv>
  <rv s="0">
    <fb>166.9</fb>
    <v>1</v>
  </rv>
  <rv s="0">
    <fb>7338521</fb>
    <v>2</v>
  </rv>
  <rv s="0">
    <fb>45499</fb>
    <v>0</v>
  </rv>
  <rv s="0">
    <fb>169.11</fb>
    <v>1</v>
  </rv>
  <rv s="0">
    <fb>5581557</fb>
    <v>2</v>
  </rv>
  <rv s="0">
    <fb>45502</fb>
    <v>0</v>
  </rv>
  <rv s="0">
    <fb>169.93</fb>
    <v>1</v>
  </rv>
  <rv s="0">
    <fb>6797832</fb>
    <v>2</v>
  </rv>
  <rv s="0">
    <fb>45503</fb>
    <v>0</v>
  </rv>
  <rv s="0">
    <fb>161.69999999999999</fb>
    <v>1</v>
  </rv>
  <rv s="0">
    <fb>15746254</fb>
    <v>2</v>
  </rv>
  <rv s="0">
    <fb>45504</fb>
    <v>0</v>
  </rv>
  <rv s="0">
    <fb>160.76</fb>
    <v>1</v>
  </rv>
  <rv s="0">
    <fb>9660902</fb>
    <v>2</v>
  </rv>
  <rv s="0">
    <fb>45505</fb>
    <v>0</v>
  </rv>
  <rv s="0">
    <fb>165.69</fb>
    <v>1</v>
  </rv>
  <rv s="0">
    <fb>12532700</fb>
    <v>2</v>
  </rv>
  <rv s="0">
    <fb>45506</fb>
    <v>0</v>
  </rv>
  <rv s="0">
    <fb>170.08</fb>
    <v>1</v>
  </rv>
  <rv s="0">
    <fb>11899038</fb>
    <v>2</v>
  </rv>
  <rv s="0">
    <fb>45509</fb>
    <v>0</v>
  </rv>
  <rv s="0">
    <fb>168.06</fb>
    <v>1</v>
  </rv>
  <rv s="0">
    <fb>10338767</fb>
    <v>2</v>
  </rv>
  <rv s="0">
    <fb>45510</fb>
    <v>0</v>
  </rv>
  <rv s="0">
    <fb>168.09</fb>
    <v>1</v>
  </rv>
  <rv s="0">
    <fb>7454869</fb>
    <v>2</v>
  </rv>
  <rv s="0">
    <fb>45511</fb>
    <v>0</v>
  </rv>
  <rv s="0">
    <fb>170.02</fb>
    <v>1</v>
  </rv>
  <rv s="0">
    <fb>8385546</fb>
    <v>2</v>
  </rv>
  <rv s="0">
    <fb>45512</fb>
    <v>0</v>
  </rv>
  <rv s="0">
    <fb>170.87</fb>
    <v>1</v>
  </rv>
  <rv s="0">
    <fb>6386941</fb>
    <v>2</v>
  </rv>
  <rv s="0">
    <fb>45513</fb>
    <v>0</v>
  </rv>
  <rv s="0">
    <fb>170.54</fb>
    <v>1</v>
  </rv>
  <rv s="0">
    <fb>5377378</fb>
    <v>2</v>
  </rv>
  <rv s="0">
    <fb>45516</fb>
    <v>0</v>
  </rv>
  <rv s="0">
    <fb>166.81</fb>
    <v>1</v>
  </rv>
  <rv s="0">
    <fb>7208103</fb>
    <v>2</v>
  </rv>
  <rv s="0">
    <fb>45517</fb>
    <v>0</v>
  </rv>
  <rv s="0">
    <fb>167.29</fb>
    <v>1</v>
  </rv>
  <rv s="0">
    <fb>3770007</fb>
    <v>2</v>
  </rv>
  <rv s="0">
    <fb>45518</fb>
    <v>0</v>
  </rv>
  <rv s="0">
    <fb>168.8</fb>
    <v>1</v>
  </rv>
  <rv s="0">
    <fb>5476675</fb>
    <v>2</v>
  </rv>
  <rv s="0">
    <fb>45519</fb>
    <v>0</v>
  </rv>
  <rv s="0">
    <fb>167.92</fb>
    <v>1</v>
  </rv>
  <rv s="0">
    <fb>9491625</fb>
    <v>2</v>
  </rv>
  <rv s="0">
    <fb>45520</fb>
    <v>0</v>
  </rv>
  <rv s="0">
    <fb>167.89</fb>
    <v>1</v>
  </rv>
  <rv s="0">
    <fb>5640925</fb>
    <v>2</v>
  </rv>
  <rv s="0">
    <fb>45523</fb>
    <v>0</v>
  </rv>
  <rv s="0">
    <fb>168.42</fb>
    <v>1</v>
  </rv>
  <rv s="0">
    <fb>3885315</fb>
    <v>2</v>
  </rv>
  <rv s="0">
    <fb>45524</fb>
    <v>0</v>
  </rv>
  <rv s="0">
    <fb>170.41</fb>
    <v>1</v>
  </rv>
  <rv s="0">
    <fb>4513600</fb>
    <v>2</v>
  </rv>
  <rv s="0">
    <fb>45525</fb>
    <v>0</v>
  </rv>
  <rv s="0">
    <fb>170.16</fb>
    <v>1</v>
  </rv>
  <rv s="0">
    <fb>4082026</fb>
    <v>2</v>
  </rv>
  <rv s="0">
    <fb>45526</fb>
    <v>0</v>
  </rv>
  <rv s="0">
    <fb>170.15</fb>
    <v>1</v>
  </rv>
  <rv s="0">
    <fb>4097382</fb>
    <v>2</v>
  </rv>
  <rv s="0">
    <fb>45527</fb>
    <v>0</v>
  </rv>
  <rv s="0">
    <fb>169.17</fb>
    <v>1</v>
  </rv>
  <rv s="0">
    <fb>4771267</fb>
    <v>2</v>
  </rv>
  <rv s="0">
    <fb>45530</fb>
    <v>0</v>
  </rv>
  <rv s="0">
    <fb>170.35</fb>
    <v>1</v>
  </rv>
  <rv s="0">
    <fb>6472417</fb>
    <v>2</v>
  </rv>
  <rv s="0">
    <fb>45531</fb>
    <v>0</v>
  </rv>
  <rv s="0">
    <fb>169.25</fb>
    <v>1</v>
  </rv>
  <rv s="0">
    <fb>4456635</fb>
    <v>2</v>
  </rv>
  <rv s="0">
    <fb>45532</fb>
    <v>0</v>
  </rv>
  <rv s="0">
    <fb>169.06</fb>
    <v>1</v>
  </rv>
  <rv s="0">
    <fb>5645040</fb>
    <v>2</v>
  </rv>
  <rv s="0">
    <fb>45533</fb>
    <v>0</v>
  </rv>
  <rv s="0">
    <fb>170.03</fb>
    <v>1</v>
  </rv>
  <rv s="0">
    <fb>4413165</fb>
    <v>2</v>
  </rv>
  <rv s="0">
    <fb>45534</fb>
    <v>0</v>
  </rv>
  <rv s="0">
    <fb>171.54</fb>
    <v>1</v>
  </rv>
  <rv s="0">
    <fb>7301617</fb>
    <v>2</v>
  </rv>
  <rv s="0">
    <fb>45538</fb>
    <v>0</v>
  </rv>
  <rv s="0">
    <fb>174.52</fb>
    <v>1</v>
  </rv>
  <rv s="0">
    <fb>10101418</fb>
    <v>2</v>
  </rv>
  <rv s="0">
    <fb>45539</fb>
    <v>0</v>
  </rv>
  <rv s="0">
    <fb>175.9</fb>
    <v>1</v>
  </rv>
  <rv s="0">
    <fb>7517526</fb>
    <v>2</v>
  </rv>
  <rv s="0">
    <fb>45540</fb>
    <v>0</v>
  </rv>
  <rv s="0">
    <fb>175.47</fb>
    <v>1</v>
  </rv>
  <rv s="0">
    <fb>6061865</fb>
    <v>2</v>
  </rv>
  <rv s="0">
    <fb>45541</fb>
    <v>0</v>
  </rv>
  <rv s="0">
    <fb>175.59</fb>
    <v>1</v>
  </rv>
  <rv s="0">
    <fb>5785684</fb>
    <v>2</v>
  </rv>
  <rv s="0">
    <fb>45544</fb>
    <v>0</v>
  </rv>
  <rv s="0">
    <fb>176.06</fb>
    <v>1</v>
  </rv>
  <rv s="0">
    <fb>6450204</fb>
    <v>2</v>
  </rv>
  <rv s="0">
    <fb>45545</fb>
    <v>0</v>
  </rv>
  <rv s="0">
    <fb>177.79</fb>
    <v>1</v>
  </rv>
  <rv s="0">
    <fb>6396311</fb>
    <v>2</v>
  </rv>
  <rv s="0">
    <fb>45546</fb>
    <v>0</v>
  </rv>
  <rv s="0">
    <fb>173.92</fb>
    <v>1</v>
  </rv>
  <rv s="0">
    <fb>6828173</fb>
    <v>2</v>
  </rv>
  <rv s="0">
    <fb>45547</fb>
    <v>0</v>
  </rv>
  <rv s="0">
    <fb>173.47</fb>
    <v>1</v>
  </rv>
  <rv s="0">
    <fb>4839752</fb>
    <v>2</v>
  </rv>
  <rv s="0">
    <fb>45548</fb>
    <v>0</v>
  </rv>
  <rv s="0">
    <fb>174.08</fb>
    <v>1</v>
  </rv>
  <rv s="0">
    <fb>3917986</fb>
    <v>2</v>
  </rv>
  <rv s="0">
    <fb>45551</fb>
    <v>0</v>
  </rv>
  <rv s="0">
    <fb>177.24</fb>
    <v>1</v>
  </rv>
  <rv s="0">
    <fb>6892335</fb>
    <v>2</v>
  </rv>
  <rv s="0">
    <fb>45552</fb>
    <v>0</v>
  </rv>
  <rv s="0">
    <fb>175.88</fb>
    <v>1</v>
  </rv>
  <rv s="0">
    <fb>4757247</fb>
    <v>2</v>
  </rv>
  <rv s="0">
    <fb>45553</fb>
    <v>0</v>
  </rv>
  <rv s="0">
    <fb>5102884</fb>
    <v>2</v>
  </rv>
  <rv s="0">
    <fb>45554</fb>
    <v>0</v>
  </rv>
  <rv s="0">
    <fb>8692016</fb>
    <v>2</v>
  </rv>
  <rv s="0">
    <fb>45555</fb>
    <v>0</v>
  </rv>
  <rv s="0">
    <fb>174.22</fb>
    <v>1</v>
  </rv>
  <rv s="0">
    <fb>28647462</fb>
    <v>2</v>
  </rv>
  <rv s="0">
    <fb>45558</fb>
    <v>0</v>
  </rv>
  <rv s="0">
    <fb>173.77</fb>
    <v>1</v>
  </rv>
  <rv s="0">
    <fb>10265199</fb>
    <v>2</v>
  </rv>
  <rv s="0">
    <fb>45559</fb>
    <v>0</v>
  </rv>
  <rv s="0">
    <fb>173.24</fb>
    <v>1</v>
  </rv>
  <rv s="0">
    <fb>5422351</fb>
    <v>2</v>
  </rv>
  <rv s="0">
    <fb>45560</fb>
    <v>0</v>
  </rv>
  <rv s="0">
    <fb>172.26</fb>
    <v>1</v>
  </rv>
  <rv s="0">
    <fb>8916483</fb>
    <v>2</v>
  </rv>
  <rv s="0">
    <fb>45561</fb>
    <v>0</v>
  </rv>
  <rv s="0">
    <fb>173.21</fb>
    <v>1</v>
  </rv>
  <rv s="0">
    <fb>4957367</fb>
    <v>2</v>
  </rv>
  <rv s="0">
    <fb>45562</fb>
    <v>0</v>
  </rv>
  <rv s="0">
    <fb>173.55</fb>
    <v>1</v>
  </rv>
  <rv s="0">
    <fb>4599709</fb>
    <v>2</v>
  </rv>
  <rv s="0">
    <fb>45565</fb>
    <v>0</v>
  </rv>
  <rv s="0">
    <fb>173.2</fb>
    <v>1</v>
  </rv>
  <rv s="0">
    <fb>6296653</fb>
    <v>2</v>
  </rv>
  <rv s="0">
    <fb>45566</fb>
    <v>0</v>
  </rv>
  <rv s="0">
    <fb>173.04</fb>
    <v>1</v>
  </rv>
  <rv s="0">
    <fb>7130825</fb>
    <v>2</v>
  </rv>
  <rv s="0">
    <fb>45567</fb>
    <v>0</v>
  </rv>
  <rv s="0">
    <fb>171.92</fb>
    <v>1</v>
  </rv>
  <rv s="0">
    <fb>6212890</fb>
    <v>2</v>
  </rv>
  <rv s="0">
    <fb>45568</fb>
    <v>0</v>
  </rv>
  <rv s="0">
    <fb>170.12</fb>
    <v>1</v>
  </rv>
  <rv s="0">
    <fb>4794348</fb>
    <v>2</v>
  </rv>
  <rv s="0">
    <fb>45569</fb>
    <v>0</v>
  </rv>
  <rv s="0">
    <fb>168.88</fb>
    <v>1</v>
  </rv>
  <rv s="0">
    <fb>6003668</fb>
    <v>2</v>
  </rv>
  <rv s="0">
    <fb>45572</fb>
    <v>0</v>
  </rv>
  <rv s="0">
    <fb>167.12</fb>
    <v>1</v>
  </rv>
  <rv s="0">
    <fb>6325281</fb>
    <v>2</v>
  </rv>
  <rv s="0">
    <fb>45573</fb>
    <v>0</v>
  </rv>
  <rv s="0">
    <fb>168.16</fb>
    <v>1</v>
  </rv>
  <rv s="0">
    <fb>7472965</fb>
    <v>2</v>
  </rv>
  <rv s="0">
    <fb>45574</fb>
    <v>0</v>
  </rv>
  <rv s="0">
    <fb>169.27</fb>
    <v>1</v>
  </rv>
  <rv s="0">
    <fb>8758806</fb>
    <v>2</v>
  </rv>
  <rv s="0">
    <fb>45575</fb>
    <v>0</v>
  </rv>
  <rv s="0">
    <fb>168.95</fb>
    <v>1</v>
  </rv>
  <rv s="0">
    <fb>6932308</fb>
    <v>2</v>
  </rv>
  <rv s="0">
    <fb>45576</fb>
    <v>0</v>
  </rv>
  <rv s="0">
    <fb>171.09</fb>
    <v>1</v>
  </rv>
  <rv s="0">
    <fb>7036480</fb>
    <v>2</v>
  </rv>
  <rv s="0">
    <fb>45579</fb>
    <v>0</v>
  </rv>
  <rv s="0">
    <fb>172.51</fb>
    <v>1</v>
  </rv>
  <rv s="0">
    <fb>5909158</fb>
    <v>2</v>
  </rv>
  <rv s="0">
    <fb>45580</fb>
    <v>0</v>
  </rv>
  <rv s="0">
    <fb>173.57</fb>
    <v>1</v>
  </rv>
  <rv s="0">
    <fb>7172262</fb>
    <v>2</v>
  </rv>
  <rv s="0">
    <fb>45581</fb>
    <v>0</v>
  </rv>
  <rv s="0">
    <fb>172.38</fb>
    <v>1</v>
  </rv>
  <rv s="0">
    <fb>6117053</fb>
    <v>2</v>
  </rv>
  <rv s="0">
    <fb>45582</fb>
    <v>0</v>
  </rv>
  <rv s="0">
    <fb>172.28</fb>
    <v>1</v>
  </rv>
  <rv s="0">
    <fb>7045586</fb>
    <v>2</v>
  </rv>
  <rv s="0">
    <fb>45583</fb>
    <v>0</v>
  </rv>
  <rv s="0">
    <fb>171.28</fb>
    <v>1</v>
  </rv>
  <rv s="0">
    <fb>8372536</fb>
    <v>2</v>
  </rv>
  <rv s="0">
    <fb>45586</fb>
    <v>0</v>
  </rv>
  <rv s="0">
    <fb>169.54</fb>
    <v>1</v>
  </rv>
  <rv s="0">
    <fb>5522460</fb>
    <v>2</v>
  </rv>
  <rv s="0">
    <fb>45587</fb>
    <v>0</v>
  </rv>
  <rv s="0">
    <fb>169.7</fb>
    <v>1</v>
  </rv>
  <rv s="0">
    <fb>7511671</fb>
    <v>2</v>
  </rv>
  <rv s="0">
    <fb>45588</fb>
    <v>0</v>
  </rv>
  <rv s="0">
    <fb>169.58</fb>
    <v>1</v>
  </rv>
  <rv s="0">
    <fb>4837810</fb>
    <v>2</v>
  </rv>
  <rv s="0">
    <fb>45589</fb>
    <v>0</v>
  </rv>
  <rv s="0">
    <fb>169.62</fb>
    <v>1</v>
  </rv>
  <rv s="0">
    <fb>5861303</fb>
    <v>2</v>
  </rv>
  <rv s="0">
    <fb>45590</fb>
    <v>0</v>
  </rv>
  <rv s="0">
    <fb>168.22</fb>
    <v>1</v>
  </rv>
  <rv s="0">
    <fb>4877911</fb>
    <v>2</v>
  </rv>
  <rv s="0">
    <fb>45593</fb>
    <v>0</v>
  </rv>
  <rv s="0">
    <fb>169.3</fb>
    <v>1</v>
  </rv>
  <rv s="0">
    <fb>5754043</fb>
    <v>2</v>
  </rv>
  <rv s="0">
    <fb>45594</fb>
    <v>0</v>
  </rv>
  <rv s="0">
    <fb>167.17</fb>
    <v>1</v>
  </rv>
  <rv s="0">
    <fb>5681358</fb>
    <v>2</v>
  </rv>
  <rv s="0">
    <fb>45595</fb>
    <v>0</v>
  </rv>
  <rv s="0">
    <fb>166.16</fb>
    <v>1</v>
  </rv>
  <rv s="0">
    <fb>5518085</fb>
    <v>2</v>
  </rv>
  <rv s="0">
    <fb>45596</fb>
    <v>0</v>
  </rv>
  <rv s="0">
    <fb>6056514</fb>
    <v>2</v>
  </rv>
  <rv s="0">
    <fb>45597</fb>
    <v>0</v>
  </rv>
  <rv s="0">
    <fb>165.1</fb>
    <v>1</v>
  </rv>
  <rv s="0">
    <fb>5455095</fb>
    <v>2</v>
  </rv>
  <rv s="0">
    <fb>45600</fb>
    <v>0</v>
  </rv>
  <rv s="0">
    <fb>165.08</fb>
    <v>1</v>
  </rv>
  <rv s="0">
    <fb>5130338</fb>
    <v>2</v>
  </rv>
  <rv s="0">
    <fb>45601</fb>
    <v>0</v>
  </rv>
  <rv s="0">
    <fb>4397441</fb>
    <v>2</v>
  </rv>
  <rv s="0">
    <fb>45602</fb>
    <v>0</v>
  </rv>
  <rv s="0">
    <fb>161.05000000000001</fb>
    <v>1</v>
  </rv>
  <rv s="0">
    <fb>11473688</fb>
    <v>2</v>
  </rv>
  <rv s="0">
    <fb>45603</fb>
    <v>0</v>
  </rv>
  <rv s="0">
    <fb>163.41</fb>
    <v>1</v>
  </rv>
  <rv s="0">
    <fb>9056725</fb>
    <v>2</v>
  </rv>
  <rv s="0">
    <fb>45604</fb>
    <v>0</v>
  </rv>
  <rv s="0">
    <fb>167.71</fb>
    <v>1</v>
  </rv>
  <rv s="0">
    <fb>7506566</fb>
    <v>2</v>
  </rv>
  <rv s="0">
    <fb>45607</fb>
    <v>0</v>
  </rv>
  <rv s="0">
    <fb>166.03</fb>
    <v>1</v>
  </rv>
  <rv s="0">
    <fb>6364403</fb>
    <v>2</v>
  </rv>
  <rv s="0">
    <fb>45608</fb>
    <v>0</v>
  </rv>
  <rv s="0">
    <fb>165.84</fb>
    <v>1</v>
  </rv>
  <rv s="0">
    <fb>6507823</fb>
    <v>2</v>
  </rv>
  <rv s="0">
    <fb>45609</fb>
    <v>0</v>
  </rv>
  <rv s="0">
    <fb>166.58</fb>
    <v>1</v>
  </rv>
  <rv s="0">
    <fb>5412566</fb>
    <v>2</v>
  </rv>
  <rv s="0">
    <fb>45610</fb>
    <v>0</v>
  </rv>
  <rv s="0">
    <fb>167.08</fb>
    <v>1</v>
  </rv>
  <rv s="0">
    <fb>7444273</fb>
    <v>2</v>
  </rv>
  <rv s="0">
    <fb>45611</fb>
    <v>0</v>
  </rv>
  <rv s="0">
    <fb>9939416</fb>
    <v>2</v>
  </rv>
  <rv s="0">
    <fb>45614</fb>
    <v>0</v>
  </rv>
  <rv s="0">
    <fb>170.75</fb>
    <v>1</v>
  </rv>
  <rv s="0">
    <fb>6681087</fb>
    <v>2</v>
  </rv>
  <rv s="0">
    <fb>45615</fb>
    <v>0</v>
  </rv>
  <rv s="0">
    <fb>170.76</fb>
    <v>1</v>
  </rv>
  <rv s="0">
    <fb>5683673</fb>
    <v>2</v>
  </rv>
  <rv s="0">
    <fb>45616</fb>
    <v>0</v>
  </rv>
  <rv s="0">
    <fb>170.89</fb>
    <v>1</v>
  </rv>
  <rv s="0">
    <fb>7081237</fb>
    <v>2</v>
  </rv>
  <rv s="0">
    <fb>45617</fb>
    <v>0</v>
  </rv>
  <rv s="0">
    <fb>172.75</fb>
    <v>1</v>
  </rv>
  <rv s="0">
    <fb>6240403</fb>
    <v>2</v>
  </rv>
  <rv s="0">
    <fb>45618</fb>
    <v>0</v>
  </rv>
  <rv s="0">
    <fb>176.28</fb>
    <v>1</v>
  </rv>
  <rv s="0">
    <fb>10609785</fb>
    <v>2</v>
  </rv>
  <rv s="0">
    <fb>45621</fb>
    <v>0</v>
  </rv>
  <rv s="0">
    <fb>177.39</fb>
    <v>1</v>
  </rv>
  <rv s="0">
    <fb>19357005</fb>
    <v>2</v>
  </rv>
  <rv s="0">
    <fb>45622</fb>
    <v>0</v>
  </rv>
  <rv s="0">
    <fb>179.31</fb>
    <v>1</v>
  </rv>
  <rv s="0">
    <fb>6276933</fb>
    <v>2</v>
  </rv>
  <rv s="0">
    <fb>45623</fb>
    <v>0</v>
  </rv>
  <rv s="0">
    <fb>179.36</fb>
    <v>1</v>
  </rv>
  <rv s="0">
    <fb>5522912</fb>
    <v>2</v>
  </rv>
  <rv s="0">
    <fb>45625</fb>
    <v>0</v>
  </rv>
  <rv s="0">
    <fb>179.26</fb>
    <v>1</v>
  </rv>
  <rv s="0">
    <fb>3823708</fb>
    <v>2</v>
  </rv>
  <rv s="0">
    <fb>45628</fb>
    <v>0</v>
  </rv>
  <rv s="0">
    <fb>179.7</fb>
    <v>1</v>
  </rv>
  <rv s="0">
    <fb>5728297</fb>
    <v>2</v>
  </rv>
  <rv s="0">
    <fb>45629</fb>
    <v>0</v>
  </rv>
  <rv s="0">
    <fb>175.42</fb>
    <v>1</v>
  </rv>
  <rv s="0">
    <fb>8127329</fb>
    <v>2</v>
  </rv>
  <rv s="0">
    <fb>45630</fb>
    <v>0</v>
  </rv>
  <rv s="0">
    <fb>175.11</fb>
    <v>1</v>
  </rv>
  <rv s="0">
    <fb>6823659</fb>
    <v>2</v>
  </rv>
  <rv s="0">
    <fb>45631</fb>
    <v>0</v>
  </rv>
  <rv s="0">
    <fb>176.03</fb>
    <v>1</v>
  </rv>
  <rv s="0">
    <fb>5022189</fb>
    <v>2</v>
  </rv>
  <rv s="0">
    <fb>45632</fb>
    <v>0</v>
  </rv>
  <rv s="0">
    <fb>173.82</fb>
    <v>1</v>
  </rv>
  <rv s="0">
    <fb>5741167</fb>
    <v>2</v>
  </rv>
  <rv s="0">
    <fb>45635</fb>
    <v>0</v>
  </rv>
  <rv s="0">
    <fb>170.79</fb>
    <v>1</v>
  </rv>
  <rv s="0">
    <fb>7164286</fb>
    <v>2</v>
  </rv>
  <rv s="0">
    <fb>45636</fb>
    <v>0</v>
  </rv>
  <rv s="0">
    <fb>6220088</fb>
    <v>2</v>
  </rv>
  <rv s="0">
    <fb>45637</fb>
    <v>0</v>
  </rv>
  <rv s="0">
    <fb>170.63</fb>
    <v>1</v>
  </rv>
  <rv s="0">
    <fb>5237533</fb>
    <v>2</v>
  </rv>
  <rv s="0">
    <fb>45638</fb>
    <v>0</v>
  </rv>
  <rv s="0">
    <fb>170.85</fb>
    <v>1</v>
  </rv>
  <rv s="0">
    <fb>4072810</fb>
    <v>2</v>
  </rv>
  <rv s="0">
    <fb>45639</fb>
    <v>0</v>
  </rv>
  <rv s="0">
    <fb>171.06</fb>
    <v>1</v>
  </rv>
  <rv s="0">
    <fb>3884513</fb>
    <v>2</v>
  </rv>
  <rv s="0">
    <fb>45642</fb>
    <v>0</v>
  </rv>
  <rv s="0">
    <fb>171.14</fb>
    <v>1</v>
  </rv>
  <rv s="0">
    <fb>5943680</fb>
    <v>2</v>
  </rv>
  <rv s="0">
    <fb>45643</fb>
    <v>0</v>
  </rv>
  <rv s="0">
    <fb>170.33</fb>
    <v>1</v>
  </rv>
  <rv s="0">
    <fb>6069344</fb>
    <v>2</v>
  </rv>
  <rv s="0">
    <fb>45644</fb>
    <v>0</v>
  </rv>
  <rv s="0">
    <fb>169.08</fb>
    <v>1</v>
  </rv>
  <rv s="0">
    <fb>7517081</fb>
    <v>2</v>
  </rv>
  <rv s="0">
    <fb>45645</fb>
    <v>0</v>
  </rv>
  <rv s="0">
    <fb>169.19</fb>
    <v>1</v>
  </rv>
  <rv s="0">
    <fb>8585220</fb>
    <v>2</v>
  </rv>
  <rv s="0">
    <fb>45646</fb>
    <v>0</v>
  </rv>
  <rv s="0">
    <fb>21999342</fb>
    <v>2</v>
  </rv>
  <rv s="0">
    <fb>45649</fb>
    <v>0</v>
  </rv>
  <rv s="0">
    <fb>168.11</fb>
    <v>1</v>
  </rv>
  <rv s="0">
    <fb>6984079</fb>
    <v>2</v>
  </rv>
  <rv s="0">
    <fb>45650</fb>
    <v>0</v>
  </rv>
  <rv s="0">
    <fb>168.94</fb>
    <v>1</v>
  </rv>
  <rv s="0">
    <fb>2460756</fb>
    <v>2</v>
  </rv>
  <rv s="0">
    <fb>45652</fb>
    <v>0</v>
  </rv>
  <rv s="0">
    <fb>3629533</fb>
    <v>2</v>
  </rv>
  <rv s="0">
    <fb>45653</fb>
    <v>0</v>
  </rv>
  <rv s="0">
    <fb>169.53</fb>
    <v>1</v>
  </rv>
  <rv s="0">
    <fb>4367879</fb>
    <v>2</v>
  </rv>
  <rv s="0">
    <fb>45656</fb>
    <v>0</v>
  </rv>
  <rv s="0">
    <fb>167.09</fb>
    <v>1</v>
  </rv>
  <rv s="0">
    <fb>4354543</fb>
    <v>2</v>
  </rv>
  <rv s="0">
    <fb>45657</fb>
    <v>0</v>
  </rv>
  <rv s="0">
    <fb>167.65</fb>
    <v>1</v>
  </rv>
  <rv s="0">
    <fb>3957920</fb>
    <v>2</v>
  </rv>
  <rv s="0">
    <fb>45659</fb>
    <v>0</v>
  </rv>
  <rv s="0">
    <fb>165.98</fb>
    <v>1</v>
  </rv>
  <rv s="0">
    <fb>5401712</fb>
    <v>2</v>
  </rv>
  <rv s="0">
    <fb>45660</fb>
    <v>0</v>
  </rv>
  <rv s="0">
    <fb>165.13</fb>
    <v>1</v>
  </rv>
  <rv s="0">
    <fb>5256807</fb>
    <v>2</v>
  </rv>
  <rv s="0">
    <fb>45663</fb>
    <v>0</v>
  </rv>
  <rv s="0">
    <fb>160.6</fb>
    <v>1</v>
  </rv>
  <rv s="0">
    <fb>8731671</fb>
    <v>2</v>
  </rv>
  <rv s="0">
    <fb>45664</fb>
    <v>0</v>
  </rv>
  <rv s="0">
    <fb>161.30000000000001</fb>
    <v>1</v>
  </rv>
  <rv s="0">
    <fb>8447744</fb>
    <v>2</v>
  </rv>
  <rv s="0">
    <fb>45665</fb>
    <v>0</v>
  </rv>
  <rv s="0">
    <fb>162.1</fb>
    <v>1</v>
  </rv>
  <rv s="0">
    <fb>4974783</fb>
    <v>2</v>
  </rv>
  <rv s="0">
    <fb>45667</fb>
    <v>0</v>
  </rv>
  <rv s="0">
    <fb>158.56</fb>
    <v>1</v>
  </rv>
  <rv s="0">
    <fb>8501525</fb>
    <v>2</v>
  </rv>
  <rv s="0">
    <fb>45670</fb>
    <v>0</v>
  </rv>
  <rv s="0">
    <fb>158.84</fb>
    <v>1</v>
  </rv>
  <rv s="0">
    <fb>6772198</fb>
    <v>2</v>
  </rv>
  <rv s="0">
    <fb>45671</fb>
    <v>0</v>
  </rv>
  <rv s="0">
    <fb>159.74</fb>
    <v>1</v>
  </rv>
  <rv s="0">
    <fb>5982254</fb>
    <v>2</v>
  </rv>
  <rv s="0">
    <fb>45672</fb>
    <v>0</v>
  </rv>
  <rv s="0">
    <fb>159.65</fb>
    <v>1</v>
  </rv>
  <rv s="0">
    <fb>8059231</fb>
    <v>2</v>
  </rv>
  <rv s="0">
    <fb>45673</fb>
    <v>0</v>
  </rv>
  <rv s="0">
    <fb>160.5</fb>
    <v>1</v>
  </rv>
  <rv s="0">
    <fb>5774429</fb>
    <v>2</v>
  </rv>
  <rv s="0">
    <fb>45674</fb>
    <v>0</v>
  </rv>
  <rv s="0">
    <fb>161.13</fb>
    <v>1</v>
  </rv>
  <rv s="0">
    <fb>7262739</fb>
    <v>2</v>
  </rv>
  <rv s="0">
    <fb>45678</fb>
    <v>0</v>
  </rv>
  <rv s="0">
    <fb>161.72</fb>
    <v>1</v>
  </rv>
  <rv s="0">
    <fb>13914694</fb>
    <v>2</v>
  </rv>
  <rv s="0">
    <fb>45679</fb>
    <v>0</v>
  </rv>
  <rv s="0">
    <fb>164.74</fb>
    <v>1</v>
  </rv>
  <rv s="0">
    <fb>14356691</fb>
    <v>2</v>
  </rv>
  <rv s="0">
    <fb>45680</fb>
    <v>0</v>
  </rv>
  <rv s="0">
    <fb>166.15</fb>
    <v>1</v>
  </rv>
  <rv s="0">
    <fb>7614308</fb>
    <v>2</v>
  </rv>
  <rv s="0">
    <fb>45681</fb>
    <v>0</v>
  </rv>
  <rv s="0">
    <fb>164.12</fb>
    <v>1</v>
  </rv>
  <rv s="0">
    <fb>6199939</fb>
    <v>2</v>
  </rv>
  <rv s="0">
    <fb>45684</fb>
    <v>0</v>
  </rv>
  <rv s="0">
    <fb>169.66</fb>
    <v>1</v>
  </rv>
  <rv s="0">
    <fb>9170829</fb>
    <v>2</v>
  </rv>
  <rv s="0">
    <fb>45685</fb>
    <v>0</v>
  </rv>
  <rv s="0">
    <fb>166.19</fb>
    <v>1</v>
  </rv>
  <rv s="0">
    <fb>6716387</fb>
    <v>2</v>
  </rv>
  <rv s="0">
    <fb>45686</fb>
    <v>0</v>
  </rv>
  <rv s="0">
    <fb>166.23</fb>
    <v>1</v>
  </rv>
  <rv s="0">
    <fb>4850295</fb>
    <v>2</v>
  </rv>
  <rv s="0">
    <fb>45687</fb>
    <v>0</v>
  </rv>
  <rv s="0">
    <fb>167.41</fb>
    <v>1</v>
  </rv>
  <rv s="0">
    <fb>4136546</fb>
    <v>2</v>
  </rv>
  <rv s="0">
    <fb>45688</fb>
    <v>0</v>
  </rv>
  <rv s="0">
    <fb>165.99</fb>
    <v>1</v>
  </rv>
  <rv s="0">
    <fb>5464903</fb>
    <v>2</v>
  </rv>
  <rv s="0">
    <fb>45691</fb>
    <v>0</v>
  </rv>
  <rv s="0">
    <fb>168.76</fb>
    <v>1</v>
  </rv>
  <rv s="0">
    <fb>8668729</fb>
    <v>2</v>
  </rv>
  <rv s="0">
    <fb>45692</fb>
    <v>0</v>
  </rv>
  <rv s="0">
    <fb>168.13</fb>
    <v>1</v>
  </rv>
  <rv s="0">
    <fb>6410938</fb>
    <v>2</v>
  </rv>
  <rv s="0">
    <fb>45693</fb>
    <v>0</v>
  </rv>
  <rv s="0">
    <fb>169.01</fb>
    <v>1</v>
  </rv>
  <rv s="0">
    <fb>7537232</fb>
    <v>2</v>
  </rv>
  <rv s="0">
    <fb>45694</fb>
    <v>0</v>
  </rv>
  <rv s="0">
    <fb>4957889</fb>
    <v>2</v>
  </rv>
  <rv s="0">
    <fb>45695</fb>
    <v>0</v>
  </rv>
  <rv s="0">
    <fb>167.97</fb>
    <v>1</v>
  </rv>
  <rv s="0">
    <fb>4535617</fb>
    <v>2</v>
  </rv>
  <rv s="0">
    <fb>45698</fb>
    <v>0</v>
  </rv>
  <rv s="0">
    <fb>167.53</fb>
    <v>1</v>
  </rv>
  <rv s="0">
    <fb>7063167</fb>
    <v>2</v>
  </rv>
  <rv s="0">
    <fb>45699</fb>
    <v>0</v>
  </rv>
  <rv s="0">
    <fb>169.43</fb>
    <v>1</v>
  </rv>
  <rv s="0">
    <fb>5438081</fb>
    <v>2</v>
  </rv>
  <rv s="0">
    <fb>45700</fb>
    <v>0</v>
  </rv>
  <rv s="0">
    <fb>6037671</fb>
    <v>2</v>
  </rv>
  <rv s="0">
    <fb>45701</fb>
    <v>0</v>
  </rv>
  <rv s="0">
    <fb>171.02</fb>
    <v>1</v>
  </rv>
  <rv s="0">
    <fb>6328365</fb>
    <v>2</v>
  </rv>
  <rv s="0">
    <fb>45702</fb>
    <v>0</v>
  </rv>
  <rv s="0">
    <fb>162.88999999999999</fb>
    <v>1</v>
  </rv>
  <rv s="0">
    <fb>13179478</fb>
    <v>2</v>
  </rv>
  <rv s="0">
    <fb>45706</fb>
    <v>0</v>
  </rv>
  <rv s="0">
    <fb>165.43</fb>
    <v>1</v>
  </rv>
  <rv s="0">
    <fb>7075681</fb>
    <v>2</v>
  </rv>
  <rv s="0">
    <fb>45707</fb>
    <v>0</v>
  </rv>
  <rv s="0">
    <fb>166.49</fb>
    <v>1</v>
  </rv>
  <rv s="0">
    <fb>7910823</fb>
    <v>2</v>
  </rv>
  <rv s="0">
    <fb>45708</fb>
    <v>0</v>
  </rv>
  <rv s="0">
    <fb>167.21</fb>
    <v>1</v>
  </rv>
  <rv s="0">
    <fb>6162601</fb>
    <v>2</v>
  </rv>
  <rv s="0">
    <fb>45709</fb>
    <v>0</v>
  </rv>
  <rv s="0">
    <fb>170.23</fb>
    <v>1</v>
  </rv>
  <rv s="0">
    <fb>9813720</fb>
    <v>2</v>
  </rv>
  <rv s="0">
    <fb>45712</fb>
    <v>0</v>
  </rv>
  <rv s="0">
    <fb>8564057</fb>
    <v>2</v>
  </rv>
  <rv s="0">
    <fb>45713</fb>
    <v>0</v>
  </rv>
  <rv s="0">
    <fb>172.65</fb>
    <v>1</v>
  </rv>
  <rv s="0">
    <fb>7314856</fb>
    <v>2</v>
  </rv>
  <rv s="0">
    <fb>45714</fb>
    <v>0</v>
  </rv>
  <rv s="0">
    <fb>171.3</fb>
    <v>1</v>
  </rv>
  <rv s="0">
    <fb>5519041</fb>
    <v>2</v>
  </rv>
  <rv s="0">
    <fb>45715</fb>
    <v>0</v>
  </rv>
  <rv s="0">
    <fb>171.97</fb>
    <v>1</v>
  </rv>
  <rv s="0">
    <fb>5466965</fb>
    <v>2</v>
  </rv>
  <rv s="0">
    <fb>45716</fb>
    <v>0</v>
  </rv>
  <rv s="0">
    <fb>173.84</fb>
    <v>1</v>
  </rv>
  <rv s="0">
    <fb>10240069</fb>
    <v>2</v>
  </rv>
  <rv s="0">
    <fb>45719</fb>
    <v>0</v>
  </rv>
  <rv s="0">
    <fb>7615570</fb>
    <v>2</v>
  </rv>
  <rv s="0">
    <fb>45720</fb>
    <v>0</v>
  </rv>
  <rv s="0">
    <fb>173.18</fb>
    <v>1</v>
  </rv>
  <rv s="0">
    <fb>12118023</fb>
    <v>2</v>
  </rv>
  <rv s="0">
    <fb>45721</fb>
    <v>0</v>
  </rv>
  <rv s="0">
    <fb>174.61</fb>
    <v>1</v>
  </rv>
  <rv s="0">
    <fb>6989086</fb>
    <v>2</v>
  </rv>
  <rv s="0">
    <fb>45722</fb>
    <v>0</v>
  </rv>
  <rv s="0">
    <fb>174.66</fb>
    <v>1</v>
  </rv>
  <rv s="0">
    <fb>6702490</fb>
    <v>2</v>
  </rv>
  <rv s="0">
    <fb>45723</fb>
    <v>0</v>
  </rv>
  <rv s="0">
    <fb>175.95</fb>
    <v>1</v>
  </rv>
  <rv s="0">
    <fb>9566763</fb>
    <v>2</v>
  </rv>
  <rv s="0">
    <fb>45726</fb>
    <v>0</v>
  </rv>
  <rv s="0">
    <fb>176.26</fb>
    <v>1</v>
  </rv>
  <rv s="0">
    <fb>11047022</fb>
    <v>2</v>
  </rv>
  <rv s="0">
    <fb>45727</fb>
    <v>0</v>
  </rv>
  <rv s="0">
    <fb>173.12</fb>
    <v>1</v>
  </rv>
  <rv s="0">
    <fb>11032285</fb>
    <v>2</v>
  </rv>
  <rv s="0">
    <fb>45728</fb>
    <v>0</v>
  </rv>
  <rv s="0">
    <fb>168.37</fb>
    <v>1</v>
  </rv>
  <rv s="0">
    <fb>10159136</fb>
    <v>2</v>
  </rv>
  <rv s="0">
    <fb>45729</fb>
    <v>0</v>
  </rv>
  <rv s="0">
    <fb>168.59</fb>
    <v>1</v>
  </rv>
  <rv s="0">
    <fb>6609126</fb>
    <v>2</v>
  </rv>
  <rv s="0">
    <fb>45730</fb>
    <v>0</v>
  </rv>
  <rv s="0">
    <fb>6790624</fb>
    <v>2</v>
  </rv>
  <rv s="0">
    <fb>45733</fb>
    <v>0</v>
  </rv>
  <rv s="0">
    <fb>169.76</fb>
    <v>1</v>
  </rv>
  <rv s="0">
    <fb>9931678</fb>
    <v>2</v>
  </rv>
  <rv s="0">
    <fb>45734</fb>
    <v>0</v>
  </rv>
  <rv s="0">
    <fb>6100242</fb>
    <v>2</v>
  </rv>
  <rv s="0">
    <fb>45735</fb>
    <v>0</v>
  </rv>
  <rv s="0">
    <fb>168.57</fb>
    <v>1</v>
  </rv>
  <rv s="0">
    <fb>7569165</fb>
    <v>2</v>
  </rv>
  <rv s="0">
    <fb>45736</fb>
    <v>0</v>
  </rv>
  <rv s="0">
    <fb>167.55</fb>
    <v>1</v>
  </rv>
  <rv s="0">
    <fb>8789167</fb>
    <v>2</v>
  </rv>
  <rv s="0">
    <fb>45737</fb>
    <v>0</v>
  </rv>
  <rv s="0">
    <fb>166.69</fb>
    <v>1</v>
  </rv>
  <rv s="0">
    <fb>16027251</fb>
    <v>2</v>
  </rv>
  <rv s="0">
    <fb>45740</fb>
    <v>0</v>
  </rv>
  <rv s="0">
    <fb>165.65</fb>
    <v>1</v>
  </rv>
  <rv s="0">
    <fb>6102109</fb>
    <v>2</v>
  </rv>
  <rv s="0">
    <fb>45741</fb>
    <v>0</v>
  </rv>
  <rv s="0">
    <fb>162.85</fb>
    <v>1</v>
  </rv>
  <rv s="0">
    <fb>8366736</fb>
    <v>2</v>
  </rv>
  <rv s="0">
    <fb>45742</fb>
    <v>0</v>
  </rv>
  <rv s="0">
    <fb>7757259</fb>
    <v>2</v>
  </rv>
  <rv s="0">
    <fb>45743</fb>
    <v>0</v>
  </rv>
  <rv s="0">
    <fb>168.71</fb>
    <v>1</v>
  </rv>
  <rv s="0">
    <fb>6211735</fb>
    <v>2</v>
  </rv>
  <rv s="0">
    <fb>45744</fb>
    <v>0</v>
  </rv>
  <rv s="0">
    <fb>168.03</fb>
    <v>1</v>
  </rv>
  <rv s="0">
    <fb>5479306</fb>
    <v>2</v>
  </rv>
  <rv s="0">
    <fb>45747</fb>
    <v>0</v>
  </rv>
  <rv s="0">
    <fb>170.42</fb>
    <v>1</v>
  </rv>
  <rv s="0">
    <fb>11520451</fb>
    <v>2</v>
  </rv>
  <rv s="0">
    <fb>45748</fb>
    <v>0</v>
  </rv>
  <rv s="0">
    <fb>170.56</fb>
    <v>1</v>
  </rv>
  <rv s="0">
    <fb>7021507</fb>
    <v>2</v>
  </rv>
  <rv s="0">
    <fb>45749</fb>
    <v>0</v>
  </rv>
  <rv s="0">
    <fb>169.5</fb>
    <v>1</v>
  </rv>
  <rv s="0">
    <fb>6274548</fb>
    <v>2</v>
  </rv>
  <rv s="0">
    <fb>45750</fb>
    <v>0</v>
  </rv>
  <rv s="0">
    <fb>172.39</fb>
    <v>1</v>
  </rv>
  <rv s="0">
    <fb>9393270</fb>
    <v>2</v>
  </rv>
  <rv s="0">
    <fb>45751</fb>
    <v>0</v>
  </rv>
  <rv s="0">
    <fb>163.75</fb>
    <v>1</v>
  </rv>
  <rv s="0">
    <fb>13454205</fb>
    <v>2</v>
  </rv>
  <rv s="0">
    <fb>45754</fb>
    <v>0</v>
  </rv>
  <rv s="0">
    <fb>160.22999999999999</fb>
    <v>1</v>
  </rv>
  <rv s="0">
    <fb>15708009</fb>
    <v>2</v>
  </rv>
  <rv s="0">
    <fb>45755</fb>
    <v>0</v>
  </rv>
  <rv s="0">
    <fb>158.38999999999999</fb>
    <v>1</v>
  </rv>
  <rv s="0">
    <fb>11541114</fb>
    <v>2</v>
  </rv>
  <rv s="0">
    <fb>45756</fb>
    <v>0</v>
  </rv>
  <rv s="0">
    <fb>162.32</fb>
    <v>1</v>
  </rv>
  <rv s="0">
    <fb>10670212</fb>
    <v>2</v>
  </rv>
  <rv s="0">
    <fb>45757</fb>
    <v>0</v>
  </rv>
  <rv s="0">
    <fb>163.56</fb>
    <v>1</v>
  </rv>
  <rv s="0">
    <fb>10581571</fb>
    <v>2</v>
  </rv>
  <rv s="0">
    <fb>45758</fb>
    <v>0</v>
  </rv>
  <rv s="0">
    <fb>166.91</fb>
    <v>1</v>
  </rv>
  <rv s="0">
    <fb>8603200</fb>
    <v>2</v>
  </rv>
  <rv s="0">
    <fb>45761</fb>
    <v>0</v>
  </rv>
  <rv s="0">
    <fb>169.13</fb>
    <v>1</v>
  </rv>
  <rv s="0">
    <fb>9877411</fb>
    <v>2</v>
  </rv>
  <rv s="0">
    <fb>45762</fb>
    <v>0</v>
  </rv>
  <rv s="0">
    <fb>8764978</fb>
    <v>2</v>
  </rv>
  <rv s="0">
    <fb>45763</fb>
    <v>0</v>
  </rv>
  <rv s="0">
    <fb>166.39</fb>
    <v>1</v>
  </rv>
  <rv s="0">
    <fb>5897634</fb>
    <v>2</v>
  </rv>
  <rv s="0">
    <fb>45764</fb>
    <v>0</v>
  </rv>
  <rv s="0">
    <fb>7227061</fb>
    <v>2</v>
  </rv>
  <rv s="0">
    <fb>45768</fb>
    <v>0</v>
  </rv>
  <rv s="0">
    <fb>165.75</fb>
    <v>1</v>
  </rv>
  <rv s="0">
    <fb>8062360</fb>
    <v>2</v>
  </rv>
  <rv s="0">
    <fb>45769</fb>
    <v>0</v>
  </rv>
  <rv s="0">
    <fb>167.88</fb>
    <v>1</v>
  </rv>
  <rv s="0">
    <fb>7907421</fb>
    <v>2</v>
  </rv>
  <rv s="0">
    <fb>45770</fb>
    <v>0</v>
  </rv>
  <rv s="0">
    <fb>165.73</fb>
    <v>1</v>
  </rv>
  <rv s="0">
    <fb>9309164</fb>
    <v>2</v>
  </rv>
  <rv s="0">
    <fb>45771</fb>
    <v>0</v>
  </rv>
  <rv s="0">
    <fb>159.53</fb>
    <v>1</v>
  </rv>
  <rv s="0">
    <fb>20077665</fb>
    <v>2</v>
  </rv>
  <rv s="0">
    <fb>45772</fb>
    <v>0</v>
  </rv>
  <rv s="0">
    <fb>161.02000000000001</fb>
    <v>1</v>
  </rv>
  <rv s="0">
    <fb>12893200</fb>
    <v>2</v>
  </rv>
  <rv s="0">
    <fb>45775</fb>
    <v>0</v>
  </rv>
  <rv s="0">
    <fb>161.85</fb>
    <v>1</v>
  </rv>
  <rv s="0">
    <fb>8126981</fb>
    <v>2</v>
  </rv>
  <rv s="0">
    <fb>45776</fb>
    <v>0</v>
  </rv>
  <rv s="0">
    <fb>162.26</fb>
    <v>1</v>
  </rv>
  <rv s="0">
    <fb>8266154</fb>
    <v>2</v>
  </rv>
  <rv s="0">
    <fb>45777</fb>
    <v>0</v>
  </rv>
  <rv s="0">
    <fb>162.57</fb>
    <v>1</v>
  </rv>
  <rv s="0">
    <fb>12475539</fb>
    <v>2</v>
  </rv>
  <rv s="0">
    <fb>45778</fb>
    <v>0</v>
  </rv>
  <rv s="0">
    <fb>159.97999999999999</fb>
    <v>1</v>
  </rv>
  <rv s="0">
    <fb>6792815</fb>
    <v>2</v>
  </rv>
  <rv s="0">
    <fb>45779</fb>
    <v>0</v>
  </rv>
  <rv s="0">
    <fb>160.52000000000001</fb>
    <v>1</v>
  </rv>
  <rv s="0">
    <fb>5750165</fb>
    <v>2</v>
  </rv>
  <rv s="0">
    <fb>45782</fb>
    <v>0</v>
  </rv>
  <rv s="0">
    <fb>158.83000000000001</fb>
    <v>1</v>
  </rv>
  <rv s="0">
    <fb>7576219</fb>
    <v>2</v>
  </rv>
  <rv s="0">
    <fb>45783</fb>
    <v>0</v>
  </rv>
  <rv s="0">
    <fb>159.25</fb>
    <v>1</v>
  </rv>
  <rv s="0">
    <fb>7703843</fb>
    <v>2</v>
  </rv>
  <rv s="0">
    <fb>45784</fb>
    <v>0</v>
  </rv>
  <rv s="0">
    <fb>159.29</fb>
    <v>1</v>
  </rv>
  <rv s="0">
    <fb>6430156</fb>
    <v>2</v>
  </rv>
  <rv s="0">
    <fb>45785</fb>
    <v>0</v>
  </rv>
  <rv s="0">
    <fb>158.65</fb>
    <v>1</v>
  </rv>
  <rv s="0">
    <fb>7230806</fb>
    <v>2</v>
  </rv>
  <rv s="0">
    <fb>45786</fb>
    <v>0</v>
  </rv>
  <rv s="0">
    <fb>157.66</fb>
    <v>1</v>
  </rv>
  <rv s="0">
    <fb>6453232</fb>
    <v>2</v>
  </rv>
  <rv s="0">
    <fb>45789</fb>
    <v>0</v>
  </rv>
  <rv s="0">
    <fb>160.9</fb>
    <v>1</v>
  </rv>
  <rv s="0">
    <fb>7378380</fb>
    <v>2</v>
  </rv>
  <rv s="0">
    <fb>45790</fb>
    <v>0</v>
  </rv>
  <rv s="0">
    <fb>158.72999999999999</fb>
    <v>1</v>
  </rv>
  <rv s="0">
    <fb>7780827</fb>
    <v>2</v>
  </rv>
  <rv s="0">
    <fb>45791</fb>
    <v>0</v>
  </rv>
  <rv s="0">
    <fb>158.02000000000001</fb>
    <v>1</v>
  </rv>
  <rv s="0">
    <fb>5988905</fb>
    <v>2</v>
  </rv>
  <rv s="0">
    <fb>45792</fb>
    <v>0</v>
  </rv>
  <rv s="0">
    <fb>162.41</fb>
    <v>1</v>
  </rv>
  <rv s="0">
    <fb>8727316</fb>
    <v>2</v>
  </rv>
  <rv s="0">
    <fb>45793</fb>
    <v>0</v>
  </rv>
  <rv s="0">
    <fb>163.28</fb>
    <v>1</v>
  </rv>
  <rv s="0">
    <fb>7100784</fb>
    <v>2</v>
  </rv>
  <rv s="0">
    <fb>45796</fb>
    <v>0</v>
  </rv>
  <rv s="0">
    <fb>164.77</fb>
    <v>1</v>
  </rv>
  <rv s="0">
    <fb>8120219</fb>
    <v>2</v>
  </rv>
  <rv s="0">
    <fb>45797</fb>
    <v>0</v>
  </rv>
  <rv s="0">
    <fb>165.64</fb>
    <v>1</v>
  </rv>
  <rv s="0">
    <fb>5576561</fb>
    <v>2</v>
  </rv>
  <rv s="0">
    <fb>45798</fb>
    <v>0</v>
  </rv>
  <rv s="0">
    <fb>6424153</fb>
    <v>2</v>
  </rv>
  <rv s="0">
    <fb>45799</fb>
    <v>0</v>
  </rv>
  <rv s="0">
    <fb>165.03</fb>
    <v>1</v>
  </rv>
  <rv s="0">
    <fb>6245571</fb>
    <v>2</v>
  </rv>
  <rv s="0">
    <fb>45800</fb>
    <v>0</v>
  </rv>
  <rv s="0">
    <fb>165.86</fb>
    <v>1</v>
  </rv>
  <rv s="0">
    <fb>5349868</fb>
    <v>2</v>
  </rv>
  <rv s="0">
    <fb>45804</fb>
    <v>0</v>
  </rv>
  <rv s="0">
    <fb>167.76</fb>
    <v>1</v>
  </rv>
  <rv s="0">
    <fb>11423794</fb>
    <v>2</v>
  </rv>
  <rv s="0">
    <fb>45805</fb>
    <v>0</v>
  </rv>
  <rv s="0">
    <fb>167.36</fb>
    <v>1</v>
  </rv>
  <rv s="0">
    <fb>5385942</fb>
    <v>2</v>
  </rv>
  <rv s="0">
    <fb>45806</fb>
    <v>0</v>
  </rv>
  <rv s="0">
    <fb>4842554</fb>
    <v>2</v>
  </rv>
  <rv s="0">
    <fb>45807</fb>
    <v>0</v>
  </rv>
  <rv s="0">
    <fb>169.89</fb>
    <v>1</v>
  </rv>
  <rv s="0">
    <fb>12587537</fb>
    <v>2</v>
  </rv>
  <rv s="0">
    <fb>45810</fb>
    <v>0</v>
  </rv>
  <rv s="0">
    <fb>167.78</fb>
    <v>1</v>
  </rv>
  <rv s="0">
    <fb>7574428</fb>
    <v>2</v>
  </rv>
  <rv s="0">
    <fb>45811</fb>
    <v>0</v>
  </rv>
  <rv s="0">
    <fb>6223447</fb>
    <v>2</v>
  </rv>
  <rv s="0">
    <fb>45812</fb>
    <v>0</v>
  </rv>
  <rv s="0">
    <fb>165.95</fb>
    <v>1</v>
  </rv>
  <rv s="0">
    <fb>4939333</fb>
    <v>2</v>
  </rv>
  <rv s="0">
    <fb>45813</fb>
    <v>0</v>
  </rv>
  <rv s="0">
    <fb>162.80000000000001</fb>
    <v>1</v>
  </rv>
  <rv s="0">
    <fb>10352288</fb>
    <v>2</v>
  </rv>
  <rv s="0">
    <fb>45814</fb>
    <v>0</v>
  </rv>
  <rv s="0">
    <fb>164.02</fb>
    <v>1</v>
  </rv>
  <rv s="0">
    <fb>5697877</fb>
    <v>2</v>
  </rv>
  <rv s="0">
    <fb>45817</fb>
    <v>0</v>
  </rv>
  <rv s="0">
    <fb>162.56</fb>
    <v>1</v>
  </rv>
  <rv s="0">
    <fb>6544199</fb>
    <v>2</v>
  </rv>
  <rv s="0">
    <fb>45818</fb>
    <v>0</v>
  </rv>
  <rv s="0">
    <fb>162.84</fb>
    <v>1</v>
  </rv>
  <rv s="0">
    <fb>7680015</fb>
    <v>2</v>
  </rv>
  <rv s="0">
    <fb>45819</fb>
    <v>0</v>
  </rv>
  <rv s="0">
    <fb>162.11000000000001</fb>
    <v>1</v>
  </rv>
  <rv s="0">
    <fb>5960052</fb>
    <v>2</v>
  </rv>
  <rv s="0">
    <fb>45820</fb>
    <v>0</v>
  </rv>
  <rv s="0">
    <fb>163.18</fb>
    <v>1</v>
  </rv>
  <rv s="0">
    <fb>6509891</fb>
    <v>2</v>
  </rv>
  <rv s="0">
    <fb>45821</fb>
    <v>0</v>
  </rv>
  <rv s="0">
    <fb>160.28</fb>
    <v>1</v>
  </rv>
  <rv s="0">
    <fb>7104547</fb>
    <v>2</v>
  </rv>
  <rv s="0">
    <fb>45824</fb>
    <v>0</v>
  </rv>
  <rv s="0">
    <fb>160.88</fb>
    <v>1</v>
  </rv>
  <rv s="0">
    <fb>6331961</fb>
    <v>2</v>
  </rv>
  <rv s="0">
    <fb>45825</fb>
    <v>0</v>
  </rv>
  <rv s="0">
    <fb>158.52000000000001</fb>
    <v>1</v>
  </rv>
  <rv s="0">
    <fb>6809747</fb>
    <v>2</v>
  </rv>
  <rv s="0">
    <fb>45826</fb>
    <v>0</v>
  </rv>
  <rv s="0">
    <fb>7211225</fb>
    <v>2</v>
  </rv>
  <rv s="0">
    <fb>45828</fb>
    <v>0</v>
  </rv>
  <rv s="0">
    <fb>159.08000000000001</fb>
    <v>1</v>
  </rv>
  <rv s="0">
    <fb>16173371</fb>
    <v>2</v>
  </rv>
  <rv s="0">
    <fb>45831</fb>
    <v>0</v>
  </rv>
  <rv s="0">
    <fb>6588223</fb>
    <v>2</v>
  </rv>
  <rv s="0">
    <fb>45832</fb>
    <v>0</v>
  </rv>
  <rv s="0">
    <fb>160.36000000000001</fb>
    <v>1</v>
  </rv>
  <rv s="0">
    <fb>7470052</fb>
    <v>2</v>
  </rv>
  <rv s="0">
    <fb>45833</fb>
    <v>0</v>
  </rv>
  <rv s="0">
    <fb>158.97</fb>
    <v>1</v>
  </rv>
  <rv s="0">
    <fb>5933715</fb>
    <v>2</v>
  </rv>
  <rv s="0">
    <fb>45834</fb>
    <v>0</v>
  </rv>
  <rv s="0">
    <fb>158.63</fb>
    <v>1</v>
  </rv>
  <rv s="0">
    <fb>7410446</fb>
    <v>2</v>
  </rv>
  <rv s="0">
    <fb>45835</fb>
    <v>0</v>
  </rv>
  <rv s="0">
    <fb>159.86000000000001</fb>
    <v>1</v>
  </rv>
  <rv s="0">
    <fb>19256955</fb>
    <v>2</v>
  </rv>
  <rv s="0">
    <fb>45838</fb>
    <v>0</v>
  </rv>
  <rv s="0">
    <fb>11238201</fb>
    <v>2</v>
  </rv>
  <rv s="0">
    <fb>45839</fb>
    <v>0</v>
  </rv>
  <rv s="0">
    <fb>161.22</fb>
    <v>1</v>
  </rv>
  <rv s="0">
    <fb>10664891</fb>
    <v>2</v>
  </rv>
  <rv s="0">
    <fb>45840</fb>
    <v>0</v>
  </rv>
  <rv s="0">
    <fb>161.19999999999999</fb>
    <v>1</v>
  </rv>
  <rv s="0">
    <fb>8848744</fb>
    <v>2</v>
  </rv>
  <rv s="0">
    <fb>45841</fb>
    <v>0</v>
  </rv>
  <rv s="0">
    <fb>160.83000000000001</fb>
    <v>1</v>
  </rv>
  <rv s="0">
    <fb>6999589</fb>
    <v>2</v>
  </rv>
  <rv s="0">
    <fb>45845</fb>
    <v>0</v>
  </rv>
  <rv s="0">
    <fb>7225695</fb>
    <v>2</v>
  </rv>
  <rv s="0">
    <fb>45846</fb>
    <v>0</v>
  </rv>
  <rv s="0">
    <fb>157.88999999999999</fb>
    <v>1</v>
  </rv>
  <rv s="0">
    <fb>12034764</fb>
    <v>2</v>
  </rv>
  <rv s="0">
    <fb>45847</fb>
    <v>0</v>
  </rv>
  <rv s="0">
    <fb>157.52000000000001</fb>
    <v>1</v>
  </rv>
  <rv s="0">
    <fb>18770894</fb>
    <v>2</v>
  </rv>
  <rv s="0">
    <fb>45848</fb>
    <v>0</v>
  </rv>
  <rv s="0">
    <fb>158.49</fb>
    <v>1</v>
  </rv>
  <rv s="0">
    <fb>7201748</fb>
    <v>2</v>
  </rv>
  <rv s="0">
    <fb>45849</fb>
    <v>0</v>
  </rv>
  <rv s="0">
    <fb>157.05000000000001</fb>
    <v>1</v>
  </rv>
  <rv s="0">
    <fb>8053808</fb>
    <v>2</v>
  </rv>
  <rv s="0">
    <fb>45852</fb>
    <v>0</v>
  </rv>
  <rv s="0">
    <fb>153.76</fb>
    <v>1</v>
  </rv>
  <rv s="0">
    <fb>11491688</fb>
    <v>2</v>
  </rv>
  <rv s="0">
    <fb>45853</fb>
    <v>0</v>
  </rv>
  <rv s="0">
    <fb>152.68</fb>
    <v>1</v>
  </rv>
  <rv s="0">
    <fb>9142615</fb>
    <v>2</v>
  </rv>
  <rv s="0">
    <fb>45854</fb>
    <v>0</v>
  </rv>
  <rv s="0">
    <fb>153.72999999999999</fb>
    <v>1</v>
  </rv>
  <rv s="0">
    <fb>8478997</fb>
    <v>2</v>
  </rv>
  <rv s="0">
    <fb>45855</fb>
    <v>0</v>
  </rv>
  <rv s="0">
    <fb>8319996</fb>
    <v>2</v>
  </rv>
  <rv s="0">
    <fb>45856</fb>
    <v>0</v>
  </rv>
  <rv s="0">
    <fb>155.1</fb>
    <v>1</v>
  </rv>
  <rv s="0">
    <fb>7337252</fb>
    <v>2</v>
  </rv>
  <rv s="0">
    <fb>45859</fb>
    <v>0</v>
  </rv>
  <rv s="0">
    <fb>155.03</fb>
    <v>1</v>
  </rv>
  <rv s="0">
    <fb>6328370</fb>
    <v>2</v>
  </rv>
  <rv s="0">
    <fb>45860</fb>
    <v>0</v>
  </rv>
  <rv s="0">
    <fb>158.32</fb>
    <v>1</v>
  </rv>
  <rv s="0">
    <fb>8186970</fb>
    <v>2</v>
  </rv>
  <rv s="0">
    <fb>45861</fb>
    <v>0</v>
  </rv>
  <rv s="0">
    <fb>158.28</fb>
    <v>1</v>
  </rv>
  <rv s="0">
    <fb>4804795</fb>
    <v>2</v>
  </rv>
  <rv s="0">
    <fb>45862</fb>
    <v>0</v>
  </rv>
  <rv s="0">
    <fb>158.81</fb>
    <v>1</v>
  </rv>
  <rv s="0">
    <fb>7027392</fb>
    <v>2</v>
  </rv>
  <rv s="0">
    <fb>45863</fb>
    <v>0</v>
  </rv>
  <rv s="0">
    <fb>158.30000000000001</fb>
    <v>1</v>
  </rv>
  <rv s="0">
    <fb>5800248</fb>
    <v>2</v>
  </rv>
  <rv s="0">
    <fb>45866</fb>
    <v>0</v>
  </rv>
  <rv s="0">
    <fb>7885026</fb>
    <v>2</v>
  </rv>
  <rv s="0">
    <fb>45867</fb>
    <v>0</v>
  </rv>
  <rv s="0">
    <fb>156.61000000000001</fb>
    <v>1</v>
  </rv>
  <rv s="0">
    <fb>11466058</fb>
    <v>2</v>
  </rv>
  <rv s="0">
    <fb>45868</fb>
    <v>0</v>
  </rv>
  <rv s="0">
    <fb>152.88</fb>
    <v>1</v>
  </rv>
  <rv s="0">
    <fb>8162888</fb>
    <v>2</v>
  </rv>
  <rv s="0">
    <fb>45869</fb>
    <v>0</v>
  </rv>
  <rv s="0">
    <fb>150.47</fb>
    <v>1</v>
  </rv>
  <rv s="0">
    <fb>11845443</fb>
    <v>2</v>
  </rv>
  <rv s="0">
    <fb>45870</fb>
    <v>0</v>
  </rv>
  <rv s="0">
    <fb>150.65</fb>
    <v>1</v>
  </rv>
  <rv s="0">
    <fb>8594220</fb>
    <v>2</v>
  </rv>
  <rv s="0">
    <fb>45873</fb>
    <v>0</v>
  </rv>
  <rv s="0">
    <fb>150.76</fb>
    <v>1</v>
  </rv>
  <rv s="0">
    <fb>7679361</fb>
    <v>2</v>
  </rv>
  <rv s="0">
    <fb>45874</fb>
    <v>0</v>
  </rv>
  <rv s="0">
    <fb>6670065</fb>
    <v>2</v>
  </rv>
  <rv s="0">
    <fb>45875</fb>
    <v>0</v>
  </rv>
  <rv s="0">
    <fb>152.86000000000001</fb>
    <v>1</v>
  </rv>
  <rv s="0">
    <fb>7376213</fb>
    <v>2</v>
  </rv>
  <rv s="0">
    <fb>45876</fb>
    <v>0</v>
  </rv>
  <rv s="0">
    <fb>153.49</fb>
    <v>1</v>
  </rv>
  <rv s="0">
    <fb>6719044</fb>
    <v>2</v>
  </rv>
  <rv s="0">
    <fb>45877</fb>
    <v>0</v>
  </rv>
  <rv s="0">
    <fb>153.51</fb>
    <v>1</v>
  </rv>
  <rv s="0">
    <fb>5811281</fb>
    <v>2</v>
  </rv>
  <rv s="0">
    <fb>45880</fb>
    <v>0</v>
  </rv>
  <rv s="0">
    <fb>154.97999999999999</fb>
    <v>1</v>
  </rv>
  <rv s="0">
    <fb>7331707</fb>
    <v>2</v>
  </rv>
  <rv s="0">
    <fb>45881</fb>
    <v>0</v>
  </rv>
  <rv s="0">
    <fb>155.09</fb>
    <v>1</v>
  </rv>
  <rv s="0">
    <fb>6938336</fb>
    <v>2</v>
  </rv>
  <rv s="0">
    <fb>45882</fb>
    <v>0</v>
  </rv>
  <rv s="0">
    <fb>155.41</fb>
    <v>1</v>
  </rv>
  <rv s="0">
    <fb>5812356</fb>
    <v>2</v>
  </rv>
  <rv s="0">
    <fb>45883</fb>
    <v>0</v>
  </rv>
  <rv s="0">
    <fb>153.74</fb>
    <v>1</v>
  </rv>
  <rv s="0">
    <fb>6343715</fb>
    <v>2</v>
  </rv>
  <rv s="0">
    <fb>45884</fb>
    <v>0</v>
  </rv>
  <rv s="0">
    <fb>154.36000000000001</fb>
    <v>1</v>
  </rv>
  <rv s="0">
    <fb>7121700</fb>
    <v>2</v>
  </rv>
  <rv s="0">
    <fb>45887</fb>
    <v>0</v>
  </rv>
  <rv s="0">
    <fb>155.72</fb>
    <v>1</v>
  </rv>
  <rv s="0">
    <fb>8274726</fb>
    <v>2</v>
  </rv>
  <rv s="0">
    <fb>45888</fb>
    <v>0</v>
  </rv>
  <rv s="0">
    <fb>158.4</fb>
    <v>1</v>
  </rv>
  <rv s="0">
    <fb>7868129</fb>
    <v>2</v>
  </rv>
  <rv s="0">
    <fb>45889</fb>
    <v>0</v>
  </rv>
  <rv s="0">
    <fb>159.51</fb>
    <v>1</v>
  </rv>
  <rv s="0">
    <fb>7840355</fb>
    <v>2</v>
  </rv>
  <rv s="0">
    <fb>45890</fb>
    <v>0</v>
  </rv>
  <rv s="0">
    <fb>6417695</fb>
    <v>2</v>
  </rv>
  <rv s="0">
    <fb>45891</fb>
    <v>0</v>
  </rv>
  <rv s="0">
    <fb>158.66999999999999</fb>
    <v>1</v>
  </rv>
  <rv s="0">
    <fb>5797325</fb>
    <v>2</v>
  </rv>
  <rv s="0">
    <fb>45894</fb>
    <v>0</v>
  </rv>
  <rv s="0">
    <fb>4692505</fb>
    <v>2</v>
  </rv>
  <rv s="0">
    <fb>45895</fb>
    <v>0</v>
  </rv>
  <rv s="0">
    <fb>155.97</fb>
    <v>1</v>
  </rv>
  <rv s="0">
    <fb>6337977</fb>
    <v>2</v>
  </rv>
  <rv s="0">
    <fb>45896</fb>
    <v>0</v>
  </rv>
  <rv s="0">
    <fb>4551219</fb>
    <v>2</v>
  </rv>
  <rv s="0">
    <fb>45897</fb>
    <v>0</v>
  </rv>
  <rv s="0">
    <fb>155.65</fb>
    <v>1</v>
  </rv>
  <rv s="0">
    <fb>5857727</fb>
    <v>2</v>
  </rv>
  <rv s="0">
    <fb>45898</fb>
    <v>0</v>
  </rv>
  <rv s="0">
    <fb>157.04</fb>
    <v>1</v>
  </rv>
  <rv s="0">
    <fb>5318179</fb>
    <v>2</v>
  </rv>
  <rv s="0">
    <fb>45902</fb>
    <v>0</v>
  </rv>
  <rv s="0">
    <fb>157.99</fb>
    <v>1</v>
  </rv>
  <rv s="0">
    <fb>6432837</fb>
    <v>2</v>
  </rv>
  <rv s="0">
    <fb>45903</fb>
    <v>0</v>
  </rv>
  <rv s="0">
    <fb>158.16999999999999</fb>
    <v>1</v>
  </rv>
  <rv s="0">
    <fb>6592451</fb>
    <v>2</v>
  </rv>
  <rv s="0">
    <fb>45904</fb>
    <v>0</v>
  </rv>
  <rv s="0">
    <fb>159.19</fb>
    <v>1</v>
  </rv>
  <rv s="0">
    <fb>6935245</fb>
    <v>2</v>
  </rv>
  <rv s="0">
    <fb>45905</fb>
    <v>0</v>
  </rv>
  <rv s="0">
    <fb>160.02000000000001</fb>
    <v>1</v>
  </rv>
  <rv s="0">
    <fb>6436150</fb>
    <v>2</v>
  </rv>
  <rv s="0">
    <fb>45908</fb>
    <v>0</v>
  </rv>
  <rv s="0">
    <fb>159.01</fb>
    <v>1</v>
  </rv>
  <rv s="0">
    <fb>7178356</fb>
    <v>2</v>
  </rv>
  <rv s="0">
    <fb>45909</fb>
    <v>0</v>
  </rv>
  <rv s="0">
    <fb>159.46</fb>
    <v>1</v>
  </rv>
  <rv s="0">
    <fb>4984936</fb>
    <v>2</v>
  </rv>
  <rv s="0">
    <fb>45910</fb>
    <v>0</v>
  </rv>
  <rv s="0">
    <fb>157.35</fb>
    <v>1</v>
  </rv>
  <rv s="0">
    <fb>6205463</fb>
    <v>2</v>
  </rv>
  <rv s="0">
    <fb>45911</fb>
    <v>0</v>
  </rv>
  <rv s="0">
    <fb>5819875</fb>
    <v>2</v>
  </rv>
  <rv s="0">
    <fb>45912</fb>
    <v>0</v>
  </rv>
  <rv s="0">
    <fb>157.9</fb>
    <v>1</v>
  </rv>
  <rv s="0">
    <fb>5957021</fb>
    <v>2</v>
  </rv>
  <rv s="0">
    <fb>45915</fb>
    <v>0</v>
  </rv>
  <rv s="0">
    <fb>156.83000000000001</fb>
    <v>1</v>
  </rv>
  <rv s="0">
    <fb>5994966</fb>
    <v>2</v>
  </rv>
  <rv s="0">
    <fb>45916</fb>
    <v>0</v>
  </rv>
  <rv s="0">
    <fb>158.05000000000001</fb>
    <v>1</v>
  </rv>
  <rv s="0">
    <fb>6559608</fb>
    <v>2</v>
  </rv>
  <rv s="0">
    <fb>45917</fb>
    <v>0</v>
  </rv>
  <rv s="0">
    <fb>160.33000000000001</fb>
    <v>1</v>
  </rv>
  <rv s="0">
    <fb>6764169</fb>
    <v>2</v>
  </rv>
  <rv s="0">
    <fb>45918</fb>
    <v>0</v>
  </rv>
  <rv s="0">
    <fb>157.32</fb>
    <v>1</v>
  </rv>
  <rv s="0">
    <fb>7651487</fb>
    <v>2</v>
  </rv>
  <rv s="0">
    <fb>45919</fb>
    <v>0</v>
  </rv>
  <rv s="0">
    <fb>17224774</fb>
    <v>2</v>
  </rv>
  <rv s="0">
    <fb>45922</fb>
    <v>0</v>
  </rv>
  <rv s="0">
    <fb>153.07</fb>
    <v>1</v>
  </rv>
  <rv s="0">
    <fb>8712910</fb>
    <v>2</v>
  </rv>
  <rv s="0">
    <fb>45923</fb>
    <v>0</v>
  </rv>
  <rv s="0">
    <fb>152.5</fb>
    <v>1</v>
  </rv>
  <rv s="0">
    <fb>8853418</fb>
    <v>2</v>
  </rv>
  <rv s="0">
    <fb>45924</fb>
    <v>0</v>
  </rv>
  <rv s="0">
    <fb>152.41999999999999</fb>
    <v>1</v>
  </rv>
  <rv s="0">
    <fb>6483264</fb>
    <v>2</v>
  </rv>
  <rv s="0">
    <fb>45925</fb>
    <v>0</v>
  </rv>
  <rv s="0">
    <fb>152.15</fb>
    <v>1</v>
  </rv>
  <rv s="0">
    <fb>7511415</fb>
    <v>2</v>
  </rv>
  <rv s="0">
    <fb>45926</fb>
    <v>0</v>
  </rv>
  <rv s="0">
    <fb>5721092</fb>
    <v>2</v>
  </rv>
  <rv s="0">
    <fb>45929</fb>
    <v>0</v>
  </rv>
  <rv s="0">
    <fb>153.53</fb>
    <v>1</v>
  </rv>
  <rv s="0">
    <fb>8139711</fb>
    <v>2</v>
  </rv>
  <rv s="0">
    <fb>45930</fb>
    <v>0</v>
  </rv>
  <rv s="0">
    <fb>153.65</fb>
    <v>1</v>
  </rv>
  <rv s="0">
    <fb>7762609</fb>
    <v>2</v>
  </rv>
  <rv s="0">
    <fb>45931</fb>
    <v>0</v>
  </rv>
  <rv s="0">
    <fb>153.18</fb>
    <v>1</v>
  </rv>
  <rv s="0">
    <fb>7566014</fb>
    <v>2</v>
  </rv>
  <rv s="0">
    <fb>45932</fb>
    <v>0</v>
  </rv>
  <rv s="0">
    <fb>152.05000000000001</fb>
    <v>1</v>
  </rv>
  <rv s="0">
    <fb>6892089</fb>
    <v>2</v>
  </rv>
  <rv s="0">
    <fb>45933</fb>
    <v>0</v>
  </rv>
  <rv s="0">
    <fb>152.27000000000001</fb>
    <v>1</v>
  </rv>
  <rv s="0">
    <fb>5212584</fb>
    <v>2</v>
  </rv>
  <rv s="0">
    <fb>45936</fb>
    <v>0</v>
  </rv>
  <rv s="0">
    <fb>150.41</fb>
    <v>1</v>
  </rv>
  <rv s="0">
    <fb>6736960</fb>
    <v>2</v>
  </rv>
  <rv s="0">
    <fb>45937</fb>
    <v>0</v>
  </rv>
  <rv s="0">
    <fb>152.54</fb>
    <v>1</v>
  </rv>
  <rv s="0">
    <fb>6844361</fb>
    <v>2</v>
  </rv>
  <rv s="0">
    <fb>45938</fb>
    <v>0</v>
  </rv>
  <rv s="0">
    <fb>150.69</fb>
    <v>1</v>
  </rv>
  <rv s="0">
    <fb>5254728</fb>
    <v>2</v>
  </rv>
  <rv s="0">
    <fb>45939</fb>
    <v>0</v>
  </rv>
  <rv s="0">
    <fb>150.58000000000001</fb>
    <v>1</v>
  </rv>
  <rv s="0">
    <fb>6134461</fb>
    <v>2</v>
  </rv>
  <rv s="0">
    <fb>45940</fb>
    <v>0</v>
  </rv>
  <rv s="0">
    <fb>149.69</fb>
    <v>1</v>
  </rv>
  <rv s="0">
    <fb>7374046</fb>
    <v>2</v>
  </rv>
  <rv s="0">
    <fb>45943</fb>
    <v>0</v>
  </rv>
  <rv s="0">
    <fb>147.49</fb>
    <v>1</v>
  </rv>
  <rv s="0">
    <fb>7511103</fb>
    <v>2</v>
  </rv>
  <rv s="0">
    <fb>45944</fb>
    <v>0</v>
  </rv>
  <rv s="0">
    <fb>149.16</fb>
    <v>1</v>
  </rv>
  <rv s="0">
    <fb>8585346</fb>
    <v>2</v>
  </rv>
  <rv s="0">
    <fb>45945</fb>
    <v>0</v>
  </rv>
  <rv s="0">
    <fb>10003073</fb>
    <v>2</v>
  </rv>
  <rv s="0">
    <fb>45946</fb>
    <v>0</v>
  </rv>
  <rv s="0">
    <fb>149.6</fb>
    <v>1</v>
  </rv>
  <rv s="0">
    <fb>8809673</fb>
    <v>2</v>
  </rv>
  <rv s="0">
    <fb>45947</fb>
    <v>0</v>
  </rv>
  <rv s="0">
    <fb>151.4</fb>
    <v>1</v>
  </rv>
  <rv s="0">
    <fb>8612894</fb>
    <v>2</v>
  </rv>
  <rv s="0">
    <fb>45950</fb>
    <v>0</v>
  </rv>
  <rv s="0">
    <fb>151.96</fb>
    <v>1</v>
  </rv>
  <rv s="0">
    <fb>5601287</fb>
    <v>2</v>
  </rv>
  <rv s="0">
    <fb>45951</fb>
    <v>0</v>
  </rv>
  <rv s="0">
    <fb>151.62</fb>
    <v>1</v>
  </rv>
  <rv s="0">
    <fb>6013379</fb>
    <v>2</v>
  </rv>
  <rv s="0">
    <fb>45952</fb>
    <v>0</v>
  </rv>
  <rv s="0">
    <fb>152.19999999999999</fb>
    <v>1</v>
  </rv>
  <rv s="0">
    <fb>6394378</fb>
    <v>2</v>
  </rv>
  <rv s="0">
    <fb>45953</fb>
    <v>0</v>
  </rv>
  <rv s="0">
    <fb>152.21</fb>
    <v>1</v>
  </rv>
  <rv s="0">
    <fb>8205353</fb>
    <v>2</v>
  </rv>
  <rv s="0">
    <fb>45954</fb>
    <v>0</v>
  </rv>
  <rv s="0">
    <fb>152.49</fb>
    <v>1</v>
  </rv>
  <rv s="0">
    <fb>11968491</fb>
    <v>2</v>
  </rv>
  <rv s="0">
    <fb>45957</fb>
    <v>0</v>
  </rv>
  <rv s="0">
    <fb>151.74</fb>
    <v>1</v>
  </rv>
  <rv s="0">
    <fb>7775323</fb>
    <v>2</v>
  </rv>
  <rv s="0">
    <fb>45958</fb>
    <v>0</v>
  </rv>
  <rv s="0">
    <fb>151.37</fb>
    <v>1</v>
  </rv>
  <rv s="0">
    <fb>5819257</fb>
    <v>2</v>
  </rv>
  <rv s="0">
    <fb>45959</fb>
    <v>0</v>
  </rv>
  <rv s="0">
    <fb>148.77000000000001</fb>
    <v>1</v>
  </rv>
  <rv s="0">
    <fb>7405466</fb>
    <v>2</v>
  </rv>
  <rv s="0">
    <fb>45960</fb>
    <v>0</v>
  </rv>
  <rv s="0">
    <fb>149.58000000000001</fb>
    <v>1</v>
  </rv>
  <rv s="0">
    <fb>6760702</fb>
    <v>2</v>
  </rv>
  <rv s="0">
    <fb>45961</fb>
    <v>0</v>
  </rv>
  <rv s="0">
    <fb>150.37</fb>
    <v>1</v>
  </rv>
  <rv s="0">
    <fb>7930334</fb>
    <v>2</v>
  </rv>
  <rv s="0">
    <fb>45964</fb>
    <v>0</v>
  </rv>
  <rv s="0">
    <fb>148.02000000000001</fb>
    <v>1</v>
  </rv>
  <rv s="0">
    <fb>8946383</fb>
    <v>2</v>
  </rv>
  <rv s="0">
    <fb>45965</fb>
    <v>0</v>
  </rv>
  <rv s="0">
    <fb>147.16999999999999</fb>
    <v>1</v>
  </rv>
  <rv s="0">
    <fb>9295449</fb>
    <v>2</v>
  </rv>
  <rv s="0">
    <fb>45966</fb>
    <v>0</v>
  </rv>
  <rv s="0">
    <fb>145.79</fb>
    <v>1</v>
  </rv>
  <rv s="0">
    <fb>11199878</fb>
    <v>2</v>
  </rv>
  <rv s="0">
    <fb>45967</fb>
    <v>0</v>
  </rv>
  <rv s="0">
    <fb>146.13</fb>
    <v>1</v>
  </rv>
  <rv s="0">
    <fb>10024549</fb>
    <v>2</v>
  </rv>
  <rv s="0">
    <fb>45968</fb>
    <v>0</v>
  </rv>
  <rv s="0">
    <fb>146.97999999999999</fb>
    <v>1</v>
  </rv>
  <rv s="0">
    <fb>8500097</fb>
    <v>2</v>
  </rv>
  <rv s="0">
    <fb>45971</fb>
    <v>0</v>
  </rv>
  <rv s="0">
    <fb>145.5</fb>
    <v>1</v>
  </rv>
  <rv s="0">
    <fb>10208085</fb>
    <v>2</v>
  </rv>
  <rv s="0">
    <fb>45972</fb>
    <v>0</v>
  </rv>
  <rv s="0">
    <fb>148.54</fb>
    <v>1</v>
  </rv>
  <rv s="0">
    <fb>7332540</fb>
    <v>2</v>
  </rv>
  <rv s="0">
    <fb>45973</fb>
    <v>0</v>
  </rv>
  <rv s="0">
    <fb>148.01</fb>
    <v>1</v>
  </rv>
  <rv s="0">
    <fb>7851052</fb>
    <v>2</v>
  </rv>
  <rv s="0">
    <fb>45974</fb>
    <v>0</v>
  </rv>
  <rv s="0">
    <fb>147.96</fb>
    <v>1</v>
  </rv>
  <rv s="0">
    <fb>7566789</fb>
    <v>2</v>
  </rv>
  <rv s="0">
    <fb>45975</fb>
    <v>0</v>
  </rv>
  <rv s="0">
    <fb>147.66999999999999</fb>
    <v>1</v>
  </rv>
  <rv s="0">
    <fb>9151066</fb>
    <v>2</v>
  </rv>
  <rv s="0">
    <fb>45978</fb>
    <v>0</v>
  </rv>
  <rv s="0">
    <fb>145.82</fb>
    <v>1</v>
  </rv>
  <rv s="0">
    <fb>9902310</fb>
    <v>2</v>
  </rv>
  <rv s="0">
    <fb>45979</fb>
    <v>0</v>
  </rv>
  <rv s="0">
    <fb>146.99</fb>
    <v>1</v>
  </rv>
  <rv s="0">
    <fb>10735177</fb>
    <v>2</v>
  </rv>
  <rv s="0">
    <fb>45980</fb>
    <v>0</v>
  </rv>
  <rv s="0">
    <fb>6367038</fb>
    <v>2</v>
  </rv>
  <rv s="0">
    <fb>45981</fb>
    <v>0</v>
  </rv>
  <rv s="0">
    <fb>148.19</fb>
    <v>1</v>
  </rv>
  <rv s="0">
    <fb>9021325</fb>
    <v>2</v>
  </rv>
  <rv s="0">
    <fb>45982</fb>
    <v>0</v>
  </rv>
  <rv s="0">
    <fb>150.91999999999999</fb>
    <v>1</v>
  </rv>
  <rv s="0">
    <fb>12017986</fb>
    <v>2</v>
  </rv>
  <rv s="0">
    <fb>45985</fb>
    <v>0</v>
  </rv>
  <rv s="0">
    <fb>13846906</fb>
    <v>2</v>
  </rv>
  <rv s="0">
    <fb>45986</fb>
    <v>0</v>
  </rv>
  <rv s="0">
    <fb>148.49</fb>
    <v>1</v>
  </rv>
  <rv s="0">
    <fb>10477661</fb>
    <v>2</v>
  </rv>
  <rv s="0">
    <fb>45987</fb>
    <v>0</v>
  </rv>
  <rv s="0">
    <fb>148.25</fb>
    <v>1</v>
  </rv>
  <rv s="0">
    <fb>9238450</fb>
    <v>2</v>
  </rv>
  <rv s="0">
    <fb>45989</fb>
    <v>0</v>
  </rv>
  <rv s="0">
    <fb>148.16</fb>
    <v>1</v>
  </rv>
  <rv s="0">
    <fb>4707161</fb>
    <v>2</v>
  </rv>
  <rv s="0">
    <fb>45992</fb>
    <v>0</v>
  </rv>
  <rv s="0">
    <fb>147.44</fb>
    <v>1</v>
  </rv>
  <rv s="0">
    <fb>8240689</fb>
    <v>2</v>
  </rv>
  <rv s="0">
    <fb>45993</fb>
    <v>0</v>
  </rv>
  <rv s="0">
    <fb>145.86000000000001</fb>
    <v>1</v>
  </rv>
  <rv s="0">
    <fb>16376769</fb>
    <v>2</v>
  </rv>
  <rv s="0">
    <fb>45994</fb>
    <v>0</v>
  </rv>
  <rv s="0">
    <fb>146.71</fb>
    <v>1</v>
  </rv>
  <rv s="0">
    <fb>9125320</fb>
    <v>2</v>
  </rv>
  <rv s="0">
    <fb>45995</fb>
    <v>0</v>
  </rv>
  <rv s="0">
    <fb>145.36000000000001</fb>
    <v>1</v>
  </rv>
  <rv s="0">
    <fb>10479267</fb>
    <v>2</v>
  </rv>
  <rv s="0">
    <fb>45996</fb>
    <v>0</v>
  </rv>
  <rv s="0">
    <fb>143.44999999999999</fb>
    <v>1</v>
  </rv>
  <rv s="0">
    <fb>12791745</fb>
    <v>2</v>
  </rv>
  <rv s="0">
    <fb>45999</fb>
    <v>0</v>
  </rv>
  <rv s="0">
    <fb>138.34</fb>
    <v>1</v>
  </rv>
  <rv s="0">
    <fb>17507504</fb>
    <v>2</v>
  </rv>
  <rv s="0">
    <fb>46000</fb>
    <v>0</v>
  </rv>
  <rv s="0">
    <fb>139.63</fb>
    <v>1</v>
  </rv>
  <rv s="0">
    <fb>10375688</fb>
    <v>2</v>
  </rv>
  <rv s="0">
    <fb>46001</fb>
    <v>0</v>
  </rv>
  <rv s="0">
    <fb>139.82</fb>
    <v>1</v>
  </rv>
  <rv s="0">
    <fb>13650378</fb>
    <v>2</v>
  </rv>
  <rv s="0">
    <fb>46002</fb>
    <v>0</v>
  </rv>
  <rv s="0">
    <fb>140.76</fb>
    <v>1</v>
  </rv>
  <rv s="0">
    <fb>11797981</fb>
    <v>2</v>
  </rv>
  <rv s="0">
    <fb>46003</fb>
    <v>0</v>
  </rv>
  <rv s="0">
    <fb>142.84</fb>
    <v>1</v>
  </rv>
  <rv s="0">
    <fb>10268768</fb>
    <v>2</v>
  </rv>
  <rv s="0">
    <fb>46006</fb>
    <v>0</v>
  </rv>
  <rv s="0">
    <fb>145.13</fb>
    <v>1</v>
  </rv>
  <rv s="0">
    <fb>13877674</fb>
    <v>2</v>
  </rv>
  <rv s="0">
    <fb>46007</fb>
    <v>0</v>
  </rv>
  <rv s="0">
    <fb>145.21</fb>
    <v>1</v>
  </rv>
  <rv s="0">
    <fb>10251720</fb>
    <v>2</v>
  </rv>
  <rv s="0">
    <fb>46008</fb>
    <v>0</v>
  </rv>
  <rv s="0">
    <fb>147.81</fb>
    <v>1</v>
  </rv>
  <rv s="0">
    <fb>9833261</fb>
    <v>2</v>
  </rv>
  <rv s="0">
    <fb>46009</fb>
    <v>0</v>
  </rv>
  <rv s="0">
    <fb>145.52000000000001</fb>
    <v>1</v>
  </rv>
  <rv s="0">
    <fb>12239860</fb>
    <v>2</v>
  </rv>
  <rv s="0">
    <fb>46010</fb>
    <v>0</v>
  </rv>
  <rv s="0">
    <fb>144.46</fb>
    <v>1</v>
  </rv>
  <rv s="0">
    <fb>19345622</fb>
    <v>2</v>
  </rv>
  <rv s="0">
    <fb>46013</fb>
    <v>0</v>
  </rv>
  <rv s="0">
    <fb>142.69</fb>
    <v>1</v>
  </rv>
  <rv s="0">
    <fb>11731360</fb>
    <v>2</v>
  </rv>
  <rv s="0">
    <fb>46014</fb>
    <v>0</v>
  </rv>
  <rv s="0">
    <fb>143.18</fb>
    <v>1</v>
  </rv>
  <rv s="0">
    <fb>9541563</fb>
    <v>2</v>
  </rv>
  <rv s="0">
    <fb>46015</fb>
    <v>0</v>
  </rv>
  <rv s="0">
    <fb>144.49</fb>
    <v>1</v>
  </rv>
  <rv s="0">
    <fb>3259209</fb>
    <v>2</v>
  </rv>
  <rv s="0">
    <fb>46017</fb>
    <v>0</v>
  </rv>
  <rv s="0">
    <fb>144.74</fb>
    <v>1</v>
  </rv>
  <rv s="0">
    <fb>4711505</fb>
    <v>2</v>
  </rv>
  <rv s="0">
    <fb>46020</fb>
    <v>0</v>
  </rv>
  <rv s="0">
    <fb>144.57</fb>
    <v>1</v>
  </rv>
  <rv s="0">
    <fb>7662127</fb>
    <v>2</v>
  </rv>
  <rv s="0">
    <fb>46021</fb>
    <v>0</v>
  </rv>
  <rv s="0">
    <fb>144.05000000000001</fb>
    <v>1</v>
  </rv>
  <rv s="0">
    <fb>6006432</fb>
    <v>2</v>
  </rv>
  <rv s="0">
    <fb>46022</fb>
    <v>0</v>
  </rv>
  <rv s="0">
    <fb>143.31</fb>
    <v>1</v>
  </rv>
  <rv s="0">
    <fb>5293220</fb>
    <v>2</v>
  </rv>
  <rv s="0">
    <fb>46024</fb>
    <v>0</v>
  </rv>
  <rv s="0">
    <fb>141.79</fb>
    <v>1</v>
  </rv>
  <rv s="0">
    <fb>8946091</fb>
    <v>2</v>
  </rv>
  <rv s="0">
    <fb>46027</fb>
    <v>0</v>
  </rv>
  <rv s="0">
    <fb>140.37</fb>
    <v>1</v>
  </rv>
  <rv s="0">
    <fb>12297334</fb>
    <v>2</v>
  </rv>
  <rv s="0">
    <fb>46028</fb>
    <v>0</v>
  </rv>
  <rv s="0">
    <fb>139.91</fb>
    <v>1</v>
  </rv>
  <rv s="0">
    <fb>10421756</fb>
    <v>2</v>
  </rv>
  <rv s="0">
    <fb>46029</fb>
    <v>0</v>
  </rv>
  <rv s="0">
    <fb>138.04</fb>
    <v>1</v>
  </rv>
  <rv s="0">
    <fb>14369142</fb>
    <v>2</v>
  </rv>
  <rv s="0">
    <fb>46030</fb>
    <v>0</v>
  </rv>
  <rv s="0">
    <fb>141.53</fb>
    <v>1</v>
  </rv>
  <rv s="0">
    <fb>9297080</fb>
    <v>2</v>
  </rv>
  <rv s="0">
    <fb>46031</fb>
    <v>0</v>
  </rv>
  <rv s="0">
    <fb>141.87</fb>
    <v>1</v>
  </rv>
  <rv s="0">
    <fb>9528476</fb>
    <v>2</v>
  </rv>
  <rv s="0">
    <fb>46034</fb>
    <v>0</v>
  </rv>
  <rv s="0">
    <fb>143.46</fb>
    <v>1</v>
  </rv>
  <rv s="0">
    <fb>12812014</fb>
    <v>2</v>
  </rv>
  <rv s="0">
    <fb>46035</fb>
    <v>0</v>
  </rv>
  <rv s="0">
    <fb>144.24</fb>
    <v>1</v>
  </rv>
  <rv s="0">
    <fb>15549150</fb>
    <v>2</v>
  </rv>
  <rv s="0">
    <fb>46036</fb>
    <v>0</v>
  </rv>
  <rv s="0">
    <fb>146.35</fb>
    <v>1</v>
  </rv>
  <rv s="0">
    <fb>13474983</fb>
    <v>2</v>
  </rv>
  <rv s="0">
    <fb>46037</fb>
    <v>0</v>
  </rv>
  <rv s="0">
    <fb>144.63</fb>
    <v>1</v>
  </rv>
  <rv s="0">
    <fb>10102757</fb>
    <v>2</v>
  </rv>
  <rv s="0">
    <fb>46038</fb>
    <v>0</v>
  </rv>
  <rv s="0">
    <fb>144.53</fb>
    <v>1</v>
  </rv>
  <rv s="0">
    <fb>11729334</fb>
    <v>2</v>
  </rv>
  <rv s="0">
    <fb>46042</fb>
    <v>0</v>
  </rv>
  <rv s="0">
    <fb>147</fb>
    <v>1</v>
  </rv>
  <rv s="0">
    <fb>12901430</fb>
    <v>2</v>
  </rv>
  <rv s="0">
    <fb>46043</fb>
    <v>0</v>
  </rv>
  <rv s="0">
    <fb>146.06</fb>
    <v>1</v>
  </rv>
  <rv s="0">
    <fb>14126814</fb>
    <v>2</v>
  </rv>
  <rv s="0">
    <fb>46044</fb>
    <v>0</v>
  </rv>
  <rv s="0">
    <fb>149.93</fb>
    <v>1</v>
  </rv>
  <rv s="0">
    <fb>18501854</fb>
    <v>2</v>
  </rv>
  <rv s="0">
    <fb>46045</fb>
    <v>0</v>
  </rv>
  <rv s="0">
    <fb>150.15</fb>
    <v>1</v>
  </rv>
  <rv s="0">
    <fb>14562626</fb>
    <v>2</v>
  </rv>
  <rv s="0">
    <fb>46048</fb>
    <v>0</v>
  </rv>
  <rv s="0">
    <fb>149.49</fb>
    <v>1</v>
  </rv>
  <rv s="0">
    <fb>12655663</fb>
    <v>2</v>
  </rv>
  <rv s="0">
    <fb>46049</fb>
    <v>0</v>
  </rv>
  <rv s="0">
    <fb>148.34</fb>
    <v>1</v>
  </rv>
  <rv s="0">
    <fb>9546000</fb>
    <v>2</v>
  </rv>
  <rv s="0">
    <fb>46050</fb>
    <v>0</v>
  </rv>
  <rv s="0">
    <fb>147.34</fb>
    <v>1</v>
  </rv>
  <rv s="0">
    <fb>7465812</fb>
    <v>2</v>
  </rv>
  <rv s="0">
    <fb>46051</fb>
    <v>0</v>
  </rv>
  <rv s="0">
    <fb>149.9</fb>
    <v>1</v>
  </rv>
  <rv s="0">
    <fb>11035563</fb>
    <v>2</v>
  </rv>
  <rv s="0">
    <fb>46052</fb>
    <v>0</v>
  </rv>
  <rv s="0">
    <fb>151.77000000000001</fb>
    <v>1</v>
  </rv>
  <rv s="0">
    <fb>12651426</fb>
    <v>2</v>
  </rv>
  <rv s="1">
    <v>3</v>
    <v>PG</v>
    <v>Daily</v>
    <v>45292</v>
    <v>46052</v>
    <v>0</v>
    <v>1</v>
    <v>639053280000000000,639057605769003105,0</v>
    <v>0</v>
    <v>a1zsjc</v>
    <v>XNYS:PG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302886-09DD-46D7-ADC2-B262AE3D6DBD}" name="Forecast" displayName="Forecast" ref="A1:D120" tableType="queryTable" totalsRowShown="0">
  <autoFilter ref="A1:D120" xr:uid="{BF302886-09DD-46D7-ADC2-B262AE3D6DBD}"/>
  <tableColumns count="4">
    <tableColumn id="1" xr3:uid="{AD645EF0-8A62-4086-961A-B82AAD8A1F5C}" uniqueName="1" name="Week" queryTableFieldId="1" dataDxfId="1"/>
    <tableColumn id="2" xr3:uid="{C889058F-4BEE-4B7F-BB67-CF3122FB8809}" uniqueName="2" name="Average" queryTableFieldId="2"/>
    <tableColumn id="3" xr3:uid="{B2B93973-C146-4588-92C3-16927F97C675}" uniqueName="3" name="XL Forecast" queryTableFieldId="3"/>
    <tableColumn id="4" xr3:uid="{CE7F8022-3802-491E-81FA-0D04ACBD4784}" uniqueName="4" name="Calc Forecas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4047C4-E938-4A7E-82A4-2062CD41E742}" name="Table1" displayName="Table1" ref="A1:B523" totalsRowShown="0">
  <autoFilter ref="A1:B523" xr:uid="{054047C4-E938-4A7E-82A4-2062CD41E742}"/>
  <tableColumns count="2">
    <tableColumn id="1" xr3:uid="{BD6E49D5-B672-4F84-9748-DEB14D33BCEE}" name="Week" dataDxfId="0"/>
    <tableColumn id="2" xr3:uid="{C4E7FE94-46CB-4D8C-8A23-4EF261790759}" name="Cl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B0CA-D215-4909-9549-33E0F6F82D2C}">
  <dimension ref="A1:B9"/>
  <sheetViews>
    <sheetView workbookViewId="0">
      <selection activeCell="A3" sqref="A3:B3"/>
    </sheetView>
  </sheetViews>
  <sheetFormatPr defaultRowHeight="15" x14ac:dyDescent="0.25"/>
  <cols>
    <col min="1" max="1" width="15" bestFit="1" customWidth="1"/>
    <col min="2" max="2" width="14.57031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2" t="s">
        <v>26</v>
      </c>
      <c r="B2" s="12" t="s">
        <v>27</v>
      </c>
    </row>
    <row r="3" spans="1:2" x14ac:dyDescent="0.25">
      <c r="A3" s="13" t="s">
        <v>1</v>
      </c>
      <c r="B3" s="13" t="s">
        <v>28</v>
      </c>
    </row>
    <row r="4" spans="1:2" x14ac:dyDescent="0.25">
      <c r="A4" s="14" t="s">
        <v>29</v>
      </c>
      <c r="B4" s="14" t="s">
        <v>30</v>
      </c>
    </row>
    <row r="5" spans="1:2" x14ac:dyDescent="0.25">
      <c r="A5" s="15" t="s">
        <v>15</v>
      </c>
      <c r="B5" s="15" t="s">
        <v>31</v>
      </c>
    </row>
    <row r="6" spans="1:2" x14ac:dyDescent="0.25">
      <c r="A6" s="9" t="s">
        <v>20</v>
      </c>
      <c r="B6" s="9" t="s">
        <v>32</v>
      </c>
    </row>
    <row r="7" spans="1:2" x14ac:dyDescent="0.25">
      <c r="A7" s="16" t="s">
        <v>23</v>
      </c>
      <c r="B7" s="16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E523"/>
  <sheetViews>
    <sheetView zoomScale="70" zoomScaleNormal="70" workbookViewId="0">
      <selection activeCell="C1" activeCellId="1" sqref="A1:A1048576 C1:C1048576"/>
    </sheetView>
  </sheetViews>
  <sheetFormatPr defaultRowHeight="15" x14ac:dyDescent="0.25"/>
  <cols>
    <col min="1" max="1" width="13.140625" style="20" customWidth="1"/>
    <col min="2" max="2" width="12" bestFit="1" customWidth="1"/>
    <col min="3" max="3" width="10.5703125" bestFit="1" customWidth="1"/>
    <col min="4" max="4" width="12.42578125" bestFit="1" customWidth="1"/>
    <col min="5" max="5" width="14.85546875" bestFit="1" customWidth="1"/>
    <col min="8" max="8" width="14.85546875" bestFit="1" customWidth="1"/>
    <col min="9" max="9" width="13.5703125" bestFit="1" customWidth="1"/>
    <col min="10" max="10" width="11.7109375" bestFit="1" customWidth="1"/>
    <col min="14" max="14" width="10.5703125" bestFit="1" customWidth="1"/>
    <col min="15" max="15" width="10" bestFit="1" customWidth="1"/>
    <col min="17" max="18" width="11.42578125" bestFit="1" customWidth="1"/>
    <col min="23" max="23" width="9.7109375" bestFit="1" customWidth="1"/>
    <col min="24" max="24" width="10.140625" bestFit="1" customWidth="1"/>
    <col min="25" max="25" width="8.5703125" bestFit="1" customWidth="1"/>
    <col min="26" max="26" width="8.85546875" bestFit="1" customWidth="1"/>
    <col min="27" max="27" width="13" bestFit="1" customWidth="1"/>
    <col min="28" max="28" width="12.85546875" bestFit="1" customWidth="1"/>
    <col min="31" max="31" width="16.85546875" style="18" bestFit="1" customWidth="1"/>
  </cols>
  <sheetData>
    <row r="1" spans="1:31" s="8" customFormat="1" x14ac:dyDescent="0.25">
      <c r="A1" s="19" t="s">
        <v>45</v>
      </c>
      <c r="B1" s="4" t="str" cm="1">
        <f t="array" aca="1" ref="B1:D523" ca="1">_xlfn.STOCKHISTORY("PG","2024-01-01","2026-01-30",0,1,0,1,5)</f>
        <v>Date</v>
      </c>
      <c r="C1" s="4" t="str">
        <f ca="1"/>
        <v>Close</v>
      </c>
      <c r="D1" s="4" t="str">
        <f ca="1"/>
        <v>Volume</v>
      </c>
      <c r="E1" s="5" t="s">
        <v>0</v>
      </c>
      <c r="F1" s="5" t="s">
        <v>1</v>
      </c>
      <c r="G1" s="6" t="s">
        <v>2</v>
      </c>
      <c r="H1" s="6" t="s">
        <v>3</v>
      </c>
      <c r="I1" s="6" t="s">
        <v>4</v>
      </c>
      <c r="J1" s="7" t="s">
        <v>7</v>
      </c>
      <c r="K1" s="7" t="s">
        <v>8</v>
      </c>
      <c r="L1" s="7" t="s">
        <v>6</v>
      </c>
      <c r="M1" s="7" t="s">
        <v>5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1" t="s">
        <v>16</v>
      </c>
      <c r="V1" s="3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1" t="s">
        <v>23</v>
      </c>
      <c r="AC1" s="7" t="s">
        <v>38</v>
      </c>
      <c r="AD1" s="7" t="s">
        <v>43</v>
      </c>
      <c r="AE1" s="17" t="s">
        <v>44</v>
      </c>
    </row>
    <row r="2" spans="1:31" x14ac:dyDescent="0.25">
      <c r="A2" s="20">
        <f ca="1">B2 - WEEKDAY(B2, 2) + 1</f>
        <v>45292</v>
      </c>
      <c r="B2" vm="1">
        <f ca="1"/>
        <v>45293</v>
      </c>
      <c r="C2" vm="2">
        <f ca="1"/>
        <v>148.74</v>
      </c>
      <c r="D2" vm="3">
        <f ca="1"/>
        <v>7238388</v>
      </c>
      <c r="E2">
        <f ca="1">C2*D2</f>
        <v>1076637831.1200001</v>
      </c>
      <c r="F2">
        <f ca="1">SUM($E$2:E2)/SUM($D$2:D2)</f>
        <v>148.74</v>
      </c>
      <c r="G2">
        <f ca="1">_xlfn.STDEV.P($C$2:C2)</f>
        <v>0</v>
      </c>
      <c r="H2">
        <f ca="1">F2 + G2</f>
        <v>148.74</v>
      </c>
      <c r="I2">
        <f ca="1">F2 - G2</f>
        <v>148.74</v>
      </c>
      <c r="AC2" t="s">
        <v>39</v>
      </c>
      <c r="AD2">
        <f ca="1">MIN(C:C)</f>
        <v>138.04</v>
      </c>
      <c r="AE2" s="18">
        <f ca="1">MIN(D:D)</f>
        <v>2460756</v>
      </c>
    </row>
    <row r="3" spans="1:31" x14ac:dyDescent="0.25">
      <c r="A3" s="20">
        <f t="shared" ref="A3:A66" ca="1" si="0">B3 - WEEKDAY(B3, 2) + 1</f>
        <v>45292</v>
      </c>
      <c r="B3" vm="4">
        <f ca="1"/>
        <v>45294</v>
      </c>
      <c r="C3" vm="5">
        <f ca="1"/>
        <v>147.84</v>
      </c>
      <c r="D3" vm="6">
        <f ca="1"/>
        <v>7697534</v>
      </c>
      <c r="E3">
        <f t="shared" ref="E3:E66" ca="1" si="1">C3*D3</f>
        <v>1138003426.5599999</v>
      </c>
      <c r="F3">
        <f ca="1">SUM($E$2:E3)/SUM($D$2:D3)</f>
        <v>148.27616652524031</v>
      </c>
      <c r="G3">
        <f ca="1">_xlfn.STDEV.P($C$2:C3)</f>
        <v>0.45000000000000284</v>
      </c>
      <c r="H3">
        <f t="shared" ref="H3:H66" ca="1" si="2">F3 + G3</f>
        <v>148.72616652524033</v>
      </c>
      <c r="I3">
        <f t="shared" ref="I3:I66" ca="1" si="3">F3 - G3</f>
        <v>147.8261665252403</v>
      </c>
      <c r="N3">
        <f ca="1">C3-C2</f>
        <v>-0.90000000000000568</v>
      </c>
      <c r="O3">
        <f ca="1">MAX(N3,0)</f>
        <v>0</v>
      </c>
      <c r="P3">
        <f ca="1">MAX(-N3,0)</f>
        <v>0.90000000000000568</v>
      </c>
      <c r="AC3" t="s">
        <v>40</v>
      </c>
      <c r="AD3">
        <f ca="1">MAX(C:C)</f>
        <v>179.7</v>
      </c>
      <c r="AE3" s="18">
        <f ca="1">MAX(D:D)</f>
        <v>28647462</v>
      </c>
    </row>
    <row r="4" spans="1:31" x14ac:dyDescent="0.25">
      <c r="A4" s="20">
        <f t="shared" ca="1" si="0"/>
        <v>45292</v>
      </c>
      <c r="B4" vm="7">
        <f ca="1"/>
        <v>45295</v>
      </c>
      <c r="C4" vm="8">
        <f ca="1"/>
        <v>148.65</v>
      </c>
      <c r="D4" vm="9">
        <f ca="1"/>
        <v>7067618</v>
      </c>
      <c r="E4">
        <f t="shared" ca="1" si="1"/>
        <v>1050601415.7</v>
      </c>
      <c r="F4">
        <f ca="1">SUM($E$2:E4)/SUM($D$2:D4)</f>
        <v>148.39624321268306</v>
      </c>
      <c r="G4">
        <f ca="1">_xlfn.STDEV.P($C$2:C4)</f>
        <v>0.40472212689696324</v>
      </c>
      <c r="H4">
        <f t="shared" ca="1" si="2"/>
        <v>148.80096533958002</v>
      </c>
      <c r="I4">
        <f t="shared" ca="1" si="3"/>
        <v>147.9915210857861</v>
      </c>
      <c r="N4">
        <f t="shared" ref="N4:N67" ca="1" si="4">C4-C3</f>
        <v>0.81000000000000227</v>
      </c>
      <c r="O4">
        <f t="shared" ref="O4:O67" ca="1" si="5">MAX(N4,0)</f>
        <v>0.81000000000000227</v>
      </c>
      <c r="P4">
        <f t="shared" ref="P4:P67" ca="1" si="6">MAX(-N4,0)</f>
        <v>0</v>
      </c>
      <c r="AC4" t="s">
        <v>41</v>
      </c>
      <c r="AD4">
        <f ca="1">MEDIAN(C:C)</f>
        <v>161.85500000000002</v>
      </c>
      <c r="AE4" s="18">
        <f ca="1">MEDIAN(D:D)</f>
        <v>6892212</v>
      </c>
    </row>
    <row r="5" spans="1:31" x14ac:dyDescent="0.25">
      <c r="A5" s="20">
        <f t="shared" ca="1" si="0"/>
        <v>45292</v>
      </c>
      <c r="B5" vm="10">
        <f ca="1"/>
        <v>45296</v>
      </c>
      <c r="C5" vm="11">
        <f ca="1"/>
        <v>147.41999999999999</v>
      </c>
      <c r="D5" vm="12">
        <f ca="1"/>
        <v>5294358</v>
      </c>
      <c r="E5">
        <f t="shared" ca="1" si="1"/>
        <v>780494256.3599999</v>
      </c>
      <c r="F5">
        <f ca="1">SUM($E$2:E5)/SUM($D$2:D5)</f>
        <v>148.20690332054139</v>
      </c>
      <c r="G5">
        <f ca="1">_xlfn.STDEV.P($C$2:C5)</f>
        <v>0.55373165883847397</v>
      </c>
      <c r="H5">
        <f t="shared" ca="1" si="2"/>
        <v>148.76063497937986</v>
      </c>
      <c r="I5">
        <f t="shared" ca="1" si="3"/>
        <v>147.65317166170291</v>
      </c>
      <c r="N5">
        <f t="shared" ca="1" si="4"/>
        <v>-1.2300000000000182</v>
      </c>
      <c r="O5">
        <f t="shared" ca="1" si="5"/>
        <v>0</v>
      </c>
      <c r="P5">
        <f t="shared" ca="1" si="6"/>
        <v>1.2300000000000182</v>
      </c>
      <c r="AC5" t="s">
        <v>42</v>
      </c>
      <c r="AD5">
        <f ca="1">AVERAGE(C:C)</f>
        <v>161.1865134099618</v>
      </c>
      <c r="AE5" s="18">
        <f ca="1">AVERAGE(D:D)</f>
        <v>7649908.0172413792</v>
      </c>
    </row>
    <row r="6" spans="1:31" x14ac:dyDescent="0.25">
      <c r="A6" s="20">
        <f t="shared" ca="1" si="0"/>
        <v>45299</v>
      </c>
      <c r="B6" vm="13">
        <f ca="1"/>
        <v>45299</v>
      </c>
      <c r="C6" vm="14">
        <f ca="1"/>
        <v>148.69</v>
      </c>
      <c r="D6" vm="15">
        <f ca="1"/>
        <v>8255307</v>
      </c>
      <c r="E6">
        <f t="shared" ca="1" si="1"/>
        <v>1227481597.8299999</v>
      </c>
      <c r="F6">
        <f ca="1">SUM($E$2:E6)/SUM($D$2:D6)</f>
        <v>148.31907636934559</v>
      </c>
      <c r="G6">
        <f ca="1">_xlfn.STDEV.P($C$2:C6)</f>
        <v>0.53834561389501989</v>
      </c>
      <c r="H6">
        <f t="shared" ca="1" si="2"/>
        <v>148.85742198324061</v>
      </c>
      <c r="I6">
        <f t="shared" ca="1" si="3"/>
        <v>147.78073075545058</v>
      </c>
      <c r="N6">
        <f t="shared" ca="1" si="4"/>
        <v>1.2700000000000102</v>
      </c>
      <c r="O6">
        <f t="shared" ca="1" si="5"/>
        <v>1.2700000000000102</v>
      </c>
      <c r="P6">
        <f t="shared" ca="1" si="6"/>
        <v>0</v>
      </c>
    </row>
    <row r="7" spans="1:31" x14ac:dyDescent="0.25">
      <c r="A7" s="20">
        <f t="shared" ca="1" si="0"/>
        <v>45299</v>
      </c>
      <c r="B7" vm="16">
        <f ca="1"/>
        <v>45300</v>
      </c>
      <c r="C7" vm="17">
        <f ca="1"/>
        <v>149.30000000000001</v>
      </c>
      <c r="D7" vm="18">
        <f ca="1"/>
        <v>9786934</v>
      </c>
      <c r="E7">
        <f t="shared" ca="1" si="1"/>
        <v>1461189246.2</v>
      </c>
      <c r="F7">
        <f ca="1">SUM($E$2:E7)/SUM($D$2:D7)</f>
        <v>148.53081446816913</v>
      </c>
      <c r="G7">
        <f ca="1">_xlfn.STDEV.P($C$2:C7)</f>
        <v>0.62404593847996581</v>
      </c>
      <c r="H7">
        <f t="shared" ca="1" si="2"/>
        <v>149.15486040664908</v>
      </c>
      <c r="I7">
        <f t="shared" ca="1" si="3"/>
        <v>147.90676852968917</v>
      </c>
      <c r="N7">
        <f t="shared" ca="1" si="4"/>
        <v>0.61000000000001364</v>
      </c>
      <c r="O7">
        <f t="shared" ca="1" si="5"/>
        <v>0.61000000000001364</v>
      </c>
      <c r="P7">
        <f t="shared" ca="1" si="6"/>
        <v>0</v>
      </c>
    </row>
    <row r="8" spans="1:31" x14ac:dyDescent="0.25">
      <c r="A8" s="20">
        <f t="shared" ca="1" si="0"/>
        <v>45299</v>
      </c>
      <c r="B8" vm="19">
        <f ca="1"/>
        <v>45301</v>
      </c>
      <c r="C8" vm="20">
        <f ca="1"/>
        <v>149.94</v>
      </c>
      <c r="D8" vm="21">
        <f ca="1"/>
        <v>8591116</v>
      </c>
      <c r="E8">
        <f t="shared" ca="1" si="1"/>
        <v>1288151933.04</v>
      </c>
      <c r="F8">
        <f ca="1">SUM($E$2:E8)/SUM($D$2:D8)</f>
        <v>148.75529425024504</v>
      </c>
      <c r="G8">
        <f ca="1">_xlfn.STDEV.P($C$2:C8)</f>
        <v>0.78058324609335406</v>
      </c>
      <c r="H8">
        <f t="shared" ca="1" si="2"/>
        <v>149.5358774963384</v>
      </c>
      <c r="I8">
        <f t="shared" ca="1" si="3"/>
        <v>147.97471100415169</v>
      </c>
      <c r="N8">
        <f t="shared" ca="1" si="4"/>
        <v>0.63999999999998636</v>
      </c>
      <c r="O8">
        <f t="shared" ca="1" si="5"/>
        <v>0.63999999999998636</v>
      </c>
      <c r="P8">
        <f t="shared" ca="1" si="6"/>
        <v>0</v>
      </c>
    </row>
    <row r="9" spans="1:31" x14ac:dyDescent="0.25">
      <c r="A9" s="20">
        <f t="shared" ca="1" si="0"/>
        <v>45299</v>
      </c>
      <c r="B9" vm="22">
        <f ca="1"/>
        <v>45302</v>
      </c>
      <c r="C9" vm="23">
        <f ca="1"/>
        <v>150.51</v>
      </c>
      <c r="D9" vm="24">
        <f ca="1"/>
        <v>6659447</v>
      </c>
      <c r="E9">
        <f t="shared" ca="1" si="1"/>
        <v>1002313367.9699999</v>
      </c>
      <c r="F9">
        <f ca="1">SUM($E$2:E9)/SUM($D$2:D9)</f>
        <v>148.94815172763634</v>
      </c>
      <c r="G9">
        <f ca="1">_xlfn.STDEV.P($C$2:C9)</f>
        <v>0.95383354810994148</v>
      </c>
      <c r="H9">
        <f t="shared" ca="1" si="2"/>
        <v>149.90198527574628</v>
      </c>
      <c r="I9">
        <f t="shared" ca="1" si="3"/>
        <v>147.9943181795264</v>
      </c>
      <c r="N9">
        <f t="shared" ca="1" si="4"/>
        <v>0.56999999999999318</v>
      </c>
      <c r="O9">
        <f t="shared" ca="1" si="5"/>
        <v>0.56999999999999318</v>
      </c>
      <c r="P9">
        <f t="shared" ca="1" si="6"/>
        <v>0</v>
      </c>
    </row>
    <row r="10" spans="1:31" x14ac:dyDescent="0.25">
      <c r="A10" s="20">
        <f t="shared" ca="1" si="0"/>
        <v>45299</v>
      </c>
      <c r="B10" vm="25">
        <f ca="1"/>
        <v>45303</v>
      </c>
      <c r="C10" vm="26">
        <f ca="1"/>
        <v>150.6</v>
      </c>
      <c r="D10" vm="27">
        <f ca="1"/>
        <v>5684834</v>
      </c>
      <c r="E10">
        <f t="shared" ca="1" si="1"/>
        <v>856136000.39999998</v>
      </c>
      <c r="F10">
        <f ca="1">SUM($E$2:E10)/SUM($D$2:D10)</f>
        <v>149.08984025689355</v>
      </c>
      <c r="G10">
        <f ca="1">_xlfn.STDEV.P($C$2:C10)</f>
        <v>1.0482260146446356</v>
      </c>
      <c r="H10">
        <f t="shared" ca="1" si="2"/>
        <v>150.13806627153818</v>
      </c>
      <c r="I10">
        <f t="shared" ca="1" si="3"/>
        <v>148.04161424224893</v>
      </c>
      <c r="N10">
        <f t="shared" ca="1" si="4"/>
        <v>9.0000000000003411E-2</v>
      </c>
      <c r="O10">
        <f t="shared" ca="1" si="5"/>
        <v>9.0000000000003411E-2</v>
      </c>
      <c r="P10">
        <f t="shared" ca="1" si="6"/>
        <v>0</v>
      </c>
    </row>
    <row r="11" spans="1:31" x14ac:dyDescent="0.25">
      <c r="A11" s="20">
        <f t="shared" ca="1" si="0"/>
        <v>45306</v>
      </c>
      <c r="B11" vm="28">
        <f ca="1"/>
        <v>45307</v>
      </c>
      <c r="C11" vm="29">
        <f ca="1"/>
        <v>149.79</v>
      </c>
      <c r="D11" vm="30">
        <f ca="1"/>
        <v>8120101</v>
      </c>
      <c r="E11">
        <f t="shared" ca="1" si="1"/>
        <v>1216309928.79</v>
      </c>
      <c r="F11">
        <f ca="1">SUM($E$2:E11)/SUM($D$2:D11)</f>
        <v>149.16626097266965</v>
      </c>
      <c r="G11">
        <f ca="1">_xlfn.STDEV.P($C$2:C11)</f>
        <v>1.0172000786472626</v>
      </c>
      <c r="H11">
        <f t="shared" ca="1" si="2"/>
        <v>150.1834610513169</v>
      </c>
      <c r="I11">
        <f t="shared" ca="1" si="3"/>
        <v>148.1490608940224</v>
      </c>
      <c r="N11">
        <f t="shared" ca="1" si="4"/>
        <v>-0.81000000000000227</v>
      </c>
      <c r="O11">
        <f t="shared" ca="1" si="5"/>
        <v>0</v>
      </c>
      <c r="P11">
        <f t="shared" ca="1" si="6"/>
        <v>0.81000000000000227</v>
      </c>
    </row>
    <row r="12" spans="1:31" x14ac:dyDescent="0.25">
      <c r="A12" s="20">
        <f t="shared" ca="1" si="0"/>
        <v>45306</v>
      </c>
      <c r="B12" vm="31">
        <f ca="1"/>
        <v>45308</v>
      </c>
      <c r="C12" vm="20">
        <f ca="1"/>
        <v>149.94</v>
      </c>
      <c r="D12" vm="32">
        <f ca="1"/>
        <v>6541439</v>
      </c>
      <c r="E12">
        <f t="shared" ca="1" si="1"/>
        <v>980823363.65999997</v>
      </c>
      <c r="F12">
        <f ca="1">SUM($E$2:E12)/SUM($D$2:D12)</f>
        <v>149.22879556002243</v>
      </c>
      <c r="G12">
        <f ca="1">_xlfn.STDEV.P($C$2:C12)</f>
        <v>0.99622925437507837</v>
      </c>
      <c r="H12">
        <f t="shared" ca="1" si="2"/>
        <v>150.2250248143975</v>
      </c>
      <c r="I12">
        <f t="shared" ca="1" si="3"/>
        <v>148.23256630564737</v>
      </c>
      <c r="N12">
        <f t="shared" ca="1" si="4"/>
        <v>0.15000000000000568</v>
      </c>
      <c r="O12">
        <f t="shared" ca="1" si="5"/>
        <v>0.15000000000000568</v>
      </c>
      <c r="P12">
        <f t="shared" ca="1" si="6"/>
        <v>0</v>
      </c>
    </row>
    <row r="13" spans="1:31" x14ac:dyDescent="0.25">
      <c r="A13" s="20">
        <f t="shared" ca="1" si="0"/>
        <v>45306</v>
      </c>
      <c r="B13" vm="33">
        <f ca="1"/>
        <v>45309</v>
      </c>
      <c r="C13" vm="34">
        <f ca="1"/>
        <v>148.13999999999999</v>
      </c>
      <c r="D13" vm="35">
        <f ca="1"/>
        <v>6526221</v>
      </c>
      <c r="E13">
        <f t="shared" ca="1" si="1"/>
        <v>966794378.93999994</v>
      </c>
      <c r="F13">
        <f ca="1">SUM($E$2:E13)/SUM($D$2:D13)</f>
        <v>149.14755324819276</v>
      </c>
      <c r="G13">
        <f ca="1">_xlfn.STDEV.P($C$2:C13)</f>
        <v>0.9994331726867316</v>
      </c>
      <c r="H13">
        <f t="shared" ca="1" si="2"/>
        <v>150.1469864208795</v>
      </c>
      <c r="I13">
        <f t="shared" ca="1" si="3"/>
        <v>148.14812007550603</v>
      </c>
      <c r="N13">
        <f t="shared" ca="1" si="4"/>
        <v>-1.8000000000000114</v>
      </c>
      <c r="O13">
        <f t="shared" ca="1" si="5"/>
        <v>0</v>
      </c>
      <c r="P13">
        <f t="shared" ca="1" si="6"/>
        <v>1.8000000000000114</v>
      </c>
      <c r="W13" s="9">
        <f ca="1">AVERAGE(C2:C13)</f>
        <v>149.13</v>
      </c>
    </row>
    <row r="14" spans="1:31" x14ac:dyDescent="0.25">
      <c r="A14" s="20">
        <f t="shared" ca="1" si="0"/>
        <v>45306</v>
      </c>
      <c r="B14" vm="36">
        <f ca="1"/>
        <v>45310</v>
      </c>
      <c r="C14" vm="37">
        <f ca="1"/>
        <v>147.57</v>
      </c>
      <c r="D14" vm="38">
        <f ca="1"/>
        <v>7848138</v>
      </c>
      <c r="E14">
        <f t="shared" ca="1" si="1"/>
        <v>1158149724.6599998</v>
      </c>
      <c r="F14">
        <f ca="1">SUM($E$2:E14)/SUM($D$2:D14)</f>
        <v>149.01765429541584</v>
      </c>
      <c r="G14">
        <f ca="1">_xlfn.STDEV.P($C$2:C14)</f>
        <v>1.0463416121089564</v>
      </c>
      <c r="H14">
        <f t="shared" ca="1" si="2"/>
        <v>150.0639959075248</v>
      </c>
      <c r="I14">
        <f t="shared" ca="1" si="3"/>
        <v>147.97131268330688</v>
      </c>
      <c r="N14">
        <f t="shared" ca="1" si="4"/>
        <v>-0.56999999999999318</v>
      </c>
      <c r="O14">
        <f t="shared" ca="1" si="5"/>
        <v>0</v>
      </c>
      <c r="P14">
        <f t="shared" ca="1" si="6"/>
        <v>0.56999999999999318</v>
      </c>
      <c r="W14">
        <f ca="1">C14*(2/(12+1)) + W13*(1-(2/(12+1)))</f>
        <v>148.88999999999999</v>
      </c>
    </row>
    <row r="15" spans="1:31" x14ac:dyDescent="0.25">
      <c r="A15" s="20">
        <f t="shared" ca="1" si="0"/>
        <v>45313</v>
      </c>
      <c r="B15" vm="39">
        <f ca="1"/>
        <v>45313</v>
      </c>
      <c r="C15" vm="40">
        <f ca="1"/>
        <v>147.86000000000001</v>
      </c>
      <c r="D15" vm="41">
        <f ca="1"/>
        <v>11084134</v>
      </c>
      <c r="E15">
        <f t="shared" ca="1" si="1"/>
        <v>1638900053.2400002</v>
      </c>
      <c r="F15">
        <f ca="1">SUM($E$2:E15)/SUM($D$2:D15)</f>
        <v>148.89705157242025</v>
      </c>
      <c r="G15">
        <f ca="1">_xlfn.STDEV.P($C$2:C15)</f>
        <v>1.0508783983712213</v>
      </c>
      <c r="H15">
        <f t="shared" ca="1" si="2"/>
        <v>149.94792997079148</v>
      </c>
      <c r="I15">
        <f t="shared" ca="1" si="3"/>
        <v>147.84617317404903</v>
      </c>
      <c r="N15">
        <f t="shared" ca="1" si="4"/>
        <v>0.29000000000002046</v>
      </c>
      <c r="O15">
        <f t="shared" ca="1" si="5"/>
        <v>0.29000000000002046</v>
      </c>
      <c r="P15">
        <f t="shared" ca="1" si="6"/>
        <v>0</v>
      </c>
      <c r="Q15" s="2">
        <f ca="1">AVERAGE(O3:O16)</f>
        <v>0.75357142857142934</v>
      </c>
      <c r="R15" s="2">
        <f ca="1">AVERAGE(P3:P16)</f>
        <v>0.3792857142857165</v>
      </c>
      <c r="S15">
        <f ca="1">IF(R15=0,NA(),Q15/R15)</f>
        <v>1.986817325800367</v>
      </c>
      <c r="T15">
        <f ca="1">100-(100/(1+S15))</f>
        <v>66.519546027742649</v>
      </c>
      <c r="U15">
        <f>70</f>
        <v>70</v>
      </c>
      <c r="V15">
        <f>30</f>
        <v>30</v>
      </c>
      <c r="W15">
        <f t="shared" ref="W15:W78" ca="1" si="7">C15*(2/(12+1)) + W14*(1-(2/(12+1)))</f>
        <v>148.73153846153846</v>
      </c>
    </row>
    <row r="16" spans="1:31" x14ac:dyDescent="0.25">
      <c r="A16" s="20">
        <f t="shared" ca="1" si="0"/>
        <v>45313</v>
      </c>
      <c r="B16" vm="42">
        <f ca="1"/>
        <v>45314</v>
      </c>
      <c r="C16" vm="43">
        <f ca="1"/>
        <v>153.97999999999999</v>
      </c>
      <c r="D16" vm="44">
        <f ca="1"/>
        <v>19101558</v>
      </c>
      <c r="E16">
        <f t="shared" ca="1" si="1"/>
        <v>2941257900.8399997</v>
      </c>
      <c r="F16">
        <f ca="1">SUM($E$2:E16)/SUM($D$2:D16)</f>
        <v>149.67071258380278</v>
      </c>
      <c r="G16">
        <f ca="1">_xlfn.STDEV.P($C$2:C16)</f>
        <v>1.6182989697690435</v>
      </c>
      <c r="H16">
        <f t="shared" ca="1" si="2"/>
        <v>151.28901155357184</v>
      </c>
      <c r="I16">
        <f t="shared" ca="1" si="3"/>
        <v>148.05241361403372</v>
      </c>
      <c r="N16">
        <f t="shared" ca="1" si="4"/>
        <v>6.1199999999999761</v>
      </c>
      <c r="O16">
        <f t="shared" ca="1" si="5"/>
        <v>6.1199999999999761</v>
      </c>
      <c r="P16">
        <f t="shared" ca="1" si="6"/>
        <v>0</v>
      </c>
      <c r="Q16">
        <f ca="1">(Q15*13+O16)/14</f>
        <v>1.1368877551020398</v>
      </c>
      <c r="R16">
        <f ca="1">(R15*13+P16)/14</f>
        <v>0.35219387755102244</v>
      </c>
      <c r="S16">
        <f t="shared" ref="S16:S79" ca="1" si="8">IF(R16=0,NA(),Q16/R16)</f>
        <v>3.2280168042879693</v>
      </c>
      <c r="T16">
        <f t="shared" ref="T16:T79" ca="1" si="9">100-(100/(1+S16))</f>
        <v>76.348249160556321</v>
      </c>
      <c r="U16">
        <f>70</f>
        <v>70</v>
      </c>
      <c r="V16">
        <f>30</f>
        <v>30</v>
      </c>
      <c r="W16">
        <f t="shared" ca="1" si="7"/>
        <v>149.53899408284025</v>
      </c>
    </row>
    <row r="17" spans="1:25" x14ac:dyDescent="0.25">
      <c r="A17" s="20">
        <f t="shared" ca="1" si="0"/>
        <v>45313</v>
      </c>
      <c r="B17" vm="45">
        <f ca="1"/>
        <v>45315</v>
      </c>
      <c r="C17" vm="46">
        <f ca="1"/>
        <v>152.12</v>
      </c>
      <c r="D17" vm="47">
        <f ca="1"/>
        <v>11592672</v>
      </c>
      <c r="E17">
        <f t="shared" ca="1" si="1"/>
        <v>1763477264.6400001</v>
      </c>
      <c r="F17">
        <f ca="1">SUM($E$2:E17)/SUM($D$2:D17)</f>
        <v>149.87783073450998</v>
      </c>
      <c r="G17">
        <f ca="1">_xlfn.STDEV.P($C$2:C17)</f>
        <v>1.7125774389425417</v>
      </c>
      <c r="H17">
        <f t="shared" ca="1" si="2"/>
        <v>151.59040817345252</v>
      </c>
      <c r="I17">
        <f t="shared" ca="1" si="3"/>
        <v>148.16525329556745</v>
      </c>
      <c r="N17">
        <f t="shared" ca="1" si="4"/>
        <v>-1.8599999999999852</v>
      </c>
      <c r="O17">
        <f t="shared" ca="1" si="5"/>
        <v>0</v>
      </c>
      <c r="P17">
        <f t="shared" ca="1" si="6"/>
        <v>1.8599999999999852</v>
      </c>
      <c r="Q17">
        <f t="shared" ref="Q17:Q80" ca="1" si="10">(Q16*13+O17)/14</f>
        <v>1.0556814868804654</v>
      </c>
      <c r="R17">
        <f t="shared" ref="R17:R80" ca="1" si="11">(R16*13+P17)/14</f>
        <v>0.4598943148688055</v>
      </c>
      <c r="S17">
        <f t="shared" ca="1" si="8"/>
        <v>2.2954871429137382</v>
      </c>
      <c r="T17">
        <f t="shared" ca="1" si="9"/>
        <v>69.655472571019047</v>
      </c>
      <c r="U17">
        <f>70</f>
        <v>70</v>
      </c>
      <c r="V17">
        <f>30</f>
        <v>30</v>
      </c>
      <c r="W17">
        <f t="shared" ca="1" si="7"/>
        <v>149.93607191624943</v>
      </c>
    </row>
    <row r="18" spans="1:25" x14ac:dyDescent="0.25">
      <c r="A18" s="20">
        <f t="shared" ca="1" si="0"/>
        <v>45313</v>
      </c>
      <c r="B18" vm="48">
        <f ca="1"/>
        <v>45316</v>
      </c>
      <c r="C18" vm="49">
        <f ca="1"/>
        <v>155.62</v>
      </c>
      <c r="D18" vm="50">
        <f ca="1"/>
        <v>10352452</v>
      </c>
      <c r="E18">
        <f t="shared" ca="1" si="1"/>
        <v>1611048580.24</v>
      </c>
      <c r="F18">
        <f ca="1">SUM($E$2:E18)/SUM($D$2:D18)</f>
        <v>150.28100914024975</v>
      </c>
      <c r="G18">
        <f ca="1">_xlfn.STDEV.P($C$2:C18)</f>
        <v>2.2074231481565336</v>
      </c>
      <c r="H18">
        <f t="shared" ca="1" si="2"/>
        <v>152.48843228840627</v>
      </c>
      <c r="I18">
        <f t="shared" ca="1" si="3"/>
        <v>148.07358599209323</v>
      </c>
      <c r="N18">
        <f t="shared" ca="1" si="4"/>
        <v>3.5</v>
      </c>
      <c r="O18">
        <f t="shared" ca="1" si="5"/>
        <v>3.5</v>
      </c>
      <c r="P18">
        <f t="shared" ca="1" si="6"/>
        <v>0</v>
      </c>
      <c r="Q18">
        <f t="shared" ca="1" si="10"/>
        <v>1.2302756663890035</v>
      </c>
      <c r="R18">
        <f t="shared" ca="1" si="11"/>
        <v>0.42704472094960505</v>
      </c>
      <c r="S18">
        <f t="shared" ca="1" si="8"/>
        <v>2.8809059239821084</v>
      </c>
      <c r="T18">
        <f t="shared" ca="1" si="9"/>
        <v>74.232820388134456</v>
      </c>
      <c r="U18">
        <f>70</f>
        <v>70</v>
      </c>
      <c r="V18">
        <f>30</f>
        <v>30</v>
      </c>
      <c r="W18">
        <f t="shared" ca="1" si="7"/>
        <v>150.81052239067259</v>
      </c>
    </row>
    <row r="19" spans="1:25" x14ac:dyDescent="0.25">
      <c r="A19" s="20">
        <f t="shared" ca="1" si="0"/>
        <v>45313</v>
      </c>
      <c r="B19" vm="51">
        <f ca="1"/>
        <v>45317</v>
      </c>
      <c r="C19" vm="52">
        <f ca="1"/>
        <v>156.13999999999999</v>
      </c>
      <c r="D19" vm="53">
        <f ca="1"/>
        <v>8356819</v>
      </c>
      <c r="E19">
        <f t="shared" ca="1" si="1"/>
        <v>1304833718.6599998</v>
      </c>
      <c r="F19">
        <f ca="1">SUM($E$2:E19)/SUM($D$2:D19)</f>
        <v>150.59527626737437</v>
      </c>
      <c r="G19">
        <f ca="1">_xlfn.STDEV.P($C$2:C19)</f>
        <v>2.5897366876018695</v>
      </c>
      <c r="H19">
        <f t="shared" ca="1" si="2"/>
        <v>153.18501295497623</v>
      </c>
      <c r="I19">
        <f t="shared" ca="1" si="3"/>
        <v>148.00553957977252</v>
      </c>
      <c r="N19">
        <f t="shared" ca="1" si="4"/>
        <v>0.51999999999998181</v>
      </c>
      <c r="O19">
        <f t="shared" ca="1" si="5"/>
        <v>0.51999999999998181</v>
      </c>
      <c r="P19">
        <f t="shared" ca="1" si="6"/>
        <v>0</v>
      </c>
      <c r="Q19">
        <f t="shared" ca="1" si="10"/>
        <v>1.1795416902183591</v>
      </c>
      <c r="R19">
        <f t="shared" ca="1" si="11"/>
        <v>0.39654152659606184</v>
      </c>
      <c r="S19">
        <f t="shared" ca="1" si="8"/>
        <v>2.974572928953044</v>
      </c>
      <c r="T19">
        <f t="shared" ca="1" si="9"/>
        <v>74.840064130779112</v>
      </c>
      <c r="U19">
        <f>70</f>
        <v>70</v>
      </c>
      <c r="V19">
        <f>30</f>
        <v>30</v>
      </c>
      <c r="W19">
        <f t="shared" ca="1" si="7"/>
        <v>151.63044202287679</v>
      </c>
    </row>
    <row r="20" spans="1:25" x14ac:dyDescent="0.25">
      <c r="A20" s="20">
        <f t="shared" ca="1" si="0"/>
        <v>45320</v>
      </c>
      <c r="B20" vm="54">
        <f ca="1"/>
        <v>45320</v>
      </c>
      <c r="C20" vm="55">
        <f ca="1"/>
        <v>156.16</v>
      </c>
      <c r="D20" vm="56">
        <f ca="1"/>
        <v>8987609</v>
      </c>
      <c r="E20">
        <f t="shared" ca="1" si="1"/>
        <v>1403505021.4400001</v>
      </c>
      <c r="F20">
        <f ca="1">SUM($E$2:E20)/SUM($D$2:D20)</f>
        <v>150.89878114656341</v>
      </c>
      <c r="G20">
        <f ca="1">_xlfn.STDEV.P($C$2:C20)</f>
        <v>2.8547786637209822</v>
      </c>
      <c r="H20">
        <f t="shared" ca="1" si="2"/>
        <v>153.7535598102844</v>
      </c>
      <c r="I20">
        <f t="shared" ca="1" si="3"/>
        <v>148.04400248284242</v>
      </c>
      <c r="N20">
        <f t="shared" ca="1" si="4"/>
        <v>2.0000000000010232E-2</v>
      </c>
      <c r="O20">
        <f t="shared" ca="1" si="5"/>
        <v>2.0000000000010232E-2</v>
      </c>
      <c r="P20">
        <f t="shared" ca="1" si="6"/>
        <v>0</v>
      </c>
      <c r="Q20">
        <f t="shared" ca="1" si="10"/>
        <v>1.0967172837741912</v>
      </c>
      <c r="R20">
        <f t="shared" ca="1" si="11"/>
        <v>0.3682171318392003</v>
      </c>
      <c r="S20">
        <f t="shared" ca="1" si="8"/>
        <v>2.9784526273837946</v>
      </c>
      <c r="T20">
        <f t="shared" ca="1" si="9"/>
        <v>74.864599540108287</v>
      </c>
      <c r="U20">
        <f>70</f>
        <v>70</v>
      </c>
      <c r="V20">
        <f>30</f>
        <v>30</v>
      </c>
      <c r="W20">
        <f t="shared" ca="1" si="7"/>
        <v>152.32729709628035</v>
      </c>
    </row>
    <row r="21" spans="1:25" x14ac:dyDescent="0.25">
      <c r="A21" s="20">
        <f t="shared" ca="1" si="0"/>
        <v>45320</v>
      </c>
      <c r="B21" vm="57">
        <f ca="1"/>
        <v>45321</v>
      </c>
      <c r="C21" vm="58">
        <f ca="1"/>
        <v>157.49</v>
      </c>
      <c r="D21" vm="59">
        <f ca="1"/>
        <v>7794730</v>
      </c>
      <c r="E21">
        <f t="shared" ca="1" si="1"/>
        <v>1227592027.7</v>
      </c>
      <c r="F21">
        <f ca="1">SUM($E$2:E21)/SUM($D$2:D21)</f>
        <v>151.19647700865625</v>
      </c>
      <c r="G21">
        <f ca="1">_xlfn.STDEV.P($C$2:C21)</f>
        <v>3.1749464562414276</v>
      </c>
      <c r="H21">
        <f t="shared" ca="1" si="2"/>
        <v>154.37142346489767</v>
      </c>
      <c r="I21">
        <f t="shared" ca="1" si="3"/>
        <v>148.02153055241482</v>
      </c>
      <c r="J21">
        <f ca="1">AVERAGE(C2:C21)</f>
        <v>150.82499999999996</v>
      </c>
      <c r="K21">
        <f ca="1">_xlfn.STDEV.S(C2:C21)</f>
        <v>3.2574263331331794</v>
      </c>
      <c r="L21">
        <f ca="1">J21 + 2*K21</f>
        <v>157.33985266626632</v>
      </c>
      <c r="M21">
        <f ca="1">J21-2*K21</f>
        <v>144.3101473337336</v>
      </c>
      <c r="N21">
        <f t="shared" ca="1" si="4"/>
        <v>1.3300000000000125</v>
      </c>
      <c r="O21">
        <f t="shared" ca="1" si="5"/>
        <v>1.3300000000000125</v>
      </c>
      <c r="P21">
        <f t="shared" ca="1" si="6"/>
        <v>0</v>
      </c>
      <c r="Q21">
        <f t="shared" ca="1" si="10"/>
        <v>1.1133803349331786</v>
      </c>
      <c r="R21">
        <f t="shared" ca="1" si="11"/>
        <v>0.34191590813640033</v>
      </c>
      <c r="S21">
        <f t="shared" ca="1" si="8"/>
        <v>3.2562987226935882</v>
      </c>
      <c r="T21">
        <f t="shared" ca="1" si="9"/>
        <v>76.505408451050812</v>
      </c>
      <c r="U21">
        <f>70</f>
        <v>70</v>
      </c>
      <c r="V21">
        <f>30</f>
        <v>30</v>
      </c>
      <c r="W21">
        <f t="shared" ca="1" si="7"/>
        <v>153.12155908146801</v>
      </c>
    </row>
    <row r="22" spans="1:25" x14ac:dyDescent="0.25">
      <c r="A22" s="20">
        <f t="shared" ca="1" si="0"/>
        <v>45320</v>
      </c>
      <c r="B22" vm="60">
        <f ca="1"/>
        <v>45322</v>
      </c>
      <c r="C22" vm="61">
        <f ca="1"/>
        <v>157.13999999999999</v>
      </c>
      <c r="D22" vm="62">
        <f ca="1"/>
        <v>8870215</v>
      </c>
      <c r="E22">
        <f t="shared" ca="1" si="1"/>
        <v>1393865585.0999999</v>
      </c>
      <c r="F22">
        <f ca="1">SUM($E$2:E22)/SUM($D$2:D22)</f>
        <v>151.48702456964506</v>
      </c>
      <c r="G22">
        <f ca="1">_xlfn.STDEV.P($C$2:C22)</f>
        <v>3.3776993740154677</v>
      </c>
      <c r="H22">
        <f t="shared" ca="1" si="2"/>
        <v>154.86472394366052</v>
      </c>
      <c r="I22">
        <f t="shared" ca="1" si="3"/>
        <v>148.10932519562959</v>
      </c>
      <c r="J22">
        <f t="shared" ref="J22:J85" ca="1" si="12">AVERAGE(C3:C22)</f>
        <v>151.24499999999995</v>
      </c>
      <c r="K22">
        <f t="shared" ref="K22:K85" ca="1" si="13">_xlfn.STDEV.S(C3:C22)</f>
        <v>3.5064579518969059</v>
      </c>
      <c r="L22">
        <f t="shared" ref="L22:L85" ca="1" si="14">J22 + 2*K22</f>
        <v>158.25791590379376</v>
      </c>
      <c r="M22">
        <f t="shared" ref="M22:M85" ca="1" si="15">J22-2*K22</f>
        <v>144.23208409620614</v>
      </c>
      <c r="N22">
        <f t="shared" ca="1" si="4"/>
        <v>-0.35000000000002274</v>
      </c>
      <c r="O22">
        <f t="shared" ca="1" si="5"/>
        <v>0</v>
      </c>
      <c r="P22">
        <f t="shared" ca="1" si="6"/>
        <v>0.35000000000002274</v>
      </c>
      <c r="Q22">
        <f t="shared" ca="1" si="10"/>
        <v>1.0338531681522372</v>
      </c>
      <c r="R22">
        <f t="shared" ca="1" si="11"/>
        <v>0.34249334326951619</v>
      </c>
      <c r="S22">
        <f t="shared" ca="1" si="8"/>
        <v>3.0186080648541931</v>
      </c>
      <c r="T22">
        <f t="shared" ca="1" si="9"/>
        <v>75.115761879199766</v>
      </c>
      <c r="U22">
        <f>70</f>
        <v>70</v>
      </c>
      <c r="V22">
        <f>30</f>
        <v>30</v>
      </c>
      <c r="W22">
        <f t="shared" ca="1" si="7"/>
        <v>153.73978076124214</v>
      </c>
    </row>
    <row r="23" spans="1:25" x14ac:dyDescent="0.25">
      <c r="A23" s="20">
        <f t="shared" ca="1" si="0"/>
        <v>45320</v>
      </c>
      <c r="B23" vm="63">
        <f ca="1"/>
        <v>45323</v>
      </c>
      <c r="C23" vm="64">
        <f ca="1"/>
        <v>159.18</v>
      </c>
      <c r="D23" vm="65">
        <f ca="1"/>
        <v>7601144</v>
      </c>
      <c r="E23">
        <f t="shared" ca="1" si="1"/>
        <v>1209950101.9200001</v>
      </c>
      <c r="F23">
        <f ca="1">SUM($E$2:E23)/SUM($D$2:D23)</f>
        <v>151.79633193738795</v>
      </c>
      <c r="G23">
        <f ca="1">_xlfn.STDEV.P($C$2:C23)</f>
        <v>3.7020186586186097</v>
      </c>
      <c r="H23">
        <f t="shared" ca="1" si="2"/>
        <v>155.49835059600656</v>
      </c>
      <c r="I23">
        <f t="shared" ca="1" si="3"/>
        <v>148.09431327876933</v>
      </c>
      <c r="J23">
        <f t="shared" ca="1" si="12"/>
        <v>151.81199999999995</v>
      </c>
      <c r="K23">
        <f t="shared" ca="1" si="13"/>
        <v>3.8289074984359379</v>
      </c>
      <c r="L23">
        <f t="shared" ca="1" si="14"/>
        <v>159.46981499687183</v>
      </c>
      <c r="M23">
        <f t="shared" ca="1" si="15"/>
        <v>144.15418500312808</v>
      </c>
      <c r="N23">
        <f t="shared" ca="1" si="4"/>
        <v>2.0400000000000205</v>
      </c>
      <c r="O23">
        <f t="shared" ca="1" si="5"/>
        <v>2.0400000000000205</v>
      </c>
      <c r="P23">
        <f t="shared" ca="1" si="6"/>
        <v>0</v>
      </c>
      <c r="Q23">
        <f t="shared" ca="1" si="10"/>
        <v>1.1057207989985074</v>
      </c>
      <c r="R23">
        <f t="shared" ca="1" si="11"/>
        <v>0.31802953303597936</v>
      </c>
      <c r="S23">
        <f t="shared" ca="1" si="8"/>
        <v>3.4767865375364835</v>
      </c>
      <c r="T23">
        <f t="shared" ca="1" si="9"/>
        <v>77.662548982058752</v>
      </c>
      <c r="U23">
        <f>70</f>
        <v>70</v>
      </c>
      <c r="V23">
        <f>30</f>
        <v>30</v>
      </c>
      <c r="W23">
        <f t="shared" ca="1" si="7"/>
        <v>154.5767375672049</v>
      </c>
    </row>
    <row r="24" spans="1:25" x14ac:dyDescent="0.25">
      <c r="A24" s="20">
        <f t="shared" ca="1" si="0"/>
        <v>45320</v>
      </c>
      <c r="B24" vm="66">
        <f ca="1"/>
        <v>45324</v>
      </c>
      <c r="C24" vm="67">
        <f ca="1"/>
        <v>158.09</v>
      </c>
      <c r="D24" vm="68">
        <f ca="1"/>
        <v>7937716</v>
      </c>
      <c r="E24">
        <f t="shared" ca="1" si="1"/>
        <v>1254873522.4400001</v>
      </c>
      <c r="F24">
        <f ca="1">SUM($E$2:E24)/SUM($D$2:D24)</f>
        <v>152.04993479507363</v>
      </c>
      <c r="G24">
        <f ca="1">_xlfn.STDEV.P($C$2:C24)</f>
        <v>3.862595775481005</v>
      </c>
      <c r="H24">
        <f t="shared" ca="1" si="2"/>
        <v>155.91253057055462</v>
      </c>
      <c r="I24">
        <f t="shared" ca="1" si="3"/>
        <v>148.18733901959263</v>
      </c>
      <c r="J24">
        <f t="shared" ca="1" si="12"/>
        <v>152.28399999999996</v>
      </c>
      <c r="K24">
        <f t="shared" ca="1" si="13"/>
        <v>3.9967715919094937</v>
      </c>
      <c r="L24">
        <f t="shared" ca="1" si="14"/>
        <v>160.27754318381895</v>
      </c>
      <c r="M24">
        <f t="shared" ca="1" si="15"/>
        <v>144.29045681618098</v>
      </c>
      <c r="N24">
        <f t="shared" ca="1" si="4"/>
        <v>-1.0900000000000034</v>
      </c>
      <c r="O24">
        <f t="shared" ca="1" si="5"/>
        <v>0</v>
      </c>
      <c r="P24">
        <f t="shared" ca="1" si="6"/>
        <v>1.0900000000000034</v>
      </c>
      <c r="Q24">
        <f t="shared" ca="1" si="10"/>
        <v>1.0267407419271855</v>
      </c>
      <c r="R24">
        <f t="shared" ca="1" si="11"/>
        <v>0.37317028067626679</v>
      </c>
      <c r="S24">
        <f t="shared" ca="1" si="8"/>
        <v>2.7514000848794953</v>
      </c>
      <c r="T24">
        <f t="shared" ca="1" si="9"/>
        <v>73.343285776672303</v>
      </c>
      <c r="U24">
        <f>70</f>
        <v>70</v>
      </c>
      <c r="V24">
        <f>30</f>
        <v>30</v>
      </c>
      <c r="W24">
        <f t="shared" ca="1" si="7"/>
        <v>155.11723947994261</v>
      </c>
    </row>
    <row r="25" spans="1:25" x14ac:dyDescent="0.25">
      <c r="A25" s="20">
        <f t="shared" ca="1" si="0"/>
        <v>45327</v>
      </c>
      <c r="B25" vm="69">
        <f ca="1"/>
        <v>45327</v>
      </c>
      <c r="C25" vm="70">
        <f ca="1"/>
        <v>158.21</v>
      </c>
      <c r="D25" vm="71">
        <f ca="1"/>
        <v>6931933</v>
      </c>
      <c r="E25">
        <f t="shared" ca="1" si="1"/>
        <v>1096701119.9300001</v>
      </c>
      <c r="F25">
        <f ca="1">SUM($E$2:E25)/SUM($D$2:D25)</f>
        <v>152.25933383959446</v>
      </c>
      <c r="G25">
        <f ca="1">_xlfn.STDEV.P($C$2:C25)</f>
        <v>3.9936936398388019</v>
      </c>
      <c r="H25">
        <f t="shared" ca="1" si="2"/>
        <v>156.25302747943326</v>
      </c>
      <c r="I25">
        <f t="shared" ca="1" si="3"/>
        <v>148.26564019975567</v>
      </c>
      <c r="J25">
        <f t="shared" ca="1" si="12"/>
        <v>152.82349999999997</v>
      </c>
      <c r="K25">
        <f t="shared" ca="1" si="13"/>
        <v>4.0337213783173906</v>
      </c>
      <c r="L25">
        <f t="shared" ca="1" si="14"/>
        <v>160.89094275663476</v>
      </c>
      <c r="M25">
        <f t="shared" ca="1" si="15"/>
        <v>144.75605724336518</v>
      </c>
      <c r="N25">
        <f t="shared" ca="1" si="4"/>
        <v>0.12000000000000455</v>
      </c>
      <c r="O25">
        <f t="shared" ca="1" si="5"/>
        <v>0.12000000000000455</v>
      </c>
      <c r="P25">
        <f t="shared" ca="1" si="6"/>
        <v>0</v>
      </c>
      <c r="Q25">
        <f t="shared" ca="1" si="10"/>
        <v>0.96197354607524399</v>
      </c>
      <c r="R25">
        <f t="shared" ca="1" si="11"/>
        <v>0.34651526062796201</v>
      </c>
      <c r="S25">
        <f t="shared" ca="1" si="8"/>
        <v>2.7761361630421009</v>
      </c>
      <c r="T25">
        <f t="shared" ca="1" si="9"/>
        <v>73.517904100301621</v>
      </c>
      <c r="U25">
        <f>70</f>
        <v>70</v>
      </c>
      <c r="V25">
        <f>30</f>
        <v>30</v>
      </c>
      <c r="W25">
        <f t="shared" ca="1" si="7"/>
        <v>155.59304879072067</v>
      </c>
    </row>
    <row r="26" spans="1:25" x14ac:dyDescent="0.25">
      <c r="A26" s="20">
        <f t="shared" ca="1" si="0"/>
        <v>45327</v>
      </c>
      <c r="B26" vm="72">
        <f ca="1"/>
        <v>45328</v>
      </c>
      <c r="C26" vm="73">
        <f ca="1"/>
        <v>158.96</v>
      </c>
      <c r="D26" vm="74">
        <f ca="1"/>
        <v>6185982</v>
      </c>
      <c r="E26">
        <f t="shared" ca="1" si="1"/>
        <v>983323698.72000003</v>
      </c>
      <c r="F26">
        <f ca="1">SUM($E$2:E26)/SUM($D$2:D26)</f>
        <v>152.45661391242143</v>
      </c>
      <c r="G26">
        <f ca="1">_xlfn.STDEV.P($C$2:C26)</f>
        <v>4.1408817611711646</v>
      </c>
      <c r="H26">
        <f t="shared" ca="1" si="2"/>
        <v>156.59749567359259</v>
      </c>
      <c r="I26">
        <f t="shared" ca="1" si="3"/>
        <v>148.31573215125027</v>
      </c>
      <c r="J26">
        <f t="shared" ca="1" si="12"/>
        <v>153.33699999999993</v>
      </c>
      <c r="K26">
        <f t="shared" ca="1" si="13"/>
        <v>4.1323143763831878</v>
      </c>
      <c r="L26">
        <f t="shared" ca="1" si="14"/>
        <v>161.60162875276632</v>
      </c>
      <c r="M26">
        <f t="shared" ca="1" si="15"/>
        <v>145.07237124723355</v>
      </c>
      <c r="N26">
        <f t="shared" ca="1" si="4"/>
        <v>0.75</v>
      </c>
      <c r="O26">
        <f t="shared" ca="1" si="5"/>
        <v>0.75</v>
      </c>
      <c r="P26">
        <f t="shared" ca="1" si="6"/>
        <v>0</v>
      </c>
      <c r="Q26">
        <f t="shared" ca="1" si="10"/>
        <v>0.94683257849844082</v>
      </c>
      <c r="R26">
        <f t="shared" ca="1" si="11"/>
        <v>0.32176417058310758</v>
      </c>
      <c r="S26">
        <f t="shared" ca="1" si="8"/>
        <v>2.9426289968288626</v>
      </c>
      <c r="T26">
        <f t="shared" ca="1" si="9"/>
        <v>74.636213531521207</v>
      </c>
      <c r="U26">
        <f>70</f>
        <v>70</v>
      </c>
      <c r="V26">
        <f>30</f>
        <v>30</v>
      </c>
      <c r="W26">
        <f t="shared" ca="1" si="7"/>
        <v>156.11104128445595</v>
      </c>
    </row>
    <row r="27" spans="1:25" x14ac:dyDescent="0.25">
      <c r="A27" s="20">
        <f t="shared" ca="1" si="0"/>
        <v>45327</v>
      </c>
      <c r="B27" vm="75">
        <f ca="1"/>
        <v>45329</v>
      </c>
      <c r="C27" vm="76">
        <f ca="1"/>
        <v>159.12</v>
      </c>
      <c r="D27" vm="77">
        <f ca="1"/>
        <v>7209276</v>
      </c>
      <c r="E27">
        <f t="shared" ca="1" si="1"/>
        <v>1147139997.1200001</v>
      </c>
      <c r="F27">
        <f ca="1">SUM($E$2:E27)/SUM($D$2:D27)</f>
        <v>152.67766445237368</v>
      </c>
      <c r="G27">
        <f ca="1">_xlfn.STDEV.P($C$2:C27)</f>
        <v>4.2656600452100948</v>
      </c>
      <c r="H27">
        <f t="shared" ca="1" si="2"/>
        <v>156.94332449758377</v>
      </c>
      <c r="I27">
        <f t="shared" ca="1" si="3"/>
        <v>148.41200440716358</v>
      </c>
      <c r="J27">
        <f t="shared" ca="1" si="12"/>
        <v>153.82799999999997</v>
      </c>
      <c r="K27">
        <f t="shared" ca="1" si="13"/>
        <v>4.2100663827745581</v>
      </c>
      <c r="L27">
        <f t="shared" ca="1" si="14"/>
        <v>162.24813276554909</v>
      </c>
      <c r="M27">
        <f t="shared" ca="1" si="15"/>
        <v>145.40786723445086</v>
      </c>
      <c r="N27">
        <f t="shared" ca="1" si="4"/>
        <v>0.15999999999999659</v>
      </c>
      <c r="O27">
        <f t="shared" ca="1" si="5"/>
        <v>0.15999999999999659</v>
      </c>
      <c r="P27">
        <f t="shared" ca="1" si="6"/>
        <v>0</v>
      </c>
      <c r="Q27">
        <f t="shared" ca="1" si="10"/>
        <v>0.8906302514628377</v>
      </c>
      <c r="R27">
        <f t="shared" ca="1" si="11"/>
        <v>0.29878101554145703</v>
      </c>
      <c r="S27">
        <f t="shared" ca="1" si="8"/>
        <v>2.9808796581296151</v>
      </c>
      <c r="T27">
        <f t="shared" ca="1" si="9"/>
        <v>74.879923889238029</v>
      </c>
      <c r="U27">
        <f>70</f>
        <v>70</v>
      </c>
      <c r="V27">
        <f>30</f>
        <v>30</v>
      </c>
      <c r="W27">
        <f t="shared" ca="1" si="7"/>
        <v>156.57395800992424</v>
      </c>
      <c r="X27" s="9">
        <f ca="1">AVERAGE(C2:C27)</f>
        <v>152.58461538461535</v>
      </c>
      <c r="Y27">
        <f ca="1">W28-X28</f>
        <v>3.858648230619707</v>
      </c>
    </row>
    <row r="28" spans="1:25" x14ac:dyDescent="0.25">
      <c r="A28" s="20">
        <f t="shared" ca="1" si="0"/>
        <v>45327</v>
      </c>
      <c r="B28" vm="78">
        <f ca="1"/>
        <v>45330</v>
      </c>
      <c r="C28" vm="79">
        <f ca="1"/>
        <v>158.63999999999999</v>
      </c>
      <c r="D28" vm="80">
        <f ca="1"/>
        <v>6121778</v>
      </c>
      <c r="E28">
        <f t="shared" ca="1" si="1"/>
        <v>971158861.91999996</v>
      </c>
      <c r="F28">
        <f ca="1">SUM($E$2:E28)/SUM($D$2:D28)</f>
        <v>152.84102009120113</v>
      </c>
      <c r="G28">
        <f ca="1">_xlfn.STDEV.P($C$2:C28)</f>
        <v>4.3393200810071741</v>
      </c>
      <c r="H28">
        <f t="shared" ca="1" si="2"/>
        <v>157.1803401722083</v>
      </c>
      <c r="I28">
        <f t="shared" ca="1" si="3"/>
        <v>148.50170001019396</v>
      </c>
      <c r="J28">
        <f t="shared" ca="1" si="12"/>
        <v>154.26299999999998</v>
      </c>
      <c r="K28">
        <f t="shared" ca="1" si="13"/>
        <v>4.2365752057156065</v>
      </c>
      <c r="L28">
        <f t="shared" ca="1" si="14"/>
        <v>162.7361504114312</v>
      </c>
      <c r="M28">
        <f t="shared" ca="1" si="15"/>
        <v>145.78984958856876</v>
      </c>
      <c r="N28">
        <f t="shared" ca="1" si="4"/>
        <v>-0.48000000000001819</v>
      </c>
      <c r="O28">
        <f t="shared" ca="1" si="5"/>
        <v>0</v>
      </c>
      <c r="P28">
        <f t="shared" ca="1" si="6"/>
        <v>0.48000000000001819</v>
      </c>
      <c r="Q28">
        <f t="shared" ca="1" si="10"/>
        <v>0.82701380492977783</v>
      </c>
      <c r="R28">
        <f t="shared" ca="1" si="11"/>
        <v>0.31172522871706854</v>
      </c>
      <c r="S28">
        <f t="shared" ca="1" si="8"/>
        <v>2.6530217279282233</v>
      </c>
      <c r="T28">
        <f t="shared" ca="1" si="9"/>
        <v>72.625402352393337</v>
      </c>
      <c r="U28">
        <f>70</f>
        <v>70</v>
      </c>
      <c r="V28">
        <f>30</f>
        <v>30</v>
      </c>
      <c r="W28">
        <f t="shared" ca="1" si="7"/>
        <v>156.89181062378205</v>
      </c>
      <c r="X28">
        <f ca="1">C28*(2/(26+1)) + X27*(1-(2/(26+1)))</f>
        <v>153.03316239316234</v>
      </c>
      <c r="Y28">
        <f t="shared" ref="Y28:Y91" ca="1" si="16">W29-X29</f>
        <v>3.614957200813393</v>
      </c>
    </row>
    <row r="29" spans="1:25" x14ac:dyDescent="0.25">
      <c r="A29" s="20">
        <f t="shared" ca="1" si="0"/>
        <v>45327</v>
      </c>
      <c r="B29" vm="81">
        <f ca="1"/>
        <v>45331</v>
      </c>
      <c r="C29" vm="82">
        <f ca="1"/>
        <v>157.41999999999999</v>
      </c>
      <c r="D29" vm="83">
        <f ca="1"/>
        <v>5978181</v>
      </c>
      <c r="E29">
        <f t="shared" ca="1" si="1"/>
        <v>941085253.01999998</v>
      </c>
      <c r="F29">
        <f ca="1">SUM($E$2:E29)/SUM($D$2:D29)</f>
        <v>152.9603394748635</v>
      </c>
      <c r="G29">
        <f ca="1">_xlfn.STDEV.P($C$2:C29)</f>
        <v>4.3462004870311022</v>
      </c>
      <c r="H29">
        <f t="shared" ca="1" si="2"/>
        <v>157.3065399618946</v>
      </c>
      <c r="I29">
        <f t="shared" ca="1" si="3"/>
        <v>148.6141389878324</v>
      </c>
      <c r="J29">
        <f t="shared" ca="1" si="12"/>
        <v>154.60849999999999</v>
      </c>
      <c r="K29">
        <f t="shared" ca="1" si="13"/>
        <v>4.1959695887212645</v>
      </c>
      <c r="L29">
        <f t="shared" ca="1" si="14"/>
        <v>163.00043917744253</v>
      </c>
      <c r="M29">
        <f t="shared" ca="1" si="15"/>
        <v>146.21656082255745</v>
      </c>
      <c r="N29">
        <f t="shared" ca="1" si="4"/>
        <v>-1.2199999999999989</v>
      </c>
      <c r="O29">
        <f t="shared" ca="1" si="5"/>
        <v>0</v>
      </c>
      <c r="P29">
        <f t="shared" ca="1" si="6"/>
        <v>1.2199999999999989</v>
      </c>
      <c r="Q29">
        <f t="shared" ca="1" si="10"/>
        <v>0.76794139029193664</v>
      </c>
      <c r="R29">
        <f t="shared" ca="1" si="11"/>
        <v>0.37660199809442074</v>
      </c>
      <c r="S29">
        <f t="shared" ca="1" si="8"/>
        <v>2.03913254358093</v>
      </c>
      <c r="T29">
        <f t="shared" ca="1" si="9"/>
        <v>67.095874047608135</v>
      </c>
      <c r="U29">
        <f>70</f>
        <v>70</v>
      </c>
      <c r="V29">
        <f>30</f>
        <v>30</v>
      </c>
      <c r="W29">
        <f t="shared" ca="1" si="7"/>
        <v>156.97307052781557</v>
      </c>
      <c r="X29">
        <f t="shared" ref="X29:X92" ca="1" si="17">C29*(2/(26+1)) + X28*(1-(2/(26+1)))</f>
        <v>153.35811332700217</v>
      </c>
      <c r="Y29">
        <f t="shared" ca="1" si="16"/>
        <v>3.3581057421239677</v>
      </c>
    </row>
    <row r="30" spans="1:25" x14ac:dyDescent="0.25">
      <c r="A30" s="20">
        <f t="shared" ca="1" si="0"/>
        <v>45334</v>
      </c>
      <c r="B30" vm="84">
        <f ca="1"/>
        <v>45334</v>
      </c>
      <c r="C30" vm="85">
        <f ca="1"/>
        <v>157.11000000000001</v>
      </c>
      <c r="D30" vm="86">
        <f ca="1"/>
        <v>5482124</v>
      </c>
      <c r="E30">
        <f t="shared" ca="1" si="1"/>
        <v>861296501.6400001</v>
      </c>
      <c r="F30">
        <f ca="1">SUM($E$2:E30)/SUM($D$2:D30)</f>
        <v>153.05718484307673</v>
      </c>
      <c r="G30">
        <f ca="1">_xlfn.STDEV.P($C$2:C30)</f>
        <v>4.3367908155551476</v>
      </c>
      <c r="H30">
        <f t="shared" ca="1" si="2"/>
        <v>157.39397565863186</v>
      </c>
      <c r="I30">
        <f t="shared" ca="1" si="3"/>
        <v>148.72039402752159</v>
      </c>
      <c r="J30">
        <f t="shared" ca="1" si="12"/>
        <v>154.934</v>
      </c>
      <c r="K30">
        <f t="shared" ca="1" si="13"/>
        <v>4.120471868736959</v>
      </c>
      <c r="L30">
        <f t="shared" ca="1" si="14"/>
        <v>163.17494373747391</v>
      </c>
      <c r="M30">
        <f t="shared" ca="1" si="15"/>
        <v>146.69305626252608</v>
      </c>
      <c r="N30">
        <f t="shared" ca="1" si="4"/>
        <v>-0.30999999999997385</v>
      </c>
      <c r="O30">
        <f t="shared" ca="1" si="5"/>
        <v>0</v>
      </c>
      <c r="P30">
        <f t="shared" ca="1" si="6"/>
        <v>0.30999999999997385</v>
      </c>
      <c r="Q30">
        <f t="shared" ca="1" si="10"/>
        <v>0.71308843384251264</v>
      </c>
      <c r="R30">
        <f t="shared" ca="1" si="11"/>
        <v>0.37184471251624596</v>
      </c>
      <c r="S30">
        <f t="shared" ca="1" si="8"/>
        <v>1.9177049177789711</v>
      </c>
      <c r="T30">
        <f t="shared" ca="1" si="9"/>
        <v>65.72648611905467</v>
      </c>
      <c r="U30">
        <f>70</f>
        <v>70</v>
      </c>
      <c r="V30">
        <f>30</f>
        <v>30</v>
      </c>
      <c r="W30">
        <f t="shared" ca="1" si="7"/>
        <v>156.99413660045931</v>
      </c>
      <c r="X30">
        <f t="shared" ca="1" si="17"/>
        <v>153.63603085833535</v>
      </c>
      <c r="Y30">
        <f t="shared" ca="1" si="16"/>
        <v>3.0515912859755758</v>
      </c>
    </row>
    <row r="31" spans="1:25" x14ac:dyDescent="0.25">
      <c r="A31" s="20">
        <f t="shared" ca="1" si="0"/>
        <v>45334</v>
      </c>
      <c r="B31" vm="87">
        <f ca="1"/>
        <v>45335</v>
      </c>
      <c r="C31" vm="88">
        <f ca="1"/>
        <v>156.27000000000001</v>
      </c>
      <c r="D31" vm="89">
        <f ca="1"/>
        <v>6046869</v>
      </c>
      <c r="E31">
        <f t="shared" ca="1" si="1"/>
        <v>944944218.63000011</v>
      </c>
      <c r="F31">
        <f ca="1">SUM($E$2:E31)/SUM($D$2:D31)</f>
        <v>153.13781461829711</v>
      </c>
      <c r="G31">
        <f ca="1">_xlfn.STDEV.P($C$2:C31)</f>
        <v>4.3013166459688703</v>
      </c>
      <c r="H31">
        <f t="shared" ca="1" si="2"/>
        <v>157.439131264266</v>
      </c>
      <c r="I31">
        <f t="shared" ca="1" si="3"/>
        <v>148.83649797232823</v>
      </c>
      <c r="J31">
        <f t="shared" ca="1" si="12"/>
        <v>155.25799999999998</v>
      </c>
      <c r="K31">
        <f t="shared" ca="1" si="13"/>
        <v>3.9457646847434318</v>
      </c>
      <c r="L31">
        <f t="shared" ca="1" si="14"/>
        <v>163.14952936948686</v>
      </c>
      <c r="M31">
        <f t="shared" ca="1" si="15"/>
        <v>147.36647063051311</v>
      </c>
      <c r="N31">
        <f t="shared" ca="1" si="4"/>
        <v>-0.84000000000000341</v>
      </c>
      <c r="O31">
        <f t="shared" ca="1" si="5"/>
        <v>0</v>
      </c>
      <c r="P31">
        <f t="shared" ca="1" si="6"/>
        <v>0.84000000000000341</v>
      </c>
      <c r="Q31">
        <f t="shared" ca="1" si="10"/>
        <v>0.66215354571090468</v>
      </c>
      <c r="R31">
        <f t="shared" ca="1" si="11"/>
        <v>0.40528437590794292</v>
      </c>
      <c r="S31">
        <f t="shared" ca="1" si="8"/>
        <v>1.633799833086355</v>
      </c>
      <c r="T31">
        <f t="shared" ca="1" si="9"/>
        <v>62.032042547888921</v>
      </c>
      <c r="U31">
        <f>70</f>
        <v>70</v>
      </c>
      <c r="V31">
        <f>30</f>
        <v>30</v>
      </c>
      <c r="W31">
        <f t="shared" ca="1" si="7"/>
        <v>156.88273096961942</v>
      </c>
      <c r="X31">
        <f t="shared" ca="1" si="17"/>
        <v>153.83113968364384</v>
      </c>
      <c r="Y31">
        <f t="shared" ca="1" si="16"/>
        <v>2.7256145321729832</v>
      </c>
    </row>
    <row r="32" spans="1:25" x14ac:dyDescent="0.25">
      <c r="A32" s="20">
        <f t="shared" ca="1" si="0"/>
        <v>45334</v>
      </c>
      <c r="B32" vm="90">
        <f ca="1"/>
        <v>45336</v>
      </c>
      <c r="C32" vm="91">
        <f ca="1"/>
        <v>155.63</v>
      </c>
      <c r="D32" vm="92">
        <f ca="1"/>
        <v>5727455</v>
      </c>
      <c r="E32">
        <f t="shared" ca="1" si="1"/>
        <v>891363821.64999998</v>
      </c>
      <c r="F32">
        <f ca="1">SUM($E$2:E32)/SUM($D$2:D32)</f>
        <v>153.19567995830218</v>
      </c>
      <c r="G32">
        <f ca="1">_xlfn.STDEV.P($C$2:C32)</f>
        <v>4.2527193234588987</v>
      </c>
      <c r="H32">
        <f t="shared" ca="1" si="2"/>
        <v>157.44839928176108</v>
      </c>
      <c r="I32">
        <f t="shared" ca="1" si="3"/>
        <v>148.94296063484327</v>
      </c>
      <c r="J32">
        <f t="shared" ca="1" si="12"/>
        <v>155.54249999999999</v>
      </c>
      <c r="K32">
        <f t="shared" ca="1" si="13"/>
        <v>3.7420130734813415</v>
      </c>
      <c r="L32">
        <f t="shared" ca="1" si="14"/>
        <v>163.02652614696268</v>
      </c>
      <c r="M32">
        <f t="shared" ca="1" si="15"/>
        <v>148.0584738530373</v>
      </c>
      <c r="N32">
        <f t="shared" ca="1" si="4"/>
        <v>-0.64000000000001478</v>
      </c>
      <c r="O32">
        <f t="shared" ca="1" si="5"/>
        <v>0</v>
      </c>
      <c r="P32">
        <f t="shared" ca="1" si="6"/>
        <v>0.64000000000001478</v>
      </c>
      <c r="Q32">
        <f t="shared" ca="1" si="10"/>
        <v>0.61485686387441152</v>
      </c>
      <c r="R32">
        <f t="shared" ca="1" si="11"/>
        <v>0.42204977762880519</v>
      </c>
      <c r="S32">
        <f t="shared" ca="1" si="8"/>
        <v>1.4568349433302654</v>
      </c>
      <c r="T32">
        <f t="shared" ca="1" si="9"/>
        <v>59.297224963574898</v>
      </c>
      <c r="U32">
        <f>70</f>
        <v>70</v>
      </c>
      <c r="V32">
        <f>30</f>
        <v>30</v>
      </c>
      <c r="W32">
        <f t="shared" ca="1" si="7"/>
        <v>156.69000312813949</v>
      </c>
      <c r="X32">
        <f t="shared" ca="1" si="17"/>
        <v>153.96438859596651</v>
      </c>
      <c r="Y32">
        <f t="shared" ca="1" si="16"/>
        <v>2.5492439754083023</v>
      </c>
    </row>
    <row r="33" spans="1:27" x14ac:dyDescent="0.25">
      <c r="A33" s="20">
        <f t="shared" ca="1" si="0"/>
        <v>45334</v>
      </c>
      <c r="B33" vm="93">
        <f ca="1"/>
        <v>45337</v>
      </c>
      <c r="C33" vm="94">
        <f ca="1"/>
        <v>157.01</v>
      </c>
      <c r="D33" vm="95">
        <f ca="1"/>
        <v>6249241</v>
      </c>
      <c r="E33">
        <f t="shared" ca="1" si="1"/>
        <v>981193329.40999997</v>
      </c>
      <c r="F33">
        <f ca="1">SUM($E$2:E33)/SUM($D$2:D33)</f>
        <v>153.2899243518558</v>
      </c>
      <c r="G33">
        <f ca="1">_xlfn.STDEV.P($C$2:C33)</f>
        <v>4.2352508780472506</v>
      </c>
      <c r="H33">
        <f t="shared" ca="1" si="2"/>
        <v>157.52517522990306</v>
      </c>
      <c r="I33">
        <f t="shared" ca="1" si="3"/>
        <v>149.05467347380855</v>
      </c>
      <c r="J33">
        <f t="shared" ca="1" si="12"/>
        <v>155.98600000000002</v>
      </c>
      <c r="K33">
        <f t="shared" ca="1" si="13"/>
        <v>3.3203779112751919</v>
      </c>
      <c r="L33">
        <f t="shared" ca="1" si="14"/>
        <v>162.62675582255039</v>
      </c>
      <c r="M33">
        <f t="shared" ca="1" si="15"/>
        <v>149.34524417744964</v>
      </c>
      <c r="N33">
        <f t="shared" ca="1" si="4"/>
        <v>1.3799999999999955</v>
      </c>
      <c r="O33">
        <f t="shared" ca="1" si="5"/>
        <v>1.3799999999999955</v>
      </c>
      <c r="P33">
        <f t="shared" ca="1" si="6"/>
        <v>0</v>
      </c>
      <c r="Q33">
        <f t="shared" ca="1" si="10"/>
        <v>0.66950994502623895</v>
      </c>
      <c r="R33">
        <f t="shared" ca="1" si="11"/>
        <v>0.39190336494103339</v>
      </c>
      <c r="S33">
        <f t="shared" ca="1" si="8"/>
        <v>1.7083546734205124</v>
      </c>
      <c r="T33">
        <f t="shared" ca="1" si="9"/>
        <v>63.0772140069435</v>
      </c>
      <c r="U33">
        <f>70</f>
        <v>70</v>
      </c>
      <c r="V33">
        <f>30</f>
        <v>30</v>
      </c>
      <c r="W33">
        <f t="shared" ca="1" si="7"/>
        <v>156.73923341611803</v>
      </c>
      <c r="X33">
        <f t="shared" ca="1" si="17"/>
        <v>154.18998944070972</v>
      </c>
      <c r="Y33">
        <f t="shared" ca="1" si="16"/>
        <v>2.4218967417561146</v>
      </c>
    </row>
    <row r="34" spans="1:27" x14ac:dyDescent="0.25">
      <c r="A34" s="20">
        <f t="shared" ca="1" si="0"/>
        <v>45334</v>
      </c>
      <c r="B34" vm="96">
        <f ca="1"/>
        <v>45338</v>
      </c>
      <c r="C34" vm="97">
        <f ca="1"/>
        <v>157.51</v>
      </c>
      <c r="D34" vm="98">
        <f ca="1"/>
        <v>6617706</v>
      </c>
      <c r="E34">
        <f t="shared" ca="1" si="1"/>
        <v>1042354872.0599999</v>
      </c>
      <c r="F34">
        <f ca="1">SUM($E$2:E34)/SUM($D$2:D34)</f>
        <v>153.39752668372901</v>
      </c>
      <c r="G34">
        <f ca="1">_xlfn.STDEV.P($C$2:C34)</f>
        <v>4.2292490655436943</v>
      </c>
      <c r="H34">
        <f t="shared" ca="1" si="2"/>
        <v>157.6267757492727</v>
      </c>
      <c r="I34">
        <f t="shared" ca="1" si="3"/>
        <v>149.16827761818533</v>
      </c>
      <c r="J34">
        <f t="shared" ca="1" si="12"/>
        <v>156.483</v>
      </c>
      <c r="K34">
        <f t="shared" ca="1" si="13"/>
        <v>2.6756860409012257</v>
      </c>
      <c r="L34">
        <f t="shared" ca="1" si="14"/>
        <v>161.83437208180246</v>
      </c>
      <c r="M34">
        <f t="shared" ca="1" si="15"/>
        <v>151.13162791819755</v>
      </c>
      <c r="N34">
        <f t="shared" ca="1" si="4"/>
        <v>0.5</v>
      </c>
      <c r="O34">
        <f t="shared" ca="1" si="5"/>
        <v>0.5</v>
      </c>
      <c r="P34">
        <f t="shared" ca="1" si="6"/>
        <v>0</v>
      </c>
      <c r="Q34">
        <f t="shared" ca="1" si="10"/>
        <v>0.65740209181007903</v>
      </c>
      <c r="R34">
        <f t="shared" ca="1" si="11"/>
        <v>0.36391026744524529</v>
      </c>
      <c r="S34">
        <f t="shared" ca="1" si="8"/>
        <v>1.8064950363319803</v>
      </c>
      <c r="T34">
        <f t="shared" ca="1" si="9"/>
        <v>64.368367410085455</v>
      </c>
      <c r="U34">
        <f>70</f>
        <v>70</v>
      </c>
      <c r="V34">
        <f>30</f>
        <v>30</v>
      </c>
      <c r="W34">
        <f t="shared" ca="1" si="7"/>
        <v>156.85781289056141</v>
      </c>
      <c r="X34">
        <f t="shared" ca="1" si="17"/>
        <v>154.43591614880529</v>
      </c>
      <c r="Y34">
        <f t="shared" ca="1" si="16"/>
        <v>2.3742953850000106</v>
      </c>
    </row>
    <row r="35" spans="1:27" x14ac:dyDescent="0.25">
      <c r="A35" s="20">
        <f t="shared" ca="1" si="0"/>
        <v>45341</v>
      </c>
      <c r="B35" vm="99">
        <f ca="1"/>
        <v>45342</v>
      </c>
      <c r="C35" vm="100">
        <f ca="1"/>
        <v>158.51</v>
      </c>
      <c r="D35" vm="101">
        <f ca="1"/>
        <v>6622058</v>
      </c>
      <c r="E35">
        <f t="shared" ca="1" si="1"/>
        <v>1049662413.5799999</v>
      </c>
      <c r="F35">
        <f ca="1">SUM($E$2:E35)/SUM($D$2:D35)</f>
        <v>153.52472349078965</v>
      </c>
      <c r="G35">
        <f ca="1">_xlfn.STDEV.P($C$2:C35)</f>
        <v>4.2503953001588526</v>
      </c>
      <c r="H35">
        <f t="shared" ca="1" si="2"/>
        <v>157.77511879094851</v>
      </c>
      <c r="I35">
        <f t="shared" ca="1" si="3"/>
        <v>149.2743281906308</v>
      </c>
      <c r="J35">
        <f t="shared" ca="1" si="12"/>
        <v>157.01550000000003</v>
      </c>
      <c r="K35">
        <f t="shared" ca="1" si="13"/>
        <v>1.7786466617539372</v>
      </c>
      <c r="L35">
        <f t="shared" ca="1" si="14"/>
        <v>160.57279332350791</v>
      </c>
      <c r="M35">
        <f t="shared" ca="1" si="15"/>
        <v>153.45820667649215</v>
      </c>
      <c r="N35">
        <f t="shared" ca="1" si="4"/>
        <v>1</v>
      </c>
      <c r="O35">
        <f t="shared" ca="1" si="5"/>
        <v>1</v>
      </c>
      <c r="P35">
        <f t="shared" ca="1" si="6"/>
        <v>0</v>
      </c>
      <c r="Q35">
        <f t="shared" ca="1" si="10"/>
        <v>0.68187337096650202</v>
      </c>
      <c r="R35">
        <f t="shared" ca="1" si="11"/>
        <v>0.33791667691344207</v>
      </c>
      <c r="S35">
        <f t="shared" ca="1" si="8"/>
        <v>2.0178742795259113</v>
      </c>
      <c r="T35">
        <f t="shared" ca="1" si="9"/>
        <v>66.864093485130411</v>
      </c>
      <c r="U35">
        <f>70</f>
        <v>70</v>
      </c>
      <c r="V35">
        <f>30</f>
        <v>30</v>
      </c>
      <c r="W35">
        <f t="shared" ca="1" si="7"/>
        <v>157.11199552278271</v>
      </c>
      <c r="X35">
        <f t="shared" ca="1" si="17"/>
        <v>154.7377001377827</v>
      </c>
      <c r="Y35">
        <f t="shared" ca="1" si="16"/>
        <v>2.4607126082253501</v>
      </c>
    </row>
    <row r="36" spans="1:27" x14ac:dyDescent="0.25">
      <c r="A36" s="20">
        <f t="shared" ca="1" si="0"/>
        <v>45341</v>
      </c>
      <c r="B36" vm="102">
        <f ca="1"/>
        <v>45343</v>
      </c>
      <c r="C36" vm="103">
        <f ca="1"/>
        <v>160.4</v>
      </c>
      <c r="D36" vm="104">
        <f ca="1"/>
        <v>7121116</v>
      </c>
      <c r="E36">
        <f t="shared" ca="1" si="1"/>
        <v>1142227006.4000001</v>
      </c>
      <c r="F36">
        <f ca="1">SUM($E$2:E36)/SUM($D$2:D36)</f>
        <v>153.70387633247134</v>
      </c>
      <c r="G36">
        <f ca="1">_xlfn.STDEV.P($C$2:C36)</f>
        <v>4.3360229120563405</v>
      </c>
      <c r="H36">
        <f t="shared" ca="1" si="2"/>
        <v>158.03989924452767</v>
      </c>
      <c r="I36">
        <f t="shared" ca="1" si="3"/>
        <v>149.367853420415</v>
      </c>
      <c r="J36">
        <f t="shared" ca="1" si="12"/>
        <v>157.33650000000006</v>
      </c>
      <c r="K36">
        <f t="shared" ca="1" si="13"/>
        <v>1.7813042974180471</v>
      </c>
      <c r="L36">
        <f t="shared" ca="1" si="14"/>
        <v>160.89910859483615</v>
      </c>
      <c r="M36">
        <f t="shared" ca="1" si="15"/>
        <v>153.77389140516397</v>
      </c>
      <c r="N36">
        <f t="shared" ca="1" si="4"/>
        <v>1.8900000000000148</v>
      </c>
      <c r="O36">
        <f t="shared" ca="1" si="5"/>
        <v>1.8900000000000148</v>
      </c>
      <c r="P36">
        <f t="shared" ca="1" si="6"/>
        <v>0</v>
      </c>
      <c r="Q36">
        <f t="shared" ca="1" si="10"/>
        <v>0.76816813018318153</v>
      </c>
      <c r="R36">
        <f t="shared" ca="1" si="11"/>
        <v>0.31377977141962482</v>
      </c>
      <c r="S36">
        <f t="shared" ca="1" si="8"/>
        <v>2.4481123391344841</v>
      </c>
      <c r="T36">
        <f t="shared" ca="1" si="9"/>
        <v>70.998624706902348</v>
      </c>
      <c r="U36">
        <f>70</f>
        <v>70</v>
      </c>
      <c r="V36">
        <f>30</f>
        <v>30</v>
      </c>
      <c r="W36">
        <f t="shared" ca="1" si="7"/>
        <v>157.61784236543153</v>
      </c>
      <c r="X36">
        <f t="shared" ca="1" si="17"/>
        <v>155.15712975720618</v>
      </c>
      <c r="Y36">
        <f t="shared" ca="1" si="16"/>
        <v>2.5131396337354772</v>
      </c>
      <c r="Z36" s="9">
        <f ca="1">AVERAGE(Y28:Y36)</f>
        <v>2.7855063450234638</v>
      </c>
    </row>
    <row r="37" spans="1:27" x14ac:dyDescent="0.25">
      <c r="A37" s="20">
        <f t="shared" ca="1" si="0"/>
        <v>45341</v>
      </c>
      <c r="B37" vm="105">
        <f ca="1"/>
        <v>45344</v>
      </c>
      <c r="C37" vm="106">
        <f ca="1"/>
        <v>160.56</v>
      </c>
      <c r="D37" vm="107">
        <f ca="1"/>
        <v>6619639</v>
      </c>
      <c r="E37">
        <f t="shared" ca="1" si="1"/>
        <v>1062849237.84</v>
      </c>
      <c r="F37">
        <f ca="1">SUM($E$2:E37)/SUM($D$2:D37)</f>
        <v>153.86602152952938</v>
      </c>
      <c r="G37">
        <f ca="1">_xlfn.STDEV.P($C$2:C37)</f>
        <v>4.414176411864589</v>
      </c>
      <c r="H37">
        <f t="shared" ca="1" si="2"/>
        <v>158.28019794139396</v>
      </c>
      <c r="I37">
        <f t="shared" ca="1" si="3"/>
        <v>149.45184511766479</v>
      </c>
      <c r="J37">
        <f t="shared" ca="1" si="12"/>
        <v>157.75850000000005</v>
      </c>
      <c r="K37">
        <f t="shared" ca="1" si="13"/>
        <v>1.4492331002800671</v>
      </c>
      <c r="L37">
        <f t="shared" ca="1" si="14"/>
        <v>160.65696620056019</v>
      </c>
      <c r="M37">
        <f t="shared" ca="1" si="15"/>
        <v>154.86003379943992</v>
      </c>
      <c r="N37">
        <f t="shared" ca="1" si="4"/>
        <v>0.15999999999999659</v>
      </c>
      <c r="O37">
        <f t="shared" ca="1" si="5"/>
        <v>0.15999999999999659</v>
      </c>
      <c r="P37">
        <f t="shared" ca="1" si="6"/>
        <v>0</v>
      </c>
      <c r="Q37">
        <f t="shared" ca="1" si="10"/>
        <v>0.72472754945581119</v>
      </c>
      <c r="R37">
        <f t="shared" ca="1" si="11"/>
        <v>0.29136693060393737</v>
      </c>
      <c r="S37">
        <f t="shared" ca="1" si="8"/>
        <v>2.4873363217768598</v>
      </c>
      <c r="T37">
        <f t="shared" ca="1" si="9"/>
        <v>71.324819067336691</v>
      </c>
      <c r="U37">
        <f>70</f>
        <v>70</v>
      </c>
      <c r="V37">
        <f>30</f>
        <v>30</v>
      </c>
      <c r="W37">
        <f t="shared" ca="1" si="7"/>
        <v>158.070482001519</v>
      </c>
      <c r="X37">
        <f t="shared" ca="1" si="17"/>
        <v>155.55734236778352</v>
      </c>
      <c r="Y37">
        <f t="shared" ca="1" si="16"/>
        <v>2.5630680482094021</v>
      </c>
      <c r="Z37">
        <f ca="1">Y37*(2/(9+1)) + Z36*(1-(2/(9+1)))</f>
        <v>2.7410186856606518</v>
      </c>
      <c r="AA37">
        <f ca="1">Y37-Z37</f>
        <v>-0.17795063745124962</v>
      </c>
    </row>
    <row r="38" spans="1:27" x14ac:dyDescent="0.25">
      <c r="A38" s="20">
        <f t="shared" ca="1" si="0"/>
        <v>45341</v>
      </c>
      <c r="B38" vm="108">
        <f ca="1"/>
        <v>45345</v>
      </c>
      <c r="C38" vm="109">
        <f ca="1"/>
        <v>161.03</v>
      </c>
      <c r="D38" vm="110">
        <f ca="1"/>
        <v>5486533</v>
      </c>
      <c r="E38">
        <f t="shared" ca="1" si="1"/>
        <v>883496408.99000001</v>
      </c>
      <c r="F38">
        <f ca="1">SUM($E$2:E38)/SUM($D$2:D38)</f>
        <v>154.00374658171282</v>
      </c>
      <c r="G38">
        <f ca="1">_xlfn.STDEV.P($C$2:C38)</f>
        <v>4.4983136682862321</v>
      </c>
      <c r="H38">
        <f t="shared" ca="1" si="2"/>
        <v>158.50206024999906</v>
      </c>
      <c r="I38">
        <f t="shared" ca="1" si="3"/>
        <v>149.50543291342657</v>
      </c>
      <c r="J38">
        <f t="shared" ca="1" si="12"/>
        <v>158.02900000000002</v>
      </c>
      <c r="K38">
        <f t="shared" ca="1" si="13"/>
        <v>1.5316207445915471</v>
      </c>
      <c r="L38">
        <f t="shared" ca="1" si="14"/>
        <v>161.09224148918312</v>
      </c>
      <c r="M38">
        <f t="shared" ca="1" si="15"/>
        <v>154.96575851081693</v>
      </c>
      <c r="N38">
        <f t="shared" ca="1" si="4"/>
        <v>0.46999999999999886</v>
      </c>
      <c r="O38">
        <f t="shared" ca="1" si="5"/>
        <v>0.46999999999999886</v>
      </c>
      <c r="P38">
        <f t="shared" ca="1" si="6"/>
        <v>0</v>
      </c>
      <c r="Q38">
        <f t="shared" ca="1" si="10"/>
        <v>0.70653272449468163</v>
      </c>
      <c r="R38">
        <f t="shared" ca="1" si="11"/>
        <v>0.27055500698937041</v>
      </c>
      <c r="S38">
        <f t="shared" ca="1" si="8"/>
        <v>2.6114198822513011</v>
      </c>
      <c r="T38">
        <f t="shared" ca="1" si="9"/>
        <v>72.310059959668379</v>
      </c>
      <c r="U38">
        <f>70</f>
        <v>70</v>
      </c>
      <c r="V38">
        <f>30</f>
        <v>30</v>
      </c>
      <c r="W38">
        <f t="shared" ca="1" si="7"/>
        <v>158.52579246282377</v>
      </c>
      <c r="X38">
        <f t="shared" ca="1" si="17"/>
        <v>155.96272441461437</v>
      </c>
      <c r="Y38">
        <f t="shared" ca="1" si="16"/>
        <v>2.5083616145555254</v>
      </c>
      <c r="Z38">
        <f t="shared" ref="Z38:Z101" ca="1" si="18">Y38*(2/(9+1)) + Z37*(1-(2/(9+1)))</f>
        <v>2.6944872714396264</v>
      </c>
      <c r="AA38">
        <f t="shared" ref="AA38:AA101" ca="1" si="19">Y38-Z38</f>
        <v>-0.18612565688410099</v>
      </c>
    </row>
    <row r="39" spans="1:27" x14ac:dyDescent="0.25">
      <c r="A39" s="20">
        <f t="shared" ca="1" si="0"/>
        <v>45348</v>
      </c>
      <c r="B39" vm="111">
        <f ca="1"/>
        <v>45348</v>
      </c>
      <c r="C39" vm="112">
        <f ca="1"/>
        <v>160.22</v>
      </c>
      <c r="D39" vm="113">
        <f ca="1"/>
        <v>4531936</v>
      </c>
      <c r="E39">
        <f t="shared" ca="1" si="1"/>
        <v>726106785.91999996</v>
      </c>
      <c r="F39">
        <f ca="1">SUM($E$2:E39)/SUM($D$2:D39)</f>
        <v>154.10091627711944</v>
      </c>
      <c r="G39">
        <f ca="1">_xlfn.STDEV.P($C$2:C39)</f>
        <v>4.5404004317166136</v>
      </c>
      <c r="H39">
        <f t="shared" ca="1" si="2"/>
        <v>158.64131670883606</v>
      </c>
      <c r="I39">
        <f t="shared" ca="1" si="3"/>
        <v>149.56051584540282</v>
      </c>
      <c r="J39">
        <f t="shared" ca="1" si="12"/>
        <v>158.23300000000003</v>
      </c>
      <c r="K39">
        <f t="shared" ca="1" si="13"/>
        <v>1.538475321800606</v>
      </c>
      <c r="L39">
        <f t="shared" ca="1" si="14"/>
        <v>161.30995064360124</v>
      </c>
      <c r="M39">
        <f t="shared" ca="1" si="15"/>
        <v>155.15604935639882</v>
      </c>
      <c r="N39">
        <f t="shared" ca="1" si="4"/>
        <v>-0.81000000000000227</v>
      </c>
      <c r="O39">
        <f t="shared" ca="1" si="5"/>
        <v>0</v>
      </c>
      <c r="P39">
        <f t="shared" ca="1" si="6"/>
        <v>0.81000000000000227</v>
      </c>
      <c r="Q39">
        <f t="shared" ca="1" si="10"/>
        <v>0.65606610131649012</v>
      </c>
      <c r="R39">
        <f t="shared" ca="1" si="11"/>
        <v>0.30908679220441554</v>
      </c>
      <c r="S39">
        <f t="shared" ca="1" si="8"/>
        <v>2.1225950699394449</v>
      </c>
      <c r="T39">
        <f t="shared" ca="1" si="9"/>
        <v>67.975354549592865</v>
      </c>
      <c r="U39">
        <f>70</f>
        <v>70</v>
      </c>
      <c r="V39">
        <f>30</f>
        <v>30</v>
      </c>
      <c r="W39">
        <f t="shared" ca="1" si="7"/>
        <v>158.78643977623551</v>
      </c>
      <c r="X39">
        <f t="shared" ca="1" si="17"/>
        <v>156.27807816167999</v>
      </c>
      <c r="Y39">
        <f t="shared" ca="1" si="16"/>
        <v>2.3635248176522907</v>
      </c>
      <c r="Z39">
        <f t="shared" ca="1" si="18"/>
        <v>2.6282947806821597</v>
      </c>
      <c r="AA39">
        <f t="shared" ca="1" si="19"/>
        <v>-0.26476996302986899</v>
      </c>
    </row>
    <row r="40" spans="1:27" x14ac:dyDescent="0.25">
      <c r="A40" s="20">
        <f t="shared" ca="1" si="0"/>
        <v>45348</v>
      </c>
      <c r="B40" vm="114">
        <f ca="1"/>
        <v>45349</v>
      </c>
      <c r="C40" vm="115">
        <f ca="1"/>
        <v>159.30000000000001</v>
      </c>
      <c r="D40" vm="116">
        <f ca="1"/>
        <v>3868405</v>
      </c>
      <c r="E40">
        <f t="shared" ca="1" si="1"/>
        <v>616236916.5</v>
      </c>
      <c r="F40">
        <f ca="1">SUM($E$2:E40)/SUM($D$2:D40)</f>
        <v>154.1693737210538</v>
      </c>
      <c r="G40">
        <f ca="1">_xlfn.STDEV.P($C$2:C40)</f>
        <v>4.5480215406541102</v>
      </c>
      <c r="H40">
        <f t="shared" ca="1" si="2"/>
        <v>158.71739526170791</v>
      </c>
      <c r="I40">
        <f t="shared" ca="1" si="3"/>
        <v>149.6213521803997</v>
      </c>
      <c r="J40">
        <f t="shared" ca="1" si="12"/>
        <v>158.39000000000004</v>
      </c>
      <c r="K40">
        <f t="shared" ca="1" si="13"/>
        <v>1.474688191841889</v>
      </c>
      <c r="L40">
        <f t="shared" ca="1" si="14"/>
        <v>161.33937638368383</v>
      </c>
      <c r="M40">
        <f t="shared" ca="1" si="15"/>
        <v>155.44062361631626</v>
      </c>
      <c r="N40">
        <f t="shared" ca="1" si="4"/>
        <v>-0.91999999999998749</v>
      </c>
      <c r="O40">
        <f t="shared" ca="1" si="5"/>
        <v>0</v>
      </c>
      <c r="P40">
        <f t="shared" ca="1" si="6"/>
        <v>0.91999999999998749</v>
      </c>
      <c r="Q40">
        <f t="shared" ca="1" si="10"/>
        <v>0.60920423693674075</v>
      </c>
      <c r="R40">
        <f t="shared" ca="1" si="11"/>
        <v>0.35272344990409926</v>
      </c>
      <c r="S40">
        <f t="shared" ca="1" si="8"/>
        <v>1.7271441326126038</v>
      </c>
      <c r="T40">
        <f t="shared" ca="1" si="9"/>
        <v>63.331604368046357</v>
      </c>
      <c r="U40">
        <f>70</f>
        <v>70</v>
      </c>
      <c r="V40">
        <f>30</f>
        <v>30</v>
      </c>
      <c r="W40">
        <f t="shared" ca="1" si="7"/>
        <v>158.86544904143005</v>
      </c>
      <c r="X40">
        <f t="shared" ca="1" si="17"/>
        <v>156.50192422377776</v>
      </c>
      <c r="Y40">
        <f t="shared" ca="1" si="16"/>
        <v>2.2829429987947378</v>
      </c>
      <c r="Z40">
        <f t="shared" ca="1" si="18"/>
        <v>2.5592244243046753</v>
      </c>
      <c r="AA40">
        <f t="shared" ca="1" si="19"/>
        <v>-0.27628142550993751</v>
      </c>
    </row>
    <row r="41" spans="1:27" x14ac:dyDescent="0.25">
      <c r="A41" s="20">
        <f t="shared" ca="1" si="0"/>
        <v>45348</v>
      </c>
      <c r="B41" vm="117">
        <f ca="1"/>
        <v>45350</v>
      </c>
      <c r="C41" vm="118">
        <f ca="1"/>
        <v>160.05000000000001</v>
      </c>
      <c r="D41" vm="119">
        <f ca="1"/>
        <v>3802915</v>
      </c>
      <c r="E41">
        <f t="shared" ca="1" si="1"/>
        <v>608656545.75</v>
      </c>
      <c r="F41">
        <f ca="1">SUM($E$2:E41)/SUM($D$2:D41)</f>
        <v>154.24452157220389</v>
      </c>
      <c r="G41">
        <f ca="1">_xlfn.STDEV.P($C$2:C41)</f>
        <v>4.5726510636609925</v>
      </c>
      <c r="H41">
        <f t="shared" ca="1" si="2"/>
        <v>158.81717263586489</v>
      </c>
      <c r="I41">
        <f t="shared" ca="1" si="3"/>
        <v>149.6718705085429</v>
      </c>
      <c r="J41">
        <f t="shared" ca="1" si="12"/>
        <v>158.51800000000003</v>
      </c>
      <c r="K41">
        <f t="shared" ca="1" si="13"/>
        <v>1.503282723697851</v>
      </c>
      <c r="L41">
        <f t="shared" ca="1" si="14"/>
        <v>161.52456544739573</v>
      </c>
      <c r="M41">
        <f t="shared" ca="1" si="15"/>
        <v>155.51143455260433</v>
      </c>
      <c r="N41">
        <f t="shared" ca="1" si="4"/>
        <v>0.75</v>
      </c>
      <c r="O41">
        <f t="shared" ca="1" si="5"/>
        <v>0.75</v>
      </c>
      <c r="P41">
        <f t="shared" ca="1" si="6"/>
        <v>0</v>
      </c>
      <c r="Q41">
        <f t="shared" ca="1" si="10"/>
        <v>0.61926107715554501</v>
      </c>
      <c r="R41">
        <f t="shared" ca="1" si="11"/>
        <v>0.32752891776809218</v>
      </c>
      <c r="S41">
        <f t="shared" ca="1" si="8"/>
        <v>1.8907065714240678</v>
      </c>
      <c r="T41">
        <f t="shared" ca="1" si="9"/>
        <v>65.406381613220489</v>
      </c>
      <c r="U41">
        <f>70</f>
        <v>70</v>
      </c>
      <c r="V41">
        <f>30</f>
        <v>30</v>
      </c>
      <c r="W41">
        <f t="shared" ca="1" si="7"/>
        <v>159.04768765044082</v>
      </c>
      <c r="X41">
        <f t="shared" ca="1" si="17"/>
        <v>156.76474465164608</v>
      </c>
      <c r="Y41">
        <f t="shared" ca="1" si="16"/>
        <v>2.1052456421537045</v>
      </c>
      <c r="Z41">
        <f t="shared" ca="1" si="18"/>
        <v>2.4684286678744813</v>
      </c>
      <c r="AA41">
        <f t="shared" ca="1" si="19"/>
        <v>-0.36318302572077688</v>
      </c>
    </row>
    <row r="42" spans="1:27" x14ac:dyDescent="0.25">
      <c r="A42" s="20">
        <f t="shared" ca="1" si="0"/>
        <v>45348</v>
      </c>
      <c r="B42" vm="120">
        <f ca="1"/>
        <v>45351</v>
      </c>
      <c r="C42" vm="121">
        <f ca="1"/>
        <v>158.94</v>
      </c>
      <c r="D42" vm="122">
        <f ca="1"/>
        <v>8348201</v>
      </c>
      <c r="E42">
        <f t="shared" ca="1" si="1"/>
        <v>1326863066.9400001</v>
      </c>
      <c r="F42">
        <f ca="1">SUM($E$2:E42)/SUM($D$2:D42)</f>
        <v>154.37264657377742</v>
      </c>
      <c r="G42">
        <f ca="1">_xlfn.STDEV.P($C$2:C42)</f>
        <v>4.5642866291541733</v>
      </c>
      <c r="H42">
        <f t="shared" ca="1" si="2"/>
        <v>158.93693320293158</v>
      </c>
      <c r="I42">
        <f t="shared" ca="1" si="3"/>
        <v>149.80835994462325</v>
      </c>
      <c r="J42">
        <f t="shared" ca="1" si="12"/>
        <v>158.608</v>
      </c>
      <c r="K42">
        <f t="shared" ca="1" si="13"/>
        <v>1.4699538123785798</v>
      </c>
      <c r="L42">
        <f t="shared" ca="1" si="14"/>
        <v>161.54790762475716</v>
      </c>
      <c r="M42">
        <f t="shared" ca="1" si="15"/>
        <v>155.66809237524285</v>
      </c>
      <c r="N42">
        <f t="shared" ca="1" si="4"/>
        <v>-1.1100000000000136</v>
      </c>
      <c r="O42">
        <f t="shared" ca="1" si="5"/>
        <v>0</v>
      </c>
      <c r="P42">
        <f t="shared" ca="1" si="6"/>
        <v>1.1100000000000136</v>
      </c>
      <c r="Q42">
        <f t="shared" ca="1" si="10"/>
        <v>0.57502814307300609</v>
      </c>
      <c r="R42">
        <f t="shared" ca="1" si="11"/>
        <v>0.3834197093560866</v>
      </c>
      <c r="S42">
        <f t="shared" ca="1" si="8"/>
        <v>1.4997354831829222</v>
      </c>
      <c r="T42">
        <f t="shared" ca="1" si="9"/>
        <v>59.995767283076837</v>
      </c>
      <c r="U42">
        <f>70</f>
        <v>70</v>
      </c>
      <c r="V42">
        <f>30</f>
        <v>30</v>
      </c>
      <c r="W42">
        <f t="shared" ca="1" si="7"/>
        <v>159.03112031960379</v>
      </c>
      <c r="X42">
        <f t="shared" ca="1" si="17"/>
        <v>156.92587467745008</v>
      </c>
      <c r="Y42">
        <f t="shared" ca="1" si="16"/>
        <v>1.9348531759289358</v>
      </c>
      <c r="Z42">
        <f t="shared" ca="1" si="18"/>
        <v>2.3617135694853726</v>
      </c>
      <c r="AA42">
        <f t="shared" ca="1" si="19"/>
        <v>-0.42686039355643679</v>
      </c>
    </row>
    <row r="43" spans="1:27" x14ac:dyDescent="0.25">
      <c r="A43" s="20">
        <f t="shared" ca="1" si="0"/>
        <v>45348</v>
      </c>
      <c r="B43" vm="123">
        <f ca="1"/>
        <v>45352</v>
      </c>
      <c r="C43" vm="124">
        <f ca="1"/>
        <v>158.85</v>
      </c>
      <c r="D43" vm="125">
        <f ca="1"/>
        <v>4819929</v>
      </c>
      <c r="E43">
        <f t="shared" ca="1" si="1"/>
        <v>765645721.64999998</v>
      </c>
      <c r="F43">
        <f ca="1">SUM($E$2:E43)/SUM($D$2:D43)</f>
        <v>154.44209052837741</v>
      </c>
      <c r="G43">
        <f ca="1">_xlfn.STDEV.P($C$2:C43)</f>
        <v>4.5522014870483067</v>
      </c>
      <c r="H43">
        <f t="shared" ca="1" si="2"/>
        <v>158.99429201542571</v>
      </c>
      <c r="I43">
        <f t="shared" ca="1" si="3"/>
        <v>149.8898890413291</v>
      </c>
      <c r="J43">
        <f t="shared" ca="1" si="12"/>
        <v>158.5915</v>
      </c>
      <c r="K43">
        <f t="shared" ca="1" si="13"/>
        <v>1.4650391588084295</v>
      </c>
      <c r="L43">
        <f t="shared" ca="1" si="14"/>
        <v>161.52157831761684</v>
      </c>
      <c r="M43">
        <f t="shared" ca="1" si="15"/>
        <v>155.66142168238315</v>
      </c>
      <c r="N43">
        <f t="shared" ca="1" si="4"/>
        <v>-9.0000000000003411E-2</v>
      </c>
      <c r="O43">
        <f t="shared" ca="1" si="5"/>
        <v>0</v>
      </c>
      <c r="P43">
        <f t="shared" ca="1" si="6"/>
        <v>9.0000000000003411E-2</v>
      </c>
      <c r="Q43">
        <f t="shared" ca="1" si="10"/>
        <v>0.53395470428207703</v>
      </c>
      <c r="R43">
        <f t="shared" ca="1" si="11"/>
        <v>0.36246115868779494</v>
      </c>
      <c r="S43">
        <f t="shared" ca="1" si="8"/>
        <v>1.4731363388428542</v>
      </c>
      <c r="T43">
        <f t="shared" ca="1" si="9"/>
        <v>59.565512653140431</v>
      </c>
      <c r="U43">
        <f>70</f>
        <v>70</v>
      </c>
      <c r="V43">
        <f>30</f>
        <v>30</v>
      </c>
      <c r="W43">
        <f t="shared" ca="1" si="7"/>
        <v>159.00325565504937</v>
      </c>
      <c r="X43">
        <f t="shared" ca="1" si="17"/>
        <v>157.06840247912044</v>
      </c>
      <c r="Y43">
        <f t="shared" ca="1" si="16"/>
        <v>1.8359433727507621</v>
      </c>
      <c r="Z43">
        <f t="shared" ca="1" si="18"/>
        <v>2.2565595301384507</v>
      </c>
      <c r="AA43">
        <f t="shared" ca="1" si="19"/>
        <v>-0.42061615738768854</v>
      </c>
    </row>
    <row r="44" spans="1:27" x14ac:dyDescent="0.25">
      <c r="A44" s="20">
        <f t="shared" ca="1" si="0"/>
        <v>45355</v>
      </c>
      <c r="B44" vm="126">
        <f ca="1"/>
        <v>45355</v>
      </c>
      <c r="C44" vm="127">
        <f ca="1"/>
        <v>159.56</v>
      </c>
      <c r="D44" vm="128">
        <f ca="1"/>
        <v>3841623</v>
      </c>
      <c r="E44">
        <f t="shared" ca="1" si="1"/>
        <v>612969365.88</v>
      </c>
      <c r="F44">
        <f ca="1">SUM($E$2:E44)/SUM($D$2:D44)</f>
        <v>154.50458533847171</v>
      </c>
      <c r="G44">
        <f ca="1">_xlfn.STDEV.P($C$2:C44)</f>
        <v>4.5540862970613203</v>
      </c>
      <c r="H44">
        <f t="shared" ca="1" si="2"/>
        <v>159.05867163553305</v>
      </c>
      <c r="I44">
        <f t="shared" ca="1" si="3"/>
        <v>149.95049904141038</v>
      </c>
      <c r="J44">
        <f t="shared" ca="1" si="12"/>
        <v>158.66500000000002</v>
      </c>
      <c r="K44">
        <f t="shared" ca="1" si="13"/>
        <v>1.4753929003917301</v>
      </c>
      <c r="L44">
        <f t="shared" ca="1" si="14"/>
        <v>161.61578580078347</v>
      </c>
      <c r="M44">
        <f t="shared" ca="1" si="15"/>
        <v>155.71421419921657</v>
      </c>
      <c r="N44">
        <f t="shared" ca="1" si="4"/>
        <v>0.71000000000000796</v>
      </c>
      <c r="O44">
        <f t="shared" ca="1" si="5"/>
        <v>0.71000000000000796</v>
      </c>
      <c r="P44">
        <f t="shared" ca="1" si="6"/>
        <v>0</v>
      </c>
      <c r="Q44">
        <f t="shared" ca="1" si="10"/>
        <v>0.54652936826192922</v>
      </c>
      <c r="R44">
        <f t="shared" ca="1" si="11"/>
        <v>0.33657107592438101</v>
      </c>
      <c r="S44">
        <f t="shared" ca="1" si="8"/>
        <v>1.6238156138667141</v>
      </c>
      <c r="T44">
        <f t="shared" ca="1" si="9"/>
        <v>61.887565775771073</v>
      </c>
      <c r="U44">
        <f>70</f>
        <v>70</v>
      </c>
      <c r="V44">
        <f>30</f>
        <v>30</v>
      </c>
      <c r="W44">
        <f t="shared" ca="1" si="7"/>
        <v>159.08890863119561</v>
      </c>
      <c r="X44">
        <f t="shared" ca="1" si="17"/>
        <v>157.25296525844485</v>
      </c>
      <c r="Y44">
        <f t="shared" ca="1" si="16"/>
        <v>1.7183822064687035</v>
      </c>
      <c r="Z44">
        <f t="shared" ca="1" si="18"/>
        <v>2.1489240654045014</v>
      </c>
      <c r="AA44">
        <f t="shared" ca="1" si="19"/>
        <v>-0.43054185893579788</v>
      </c>
    </row>
    <row r="45" spans="1:27" x14ac:dyDescent="0.25">
      <c r="A45" s="20">
        <f t="shared" ca="1" si="0"/>
        <v>45355</v>
      </c>
      <c r="B45" vm="129">
        <f ca="1"/>
        <v>45356</v>
      </c>
      <c r="C45" vm="130">
        <f ca="1"/>
        <v>159.32</v>
      </c>
      <c r="D45" vm="131">
        <f ca="1"/>
        <v>4481715</v>
      </c>
      <c r="E45">
        <f t="shared" ca="1" si="1"/>
        <v>714026833.79999995</v>
      </c>
      <c r="F45">
        <f ca="1">SUM($E$2:E45)/SUM($D$2:D45)</f>
        <v>154.57222032420884</v>
      </c>
      <c r="G45">
        <f ca="1">_xlfn.STDEV.P($C$2:C45)</f>
        <v>4.5482286705107748</v>
      </c>
      <c r="H45">
        <f t="shared" ca="1" si="2"/>
        <v>159.12044899471962</v>
      </c>
      <c r="I45">
        <f t="shared" ca="1" si="3"/>
        <v>150.02399165369806</v>
      </c>
      <c r="J45">
        <f t="shared" ca="1" si="12"/>
        <v>158.72050000000002</v>
      </c>
      <c r="K45">
        <f t="shared" ca="1" si="13"/>
        <v>1.4782510113751264</v>
      </c>
      <c r="L45">
        <f t="shared" ca="1" si="14"/>
        <v>161.67700202275026</v>
      </c>
      <c r="M45">
        <f t="shared" ca="1" si="15"/>
        <v>155.76399797724977</v>
      </c>
      <c r="N45">
        <f t="shared" ca="1" si="4"/>
        <v>-0.24000000000000909</v>
      </c>
      <c r="O45">
        <f t="shared" ca="1" si="5"/>
        <v>0</v>
      </c>
      <c r="P45">
        <f t="shared" ca="1" si="6"/>
        <v>0.24000000000000909</v>
      </c>
      <c r="Q45">
        <f t="shared" ca="1" si="10"/>
        <v>0.50749155624321995</v>
      </c>
      <c r="R45">
        <f t="shared" ca="1" si="11"/>
        <v>0.32967314192978303</v>
      </c>
      <c r="S45">
        <f t="shared" ca="1" si="8"/>
        <v>1.5393779222430877</v>
      </c>
      <c r="T45">
        <f t="shared" ca="1" si="9"/>
        <v>60.620276673246089</v>
      </c>
      <c r="U45">
        <f>70</f>
        <v>70</v>
      </c>
      <c r="V45">
        <f>30</f>
        <v>30</v>
      </c>
      <c r="W45">
        <f t="shared" ca="1" si="7"/>
        <v>159.12446114947321</v>
      </c>
      <c r="X45">
        <f t="shared" ca="1" si="17"/>
        <v>157.4060789430045</v>
      </c>
      <c r="Y45">
        <f t="shared" ca="1" si="16"/>
        <v>1.6266361963449469</v>
      </c>
      <c r="Z45">
        <f t="shared" ca="1" si="18"/>
        <v>2.0444664915925905</v>
      </c>
      <c r="AA45">
        <f t="shared" ca="1" si="19"/>
        <v>-0.41783029524764359</v>
      </c>
    </row>
    <row r="46" spans="1:27" x14ac:dyDescent="0.25">
      <c r="A46" s="20">
        <f t="shared" ca="1" si="0"/>
        <v>45355</v>
      </c>
      <c r="B46" vm="132">
        <f ca="1"/>
        <v>45357</v>
      </c>
      <c r="C46" vm="133">
        <f ca="1"/>
        <v>159.57</v>
      </c>
      <c r="D46" vm="134">
        <f ca="1"/>
        <v>5405719</v>
      </c>
      <c r="E46">
        <f t="shared" ca="1" si="1"/>
        <v>862590580.82999992</v>
      </c>
      <c r="F46">
        <f ca="1">SUM($E$2:E46)/SUM($D$2:D46)</f>
        <v>154.65547874340774</v>
      </c>
      <c r="G46">
        <f ca="1">_xlfn.STDEV.P($C$2:C46)</f>
        <v>4.5458430339034903</v>
      </c>
      <c r="H46">
        <f t="shared" ca="1" si="2"/>
        <v>159.20132177731122</v>
      </c>
      <c r="I46">
        <f t="shared" ca="1" si="3"/>
        <v>150.10963570950426</v>
      </c>
      <c r="J46">
        <f t="shared" ca="1" si="12"/>
        <v>158.75100000000003</v>
      </c>
      <c r="K46">
        <f t="shared" ca="1" si="13"/>
        <v>1.4897011356927319</v>
      </c>
      <c r="L46">
        <f t="shared" ca="1" si="14"/>
        <v>161.73040227138549</v>
      </c>
      <c r="M46">
        <f t="shared" ca="1" si="15"/>
        <v>155.77159772861458</v>
      </c>
      <c r="N46">
        <f t="shared" ca="1" si="4"/>
        <v>0.25</v>
      </c>
      <c r="O46">
        <f t="shared" ca="1" si="5"/>
        <v>0.25</v>
      </c>
      <c r="P46">
        <f t="shared" ca="1" si="6"/>
        <v>0</v>
      </c>
      <c r="Q46">
        <f t="shared" ca="1" si="10"/>
        <v>0.48909930222584708</v>
      </c>
      <c r="R46">
        <f t="shared" ca="1" si="11"/>
        <v>0.30612506036336995</v>
      </c>
      <c r="S46">
        <f t="shared" ca="1" si="8"/>
        <v>1.5977107579669791</v>
      </c>
      <c r="T46">
        <f t="shared" ca="1" si="9"/>
        <v>61.504567168108423</v>
      </c>
      <c r="U46">
        <f>70</f>
        <v>70</v>
      </c>
      <c r="V46">
        <f>30</f>
        <v>30</v>
      </c>
      <c r="W46">
        <f t="shared" ca="1" si="7"/>
        <v>159.19300558801578</v>
      </c>
      <c r="X46">
        <f t="shared" ca="1" si="17"/>
        <v>157.56636939167083</v>
      </c>
      <c r="Y46">
        <f t="shared" ca="1" si="16"/>
        <v>1.6199789383124426</v>
      </c>
      <c r="Z46">
        <f t="shared" ca="1" si="18"/>
        <v>1.9595689809365611</v>
      </c>
      <c r="AA46">
        <f t="shared" ca="1" si="19"/>
        <v>-0.33959004262411852</v>
      </c>
    </row>
    <row r="47" spans="1:27" x14ac:dyDescent="0.25">
      <c r="A47" s="20">
        <f t="shared" ca="1" si="0"/>
        <v>45355</v>
      </c>
      <c r="B47" vm="135">
        <f ca="1"/>
        <v>45358</v>
      </c>
      <c r="C47" vm="136">
        <f ca="1"/>
        <v>160.62</v>
      </c>
      <c r="D47" vm="137">
        <f ca="1"/>
        <v>4783943</v>
      </c>
      <c r="E47">
        <f t="shared" ca="1" si="1"/>
        <v>768396924.65999997</v>
      </c>
      <c r="F47">
        <f ca="1">SUM($E$2:E47)/SUM($D$2:D47)</f>
        <v>154.7421356424278</v>
      </c>
      <c r="G47">
        <f ca="1">_xlfn.STDEV.P($C$2:C47)</f>
        <v>4.565611680695544</v>
      </c>
      <c r="H47">
        <f t="shared" ca="1" si="2"/>
        <v>159.30774732312335</v>
      </c>
      <c r="I47">
        <f t="shared" ca="1" si="3"/>
        <v>150.17652396173224</v>
      </c>
      <c r="J47">
        <f t="shared" ca="1" si="12"/>
        <v>158.82600000000002</v>
      </c>
      <c r="K47">
        <f t="shared" ca="1" si="13"/>
        <v>1.5459536317687388</v>
      </c>
      <c r="L47">
        <f t="shared" ca="1" si="14"/>
        <v>161.9179072635375</v>
      </c>
      <c r="M47">
        <f t="shared" ca="1" si="15"/>
        <v>155.73409273646254</v>
      </c>
      <c r="N47">
        <f t="shared" ca="1" si="4"/>
        <v>1.0500000000000114</v>
      </c>
      <c r="O47">
        <f t="shared" ca="1" si="5"/>
        <v>1.0500000000000114</v>
      </c>
      <c r="P47">
        <f t="shared" ca="1" si="6"/>
        <v>0</v>
      </c>
      <c r="Q47">
        <f t="shared" ca="1" si="10"/>
        <v>0.5291636377811445</v>
      </c>
      <c r="R47">
        <f t="shared" ca="1" si="11"/>
        <v>0.28425898462312926</v>
      </c>
      <c r="S47">
        <f t="shared" ca="1" si="8"/>
        <v>1.861554661087353</v>
      </c>
      <c r="T47">
        <f t="shared" ca="1" si="9"/>
        <v>65.053961275021976</v>
      </c>
      <c r="U47">
        <f>70</f>
        <v>70</v>
      </c>
      <c r="V47">
        <f>30</f>
        <v>30</v>
      </c>
      <c r="W47">
        <f t="shared" ca="1" si="7"/>
        <v>159.41254318985952</v>
      </c>
      <c r="X47">
        <f t="shared" ca="1" si="17"/>
        <v>157.79256425154708</v>
      </c>
      <c r="Y47">
        <f t="shared" ca="1" si="16"/>
        <v>1.5747633778788668</v>
      </c>
      <c r="Z47">
        <f t="shared" ca="1" si="18"/>
        <v>1.8826078603250225</v>
      </c>
      <c r="AA47">
        <f t="shared" ca="1" si="19"/>
        <v>-0.3078444824461557</v>
      </c>
    </row>
    <row r="48" spans="1:27" x14ac:dyDescent="0.25">
      <c r="A48" s="20">
        <f t="shared" ca="1" si="0"/>
        <v>45355</v>
      </c>
      <c r="B48" vm="138">
        <f ca="1"/>
        <v>45359</v>
      </c>
      <c r="C48" vm="139">
        <f ca="1"/>
        <v>160.35</v>
      </c>
      <c r="D48" vm="140">
        <f ca="1"/>
        <v>5080225</v>
      </c>
      <c r="E48">
        <f t="shared" ca="1" si="1"/>
        <v>814614078.75</v>
      </c>
      <c r="F48">
        <f ca="1">SUM($E$2:E48)/SUM($D$2:D48)</f>
        <v>154.82734212625138</v>
      </c>
      <c r="G48">
        <f ca="1">_xlfn.STDEV.P($C$2:C48)</f>
        <v>4.5752301393950843</v>
      </c>
      <c r="H48">
        <f t="shared" ca="1" si="2"/>
        <v>159.40257226564646</v>
      </c>
      <c r="I48">
        <f t="shared" ca="1" si="3"/>
        <v>150.25211198685631</v>
      </c>
      <c r="J48">
        <f t="shared" ca="1" si="12"/>
        <v>158.91149999999999</v>
      </c>
      <c r="K48">
        <f t="shared" ca="1" si="13"/>
        <v>1.5819916660902333</v>
      </c>
      <c r="L48">
        <f t="shared" ca="1" si="14"/>
        <v>162.07548333218045</v>
      </c>
      <c r="M48">
        <f t="shared" ca="1" si="15"/>
        <v>155.74751666781953</v>
      </c>
      <c r="N48">
        <f t="shared" ca="1" si="4"/>
        <v>-0.27000000000001023</v>
      </c>
      <c r="O48">
        <f t="shared" ca="1" si="5"/>
        <v>0</v>
      </c>
      <c r="P48">
        <f t="shared" ca="1" si="6"/>
        <v>0.27000000000001023</v>
      </c>
      <c r="Q48">
        <f t="shared" ca="1" si="10"/>
        <v>0.49136623508249133</v>
      </c>
      <c r="R48">
        <f t="shared" ca="1" si="11"/>
        <v>0.28324048572147792</v>
      </c>
      <c r="S48">
        <f t="shared" ca="1" si="8"/>
        <v>1.7348022611628766</v>
      </c>
      <c r="T48">
        <f t="shared" ca="1" si="9"/>
        <v>63.434285023050045</v>
      </c>
      <c r="U48">
        <f>70</f>
        <v>70</v>
      </c>
      <c r="V48">
        <f>30</f>
        <v>30</v>
      </c>
      <c r="W48">
        <f t="shared" ca="1" si="7"/>
        <v>159.55676731449651</v>
      </c>
      <c r="X48">
        <f t="shared" ca="1" si="17"/>
        <v>157.98200393661764</v>
      </c>
      <c r="Y48">
        <f t="shared" ca="1" si="16"/>
        <v>1.6171185555690215</v>
      </c>
      <c r="Z48">
        <f t="shared" ca="1" si="18"/>
        <v>1.8295099993738224</v>
      </c>
      <c r="AA48">
        <f t="shared" ca="1" si="19"/>
        <v>-0.21239144380480091</v>
      </c>
    </row>
    <row r="49" spans="1:27" x14ac:dyDescent="0.25">
      <c r="A49" s="20">
        <f t="shared" ca="1" si="0"/>
        <v>45362</v>
      </c>
      <c r="B49" vm="141">
        <f ca="1"/>
        <v>45362</v>
      </c>
      <c r="C49" vm="142">
        <f ca="1"/>
        <v>161.55000000000001</v>
      </c>
      <c r="D49" vm="143">
        <f ca="1"/>
        <v>5171060</v>
      </c>
      <c r="E49">
        <f t="shared" ca="1" si="1"/>
        <v>835384743</v>
      </c>
      <c r="F49">
        <f ca="1">SUM($E$2:E49)/SUM($D$2:D49)</f>
        <v>154.92972975640282</v>
      </c>
      <c r="G49">
        <f ca="1">_xlfn.STDEV.P($C$2:C49)</f>
        <v>4.6115880421860487</v>
      </c>
      <c r="H49">
        <f t="shared" ca="1" si="2"/>
        <v>159.54131779858886</v>
      </c>
      <c r="I49">
        <f t="shared" ca="1" si="3"/>
        <v>150.31814171421678</v>
      </c>
      <c r="J49">
        <f t="shared" ca="1" si="12"/>
        <v>159.11799999999999</v>
      </c>
      <c r="K49">
        <f t="shared" ca="1" si="13"/>
        <v>1.6453366316893794</v>
      </c>
      <c r="L49">
        <f t="shared" ca="1" si="14"/>
        <v>162.40867326337874</v>
      </c>
      <c r="M49">
        <f t="shared" ca="1" si="15"/>
        <v>155.82732673662125</v>
      </c>
      <c r="N49">
        <f t="shared" ca="1" si="4"/>
        <v>1.2000000000000171</v>
      </c>
      <c r="O49">
        <f t="shared" ca="1" si="5"/>
        <v>1.2000000000000171</v>
      </c>
      <c r="P49">
        <f t="shared" ca="1" si="6"/>
        <v>0</v>
      </c>
      <c r="Q49">
        <f t="shared" ca="1" si="10"/>
        <v>0.54198293257660024</v>
      </c>
      <c r="R49">
        <f t="shared" ca="1" si="11"/>
        <v>0.2630090224556581</v>
      </c>
      <c r="S49">
        <f t="shared" ca="1" si="8"/>
        <v>2.0607009125246858</v>
      </c>
      <c r="T49">
        <f t="shared" ca="1" si="9"/>
        <v>67.327745226333519</v>
      </c>
      <c r="U49">
        <f>70</f>
        <v>70</v>
      </c>
      <c r="V49">
        <f>30</f>
        <v>30</v>
      </c>
      <c r="W49">
        <f t="shared" ca="1" si="7"/>
        <v>159.86341849688165</v>
      </c>
      <c r="X49">
        <f t="shared" ca="1" si="17"/>
        <v>158.24629994131263</v>
      </c>
      <c r="Y49">
        <f t="shared" ca="1" si="16"/>
        <v>1.6621875004195203</v>
      </c>
      <c r="Z49">
        <f t="shared" ca="1" si="18"/>
        <v>1.7960454995829622</v>
      </c>
      <c r="AA49">
        <f t="shared" ca="1" si="19"/>
        <v>-0.13385799916344188</v>
      </c>
    </row>
    <row r="50" spans="1:27" x14ac:dyDescent="0.25">
      <c r="A50" s="20">
        <f t="shared" ca="1" si="0"/>
        <v>45362</v>
      </c>
      <c r="B50" vm="144">
        <f ca="1"/>
        <v>45363</v>
      </c>
      <c r="C50" vm="145">
        <f ca="1"/>
        <v>161.93</v>
      </c>
      <c r="D50" vm="146">
        <f ca="1"/>
        <v>4229060</v>
      </c>
      <c r="E50">
        <f t="shared" ca="1" si="1"/>
        <v>684811685.80000007</v>
      </c>
      <c r="F50">
        <f ca="1">SUM($E$2:E50)/SUM($D$2:D50)</f>
        <v>155.01585084190719</v>
      </c>
      <c r="G50">
        <f ca="1">_xlfn.STDEV.P($C$2:C50)</f>
        <v>4.6530235945488805</v>
      </c>
      <c r="H50">
        <f t="shared" ca="1" si="2"/>
        <v>159.66887443645606</v>
      </c>
      <c r="I50">
        <f t="shared" ca="1" si="3"/>
        <v>150.36282724735833</v>
      </c>
      <c r="J50">
        <f t="shared" ca="1" si="12"/>
        <v>159.35899999999998</v>
      </c>
      <c r="K50">
        <f t="shared" ca="1" si="13"/>
        <v>1.688181519299768</v>
      </c>
      <c r="L50">
        <f t="shared" ca="1" si="14"/>
        <v>162.73536303859953</v>
      </c>
      <c r="M50">
        <f t="shared" ca="1" si="15"/>
        <v>155.98263696140043</v>
      </c>
      <c r="N50">
        <f t="shared" ca="1" si="4"/>
        <v>0.37999999999999545</v>
      </c>
      <c r="O50">
        <f t="shared" ca="1" si="5"/>
        <v>0.37999999999999545</v>
      </c>
      <c r="P50">
        <f t="shared" ca="1" si="6"/>
        <v>0</v>
      </c>
      <c r="Q50">
        <f t="shared" ca="1" si="10"/>
        <v>0.53041272310684273</v>
      </c>
      <c r="R50">
        <f t="shared" ca="1" si="11"/>
        <v>0.24422266370882539</v>
      </c>
      <c r="S50">
        <f t="shared" ca="1" si="8"/>
        <v>2.1718407090147358</v>
      </c>
      <c r="T50">
        <f t="shared" ca="1" si="9"/>
        <v>68.472565562391424</v>
      </c>
      <c r="U50">
        <f>70</f>
        <v>70</v>
      </c>
      <c r="V50">
        <f>30</f>
        <v>30</v>
      </c>
      <c r="W50">
        <f t="shared" ca="1" si="7"/>
        <v>160.18135411274602</v>
      </c>
      <c r="X50">
        <f t="shared" ca="1" si="17"/>
        <v>158.5191666123265</v>
      </c>
      <c r="Y50">
        <f t="shared" ca="1" si="16"/>
        <v>1.708071289115253</v>
      </c>
      <c r="Z50">
        <f t="shared" ca="1" si="18"/>
        <v>1.7784506574894203</v>
      </c>
      <c r="AA50">
        <f t="shared" ca="1" si="19"/>
        <v>-7.0379368374167361E-2</v>
      </c>
    </row>
    <row r="51" spans="1:27" x14ac:dyDescent="0.25">
      <c r="A51" s="20">
        <f t="shared" ca="1" si="0"/>
        <v>45362</v>
      </c>
      <c r="B51" vm="147">
        <f ca="1"/>
        <v>45364</v>
      </c>
      <c r="C51" vm="148">
        <f ca="1"/>
        <v>162.30000000000001</v>
      </c>
      <c r="D51" vm="149">
        <f ca="1"/>
        <v>5410679</v>
      </c>
      <c r="E51">
        <f t="shared" ca="1" si="1"/>
        <v>878153201.70000005</v>
      </c>
      <c r="F51">
        <f ca="1">SUM($E$2:E51)/SUM($D$2:D51)</f>
        <v>155.1287261423395</v>
      </c>
      <c r="G51">
        <f ca="1">_xlfn.STDEV.P($C$2:C51)</f>
        <v>4.6990059587108437</v>
      </c>
      <c r="H51">
        <f t="shared" ca="1" si="2"/>
        <v>159.82773210105034</v>
      </c>
      <c r="I51">
        <f t="shared" ca="1" si="3"/>
        <v>150.42972018362866</v>
      </c>
      <c r="J51">
        <f t="shared" ca="1" si="12"/>
        <v>159.66050000000001</v>
      </c>
      <c r="K51">
        <f t="shared" ca="1" si="13"/>
        <v>1.6453874123871626</v>
      </c>
      <c r="L51">
        <f t="shared" ca="1" si="14"/>
        <v>162.95127482477434</v>
      </c>
      <c r="M51">
        <f t="shared" ca="1" si="15"/>
        <v>156.36972517522568</v>
      </c>
      <c r="N51">
        <f t="shared" ca="1" si="4"/>
        <v>0.37000000000000455</v>
      </c>
      <c r="O51">
        <f t="shared" ca="1" si="5"/>
        <v>0.37000000000000455</v>
      </c>
      <c r="P51">
        <f t="shared" ca="1" si="6"/>
        <v>0</v>
      </c>
      <c r="Q51">
        <f t="shared" ca="1" si="10"/>
        <v>0.51895467145635432</v>
      </c>
      <c r="R51">
        <f t="shared" ca="1" si="11"/>
        <v>0.22677818772962358</v>
      </c>
      <c r="S51">
        <f t="shared" ca="1" si="8"/>
        <v>2.2883800097877063</v>
      </c>
      <c r="T51">
        <f t="shared" ca="1" si="9"/>
        <v>69.589889336890877</v>
      </c>
      <c r="U51">
        <f>70</f>
        <v>70</v>
      </c>
      <c r="V51">
        <f>30</f>
        <v>30</v>
      </c>
      <c r="W51">
        <f t="shared" ca="1" si="7"/>
        <v>160.507299633862</v>
      </c>
      <c r="X51">
        <f t="shared" ca="1" si="17"/>
        <v>158.79922834474675</v>
      </c>
      <c r="Y51">
        <f t="shared" ca="1" si="16"/>
        <v>1.6607372627188397</v>
      </c>
      <c r="Z51">
        <f t="shared" ca="1" si="18"/>
        <v>1.7549079785353043</v>
      </c>
      <c r="AA51">
        <f t="shared" ca="1" si="19"/>
        <v>-9.4170715816464634E-2</v>
      </c>
    </row>
    <row r="52" spans="1:27" x14ac:dyDescent="0.25">
      <c r="A52" s="20">
        <f t="shared" ca="1" si="0"/>
        <v>45362</v>
      </c>
      <c r="B52" vm="150">
        <f ca="1"/>
        <v>45365</v>
      </c>
      <c r="C52" vm="151">
        <f ca="1"/>
        <v>161.5</v>
      </c>
      <c r="D52" vm="152">
        <f ca="1"/>
        <v>5848057</v>
      </c>
      <c r="E52">
        <f t="shared" ca="1" si="1"/>
        <v>944461205.5</v>
      </c>
      <c r="F52">
        <f ca="1">SUM($E$2:E52)/SUM($D$2:D52)</f>
        <v>155.23367859284764</v>
      </c>
      <c r="G52">
        <f ca="1">_xlfn.STDEV.P($C$2:C52)</f>
        <v>4.7194203063174687</v>
      </c>
      <c r="H52">
        <f t="shared" ca="1" si="2"/>
        <v>159.9530988991651</v>
      </c>
      <c r="I52">
        <f t="shared" ca="1" si="3"/>
        <v>150.51425828653018</v>
      </c>
      <c r="J52">
        <f t="shared" ca="1" si="12"/>
        <v>159.95400000000001</v>
      </c>
      <c r="K52">
        <f t="shared" ca="1" si="13"/>
        <v>1.3927383099491499</v>
      </c>
      <c r="L52">
        <f t="shared" ca="1" si="14"/>
        <v>162.73947661989831</v>
      </c>
      <c r="M52">
        <f t="shared" ca="1" si="15"/>
        <v>157.1685233801017</v>
      </c>
      <c r="N52">
        <f t="shared" ca="1" si="4"/>
        <v>-0.80000000000001137</v>
      </c>
      <c r="O52">
        <f t="shared" ca="1" si="5"/>
        <v>0</v>
      </c>
      <c r="P52">
        <f t="shared" ca="1" si="6"/>
        <v>0.80000000000001137</v>
      </c>
      <c r="Q52">
        <f t="shared" ca="1" si="10"/>
        <v>0.48188648063804329</v>
      </c>
      <c r="R52">
        <f t="shared" ca="1" si="11"/>
        <v>0.26772260289179411</v>
      </c>
      <c r="S52">
        <f t="shared" ca="1" si="8"/>
        <v>1.7999469429662169</v>
      </c>
      <c r="T52">
        <f t="shared" ca="1" si="9"/>
        <v>64.285037525010495</v>
      </c>
      <c r="U52">
        <f>70</f>
        <v>70</v>
      </c>
      <c r="V52">
        <f>30</f>
        <v>30</v>
      </c>
      <c r="W52">
        <f t="shared" ca="1" si="7"/>
        <v>160.66002276711399</v>
      </c>
      <c r="X52">
        <f t="shared" ca="1" si="17"/>
        <v>158.99928550439515</v>
      </c>
      <c r="Y52">
        <f t="shared" ca="1" si="16"/>
        <v>1.5951537689584825</v>
      </c>
      <c r="Z52">
        <f t="shared" ca="1" si="18"/>
        <v>1.7229571366199401</v>
      </c>
      <c r="AA52">
        <f t="shared" ca="1" si="19"/>
        <v>-0.12780336766145761</v>
      </c>
    </row>
    <row r="53" spans="1:27" x14ac:dyDescent="0.25">
      <c r="A53" s="20">
        <f t="shared" ca="1" si="0"/>
        <v>45362</v>
      </c>
      <c r="B53" vm="153">
        <f ca="1"/>
        <v>45366</v>
      </c>
      <c r="C53" vm="154">
        <f ca="1"/>
        <v>161.38</v>
      </c>
      <c r="D53" vm="155">
        <f ca="1"/>
        <v>10956888</v>
      </c>
      <c r="E53">
        <f t="shared" ca="1" si="1"/>
        <v>1768222585.4400001</v>
      </c>
      <c r="F53">
        <f ca="1">SUM($E$2:E53)/SUM($D$2:D53)</f>
        <v>155.41769482625017</v>
      </c>
      <c r="G53">
        <f ca="1">_xlfn.STDEV.P($C$2:C53)</f>
        <v>4.7338337283592331</v>
      </c>
      <c r="H53">
        <f t="shared" ca="1" si="2"/>
        <v>160.1515285546094</v>
      </c>
      <c r="I53">
        <f t="shared" ca="1" si="3"/>
        <v>150.68386109789094</v>
      </c>
      <c r="J53">
        <f t="shared" ca="1" si="12"/>
        <v>160.17249999999999</v>
      </c>
      <c r="K53">
        <f t="shared" ca="1" si="13"/>
        <v>1.2410983039227834</v>
      </c>
      <c r="L53">
        <f t="shared" ca="1" si="14"/>
        <v>162.65469660784555</v>
      </c>
      <c r="M53">
        <f t="shared" ca="1" si="15"/>
        <v>157.69030339215442</v>
      </c>
      <c r="N53">
        <f t="shared" ca="1" si="4"/>
        <v>-0.12000000000000455</v>
      </c>
      <c r="O53">
        <f t="shared" ca="1" si="5"/>
        <v>0</v>
      </c>
      <c r="P53">
        <f t="shared" ca="1" si="6"/>
        <v>0.12000000000000455</v>
      </c>
      <c r="Q53">
        <f t="shared" ca="1" si="10"/>
        <v>0.4474660177353259</v>
      </c>
      <c r="R53">
        <f t="shared" ca="1" si="11"/>
        <v>0.2571709883995234</v>
      </c>
      <c r="S53">
        <f t="shared" ca="1" si="8"/>
        <v>1.7399552745824232</v>
      </c>
      <c r="T53">
        <f t="shared" ca="1" si="9"/>
        <v>63.503053890089397</v>
      </c>
      <c r="U53">
        <f>70</f>
        <v>70</v>
      </c>
      <c r="V53">
        <f>30</f>
        <v>30</v>
      </c>
      <c r="W53">
        <f t="shared" ca="1" si="7"/>
        <v>160.77078849525029</v>
      </c>
      <c r="X53">
        <f t="shared" ca="1" si="17"/>
        <v>159.1756347262918</v>
      </c>
      <c r="Y53">
        <f t="shared" ca="1" si="16"/>
        <v>1.5120310457108133</v>
      </c>
      <c r="Z53">
        <f t="shared" ca="1" si="18"/>
        <v>1.6807719184381149</v>
      </c>
      <c r="AA53">
        <f t="shared" ca="1" si="19"/>
        <v>-0.16874087272730165</v>
      </c>
    </row>
    <row r="54" spans="1:27" x14ac:dyDescent="0.25">
      <c r="A54" s="20">
        <f t="shared" ca="1" si="0"/>
        <v>45369</v>
      </c>
      <c r="B54" vm="156">
        <f ca="1"/>
        <v>45369</v>
      </c>
      <c r="C54" vm="157">
        <f ca="1"/>
        <v>161.21</v>
      </c>
      <c r="D54" vm="158">
        <f ca="1"/>
        <v>6086268</v>
      </c>
      <c r="E54">
        <f t="shared" ca="1" si="1"/>
        <v>981167264.28000009</v>
      </c>
      <c r="F54">
        <f ca="1">SUM($E$2:E54)/SUM($D$2:D54)</f>
        <v>155.51244783940334</v>
      </c>
      <c r="G54">
        <f ca="1">_xlfn.STDEV.P($C$2:C54)</f>
        <v>4.7419565894460511</v>
      </c>
      <c r="H54">
        <f t="shared" ca="1" si="2"/>
        <v>160.2544044288494</v>
      </c>
      <c r="I54">
        <f t="shared" ca="1" si="3"/>
        <v>150.77049124995727</v>
      </c>
      <c r="J54">
        <f t="shared" ca="1" si="12"/>
        <v>160.35750000000002</v>
      </c>
      <c r="K54">
        <f t="shared" ca="1" si="13"/>
        <v>1.0898859187041008</v>
      </c>
      <c r="L54">
        <f t="shared" ca="1" si="14"/>
        <v>162.53727183740821</v>
      </c>
      <c r="M54">
        <f t="shared" ca="1" si="15"/>
        <v>158.17772816259182</v>
      </c>
      <c r="N54">
        <f t="shared" ca="1" si="4"/>
        <v>-0.16999999999998749</v>
      </c>
      <c r="O54">
        <f t="shared" ca="1" si="5"/>
        <v>0</v>
      </c>
      <c r="P54">
        <f t="shared" ca="1" si="6"/>
        <v>0.16999999999998749</v>
      </c>
      <c r="Q54">
        <f t="shared" ca="1" si="10"/>
        <v>0.41550415932565976</v>
      </c>
      <c r="R54">
        <f t="shared" ca="1" si="11"/>
        <v>0.25094448922812795</v>
      </c>
      <c r="S54">
        <f t="shared" ca="1" si="8"/>
        <v>1.6557612426704231</v>
      </c>
      <c r="T54">
        <f t="shared" ca="1" si="9"/>
        <v>62.346012738913267</v>
      </c>
      <c r="U54">
        <f>70</f>
        <v>70</v>
      </c>
      <c r="V54">
        <f>30</f>
        <v>30</v>
      </c>
      <c r="W54">
        <f t="shared" ca="1" si="7"/>
        <v>160.838359495981</v>
      </c>
      <c r="X54">
        <f t="shared" ca="1" si="17"/>
        <v>159.32632845027018</v>
      </c>
      <c r="Y54">
        <f t="shared" ca="1" si="16"/>
        <v>1.4791339714203673</v>
      </c>
      <c r="Z54">
        <f t="shared" ca="1" si="18"/>
        <v>1.6404443290345656</v>
      </c>
      <c r="AA54">
        <f t="shared" ca="1" si="19"/>
        <v>-0.16131035761419832</v>
      </c>
    </row>
    <row r="55" spans="1:27" x14ac:dyDescent="0.25">
      <c r="A55" s="20">
        <f t="shared" ca="1" si="0"/>
        <v>45369</v>
      </c>
      <c r="B55" vm="159">
        <f ca="1"/>
        <v>45370</v>
      </c>
      <c r="C55" vm="160">
        <f ca="1"/>
        <v>161.83000000000001</v>
      </c>
      <c r="D55" vm="161">
        <f ca="1"/>
        <v>6148240</v>
      </c>
      <c r="E55">
        <f t="shared" ca="1" si="1"/>
        <v>994969679.20000005</v>
      </c>
      <c r="F55">
        <f ca="1">SUM($E$2:E55)/SUM($D$2:D55)</f>
        <v>155.61514823324575</v>
      </c>
      <c r="G55">
        <f ca="1">_xlfn.STDEV.P($C$2:C55)</f>
        <v>4.7606708131544728</v>
      </c>
      <c r="H55">
        <f t="shared" ca="1" si="2"/>
        <v>160.37581904640021</v>
      </c>
      <c r="I55">
        <f t="shared" ca="1" si="3"/>
        <v>150.85447742009129</v>
      </c>
      <c r="J55">
        <f t="shared" ca="1" si="12"/>
        <v>160.52349999999998</v>
      </c>
      <c r="K55">
        <f t="shared" ca="1" si="13"/>
        <v>1.0456188044457375</v>
      </c>
      <c r="L55">
        <f t="shared" ca="1" si="14"/>
        <v>162.61473760889146</v>
      </c>
      <c r="M55">
        <f t="shared" ca="1" si="15"/>
        <v>158.43226239110851</v>
      </c>
      <c r="N55">
        <f t="shared" ca="1" si="4"/>
        <v>0.62000000000000455</v>
      </c>
      <c r="O55">
        <f t="shared" ca="1" si="5"/>
        <v>0.62000000000000455</v>
      </c>
      <c r="P55">
        <f t="shared" ca="1" si="6"/>
        <v>0</v>
      </c>
      <c r="Q55">
        <f t="shared" ca="1" si="10"/>
        <v>0.43011100508811301</v>
      </c>
      <c r="R55">
        <f t="shared" ca="1" si="11"/>
        <v>0.23301988285469025</v>
      </c>
      <c r="S55">
        <f t="shared" ca="1" si="8"/>
        <v>1.845812468098817</v>
      </c>
      <c r="T55">
        <f t="shared" ca="1" si="9"/>
        <v>64.86065012329982</v>
      </c>
      <c r="U55">
        <f>70</f>
        <v>70</v>
      </c>
      <c r="V55">
        <f>30</f>
        <v>30</v>
      </c>
      <c r="W55">
        <f t="shared" ca="1" si="7"/>
        <v>160.99091957352238</v>
      </c>
      <c r="X55">
        <f t="shared" ca="1" si="17"/>
        <v>159.51178560210201</v>
      </c>
      <c r="Y55">
        <f t="shared" ca="1" si="16"/>
        <v>1.449267215535599</v>
      </c>
      <c r="Z55">
        <f t="shared" ca="1" si="18"/>
        <v>1.6022089063347724</v>
      </c>
      <c r="AA55">
        <f t="shared" ca="1" si="19"/>
        <v>-0.15294169079917341</v>
      </c>
    </row>
    <row r="56" spans="1:27" x14ac:dyDescent="0.25">
      <c r="A56" s="20">
        <f t="shared" ca="1" si="0"/>
        <v>45369</v>
      </c>
      <c r="B56" vm="162">
        <f ca="1"/>
        <v>45371</v>
      </c>
      <c r="C56" vm="163">
        <f ca="1"/>
        <v>161.99</v>
      </c>
      <c r="D56" vm="164">
        <f ca="1"/>
        <v>4870296</v>
      </c>
      <c r="E56">
        <f t="shared" ca="1" si="1"/>
        <v>788939249.04000008</v>
      </c>
      <c r="F56">
        <f ca="1">SUM($E$2:E56)/SUM($D$2:D56)</f>
        <v>155.6961959961661</v>
      </c>
      <c r="G56">
        <f ca="1">_xlfn.STDEV.P($C$2:C56)</f>
        <v>4.7798172930951992</v>
      </c>
      <c r="H56">
        <f t="shared" ca="1" si="2"/>
        <v>160.47601328926129</v>
      </c>
      <c r="I56">
        <f t="shared" ca="1" si="3"/>
        <v>150.9163787030709</v>
      </c>
      <c r="J56">
        <f t="shared" ca="1" si="12"/>
        <v>160.60300000000001</v>
      </c>
      <c r="K56">
        <f t="shared" ca="1" si="13"/>
        <v>1.0950130977346957</v>
      </c>
      <c r="L56">
        <f t="shared" ca="1" si="14"/>
        <v>162.79302619546939</v>
      </c>
      <c r="M56">
        <f t="shared" ca="1" si="15"/>
        <v>158.41297380453062</v>
      </c>
      <c r="N56">
        <f t="shared" ca="1" si="4"/>
        <v>0.15999999999999659</v>
      </c>
      <c r="O56">
        <f t="shared" ca="1" si="5"/>
        <v>0.15999999999999659</v>
      </c>
      <c r="P56">
        <f t="shared" ca="1" si="6"/>
        <v>0</v>
      </c>
      <c r="Q56">
        <f t="shared" ca="1" si="10"/>
        <v>0.41081736186753331</v>
      </c>
      <c r="R56">
        <f t="shared" ca="1" si="11"/>
        <v>0.21637560550792667</v>
      </c>
      <c r="S56">
        <f t="shared" ca="1" si="8"/>
        <v>1.8986306746694857</v>
      </c>
      <c r="T56">
        <f t="shared" ca="1" si="9"/>
        <v>65.500951579006369</v>
      </c>
      <c r="U56">
        <f>70</f>
        <v>70</v>
      </c>
      <c r="V56">
        <f>30</f>
        <v>30</v>
      </c>
      <c r="W56">
        <f t="shared" ca="1" si="7"/>
        <v>161.14462425451893</v>
      </c>
      <c r="X56">
        <f t="shared" ca="1" si="17"/>
        <v>159.69535703898333</v>
      </c>
      <c r="Y56">
        <f t="shared" ca="1" si="16"/>
        <v>1.3989810994943923</v>
      </c>
      <c r="Z56">
        <f t="shared" ca="1" si="18"/>
        <v>1.5615633449666966</v>
      </c>
      <c r="AA56">
        <f t="shared" ca="1" si="19"/>
        <v>-0.16258224547230427</v>
      </c>
    </row>
    <row r="57" spans="1:27" x14ac:dyDescent="0.25">
      <c r="A57" s="20">
        <f t="shared" ca="1" si="0"/>
        <v>45369</v>
      </c>
      <c r="B57" vm="165">
        <f ca="1"/>
        <v>45372</v>
      </c>
      <c r="C57" vm="166">
        <f ca="1"/>
        <v>161.86000000000001</v>
      </c>
      <c r="D57" vm="167">
        <f ca="1"/>
        <v>5211676</v>
      </c>
      <c r="E57">
        <f t="shared" ca="1" si="1"/>
        <v>843561877.36000001</v>
      </c>
      <c r="F57">
        <f ca="1">SUM($E$2:E57)/SUM($D$2:D57)</f>
        <v>155.77892792389426</v>
      </c>
      <c r="G57">
        <f ca="1">_xlfn.STDEV.P($C$2:C57)</f>
        <v>4.7933693440384264</v>
      </c>
      <c r="H57">
        <f t="shared" ca="1" si="2"/>
        <v>160.5722972679327</v>
      </c>
      <c r="I57">
        <f t="shared" ca="1" si="3"/>
        <v>150.98555857985582</v>
      </c>
      <c r="J57">
        <f t="shared" ca="1" si="12"/>
        <v>160.66800000000001</v>
      </c>
      <c r="K57">
        <f t="shared" ca="1" si="13"/>
        <v>1.1303404238034751</v>
      </c>
      <c r="L57">
        <f t="shared" ca="1" si="14"/>
        <v>162.92868084760696</v>
      </c>
      <c r="M57">
        <f t="shared" ca="1" si="15"/>
        <v>158.40731915239306</v>
      </c>
      <c r="N57">
        <f t="shared" ca="1" si="4"/>
        <v>-0.12999999999999545</v>
      </c>
      <c r="O57">
        <f t="shared" ca="1" si="5"/>
        <v>0</v>
      </c>
      <c r="P57">
        <f t="shared" ca="1" si="6"/>
        <v>0.12999999999999545</v>
      </c>
      <c r="Q57">
        <f t="shared" ca="1" si="10"/>
        <v>0.38147326459128095</v>
      </c>
      <c r="R57">
        <f t="shared" ca="1" si="11"/>
        <v>0.21020591940021729</v>
      </c>
      <c r="S57">
        <f t="shared" ca="1" si="8"/>
        <v>1.8147598587125544</v>
      </c>
      <c r="T57">
        <f t="shared" ca="1" si="9"/>
        <v>64.472990585513372</v>
      </c>
      <c r="U57">
        <f>70</f>
        <v>70</v>
      </c>
      <c r="V57">
        <f>30</f>
        <v>30</v>
      </c>
      <c r="W57">
        <f t="shared" ca="1" si="7"/>
        <v>161.25468206151601</v>
      </c>
      <c r="X57">
        <f t="shared" ca="1" si="17"/>
        <v>159.85570096202161</v>
      </c>
      <c r="Y57">
        <f t="shared" ca="1" si="16"/>
        <v>1.3276859248240385</v>
      </c>
      <c r="Z57">
        <f t="shared" ca="1" si="18"/>
        <v>1.5147878609381649</v>
      </c>
      <c r="AA57">
        <f t="shared" ca="1" si="19"/>
        <v>-0.1871019361141264</v>
      </c>
    </row>
    <row r="58" spans="1:27" x14ac:dyDescent="0.25">
      <c r="A58" s="20">
        <f t="shared" ca="1" si="0"/>
        <v>45369</v>
      </c>
      <c r="B58" vm="168">
        <f ca="1"/>
        <v>45373</v>
      </c>
      <c r="C58" vm="169">
        <f ca="1"/>
        <v>161.66</v>
      </c>
      <c r="D58" vm="170">
        <f ca="1"/>
        <v>6393425</v>
      </c>
      <c r="E58">
        <f t="shared" ca="1" si="1"/>
        <v>1033561085.5</v>
      </c>
      <c r="F58">
        <f ca="1">SUM($E$2:E58)/SUM($D$2:D58)</f>
        <v>155.87419531201473</v>
      </c>
      <c r="G58">
        <f ca="1">_xlfn.STDEV.P($C$2:C58)</f>
        <v>4.8006493097302849</v>
      </c>
      <c r="H58">
        <f t="shared" ca="1" si="2"/>
        <v>160.67484462174502</v>
      </c>
      <c r="I58">
        <f t="shared" ca="1" si="3"/>
        <v>151.07354600228444</v>
      </c>
      <c r="J58">
        <f t="shared" ca="1" si="12"/>
        <v>160.6995</v>
      </c>
      <c r="K58">
        <f t="shared" ca="1" si="13"/>
        <v>1.1495741774560235</v>
      </c>
      <c r="L58">
        <f t="shared" ca="1" si="14"/>
        <v>162.99864835491204</v>
      </c>
      <c r="M58">
        <f t="shared" ca="1" si="15"/>
        <v>158.40035164508797</v>
      </c>
      <c r="N58">
        <f t="shared" ca="1" si="4"/>
        <v>-0.20000000000001705</v>
      </c>
      <c r="O58">
        <f t="shared" ca="1" si="5"/>
        <v>0</v>
      </c>
      <c r="P58">
        <f t="shared" ca="1" si="6"/>
        <v>0.20000000000001705</v>
      </c>
      <c r="Q58">
        <f t="shared" ca="1" si="10"/>
        <v>0.35422517426333228</v>
      </c>
      <c r="R58">
        <f t="shared" ca="1" si="11"/>
        <v>0.20947692515734584</v>
      </c>
      <c r="S58">
        <f t="shared" ca="1" si="8"/>
        <v>1.6909985383700887</v>
      </c>
      <c r="T58">
        <f t="shared" ca="1" si="9"/>
        <v>62.839073089735301</v>
      </c>
      <c r="U58">
        <f>70</f>
        <v>70</v>
      </c>
      <c r="V58">
        <f>30</f>
        <v>30</v>
      </c>
      <c r="W58">
        <f t="shared" ca="1" si="7"/>
        <v>161.31703866743663</v>
      </c>
      <c r="X58">
        <f t="shared" ca="1" si="17"/>
        <v>159.9893527426126</v>
      </c>
      <c r="Y58">
        <f t="shared" ca="1" si="16"/>
        <v>1.139432600796539</v>
      </c>
      <c r="Z58">
        <f t="shared" ca="1" si="18"/>
        <v>1.4397168089098398</v>
      </c>
      <c r="AA58">
        <f t="shared" ca="1" si="19"/>
        <v>-0.30028420811330081</v>
      </c>
    </row>
    <row r="59" spans="1:27" x14ac:dyDescent="0.25">
      <c r="A59" s="20">
        <f t="shared" ca="1" si="0"/>
        <v>45376</v>
      </c>
      <c r="B59" vm="171">
        <f ca="1"/>
        <v>45376</v>
      </c>
      <c r="C59" vm="172">
        <f ca="1"/>
        <v>160.19</v>
      </c>
      <c r="D59" vm="173">
        <f ca="1"/>
        <v>7145692</v>
      </c>
      <c r="E59">
        <f t="shared" ca="1" si="1"/>
        <v>1144668401.48</v>
      </c>
      <c r="F59">
        <f ca="1">SUM($E$2:E59)/SUM($D$2:D59)</f>
        <v>155.95094342173354</v>
      </c>
      <c r="G59">
        <f ca="1">_xlfn.STDEV.P($C$2:C59)</f>
        <v>4.783083700386074</v>
      </c>
      <c r="H59">
        <f t="shared" ca="1" si="2"/>
        <v>160.73402712211961</v>
      </c>
      <c r="I59">
        <f t="shared" ca="1" si="3"/>
        <v>151.16785972134747</v>
      </c>
      <c r="J59">
        <f t="shared" ca="1" si="12"/>
        <v>160.69800000000001</v>
      </c>
      <c r="K59">
        <f t="shared" ca="1" si="13"/>
        <v>1.1502521462705508</v>
      </c>
      <c r="L59">
        <f t="shared" ca="1" si="14"/>
        <v>162.9985042925411</v>
      </c>
      <c r="M59">
        <f t="shared" ca="1" si="15"/>
        <v>158.39749570745892</v>
      </c>
      <c r="N59">
        <f t="shared" ca="1" si="4"/>
        <v>-1.4699999999999989</v>
      </c>
      <c r="O59">
        <f t="shared" ca="1" si="5"/>
        <v>0</v>
      </c>
      <c r="P59">
        <f t="shared" ca="1" si="6"/>
        <v>1.4699999999999989</v>
      </c>
      <c r="Q59">
        <f t="shared" ca="1" si="10"/>
        <v>0.32892337610166572</v>
      </c>
      <c r="R59">
        <f t="shared" ca="1" si="11"/>
        <v>0.29951428764610677</v>
      </c>
      <c r="S59">
        <f t="shared" ca="1" si="8"/>
        <v>1.0981892673190519</v>
      </c>
      <c r="T59">
        <f t="shared" ca="1" si="9"/>
        <v>52.339857248543467</v>
      </c>
      <c r="U59">
        <f>70</f>
        <v>70</v>
      </c>
      <c r="V59">
        <f>30</f>
        <v>30</v>
      </c>
      <c r="W59">
        <f t="shared" ca="1" si="7"/>
        <v>161.14364810321561</v>
      </c>
      <c r="X59">
        <f t="shared" ca="1" si="17"/>
        <v>160.00421550241907</v>
      </c>
      <c r="Y59">
        <f t="shared" ca="1" si="16"/>
        <v>1.0076736420764405</v>
      </c>
      <c r="Z59">
        <f t="shared" ca="1" si="18"/>
        <v>1.35330817554316</v>
      </c>
      <c r="AA59">
        <f t="shared" ca="1" si="19"/>
        <v>-0.34563453346671946</v>
      </c>
    </row>
    <row r="60" spans="1:27" x14ac:dyDescent="0.25">
      <c r="A60" s="20">
        <f t="shared" ca="1" si="0"/>
        <v>45376</v>
      </c>
      <c r="B60" vm="174">
        <f ca="1"/>
        <v>45377</v>
      </c>
      <c r="C60" vm="175">
        <f ca="1"/>
        <v>160.55000000000001</v>
      </c>
      <c r="D60" vm="176">
        <f ca="1"/>
        <v>5842850</v>
      </c>
      <c r="E60">
        <f t="shared" ca="1" si="1"/>
        <v>938069567.50000012</v>
      </c>
      <c r="F60">
        <f ca="1">SUM($E$2:E60)/SUM($D$2:D60)</f>
        <v>156.01685862760235</v>
      </c>
      <c r="G60">
        <f ca="1">_xlfn.STDEV.P($C$2:C60)</f>
        <v>4.7700233702964594</v>
      </c>
      <c r="H60">
        <f t="shared" ca="1" si="2"/>
        <v>160.7868819978988</v>
      </c>
      <c r="I60">
        <f t="shared" ca="1" si="3"/>
        <v>151.24683525730589</v>
      </c>
      <c r="J60">
        <f t="shared" ca="1" si="12"/>
        <v>160.76050000000001</v>
      </c>
      <c r="K60">
        <f t="shared" ca="1" si="13"/>
        <v>1.1032939914542079</v>
      </c>
      <c r="L60">
        <f t="shared" ca="1" si="14"/>
        <v>162.96708798290842</v>
      </c>
      <c r="M60">
        <f t="shared" ca="1" si="15"/>
        <v>158.55391201709159</v>
      </c>
      <c r="N60">
        <f t="shared" ca="1" si="4"/>
        <v>0.36000000000001364</v>
      </c>
      <c r="O60">
        <f t="shared" ca="1" si="5"/>
        <v>0.36000000000001364</v>
      </c>
      <c r="P60">
        <f t="shared" ca="1" si="6"/>
        <v>0</v>
      </c>
      <c r="Q60">
        <f t="shared" ca="1" si="10"/>
        <v>0.33114313495154774</v>
      </c>
      <c r="R60">
        <f t="shared" ca="1" si="11"/>
        <v>0.27812040995709914</v>
      </c>
      <c r="S60">
        <f t="shared" ca="1" si="8"/>
        <v>1.1906466519398109</v>
      </c>
      <c r="T60">
        <f t="shared" ca="1" si="9"/>
        <v>54.351378433646374</v>
      </c>
      <c r="U60">
        <f>70</f>
        <v>70</v>
      </c>
      <c r="V60">
        <f>30</f>
        <v>30</v>
      </c>
      <c r="W60">
        <f t="shared" ca="1" si="7"/>
        <v>161.0523176257978</v>
      </c>
      <c r="X60">
        <f t="shared" ca="1" si="17"/>
        <v>160.04464398372136</v>
      </c>
      <c r="Y60">
        <f t="shared" ca="1" si="16"/>
        <v>1.0572907126852158</v>
      </c>
      <c r="Z60">
        <f t="shared" ca="1" si="18"/>
        <v>1.2941046829715712</v>
      </c>
      <c r="AA60">
        <f t="shared" ca="1" si="19"/>
        <v>-0.23681397028635542</v>
      </c>
    </row>
    <row r="61" spans="1:27" x14ac:dyDescent="0.25">
      <c r="A61" s="20">
        <f t="shared" ca="1" si="0"/>
        <v>45376</v>
      </c>
      <c r="B61" vm="177">
        <f ca="1"/>
        <v>45378</v>
      </c>
      <c r="C61" vm="178">
        <f ca="1"/>
        <v>162.61000000000001</v>
      </c>
      <c r="D61" vm="179">
        <f ca="1"/>
        <v>6599711</v>
      </c>
      <c r="E61">
        <f t="shared" ca="1" si="1"/>
        <v>1073179005.71</v>
      </c>
      <c r="F61">
        <f ca="1">SUM($E$2:E61)/SUM($D$2:D61)</f>
        <v>156.12189385689518</v>
      </c>
      <c r="G61">
        <f ca="1">_xlfn.STDEV.P($C$2:C61)</f>
        <v>4.7913627468834203</v>
      </c>
      <c r="H61">
        <f t="shared" ca="1" si="2"/>
        <v>160.91325660377859</v>
      </c>
      <c r="I61">
        <f t="shared" ca="1" si="3"/>
        <v>151.33053111001178</v>
      </c>
      <c r="J61">
        <f t="shared" ca="1" si="12"/>
        <v>160.88849999999999</v>
      </c>
      <c r="K61">
        <f t="shared" ca="1" si="13"/>
        <v>1.1633901232808284</v>
      </c>
      <c r="L61">
        <f t="shared" ca="1" si="14"/>
        <v>163.21528024656166</v>
      </c>
      <c r="M61">
        <f t="shared" ca="1" si="15"/>
        <v>158.56171975343833</v>
      </c>
      <c r="N61">
        <f t="shared" ca="1" si="4"/>
        <v>2.0600000000000023</v>
      </c>
      <c r="O61">
        <f t="shared" ca="1" si="5"/>
        <v>2.0600000000000023</v>
      </c>
      <c r="P61">
        <f t="shared" ca="1" si="6"/>
        <v>0</v>
      </c>
      <c r="Q61">
        <f t="shared" ca="1" si="10"/>
        <v>0.45463291102643738</v>
      </c>
      <c r="R61">
        <f t="shared" ca="1" si="11"/>
        <v>0.2582546663887349</v>
      </c>
      <c r="S61">
        <f t="shared" ca="1" si="8"/>
        <v>1.7604054067395103</v>
      </c>
      <c r="T61">
        <f t="shared" ca="1" si="9"/>
        <v>63.773437135048816</v>
      </c>
      <c r="U61">
        <f>70</f>
        <v>70</v>
      </c>
      <c r="V61">
        <f>30</f>
        <v>30</v>
      </c>
      <c r="W61">
        <f t="shared" ca="1" si="7"/>
        <v>161.29196106798275</v>
      </c>
      <c r="X61">
        <f t="shared" ca="1" si="17"/>
        <v>160.23467035529754</v>
      </c>
      <c r="Y61">
        <f t="shared" ca="1" si="16"/>
        <v>1.0553976402256069</v>
      </c>
      <c r="Z61">
        <f t="shared" ca="1" si="18"/>
        <v>1.2463632744223785</v>
      </c>
      <c r="AA61">
        <f t="shared" ca="1" si="19"/>
        <v>-0.19096563419677159</v>
      </c>
    </row>
    <row r="62" spans="1:27" x14ac:dyDescent="0.25">
      <c r="A62" s="20">
        <f t="shared" ca="1" si="0"/>
        <v>45376</v>
      </c>
      <c r="B62" vm="180">
        <f ca="1"/>
        <v>45379</v>
      </c>
      <c r="C62" vm="181">
        <f ca="1"/>
        <v>162.25</v>
      </c>
      <c r="D62" vm="182">
        <f ca="1"/>
        <v>7191571</v>
      </c>
      <c r="E62">
        <f t="shared" ca="1" si="1"/>
        <v>1166832394.75</v>
      </c>
      <c r="F62">
        <f ca="1">SUM($E$2:E62)/SUM($D$2:D62)</f>
        <v>156.22646051192194</v>
      </c>
      <c r="G62">
        <f ca="1">_xlfn.STDEV.P($C$2:C62)</f>
        <v>4.8030903224968515</v>
      </c>
      <c r="H62">
        <f t="shared" ca="1" si="2"/>
        <v>161.02955083441879</v>
      </c>
      <c r="I62">
        <f t="shared" ca="1" si="3"/>
        <v>151.4233701894251</v>
      </c>
      <c r="J62">
        <f t="shared" ca="1" si="12"/>
        <v>161.05400000000003</v>
      </c>
      <c r="K62">
        <f t="shared" ca="1" si="13"/>
        <v>1.1056143802857974</v>
      </c>
      <c r="L62">
        <f t="shared" ca="1" si="14"/>
        <v>163.26522876057163</v>
      </c>
      <c r="M62">
        <f t="shared" ca="1" si="15"/>
        <v>158.84277123942843</v>
      </c>
      <c r="N62">
        <f t="shared" ca="1" si="4"/>
        <v>-0.36000000000001364</v>
      </c>
      <c r="O62">
        <f t="shared" ca="1" si="5"/>
        <v>0</v>
      </c>
      <c r="P62">
        <f t="shared" ca="1" si="6"/>
        <v>0.36000000000001364</v>
      </c>
      <c r="Q62">
        <f t="shared" ca="1" si="10"/>
        <v>0.42215913166740615</v>
      </c>
      <c r="R62">
        <f t="shared" ca="1" si="11"/>
        <v>0.26552219021811196</v>
      </c>
      <c r="S62">
        <f t="shared" ca="1" si="8"/>
        <v>1.5899203427051634</v>
      </c>
      <c r="T62">
        <f t="shared" ca="1" si="9"/>
        <v>61.388773874199416</v>
      </c>
      <c r="U62">
        <f>70</f>
        <v>70</v>
      </c>
      <c r="V62">
        <f>30</f>
        <v>30</v>
      </c>
      <c r="W62">
        <f t="shared" ca="1" si="7"/>
        <v>161.43935167290849</v>
      </c>
      <c r="X62">
        <f t="shared" ca="1" si="17"/>
        <v>160.38395403268288</v>
      </c>
      <c r="Y62">
        <f t="shared" ca="1" si="16"/>
        <v>0.90866776704237395</v>
      </c>
      <c r="Z62">
        <f t="shared" ca="1" si="18"/>
        <v>1.1788241729463775</v>
      </c>
      <c r="AA62">
        <f t="shared" ca="1" si="19"/>
        <v>-0.27015640590400358</v>
      </c>
    </row>
    <row r="63" spans="1:27" x14ac:dyDescent="0.25">
      <c r="A63" s="20">
        <f t="shared" ca="1" si="0"/>
        <v>45383</v>
      </c>
      <c r="B63" vm="183">
        <f ca="1"/>
        <v>45383</v>
      </c>
      <c r="C63" vm="184">
        <f ca="1"/>
        <v>160.58000000000001</v>
      </c>
      <c r="D63" vm="185">
        <f ca="1"/>
        <v>5971857</v>
      </c>
      <c r="E63">
        <f t="shared" ca="1" si="1"/>
        <v>958960797.06000006</v>
      </c>
      <c r="F63">
        <f ca="1">SUM($E$2:E63)/SUM($D$2:D63)</f>
        <v>156.28728585032863</v>
      </c>
      <c r="G63">
        <f ca="1">_xlfn.STDEV.P($C$2:C63)</f>
        <v>4.7875101877830994</v>
      </c>
      <c r="H63">
        <f t="shared" ca="1" si="2"/>
        <v>161.07479603811174</v>
      </c>
      <c r="I63">
        <f t="shared" ca="1" si="3"/>
        <v>151.49977566254552</v>
      </c>
      <c r="J63">
        <f t="shared" ca="1" si="12"/>
        <v>161.1405</v>
      </c>
      <c r="K63">
        <f t="shared" ca="1" si="13"/>
        <v>0.98522492756463742</v>
      </c>
      <c r="L63">
        <f t="shared" ca="1" si="14"/>
        <v>163.11094985512929</v>
      </c>
      <c r="M63">
        <f t="shared" ca="1" si="15"/>
        <v>159.17005014487071</v>
      </c>
      <c r="N63">
        <f t="shared" ca="1" si="4"/>
        <v>-1.6699999999999875</v>
      </c>
      <c r="O63">
        <f t="shared" ca="1" si="5"/>
        <v>0</v>
      </c>
      <c r="P63">
        <f t="shared" ca="1" si="6"/>
        <v>1.6699999999999875</v>
      </c>
      <c r="Q63">
        <f t="shared" ca="1" si="10"/>
        <v>0.39200490797687715</v>
      </c>
      <c r="R63">
        <f t="shared" ca="1" si="11"/>
        <v>0.36584203377396024</v>
      </c>
      <c r="S63">
        <f t="shared" ca="1" si="8"/>
        <v>1.0715141284696716</v>
      </c>
      <c r="T63">
        <f t="shared" ca="1" si="9"/>
        <v>51.72613180588111</v>
      </c>
      <c r="U63">
        <f>70</f>
        <v>70</v>
      </c>
      <c r="V63">
        <f>30</f>
        <v>30</v>
      </c>
      <c r="W63">
        <f t="shared" ca="1" si="7"/>
        <v>161.30714372323024</v>
      </c>
      <c r="X63">
        <f t="shared" ca="1" si="17"/>
        <v>160.39847595618787</v>
      </c>
      <c r="Y63">
        <f t="shared" ca="1" si="16"/>
        <v>0.78255555566477142</v>
      </c>
      <c r="Z63">
        <f t="shared" ca="1" si="18"/>
        <v>1.0995704494900564</v>
      </c>
      <c r="AA63">
        <f t="shared" ca="1" si="19"/>
        <v>-0.31701489382528503</v>
      </c>
    </row>
    <row r="64" spans="1:27" x14ac:dyDescent="0.25">
      <c r="A64" s="20">
        <f t="shared" ca="1" si="0"/>
        <v>45383</v>
      </c>
      <c r="B64" vm="186">
        <f ca="1"/>
        <v>45384</v>
      </c>
      <c r="C64" vm="187">
        <f ca="1"/>
        <v>160.57</v>
      </c>
      <c r="D64" vm="188">
        <f ca="1"/>
        <v>6771395</v>
      </c>
      <c r="E64">
        <f t="shared" ca="1" si="1"/>
        <v>1087282895.1499999</v>
      </c>
      <c r="F64">
        <f ca="1">SUM($E$2:E64)/SUM($D$2:D64)</f>
        <v>156.35407466038444</v>
      </c>
      <c r="G64">
        <f ca="1">_xlfn.STDEV.P($C$2:C64)</f>
        <v>4.7715268025246287</v>
      </c>
      <c r="H64">
        <f t="shared" ca="1" si="2"/>
        <v>161.12560146290906</v>
      </c>
      <c r="I64">
        <f t="shared" ca="1" si="3"/>
        <v>151.58254785785982</v>
      </c>
      <c r="J64">
        <f t="shared" ca="1" si="12"/>
        <v>161.191</v>
      </c>
      <c r="K64">
        <f t="shared" ca="1" si="13"/>
        <v>0.92392697364650378</v>
      </c>
      <c r="L64">
        <f t="shared" ca="1" si="14"/>
        <v>163.03885394729301</v>
      </c>
      <c r="M64">
        <f t="shared" ca="1" si="15"/>
        <v>159.343146052707</v>
      </c>
      <c r="N64">
        <f t="shared" ca="1" si="4"/>
        <v>-1.0000000000019327E-2</v>
      </c>
      <c r="O64">
        <f t="shared" ca="1" si="5"/>
        <v>0</v>
      </c>
      <c r="P64">
        <f t="shared" ca="1" si="6"/>
        <v>1.0000000000019327E-2</v>
      </c>
      <c r="Q64">
        <f t="shared" ca="1" si="10"/>
        <v>0.36400455740710019</v>
      </c>
      <c r="R64">
        <f t="shared" ca="1" si="11"/>
        <v>0.34042474564725017</v>
      </c>
      <c r="S64">
        <f t="shared" ca="1" si="8"/>
        <v>1.069265857025222</v>
      </c>
      <c r="T64">
        <f t="shared" ca="1" si="9"/>
        <v>51.673681919364356</v>
      </c>
      <c r="U64">
        <f>70</f>
        <v>70</v>
      </c>
      <c r="V64">
        <f>30</f>
        <v>30</v>
      </c>
      <c r="W64">
        <f t="shared" ca="1" si="7"/>
        <v>161.19373699657945</v>
      </c>
      <c r="X64">
        <f t="shared" ca="1" si="17"/>
        <v>160.41118144091467</v>
      </c>
      <c r="Y64">
        <f t="shared" ca="1" si="16"/>
        <v>0.32223908742685126</v>
      </c>
      <c r="Z64">
        <f t="shared" ca="1" si="18"/>
        <v>0.94410417707741545</v>
      </c>
      <c r="AA64">
        <f t="shared" ca="1" si="19"/>
        <v>-0.6218650896505642</v>
      </c>
    </row>
    <row r="65" spans="1:27" x14ac:dyDescent="0.25">
      <c r="A65" s="20">
        <f t="shared" ca="1" si="0"/>
        <v>45383</v>
      </c>
      <c r="B65" vm="189">
        <f ca="1"/>
        <v>45385</v>
      </c>
      <c r="C65" vm="190">
        <f ca="1"/>
        <v>156.15</v>
      </c>
      <c r="D65" vm="191">
        <f ca="1"/>
        <v>9601812</v>
      </c>
      <c r="E65">
        <f t="shared" ca="1" si="1"/>
        <v>1499322943.8</v>
      </c>
      <c r="F65">
        <f ca="1">SUM($E$2:E65)/SUM($D$2:D65)</f>
        <v>156.34965946854609</v>
      </c>
      <c r="G65">
        <f ca="1">_xlfn.STDEV.P($C$2:C65)</f>
        <v>4.7351494725450616</v>
      </c>
      <c r="H65">
        <f t="shared" ca="1" si="2"/>
        <v>161.08480894109115</v>
      </c>
      <c r="I65">
        <f t="shared" ca="1" si="3"/>
        <v>151.61450999600103</v>
      </c>
      <c r="J65">
        <f t="shared" ca="1" si="12"/>
        <v>161.0325</v>
      </c>
      <c r="K65">
        <f t="shared" ca="1" si="13"/>
        <v>1.4072701270638559</v>
      </c>
      <c r="L65">
        <f t="shared" ca="1" si="14"/>
        <v>163.84704025412771</v>
      </c>
      <c r="M65">
        <f t="shared" ca="1" si="15"/>
        <v>158.21795974587229</v>
      </c>
      <c r="N65">
        <f t="shared" ca="1" si="4"/>
        <v>-4.4199999999999875</v>
      </c>
      <c r="O65">
        <f t="shared" ca="1" si="5"/>
        <v>0</v>
      </c>
      <c r="P65">
        <f t="shared" ca="1" si="6"/>
        <v>4.4199999999999875</v>
      </c>
      <c r="Q65">
        <f t="shared" ca="1" si="10"/>
        <v>0.33800423187802159</v>
      </c>
      <c r="R65">
        <f t="shared" ca="1" si="11"/>
        <v>0.63182297810101706</v>
      </c>
      <c r="S65">
        <f t="shared" ca="1" si="8"/>
        <v>0.53496666565358886</v>
      </c>
      <c r="T65">
        <f t="shared" ca="1" si="9"/>
        <v>34.852005429433873</v>
      </c>
      <c r="U65">
        <f>70</f>
        <v>70</v>
      </c>
      <c r="V65">
        <f>30</f>
        <v>30</v>
      </c>
      <c r="W65">
        <f t="shared" ca="1" si="7"/>
        <v>160.41777745864414</v>
      </c>
      <c r="X65">
        <f t="shared" ca="1" si="17"/>
        <v>160.09553837121729</v>
      </c>
      <c r="Y65">
        <f t="shared" ca="1" si="16"/>
        <v>-9.792041432567089E-2</v>
      </c>
      <c r="Z65">
        <f t="shared" ca="1" si="18"/>
        <v>0.73569925879679832</v>
      </c>
      <c r="AA65">
        <f t="shared" ca="1" si="19"/>
        <v>-0.83361967312246921</v>
      </c>
    </row>
    <row r="66" spans="1:27" x14ac:dyDescent="0.25">
      <c r="A66" s="20">
        <f t="shared" ca="1" si="0"/>
        <v>45383</v>
      </c>
      <c r="B66" vm="192">
        <f ca="1"/>
        <v>45386</v>
      </c>
      <c r="C66" vm="193">
        <f ca="1"/>
        <v>155.44999999999999</v>
      </c>
      <c r="D66" vm="194">
        <f ca="1"/>
        <v>6801662</v>
      </c>
      <c r="E66">
        <f t="shared" ca="1" si="1"/>
        <v>1057318357.9</v>
      </c>
      <c r="F66">
        <f ca="1">SUM($E$2:E66)/SUM($D$2:D66)</f>
        <v>156.33607961490893</v>
      </c>
      <c r="G66">
        <f ca="1">_xlfn.STDEV.P($C$2:C66)</f>
        <v>4.7021629317460283</v>
      </c>
      <c r="H66">
        <f t="shared" ca="1" si="2"/>
        <v>161.03824254665494</v>
      </c>
      <c r="I66">
        <f t="shared" ca="1" si="3"/>
        <v>151.63391668316291</v>
      </c>
      <c r="J66">
        <f t="shared" ca="1" si="12"/>
        <v>160.82650000000001</v>
      </c>
      <c r="K66">
        <f t="shared" ca="1" si="13"/>
        <v>1.8610191746516385</v>
      </c>
      <c r="L66">
        <f t="shared" ca="1" si="14"/>
        <v>164.5485383493033</v>
      </c>
      <c r="M66">
        <f t="shared" ca="1" si="15"/>
        <v>157.10446165069672</v>
      </c>
      <c r="N66">
        <f t="shared" ca="1" si="4"/>
        <v>-0.70000000000001705</v>
      </c>
      <c r="O66">
        <f t="shared" ca="1" si="5"/>
        <v>0</v>
      </c>
      <c r="P66">
        <f t="shared" ca="1" si="6"/>
        <v>0.70000000000001705</v>
      </c>
      <c r="Q66">
        <f t="shared" ca="1" si="10"/>
        <v>0.31386107245816286</v>
      </c>
      <c r="R66">
        <f t="shared" ca="1" si="11"/>
        <v>0.63669276537951702</v>
      </c>
      <c r="S66">
        <f t="shared" ca="1" si="8"/>
        <v>0.49295529888906142</v>
      </c>
      <c r="T66">
        <f t="shared" ca="1" si="9"/>
        <v>33.018758113915368</v>
      </c>
      <c r="U66">
        <f>70</f>
        <v>70</v>
      </c>
      <c r="V66">
        <f>30</f>
        <v>30</v>
      </c>
      <c r="W66">
        <f t="shared" ca="1" si="7"/>
        <v>159.65350400346813</v>
      </c>
      <c r="X66">
        <f t="shared" ca="1" si="17"/>
        <v>159.7514244177938</v>
      </c>
      <c r="Y66">
        <f t="shared" ca="1" si="16"/>
        <v>-0.37413745513660501</v>
      </c>
      <c r="Z66">
        <f t="shared" ca="1" si="18"/>
        <v>0.5137319160101177</v>
      </c>
      <c r="AA66">
        <f t="shared" ca="1" si="19"/>
        <v>-0.88786937114672271</v>
      </c>
    </row>
    <row r="67" spans="1:27" x14ac:dyDescent="0.25">
      <c r="A67" s="20">
        <f t="shared" ref="A67:A130" ca="1" si="20">B67 - WEEKDAY(B67, 2) + 1</f>
        <v>45383</v>
      </c>
      <c r="B67" vm="195">
        <f ca="1"/>
        <v>45387</v>
      </c>
      <c r="C67" vm="196">
        <f ca="1"/>
        <v>156.1</v>
      </c>
      <c r="D67" vm="197">
        <f ca="1"/>
        <v>5121197</v>
      </c>
      <c r="E67">
        <f t="shared" ref="E67:E130" ca="1" si="21">C67*D67</f>
        <v>799418851.69999993</v>
      </c>
      <c r="F67">
        <f ca="1">SUM($E$2:E67)/SUM($D$2:D67)</f>
        <v>156.33342669649656</v>
      </c>
      <c r="G67">
        <f ca="1">_xlfn.STDEV.P($C$2:C67)</f>
        <v>4.6674726306188195</v>
      </c>
      <c r="H67">
        <f t="shared" ref="H67:H130" ca="1" si="22">F67 + G67</f>
        <v>161.00089932711538</v>
      </c>
      <c r="I67">
        <f t="shared" ref="I67:I130" ca="1" si="23">F67 - G67</f>
        <v>151.66595406587774</v>
      </c>
      <c r="J67">
        <f t="shared" ca="1" si="12"/>
        <v>160.60050000000001</v>
      </c>
      <c r="K67">
        <f t="shared" ca="1" si="13"/>
        <v>2.1408322901939005</v>
      </c>
      <c r="L67">
        <f t="shared" ca="1" si="14"/>
        <v>164.88216458038781</v>
      </c>
      <c r="M67">
        <f t="shared" ca="1" si="15"/>
        <v>156.31883541961221</v>
      </c>
      <c r="N67">
        <f t="shared" ca="1" si="4"/>
        <v>0.65000000000000568</v>
      </c>
      <c r="O67">
        <f t="shared" ca="1" si="5"/>
        <v>0.65000000000000568</v>
      </c>
      <c r="P67">
        <f t="shared" ca="1" si="6"/>
        <v>0</v>
      </c>
      <c r="Q67">
        <f t="shared" ca="1" si="10"/>
        <v>0.33787099585400876</v>
      </c>
      <c r="R67">
        <f t="shared" ca="1" si="11"/>
        <v>0.59121471070955156</v>
      </c>
      <c r="S67">
        <f t="shared" ca="1" si="8"/>
        <v>0.57148611110929548</v>
      </c>
      <c r="T67">
        <f t="shared" ca="1" si="9"/>
        <v>36.365966397621513</v>
      </c>
      <c r="U67">
        <f>70</f>
        <v>70</v>
      </c>
      <c r="V67">
        <f>30</f>
        <v>30</v>
      </c>
      <c r="W67">
        <f t="shared" ca="1" si="7"/>
        <v>159.10681107985764</v>
      </c>
      <c r="X67">
        <f t="shared" ca="1" si="17"/>
        <v>159.48094853499424</v>
      </c>
      <c r="Y67">
        <f t="shared" ca="1" si="16"/>
        <v>-0.59106946767926161</v>
      </c>
      <c r="Z67">
        <f t="shared" ca="1" si="18"/>
        <v>0.29277163927224187</v>
      </c>
      <c r="AA67">
        <f t="shared" ca="1" si="19"/>
        <v>-0.88384110695150353</v>
      </c>
    </row>
    <row r="68" spans="1:27" x14ac:dyDescent="0.25">
      <c r="A68" s="20">
        <f t="shared" ca="1" si="20"/>
        <v>45390</v>
      </c>
      <c r="B68" vm="198">
        <f ca="1"/>
        <v>45390</v>
      </c>
      <c r="C68" vm="199">
        <f ca="1"/>
        <v>156.04</v>
      </c>
      <c r="D68" vm="200">
        <f ca="1"/>
        <v>5476752</v>
      </c>
      <c r="E68">
        <f t="shared" ca="1" si="21"/>
        <v>854592382.07999992</v>
      </c>
      <c r="F68">
        <f ca="1">SUM($E$2:E68)/SUM($D$2:D68)</f>
        <v>156.32994229199102</v>
      </c>
      <c r="G68">
        <f ca="1">_xlfn.STDEV.P($C$2:C68)</f>
        <v>4.6336969983564344</v>
      </c>
      <c r="H68">
        <f t="shared" ca="1" si="22"/>
        <v>160.96363929034746</v>
      </c>
      <c r="I68">
        <f t="shared" ca="1" si="23"/>
        <v>151.69624529363458</v>
      </c>
      <c r="J68">
        <f t="shared" ca="1" si="12"/>
        <v>160.38500000000002</v>
      </c>
      <c r="K68">
        <f t="shared" ca="1" si="13"/>
        <v>2.3718380613932535</v>
      </c>
      <c r="L68">
        <f t="shared" ca="1" si="14"/>
        <v>165.12867612278652</v>
      </c>
      <c r="M68">
        <f t="shared" ca="1" si="15"/>
        <v>155.64132387721352</v>
      </c>
      <c r="N68">
        <f t="shared" ref="N68:N131" ca="1" si="24">C68-C67</f>
        <v>-6.0000000000002274E-2</v>
      </c>
      <c r="O68">
        <f t="shared" ref="O68:O131" ca="1" si="25">MAX(N68,0)</f>
        <v>0</v>
      </c>
      <c r="P68">
        <f t="shared" ref="P68:P131" ca="1" si="26">MAX(-N68,0)</f>
        <v>6.0000000000002274E-2</v>
      </c>
      <c r="Q68">
        <f t="shared" ca="1" si="10"/>
        <v>0.31373735329300817</v>
      </c>
      <c r="R68">
        <f t="shared" ca="1" si="11"/>
        <v>0.55327080280172658</v>
      </c>
      <c r="S68">
        <f t="shared" ca="1" si="8"/>
        <v>0.56705929845613223</v>
      </c>
      <c r="T68">
        <f t="shared" ca="1" si="9"/>
        <v>36.186205526159689</v>
      </c>
      <c r="U68">
        <f>70</f>
        <v>70</v>
      </c>
      <c r="V68">
        <f>30</f>
        <v>30</v>
      </c>
      <c r="W68">
        <f t="shared" ca="1" si="7"/>
        <v>158.63499399064875</v>
      </c>
      <c r="X68">
        <f t="shared" ca="1" si="17"/>
        <v>159.22606345832801</v>
      </c>
      <c r="Y68">
        <f t="shared" ca="1" si="16"/>
        <v>-0.70483592231886405</v>
      </c>
      <c r="Z68">
        <f t="shared" ca="1" si="18"/>
        <v>9.3250126954020685E-2</v>
      </c>
      <c r="AA68">
        <f t="shared" ca="1" si="19"/>
        <v>-0.79808604927288473</v>
      </c>
    </row>
    <row r="69" spans="1:27" x14ac:dyDescent="0.25">
      <c r="A69" s="20">
        <f t="shared" ca="1" si="20"/>
        <v>45390</v>
      </c>
      <c r="B69" vm="201">
        <f ca="1"/>
        <v>45391</v>
      </c>
      <c r="C69" vm="202">
        <f ca="1"/>
        <v>156.66</v>
      </c>
      <c r="D69" vm="203">
        <f ca="1"/>
        <v>4613751</v>
      </c>
      <c r="E69">
        <f t="shared" ca="1" si="21"/>
        <v>722790231.65999997</v>
      </c>
      <c r="F69">
        <f ca="1">SUM($E$2:E69)/SUM($D$2:D69)</f>
        <v>156.3332113824668</v>
      </c>
      <c r="G69">
        <f ca="1">_xlfn.STDEV.P($C$2:C69)</f>
        <v>4.5995843496392572</v>
      </c>
      <c r="H69">
        <f t="shared" ca="1" si="22"/>
        <v>160.93279573210606</v>
      </c>
      <c r="I69">
        <f t="shared" ca="1" si="23"/>
        <v>151.73362703282754</v>
      </c>
      <c r="J69">
        <f t="shared" ca="1" si="12"/>
        <v>160.1405</v>
      </c>
      <c r="K69">
        <f t="shared" ca="1" si="13"/>
        <v>2.4943039847663067</v>
      </c>
      <c r="L69">
        <f t="shared" ca="1" si="14"/>
        <v>165.12910796953261</v>
      </c>
      <c r="M69">
        <f t="shared" ca="1" si="15"/>
        <v>155.15189203046739</v>
      </c>
      <c r="N69">
        <f t="shared" ca="1" si="24"/>
        <v>0.62000000000000455</v>
      </c>
      <c r="O69">
        <f t="shared" ca="1" si="25"/>
        <v>0.62000000000000455</v>
      </c>
      <c r="P69">
        <f t="shared" ca="1" si="26"/>
        <v>0</v>
      </c>
      <c r="Q69">
        <f t="shared" ca="1" si="10"/>
        <v>0.3356132566292222</v>
      </c>
      <c r="R69">
        <f t="shared" ca="1" si="11"/>
        <v>0.51375145974446046</v>
      </c>
      <c r="S69">
        <f t="shared" ca="1" si="8"/>
        <v>0.65325995724889219</v>
      </c>
      <c r="T69">
        <f t="shared" ca="1" si="9"/>
        <v>39.513444596816441</v>
      </c>
      <c r="U69">
        <f>70</f>
        <v>70</v>
      </c>
      <c r="V69">
        <f>30</f>
        <v>30</v>
      </c>
      <c r="W69">
        <f t="shared" ca="1" si="7"/>
        <v>158.33114876131819</v>
      </c>
      <c r="X69">
        <f t="shared" ca="1" si="17"/>
        <v>159.03598468363705</v>
      </c>
      <c r="Y69">
        <f t="shared" ca="1" si="16"/>
        <v>-0.73966906003002464</v>
      </c>
      <c r="Z69">
        <f t="shared" ca="1" si="18"/>
        <v>-7.33337104427884E-2</v>
      </c>
      <c r="AA69">
        <f t="shared" ca="1" si="19"/>
        <v>-0.66633534958723628</v>
      </c>
    </row>
    <row r="70" spans="1:27" x14ac:dyDescent="0.25">
      <c r="A70" s="20">
        <f t="shared" ca="1" si="20"/>
        <v>45390</v>
      </c>
      <c r="B70" vm="204">
        <f ca="1"/>
        <v>45392</v>
      </c>
      <c r="C70" vm="205">
        <f ca="1"/>
        <v>157.24</v>
      </c>
      <c r="D70" vm="206">
        <f ca="1"/>
        <v>7785084</v>
      </c>
      <c r="E70">
        <f t="shared" ca="1" si="21"/>
        <v>1224126608.1600001</v>
      </c>
      <c r="F70">
        <f ca="1">SUM($E$2:E70)/SUM($D$2:D70)</f>
        <v>156.34811713921678</v>
      </c>
      <c r="G70">
        <f ca="1">_xlfn.STDEV.P($C$2:C70)</f>
        <v>4.5663254187900124</v>
      </c>
      <c r="H70">
        <f t="shared" ca="1" si="22"/>
        <v>160.91444255800678</v>
      </c>
      <c r="I70">
        <f t="shared" ca="1" si="23"/>
        <v>151.78179172042678</v>
      </c>
      <c r="J70">
        <f t="shared" ca="1" si="12"/>
        <v>159.90600000000001</v>
      </c>
      <c r="K70">
        <f t="shared" ca="1" si="13"/>
        <v>2.5373035832718625</v>
      </c>
      <c r="L70">
        <f t="shared" ca="1" si="14"/>
        <v>164.98060716654373</v>
      </c>
      <c r="M70">
        <f t="shared" ca="1" si="15"/>
        <v>154.83139283345628</v>
      </c>
      <c r="N70">
        <f t="shared" ca="1" si="24"/>
        <v>0.58000000000001251</v>
      </c>
      <c r="O70">
        <f t="shared" ca="1" si="25"/>
        <v>0.58000000000001251</v>
      </c>
      <c r="P70">
        <f t="shared" ca="1" si="26"/>
        <v>0</v>
      </c>
      <c r="Q70">
        <f t="shared" ca="1" si="10"/>
        <v>0.35306945258427863</v>
      </c>
      <c r="R70">
        <f t="shared" ca="1" si="11"/>
        <v>0.47705492690557044</v>
      </c>
      <c r="S70">
        <f t="shared" ca="1" si="8"/>
        <v>0.74010230829073098</v>
      </c>
      <c r="T70">
        <f t="shared" ca="1" si="9"/>
        <v>42.532114621336213</v>
      </c>
      <c r="U70">
        <f>70</f>
        <v>70</v>
      </c>
      <c r="V70">
        <f>30</f>
        <v>30</v>
      </c>
      <c r="W70">
        <f t="shared" ca="1" si="7"/>
        <v>158.1632797211154</v>
      </c>
      <c r="X70">
        <f t="shared" ca="1" si="17"/>
        <v>158.90294878114543</v>
      </c>
      <c r="Y70">
        <f t="shared" ca="1" si="16"/>
        <v>-0.87021161453270679</v>
      </c>
      <c r="Z70">
        <f t="shared" ca="1" si="18"/>
        <v>-0.23270929126077208</v>
      </c>
      <c r="AA70">
        <f t="shared" ca="1" si="19"/>
        <v>-0.63750232327193468</v>
      </c>
    </row>
    <row r="71" spans="1:27" x14ac:dyDescent="0.25">
      <c r="A71" s="20">
        <f t="shared" ca="1" si="20"/>
        <v>45390</v>
      </c>
      <c r="B71" vm="207">
        <f ca="1"/>
        <v>45393</v>
      </c>
      <c r="C71" vm="208">
        <f ca="1"/>
        <v>155.84</v>
      </c>
      <c r="D71" vm="209">
        <f ca="1"/>
        <v>8209765</v>
      </c>
      <c r="E71">
        <f t="shared" ca="1" si="21"/>
        <v>1279409777.6000001</v>
      </c>
      <c r="F71">
        <f ca="1">SUM($E$2:E71)/SUM($D$2:D71)</f>
        <v>156.33945918280943</v>
      </c>
      <c r="G71">
        <f ca="1">_xlfn.STDEV.P($C$2:C71)</f>
        <v>4.5353156832726436</v>
      </c>
      <c r="H71">
        <f t="shared" ca="1" si="22"/>
        <v>160.87477486608208</v>
      </c>
      <c r="I71">
        <f t="shared" ca="1" si="23"/>
        <v>151.80414349953679</v>
      </c>
      <c r="J71">
        <f t="shared" ca="1" si="12"/>
        <v>159.583</v>
      </c>
      <c r="K71">
        <f t="shared" ca="1" si="13"/>
        <v>2.6261320366052101</v>
      </c>
      <c r="L71">
        <f t="shared" ca="1" si="14"/>
        <v>164.83526407321042</v>
      </c>
      <c r="M71">
        <f t="shared" ca="1" si="15"/>
        <v>154.33073592678957</v>
      </c>
      <c r="N71">
        <f t="shared" ca="1" si="24"/>
        <v>-1.4000000000000057</v>
      </c>
      <c r="O71">
        <f t="shared" ca="1" si="25"/>
        <v>0</v>
      </c>
      <c r="P71">
        <f t="shared" ca="1" si="26"/>
        <v>1.4000000000000057</v>
      </c>
      <c r="Q71">
        <f t="shared" ca="1" si="10"/>
        <v>0.32785020597111586</v>
      </c>
      <c r="R71">
        <f t="shared" ca="1" si="11"/>
        <v>0.54297957498374438</v>
      </c>
      <c r="S71">
        <f t="shared" ca="1" si="8"/>
        <v>0.60379841356082498</v>
      </c>
      <c r="T71">
        <f t="shared" ca="1" si="9"/>
        <v>37.648024119206148</v>
      </c>
      <c r="U71">
        <f>70</f>
        <v>70</v>
      </c>
      <c r="V71">
        <f>30</f>
        <v>30</v>
      </c>
      <c r="W71">
        <f t="shared" ca="1" si="7"/>
        <v>157.80585207171305</v>
      </c>
      <c r="X71">
        <f t="shared" ca="1" si="17"/>
        <v>158.67606368624575</v>
      </c>
      <c r="Y71">
        <f t="shared" ca="1" si="16"/>
        <v>-1.0032553639062769</v>
      </c>
      <c r="Z71">
        <f t="shared" ca="1" si="18"/>
        <v>-0.38681850578987309</v>
      </c>
      <c r="AA71">
        <f t="shared" ca="1" si="19"/>
        <v>-0.61643685811640381</v>
      </c>
    </row>
    <row r="72" spans="1:27" x14ac:dyDescent="0.25">
      <c r="A72" s="20">
        <f t="shared" ca="1" si="20"/>
        <v>45390</v>
      </c>
      <c r="B72" vm="210">
        <f ca="1"/>
        <v>45394</v>
      </c>
      <c r="C72" vm="211">
        <f ca="1"/>
        <v>155.33000000000001</v>
      </c>
      <c r="D72" vm="212">
        <f ca="1"/>
        <v>6770659</v>
      </c>
      <c r="E72">
        <f t="shared" ca="1" si="21"/>
        <v>1051686462.47</v>
      </c>
      <c r="F72">
        <f ca="1">SUM($E$2:E72)/SUM($D$2:D72)</f>
        <v>156.32547039397554</v>
      </c>
      <c r="G72">
        <f ca="1">_xlfn.STDEV.P($C$2:C72)</f>
        <v>4.5069600608702673</v>
      </c>
      <c r="H72">
        <f t="shared" ca="1" si="22"/>
        <v>160.83243045484579</v>
      </c>
      <c r="I72">
        <f t="shared" ca="1" si="23"/>
        <v>151.81851033310528</v>
      </c>
      <c r="J72">
        <f t="shared" ca="1" si="12"/>
        <v>159.27449999999999</v>
      </c>
      <c r="K72">
        <f t="shared" ca="1" si="13"/>
        <v>2.7486311904387333</v>
      </c>
      <c r="L72">
        <f t="shared" ca="1" si="14"/>
        <v>164.77176238087745</v>
      </c>
      <c r="M72">
        <f t="shared" ca="1" si="15"/>
        <v>153.77723761912253</v>
      </c>
      <c r="N72">
        <f t="shared" ca="1" si="24"/>
        <v>-0.50999999999999091</v>
      </c>
      <c r="O72">
        <f t="shared" ca="1" si="25"/>
        <v>0</v>
      </c>
      <c r="P72">
        <f t="shared" ca="1" si="26"/>
        <v>0.50999999999999091</v>
      </c>
      <c r="Q72">
        <f t="shared" ca="1" si="10"/>
        <v>0.30443233411603615</v>
      </c>
      <c r="R72">
        <f t="shared" ca="1" si="11"/>
        <v>0.54062389105633346</v>
      </c>
      <c r="S72">
        <f t="shared" ca="1" si="8"/>
        <v>0.56311298696252776</v>
      </c>
      <c r="T72">
        <f t="shared" ca="1" si="9"/>
        <v>36.025098099708075</v>
      </c>
      <c r="U72">
        <f>70</f>
        <v>70</v>
      </c>
      <c r="V72">
        <f>30</f>
        <v>30</v>
      </c>
      <c r="W72">
        <f t="shared" ca="1" si="7"/>
        <v>157.42495175298797</v>
      </c>
      <c r="X72">
        <f t="shared" ca="1" si="17"/>
        <v>158.42820711689424</v>
      </c>
      <c r="Y72">
        <f t="shared" ca="1" si="16"/>
        <v>-1.0864861605504643</v>
      </c>
      <c r="Z72">
        <f t="shared" ca="1" si="18"/>
        <v>-0.52675203674199134</v>
      </c>
      <c r="AA72">
        <f t="shared" ca="1" si="19"/>
        <v>-0.55973412380847298</v>
      </c>
    </row>
    <row r="73" spans="1:27" x14ac:dyDescent="0.25">
      <c r="A73" s="20">
        <f t="shared" ca="1" si="20"/>
        <v>45397</v>
      </c>
      <c r="B73" vm="213">
        <f ca="1"/>
        <v>45397</v>
      </c>
      <c r="C73" vm="193">
        <f ca="1"/>
        <v>155.44999999999999</v>
      </c>
      <c r="D73" vm="214">
        <f ca="1"/>
        <v>5753987</v>
      </c>
      <c r="E73">
        <f t="shared" ca="1" si="21"/>
        <v>894457279.14999998</v>
      </c>
      <c r="F73">
        <f ca="1">SUM($E$2:E73)/SUM($D$2:D73)</f>
        <v>156.31528011648621</v>
      </c>
      <c r="G73">
        <f ca="1">_xlfn.STDEV.P($C$2:C73)</f>
        <v>4.4785798818919913</v>
      </c>
      <c r="H73">
        <f t="shared" ca="1" si="22"/>
        <v>160.7938599983782</v>
      </c>
      <c r="I73">
        <f t="shared" ca="1" si="23"/>
        <v>151.83670023459422</v>
      </c>
      <c r="J73">
        <f t="shared" ca="1" si="12"/>
        <v>158.97799999999998</v>
      </c>
      <c r="K73">
        <f t="shared" ca="1" si="13"/>
        <v>2.8282402935208251</v>
      </c>
      <c r="L73">
        <f t="shared" ca="1" si="14"/>
        <v>164.63448058704162</v>
      </c>
      <c r="M73">
        <f t="shared" ca="1" si="15"/>
        <v>153.32151941295834</v>
      </c>
      <c r="N73">
        <f t="shared" ca="1" si="24"/>
        <v>0.11999999999997613</v>
      </c>
      <c r="O73">
        <f t="shared" ca="1" si="25"/>
        <v>0.11999999999997613</v>
      </c>
      <c r="P73">
        <f t="shared" ca="1" si="26"/>
        <v>0</v>
      </c>
      <c r="Q73">
        <f t="shared" ca="1" si="10"/>
        <v>0.29125859596488901</v>
      </c>
      <c r="R73">
        <f t="shared" ca="1" si="11"/>
        <v>0.50200789883802399</v>
      </c>
      <c r="S73">
        <f t="shared" ca="1" si="8"/>
        <v>0.5801872772102844</v>
      </c>
      <c r="T73">
        <f t="shared" ca="1" si="9"/>
        <v>36.716361761535417</v>
      </c>
      <c r="U73">
        <f>70</f>
        <v>70</v>
      </c>
      <c r="V73">
        <f>30</f>
        <v>30</v>
      </c>
      <c r="W73">
        <f t="shared" ca="1" si="7"/>
        <v>157.12111302175904</v>
      </c>
      <c r="X73">
        <f t="shared" ca="1" si="17"/>
        <v>158.20759918230951</v>
      </c>
      <c r="Y73">
        <f t="shared" ca="1" si="16"/>
        <v>-1.0994278256072789</v>
      </c>
      <c r="Z73">
        <f t="shared" ca="1" si="18"/>
        <v>-0.6412871945150489</v>
      </c>
      <c r="AA73">
        <f t="shared" ca="1" si="19"/>
        <v>-0.45814063109223002</v>
      </c>
    </row>
    <row r="74" spans="1:27" x14ac:dyDescent="0.25">
      <c r="A74" s="20">
        <f t="shared" ca="1" si="20"/>
        <v>45397</v>
      </c>
      <c r="B74" vm="215">
        <f ca="1"/>
        <v>45398</v>
      </c>
      <c r="C74" vm="216">
        <f ca="1"/>
        <v>155.94999999999999</v>
      </c>
      <c r="D74" vm="217">
        <f ca="1"/>
        <v>6103296</v>
      </c>
      <c r="E74">
        <f t="shared" ca="1" si="21"/>
        <v>951809011.19999993</v>
      </c>
      <c r="F74">
        <f ca="1">SUM($E$2:E74)/SUM($D$2:D74)</f>
        <v>156.31082522637462</v>
      </c>
      <c r="G74">
        <f ca="1">_xlfn.STDEV.P($C$2:C74)</f>
        <v>4.4489946869940749</v>
      </c>
      <c r="H74">
        <f t="shared" ca="1" si="22"/>
        <v>160.75981991336869</v>
      </c>
      <c r="I74">
        <f t="shared" ca="1" si="23"/>
        <v>151.86183053938055</v>
      </c>
      <c r="J74">
        <f t="shared" ca="1" si="12"/>
        <v>158.71499999999997</v>
      </c>
      <c r="K74">
        <f t="shared" ca="1" si="13"/>
        <v>2.8542074206336205</v>
      </c>
      <c r="L74">
        <f t="shared" ca="1" si="14"/>
        <v>164.4234148412672</v>
      </c>
      <c r="M74">
        <f t="shared" ca="1" si="15"/>
        <v>153.00658515873275</v>
      </c>
      <c r="N74">
        <f t="shared" ca="1" si="24"/>
        <v>0.5</v>
      </c>
      <c r="O74">
        <f t="shared" ca="1" si="25"/>
        <v>0.5</v>
      </c>
      <c r="P74">
        <f t="shared" ca="1" si="26"/>
        <v>0</v>
      </c>
      <c r="Q74">
        <f t="shared" ca="1" si="10"/>
        <v>0.30616869625311122</v>
      </c>
      <c r="R74">
        <f t="shared" ca="1" si="11"/>
        <v>0.46615019177816513</v>
      </c>
      <c r="S74">
        <f t="shared" ca="1" si="8"/>
        <v>0.65680268216818183</v>
      </c>
      <c r="T74">
        <f t="shared" ca="1" si="9"/>
        <v>39.642782404761334</v>
      </c>
      <c r="U74">
        <f>70</f>
        <v>70</v>
      </c>
      <c r="V74">
        <f>30</f>
        <v>30</v>
      </c>
      <c r="W74">
        <f t="shared" ca="1" si="7"/>
        <v>156.94094178764226</v>
      </c>
      <c r="X74">
        <f t="shared" ca="1" si="17"/>
        <v>158.04036961324954</v>
      </c>
      <c r="Y74">
        <f t="shared" ca="1" si="16"/>
        <v>-1.0164684141776661</v>
      </c>
      <c r="Z74">
        <f t="shared" ca="1" si="18"/>
        <v>-0.71632343844757229</v>
      </c>
      <c r="AA74">
        <f t="shared" ca="1" si="19"/>
        <v>-0.3001449757300938</v>
      </c>
    </row>
    <row r="75" spans="1:27" x14ac:dyDescent="0.25">
      <c r="A75" s="20">
        <f t="shared" ca="1" si="20"/>
        <v>45397</v>
      </c>
      <c r="B75" vm="218">
        <f ca="1"/>
        <v>45399</v>
      </c>
      <c r="C75" vm="219">
        <f ca="1"/>
        <v>156.96</v>
      </c>
      <c r="D75" vm="220">
        <f ca="1"/>
        <v>6621906</v>
      </c>
      <c r="E75">
        <f t="shared" ca="1" si="21"/>
        <v>1039374365.7600001</v>
      </c>
      <c r="F75">
        <f ca="1">SUM($E$2:E75)/SUM($D$2:D75)</f>
        <v>156.31930300802</v>
      </c>
      <c r="G75">
        <f ca="1">_xlfn.STDEV.P($C$2:C75)</f>
        <v>4.4188590705923216</v>
      </c>
      <c r="H75">
        <f t="shared" ca="1" si="22"/>
        <v>160.73816207861233</v>
      </c>
      <c r="I75">
        <f t="shared" ca="1" si="23"/>
        <v>151.90044393742767</v>
      </c>
      <c r="J75">
        <f t="shared" ca="1" si="12"/>
        <v>158.47149999999996</v>
      </c>
      <c r="K75">
        <f t="shared" ca="1" si="13"/>
        <v>2.7812762594857365</v>
      </c>
      <c r="L75">
        <f t="shared" ca="1" si="14"/>
        <v>164.03405251897144</v>
      </c>
      <c r="M75">
        <f t="shared" ca="1" si="15"/>
        <v>152.90894748102849</v>
      </c>
      <c r="N75">
        <f t="shared" ca="1" si="24"/>
        <v>1.0100000000000193</v>
      </c>
      <c r="O75">
        <f t="shared" ca="1" si="25"/>
        <v>1.0100000000000193</v>
      </c>
      <c r="P75">
        <f t="shared" ca="1" si="26"/>
        <v>0</v>
      </c>
      <c r="Q75">
        <f t="shared" ca="1" si="10"/>
        <v>0.3564423608064618</v>
      </c>
      <c r="R75">
        <f t="shared" ca="1" si="11"/>
        <v>0.43285374950829619</v>
      </c>
      <c r="S75">
        <f t="shared" ca="1" si="8"/>
        <v>0.82347065541505748</v>
      </c>
      <c r="T75">
        <f t="shared" ca="1" si="9"/>
        <v>45.159523295296438</v>
      </c>
      <c r="U75">
        <f>70</f>
        <v>70</v>
      </c>
      <c r="V75">
        <f>30</f>
        <v>30</v>
      </c>
      <c r="W75">
        <f t="shared" ca="1" si="7"/>
        <v>156.94387382031266</v>
      </c>
      <c r="X75">
        <f t="shared" ca="1" si="17"/>
        <v>157.96034223449033</v>
      </c>
      <c r="Y75">
        <f t="shared" ca="1" si="16"/>
        <v>-0.91356325235466329</v>
      </c>
      <c r="Z75">
        <f t="shared" ca="1" si="18"/>
        <v>-0.75577140122899056</v>
      </c>
      <c r="AA75">
        <f t="shared" ca="1" si="19"/>
        <v>-0.15779185112567273</v>
      </c>
    </row>
    <row r="76" spans="1:27" x14ac:dyDescent="0.25">
      <c r="A76" s="20">
        <f t="shared" ca="1" si="20"/>
        <v>45397</v>
      </c>
      <c r="B76" vm="221">
        <f ca="1"/>
        <v>45400</v>
      </c>
      <c r="C76" vm="222">
        <f ca="1"/>
        <v>157.29</v>
      </c>
      <c r="D76" vm="223">
        <f ca="1"/>
        <v>7819261</v>
      </c>
      <c r="E76">
        <f t="shared" ca="1" si="21"/>
        <v>1229891562.6899998</v>
      </c>
      <c r="F76">
        <f ca="1">SUM($E$2:E76)/SUM($D$2:D76)</f>
        <v>156.33404448413518</v>
      </c>
      <c r="G76">
        <f ca="1">_xlfn.STDEV.P($C$2:C76)</f>
        <v>4.3896223558145273</v>
      </c>
      <c r="H76">
        <f t="shared" ca="1" si="22"/>
        <v>160.72366683994971</v>
      </c>
      <c r="I76">
        <f t="shared" ca="1" si="23"/>
        <v>151.94442212832064</v>
      </c>
      <c r="J76">
        <f t="shared" ca="1" si="12"/>
        <v>158.23649999999998</v>
      </c>
      <c r="K76">
        <f t="shared" ca="1" si="13"/>
        <v>2.6644447925659112</v>
      </c>
      <c r="L76">
        <f t="shared" ca="1" si="14"/>
        <v>163.56538958513181</v>
      </c>
      <c r="M76">
        <f t="shared" ca="1" si="15"/>
        <v>152.90761041486815</v>
      </c>
      <c r="N76">
        <f t="shared" ca="1" si="24"/>
        <v>0.32999999999998408</v>
      </c>
      <c r="O76">
        <f t="shared" ca="1" si="25"/>
        <v>0.32999999999998408</v>
      </c>
      <c r="P76">
        <f t="shared" ca="1" si="26"/>
        <v>0</v>
      </c>
      <c r="Q76">
        <f t="shared" ca="1" si="10"/>
        <v>0.35455362074885627</v>
      </c>
      <c r="R76">
        <f t="shared" ca="1" si="11"/>
        <v>0.40193562454341786</v>
      </c>
      <c r="S76">
        <f t="shared" ca="1" si="8"/>
        <v>0.88211544112720641</v>
      </c>
      <c r="T76">
        <f t="shared" ca="1" si="9"/>
        <v>46.868296271928145</v>
      </c>
      <c r="U76">
        <f>70</f>
        <v>70</v>
      </c>
      <c r="V76">
        <f>30</f>
        <v>30</v>
      </c>
      <c r="W76">
        <f t="shared" ca="1" si="7"/>
        <v>156.99712400180303</v>
      </c>
      <c r="X76">
        <f t="shared" ca="1" si="17"/>
        <v>157.91068725415769</v>
      </c>
      <c r="Y76">
        <f t="shared" ca="1" si="16"/>
        <v>-0.75472230503061155</v>
      </c>
      <c r="Z76">
        <f t="shared" ca="1" si="18"/>
        <v>-0.75556158198931489</v>
      </c>
      <c r="AA76">
        <f t="shared" ca="1" si="19"/>
        <v>8.3927695870333885E-4</v>
      </c>
    </row>
    <row r="77" spans="1:27" x14ac:dyDescent="0.25">
      <c r="A77" s="20">
        <f t="shared" ca="1" si="20"/>
        <v>45397</v>
      </c>
      <c r="B77" vm="224">
        <f ca="1"/>
        <v>45401</v>
      </c>
      <c r="C77" vm="225">
        <f ca="1"/>
        <v>158.13999999999999</v>
      </c>
      <c r="D77" vm="226">
        <f ca="1"/>
        <v>12034186</v>
      </c>
      <c r="E77">
        <f t="shared" ca="1" si="21"/>
        <v>1903086174.0399997</v>
      </c>
      <c r="F77">
        <f ca="1">SUM($E$2:E77)/SUM($D$2:D77)</f>
        <v>156.37529045530238</v>
      </c>
      <c r="G77">
        <f ca="1">_xlfn.STDEV.P($C$2:C77)</f>
        <v>4.363189454126867</v>
      </c>
      <c r="H77">
        <f t="shared" ca="1" si="22"/>
        <v>160.73847990942923</v>
      </c>
      <c r="I77">
        <f t="shared" ca="1" si="23"/>
        <v>152.01210100117552</v>
      </c>
      <c r="J77">
        <f t="shared" ca="1" si="12"/>
        <v>158.0505</v>
      </c>
      <c r="K77">
        <f t="shared" ca="1" si="13"/>
        <v>2.5243414461681133</v>
      </c>
      <c r="L77">
        <f t="shared" ca="1" si="14"/>
        <v>163.09918289233622</v>
      </c>
      <c r="M77">
        <f t="shared" ca="1" si="15"/>
        <v>153.00181710766378</v>
      </c>
      <c r="N77">
        <f t="shared" ca="1" si="24"/>
        <v>0.84999999999999432</v>
      </c>
      <c r="O77">
        <f t="shared" ca="1" si="25"/>
        <v>0.84999999999999432</v>
      </c>
      <c r="P77">
        <f t="shared" ca="1" si="26"/>
        <v>0</v>
      </c>
      <c r="Q77">
        <f t="shared" ca="1" si="10"/>
        <v>0.38994264783822324</v>
      </c>
      <c r="R77">
        <f t="shared" ca="1" si="11"/>
        <v>0.37322593707603086</v>
      </c>
      <c r="S77">
        <f t="shared" ca="1" si="8"/>
        <v>1.044789788440633</v>
      </c>
      <c r="T77">
        <f t="shared" ca="1" si="9"/>
        <v>51.095217432467471</v>
      </c>
      <c r="U77">
        <f>70</f>
        <v>70</v>
      </c>
      <c r="V77">
        <f>30</f>
        <v>30</v>
      </c>
      <c r="W77">
        <f t="shared" ca="1" si="7"/>
        <v>157.17295107844873</v>
      </c>
      <c r="X77">
        <f t="shared" ca="1" si="17"/>
        <v>157.92767338347934</v>
      </c>
      <c r="Y77">
        <f t="shared" ca="1" si="16"/>
        <v>-0.43022045393593089</v>
      </c>
      <c r="Z77">
        <f t="shared" ca="1" si="18"/>
        <v>-0.69049335637863818</v>
      </c>
      <c r="AA77">
        <f t="shared" ca="1" si="19"/>
        <v>0.26027290244270729</v>
      </c>
    </row>
    <row r="78" spans="1:27" x14ac:dyDescent="0.25">
      <c r="A78" s="20">
        <f t="shared" ca="1" si="20"/>
        <v>45404</v>
      </c>
      <c r="B78" vm="227">
        <f ca="1"/>
        <v>45404</v>
      </c>
      <c r="C78" vm="228">
        <f ca="1"/>
        <v>160.54</v>
      </c>
      <c r="D78" vm="229">
        <f ca="1"/>
        <v>8926327</v>
      </c>
      <c r="E78">
        <f t="shared" ca="1" si="21"/>
        <v>1433032536.5799999</v>
      </c>
      <c r="F78">
        <f ca="1">SUM($E$2:E78)/SUM($D$2:D78)</f>
        <v>156.44466811733687</v>
      </c>
      <c r="G78">
        <f ca="1">_xlfn.STDEV.P($C$2:C78)</f>
        <v>4.3548457567620069</v>
      </c>
      <c r="H78">
        <f t="shared" ca="1" si="22"/>
        <v>160.79951387409889</v>
      </c>
      <c r="I78">
        <f t="shared" ca="1" si="23"/>
        <v>152.08982236057486</v>
      </c>
      <c r="J78">
        <f t="shared" ca="1" si="12"/>
        <v>157.99449999999996</v>
      </c>
      <c r="K78">
        <f t="shared" ca="1" si="13"/>
        <v>2.4514238075474712</v>
      </c>
      <c r="L78">
        <f t="shared" ca="1" si="14"/>
        <v>162.8973476150949</v>
      </c>
      <c r="M78">
        <f t="shared" ca="1" si="15"/>
        <v>153.09165238490502</v>
      </c>
      <c r="N78">
        <f t="shared" ca="1" si="24"/>
        <v>2.4000000000000057</v>
      </c>
      <c r="O78">
        <f t="shared" ca="1" si="25"/>
        <v>2.4000000000000057</v>
      </c>
      <c r="P78">
        <f t="shared" ca="1" si="26"/>
        <v>0</v>
      </c>
      <c r="Q78">
        <f t="shared" ca="1" si="10"/>
        <v>0.53351817299263626</v>
      </c>
      <c r="R78">
        <f t="shared" ca="1" si="11"/>
        <v>0.34656694157060003</v>
      </c>
      <c r="S78">
        <f t="shared" ca="1" si="8"/>
        <v>1.539437577556577</v>
      </c>
      <c r="T78">
        <f t="shared" ca="1" si="9"/>
        <v>60.621201763809822</v>
      </c>
      <c r="U78">
        <f>70</f>
        <v>70</v>
      </c>
      <c r="V78">
        <f>30</f>
        <v>30</v>
      </c>
      <c r="W78">
        <f t="shared" ca="1" si="7"/>
        <v>157.69095860484123</v>
      </c>
      <c r="X78">
        <f t="shared" ca="1" si="17"/>
        <v>158.12117905877716</v>
      </c>
      <c r="Y78">
        <f t="shared" ca="1" si="16"/>
        <v>-9.4497118133148206E-2</v>
      </c>
      <c r="Z78">
        <f t="shared" ca="1" si="18"/>
        <v>-0.57129410872954023</v>
      </c>
      <c r="AA78">
        <f t="shared" ca="1" si="19"/>
        <v>0.47679699059639202</v>
      </c>
    </row>
    <row r="79" spans="1:27" x14ac:dyDescent="0.25">
      <c r="A79" s="20">
        <f t="shared" ca="1" si="20"/>
        <v>45404</v>
      </c>
      <c r="B79" vm="230">
        <f ca="1"/>
        <v>45405</v>
      </c>
      <c r="C79" vm="151">
        <f ca="1"/>
        <v>161.5</v>
      </c>
      <c r="D79" vm="231">
        <f ca="1"/>
        <v>7707250</v>
      </c>
      <c r="E79">
        <f t="shared" ca="1" si="21"/>
        <v>1244720875</v>
      </c>
      <c r="F79">
        <f ca="1">SUM($E$2:E79)/SUM($D$2:D79)</f>
        <v>156.51634995564697</v>
      </c>
      <c r="G79">
        <f ca="1">_xlfn.STDEV.P($C$2:C79)</f>
        <v>4.3576995439775184</v>
      </c>
      <c r="H79">
        <f t="shared" ca="1" si="22"/>
        <v>160.8740494996245</v>
      </c>
      <c r="I79">
        <f t="shared" ca="1" si="23"/>
        <v>152.15865041166944</v>
      </c>
      <c r="J79">
        <f t="shared" ca="1" si="12"/>
        <v>158.05999999999997</v>
      </c>
      <c r="K79">
        <f t="shared" ca="1" si="13"/>
        <v>2.5294330548459634</v>
      </c>
      <c r="L79">
        <f t="shared" ca="1" si="14"/>
        <v>163.11886610969191</v>
      </c>
      <c r="M79">
        <f t="shared" ca="1" si="15"/>
        <v>153.00113389030804</v>
      </c>
      <c r="N79">
        <f t="shared" ca="1" si="24"/>
        <v>0.96000000000000796</v>
      </c>
      <c r="O79">
        <f t="shared" ca="1" si="25"/>
        <v>0.96000000000000796</v>
      </c>
      <c r="P79">
        <f t="shared" ca="1" si="26"/>
        <v>0</v>
      </c>
      <c r="Q79">
        <f t="shared" ca="1" si="10"/>
        <v>0.56398116063602</v>
      </c>
      <c r="R79">
        <f t="shared" ca="1" si="11"/>
        <v>0.32181216002984286</v>
      </c>
      <c r="S79">
        <f t="shared" ca="1" si="8"/>
        <v>1.7525166251757542</v>
      </c>
      <c r="T79">
        <f t="shared" ca="1" si="9"/>
        <v>63.669610898857051</v>
      </c>
      <c r="U79">
        <f>70</f>
        <v>70</v>
      </c>
      <c r="V79">
        <f>30</f>
        <v>30</v>
      </c>
      <c r="W79">
        <f t="shared" ref="W79:W142" ca="1" si="27">C79*(2/(12+1)) + W78*(1-(2/(12+1)))</f>
        <v>158.27696497332718</v>
      </c>
      <c r="X79">
        <f t="shared" ca="1" si="17"/>
        <v>158.37146209146033</v>
      </c>
      <c r="Y79">
        <f t="shared" ca="1" si="16"/>
        <v>0.2573601634004774</v>
      </c>
      <c r="Z79">
        <f t="shared" ca="1" si="18"/>
        <v>-0.40556325430353674</v>
      </c>
      <c r="AA79">
        <f t="shared" ca="1" si="19"/>
        <v>0.6629234177040142</v>
      </c>
    </row>
    <row r="80" spans="1:27" x14ac:dyDescent="0.25">
      <c r="A80" s="20">
        <f t="shared" ca="1" si="20"/>
        <v>45404</v>
      </c>
      <c r="B80" vm="232">
        <f ca="1"/>
        <v>45406</v>
      </c>
      <c r="C80" vm="233">
        <f ca="1"/>
        <v>162.6</v>
      </c>
      <c r="D80" vm="234">
        <f ca="1"/>
        <v>7217563</v>
      </c>
      <c r="E80">
        <f t="shared" ca="1" si="21"/>
        <v>1173575743.8</v>
      </c>
      <c r="F80">
        <f ca="1">SUM($E$2:E80)/SUM($D$2:D80)</f>
        <v>156.59607338546101</v>
      </c>
      <c r="G80">
        <f ca="1">_xlfn.STDEV.P($C$2:C80)</f>
        <v>4.375740766824765</v>
      </c>
      <c r="H80">
        <f t="shared" ca="1" si="22"/>
        <v>160.97181415228579</v>
      </c>
      <c r="I80">
        <f t="shared" ca="1" si="23"/>
        <v>152.22033261863623</v>
      </c>
      <c r="J80">
        <f t="shared" ca="1" si="12"/>
        <v>158.16249999999997</v>
      </c>
      <c r="K80">
        <f t="shared" ca="1" si="13"/>
        <v>2.6731016382511652</v>
      </c>
      <c r="L80">
        <f t="shared" ca="1" si="14"/>
        <v>163.5087032765023</v>
      </c>
      <c r="M80">
        <f t="shared" ca="1" si="15"/>
        <v>152.81629672349763</v>
      </c>
      <c r="N80">
        <f t="shared" ca="1" si="24"/>
        <v>1.0999999999999943</v>
      </c>
      <c r="O80">
        <f t="shared" ca="1" si="25"/>
        <v>1.0999999999999943</v>
      </c>
      <c r="P80">
        <f t="shared" ca="1" si="26"/>
        <v>0</v>
      </c>
      <c r="Q80">
        <f t="shared" ca="1" si="10"/>
        <v>0.6022682205905896</v>
      </c>
      <c r="R80">
        <f t="shared" ca="1" si="11"/>
        <v>0.2988255771705684</v>
      </c>
      <c r="S80">
        <f t="shared" ref="S80:S143" ca="1" si="28">IF(R80=0,NA(),Q80/R80)</f>
        <v>2.0154507063724916</v>
      </c>
      <c r="T80">
        <f t="shared" ref="T80:T143" ca="1" si="29">100-(100/(1+S80))</f>
        <v>66.83746154806245</v>
      </c>
      <c r="U80">
        <f>70</f>
        <v>70</v>
      </c>
      <c r="V80">
        <f>30</f>
        <v>30</v>
      </c>
      <c r="W80">
        <f t="shared" ca="1" si="27"/>
        <v>158.94204728512301</v>
      </c>
      <c r="X80">
        <f t="shared" ca="1" si="17"/>
        <v>158.68468712172253</v>
      </c>
      <c r="Y80">
        <f t="shared" ca="1" si="16"/>
        <v>0.52611033937807861</v>
      </c>
      <c r="Z80">
        <f t="shared" ca="1" si="18"/>
        <v>-0.21922853556721367</v>
      </c>
      <c r="AA80">
        <f t="shared" ca="1" si="19"/>
        <v>0.74533887494529227</v>
      </c>
    </row>
    <row r="81" spans="1:27" x14ac:dyDescent="0.25">
      <c r="A81" s="20">
        <f t="shared" ca="1" si="20"/>
        <v>45404</v>
      </c>
      <c r="B81" vm="235">
        <f ca="1"/>
        <v>45407</v>
      </c>
      <c r="C81" vm="236">
        <f ca="1"/>
        <v>162.55000000000001</v>
      </c>
      <c r="D81" vm="237">
        <f ca="1"/>
        <v>7094620</v>
      </c>
      <c r="E81">
        <f t="shared" ca="1" si="21"/>
        <v>1153230481</v>
      </c>
      <c r="F81">
        <f ca="1">SUM($E$2:E81)/SUM($D$2:D81)</f>
        <v>156.67179244697749</v>
      </c>
      <c r="G81">
        <f ca="1">_xlfn.STDEV.P($C$2:C81)</f>
        <v>4.3913619683988729</v>
      </c>
      <c r="H81">
        <f t="shared" ca="1" si="22"/>
        <v>161.06315441537637</v>
      </c>
      <c r="I81">
        <f t="shared" ca="1" si="23"/>
        <v>152.28043047857861</v>
      </c>
      <c r="J81">
        <f t="shared" ca="1" si="12"/>
        <v>158.15950000000001</v>
      </c>
      <c r="K81">
        <f t="shared" ca="1" si="13"/>
        <v>2.6678761018339756</v>
      </c>
      <c r="L81">
        <f t="shared" ca="1" si="14"/>
        <v>163.49525220366797</v>
      </c>
      <c r="M81">
        <f t="shared" ca="1" si="15"/>
        <v>152.82374779633204</v>
      </c>
      <c r="N81">
        <f t="shared" ca="1" si="24"/>
        <v>-4.9999999999982947E-2</v>
      </c>
      <c r="O81">
        <f t="shared" ca="1" si="25"/>
        <v>0</v>
      </c>
      <c r="P81">
        <f t="shared" ca="1" si="26"/>
        <v>4.9999999999982947E-2</v>
      </c>
      <c r="Q81">
        <f t="shared" ref="Q81:Q144" ca="1" si="30">(Q80*13+O81)/14</f>
        <v>0.5592490619769761</v>
      </c>
      <c r="R81">
        <f t="shared" ref="R81:R144" ca="1" si="31">(R80*13+P81)/14</f>
        <v>0.28105232165838373</v>
      </c>
      <c r="S81">
        <f t="shared" ca="1" si="28"/>
        <v>1.989839680658243</v>
      </c>
      <c r="T81">
        <f t="shared" ca="1" si="29"/>
        <v>66.553390589162291</v>
      </c>
      <c r="U81">
        <f>70</f>
        <v>70</v>
      </c>
      <c r="V81">
        <f>30</f>
        <v>30</v>
      </c>
      <c r="W81">
        <f t="shared" ca="1" si="27"/>
        <v>159.49711693356562</v>
      </c>
      <c r="X81">
        <f t="shared" ca="1" si="17"/>
        <v>158.97100659418754</v>
      </c>
      <c r="Y81">
        <f t="shared" ca="1" si="16"/>
        <v>0.63016121412547932</v>
      </c>
      <c r="Z81">
        <f t="shared" ca="1" si="18"/>
        <v>-4.9350585628675087E-2</v>
      </c>
      <c r="AA81">
        <f t="shared" ca="1" si="19"/>
        <v>0.67951179975415443</v>
      </c>
    </row>
    <row r="82" spans="1:27" x14ac:dyDescent="0.25">
      <c r="A82" s="20">
        <f t="shared" ca="1" si="20"/>
        <v>45404</v>
      </c>
      <c r="B82" vm="238">
        <f ca="1"/>
        <v>45408</v>
      </c>
      <c r="C82" vm="239">
        <f ca="1"/>
        <v>161.29</v>
      </c>
      <c r="D82" vm="240">
        <f ca="1"/>
        <v>5659784</v>
      </c>
      <c r="E82">
        <f t="shared" ca="1" si="21"/>
        <v>912866561.36000001</v>
      </c>
      <c r="F82">
        <f ca="1">SUM($E$2:E82)/SUM($D$2:D82)</f>
        <v>156.71817578363448</v>
      </c>
      <c r="G82">
        <f ca="1">_xlfn.STDEV.P($C$2:C82)</f>
        <v>4.388653693060804</v>
      </c>
      <c r="H82">
        <f t="shared" ca="1" si="22"/>
        <v>161.10682947669528</v>
      </c>
      <c r="I82">
        <f t="shared" ca="1" si="23"/>
        <v>152.32952209057368</v>
      </c>
      <c r="J82">
        <f t="shared" ca="1" si="12"/>
        <v>158.11150000000001</v>
      </c>
      <c r="K82">
        <f t="shared" ca="1" si="13"/>
        <v>2.5981314641994473</v>
      </c>
      <c r="L82">
        <f t="shared" ca="1" si="14"/>
        <v>163.30776292839892</v>
      </c>
      <c r="M82">
        <f t="shared" ca="1" si="15"/>
        <v>152.9152370716011</v>
      </c>
      <c r="N82">
        <f t="shared" ca="1" si="24"/>
        <v>-1.2600000000000193</v>
      </c>
      <c r="O82">
        <f t="shared" ca="1" si="25"/>
        <v>0</v>
      </c>
      <c r="P82">
        <f t="shared" ca="1" si="26"/>
        <v>1.2600000000000193</v>
      </c>
      <c r="Q82">
        <f t="shared" ca="1" si="30"/>
        <v>0.51930270040719206</v>
      </c>
      <c r="R82">
        <f t="shared" ca="1" si="31"/>
        <v>0.35097715582564337</v>
      </c>
      <c r="S82">
        <f t="shared" ca="1" si="28"/>
        <v>1.4795911693613717</v>
      </c>
      <c r="T82">
        <f t="shared" ca="1" si="29"/>
        <v>59.670771038535605</v>
      </c>
      <c r="U82">
        <f>70</f>
        <v>70</v>
      </c>
      <c r="V82">
        <f>30</f>
        <v>30</v>
      </c>
      <c r="W82">
        <f t="shared" ca="1" si="27"/>
        <v>159.77294509763246</v>
      </c>
      <c r="X82">
        <f t="shared" ca="1" si="17"/>
        <v>159.14278388350698</v>
      </c>
      <c r="Y82">
        <f t="shared" ca="1" si="16"/>
        <v>0.73401689987770169</v>
      </c>
      <c r="Z82">
        <f t="shared" ca="1" si="18"/>
        <v>0.10732291147260029</v>
      </c>
      <c r="AA82">
        <f t="shared" ca="1" si="19"/>
        <v>0.62669398840510138</v>
      </c>
    </row>
    <row r="83" spans="1:27" x14ac:dyDescent="0.25">
      <c r="A83" s="20">
        <f t="shared" ca="1" si="20"/>
        <v>45411</v>
      </c>
      <c r="B83" vm="241">
        <f ca="1"/>
        <v>45411</v>
      </c>
      <c r="C83" vm="169">
        <f ca="1"/>
        <v>161.66</v>
      </c>
      <c r="D83" vm="242">
        <f ca="1"/>
        <v>4622164</v>
      </c>
      <c r="E83">
        <f t="shared" ca="1" si="21"/>
        <v>747219032.24000001</v>
      </c>
      <c r="F83">
        <f ca="1">SUM($E$2:E83)/SUM($D$2:D83)</f>
        <v>156.75838019018735</v>
      </c>
      <c r="G83">
        <f ca="1">_xlfn.STDEV.P($C$2:C83)</f>
        <v>4.3898153059762102</v>
      </c>
      <c r="H83">
        <f t="shared" ca="1" si="22"/>
        <v>161.14819549616357</v>
      </c>
      <c r="I83">
        <f t="shared" ca="1" si="23"/>
        <v>152.36856488421114</v>
      </c>
      <c r="J83">
        <f t="shared" ca="1" si="12"/>
        <v>158.16550000000001</v>
      </c>
      <c r="K83">
        <f t="shared" ca="1" si="13"/>
        <v>2.6625620328824962</v>
      </c>
      <c r="L83">
        <f t="shared" ca="1" si="14"/>
        <v>163.49062406576499</v>
      </c>
      <c r="M83">
        <f t="shared" ca="1" si="15"/>
        <v>152.84037593423503</v>
      </c>
      <c r="N83">
        <f t="shared" ca="1" si="24"/>
        <v>0.37000000000000455</v>
      </c>
      <c r="O83">
        <f t="shared" ca="1" si="25"/>
        <v>0.37000000000000455</v>
      </c>
      <c r="P83">
        <f t="shared" ca="1" si="26"/>
        <v>0</v>
      </c>
      <c r="Q83">
        <f t="shared" ca="1" si="30"/>
        <v>0.50863822180667861</v>
      </c>
      <c r="R83">
        <f t="shared" ca="1" si="31"/>
        <v>0.32590735898095458</v>
      </c>
      <c r="S83">
        <f t="shared" ca="1" si="28"/>
        <v>1.5606834512638375</v>
      </c>
      <c r="T83">
        <f t="shared" ca="1" si="29"/>
        <v>60.947925855245977</v>
      </c>
      <c r="U83">
        <f>70</f>
        <v>70</v>
      </c>
      <c r="V83">
        <f>30</f>
        <v>30</v>
      </c>
      <c r="W83">
        <f t="shared" ca="1" si="27"/>
        <v>160.06326123645823</v>
      </c>
      <c r="X83">
        <f t="shared" ca="1" si="17"/>
        <v>159.32924433658053</v>
      </c>
      <c r="Y83">
        <f t="shared" ca="1" si="16"/>
        <v>0.92986945253397835</v>
      </c>
      <c r="Z83">
        <f t="shared" ca="1" si="18"/>
        <v>0.27183221968487592</v>
      </c>
      <c r="AA83">
        <f t="shared" ca="1" si="19"/>
        <v>0.65803723284910243</v>
      </c>
    </row>
    <row r="84" spans="1:27" x14ac:dyDescent="0.25">
      <c r="A84" s="20">
        <f t="shared" ca="1" si="20"/>
        <v>45411</v>
      </c>
      <c r="B84" vm="243">
        <f ca="1"/>
        <v>45412</v>
      </c>
      <c r="C84" vm="244">
        <f ca="1"/>
        <v>163.19999999999999</v>
      </c>
      <c r="D84" vm="245">
        <f ca="1"/>
        <v>8106098</v>
      </c>
      <c r="E84">
        <f t="shared" ca="1" si="21"/>
        <v>1322915193.5999999</v>
      </c>
      <c r="F84">
        <f ca="1">SUM($E$2:E84)/SUM($D$2:D84)</f>
        <v>156.84899420458106</v>
      </c>
      <c r="G84">
        <f ca="1">_xlfn.STDEV.P($C$2:C84)</f>
        <v>4.4120481565804468</v>
      </c>
      <c r="H84">
        <f t="shared" ca="1" si="22"/>
        <v>161.26104236116151</v>
      </c>
      <c r="I84">
        <f t="shared" ca="1" si="23"/>
        <v>152.43694604800061</v>
      </c>
      <c r="J84">
        <f t="shared" ca="1" si="12"/>
        <v>158.29699999999997</v>
      </c>
      <c r="K84">
        <f t="shared" ca="1" si="13"/>
        <v>2.84618137529087</v>
      </c>
      <c r="L84">
        <f t="shared" ca="1" si="14"/>
        <v>163.98936275058171</v>
      </c>
      <c r="M84">
        <f t="shared" ca="1" si="15"/>
        <v>152.60463724941823</v>
      </c>
      <c r="N84">
        <f t="shared" ca="1" si="24"/>
        <v>1.539999999999992</v>
      </c>
      <c r="O84">
        <f t="shared" ca="1" si="25"/>
        <v>1.539999999999992</v>
      </c>
      <c r="P84">
        <f t="shared" ca="1" si="26"/>
        <v>0</v>
      </c>
      <c r="Q84">
        <f t="shared" ca="1" si="30"/>
        <v>0.58230692024905817</v>
      </c>
      <c r="R84">
        <f t="shared" ca="1" si="31"/>
        <v>0.30262826191088638</v>
      </c>
      <c r="S84">
        <f t="shared" ca="1" si="28"/>
        <v>1.9241656961322653</v>
      </c>
      <c r="T84">
        <f t="shared" ca="1" si="29"/>
        <v>65.802211505227632</v>
      </c>
      <c r="U84">
        <f>70</f>
        <v>70</v>
      </c>
      <c r="V84">
        <f>30</f>
        <v>30</v>
      </c>
      <c r="W84">
        <f t="shared" ca="1" si="27"/>
        <v>160.54583643084928</v>
      </c>
      <c r="X84">
        <f t="shared" ca="1" si="17"/>
        <v>159.6159669783153</v>
      </c>
      <c r="Y84">
        <f t="shared" ca="1" si="16"/>
        <v>1.0886727977486146</v>
      </c>
      <c r="Z84">
        <f t="shared" ca="1" si="18"/>
        <v>0.4352003352976237</v>
      </c>
      <c r="AA84">
        <f t="shared" ca="1" si="19"/>
        <v>0.65347246245099089</v>
      </c>
    </row>
    <row r="85" spans="1:27" x14ac:dyDescent="0.25">
      <c r="A85" s="20">
        <f t="shared" ca="1" si="20"/>
        <v>45411</v>
      </c>
      <c r="B85" vm="246">
        <f ca="1"/>
        <v>45413</v>
      </c>
      <c r="C85" vm="247">
        <f ca="1"/>
        <v>163.4</v>
      </c>
      <c r="D85" vm="248">
        <f ca="1"/>
        <v>7543154</v>
      </c>
      <c r="E85">
        <f t="shared" ca="1" si="21"/>
        <v>1232551363.6000001</v>
      </c>
      <c r="F85">
        <f ca="1">SUM($E$2:E85)/SUM($D$2:D85)</f>
        <v>156.9336392103551</v>
      </c>
      <c r="G85">
        <f ca="1">_xlfn.STDEV.P($C$2:C85)</f>
        <v>4.4357045519791996</v>
      </c>
      <c r="H85">
        <f t="shared" ca="1" si="22"/>
        <v>161.3693437623343</v>
      </c>
      <c r="I85">
        <f t="shared" ca="1" si="23"/>
        <v>152.4979346583759</v>
      </c>
      <c r="J85">
        <f t="shared" ca="1" si="12"/>
        <v>158.65949999999998</v>
      </c>
      <c r="K85">
        <f t="shared" ca="1" si="13"/>
        <v>3.0150246136727699</v>
      </c>
      <c r="L85">
        <f t="shared" ca="1" si="14"/>
        <v>164.68954922734551</v>
      </c>
      <c r="M85">
        <f t="shared" ca="1" si="15"/>
        <v>152.62945077265445</v>
      </c>
      <c r="N85">
        <f t="shared" ca="1" si="24"/>
        <v>0.20000000000001705</v>
      </c>
      <c r="O85">
        <f t="shared" ca="1" si="25"/>
        <v>0.20000000000001705</v>
      </c>
      <c r="P85">
        <f t="shared" ca="1" si="26"/>
        <v>0</v>
      </c>
      <c r="Q85">
        <f t="shared" ca="1" si="30"/>
        <v>0.5549992830884124</v>
      </c>
      <c r="R85">
        <f t="shared" ca="1" si="31"/>
        <v>0.28101195748868019</v>
      </c>
      <c r="S85">
        <f t="shared" ca="1" si="28"/>
        <v>1.9750023737362459</v>
      </c>
      <c r="T85">
        <f t="shared" ca="1" si="29"/>
        <v>66.386581441811757</v>
      </c>
      <c r="U85">
        <f>70</f>
        <v>70</v>
      </c>
      <c r="V85">
        <f>30</f>
        <v>30</v>
      </c>
      <c r="W85">
        <f t="shared" ca="1" si="27"/>
        <v>160.98493851841093</v>
      </c>
      <c r="X85">
        <f t="shared" ca="1" si="17"/>
        <v>159.89626572066231</v>
      </c>
      <c r="Y85">
        <f t="shared" ca="1" si="16"/>
        <v>1.2357845605492628</v>
      </c>
      <c r="Z85">
        <f t="shared" ca="1" si="18"/>
        <v>0.59531718034795156</v>
      </c>
      <c r="AA85">
        <f t="shared" ca="1" si="19"/>
        <v>0.64046738020131122</v>
      </c>
    </row>
    <row r="86" spans="1:27" x14ac:dyDescent="0.25">
      <c r="A86" s="20">
        <f t="shared" ca="1" si="20"/>
        <v>45411</v>
      </c>
      <c r="B86" vm="249">
        <f ca="1"/>
        <v>45414</v>
      </c>
      <c r="C86" vm="250">
        <f ca="1"/>
        <v>163.84</v>
      </c>
      <c r="D86" vm="251">
        <f ca="1"/>
        <v>5647490</v>
      </c>
      <c r="E86">
        <f t="shared" ca="1" si="21"/>
        <v>925284761.60000002</v>
      </c>
      <c r="F86">
        <f ca="1">SUM($E$2:E86)/SUM($D$2:D86)</f>
        <v>156.99980965285957</v>
      </c>
      <c r="G86">
        <f ca="1">_xlfn.STDEV.P($C$2:C86)</f>
        <v>4.4647232178226579</v>
      </c>
      <c r="H86">
        <f t="shared" ca="1" si="22"/>
        <v>161.46453287068223</v>
      </c>
      <c r="I86">
        <f t="shared" ca="1" si="23"/>
        <v>152.5350864350369</v>
      </c>
      <c r="J86">
        <f t="shared" ref="J86:J149" ca="1" si="32">AVERAGE(C67:C86)</f>
        <v>159.07900000000001</v>
      </c>
      <c r="K86">
        <f t="shared" ref="K86:K149" ca="1" si="33">_xlfn.STDEV.S(C67:C86)</f>
        <v>3.1265769074012457</v>
      </c>
      <c r="L86">
        <f t="shared" ref="L86:L149" ca="1" si="34">J86 + 2*K86</f>
        <v>165.3321538148025</v>
      </c>
      <c r="M86">
        <f t="shared" ref="M86:M149" ca="1" si="35">J86-2*K86</f>
        <v>152.82584618519752</v>
      </c>
      <c r="N86">
        <f t="shared" ca="1" si="24"/>
        <v>0.43999999999999773</v>
      </c>
      <c r="O86">
        <f t="shared" ca="1" si="25"/>
        <v>0.43999999999999773</v>
      </c>
      <c r="P86">
        <f t="shared" ca="1" si="26"/>
        <v>0</v>
      </c>
      <c r="Q86">
        <f t="shared" ca="1" si="30"/>
        <v>0.54678504858209709</v>
      </c>
      <c r="R86">
        <f t="shared" ca="1" si="31"/>
        <v>0.26093967481091729</v>
      </c>
      <c r="S86">
        <f t="shared" ca="1" si="28"/>
        <v>2.0954461945210507</v>
      </c>
      <c r="T86">
        <f t="shared" ca="1" si="29"/>
        <v>67.694479659507465</v>
      </c>
      <c r="U86">
        <f>70</f>
        <v>70</v>
      </c>
      <c r="V86">
        <f>30</f>
        <v>30</v>
      </c>
      <c r="W86">
        <f t="shared" ca="1" si="27"/>
        <v>161.42417874634771</v>
      </c>
      <c r="X86">
        <f t="shared" ca="1" si="17"/>
        <v>160.18839418579844</v>
      </c>
      <c r="Y86">
        <f t="shared" ca="1" si="16"/>
        <v>1.3864187386916456</v>
      </c>
      <c r="Z86">
        <f t="shared" ca="1" si="18"/>
        <v>0.7535374920166904</v>
      </c>
      <c r="AA86">
        <f t="shared" ca="1" si="19"/>
        <v>0.63288124667495516</v>
      </c>
    </row>
    <row r="87" spans="1:27" x14ac:dyDescent="0.25">
      <c r="A87" s="20">
        <f t="shared" ca="1" si="20"/>
        <v>45411</v>
      </c>
      <c r="B87" vm="252">
        <f ca="1"/>
        <v>45415</v>
      </c>
      <c r="C87" vm="253">
        <f ca="1"/>
        <v>164.46</v>
      </c>
      <c r="D87" vm="254">
        <f ca="1"/>
        <v>5581692</v>
      </c>
      <c r="E87">
        <f t="shared" ca="1" si="21"/>
        <v>917965066.32000005</v>
      </c>
      <c r="F87">
        <f ca="1">SUM($E$2:E87)/SUM($D$2:D87)</f>
        <v>157.0697909356206</v>
      </c>
      <c r="G87">
        <f ca="1">_xlfn.STDEV.P($C$2:C87)</f>
        <v>4.502287377612757</v>
      </c>
      <c r="H87">
        <f t="shared" ca="1" si="22"/>
        <v>161.57207831323336</v>
      </c>
      <c r="I87">
        <f t="shared" ca="1" si="23"/>
        <v>152.56750355800784</v>
      </c>
      <c r="J87">
        <f t="shared" ca="1" si="32"/>
        <v>159.49700000000001</v>
      </c>
      <c r="K87">
        <f t="shared" ca="1" si="33"/>
        <v>3.2631952374773325</v>
      </c>
      <c r="L87">
        <f t="shared" ca="1" si="34"/>
        <v>166.02339047495468</v>
      </c>
      <c r="M87">
        <f t="shared" ca="1" si="35"/>
        <v>152.97060952504535</v>
      </c>
      <c r="N87">
        <f t="shared" ca="1" si="24"/>
        <v>0.62000000000000455</v>
      </c>
      <c r="O87">
        <f t="shared" ca="1" si="25"/>
        <v>0.62000000000000455</v>
      </c>
      <c r="P87">
        <f t="shared" ca="1" si="26"/>
        <v>0</v>
      </c>
      <c r="Q87">
        <f t="shared" ca="1" si="30"/>
        <v>0.55201468796909048</v>
      </c>
      <c r="R87">
        <f t="shared" ca="1" si="31"/>
        <v>0.2423011266101375</v>
      </c>
      <c r="S87">
        <f t="shared" ca="1" si="28"/>
        <v>2.2782175869007908</v>
      </c>
      <c r="T87">
        <f t="shared" ca="1" si="29"/>
        <v>69.495618472799578</v>
      </c>
      <c r="U87">
        <f>70</f>
        <v>70</v>
      </c>
      <c r="V87">
        <f>30</f>
        <v>30</v>
      </c>
      <c r="W87">
        <f t="shared" ca="1" si="27"/>
        <v>161.8912281699865</v>
      </c>
      <c r="X87">
        <f t="shared" ca="1" si="17"/>
        <v>160.50480943129486</v>
      </c>
      <c r="Y87">
        <f t="shared" ca="1" si="16"/>
        <v>1.4870418840887965</v>
      </c>
      <c r="Z87">
        <f t="shared" ca="1" si="18"/>
        <v>0.90023837043111166</v>
      </c>
      <c r="AA87">
        <f t="shared" ca="1" si="19"/>
        <v>0.58680351365768479</v>
      </c>
    </row>
    <row r="88" spans="1:27" x14ac:dyDescent="0.25">
      <c r="A88" s="20">
        <f t="shared" ca="1" si="20"/>
        <v>45418</v>
      </c>
      <c r="B88" vm="255">
        <f ca="1"/>
        <v>45418</v>
      </c>
      <c r="C88" vm="256">
        <f ca="1"/>
        <v>164.44</v>
      </c>
      <c r="D88" vm="257">
        <f ca="1"/>
        <v>5472549</v>
      </c>
      <c r="E88">
        <f t="shared" ca="1" si="21"/>
        <v>899905957.55999994</v>
      </c>
      <c r="F88">
        <f ca="1">SUM($E$2:E88)/SUM($D$2:D88)</f>
        <v>157.13695849219377</v>
      </c>
      <c r="G88">
        <f ca="1">_xlfn.STDEV.P($C$2:C88)</f>
        <v>4.5369163203050302</v>
      </c>
      <c r="H88">
        <f t="shared" ca="1" si="22"/>
        <v>161.67387481249881</v>
      </c>
      <c r="I88">
        <f t="shared" ca="1" si="23"/>
        <v>152.60004217188873</v>
      </c>
      <c r="J88">
        <f t="shared" ca="1" si="32"/>
        <v>159.917</v>
      </c>
      <c r="K88">
        <f t="shared" ca="1" si="33"/>
        <v>3.3346255214672995</v>
      </c>
      <c r="L88">
        <f t="shared" ca="1" si="34"/>
        <v>166.58625104293461</v>
      </c>
      <c r="M88">
        <f t="shared" ca="1" si="35"/>
        <v>153.2477489570654</v>
      </c>
      <c r="N88">
        <f t="shared" ca="1" si="24"/>
        <v>-2.0000000000010232E-2</v>
      </c>
      <c r="O88">
        <f t="shared" ca="1" si="25"/>
        <v>0</v>
      </c>
      <c r="P88">
        <f t="shared" ca="1" si="26"/>
        <v>2.0000000000010232E-2</v>
      </c>
      <c r="Q88">
        <f t="shared" ca="1" si="30"/>
        <v>0.51258506739986975</v>
      </c>
      <c r="R88">
        <f t="shared" ca="1" si="31"/>
        <v>0.22642247470941412</v>
      </c>
      <c r="S88">
        <f t="shared" ca="1" si="28"/>
        <v>2.2638435873369493</v>
      </c>
      <c r="T88">
        <f t="shared" ca="1" si="29"/>
        <v>69.361276873689746</v>
      </c>
      <c r="U88">
        <f>70</f>
        <v>70</v>
      </c>
      <c r="V88">
        <f>30</f>
        <v>30</v>
      </c>
      <c r="W88">
        <f t="shared" ca="1" si="27"/>
        <v>162.28334691306551</v>
      </c>
      <c r="X88">
        <f t="shared" ca="1" si="17"/>
        <v>160.79630502897672</v>
      </c>
      <c r="Y88">
        <f t="shared" ca="1" si="16"/>
        <v>1.6542304808063477</v>
      </c>
      <c r="Z88">
        <f t="shared" ca="1" si="18"/>
        <v>1.051036792506159</v>
      </c>
      <c r="AA88">
        <f t="shared" ca="1" si="19"/>
        <v>0.60319368830018871</v>
      </c>
    </row>
    <row r="89" spans="1:27" x14ac:dyDescent="0.25">
      <c r="A89" s="20">
        <f t="shared" ca="1" si="20"/>
        <v>45418</v>
      </c>
      <c r="B89" vm="258">
        <f ca="1"/>
        <v>45419</v>
      </c>
      <c r="C89" vm="259">
        <f ca="1"/>
        <v>165.76</v>
      </c>
      <c r="D89" vm="260">
        <f ca="1"/>
        <v>6433090</v>
      </c>
      <c r="E89">
        <f t="shared" ca="1" si="21"/>
        <v>1066348998.4</v>
      </c>
      <c r="F89">
        <f ca="1">SUM($E$2:E89)/SUM($D$2:D89)</f>
        <v>157.22835768297111</v>
      </c>
      <c r="G89">
        <f ca="1">_xlfn.STDEV.P($C$2:C89)</f>
        <v>4.5934801742310523</v>
      </c>
      <c r="H89">
        <f t="shared" ca="1" si="22"/>
        <v>161.82183785720215</v>
      </c>
      <c r="I89">
        <f t="shared" ca="1" si="23"/>
        <v>152.63487750874006</v>
      </c>
      <c r="J89">
        <f t="shared" ca="1" si="32"/>
        <v>160.37200000000001</v>
      </c>
      <c r="K89">
        <f t="shared" ca="1" si="33"/>
        <v>3.4843025429096022</v>
      </c>
      <c r="L89">
        <f t="shared" ca="1" si="34"/>
        <v>167.34060508581922</v>
      </c>
      <c r="M89">
        <f t="shared" ca="1" si="35"/>
        <v>153.40339491418081</v>
      </c>
      <c r="N89">
        <f t="shared" ca="1" si="24"/>
        <v>1.3199999999999932</v>
      </c>
      <c r="O89">
        <f t="shared" ca="1" si="25"/>
        <v>1.3199999999999932</v>
      </c>
      <c r="P89">
        <f t="shared" ca="1" si="26"/>
        <v>0</v>
      </c>
      <c r="Q89">
        <f t="shared" ca="1" si="30"/>
        <v>0.5702575625855929</v>
      </c>
      <c r="R89">
        <f t="shared" ca="1" si="31"/>
        <v>0.21024944080159885</v>
      </c>
      <c r="S89">
        <f t="shared" ca="1" si="28"/>
        <v>2.7122905079386843</v>
      </c>
      <c r="T89">
        <f t="shared" ca="1" si="29"/>
        <v>73.062453009496068</v>
      </c>
      <c r="U89">
        <f>70</f>
        <v>70</v>
      </c>
      <c r="V89">
        <f>30</f>
        <v>30</v>
      </c>
      <c r="W89">
        <f t="shared" ca="1" si="27"/>
        <v>162.81821661874775</v>
      </c>
      <c r="X89">
        <f t="shared" ca="1" si="17"/>
        <v>161.16398613794141</v>
      </c>
      <c r="Y89">
        <f t="shared" ca="1" si="16"/>
        <v>1.7113243331542094</v>
      </c>
      <c r="Z89">
        <f t="shared" ca="1" si="18"/>
        <v>1.1830943006357693</v>
      </c>
      <c r="AA89">
        <f t="shared" ca="1" si="19"/>
        <v>0.52823003251844014</v>
      </c>
    </row>
    <row r="90" spans="1:27" x14ac:dyDescent="0.25">
      <c r="A90" s="20">
        <f t="shared" ca="1" si="20"/>
        <v>45418</v>
      </c>
      <c r="B90" vm="261">
        <f ca="1"/>
        <v>45420</v>
      </c>
      <c r="C90" vm="262">
        <f ca="1"/>
        <v>165.07</v>
      </c>
      <c r="D90" vm="263">
        <f ca="1"/>
        <v>4579471</v>
      </c>
      <c r="E90">
        <f t="shared" ca="1" si="21"/>
        <v>755933277.96999991</v>
      </c>
      <c r="F90">
        <f ca="1">SUM($E$2:E90)/SUM($D$2:D90)</f>
        <v>157.28708227378857</v>
      </c>
      <c r="G90">
        <f ca="1">_xlfn.STDEV.P($C$2:C90)</f>
        <v>4.6335352930516853</v>
      </c>
      <c r="H90">
        <f t="shared" ca="1" si="22"/>
        <v>161.92061756684026</v>
      </c>
      <c r="I90">
        <f t="shared" ca="1" si="23"/>
        <v>152.65354698073688</v>
      </c>
      <c r="J90">
        <f t="shared" ca="1" si="32"/>
        <v>160.76349999999999</v>
      </c>
      <c r="K90">
        <f t="shared" ca="1" si="33"/>
        <v>3.5530806129477646</v>
      </c>
      <c r="L90">
        <f t="shared" ca="1" si="34"/>
        <v>167.86966122589553</v>
      </c>
      <c r="M90">
        <f t="shared" ca="1" si="35"/>
        <v>153.65733877410446</v>
      </c>
      <c r="N90">
        <f t="shared" ca="1" si="24"/>
        <v>-0.68999999999999773</v>
      </c>
      <c r="O90">
        <f t="shared" ca="1" si="25"/>
        <v>0</v>
      </c>
      <c r="P90">
        <f t="shared" ca="1" si="26"/>
        <v>0.68999999999999773</v>
      </c>
      <c r="Q90">
        <f t="shared" ca="1" si="30"/>
        <v>0.52952487954376481</v>
      </c>
      <c r="R90">
        <f t="shared" ca="1" si="31"/>
        <v>0.24451733788719876</v>
      </c>
      <c r="S90">
        <f t="shared" ca="1" si="28"/>
        <v>2.1655923629761022</v>
      </c>
      <c r="T90">
        <f t="shared" ca="1" si="29"/>
        <v>68.410335718024697</v>
      </c>
      <c r="U90">
        <f>70</f>
        <v>70</v>
      </c>
      <c r="V90">
        <f>30</f>
        <v>30</v>
      </c>
      <c r="W90">
        <f t="shared" ca="1" si="27"/>
        <v>163.1646448312481</v>
      </c>
      <c r="X90">
        <f t="shared" ca="1" si="17"/>
        <v>161.45332049809389</v>
      </c>
      <c r="Y90">
        <f t="shared" ca="1" si="16"/>
        <v>1.8139326296301022</v>
      </c>
      <c r="Z90">
        <f t="shared" ca="1" si="18"/>
        <v>1.3092619664346359</v>
      </c>
      <c r="AA90">
        <f t="shared" ca="1" si="19"/>
        <v>0.50467066319546627</v>
      </c>
    </row>
    <row r="91" spans="1:27" x14ac:dyDescent="0.25">
      <c r="A91" s="20">
        <f t="shared" ca="1" si="20"/>
        <v>45418</v>
      </c>
      <c r="B91" vm="264">
        <f ca="1"/>
        <v>45421</v>
      </c>
      <c r="C91" vm="265">
        <f ca="1"/>
        <v>166.04</v>
      </c>
      <c r="D91" vm="266">
        <f ca="1"/>
        <v>4671126</v>
      </c>
      <c r="E91">
        <f t="shared" ca="1" si="21"/>
        <v>775593761.03999996</v>
      </c>
      <c r="F91">
        <f ca="1">SUM($E$2:E91)/SUM($D$2:D91)</f>
        <v>157.35343629520227</v>
      </c>
      <c r="G91">
        <f ca="1">_xlfn.STDEV.P($C$2:C91)</f>
        <v>4.6886864305948697</v>
      </c>
      <c r="H91">
        <f t="shared" ca="1" si="22"/>
        <v>162.04212272579713</v>
      </c>
      <c r="I91">
        <f t="shared" ca="1" si="23"/>
        <v>152.66474986460742</v>
      </c>
      <c r="J91">
        <f t="shared" ca="1" si="32"/>
        <v>161.27349999999998</v>
      </c>
      <c r="K91">
        <f t="shared" ca="1" si="33"/>
        <v>3.5412000270500044</v>
      </c>
      <c r="L91">
        <f t="shared" ca="1" si="34"/>
        <v>168.3559000541</v>
      </c>
      <c r="M91">
        <f t="shared" ca="1" si="35"/>
        <v>154.19109994589996</v>
      </c>
      <c r="N91">
        <f t="shared" ca="1" si="24"/>
        <v>0.96999999999999886</v>
      </c>
      <c r="O91">
        <f t="shared" ca="1" si="25"/>
        <v>0.96999999999999886</v>
      </c>
      <c r="P91">
        <f t="shared" ca="1" si="26"/>
        <v>0</v>
      </c>
      <c r="Q91">
        <f t="shared" ca="1" si="30"/>
        <v>0.56098738814778148</v>
      </c>
      <c r="R91">
        <f t="shared" ca="1" si="31"/>
        <v>0.22705181375239886</v>
      </c>
      <c r="S91">
        <f t="shared" ca="1" si="28"/>
        <v>2.4707461212335482</v>
      </c>
      <c r="T91">
        <f t="shared" ca="1" si="29"/>
        <v>71.187751420879295</v>
      </c>
      <c r="U91">
        <f>70</f>
        <v>70</v>
      </c>
      <c r="V91">
        <f>30</f>
        <v>30</v>
      </c>
      <c r="W91">
        <f t="shared" ca="1" si="27"/>
        <v>163.60700716490223</v>
      </c>
      <c r="X91">
        <f t="shared" ca="1" si="17"/>
        <v>161.79307453527213</v>
      </c>
      <c r="Y91">
        <f t="shared" ca="1" si="16"/>
        <v>1.938267532799216</v>
      </c>
      <c r="Z91">
        <f t="shared" ca="1" si="18"/>
        <v>1.4350630797075519</v>
      </c>
      <c r="AA91">
        <f t="shared" ca="1" si="19"/>
        <v>0.50320445309166417</v>
      </c>
    </row>
    <row r="92" spans="1:27" x14ac:dyDescent="0.25">
      <c r="A92" s="20">
        <f t="shared" ca="1" si="20"/>
        <v>45418</v>
      </c>
      <c r="B92" vm="267">
        <f ca="1"/>
        <v>45422</v>
      </c>
      <c r="C92" vm="268">
        <f ca="1"/>
        <v>166.85</v>
      </c>
      <c r="D92" vm="269">
        <f ca="1"/>
        <v>4879427</v>
      </c>
      <c r="E92">
        <f t="shared" ca="1" si="21"/>
        <v>814132394.94999993</v>
      </c>
      <c r="F92">
        <f ca="1">SUM($E$2:E92)/SUM($D$2:D92)</f>
        <v>157.42804724478003</v>
      </c>
      <c r="G92">
        <f ca="1">_xlfn.STDEV.P($C$2:C92)</f>
        <v>4.7562049849849579</v>
      </c>
      <c r="H92">
        <f t="shared" ca="1" si="22"/>
        <v>162.18425222976498</v>
      </c>
      <c r="I92">
        <f t="shared" ca="1" si="23"/>
        <v>152.67184225979508</v>
      </c>
      <c r="J92">
        <f t="shared" ca="1" si="32"/>
        <v>161.84949999999998</v>
      </c>
      <c r="K92">
        <f t="shared" ca="1" si="33"/>
        <v>3.459529135894837</v>
      </c>
      <c r="L92">
        <f t="shared" ca="1" si="34"/>
        <v>168.76855827178966</v>
      </c>
      <c r="M92">
        <f t="shared" ca="1" si="35"/>
        <v>154.9304417282103</v>
      </c>
      <c r="N92">
        <f t="shared" ca="1" si="24"/>
        <v>0.81000000000000227</v>
      </c>
      <c r="O92">
        <f t="shared" ca="1" si="25"/>
        <v>0.81000000000000227</v>
      </c>
      <c r="P92">
        <f t="shared" ca="1" si="26"/>
        <v>0</v>
      </c>
      <c r="Q92">
        <f t="shared" ca="1" si="30"/>
        <v>0.57877400328008299</v>
      </c>
      <c r="R92">
        <f t="shared" ca="1" si="31"/>
        <v>0.21083382705579895</v>
      </c>
      <c r="S92">
        <f t="shared" ca="1" si="28"/>
        <v>2.7451667095475414</v>
      </c>
      <c r="T92">
        <f t="shared" ca="1" si="29"/>
        <v>73.298918911921774</v>
      </c>
      <c r="U92">
        <f>70</f>
        <v>70</v>
      </c>
      <c r="V92">
        <f>30</f>
        <v>30</v>
      </c>
      <c r="W92">
        <f t="shared" ca="1" si="27"/>
        <v>164.10592913953266</v>
      </c>
      <c r="X92">
        <f t="shared" ca="1" si="17"/>
        <v>162.16766160673345</v>
      </c>
      <c r="Y92">
        <f t="shared" ref="Y92:Y155" ca="1" si="36">W93-X93</f>
        <v>1.935415761404073</v>
      </c>
      <c r="Z92">
        <f t="shared" ca="1" si="18"/>
        <v>1.5351336160468563</v>
      </c>
      <c r="AA92">
        <f t="shared" ca="1" si="19"/>
        <v>0.40028214535721673</v>
      </c>
    </row>
    <row r="93" spans="1:27" x14ac:dyDescent="0.25">
      <c r="A93" s="20">
        <f t="shared" ca="1" si="20"/>
        <v>45425</v>
      </c>
      <c r="B93" vm="270">
        <f ca="1"/>
        <v>45425</v>
      </c>
      <c r="C93" vm="271">
        <f ca="1"/>
        <v>165.87</v>
      </c>
      <c r="D93" vm="272">
        <f ca="1"/>
        <v>5725523</v>
      </c>
      <c r="E93">
        <f t="shared" ca="1" si="21"/>
        <v>949692500.00999999</v>
      </c>
      <c r="F93">
        <f ca="1">SUM($E$2:E93)/SUM($D$2:D93)</f>
        <v>157.50516243459791</v>
      </c>
      <c r="G93">
        <f ca="1">_xlfn.STDEV.P($C$2:C93)</f>
        <v>4.80096728891822</v>
      </c>
      <c r="H93">
        <f t="shared" ca="1" si="22"/>
        <v>162.30612972351614</v>
      </c>
      <c r="I93">
        <f t="shared" ca="1" si="23"/>
        <v>152.70419514567968</v>
      </c>
      <c r="J93">
        <f t="shared" ca="1" si="32"/>
        <v>162.37049999999999</v>
      </c>
      <c r="K93">
        <f t="shared" ca="1" si="33"/>
        <v>3.2214780442327542</v>
      </c>
      <c r="L93">
        <f t="shared" ca="1" si="34"/>
        <v>168.8134560884655</v>
      </c>
      <c r="M93">
        <f t="shared" ca="1" si="35"/>
        <v>155.92754391153449</v>
      </c>
      <c r="N93">
        <f t="shared" ca="1" si="24"/>
        <v>-0.97999999999998977</v>
      </c>
      <c r="O93">
        <f t="shared" ca="1" si="25"/>
        <v>0</v>
      </c>
      <c r="P93">
        <f t="shared" ca="1" si="26"/>
        <v>0.97999999999998977</v>
      </c>
      <c r="Q93">
        <f t="shared" ca="1" si="30"/>
        <v>0.53743300304579134</v>
      </c>
      <c r="R93">
        <f t="shared" ca="1" si="31"/>
        <v>0.265774267980384</v>
      </c>
      <c r="S93">
        <f t="shared" ca="1" si="28"/>
        <v>2.0221408458002323</v>
      </c>
      <c r="T93">
        <f t="shared" ca="1" si="29"/>
        <v>66.910873747341512</v>
      </c>
      <c r="U93">
        <f>70</f>
        <v>70</v>
      </c>
      <c r="V93">
        <f>30</f>
        <v>30</v>
      </c>
      <c r="W93">
        <f t="shared" ca="1" si="27"/>
        <v>164.37732465652763</v>
      </c>
      <c r="X93">
        <f t="shared" ref="X93:X156" ca="1" si="37">C93*(2/(26+1)) + X92*(1-(2/(26+1)))</f>
        <v>162.44190889512356</v>
      </c>
      <c r="Y93">
        <f t="shared" ca="1" si="36"/>
        <v>1.9023505187280705</v>
      </c>
      <c r="Z93">
        <f t="shared" ca="1" si="18"/>
        <v>1.6085769965830994</v>
      </c>
      <c r="AA93">
        <f t="shared" ca="1" si="19"/>
        <v>0.2937735221449711</v>
      </c>
    </row>
    <row r="94" spans="1:27" x14ac:dyDescent="0.25">
      <c r="A94" s="20">
        <f t="shared" ca="1" si="20"/>
        <v>45425</v>
      </c>
      <c r="B94" vm="273">
        <f ca="1"/>
        <v>45426</v>
      </c>
      <c r="C94" vm="259">
        <f ca="1"/>
        <v>165.76</v>
      </c>
      <c r="D94" vm="274">
        <f ca="1"/>
        <v>6009837</v>
      </c>
      <c r="E94">
        <f t="shared" ca="1" si="21"/>
        <v>996190581.12</v>
      </c>
      <c r="F94">
        <f ca="1">SUM($E$2:E94)/SUM($D$2:D94)</f>
        <v>157.58356111255659</v>
      </c>
      <c r="G94">
        <f ca="1">_xlfn.STDEV.P($C$2:C94)</f>
        <v>4.8410083285596093</v>
      </c>
      <c r="H94">
        <f t="shared" ca="1" si="22"/>
        <v>162.4245694411162</v>
      </c>
      <c r="I94">
        <f t="shared" ca="1" si="23"/>
        <v>152.74255278399698</v>
      </c>
      <c r="J94">
        <f t="shared" ca="1" si="32"/>
        <v>162.86100000000002</v>
      </c>
      <c r="K94">
        <f t="shared" ca="1" si="33"/>
        <v>2.9256990167893391</v>
      </c>
      <c r="L94">
        <f t="shared" ca="1" si="34"/>
        <v>168.71239803357869</v>
      </c>
      <c r="M94">
        <f t="shared" ca="1" si="35"/>
        <v>157.00960196642134</v>
      </c>
      <c r="N94">
        <f t="shared" ca="1" si="24"/>
        <v>-0.11000000000001364</v>
      </c>
      <c r="O94">
        <f t="shared" ca="1" si="25"/>
        <v>0</v>
      </c>
      <c r="P94">
        <f t="shared" ca="1" si="26"/>
        <v>0.11000000000001364</v>
      </c>
      <c r="Q94">
        <f t="shared" ca="1" si="30"/>
        <v>0.49904493139966338</v>
      </c>
      <c r="R94">
        <f t="shared" ca="1" si="31"/>
        <v>0.2546475345532147</v>
      </c>
      <c r="S94">
        <f t="shared" ca="1" si="28"/>
        <v>1.9597477441721549</v>
      </c>
      <c r="T94">
        <f t="shared" ca="1" si="29"/>
        <v>66.213336863959626</v>
      </c>
      <c r="U94">
        <f>70</f>
        <v>70</v>
      </c>
      <c r="V94">
        <f>30</f>
        <v>30</v>
      </c>
      <c r="W94">
        <f t="shared" ca="1" si="27"/>
        <v>164.59004394013877</v>
      </c>
      <c r="X94">
        <f t="shared" ca="1" si="37"/>
        <v>162.6876934214107</v>
      </c>
      <c r="Y94">
        <f t="shared" ca="1" si="36"/>
        <v>1.9145945534551174</v>
      </c>
      <c r="Z94">
        <f t="shared" ca="1" si="18"/>
        <v>1.6697805079575032</v>
      </c>
      <c r="AA94">
        <f t="shared" ca="1" si="19"/>
        <v>0.24481404549761421</v>
      </c>
    </row>
    <row r="95" spans="1:27" x14ac:dyDescent="0.25">
      <c r="A95" s="20">
        <f t="shared" ca="1" si="20"/>
        <v>45425</v>
      </c>
      <c r="B95" vm="275">
        <f ca="1"/>
        <v>45427</v>
      </c>
      <c r="C95" vm="276">
        <f ca="1"/>
        <v>166.51</v>
      </c>
      <c r="D95" vm="277">
        <f ca="1"/>
        <v>5102897</v>
      </c>
      <c r="E95">
        <f t="shared" ca="1" si="21"/>
        <v>849683379.46999991</v>
      </c>
      <c r="F95">
        <f ca="1">SUM($E$2:E95)/SUM($D$2:D95)</f>
        <v>157.654968709271</v>
      </c>
      <c r="G95">
        <f ca="1">_xlfn.STDEV.P($C$2:C95)</f>
        <v>4.8914584011032822</v>
      </c>
      <c r="H95">
        <f t="shared" ca="1" si="22"/>
        <v>162.54642711037428</v>
      </c>
      <c r="I95">
        <f t="shared" ca="1" si="23"/>
        <v>152.76351030816772</v>
      </c>
      <c r="J95">
        <f t="shared" ca="1" si="32"/>
        <v>163.33850000000001</v>
      </c>
      <c r="K95">
        <f t="shared" ca="1" si="33"/>
        <v>2.6810038869992838</v>
      </c>
      <c r="L95">
        <f t="shared" ca="1" si="34"/>
        <v>168.70050777399857</v>
      </c>
      <c r="M95">
        <f t="shared" ca="1" si="35"/>
        <v>157.97649222600145</v>
      </c>
      <c r="N95">
        <f t="shared" ca="1" si="24"/>
        <v>0.75</v>
      </c>
      <c r="O95">
        <f t="shared" ca="1" si="25"/>
        <v>0.75</v>
      </c>
      <c r="P95">
        <f t="shared" ca="1" si="26"/>
        <v>0</v>
      </c>
      <c r="Q95">
        <f t="shared" ca="1" si="30"/>
        <v>0.51697029344254453</v>
      </c>
      <c r="R95">
        <f t="shared" ca="1" si="31"/>
        <v>0.23645842494227079</v>
      </c>
      <c r="S95">
        <f t="shared" ca="1" si="28"/>
        <v>2.1863052397847875</v>
      </c>
      <c r="T95">
        <f t="shared" ca="1" si="29"/>
        <v>68.615687300958555</v>
      </c>
      <c r="U95">
        <f>70</f>
        <v>70</v>
      </c>
      <c r="V95">
        <f>30</f>
        <v>30</v>
      </c>
      <c r="W95">
        <f t="shared" ca="1" si="27"/>
        <v>164.88542179550205</v>
      </c>
      <c r="X95">
        <f t="shared" ca="1" si="37"/>
        <v>162.97082724204694</v>
      </c>
      <c r="Y95">
        <f t="shared" ca="1" si="36"/>
        <v>2.0100610244981851</v>
      </c>
      <c r="Z95">
        <f t="shared" ca="1" si="18"/>
        <v>1.7378366112656398</v>
      </c>
      <c r="AA95">
        <f t="shared" ca="1" si="19"/>
        <v>0.27222441323254531</v>
      </c>
    </row>
    <row r="96" spans="1:27" x14ac:dyDescent="0.25">
      <c r="A96" s="20">
        <f t="shared" ca="1" si="20"/>
        <v>45425</v>
      </c>
      <c r="B96" vm="278">
        <f ca="1"/>
        <v>45428</v>
      </c>
      <c r="C96" vm="279">
        <f ca="1"/>
        <v>167.86</v>
      </c>
      <c r="D96" vm="280">
        <f ca="1"/>
        <v>6793672</v>
      </c>
      <c r="E96">
        <f t="shared" ca="1" si="21"/>
        <v>1140385781.9200001</v>
      </c>
      <c r="F96">
        <f ca="1">SUM($E$2:E96)/SUM($D$2:D96)</f>
        <v>157.76250807437114</v>
      </c>
      <c r="G96">
        <f ca="1">_xlfn.STDEV.P($C$2:C96)</f>
        <v>4.9642658650547089</v>
      </c>
      <c r="H96">
        <f t="shared" ca="1" si="22"/>
        <v>162.72677393942584</v>
      </c>
      <c r="I96">
        <f t="shared" ca="1" si="23"/>
        <v>152.79824220931644</v>
      </c>
      <c r="J96">
        <f t="shared" ca="1" si="32"/>
        <v>163.86700000000002</v>
      </c>
      <c r="K96">
        <f t="shared" ca="1" si="33"/>
        <v>2.4585106745430485</v>
      </c>
      <c r="L96">
        <f t="shared" ca="1" si="34"/>
        <v>168.78402134908612</v>
      </c>
      <c r="M96">
        <f t="shared" ca="1" si="35"/>
        <v>158.94997865091392</v>
      </c>
      <c r="N96">
        <f t="shared" ca="1" si="24"/>
        <v>1.3500000000000227</v>
      </c>
      <c r="O96">
        <f t="shared" ca="1" si="25"/>
        <v>1.3500000000000227</v>
      </c>
      <c r="P96">
        <f t="shared" ca="1" si="26"/>
        <v>0</v>
      </c>
      <c r="Q96">
        <f t="shared" ca="1" si="30"/>
        <v>0.57647241533950733</v>
      </c>
      <c r="R96">
        <f t="shared" ca="1" si="31"/>
        <v>0.21956853744639429</v>
      </c>
      <c r="S96">
        <f t="shared" ca="1" si="28"/>
        <v>2.6254782312800526</v>
      </c>
      <c r="T96">
        <f t="shared" ca="1" si="29"/>
        <v>72.417431957744</v>
      </c>
      <c r="U96">
        <f>70</f>
        <v>70</v>
      </c>
      <c r="V96">
        <f>30</f>
        <v>30</v>
      </c>
      <c r="W96">
        <f t="shared" ca="1" si="27"/>
        <v>165.34304921157866</v>
      </c>
      <c r="X96">
        <f t="shared" ca="1" si="37"/>
        <v>163.33298818708047</v>
      </c>
      <c r="Y96">
        <f t="shared" ca="1" si="36"/>
        <v>2.0444001568025669</v>
      </c>
      <c r="Z96">
        <f t="shared" ca="1" si="18"/>
        <v>1.7991493203730253</v>
      </c>
      <c r="AA96">
        <f t="shared" ca="1" si="19"/>
        <v>0.2452508364295416</v>
      </c>
    </row>
    <row r="97" spans="1:28" x14ac:dyDescent="0.25">
      <c r="A97" s="20">
        <f t="shared" ca="1" si="20"/>
        <v>45425</v>
      </c>
      <c r="B97" vm="281">
        <f ca="1"/>
        <v>45429</v>
      </c>
      <c r="C97" vm="282">
        <f ca="1"/>
        <v>167.64</v>
      </c>
      <c r="D97" vm="283">
        <f ca="1"/>
        <v>4700819</v>
      </c>
      <c r="E97">
        <f t="shared" ca="1" si="21"/>
        <v>788045297.15999997</v>
      </c>
      <c r="F97">
        <f ca="1">SUM($E$2:E97)/SUM($D$2:D97)</f>
        <v>157.83400931184229</v>
      </c>
      <c r="G97">
        <f ca="1">_xlfn.STDEV.P($C$2:C97)</f>
        <v>5.0282971914356169</v>
      </c>
      <c r="H97">
        <f t="shared" ca="1" si="22"/>
        <v>162.86230650327792</v>
      </c>
      <c r="I97">
        <f t="shared" ca="1" si="23"/>
        <v>152.80571212040667</v>
      </c>
      <c r="J97">
        <f t="shared" ca="1" si="32"/>
        <v>164.34200000000001</v>
      </c>
      <c r="K97">
        <f t="shared" ca="1" si="33"/>
        <v>2.1976748478430799</v>
      </c>
      <c r="L97">
        <f t="shared" ca="1" si="34"/>
        <v>168.73734969568616</v>
      </c>
      <c r="M97">
        <f t="shared" ca="1" si="35"/>
        <v>159.94665030431386</v>
      </c>
      <c r="N97">
        <f t="shared" ca="1" si="24"/>
        <v>-0.22000000000002728</v>
      </c>
      <c r="O97">
        <f t="shared" ca="1" si="25"/>
        <v>0</v>
      </c>
      <c r="P97">
        <f t="shared" ca="1" si="26"/>
        <v>0.22000000000002728</v>
      </c>
      <c r="Q97">
        <f t="shared" ca="1" si="30"/>
        <v>0.53529581424382822</v>
      </c>
      <c r="R97">
        <f t="shared" ca="1" si="31"/>
        <v>0.21959935620022522</v>
      </c>
      <c r="S97">
        <f t="shared" ca="1" si="28"/>
        <v>2.4376019288315165</v>
      </c>
      <c r="T97">
        <f t="shared" ca="1" si="29"/>
        <v>70.909953487839928</v>
      </c>
      <c r="U97">
        <f>70</f>
        <v>70</v>
      </c>
      <c r="V97">
        <f>30</f>
        <v>30</v>
      </c>
      <c r="W97">
        <f t="shared" ca="1" si="27"/>
        <v>165.69642625595117</v>
      </c>
      <c r="X97">
        <f t="shared" ca="1" si="37"/>
        <v>163.6520260991486</v>
      </c>
      <c r="Y97">
        <f t="shared" ca="1" si="36"/>
        <v>2.021681241578932</v>
      </c>
      <c r="Z97">
        <f t="shared" ca="1" si="18"/>
        <v>1.8436557046142068</v>
      </c>
      <c r="AA97">
        <f t="shared" ca="1" si="19"/>
        <v>0.17802553696472523</v>
      </c>
    </row>
    <row r="98" spans="1:28" x14ac:dyDescent="0.25">
      <c r="A98" s="20">
        <f t="shared" ca="1" si="20"/>
        <v>45432</v>
      </c>
      <c r="B98" vm="284">
        <f ca="1"/>
        <v>45432</v>
      </c>
      <c r="C98" vm="285">
        <f ca="1"/>
        <v>167.31</v>
      </c>
      <c r="D98" vm="286">
        <f ca="1"/>
        <v>3804823</v>
      </c>
      <c r="E98">
        <f t="shared" ca="1" si="21"/>
        <v>636584936.13</v>
      </c>
      <c r="F98">
        <f ca="1">SUM($E$2:E98)/SUM($D$2:D98)</f>
        <v>157.88920628941614</v>
      </c>
      <c r="G98">
        <f ca="1">_xlfn.STDEV.P($C$2:C98)</f>
        <v>5.0824291940875268</v>
      </c>
      <c r="H98">
        <f t="shared" ca="1" si="22"/>
        <v>162.97163548350366</v>
      </c>
      <c r="I98">
        <f t="shared" ca="1" si="23"/>
        <v>152.80677709532861</v>
      </c>
      <c r="J98">
        <f t="shared" ca="1" si="32"/>
        <v>164.68049999999999</v>
      </c>
      <c r="K98">
        <f t="shared" ca="1" si="33"/>
        <v>2.1004748210069573</v>
      </c>
      <c r="L98">
        <f t="shared" ca="1" si="34"/>
        <v>168.88144964201391</v>
      </c>
      <c r="M98">
        <f t="shared" ca="1" si="35"/>
        <v>160.47955035798608</v>
      </c>
      <c r="N98">
        <f t="shared" ca="1" si="24"/>
        <v>-0.32999999999998408</v>
      </c>
      <c r="O98">
        <f t="shared" ca="1" si="25"/>
        <v>0</v>
      </c>
      <c r="P98">
        <f t="shared" ca="1" si="26"/>
        <v>0.32999999999998408</v>
      </c>
      <c r="Q98">
        <f t="shared" ca="1" si="30"/>
        <v>0.49706039894069765</v>
      </c>
      <c r="R98">
        <f t="shared" ca="1" si="31"/>
        <v>0.22748511647163655</v>
      </c>
      <c r="S98">
        <f t="shared" ca="1" si="28"/>
        <v>2.1850238233175685</v>
      </c>
      <c r="T98">
        <f t="shared" ca="1" si="29"/>
        <v>68.603060590033976</v>
      </c>
      <c r="U98">
        <f>70</f>
        <v>70</v>
      </c>
      <c r="V98">
        <f>30</f>
        <v>30</v>
      </c>
      <c r="W98">
        <f t="shared" ca="1" si="27"/>
        <v>165.94466837042023</v>
      </c>
      <c r="X98">
        <f t="shared" ca="1" si="37"/>
        <v>163.9229871288413</v>
      </c>
      <c r="Y98">
        <f t="shared" ca="1" si="36"/>
        <v>2.0638053821691926</v>
      </c>
      <c r="Z98">
        <f t="shared" ca="1" si="18"/>
        <v>1.887685640125204</v>
      </c>
      <c r="AA98">
        <f t="shared" ca="1" si="19"/>
        <v>0.17611974204398861</v>
      </c>
    </row>
    <row r="99" spans="1:28" x14ac:dyDescent="0.25">
      <c r="A99" s="20">
        <f t="shared" ca="1" si="20"/>
        <v>45432</v>
      </c>
      <c r="B99" vm="287">
        <f ca="1"/>
        <v>45433</v>
      </c>
      <c r="C99" vm="288">
        <f ca="1"/>
        <v>168.35</v>
      </c>
      <c r="D99" vm="289">
        <f ca="1"/>
        <v>5147065</v>
      </c>
      <c r="E99">
        <f t="shared" ca="1" si="21"/>
        <v>866508392.75</v>
      </c>
      <c r="F99">
        <f ca="1">SUM($E$2:E99)/SUM($D$2:D99)</f>
        <v>157.97099093167887</v>
      </c>
      <c r="G99">
        <f ca="1">_xlfn.STDEV.P($C$2:C99)</f>
        <v>5.1523638212658147</v>
      </c>
      <c r="H99">
        <f t="shared" ca="1" si="22"/>
        <v>163.12335475294469</v>
      </c>
      <c r="I99">
        <f t="shared" ca="1" si="23"/>
        <v>152.81862711041305</v>
      </c>
      <c r="J99">
        <f t="shared" ca="1" si="32"/>
        <v>165.023</v>
      </c>
      <c r="K99">
        <f t="shared" ca="1" si="33"/>
        <v>2.1130100754486159</v>
      </c>
      <c r="L99">
        <f t="shared" ca="1" si="34"/>
        <v>169.24902015089722</v>
      </c>
      <c r="M99">
        <f t="shared" ca="1" si="35"/>
        <v>160.79697984910277</v>
      </c>
      <c r="N99">
        <f t="shared" ca="1" si="24"/>
        <v>1.039999999999992</v>
      </c>
      <c r="O99">
        <f t="shared" ca="1" si="25"/>
        <v>1.039999999999992</v>
      </c>
      <c r="P99">
        <f t="shared" ca="1" si="26"/>
        <v>0</v>
      </c>
      <c r="Q99">
        <f t="shared" ca="1" si="30"/>
        <v>0.53584179901636153</v>
      </c>
      <c r="R99">
        <f t="shared" ca="1" si="31"/>
        <v>0.21123617958080537</v>
      </c>
      <c r="S99">
        <f t="shared" ca="1" si="28"/>
        <v>2.5366951820456634</v>
      </c>
      <c r="T99">
        <f t="shared" ca="1" si="29"/>
        <v>71.725015910995495</v>
      </c>
      <c r="U99">
        <f>70</f>
        <v>70</v>
      </c>
      <c r="V99">
        <f>30</f>
        <v>30</v>
      </c>
      <c r="W99">
        <f t="shared" ca="1" si="27"/>
        <v>166.31471939035558</v>
      </c>
      <c r="X99">
        <f t="shared" ca="1" si="37"/>
        <v>164.25091400818638</v>
      </c>
      <c r="Y99">
        <f t="shared" ca="1" si="36"/>
        <v>2.0302125534900881</v>
      </c>
      <c r="Z99">
        <f t="shared" ca="1" si="18"/>
        <v>1.9161910227981809</v>
      </c>
      <c r="AA99">
        <f t="shared" ca="1" si="19"/>
        <v>0.11402153069190724</v>
      </c>
    </row>
    <row r="100" spans="1:28" x14ac:dyDescent="0.25">
      <c r="A100" s="20">
        <f t="shared" ca="1" si="20"/>
        <v>45432</v>
      </c>
      <c r="B100" vm="290">
        <f ca="1"/>
        <v>45434</v>
      </c>
      <c r="C100" vm="291">
        <f ca="1"/>
        <v>167.81</v>
      </c>
      <c r="D100" vm="292">
        <f ca="1"/>
        <v>4536733</v>
      </c>
      <c r="E100">
        <f t="shared" ca="1" si="21"/>
        <v>761309164.73000002</v>
      </c>
      <c r="F100">
        <f ca="1">SUM($E$2:E100)/SUM($D$2:D100)</f>
        <v>158.03832882610615</v>
      </c>
      <c r="G100">
        <f ca="1">_xlfn.STDEV.P($C$2:C100)</f>
        <v>5.2082854455098762</v>
      </c>
      <c r="H100">
        <f t="shared" ca="1" si="22"/>
        <v>163.24661427161604</v>
      </c>
      <c r="I100">
        <f t="shared" ca="1" si="23"/>
        <v>152.83004338059627</v>
      </c>
      <c r="J100">
        <f t="shared" ca="1" si="32"/>
        <v>165.28349999999998</v>
      </c>
      <c r="K100">
        <f t="shared" ca="1" si="33"/>
        <v>2.1197151620963255</v>
      </c>
      <c r="L100">
        <f t="shared" ca="1" si="34"/>
        <v>169.52293032419263</v>
      </c>
      <c r="M100">
        <f t="shared" ca="1" si="35"/>
        <v>161.04406967580732</v>
      </c>
      <c r="N100">
        <f t="shared" ca="1" si="24"/>
        <v>-0.53999999999999204</v>
      </c>
      <c r="O100">
        <f t="shared" ca="1" si="25"/>
        <v>0</v>
      </c>
      <c r="P100">
        <f t="shared" ca="1" si="26"/>
        <v>0.53999999999999204</v>
      </c>
      <c r="Q100">
        <f t="shared" ca="1" si="30"/>
        <v>0.49756738480090718</v>
      </c>
      <c r="R100">
        <f t="shared" ca="1" si="31"/>
        <v>0.2347193096107473</v>
      </c>
      <c r="S100">
        <f t="shared" ca="1" si="28"/>
        <v>2.1198400149781484</v>
      </c>
      <c r="T100">
        <f t="shared" ca="1" si="29"/>
        <v>67.947074362817801</v>
      </c>
      <c r="U100">
        <f>70</f>
        <v>70</v>
      </c>
      <c r="V100">
        <f>30</f>
        <v>30</v>
      </c>
      <c r="W100">
        <f t="shared" ca="1" si="27"/>
        <v>166.54476256107009</v>
      </c>
      <c r="X100">
        <f t="shared" ca="1" si="37"/>
        <v>164.51455000758</v>
      </c>
      <c r="Y100">
        <f t="shared" ca="1" si="36"/>
        <v>1.7956858352544884</v>
      </c>
      <c r="Z100">
        <f t="shared" ca="1" si="18"/>
        <v>1.8920899852894424</v>
      </c>
      <c r="AA100">
        <f t="shared" ca="1" si="19"/>
        <v>-9.640415003495395E-2</v>
      </c>
    </row>
    <row r="101" spans="1:28" x14ac:dyDescent="0.25">
      <c r="A101" s="20">
        <f t="shared" ca="1" si="20"/>
        <v>45432</v>
      </c>
      <c r="B101" vm="293">
        <f ca="1"/>
        <v>45435</v>
      </c>
      <c r="C101" vm="294">
        <f ca="1"/>
        <v>165.49</v>
      </c>
      <c r="D101" vm="295">
        <f ca="1"/>
        <v>4729792</v>
      </c>
      <c r="E101">
        <f t="shared" ca="1" si="21"/>
        <v>782733278.08000004</v>
      </c>
      <c r="F101">
        <f ca="1">SUM($E$2:E101)/SUM($D$2:D101)</f>
        <v>158.09112140705741</v>
      </c>
      <c r="G101">
        <f ca="1">_xlfn.STDEV.P($C$2:C101)</f>
        <v>5.2260783107412392</v>
      </c>
      <c r="H101">
        <f t="shared" ca="1" si="22"/>
        <v>163.31719971779864</v>
      </c>
      <c r="I101">
        <f t="shared" ca="1" si="23"/>
        <v>152.86504309631619</v>
      </c>
      <c r="J101">
        <f t="shared" ca="1" si="32"/>
        <v>165.43049999999999</v>
      </c>
      <c r="K101">
        <f t="shared" ca="1" si="33"/>
        <v>2.0197589095314279</v>
      </c>
      <c r="L101">
        <f t="shared" ca="1" si="34"/>
        <v>169.47001781906286</v>
      </c>
      <c r="M101">
        <f t="shared" ca="1" si="35"/>
        <v>161.39098218093713</v>
      </c>
      <c r="N101">
        <f t="shared" ca="1" si="24"/>
        <v>-2.3199999999999932</v>
      </c>
      <c r="O101">
        <f t="shared" ca="1" si="25"/>
        <v>0</v>
      </c>
      <c r="P101">
        <f t="shared" ca="1" si="26"/>
        <v>2.3199999999999932</v>
      </c>
      <c r="Q101">
        <f t="shared" ca="1" si="30"/>
        <v>0.4620268573151281</v>
      </c>
      <c r="R101">
        <f t="shared" ca="1" si="31"/>
        <v>0.38366793035283625</v>
      </c>
      <c r="S101">
        <f t="shared" ca="1" si="28"/>
        <v>1.2042363219939438</v>
      </c>
      <c r="T101">
        <f t="shared" ca="1" si="29"/>
        <v>54.632813640626168</v>
      </c>
      <c r="U101">
        <f>70</f>
        <v>70</v>
      </c>
      <c r="V101">
        <f>30</f>
        <v>30</v>
      </c>
      <c r="W101">
        <f t="shared" ca="1" si="27"/>
        <v>166.38249139782855</v>
      </c>
      <c r="X101">
        <f t="shared" ca="1" si="37"/>
        <v>164.58680556257406</v>
      </c>
      <c r="Y101">
        <f t="shared" ca="1" si="36"/>
        <v>1.5787126419330377</v>
      </c>
      <c r="Z101">
        <f t="shared" ca="1" si="18"/>
        <v>1.8294145166181615</v>
      </c>
      <c r="AA101">
        <f t="shared" ca="1" si="19"/>
        <v>-0.25070187468512373</v>
      </c>
      <c r="AB101">
        <f ca="1">AVERAGE(C2:C101)</f>
        <v>158.76430000000005</v>
      </c>
    </row>
    <row r="102" spans="1:28" x14ac:dyDescent="0.25">
      <c r="A102" s="20">
        <f t="shared" ca="1" si="20"/>
        <v>45432</v>
      </c>
      <c r="B102" vm="296">
        <f ca="1"/>
        <v>45436</v>
      </c>
      <c r="C102" vm="297">
        <f ca="1"/>
        <v>165.33</v>
      </c>
      <c r="D102" vm="298">
        <f ca="1"/>
        <v>3820090</v>
      </c>
      <c r="E102">
        <f t="shared" ca="1" si="21"/>
        <v>631575479.70000005</v>
      </c>
      <c r="F102">
        <f ca="1">SUM($E$2:E102)/SUM($D$2:D102)</f>
        <v>158.13230688316565</v>
      </c>
      <c r="G102">
        <f ca="1">_xlfn.STDEV.P($C$2:C102)</f>
        <v>5.2406173125581921</v>
      </c>
      <c r="H102">
        <f t="shared" ca="1" si="22"/>
        <v>163.37292419572384</v>
      </c>
      <c r="I102">
        <f t="shared" ca="1" si="23"/>
        <v>152.89168957060747</v>
      </c>
      <c r="J102">
        <f t="shared" ca="1" si="32"/>
        <v>165.63249999999999</v>
      </c>
      <c r="K102">
        <f t="shared" ca="1" si="33"/>
        <v>1.7705095163168196</v>
      </c>
      <c r="L102">
        <f t="shared" ca="1" si="34"/>
        <v>169.17351903263364</v>
      </c>
      <c r="M102">
        <f t="shared" ca="1" si="35"/>
        <v>162.09148096736635</v>
      </c>
      <c r="N102">
        <f t="shared" ca="1" si="24"/>
        <v>-0.15999999999999659</v>
      </c>
      <c r="O102">
        <f t="shared" ca="1" si="25"/>
        <v>0</v>
      </c>
      <c r="P102">
        <f t="shared" ca="1" si="26"/>
        <v>0.15999999999999659</v>
      </c>
      <c r="Q102">
        <f t="shared" ca="1" si="30"/>
        <v>0.42902493893547611</v>
      </c>
      <c r="R102">
        <f t="shared" ca="1" si="31"/>
        <v>0.36769164961334772</v>
      </c>
      <c r="S102">
        <f t="shared" ca="1" si="28"/>
        <v>1.1668063155272208</v>
      </c>
      <c r="T102">
        <f t="shared" ca="1" si="29"/>
        <v>53.849128423059675</v>
      </c>
      <c r="U102">
        <f>70</f>
        <v>70</v>
      </c>
      <c r="V102">
        <f>30</f>
        <v>30</v>
      </c>
      <c r="W102">
        <f t="shared" ca="1" si="27"/>
        <v>166.22056964431644</v>
      </c>
      <c r="X102">
        <f t="shared" ca="1" si="37"/>
        <v>164.6418570023834</v>
      </c>
      <c r="Y102">
        <f t="shared" ca="1" si="36"/>
        <v>1.2136343549497894</v>
      </c>
      <c r="Z102">
        <f t="shared" ref="Z102:Z165" ca="1" si="38">Y102*(2/(9+1)) + Z101*(1-(2/(9+1)))</f>
        <v>1.7062584842844872</v>
      </c>
      <c r="AA102">
        <f t="shared" ref="AA102:AA165" ca="1" si="39">Y102-Z102</f>
        <v>-0.49262412933469779</v>
      </c>
      <c r="AB102">
        <f t="shared" ref="AB102:AB165" ca="1" si="40">AVERAGE(C3:C102)</f>
        <v>158.93020000000007</v>
      </c>
    </row>
    <row r="103" spans="1:28" x14ac:dyDescent="0.25">
      <c r="A103" s="20">
        <f t="shared" ca="1" si="20"/>
        <v>45439</v>
      </c>
      <c r="B103" vm="299">
        <f ca="1"/>
        <v>45440</v>
      </c>
      <c r="C103" vm="300">
        <f ca="1"/>
        <v>163.11000000000001</v>
      </c>
      <c r="D103" vm="301">
        <f ca="1"/>
        <v>6466193</v>
      </c>
      <c r="E103">
        <f t="shared" ca="1" si="21"/>
        <v>1054700740.2300001</v>
      </c>
      <c r="F103">
        <f ca="1">SUM($E$2:E103)/SUM($D$2:D103)</f>
        <v>158.17978719163287</v>
      </c>
      <c r="G103">
        <f ca="1">_xlfn.STDEV.P($C$2:C103)</f>
        <v>5.2318928962265225</v>
      </c>
      <c r="H103">
        <f t="shared" ca="1" si="22"/>
        <v>163.41168008785939</v>
      </c>
      <c r="I103">
        <f t="shared" ca="1" si="23"/>
        <v>152.94789429540634</v>
      </c>
      <c r="J103">
        <f t="shared" ca="1" si="32"/>
        <v>165.70499999999998</v>
      </c>
      <c r="K103">
        <f t="shared" ca="1" si="33"/>
        <v>1.6228062114744306</v>
      </c>
      <c r="L103">
        <f t="shared" ca="1" si="34"/>
        <v>168.95061242294884</v>
      </c>
      <c r="M103">
        <f t="shared" ca="1" si="35"/>
        <v>162.45938757705113</v>
      </c>
      <c r="N103">
        <f t="shared" ca="1" si="24"/>
        <v>-2.2199999999999989</v>
      </c>
      <c r="O103">
        <f t="shared" ca="1" si="25"/>
        <v>0</v>
      </c>
      <c r="P103">
        <f t="shared" ca="1" si="26"/>
        <v>2.2199999999999989</v>
      </c>
      <c r="Q103">
        <f t="shared" ca="1" si="30"/>
        <v>0.39838030044008493</v>
      </c>
      <c r="R103">
        <f t="shared" ca="1" si="31"/>
        <v>0.49999938892667994</v>
      </c>
      <c r="S103">
        <f t="shared" ca="1" si="28"/>
        <v>0.79676157463965125</v>
      </c>
      <c r="T103">
        <f t="shared" ca="1" si="29"/>
        <v>44.344312895240172</v>
      </c>
      <c r="U103">
        <f>70</f>
        <v>70</v>
      </c>
      <c r="V103">
        <f>30</f>
        <v>30</v>
      </c>
      <c r="W103">
        <f t="shared" ca="1" si="27"/>
        <v>165.74202046826775</v>
      </c>
      <c r="X103">
        <f t="shared" ca="1" si="37"/>
        <v>164.52838611331796</v>
      </c>
      <c r="Y103">
        <f t="shared" ca="1" si="36"/>
        <v>0.79730653061872658</v>
      </c>
      <c r="Z103">
        <f t="shared" ca="1" si="38"/>
        <v>1.5244680935513353</v>
      </c>
      <c r="AA103">
        <f t="shared" ca="1" si="39"/>
        <v>-0.7271615629326087</v>
      </c>
      <c r="AB103">
        <f t="shared" ca="1" si="40"/>
        <v>159.08290000000008</v>
      </c>
    </row>
    <row r="104" spans="1:28" x14ac:dyDescent="0.25">
      <c r="A104" s="20">
        <f t="shared" ca="1" si="20"/>
        <v>45439</v>
      </c>
      <c r="B104" vm="302">
        <f ca="1"/>
        <v>45441</v>
      </c>
      <c r="C104" vm="303">
        <f ca="1"/>
        <v>161.65</v>
      </c>
      <c r="D104" vm="304">
        <f ca="1"/>
        <v>4360383</v>
      </c>
      <c r="E104">
        <f t="shared" ca="1" si="21"/>
        <v>704855911.95000005</v>
      </c>
      <c r="F104">
        <f ca="1">SUM($E$2:E104)/SUM($D$2:D104)</f>
        <v>158.20196573205752</v>
      </c>
      <c r="G104">
        <f ca="1">_xlfn.STDEV.P($C$2:C104)</f>
        <v>5.2135578346752638</v>
      </c>
      <c r="H104">
        <f t="shared" ca="1" si="22"/>
        <v>163.41552356673279</v>
      </c>
      <c r="I104">
        <f t="shared" ca="1" si="23"/>
        <v>152.98840789738225</v>
      </c>
      <c r="J104">
        <f t="shared" ca="1" si="32"/>
        <v>165.6275</v>
      </c>
      <c r="K104">
        <f t="shared" ca="1" si="33"/>
        <v>1.7782956802274976</v>
      </c>
      <c r="L104">
        <f t="shared" ca="1" si="34"/>
        <v>169.184091360455</v>
      </c>
      <c r="M104">
        <f t="shared" ca="1" si="35"/>
        <v>162.070908639545</v>
      </c>
      <c r="N104">
        <f t="shared" ca="1" si="24"/>
        <v>-1.460000000000008</v>
      </c>
      <c r="O104">
        <f t="shared" ca="1" si="25"/>
        <v>0</v>
      </c>
      <c r="P104">
        <f t="shared" ca="1" si="26"/>
        <v>1.460000000000008</v>
      </c>
      <c r="Q104">
        <f t="shared" ca="1" si="30"/>
        <v>0.36992456469436458</v>
      </c>
      <c r="R104">
        <f t="shared" ca="1" si="31"/>
        <v>0.56857086114620337</v>
      </c>
      <c r="S104">
        <f t="shared" ca="1" si="28"/>
        <v>0.65062174299368725</v>
      </c>
      <c r="T104">
        <f t="shared" ca="1" si="29"/>
        <v>39.416768000018735</v>
      </c>
      <c r="U104">
        <f>70</f>
        <v>70</v>
      </c>
      <c r="V104">
        <f>30</f>
        <v>30</v>
      </c>
      <c r="W104">
        <f t="shared" ca="1" si="27"/>
        <v>165.11247885776501</v>
      </c>
      <c r="X104">
        <f t="shared" ca="1" si="37"/>
        <v>164.31517232714629</v>
      </c>
      <c r="Y104">
        <f t="shared" ca="1" si="36"/>
        <v>0.53622568214717603</v>
      </c>
      <c r="Z104">
        <f t="shared" ca="1" si="38"/>
        <v>1.3268196112705035</v>
      </c>
      <c r="AA104">
        <f t="shared" ca="1" si="39"/>
        <v>-0.79059392912332749</v>
      </c>
      <c r="AB104">
        <f t="shared" ca="1" si="40"/>
        <v>159.21290000000008</v>
      </c>
    </row>
    <row r="105" spans="1:28" x14ac:dyDescent="0.25">
      <c r="A105" s="20">
        <f t="shared" ca="1" si="20"/>
        <v>45439</v>
      </c>
      <c r="B105" vm="305">
        <f ca="1"/>
        <v>45442</v>
      </c>
      <c r="C105" vm="306">
        <f ca="1"/>
        <v>162.58000000000001</v>
      </c>
      <c r="D105" vm="307">
        <f ca="1"/>
        <v>4756454</v>
      </c>
      <c r="E105">
        <f t="shared" ca="1" si="21"/>
        <v>773304291.32000005</v>
      </c>
      <c r="F105">
        <f ca="1">SUM($E$2:E105)/SUM($D$2:D105)</f>
        <v>158.23227653421142</v>
      </c>
      <c r="G105">
        <f ca="1">_xlfn.STDEV.P($C$2:C105)</f>
        <v>5.2008570036567265</v>
      </c>
      <c r="H105">
        <f t="shared" ca="1" si="22"/>
        <v>163.43313353786814</v>
      </c>
      <c r="I105">
        <f t="shared" ca="1" si="23"/>
        <v>153.0314195305547</v>
      </c>
      <c r="J105">
        <f t="shared" ca="1" si="32"/>
        <v>165.58649999999997</v>
      </c>
      <c r="K105">
        <f t="shared" ca="1" si="33"/>
        <v>1.8407128910746531</v>
      </c>
      <c r="L105">
        <f t="shared" ca="1" si="34"/>
        <v>169.26792578214929</v>
      </c>
      <c r="M105">
        <f t="shared" ca="1" si="35"/>
        <v>161.90507421785065</v>
      </c>
      <c r="N105">
        <f t="shared" ca="1" si="24"/>
        <v>0.93000000000000682</v>
      </c>
      <c r="O105">
        <f t="shared" ca="1" si="25"/>
        <v>0.93000000000000682</v>
      </c>
      <c r="P105">
        <f t="shared" ca="1" si="26"/>
        <v>0</v>
      </c>
      <c r="Q105">
        <f t="shared" ca="1" si="30"/>
        <v>0.4099299529304819</v>
      </c>
      <c r="R105">
        <f t="shared" ca="1" si="31"/>
        <v>0.52795865677861742</v>
      </c>
      <c r="S105">
        <f t="shared" ca="1" si="28"/>
        <v>0.77644328332771884</v>
      </c>
      <c r="T105">
        <f t="shared" ca="1" si="29"/>
        <v>43.707744041974031</v>
      </c>
      <c r="U105">
        <f>70</f>
        <v>70</v>
      </c>
      <c r="V105">
        <f>30</f>
        <v>30</v>
      </c>
      <c r="W105">
        <f t="shared" ca="1" si="27"/>
        <v>164.72286672580117</v>
      </c>
      <c r="X105">
        <f t="shared" ca="1" si="37"/>
        <v>164.18664104365399</v>
      </c>
      <c r="Y105">
        <f t="shared" ca="1" si="36"/>
        <v>0.48191760220910851</v>
      </c>
      <c r="Z105">
        <f t="shared" ca="1" si="38"/>
        <v>1.1578392094582246</v>
      </c>
      <c r="AA105">
        <f t="shared" ca="1" si="39"/>
        <v>-0.6759216072491161</v>
      </c>
      <c r="AB105">
        <f t="shared" ca="1" si="40"/>
        <v>159.36450000000005</v>
      </c>
    </row>
    <row r="106" spans="1:28" x14ac:dyDescent="0.25">
      <c r="A106" s="20">
        <f t="shared" ca="1" si="20"/>
        <v>45439</v>
      </c>
      <c r="B106" vm="308">
        <f ca="1"/>
        <v>45443</v>
      </c>
      <c r="C106" vm="309">
        <f ca="1"/>
        <v>164.54</v>
      </c>
      <c r="D106" vm="310">
        <f ca="1"/>
        <v>10341644</v>
      </c>
      <c r="E106">
        <f t="shared" ca="1" si="21"/>
        <v>1701614103.76</v>
      </c>
      <c r="F106">
        <f ca="1">SUM($E$2:E106)/SUM($D$2:D106)</f>
        <v>158.32581892377965</v>
      </c>
      <c r="G106">
        <f ca="1">_xlfn.STDEV.P($C$2:C106)</f>
        <v>5.2045939274945727</v>
      </c>
      <c r="H106">
        <f t="shared" ca="1" si="22"/>
        <v>163.53041285127424</v>
      </c>
      <c r="I106">
        <f t="shared" ca="1" si="23"/>
        <v>153.12122499628506</v>
      </c>
      <c r="J106">
        <f t="shared" ca="1" si="32"/>
        <v>165.62149999999997</v>
      </c>
      <c r="K106">
        <f t="shared" ca="1" si="33"/>
        <v>1.8121905180427906</v>
      </c>
      <c r="L106">
        <f t="shared" ca="1" si="34"/>
        <v>169.24588103608556</v>
      </c>
      <c r="M106">
        <f t="shared" ca="1" si="35"/>
        <v>161.99711896391437</v>
      </c>
      <c r="N106">
        <f t="shared" ca="1" si="24"/>
        <v>1.9599999999999795</v>
      </c>
      <c r="O106">
        <f t="shared" ca="1" si="25"/>
        <v>1.9599999999999795</v>
      </c>
      <c r="P106">
        <f t="shared" ca="1" si="26"/>
        <v>0</v>
      </c>
      <c r="Q106">
        <f t="shared" ca="1" si="30"/>
        <v>0.52064924200687457</v>
      </c>
      <c r="R106">
        <f t="shared" ca="1" si="31"/>
        <v>0.49024732415157329</v>
      </c>
      <c r="S106">
        <f t="shared" ca="1" si="28"/>
        <v>1.0620134294621906</v>
      </c>
      <c r="T106">
        <f t="shared" ca="1" si="29"/>
        <v>51.503710610613354</v>
      </c>
      <c r="U106">
        <f>70</f>
        <v>70</v>
      </c>
      <c r="V106">
        <f>30</f>
        <v>30</v>
      </c>
      <c r="W106">
        <f t="shared" ca="1" si="27"/>
        <v>164.69473338337022</v>
      </c>
      <c r="X106">
        <f t="shared" ca="1" si="37"/>
        <v>164.21281578116111</v>
      </c>
      <c r="Y106">
        <f t="shared" ca="1" si="36"/>
        <v>0.44265152701876787</v>
      </c>
      <c r="Z106">
        <f t="shared" ca="1" si="38"/>
        <v>1.0148016729703333</v>
      </c>
      <c r="AA106">
        <f t="shared" ca="1" si="39"/>
        <v>-0.57215014595156544</v>
      </c>
      <c r="AB106">
        <f t="shared" ca="1" si="40"/>
        <v>159.52300000000005</v>
      </c>
    </row>
    <row r="107" spans="1:28" x14ac:dyDescent="0.25">
      <c r="A107" s="20">
        <f t="shared" ca="1" si="20"/>
        <v>45446</v>
      </c>
      <c r="B107" vm="311">
        <f ca="1"/>
        <v>45446</v>
      </c>
      <c r="C107" vm="312">
        <f ca="1"/>
        <v>164.65</v>
      </c>
      <c r="D107" vm="313">
        <f ca="1"/>
        <v>5828442</v>
      </c>
      <c r="E107">
        <f t="shared" ca="1" si="21"/>
        <v>959652975.30000007</v>
      </c>
      <c r="F107">
        <f ca="1">SUM($E$2:E107)/SUM($D$2:D107)</f>
        <v>158.37823787029006</v>
      </c>
      <c r="G107">
        <f ca="1">_xlfn.STDEV.P($C$2:C107)</f>
        <v>5.2088325534570341</v>
      </c>
      <c r="H107">
        <f t="shared" ca="1" si="22"/>
        <v>163.58707042374709</v>
      </c>
      <c r="I107">
        <f t="shared" ca="1" si="23"/>
        <v>153.16940531683304</v>
      </c>
      <c r="J107">
        <f t="shared" ca="1" si="32"/>
        <v>165.63099999999997</v>
      </c>
      <c r="K107">
        <f t="shared" ca="1" si="33"/>
        <v>1.8062694908800843</v>
      </c>
      <c r="L107">
        <f t="shared" ca="1" si="34"/>
        <v>169.24353898176014</v>
      </c>
      <c r="M107">
        <f t="shared" ca="1" si="35"/>
        <v>162.0184610182398</v>
      </c>
      <c r="N107">
        <f t="shared" ca="1" si="24"/>
        <v>0.11000000000001364</v>
      </c>
      <c r="O107">
        <f t="shared" ca="1" si="25"/>
        <v>0.11000000000001364</v>
      </c>
      <c r="P107">
        <f t="shared" ca="1" si="26"/>
        <v>0</v>
      </c>
      <c r="Q107">
        <f t="shared" ca="1" si="30"/>
        <v>0.49131715329209874</v>
      </c>
      <c r="R107">
        <f t="shared" ca="1" si="31"/>
        <v>0.45522965814074662</v>
      </c>
      <c r="S107">
        <f t="shared" ca="1" si="28"/>
        <v>1.0792731635692214</v>
      </c>
      <c r="T107">
        <f t="shared" ca="1" si="29"/>
        <v>51.906271021964791</v>
      </c>
      <c r="U107">
        <f>70</f>
        <v>70</v>
      </c>
      <c r="V107">
        <f>30</f>
        <v>30</v>
      </c>
      <c r="W107">
        <f t="shared" ca="1" si="27"/>
        <v>164.68785132439018</v>
      </c>
      <c r="X107">
        <f t="shared" ca="1" si="37"/>
        <v>164.24519979737141</v>
      </c>
      <c r="Y107">
        <f t="shared" ca="1" si="36"/>
        <v>0.59510515441075995</v>
      </c>
      <c r="Z107">
        <f t="shared" ca="1" si="38"/>
        <v>0.9308623692584187</v>
      </c>
      <c r="AA107">
        <f t="shared" ca="1" si="39"/>
        <v>-0.33575721484765875</v>
      </c>
      <c r="AB107">
        <f t="shared" ca="1" si="40"/>
        <v>159.67650000000006</v>
      </c>
    </row>
    <row r="108" spans="1:28" x14ac:dyDescent="0.25">
      <c r="A108" s="20">
        <f t="shared" ca="1" si="20"/>
        <v>45446</v>
      </c>
      <c r="B108" vm="314">
        <f ca="1"/>
        <v>45447</v>
      </c>
      <c r="C108" vm="315">
        <f ca="1"/>
        <v>167.01</v>
      </c>
      <c r="D108" vm="316">
        <f ca="1"/>
        <v>6277001</v>
      </c>
      <c r="E108">
        <f t="shared" ca="1" si="21"/>
        <v>1048321937.01</v>
      </c>
      <c r="F108">
        <f ca="1">SUM($E$2:E108)/SUM($D$2:D108)</f>
        <v>158.45460801672988</v>
      </c>
      <c r="G108">
        <f ca="1">_xlfn.STDEV.P($C$2:C108)</f>
        <v>5.2408398723782676</v>
      </c>
      <c r="H108">
        <f t="shared" ca="1" si="22"/>
        <v>163.69544788910815</v>
      </c>
      <c r="I108">
        <f t="shared" ca="1" si="23"/>
        <v>153.2137681443516</v>
      </c>
      <c r="J108">
        <f t="shared" ca="1" si="32"/>
        <v>165.75949999999997</v>
      </c>
      <c r="K108">
        <f t="shared" ca="1" si="33"/>
        <v>1.8084959584082385</v>
      </c>
      <c r="L108">
        <f t="shared" ca="1" si="34"/>
        <v>169.37649191681646</v>
      </c>
      <c r="M108">
        <f t="shared" ca="1" si="35"/>
        <v>162.14250808318349</v>
      </c>
      <c r="N108">
        <f t="shared" ca="1" si="24"/>
        <v>2.3599999999999852</v>
      </c>
      <c r="O108">
        <f t="shared" ca="1" si="25"/>
        <v>2.3599999999999852</v>
      </c>
      <c r="P108">
        <f t="shared" ca="1" si="26"/>
        <v>0</v>
      </c>
      <c r="Q108">
        <f t="shared" ca="1" si="30"/>
        <v>0.62479449948551924</v>
      </c>
      <c r="R108">
        <f t="shared" ca="1" si="31"/>
        <v>0.4227132539878361</v>
      </c>
      <c r="S108">
        <f t="shared" ca="1" si="28"/>
        <v>1.4780575096504975</v>
      </c>
      <c r="T108">
        <f t="shared" ca="1" si="29"/>
        <v>59.645811442808728</v>
      </c>
      <c r="U108">
        <f>70</f>
        <v>70</v>
      </c>
      <c r="V108">
        <f>30</f>
        <v>30</v>
      </c>
      <c r="W108">
        <f t="shared" ca="1" si="27"/>
        <v>165.04510496679168</v>
      </c>
      <c r="X108">
        <f t="shared" ca="1" si="37"/>
        <v>164.44999981238092</v>
      </c>
      <c r="Y108">
        <f t="shared" ca="1" si="36"/>
        <v>0.63118585787273673</v>
      </c>
      <c r="Z108">
        <f t="shared" ca="1" si="38"/>
        <v>0.87092706698128242</v>
      </c>
      <c r="AA108">
        <f t="shared" ca="1" si="39"/>
        <v>-0.23974120910854568</v>
      </c>
      <c r="AB108">
        <f t="shared" ca="1" si="40"/>
        <v>159.84720000000007</v>
      </c>
    </row>
    <row r="109" spans="1:28" x14ac:dyDescent="0.25">
      <c r="A109" s="20">
        <f t="shared" ca="1" si="20"/>
        <v>45446</v>
      </c>
      <c r="B109" vm="317">
        <f ca="1"/>
        <v>45448</v>
      </c>
      <c r="C109" vm="318">
        <f ca="1"/>
        <v>166.05</v>
      </c>
      <c r="D109" vm="319">
        <f ca="1"/>
        <v>5243345</v>
      </c>
      <c r="E109">
        <f t="shared" ca="1" si="21"/>
        <v>870657437.25</v>
      </c>
      <c r="F109">
        <f ca="1">SUM($E$2:E109)/SUM($D$2:D109)</f>
        <v>158.51033078562571</v>
      </c>
      <c r="G109">
        <f ca="1">_xlfn.STDEV.P($C$2:C109)</f>
        <v>5.258638946040584</v>
      </c>
      <c r="H109">
        <f t="shared" ca="1" si="22"/>
        <v>163.76896973166629</v>
      </c>
      <c r="I109">
        <f t="shared" ca="1" si="23"/>
        <v>153.25169183958513</v>
      </c>
      <c r="J109">
        <f t="shared" ca="1" si="32"/>
        <v>165.77400000000003</v>
      </c>
      <c r="K109">
        <f t="shared" ca="1" si="33"/>
        <v>1.8096623703710117</v>
      </c>
      <c r="L109">
        <f t="shared" ca="1" si="34"/>
        <v>169.39332474074206</v>
      </c>
      <c r="M109">
        <f t="shared" ca="1" si="35"/>
        <v>162.154675259258</v>
      </c>
      <c r="N109">
        <f t="shared" ca="1" si="24"/>
        <v>-0.95999999999997954</v>
      </c>
      <c r="O109">
        <f t="shared" ca="1" si="25"/>
        <v>0</v>
      </c>
      <c r="P109">
        <f t="shared" ca="1" si="26"/>
        <v>0.95999999999997954</v>
      </c>
      <c r="Q109">
        <f t="shared" ca="1" si="30"/>
        <v>0.58016632095083931</v>
      </c>
      <c r="R109">
        <f t="shared" ca="1" si="31"/>
        <v>0.4610908787029892</v>
      </c>
      <c r="S109">
        <f t="shared" ca="1" si="28"/>
        <v>1.2582472300965908</v>
      </c>
      <c r="T109">
        <f t="shared" ca="1" si="29"/>
        <v>55.717868855429629</v>
      </c>
      <c r="U109">
        <f>70</f>
        <v>70</v>
      </c>
      <c r="V109">
        <f>30</f>
        <v>30</v>
      </c>
      <c r="W109">
        <f t="shared" ca="1" si="27"/>
        <v>165.19970420266989</v>
      </c>
      <c r="X109">
        <f t="shared" ca="1" si="37"/>
        <v>164.56851834479716</v>
      </c>
      <c r="Y109">
        <f t="shared" ca="1" si="36"/>
        <v>0.84530964710506851</v>
      </c>
      <c r="Z109">
        <f t="shared" ca="1" si="38"/>
        <v>0.86580358300603966</v>
      </c>
      <c r="AA109">
        <f t="shared" ca="1" si="39"/>
        <v>-2.049393590097115E-2</v>
      </c>
      <c r="AB109">
        <f t="shared" ca="1" si="40"/>
        <v>160.00260000000006</v>
      </c>
    </row>
    <row r="110" spans="1:28" x14ac:dyDescent="0.25">
      <c r="A110" s="20">
        <f t="shared" ca="1" si="20"/>
        <v>45446</v>
      </c>
      <c r="B110" vm="320">
        <f ca="1"/>
        <v>45449</v>
      </c>
      <c r="C110" vm="321">
        <f ca="1"/>
        <v>168.47</v>
      </c>
      <c r="D110" vm="322">
        <f ca="1"/>
        <v>6302243</v>
      </c>
      <c r="E110">
        <f t="shared" ca="1" si="21"/>
        <v>1061738878.21</v>
      </c>
      <c r="F110">
        <f ca="1">SUM($E$2:E110)/SUM($D$2:D110)</f>
        <v>158.59738730647365</v>
      </c>
      <c r="G110">
        <f ca="1">_xlfn.STDEV.P($C$2:C110)</f>
        <v>5.3088832307889104</v>
      </c>
      <c r="H110">
        <f t="shared" ca="1" si="22"/>
        <v>163.90627053726257</v>
      </c>
      <c r="I110">
        <f t="shared" ca="1" si="23"/>
        <v>153.28850407568473</v>
      </c>
      <c r="J110">
        <f t="shared" ca="1" si="32"/>
        <v>165.94399999999999</v>
      </c>
      <c r="K110">
        <f t="shared" ca="1" si="33"/>
        <v>1.8976090219009778</v>
      </c>
      <c r="L110">
        <f t="shared" ca="1" si="34"/>
        <v>169.73921804380194</v>
      </c>
      <c r="M110">
        <f t="shared" ca="1" si="35"/>
        <v>162.14878195619804</v>
      </c>
      <c r="N110">
        <f t="shared" ca="1" si="24"/>
        <v>2.4199999999999875</v>
      </c>
      <c r="O110">
        <f t="shared" ca="1" si="25"/>
        <v>2.4199999999999875</v>
      </c>
      <c r="P110">
        <f t="shared" ca="1" si="26"/>
        <v>0</v>
      </c>
      <c r="Q110">
        <f t="shared" ca="1" si="30"/>
        <v>0.71158301231149268</v>
      </c>
      <c r="R110">
        <f t="shared" ca="1" si="31"/>
        <v>0.42815581593848995</v>
      </c>
      <c r="S110">
        <f t="shared" ca="1" si="28"/>
        <v>1.6619720807756602</v>
      </c>
      <c r="T110">
        <f t="shared" ca="1" si="29"/>
        <v>62.433865958931683</v>
      </c>
      <c r="U110">
        <f>70</f>
        <v>70</v>
      </c>
      <c r="V110">
        <f>30</f>
        <v>30</v>
      </c>
      <c r="W110">
        <f t="shared" ca="1" si="27"/>
        <v>165.70282663302837</v>
      </c>
      <c r="X110">
        <f t="shared" ca="1" si="37"/>
        <v>164.8575169859233</v>
      </c>
      <c r="Y110">
        <f t="shared" ca="1" si="36"/>
        <v>0.89095865978450206</v>
      </c>
      <c r="Z110">
        <f t="shared" ca="1" si="38"/>
        <v>0.87083459836173216</v>
      </c>
      <c r="AA110">
        <f t="shared" ca="1" si="39"/>
        <v>2.0124061422769901E-2</v>
      </c>
      <c r="AB110">
        <f t="shared" ca="1" si="40"/>
        <v>160.18130000000005</v>
      </c>
    </row>
    <row r="111" spans="1:28" x14ac:dyDescent="0.25">
      <c r="A111" s="20">
        <f t="shared" ca="1" si="20"/>
        <v>45446</v>
      </c>
      <c r="B111" vm="323">
        <f ca="1"/>
        <v>45450</v>
      </c>
      <c r="C111" vm="324">
        <f ca="1"/>
        <v>167.06</v>
      </c>
      <c r="D111" vm="325">
        <f ca="1"/>
        <v>4558190</v>
      </c>
      <c r="E111">
        <f t="shared" ca="1" si="21"/>
        <v>761491221.39999998</v>
      </c>
      <c r="F111">
        <f ca="1">SUM($E$2:E111)/SUM($D$2:D111)</f>
        <v>158.65055173802867</v>
      </c>
      <c r="G111">
        <f ca="1">_xlfn.STDEV.P($C$2:C111)</f>
        <v>5.3362407109893244</v>
      </c>
      <c r="H111">
        <f t="shared" ca="1" si="22"/>
        <v>163.986792449018</v>
      </c>
      <c r="I111">
        <f t="shared" ca="1" si="23"/>
        <v>153.31431102703934</v>
      </c>
      <c r="J111">
        <f t="shared" ca="1" si="32"/>
        <v>165.99499999999998</v>
      </c>
      <c r="K111">
        <f t="shared" ca="1" si="33"/>
        <v>1.9139611721299463</v>
      </c>
      <c r="L111">
        <f t="shared" ca="1" si="34"/>
        <v>169.82292234425987</v>
      </c>
      <c r="M111">
        <f t="shared" ca="1" si="35"/>
        <v>162.16707765574009</v>
      </c>
      <c r="N111">
        <f t="shared" ca="1" si="24"/>
        <v>-1.4099999999999966</v>
      </c>
      <c r="O111">
        <f t="shared" ca="1" si="25"/>
        <v>0</v>
      </c>
      <c r="P111">
        <f t="shared" ca="1" si="26"/>
        <v>1.4099999999999966</v>
      </c>
      <c r="Q111">
        <f t="shared" ca="1" si="30"/>
        <v>0.66075565428924321</v>
      </c>
      <c r="R111">
        <f t="shared" ca="1" si="31"/>
        <v>0.49828754337145476</v>
      </c>
      <c r="S111">
        <f t="shared" ca="1" si="28"/>
        <v>1.326052924820307</v>
      </c>
      <c r="T111">
        <f t="shared" ca="1" si="29"/>
        <v>57.008716812526856</v>
      </c>
      <c r="U111">
        <f>70</f>
        <v>70</v>
      </c>
      <c r="V111">
        <f>30</f>
        <v>30</v>
      </c>
      <c r="W111">
        <f t="shared" ca="1" si="27"/>
        <v>165.9116225356394</v>
      </c>
      <c r="X111">
        <f t="shared" ca="1" si="37"/>
        <v>165.02066387585489</v>
      </c>
      <c r="Y111">
        <f t="shared" ca="1" si="36"/>
        <v>0.93970408385203541</v>
      </c>
      <c r="Z111">
        <f t="shared" ca="1" si="38"/>
        <v>0.88460849545979281</v>
      </c>
      <c r="AA111">
        <f t="shared" ca="1" si="39"/>
        <v>5.50955883922426E-2</v>
      </c>
      <c r="AB111">
        <f t="shared" ca="1" si="40"/>
        <v>160.35400000000004</v>
      </c>
    </row>
    <row r="112" spans="1:28" x14ac:dyDescent="0.25">
      <c r="A112" s="20">
        <f t="shared" ca="1" si="20"/>
        <v>45453</v>
      </c>
      <c r="B112" vm="326">
        <f ca="1"/>
        <v>45453</v>
      </c>
      <c r="C112" vm="327">
        <f ca="1"/>
        <v>167.35</v>
      </c>
      <c r="D112" vm="328">
        <f ca="1"/>
        <v>4110668</v>
      </c>
      <c r="E112">
        <f t="shared" ca="1" si="21"/>
        <v>687920289.79999995</v>
      </c>
      <c r="F112">
        <f ca="1">SUM($E$2:E112)/SUM($D$2:D112)</f>
        <v>158.69956062669726</v>
      </c>
      <c r="G112">
        <f ca="1">_xlfn.STDEV.P($C$2:C112)</f>
        <v>5.3658566007957722</v>
      </c>
      <c r="H112">
        <f t="shared" ca="1" si="22"/>
        <v>164.06541722749304</v>
      </c>
      <c r="I112">
        <f t="shared" ca="1" si="23"/>
        <v>153.33370402590148</v>
      </c>
      <c r="J112">
        <f t="shared" ca="1" si="32"/>
        <v>166.02</v>
      </c>
      <c r="K112">
        <f t="shared" ca="1" si="33"/>
        <v>1.9289238887060935</v>
      </c>
      <c r="L112">
        <f t="shared" ca="1" si="34"/>
        <v>169.8778477774122</v>
      </c>
      <c r="M112">
        <f t="shared" ca="1" si="35"/>
        <v>162.16215222258782</v>
      </c>
      <c r="N112">
        <f t="shared" ca="1" si="24"/>
        <v>0.28999999999999204</v>
      </c>
      <c r="O112">
        <f t="shared" ca="1" si="25"/>
        <v>0.28999999999999204</v>
      </c>
      <c r="P112">
        <f t="shared" ca="1" si="26"/>
        <v>0</v>
      </c>
      <c r="Q112">
        <f t="shared" ca="1" si="30"/>
        <v>0.63427310755429667</v>
      </c>
      <c r="R112">
        <f t="shared" ca="1" si="31"/>
        <v>0.46269557598777938</v>
      </c>
      <c r="S112">
        <f t="shared" ca="1" si="28"/>
        <v>1.3708216383963199</v>
      </c>
      <c r="T112">
        <f t="shared" ca="1" si="29"/>
        <v>57.820530072585989</v>
      </c>
      <c r="U112">
        <f>70</f>
        <v>70</v>
      </c>
      <c r="V112">
        <f>30</f>
        <v>30</v>
      </c>
      <c r="W112">
        <f t="shared" ca="1" si="27"/>
        <v>166.13291137631026</v>
      </c>
      <c r="X112">
        <f t="shared" ca="1" si="37"/>
        <v>165.19320729245823</v>
      </c>
      <c r="Y112">
        <f t="shared" ca="1" si="36"/>
        <v>0.97755643508611456</v>
      </c>
      <c r="Z112">
        <f t="shared" ca="1" si="38"/>
        <v>0.90319808338505725</v>
      </c>
      <c r="AA112">
        <f t="shared" ca="1" si="39"/>
        <v>7.4358351701057313E-2</v>
      </c>
      <c r="AB112">
        <f t="shared" ca="1" si="40"/>
        <v>160.52810000000005</v>
      </c>
    </row>
    <row r="113" spans="1:28" x14ac:dyDescent="0.25">
      <c r="A113" s="20">
        <f t="shared" ca="1" si="20"/>
        <v>45453</v>
      </c>
      <c r="B113" vm="329">
        <f ca="1"/>
        <v>45454</v>
      </c>
      <c r="C113" vm="330">
        <f ca="1"/>
        <v>167.48</v>
      </c>
      <c r="D113" vm="331">
        <f ca="1"/>
        <v>3947671</v>
      </c>
      <c r="E113">
        <f t="shared" ca="1" si="21"/>
        <v>661155939.07999992</v>
      </c>
      <c r="F113">
        <f ca="1">SUM($E$2:E113)/SUM($D$2:D113)</f>
        <v>158.74680876103497</v>
      </c>
      <c r="G113">
        <f ca="1">_xlfn.STDEV.P($C$2:C113)</f>
        <v>5.3955521345285709</v>
      </c>
      <c r="H113">
        <f t="shared" ca="1" si="22"/>
        <v>164.14236089556354</v>
      </c>
      <c r="I113">
        <f t="shared" ca="1" si="23"/>
        <v>153.3512566265064</v>
      </c>
      <c r="J113">
        <f t="shared" ca="1" si="32"/>
        <v>166.10050000000001</v>
      </c>
      <c r="K113">
        <f t="shared" ca="1" si="33"/>
        <v>1.9557431620203756</v>
      </c>
      <c r="L113">
        <f t="shared" ca="1" si="34"/>
        <v>170.01198632404075</v>
      </c>
      <c r="M113">
        <f t="shared" ca="1" si="35"/>
        <v>162.18901367595927</v>
      </c>
      <c r="N113">
        <f t="shared" ca="1" si="24"/>
        <v>0.12999999999999545</v>
      </c>
      <c r="O113">
        <f t="shared" ca="1" si="25"/>
        <v>0.12999999999999545</v>
      </c>
      <c r="P113">
        <f t="shared" ca="1" si="26"/>
        <v>0</v>
      </c>
      <c r="Q113">
        <f t="shared" ca="1" si="30"/>
        <v>0.59825359987184668</v>
      </c>
      <c r="R113">
        <f t="shared" ca="1" si="31"/>
        <v>0.42964589198865227</v>
      </c>
      <c r="S113">
        <f t="shared" ca="1" si="28"/>
        <v>1.3924341208123261</v>
      </c>
      <c r="T113">
        <f t="shared" ca="1" si="29"/>
        <v>58.201565873819739</v>
      </c>
      <c r="U113">
        <f>70</f>
        <v>70</v>
      </c>
      <c r="V113">
        <f>30</f>
        <v>30</v>
      </c>
      <c r="W113">
        <f t="shared" ca="1" si="27"/>
        <v>166.34015577995484</v>
      </c>
      <c r="X113">
        <f t="shared" ca="1" si="37"/>
        <v>165.36259934486873</v>
      </c>
      <c r="Y113">
        <f t="shared" ca="1" si="36"/>
        <v>0.81259680787536581</v>
      </c>
      <c r="Z113">
        <f t="shared" ca="1" si="38"/>
        <v>0.88507782828311898</v>
      </c>
      <c r="AA113">
        <f t="shared" ca="1" si="39"/>
        <v>-7.2481020407753172E-2</v>
      </c>
      <c r="AB113">
        <f t="shared" ca="1" si="40"/>
        <v>160.72150000000005</v>
      </c>
    </row>
    <row r="114" spans="1:28" x14ac:dyDescent="0.25">
      <c r="A114" s="20">
        <f t="shared" ca="1" si="20"/>
        <v>45453</v>
      </c>
      <c r="B114" vm="332">
        <f ca="1"/>
        <v>45455</v>
      </c>
      <c r="C114" vm="333">
        <f ca="1"/>
        <v>165.18</v>
      </c>
      <c r="D114" vm="334">
        <f ca="1"/>
        <v>5474498</v>
      </c>
      <c r="E114">
        <f t="shared" ca="1" si="21"/>
        <v>904277579.63999999</v>
      </c>
      <c r="F114">
        <f ca="1">SUM($E$2:E114)/SUM($D$2:D114)</f>
        <v>158.79445947709988</v>
      </c>
      <c r="G114">
        <f ca="1">_xlfn.STDEV.P($C$2:C114)</f>
        <v>5.3980901244005217</v>
      </c>
      <c r="H114">
        <f t="shared" ca="1" si="22"/>
        <v>164.19254960150039</v>
      </c>
      <c r="I114">
        <f t="shared" ca="1" si="23"/>
        <v>153.39636935269937</v>
      </c>
      <c r="J114">
        <f t="shared" ca="1" si="32"/>
        <v>166.07149999999999</v>
      </c>
      <c r="K114">
        <f t="shared" ca="1" si="33"/>
        <v>1.9653345101641317</v>
      </c>
      <c r="L114">
        <f t="shared" ca="1" si="34"/>
        <v>170.00216902032824</v>
      </c>
      <c r="M114">
        <f t="shared" ca="1" si="35"/>
        <v>162.14083097967173</v>
      </c>
      <c r="N114">
        <f t="shared" ca="1" si="24"/>
        <v>-2.2999999999999829</v>
      </c>
      <c r="O114">
        <f t="shared" ca="1" si="25"/>
        <v>0</v>
      </c>
      <c r="P114">
        <f t="shared" ca="1" si="26"/>
        <v>2.2999999999999829</v>
      </c>
      <c r="Q114">
        <f t="shared" ca="1" si="30"/>
        <v>0.55552119988100046</v>
      </c>
      <c r="R114">
        <f t="shared" ca="1" si="31"/>
        <v>0.56324261398946163</v>
      </c>
      <c r="S114">
        <f t="shared" ca="1" si="28"/>
        <v>0.98629114005815333</v>
      </c>
      <c r="T114">
        <f t="shared" ca="1" si="29"/>
        <v>49.654913127653451</v>
      </c>
      <c r="U114">
        <f>70</f>
        <v>70</v>
      </c>
      <c r="V114">
        <f>30</f>
        <v>30</v>
      </c>
      <c r="W114">
        <f t="shared" ca="1" si="27"/>
        <v>166.16167027534641</v>
      </c>
      <c r="X114">
        <f t="shared" ca="1" si="37"/>
        <v>165.34907346747104</v>
      </c>
      <c r="Y114">
        <f t="shared" ca="1" si="36"/>
        <v>0.77221423034129089</v>
      </c>
      <c r="Z114">
        <f t="shared" ca="1" si="38"/>
        <v>0.86250510869475339</v>
      </c>
      <c r="AA114">
        <f t="shared" ca="1" si="39"/>
        <v>-9.02908783534625E-2</v>
      </c>
      <c r="AB114">
        <f t="shared" ca="1" si="40"/>
        <v>160.89760000000004</v>
      </c>
    </row>
    <row r="115" spans="1:28" x14ac:dyDescent="0.25">
      <c r="A115" s="20">
        <f t="shared" ca="1" si="20"/>
        <v>45453</v>
      </c>
      <c r="B115" vm="335">
        <f ca="1"/>
        <v>45456</v>
      </c>
      <c r="C115" vm="336">
        <f ca="1"/>
        <v>166.41</v>
      </c>
      <c r="D115" vm="337">
        <f ca="1"/>
        <v>4902180</v>
      </c>
      <c r="E115">
        <f t="shared" ca="1" si="21"/>
        <v>815771773.79999995</v>
      </c>
      <c r="F115">
        <f ca="1">SUM($E$2:E115)/SUM($D$2:D115)</f>
        <v>158.84463797275791</v>
      </c>
      <c r="G115">
        <f ca="1">_xlfn.STDEV.P($C$2:C115)</f>
        <v>5.4125169956095647</v>
      </c>
      <c r="H115">
        <f t="shared" ca="1" si="22"/>
        <v>164.25715496836747</v>
      </c>
      <c r="I115">
        <f t="shared" ca="1" si="23"/>
        <v>153.43212097714834</v>
      </c>
      <c r="J115">
        <f t="shared" ca="1" si="32"/>
        <v>166.06649999999996</v>
      </c>
      <c r="K115">
        <f t="shared" ca="1" si="33"/>
        <v>1.9642871346543012</v>
      </c>
      <c r="L115">
        <f t="shared" ca="1" si="34"/>
        <v>169.99507426930856</v>
      </c>
      <c r="M115">
        <f t="shared" ca="1" si="35"/>
        <v>162.13792573069136</v>
      </c>
      <c r="N115">
        <f t="shared" ca="1" si="24"/>
        <v>1.2299999999999898</v>
      </c>
      <c r="O115">
        <f t="shared" ca="1" si="25"/>
        <v>1.2299999999999898</v>
      </c>
      <c r="P115">
        <f t="shared" ca="1" si="26"/>
        <v>0</v>
      </c>
      <c r="Q115">
        <f t="shared" ca="1" si="30"/>
        <v>0.60369825703235691</v>
      </c>
      <c r="R115">
        <f t="shared" ca="1" si="31"/>
        <v>0.52301099870450007</v>
      </c>
      <c r="S115">
        <f t="shared" ca="1" si="28"/>
        <v>1.1542744961917042</v>
      </c>
      <c r="T115">
        <f t="shared" ca="1" si="29"/>
        <v>53.580660135568344</v>
      </c>
      <c r="U115">
        <f>70</f>
        <v>70</v>
      </c>
      <c r="V115">
        <f>30</f>
        <v>30</v>
      </c>
      <c r="W115">
        <f t="shared" ca="1" si="27"/>
        <v>166.19987484837003</v>
      </c>
      <c r="X115">
        <f t="shared" ca="1" si="37"/>
        <v>165.42766061802874</v>
      </c>
      <c r="Y115">
        <f t="shared" ca="1" si="36"/>
        <v>0.76208868691330167</v>
      </c>
      <c r="Z115">
        <f t="shared" ca="1" si="38"/>
        <v>0.84242182433846313</v>
      </c>
      <c r="AA115">
        <f t="shared" ca="1" si="39"/>
        <v>-8.033313742516146E-2</v>
      </c>
      <c r="AB115">
        <f t="shared" ca="1" si="40"/>
        <v>161.08310000000003</v>
      </c>
    </row>
    <row r="116" spans="1:28" x14ac:dyDescent="0.25">
      <c r="A116" s="20">
        <f t="shared" ca="1" si="20"/>
        <v>45453</v>
      </c>
      <c r="B116" vm="338">
        <f ca="1"/>
        <v>45457</v>
      </c>
      <c r="C116" vm="339">
        <f ca="1"/>
        <v>166.79</v>
      </c>
      <c r="D116" vm="340">
        <f ca="1"/>
        <v>3694974</v>
      </c>
      <c r="E116">
        <f t="shared" ca="1" si="21"/>
        <v>616284713.45999992</v>
      </c>
      <c r="F116">
        <f ca="1">SUM($E$2:E116)/SUM($D$2:D116)</f>
        <v>158.88390257465377</v>
      </c>
      <c r="G116">
        <f ca="1">_xlfn.STDEV.P($C$2:C116)</f>
        <v>5.4302317948625127</v>
      </c>
      <c r="H116">
        <f t="shared" ca="1" si="22"/>
        <v>164.3141343695163</v>
      </c>
      <c r="I116">
        <f t="shared" ca="1" si="23"/>
        <v>153.45367077979125</v>
      </c>
      <c r="J116">
        <f t="shared" ca="1" si="32"/>
        <v>166.01299999999998</v>
      </c>
      <c r="K116">
        <f t="shared" ca="1" si="33"/>
        <v>1.9270869753403184</v>
      </c>
      <c r="L116">
        <f t="shared" ca="1" si="34"/>
        <v>169.86717395068061</v>
      </c>
      <c r="M116">
        <f t="shared" ca="1" si="35"/>
        <v>162.15882604931934</v>
      </c>
      <c r="N116">
        <f t="shared" ca="1" si="24"/>
        <v>0.37999999999999545</v>
      </c>
      <c r="O116">
        <f t="shared" ca="1" si="25"/>
        <v>0.37999999999999545</v>
      </c>
      <c r="P116">
        <f t="shared" ca="1" si="26"/>
        <v>0</v>
      </c>
      <c r="Q116">
        <f t="shared" ca="1" si="30"/>
        <v>0.58771981010147401</v>
      </c>
      <c r="R116">
        <f t="shared" ca="1" si="31"/>
        <v>0.48565307022560722</v>
      </c>
      <c r="S116">
        <f t="shared" ca="1" si="28"/>
        <v>1.2101638929791019</v>
      </c>
      <c r="T116">
        <f t="shared" ca="1" si="29"/>
        <v>54.754486616280296</v>
      </c>
      <c r="U116">
        <f>70</f>
        <v>70</v>
      </c>
      <c r="V116">
        <f>30</f>
        <v>30</v>
      </c>
      <c r="W116">
        <f t="shared" ca="1" si="27"/>
        <v>166.29066333323618</v>
      </c>
      <c r="X116">
        <f t="shared" ca="1" si="37"/>
        <v>165.52857464632288</v>
      </c>
      <c r="Y116">
        <f t="shared" ca="1" si="36"/>
        <v>0.80210897412024451</v>
      </c>
      <c r="Z116">
        <f t="shared" ca="1" si="38"/>
        <v>0.8343592542948195</v>
      </c>
      <c r="AA116">
        <f t="shared" ca="1" si="39"/>
        <v>-3.2250280174574986E-2</v>
      </c>
      <c r="AB116">
        <f t="shared" ca="1" si="40"/>
        <v>161.21120000000005</v>
      </c>
    </row>
    <row r="117" spans="1:28" x14ac:dyDescent="0.25">
      <c r="A117" s="20">
        <f t="shared" ca="1" si="20"/>
        <v>45460</v>
      </c>
      <c r="B117" vm="341">
        <f ca="1"/>
        <v>45460</v>
      </c>
      <c r="C117" vm="342">
        <f ca="1"/>
        <v>167.5</v>
      </c>
      <c r="D117" vm="343">
        <f ca="1"/>
        <v>6759352</v>
      </c>
      <c r="E117">
        <f t="shared" ca="1" si="21"/>
        <v>1132191460</v>
      </c>
      <c r="F117">
        <f ca="1">SUM($E$2:E117)/SUM($D$2:D117)</f>
        <v>158.96109652898966</v>
      </c>
      <c r="G117">
        <f ca="1">_xlfn.STDEV.P($C$2:C117)</f>
        <v>5.4552238945160125</v>
      </c>
      <c r="H117">
        <f t="shared" ca="1" si="22"/>
        <v>164.41632042350568</v>
      </c>
      <c r="I117">
        <f t="shared" ca="1" si="23"/>
        <v>153.50587263447363</v>
      </c>
      <c r="J117">
        <f t="shared" ca="1" si="32"/>
        <v>166.00599999999997</v>
      </c>
      <c r="K117">
        <f t="shared" ca="1" si="33"/>
        <v>1.9211109724378326</v>
      </c>
      <c r="L117">
        <f t="shared" ca="1" si="34"/>
        <v>169.84822194487563</v>
      </c>
      <c r="M117">
        <f t="shared" ca="1" si="35"/>
        <v>162.16377805512431</v>
      </c>
      <c r="N117">
        <f t="shared" ca="1" si="24"/>
        <v>0.71000000000000796</v>
      </c>
      <c r="O117">
        <f t="shared" ca="1" si="25"/>
        <v>0.71000000000000796</v>
      </c>
      <c r="P117">
        <f t="shared" ca="1" si="26"/>
        <v>0</v>
      </c>
      <c r="Q117">
        <f t="shared" ca="1" si="30"/>
        <v>0.59645410937994059</v>
      </c>
      <c r="R117">
        <f t="shared" ca="1" si="31"/>
        <v>0.45096356520949243</v>
      </c>
      <c r="S117">
        <f t="shared" ca="1" si="28"/>
        <v>1.3226215051383616</v>
      </c>
      <c r="T117">
        <f t="shared" ca="1" si="29"/>
        <v>56.945201885555235</v>
      </c>
      <c r="U117">
        <f>70</f>
        <v>70</v>
      </c>
      <c r="V117">
        <f>30</f>
        <v>30</v>
      </c>
      <c r="W117">
        <f t="shared" ca="1" si="27"/>
        <v>166.47671512812292</v>
      </c>
      <c r="X117">
        <f t="shared" ca="1" si="37"/>
        <v>165.67460615400267</v>
      </c>
      <c r="Y117">
        <f t="shared" ca="1" si="36"/>
        <v>0.90888146154313176</v>
      </c>
      <c r="Z117">
        <f t="shared" ca="1" si="38"/>
        <v>0.84926369574448202</v>
      </c>
      <c r="AA117">
        <f t="shared" ca="1" si="39"/>
        <v>5.9617765798649747E-2</v>
      </c>
      <c r="AB117">
        <f t="shared" ca="1" si="40"/>
        <v>161.36500000000004</v>
      </c>
    </row>
    <row r="118" spans="1:28" x14ac:dyDescent="0.25">
      <c r="A118" s="20">
        <f t="shared" ca="1" si="20"/>
        <v>45460</v>
      </c>
      <c r="B118" vm="344">
        <f ca="1"/>
        <v>45461</v>
      </c>
      <c r="C118" vm="345">
        <f ca="1"/>
        <v>168.56</v>
      </c>
      <c r="D118" vm="346">
        <f ca="1"/>
        <v>5112634</v>
      </c>
      <c r="E118">
        <f t="shared" ca="1" si="21"/>
        <v>861785587.03999996</v>
      </c>
      <c r="F118">
        <f ca="1">SUM($E$2:E118)/SUM($D$2:D118)</f>
        <v>159.02570669193381</v>
      </c>
      <c r="G118">
        <f ca="1">_xlfn.STDEV.P($C$2:C118)</f>
        <v>5.4924698795751956</v>
      </c>
      <c r="H118">
        <f t="shared" ca="1" si="22"/>
        <v>164.518176571509</v>
      </c>
      <c r="I118">
        <f t="shared" ca="1" si="23"/>
        <v>153.53323681235861</v>
      </c>
      <c r="J118">
        <f t="shared" ca="1" si="32"/>
        <v>166.06849999999997</v>
      </c>
      <c r="K118">
        <f t="shared" ca="1" si="33"/>
        <v>1.9850368550204442</v>
      </c>
      <c r="L118">
        <f t="shared" ca="1" si="34"/>
        <v>170.03857371004085</v>
      </c>
      <c r="M118">
        <f t="shared" ca="1" si="35"/>
        <v>162.09842628995909</v>
      </c>
      <c r="N118">
        <f t="shared" ca="1" si="24"/>
        <v>1.0600000000000023</v>
      </c>
      <c r="O118">
        <f t="shared" ca="1" si="25"/>
        <v>1.0600000000000023</v>
      </c>
      <c r="P118">
        <f t="shared" ca="1" si="26"/>
        <v>0</v>
      </c>
      <c r="Q118">
        <f t="shared" ca="1" si="30"/>
        <v>0.62956453013851643</v>
      </c>
      <c r="R118">
        <f t="shared" ca="1" si="31"/>
        <v>0.41875188198024299</v>
      </c>
      <c r="S118">
        <f t="shared" ca="1" si="28"/>
        <v>1.5034309270715582</v>
      </c>
      <c r="T118">
        <f t="shared" ca="1" si="29"/>
        <v>60.054819600324606</v>
      </c>
      <c r="U118">
        <f>70</f>
        <v>70</v>
      </c>
      <c r="V118">
        <f>30</f>
        <v>30</v>
      </c>
      <c r="W118">
        <f t="shared" ca="1" si="27"/>
        <v>166.79722049302708</v>
      </c>
      <c r="X118">
        <f t="shared" ca="1" si="37"/>
        <v>165.88833903148395</v>
      </c>
      <c r="Y118">
        <f t="shared" ca="1" si="36"/>
        <v>0.9111803452899494</v>
      </c>
      <c r="Z118">
        <f t="shared" ca="1" si="38"/>
        <v>0.86164702565357554</v>
      </c>
      <c r="AA118">
        <f t="shared" ca="1" si="39"/>
        <v>4.9533319636373863E-2</v>
      </c>
      <c r="AB118">
        <f t="shared" ca="1" si="40"/>
        <v>161.49440000000001</v>
      </c>
    </row>
    <row r="119" spans="1:28" x14ac:dyDescent="0.25">
      <c r="A119" s="20">
        <f t="shared" ca="1" si="20"/>
        <v>45460</v>
      </c>
      <c r="B119" vm="347">
        <f ca="1"/>
        <v>45463</v>
      </c>
      <c r="C119" vm="348">
        <f ca="1"/>
        <v>167.67</v>
      </c>
      <c r="D119" vm="349">
        <f ca="1"/>
        <v>8483606</v>
      </c>
      <c r="E119">
        <f t="shared" ca="1" si="21"/>
        <v>1422446218.02</v>
      </c>
      <c r="F119">
        <f ca="1">SUM($E$2:E119)/SUM($D$2:D119)</f>
        <v>159.12118852293389</v>
      </c>
      <c r="G119">
        <f ca="1">_xlfn.STDEV.P($C$2:C119)</f>
        <v>5.5165678198810637</v>
      </c>
      <c r="H119">
        <f t="shared" ca="1" si="22"/>
        <v>164.63775634281495</v>
      </c>
      <c r="I119">
        <f t="shared" ca="1" si="23"/>
        <v>153.60462070305283</v>
      </c>
      <c r="J119">
        <f t="shared" ca="1" si="32"/>
        <v>166.03449999999998</v>
      </c>
      <c r="K119">
        <f t="shared" ca="1" si="33"/>
        <v>1.9494060498953016</v>
      </c>
      <c r="L119">
        <f t="shared" ca="1" si="34"/>
        <v>169.93331209979058</v>
      </c>
      <c r="M119">
        <f t="shared" ca="1" si="35"/>
        <v>162.13568790020938</v>
      </c>
      <c r="N119">
        <f t="shared" ca="1" si="24"/>
        <v>-0.89000000000001478</v>
      </c>
      <c r="O119">
        <f t="shared" ca="1" si="25"/>
        <v>0</v>
      </c>
      <c r="P119">
        <f t="shared" ca="1" si="26"/>
        <v>0.89000000000001478</v>
      </c>
      <c r="Q119">
        <f t="shared" ca="1" si="30"/>
        <v>0.58459563512862245</v>
      </c>
      <c r="R119">
        <f t="shared" ca="1" si="31"/>
        <v>0.45241246183879813</v>
      </c>
      <c r="S119">
        <f t="shared" ca="1" si="28"/>
        <v>1.2921740324140836</v>
      </c>
      <c r="T119">
        <f t="shared" ca="1" si="29"/>
        <v>56.37329513994996</v>
      </c>
      <c r="U119">
        <f>70</f>
        <v>70</v>
      </c>
      <c r="V119">
        <f>30</f>
        <v>30</v>
      </c>
      <c r="W119">
        <f t="shared" ca="1" si="27"/>
        <v>166.93149426333062</v>
      </c>
      <c r="X119">
        <f t="shared" ca="1" si="37"/>
        <v>166.02031391804067</v>
      </c>
      <c r="Y119">
        <f t="shared" ca="1" si="36"/>
        <v>0.94966317050133853</v>
      </c>
      <c r="Z119">
        <f t="shared" ca="1" si="38"/>
        <v>0.87925025462312822</v>
      </c>
      <c r="AA119">
        <f t="shared" ca="1" si="39"/>
        <v>7.0412915878210303E-2</v>
      </c>
      <c r="AB119">
        <f t="shared" ca="1" si="40"/>
        <v>161.60970000000003</v>
      </c>
    </row>
    <row r="120" spans="1:28" x14ac:dyDescent="0.25">
      <c r="A120" s="20">
        <f t="shared" ca="1" si="20"/>
        <v>45460</v>
      </c>
      <c r="B120" vm="350">
        <f ca="1"/>
        <v>45464</v>
      </c>
      <c r="C120" vm="351">
        <f ca="1"/>
        <v>168.26</v>
      </c>
      <c r="D120" vm="352">
        <f ca="1"/>
        <v>14682061</v>
      </c>
      <c r="E120">
        <f t="shared" ca="1" si="21"/>
        <v>2470403583.8599997</v>
      </c>
      <c r="F120">
        <f ca="1">SUM($E$2:E120)/SUM($D$2:D120)</f>
        <v>159.29260945887117</v>
      </c>
      <c r="G120">
        <f ca="1">_xlfn.STDEV.P($C$2:C120)</f>
        <v>5.5465611175042255</v>
      </c>
      <c r="H120">
        <f t="shared" ca="1" si="22"/>
        <v>164.83917057637541</v>
      </c>
      <c r="I120">
        <f t="shared" ca="1" si="23"/>
        <v>153.74604834136693</v>
      </c>
      <c r="J120">
        <f t="shared" ca="1" si="32"/>
        <v>166.05699999999996</v>
      </c>
      <c r="K120">
        <f t="shared" ca="1" si="33"/>
        <v>1.9734263550858306</v>
      </c>
      <c r="L120">
        <f t="shared" ca="1" si="34"/>
        <v>170.00385271017163</v>
      </c>
      <c r="M120">
        <f t="shared" ca="1" si="35"/>
        <v>162.11014728982829</v>
      </c>
      <c r="N120">
        <f t="shared" ca="1" si="24"/>
        <v>0.59000000000000341</v>
      </c>
      <c r="O120">
        <f t="shared" ca="1" si="25"/>
        <v>0.59000000000000341</v>
      </c>
      <c r="P120">
        <f t="shared" ca="1" si="26"/>
        <v>0</v>
      </c>
      <c r="Q120">
        <f t="shared" ca="1" si="30"/>
        <v>0.58498166119086392</v>
      </c>
      <c r="R120">
        <f t="shared" ca="1" si="31"/>
        <v>0.4200972859931697</v>
      </c>
      <c r="S120">
        <f t="shared" ca="1" si="28"/>
        <v>1.3924909317323584</v>
      </c>
      <c r="T120">
        <f t="shared" ca="1" si="29"/>
        <v>58.202558399002228</v>
      </c>
      <c r="U120">
        <f>70</f>
        <v>70</v>
      </c>
      <c r="V120">
        <f>30</f>
        <v>30</v>
      </c>
      <c r="W120">
        <f t="shared" ca="1" si="27"/>
        <v>167.13587976127974</v>
      </c>
      <c r="X120">
        <f t="shared" ca="1" si="37"/>
        <v>166.1862165907784</v>
      </c>
      <c r="Y120">
        <f t="shared" ca="1" si="36"/>
        <v>0.98414785497749335</v>
      </c>
      <c r="Z120">
        <f t="shared" ca="1" si="38"/>
        <v>0.90022977469400134</v>
      </c>
      <c r="AA120">
        <f t="shared" ca="1" si="39"/>
        <v>8.3918080283492014E-2</v>
      </c>
      <c r="AB120">
        <f t="shared" ca="1" si="40"/>
        <v>161.73070000000004</v>
      </c>
    </row>
    <row r="121" spans="1:28" x14ac:dyDescent="0.25">
      <c r="A121" s="20">
        <f t="shared" ca="1" si="20"/>
        <v>45467</v>
      </c>
      <c r="B121" vm="353">
        <f ca="1"/>
        <v>45467</v>
      </c>
      <c r="C121" vm="354">
        <f ca="1"/>
        <v>168.45</v>
      </c>
      <c r="D121" vm="355">
        <f ca="1"/>
        <v>7565304</v>
      </c>
      <c r="E121">
        <f t="shared" ca="1" si="21"/>
        <v>1274375458.8</v>
      </c>
      <c r="F121">
        <f ca="1">SUM($E$2:E121)/SUM($D$2:D121)</f>
        <v>159.38027074266952</v>
      </c>
      <c r="G121">
        <f ca="1">_xlfn.STDEV.P($C$2:C121)</f>
        <v>5.5773976601747011</v>
      </c>
      <c r="H121">
        <f t="shared" ca="1" si="22"/>
        <v>164.95766840284423</v>
      </c>
      <c r="I121">
        <f t="shared" ca="1" si="23"/>
        <v>153.80287308249481</v>
      </c>
      <c r="J121">
        <f t="shared" ca="1" si="32"/>
        <v>166.20499999999998</v>
      </c>
      <c r="K121">
        <f t="shared" ca="1" si="33"/>
        <v>2.0385843901564265</v>
      </c>
      <c r="L121">
        <f t="shared" ca="1" si="34"/>
        <v>170.28216878031284</v>
      </c>
      <c r="M121">
        <f t="shared" ca="1" si="35"/>
        <v>162.12783121968712</v>
      </c>
      <c r="N121">
        <f t="shared" ca="1" si="24"/>
        <v>0.18999999999999773</v>
      </c>
      <c r="O121">
        <f t="shared" ca="1" si="25"/>
        <v>0.18999999999999773</v>
      </c>
      <c r="P121">
        <f t="shared" ca="1" si="26"/>
        <v>0</v>
      </c>
      <c r="Q121">
        <f t="shared" ca="1" si="30"/>
        <v>0.55676868539151636</v>
      </c>
      <c r="R121">
        <f t="shared" ca="1" si="31"/>
        <v>0.39009033699365758</v>
      </c>
      <c r="S121">
        <f t="shared" ca="1" si="28"/>
        <v>1.4272814078974962</v>
      </c>
      <c r="T121">
        <f t="shared" ca="1" si="29"/>
        <v>58.801645464495316</v>
      </c>
      <c r="U121">
        <f>70</f>
        <v>70</v>
      </c>
      <c r="V121">
        <f>30</f>
        <v>30</v>
      </c>
      <c r="W121">
        <f t="shared" ca="1" si="27"/>
        <v>167.33805210569824</v>
      </c>
      <c r="X121">
        <f t="shared" ca="1" si="37"/>
        <v>166.35390425072075</v>
      </c>
      <c r="Y121">
        <f t="shared" ca="1" si="36"/>
        <v>0.87231508235936417</v>
      </c>
      <c r="Z121">
        <f t="shared" ca="1" si="38"/>
        <v>0.89464683622707386</v>
      </c>
      <c r="AA121">
        <f t="shared" ca="1" si="39"/>
        <v>-2.2331753867709692E-2</v>
      </c>
      <c r="AB121">
        <f t="shared" ca="1" si="40"/>
        <v>161.84030000000004</v>
      </c>
    </row>
    <row r="122" spans="1:28" x14ac:dyDescent="0.25">
      <c r="A122" s="20">
        <f t="shared" ca="1" si="20"/>
        <v>45467</v>
      </c>
      <c r="B122" vm="356">
        <f ca="1"/>
        <v>45468</v>
      </c>
      <c r="C122" vm="268">
        <f ca="1"/>
        <v>166.85</v>
      </c>
      <c r="D122" vm="357">
        <f ca="1"/>
        <v>8323968</v>
      </c>
      <c r="E122">
        <f t="shared" ca="1" si="21"/>
        <v>1388854060.8</v>
      </c>
      <c r="F122">
        <f ca="1">SUM($E$2:E122)/SUM($D$2:D122)</f>
        <v>159.45812719197872</v>
      </c>
      <c r="G122">
        <f ca="1">_xlfn.STDEV.P($C$2:C122)</f>
        <v>5.588771565514369</v>
      </c>
      <c r="H122">
        <f t="shared" ca="1" si="22"/>
        <v>165.0468987574931</v>
      </c>
      <c r="I122">
        <f t="shared" ca="1" si="23"/>
        <v>153.86935562646434</v>
      </c>
      <c r="J122">
        <f t="shared" ca="1" si="32"/>
        <v>166.28099999999998</v>
      </c>
      <c r="K122">
        <f t="shared" ca="1" si="33"/>
        <v>2.0325713556452212</v>
      </c>
      <c r="L122">
        <f t="shared" ca="1" si="34"/>
        <v>170.34614271129041</v>
      </c>
      <c r="M122">
        <f t="shared" ca="1" si="35"/>
        <v>162.21585728870954</v>
      </c>
      <c r="N122">
        <f t="shared" ca="1" si="24"/>
        <v>-1.5999999999999943</v>
      </c>
      <c r="O122">
        <f t="shared" ca="1" si="25"/>
        <v>0</v>
      </c>
      <c r="P122">
        <f t="shared" ca="1" si="26"/>
        <v>1.5999999999999943</v>
      </c>
      <c r="Q122">
        <f t="shared" ca="1" si="30"/>
        <v>0.51699949357783659</v>
      </c>
      <c r="R122">
        <f t="shared" ca="1" si="31"/>
        <v>0.47651245577982448</v>
      </c>
      <c r="S122">
        <f t="shared" ca="1" si="28"/>
        <v>1.0849653294618586</v>
      </c>
      <c r="T122">
        <f t="shared" ca="1" si="29"/>
        <v>52.037571758658181</v>
      </c>
      <c r="U122">
        <f>70</f>
        <v>70</v>
      </c>
      <c r="V122">
        <f>30</f>
        <v>30</v>
      </c>
      <c r="W122">
        <f t="shared" ca="1" si="27"/>
        <v>167.26296716636006</v>
      </c>
      <c r="X122">
        <f t="shared" ca="1" si="37"/>
        <v>166.39065208400069</v>
      </c>
      <c r="Y122">
        <f t="shared" ca="1" si="36"/>
        <v>0.82261914845784645</v>
      </c>
      <c r="Z122">
        <f t="shared" ca="1" si="38"/>
        <v>0.88024129867322842</v>
      </c>
      <c r="AA122">
        <f t="shared" ca="1" si="39"/>
        <v>-5.7622150215381973E-2</v>
      </c>
      <c r="AB122">
        <f t="shared" ca="1" si="40"/>
        <v>161.93740000000003</v>
      </c>
    </row>
    <row r="123" spans="1:28" x14ac:dyDescent="0.25">
      <c r="A123" s="20">
        <f t="shared" ca="1" si="20"/>
        <v>45467</v>
      </c>
      <c r="B123" vm="358">
        <f ca="1"/>
        <v>45469</v>
      </c>
      <c r="C123" vm="359">
        <f ca="1"/>
        <v>167.45</v>
      </c>
      <c r="D123" vm="360">
        <f ca="1"/>
        <v>5164046</v>
      </c>
      <c r="E123">
        <f t="shared" ca="1" si="21"/>
        <v>864719502.69999993</v>
      </c>
      <c r="F123">
        <f ca="1">SUM($E$2:E123)/SUM($D$2:D123)</f>
        <v>159.50947226781963</v>
      </c>
      <c r="G123">
        <f ca="1">_xlfn.STDEV.P($C$2:C123)</f>
        <v>5.6055508233886426</v>
      </c>
      <c r="H123">
        <f t="shared" ca="1" si="22"/>
        <v>165.11502309120829</v>
      </c>
      <c r="I123">
        <f t="shared" ca="1" si="23"/>
        <v>153.90392144443098</v>
      </c>
      <c r="J123">
        <f t="shared" ca="1" si="32"/>
        <v>166.49799999999999</v>
      </c>
      <c r="K123">
        <f t="shared" ca="1" si="33"/>
        <v>1.9038067128781697</v>
      </c>
      <c r="L123">
        <f t="shared" ca="1" si="34"/>
        <v>170.30561342575632</v>
      </c>
      <c r="M123">
        <f t="shared" ca="1" si="35"/>
        <v>162.69038657424366</v>
      </c>
      <c r="N123">
        <f t="shared" ca="1" si="24"/>
        <v>0.59999999999999432</v>
      </c>
      <c r="O123">
        <f t="shared" ca="1" si="25"/>
        <v>0.59999999999999432</v>
      </c>
      <c r="P123">
        <f t="shared" ca="1" si="26"/>
        <v>0</v>
      </c>
      <c r="Q123">
        <f t="shared" ca="1" si="30"/>
        <v>0.52292810117941924</v>
      </c>
      <c r="R123">
        <f t="shared" ca="1" si="31"/>
        <v>0.44247585179555132</v>
      </c>
      <c r="S123">
        <f t="shared" ca="1" si="28"/>
        <v>1.1818229154368436</v>
      </c>
      <c r="T123">
        <f t="shared" ca="1" si="29"/>
        <v>54.166766105315176</v>
      </c>
      <c r="U123">
        <f>70</f>
        <v>70</v>
      </c>
      <c r="V123">
        <f>30</f>
        <v>30</v>
      </c>
      <c r="W123">
        <f t="shared" ca="1" si="27"/>
        <v>167.29174144845851</v>
      </c>
      <c r="X123">
        <f t="shared" ca="1" si="37"/>
        <v>166.46912230000066</v>
      </c>
      <c r="Y123">
        <f t="shared" ca="1" si="36"/>
        <v>0.70809818430757332</v>
      </c>
      <c r="Z123">
        <f t="shared" ca="1" si="38"/>
        <v>0.84581267580009745</v>
      </c>
      <c r="AA123">
        <f t="shared" ca="1" si="39"/>
        <v>-0.13771449149252413</v>
      </c>
      <c r="AB123">
        <f t="shared" ca="1" si="40"/>
        <v>162.02010000000001</v>
      </c>
    </row>
    <row r="124" spans="1:28" x14ac:dyDescent="0.25">
      <c r="A124" s="20">
        <f t="shared" ca="1" si="20"/>
        <v>45467</v>
      </c>
      <c r="B124" vm="361">
        <f ca="1"/>
        <v>45470</v>
      </c>
      <c r="C124" vm="362">
        <f ca="1"/>
        <v>166.62</v>
      </c>
      <c r="D124" vm="363">
        <f ca="1"/>
        <v>5006990</v>
      </c>
      <c r="E124">
        <f t="shared" ca="1" si="21"/>
        <v>834264673.80000007</v>
      </c>
      <c r="F124">
        <f ca="1">SUM($E$2:E124)/SUM($D$2:D124)</f>
        <v>159.55349142755793</v>
      </c>
      <c r="G124">
        <f ca="1">_xlfn.STDEV.P($C$2:C124)</f>
        <v>5.6131341543474216</v>
      </c>
      <c r="H124">
        <f t="shared" ca="1" si="22"/>
        <v>165.16662558190535</v>
      </c>
      <c r="I124">
        <f t="shared" ca="1" si="23"/>
        <v>153.94035727321051</v>
      </c>
      <c r="J124">
        <f t="shared" ca="1" si="32"/>
        <v>166.74649999999994</v>
      </c>
      <c r="K124">
        <f t="shared" ca="1" si="33"/>
        <v>1.5242229254002762</v>
      </c>
      <c r="L124">
        <f t="shared" ca="1" si="34"/>
        <v>169.7949458508005</v>
      </c>
      <c r="M124">
        <f t="shared" ca="1" si="35"/>
        <v>163.69805414919938</v>
      </c>
      <c r="N124">
        <f t="shared" ca="1" si="24"/>
        <v>-0.82999999999998408</v>
      </c>
      <c r="O124">
        <f t="shared" ca="1" si="25"/>
        <v>0</v>
      </c>
      <c r="P124">
        <f t="shared" ca="1" si="26"/>
        <v>0.82999999999998408</v>
      </c>
      <c r="Q124">
        <f t="shared" ca="1" si="30"/>
        <v>0.48557609395231788</v>
      </c>
      <c r="R124">
        <f t="shared" ca="1" si="31"/>
        <v>0.47015614809586792</v>
      </c>
      <c r="S124">
        <f t="shared" ca="1" si="28"/>
        <v>1.0327974991264088</v>
      </c>
      <c r="T124">
        <f t="shared" ca="1" si="29"/>
        <v>50.806708468022606</v>
      </c>
      <c r="U124">
        <f>70</f>
        <v>70</v>
      </c>
      <c r="V124">
        <f>30</f>
        <v>30</v>
      </c>
      <c r="W124">
        <f t="shared" ca="1" si="27"/>
        <v>167.18839661023412</v>
      </c>
      <c r="X124">
        <f t="shared" ca="1" si="37"/>
        <v>166.48029842592655</v>
      </c>
      <c r="Y124">
        <f t="shared" ca="1" si="36"/>
        <v>0.47469175160512123</v>
      </c>
      <c r="Z124">
        <f t="shared" ca="1" si="38"/>
        <v>0.77158849096110227</v>
      </c>
      <c r="AA124">
        <f t="shared" ca="1" si="39"/>
        <v>-0.29689673935598104</v>
      </c>
      <c r="AB124">
        <f t="shared" ca="1" si="40"/>
        <v>162.10540000000003</v>
      </c>
    </row>
    <row r="125" spans="1:28" x14ac:dyDescent="0.25">
      <c r="A125" s="20">
        <f t="shared" ca="1" si="20"/>
        <v>45467</v>
      </c>
      <c r="B125" vm="364">
        <f ca="1"/>
        <v>45471</v>
      </c>
      <c r="C125" vm="365">
        <f ca="1"/>
        <v>164.92</v>
      </c>
      <c r="D125" vm="366">
        <f ca="1"/>
        <v>9253317</v>
      </c>
      <c r="E125">
        <f t="shared" ca="1" si="21"/>
        <v>1526057039.6399999</v>
      </c>
      <c r="F125">
        <f ca="1">SUM($E$2:E125)/SUM($D$2:D125)</f>
        <v>159.61419467724335</v>
      </c>
      <c r="G125">
        <f ca="1">_xlfn.STDEV.P($C$2:C125)</f>
        <v>5.6065442908511605</v>
      </c>
      <c r="H125">
        <f t="shared" ca="1" si="22"/>
        <v>165.22073896809451</v>
      </c>
      <c r="I125">
        <f t="shared" ca="1" si="23"/>
        <v>154.00765038639219</v>
      </c>
      <c r="J125">
        <f t="shared" ca="1" si="32"/>
        <v>166.86349999999999</v>
      </c>
      <c r="K125">
        <f t="shared" ca="1" si="33"/>
        <v>1.2532999598953474</v>
      </c>
      <c r="L125">
        <f t="shared" ca="1" si="34"/>
        <v>169.37009991979068</v>
      </c>
      <c r="M125">
        <f t="shared" ca="1" si="35"/>
        <v>164.3569000802093</v>
      </c>
      <c r="N125">
        <f t="shared" ca="1" si="24"/>
        <v>-1.7000000000000171</v>
      </c>
      <c r="O125">
        <f t="shared" ca="1" si="25"/>
        <v>0</v>
      </c>
      <c r="P125">
        <f t="shared" ca="1" si="26"/>
        <v>1.7000000000000171</v>
      </c>
      <c r="Q125">
        <f t="shared" ca="1" si="30"/>
        <v>0.45089208724143803</v>
      </c>
      <c r="R125">
        <f t="shared" ca="1" si="31"/>
        <v>0.55800213751759287</v>
      </c>
      <c r="S125">
        <f t="shared" ca="1" si="28"/>
        <v>0.80804724019040552</v>
      </c>
      <c r="T125">
        <f t="shared" ca="1" si="29"/>
        <v>44.691710605155983</v>
      </c>
      <c r="U125">
        <f>70</f>
        <v>70</v>
      </c>
      <c r="V125">
        <f>30</f>
        <v>30</v>
      </c>
      <c r="W125">
        <f t="shared" ca="1" si="27"/>
        <v>166.83941251635193</v>
      </c>
      <c r="X125">
        <f t="shared" ca="1" si="37"/>
        <v>166.36472076474681</v>
      </c>
      <c r="Y125">
        <f t="shared" ca="1" si="36"/>
        <v>0.11091529576583525</v>
      </c>
      <c r="Z125">
        <f t="shared" ca="1" si="38"/>
        <v>0.63945385192204895</v>
      </c>
      <c r="AA125">
        <f t="shared" ca="1" si="39"/>
        <v>-0.5285385561562137</v>
      </c>
      <c r="AB125">
        <f t="shared" ca="1" si="40"/>
        <v>162.17250000000004</v>
      </c>
    </row>
    <row r="126" spans="1:28" x14ac:dyDescent="0.25">
      <c r="A126" s="20">
        <f t="shared" ca="1" si="20"/>
        <v>45474</v>
      </c>
      <c r="B126" vm="367">
        <f ca="1"/>
        <v>45474</v>
      </c>
      <c r="C126" vm="368">
        <f ca="1"/>
        <v>162.72</v>
      </c>
      <c r="D126" vm="369">
        <f ca="1"/>
        <v>7638639</v>
      </c>
      <c r="E126">
        <f t="shared" ca="1" si="21"/>
        <v>1242959338.0799999</v>
      </c>
      <c r="F126">
        <f ca="1">SUM($E$2:E126)/SUM($D$2:D126)</f>
        <v>159.64292737508282</v>
      </c>
      <c r="G126">
        <f ca="1">_xlfn.STDEV.P($C$2:C126)</f>
        <v>5.5885386105492705</v>
      </c>
      <c r="H126">
        <f t="shared" ca="1" si="22"/>
        <v>165.2314659856321</v>
      </c>
      <c r="I126">
        <f t="shared" ca="1" si="23"/>
        <v>154.05438876453354</v>
      </c>
      <c r="J126">
        <f t="shared" ca="1" si="32"/>
        <v>166.77249999999995</v>
      </c>
      <c r="K126">
        <f t="shared" ca="1" si="33"/>
        <v>1.4769950824847737</v>
      </c>
      <c r="L126">
        <f t="shared" ca="1" si="34"/>
        <v>169.7264901649695</v>
      </c>
      <c r="M126">
        <f t="shared" ca="1" si="35"/>
        <v>163.8185098350304</v>
      </c>
      <c r="N126">
        <f t="shared" ca="1" si="24"/>
        <v>-2.1999999999999886</v>
      </c>
      <c r="O126">
        <f t="shared" ca="1" si="25"/>
        <v>0</v>
      </c>
      <c r="P126">
        <f t="shared" ca="1" si="26"/>
        <v>2.1999999999999886</v>
      </c>
      <c r="Q126">
        <f t="shared" ca="1" si="30"/>
        <v>0.41868550958133532</v>
      </c>
      <c r="R126">
        <f t="shared" ca="1" si="31"/>
        <v>0.67528769912347819</v>
      </c>
      <c r="S126">
        <f t="shared" ca="1" si="28"/>
        <v>0.62001056753260586</v>
      </c>
      <c r="T126">
        <f t="shared" ca="1" si="29"/>
        <v>38.272007600353326</v>
      </c>
      <c r="U126">
        <f>70</f>
        <v>70</v>
      </c>
      <c r="V126">
        <f>30</f>
        <v>30</v>
      </c>
      <c r="W126">
        <f t="shared" ca="1" si="27"/>
        <v>166.20565674460548</v>
      </c>
      <c r="X126">
        <f t="shared" ca="1" si="37"/>
        <v>166.09474144883964</v>
      </c>
      <c r="Y126">
        <f t="shared" ca="1" si="36"/>
        <v>-8.1227685826377183E-2</v>
      </c>
      <c r="Z126">
        <f t="shared" ca="1" si="38"/>
        <v>0.49531754437236375</v>
      </c>
      <c r="AA126">
        <f t="shared" ca="1" si="39"/>
        <v>-0.57654523019874093</v>
      </c>
      <c r="AB126">
        <f t="shared" ca="1" si="40"/>
        <v>162.21010000000001</v>
      </c>
    </row>
    <row r="127" spans="1:28" x14ac:dyDescent="0.25">
      <c r="A127" s="20">
        <f t="shared" ca="1" si="20"/>
        <v>45474</v>
      </c>
      <c r="B127" vm="370">
        <f ca="1"/>
        <v>45475</v>
      </c>
      <c r="C127" vm="371">
        <f ca="1"/>
        <v>163.9</v>
      </c>
      <c r="D127" vm="372">
        <f ca="1"/>
        <v>5449219</v>
      </c>
      <c r="E127">
        <f t="shared" ca="1" si="21"/>
        <v>893126994.10000002</v>
      </c>
      <c r="F127">
        <f ca="1">SUM($E$2:E127)/SUM($D$2:D127)</f>
        <v>159.67083833283039</v>
      </c>
      <c r="G127">
        <f ca="1">_xlfn.STDEV.P($C$2:C127)</f>
        <v>5.5758213005675614</v>
      </c>
      <c r="H127">
        <f t="shared" ca="1" si="22"/>
        <v>165.24665963339794</v>
      </c>
      <c r="I127">
        <f t="shared" ca="1" si="23"/>
        <v>154.09501703226283</v>
      </c>
      <c r="J127">
        <f t="shared" ca="1" si="32"/>
        <v>166.73499999999996</v>
      </c>
      <c r="K127">
        <f t="shared" ca="1" si="33"/>
        <v>1.5418188165792657</v>
      </c>
      <c r="L127">
        <f t="shared" ca="1" si="34"/>
        <v>169.81863763315849</v>
      </c>
      <c r="M127">
        <f t="shared" ca="1" si="35"/>
        <v>163.65136236684143</v>
      </c>
      <c r="N127">
        <f t="shared" ca="1" si="24"/>
        <v>1.1800000000000068</v>
      </c>
      <c r="O127">
        <f t="shared" ca="1" si="25"/>
        <v>1.1800000000000068</v>
      </c>
      <c r="P127">
        <f t="shared" ca="1" si="26"/>
        <v>0</v>
      </c>
      <c r="Q127">
        <f t="shared" ca="1" si="30"/>
        <v>0.47306511603981188</v>
      </c>
      <c r="R127">
        <f t="shared" ca="1" si="31"/>
        <v>0.62705286347180123</v>
      </c>
      <c r="S127">
        <f t="shared" ca="1" si="28"/>
        <v>0.75442621124572184</v>
      </c>
      <c r="T127">
        <f t="shared" ca="1" si="29"/>
        <v>43.001307573377233</v>
      </c>
      <c r="U127">
        <f>70</f>
        <v>70</v>
      </c>
      <c r="V127">
        <f>30</f>
        <v>30</v>
      </c>
      <c r="W127">
        <f t="shared" ca="1" si="27"/>
        <v>165.85094032235847</v>
      </c>
      <c r="X127">
        <f t="shared" ca="1" si="37"/>
        <v>165.93216800818485</v>
      </c>
      <c r="Y127">
        <f t="shared" ca="1" si="36"/>
        <v>-0.2364254328194022</v>
      </c>
      <c r="Z127">
        <f t="shared" ca="1" si="38"/>
        <v>0.34896894893401054</v>
      </c>
      <c r="AA127">
        <f t="shared" ca="1" si="39"/>
        <v>-0.58539438175341274</v>
      </c>
      <c r="AB127">
        <f t="shared" ca="1" si="40"/>
        <v>162.25790000000001</v>
      </c>
    </row>
    <row r="128" spans="1:28" x14ac:dyDescent="0.25">
      <c r="A128" s="20">
        <f t="shared" ca="1" si="20"/>
        <v>45474</v>
      </c>
      <c r="B128" vm="373">
        <f ca="1"/>
        <v>45476</v>
      </c>
      <c r="C128" vm="374">
        <f ca="1"/>
        <v>163.83000000000001</v>
      </c>
      <c r="D128" vm="375">
        <f ca="1"/>
        <v>2980461</v>
      </c>
      <c r="E128">
        <f t="shared" ca="1" si="21"/>
        <v>488288925.63000005</v>
      </c>
      <c r="F128">
        <f ca="1">SUM($E$2:E128)/SUM($D$2:D128)</f>
        <v>159.68569988120612</v>
      </c>
      <c r="G128">
        <f ca="1">_xlfn.STDEV.P($C$2:C128)</f>
        <v>5.5627729866395406</v>
      </c>
      <c r="H128">
        <f t="shared" ca="1" si="22"/>
        <v>165.24847286784566</v>
      </c>
      <c r="I128">
        <f t="shared" ca="1" si="23"/>
        <v>154.12292689456658</v>
      </c>
      <c r="J128">
        <f t="shared" ca="1" si="32"/>
        <v>166.57599999999996</v>
      </c>
      <c r="K128">
        <f t="shared" ca="1" si="33"/>
        <v>1.6705605740525951</v>
      </c>
      <c r="L128">
        <f t="shared" ca="1" si="34"/>
        <v>169.91712114810517</v>
      </c>
      <c r="M128">
        <f t="shared" ca="1" si="35"/>
        <v>163.23487885189476</v>
      </c>
      <c r="N128">
        <f t="shared" ca="1" si="24"/>
        <v>-6.9999999999993179E-2</v>
      </c>
      <c r="O128">
        <f t="shared" ca="1" si="25"/>
        <v>0</v>
      </c>
      <c r="P128">
        <f t="shared" ca="1" si="26"/>
        <v>6.9999999999993179E-2</v>
      </c>
      <c r="Q128">
        <f t="shared" ca="1" si="30"/>
        <v>0.43927475060839677</v>
      </c>
      <c r="R128">
        <f t="shared" ca="1" si="31"/>
        <v>0.58726337322381494</v>
      </c>
      <c r="S128">
        <f t="shared" ca="1" si="28"/>
        <v>0.74800297555928541</v>
      </c>
      <c r="T128">
        <f t="shared" ca="1" si="29"/>
        <v>42.791859397147583</v>
      </c>
      <c r="U128">
        <f>70</f>
        <v>70</v>
      </c>
      <c r="V128">
        <f>30</f>
        <v>30</v>
      </c>
      <c r="W128">
        <f t="shared" ca="1" si="27"/>
        <v>165.54002642661101</v>
      </c>
      <c r="X128">
        <f t="shared" ca="1" si="37"/>
        <v>165.77645185943041</v>
      </c>
      <c r="Y128">
        <f t="shared" ca="1" si="36"/>
        <v>-0.24523933222624805</v>
      </c>
      <c r="Z128">
        <f t="shared" ca="1" si="38"/>
        <v>0.23012729270195881</v>
      </c>
      <c r="AA128">
        <f t="shared" ca="1" si="39"/>
        <v>-0.47536662492820686</v>
      </c>
      <c r="AB128">
        <f t="shared" ca="1" si="40"/>
        <v>162.30980000000002</v>
      </c>
    </row>
    <row r="129" spans="1:28" x14ac:dyDescent="0.25">
      <c r="A129" s="20">
        <f t="shared" ca="1" si="20"/>
        <v>45474</v>
      </c>
      <c r="B129" vm="376">
        <f ca="1"/>
        <v>45478</v>
      </c>
      <c r="C129" vm="377">
        <f ca="1"/>
        <v>165.21</v>
      </c>
      <c r="D129" vm="378">
        <f ca="1"/>
        <v>6509248</v>
      </c>
      <c r="E129">
        <f t="shared" ca="1" si="21"/>
        <v>1075392862.0800002</v>
      </c>
      <c r="F129">
        <f ca="1">SUM($E$2:E129)/SUM($D$2:D129)</f>
        <v>159.72847654490741</v>
      </c>
      <c r="G129">
        <f ca="1">_xlfn.STDEV.P($C$2:C129)</f>
        <v>5.5579070613046069</v>
      </c>
      <c r="H129">
        <f t="shared" ca="1" si="22"/>
        <v>165.28638360621201</v>
      </c>
      <c r="I129">
        <f t="shared" ca="1" si="23"/>
        <v>154.1705694836028</v>
      </c>
      <c r="J129">
        <f t="shared" ca="1" si="32"/>
        <v>166.53399999999999</v>
      </c>
      <c r="K129">
        <f t="shared" ca="1" si="33"/>
        <v>1.6948634473795066</v>
      </c>
      <c r="L129">
        <f t="shared" ca="1" si="34"/>
        <v>169.923726894759</v>
      </c>
      <c r="M129">
        <f t="shared" ca="1" si="35"/>
        <v>163.14427310524098</v>
      </c>
      <c r="N129">
        <f t="shared" ca="1" si="24"/>
        <v>1.3799999999999955</v>
      </c>
      <c r="O129">
        <f t="shared" ca="1" si="25"/>
        <v>1.3799999999999955</v>
      </c>
      <c r="P129">
        <f t="shared" ca="1" si="26"/>
        <v>0</v>
      </c>
      <c r="Q129">
        <f t="shared" ca="1" si="30"/>
        <v>0.50646941127922529</v>
      </c>
      <c r="R129">
        <f t="shared" ca="1" si="31"/>
        <v>0.5453159894221139</v>
      </c>
      <c r="S129">
        <f t="shared" ca="1" si="28"/>
        <v>0.92876317787040252</v>
      </c>
      <c r="T129">
        <f t="shared" ca="1" si="29"/>
        <v>48.15330303515406</v>
      </c>
      <c r="U129">
        <f>70</f>
        <v>70</v>
      </c>
      <c r="V129">
        <f>30</f>
        <v>30</v>
      </c>
      <c r="W129">
        <f t="shared" ca="1" si="27"/>
        <v>165.48925313020931</v>
      </c>
      <c r="X129">
        <f t="shared" ca="1" si="37"/>
        <v>165.73449246243555</v>
      </c>
      <c r="Y129">
        <f t="shared" ca="1" si="36"/>
        <v>-0.14484863424328864</v>
      </c>
      <c r="Z129">
        <f t="shared" ca="1" si="38"/>
        <v>0.15513210731290933</v>
      </c>
      <c r="AA129">
        <f t="shared" ca="1" si="39"/>
        <v>-0.29998074155619797</v>
      </c>
      <c r="AB129">
        <f t="shared" ca="1" si="40"/>
        <v>162.3877</v>
      </c>
    </row>
    <row r="130" spans="1:28" x14ac:dyDescent="0.25">
      <c r="A130" s="20">
        <f t="shared" ca="1" si="20"/>
        <v>45481</v>
      </c>
      <c r="B130" vm="379">
        <f ca="1"/>
        <v>45481</v>
      </c>
      <c r="C130" vm="380">
        <f ca="1"/>
        <v>166.52</v>
      </c>
      <c r="D130" vm="381">
        <f ca="1"/>
        <v>5144458</v>
      </c>
      <c r="E130">
        <f t="shared" ca="1" si="21"/>
        <v>856655146.16000009</v>
      </c>
      <c r="F130">
        <f ca="1">SUM($E$2:E130)/SUM($D$2:D130)</f>
        <v>159.76978661712801</v>
      </c>
      <c r="G130">
        <f ca="1">_xlfn.STDEV.P($C$2:C130)</f>
        <v>5.5628903225806301</v>
      </c>
      <c r="H130">
        <f t="shared" ca="1" si="22"/>
        <v>165.33267693970865</v>
      </c>
      <c r="I130">
        <f t="shared" ca="1" si="23"/>
        <v>154.20689629454736</v>
      </c>
      <c r="J130">
        <f t="shared" ca="1" si="32"/>
        <v>166.43649999999997</v>
      </c>
      <c r="K130">
        <f t="shared" ca="1" si="33"/>
        <v>1.6325739283655532</v>
      </c>
      <c r="L130">
        <f t="shared" ca="1" si="34"/>
        <v>169.70164785673109</v>
      </c>
      <c r="M130">
        <f t="shared" ca="1" si="35"/>
        <v>163.17135214326885</v>
      </c>
      <c r="N130">
        <f t="shared" ca="1" si="24"/>
        <v>1.3100000000000023</v>
      </c>
      <c r="O130">
        <f t="shared" ca="1" si="25"/>
        <v>1.3100000000000023</v>
      </c>
      <c r="P130">
        <f t="shared" ca="1" si="26"/>
        <v>0</v>
      </c>
      <c r="Q130">
        <f t="shared" ca="1" si="30"/>
        <v>0.56386445333070934</v>
      </c>
      <c r="R130">
        <f t="shared" ca="1" si="31"/>
        <v>0.50636484732053433</v>
      </c>
      <c r="S130">
        <f t="shared" ca="1" si="28"/>
        <v>1.1135537079922477</v>
      </c>
      <c r="T130">
        <f t="shared" ca="1" si="29"/>
        <v>52.686321799224984</v>
      </c>
      <c r="U130">
        <f>70</f>
        <v>70</v>
      </c>
      <c r="V130">
        <f>30</f>
        <v>30</v>
      </c>
      <c r="W130">
        <f t="shared" ca="1" si="27"/>
        <v>165.64782957171556</v>
      </c>
      <c r="X130">
        <f t="shared" ca="1" si="37"/>
        <v>165.79267820595885</v>
      </c>
      <c r="Y130">
        <f t="shared" ca="1" si="36"/>
        <v>-0.13314824540486825</v>
      </c>
      <c r="Z130">
        <f t="shared" ca="1" si="38"/>
        <v>9.7476036769353819E-2</v>
      </c>
      <c r="AA130">
        <f t="shared" ca="1" si="39"/>
        <v>-0.23062428217422207</v>
      </c>
      <c r="AB130">
        <f t="shared" ca="1" si="40"/>
        <v>162.48180000000002</v>
      </c>
    </row>
    <row r="131" spans="1:28" x14ac:dyDescent="0.25">
      <c r="A131" s="20">
        <f t="shared" ref="A131:A194" ca="1" si="41">B131 - WEEKDAY(B131, 2) + 1</f>
        <v>45481</v>
      </c>
      <c r="B131" vm="382">
        <f ca="1"/>
        <v>45482</v>
      </c>
      <c r="C131" vm="383">
        <f ca="1"/>
        <v>165.66</v>
      </c>
      <c r="D131" vm="384">
        <f ca="1"/>
        <v>4393179</v>
      </c>
      <c r="E131">
        <f t="shared" ref="E131:E194" ca="1" si="42">C131*D131</f>
        <v>727774033.13999999</v>
      </c>
      <c r="F131">
        <f ca="1">SUM($E$2:E131)/SUM($D$2:D131)</f>
        <v>159.80022412059907</v>
      </c>
      <c r="G131">
        <f ca="1">_xlfn.STDEV.P($C$2:C131)</f>
        <v>5.5606472575660586</v>
      </c>
      <c r="H131">
        <f t="shared" ref="H131:H194" ca="1" si="43">F131 + G131</f>
        <v>165.36087137816511</v>
      </c>
      <c r="I131">
        <f t="shared" ref="I131:I194" ca="1" si="44">F131 - G131</f>
        <v>154.23957686303302</v>
      </c>
      <c r="J131">
        <f t="shared" ca="1" si="32"/>
        <v>166.3665</v>
      </c>
      <c r="K131">
        <f t="shared" ca="1" si="33"/>
        <v>1.6344459064320909</v>
      </c>
      <c r="L131">
        <f t="shared" ca="1" si="34"/>
        <v>169.63539181286419</v>
      </c>
      <c r="M131">
        <f t="shared" ca="1" si="35"/>
        <v>163.09760818713582</v>
      </c>
      <c r="N131">
        <f t="shared" ca="1" si="24"/>
        <v>-0.86000000000001364</v>
      </c>
      <c r="O131">
        <f t="shared" ca="1" si="25"/>
        <v>0</v>
      </c>
      <c r="P131">
        <f t="shared" ca="1" si="26"/>
        <v>0.86000000000001364</v>
      </c>
      <c r="Q131">
        <f t="shared" ca="1" si="30"/>
        <v>0.5235884209499444</v>
      </c>
      <c r="R131">
        <f t="shared" ca="1" si="31"/>
        <v>0.53162450108335435</v>
      </c>
      <c r="S131">
        <f t="shared" ca="1" si="28"/>
        <v>0.98488391690557175</v>
      </c>
      <c r="T131">
        <f t="shared" ca="1" si="29"/>
        <v>49.619219971362504</v>
      </c>
      <c r="U131">
        <f>70</f>
        <v>70</v>
      </c>
      <c r="V131">
        <f>30</f>
        <v>30</v>
      </c>
      <c r="W131">
        <f t="shared" ca="1" si="27"/>
        <v>165.64970194529778</v>
      </c>
      <c r="X131">
        <f t="shared" ca="1" si="37"/>
        <v>165.78285019070265</v>
      </c>
      <c r="Y131">
        <f t="shared" ca="1" si="36"/>
        <v>-3.1523744230526063E-2</v>
      </c>
      <c r="Z131">
        <f t="shared" ca="1" si="38"/>
        <v>7.1676080569377854E-2</v>
      </c>
      <c r="AA131">
        <f t="shared" ca="1" si="39"/>
        <v>-0.10319982479990392</v>
      </c>
      <c r="AB131">
        <f t="shared" ca="1" si="40"/>
        <v>162.57570000000001</v>
      </c>
    </row>
    <row r="132" spans="1:28" x14ac:dyDescent="0.25">
      <c r="A132" s="20">
        <f t="shared" ca="1" si="41"/>
        <v>45481</v>
      </c>
      <c r="B132" vm="385">
        <f ca="1"/>
        <v>45483</v>
      </c>
      <c r="C132" vm="386">
        <f ca="1"/>
        <v>166.8</v>
      </c>
      <c r="D132" vm="387">
        <f ca="1"/>
        <v>5037097</v>
      </c>
      <c r="E132">
        <f t="shared" ca="1" si="42"/>
        <v>840187779.60000002</v>
      </c>
      <c r="F132">
        <f ca="1">SUM($E$2:E132)/SUM($D$2:D132)</f>
        <v>159.84145266490771</v>
      </c>
      <c r="G132">
        <f ca="1">_xlfn.STDEV.P($C$2:C132)</f>
        <v>5.5671716379699783</v>
      </c>
      <c r="H132">
        <f t="shared" ca="1" si="43"/>
        <v>165.40862430287768</v>
      </c>
      <c r="I132">
        <f t="shared" ca="1" si="44"/>
        <v>154.27428102693773</v>
      </c>
      <c r="J132">
        <f t="shared" ca="1" si="32"/>
        <v>166.339</v>
      </c>
      <c r="K132">
        <f t="shared" ca="1" si="33"/>
        <v>1.6216038194850211</v>
      </c>
      <c r="L132">
        <f t="shared" ca="1" si="34"/>
        <v>169.58220763897003</v>
      </c>
      <c r="M132">
        <f t="shared" ca="1" si="35"/>
        <v>163.09579236102996</v>
      </c>
      <c r="N132">
        <f t="shared" ref="N132:N195" ca="1" si="45">C132-C131</f>
        <v>1.1400000000000148</v>
      </c>
      <c r="O132">
        <f t="shared" ref="O132:O195" ca="1" si="46">MAX(N132,0)</f>
        <v>1.1400000000000148</v>
      </c>
      <c r="P132">
        <f t="shared" ref="P132:P195" ca="1" si="47">MAX(-N132,0)</f>
        <v>0</v>
      </c>
      <c r="Q132">
        <f t="shared" ca="1" si="30"/>
        <v>0.56761781945352086</v>
      </c>
      <c r="R132">
        <f t="shared" ca="1" si="31"/>
        <v>0.49365132243454335</v>
      </c>
      <c r="S132">
        <f t="shared" ca="1" si="28"/>
        <v>1.1498355087031804</v>
      </c>
      <c r="T132">
        <f t="shared" ca="1" si="29"/>
        <v>53.484813328661687</v>
      </c>
      <c r="U132">
        <f>70</f>
        <v>70</v>
      </c>
      <c r="V132">
        <f>30</f>
        <v>30</v>
      </c>
      <c r="W132">
        <f t="shared" ca="1" si="27"/>
        <v>165.82667087679044</v>
      </c>
      <c r="X132">
        <f t="shared" ca="1" si="37"/>
        <v>165.85819462102097</v>
      </c>
      <c r="Y132">
        <f t="shared" ca="1" si="36"/>
        <v>-5.2056984116944705E-2</v>
      </c>
      <c r="Z132">
        <f t="shared" ca="1" si="38"/>
        <v>4.6929467632113343E-2</v>
      </c>
      <c r="AA132">
        <f t="shared" ca="1" si="39"/>
        <v>-9.8986451749058041E-2</v>
      </c>
      <c r="AB132">
        <f t="shared" ca="1" si="40"/>
        <v>162.6874</v>
      </c>
    </row>
    <row r="133" spans="1:28" x14ac:dyDescent="0.25">
      <c r="A133" s="20">
        <f t="shared" ca="1" si="41"/>
        <v>45481</v>
      </c>
      <c r="B133" vm="388">
        <f ca="1"/>
        <v>45484</v>
      </c>
      <c r="C133" vm="389">
        <f ca="1"/>
        <v>165.54</v>
      </c>
      <c r="D133" vm="390">
        <f ca="1"/>
        <v>5833061</v>
      </c>
      <c r="E133">
        <f t="shared" ca="1" si="42"/>
        <v>965604917.93999994</v>
      </c>
      <c r="F133">
        <f ca="1">SUM($E$2:E133)/SUM($D$2:D133)</f>
        <v>159.88005753422632</v>
      </c>
      <c r="G133">
        <f ca="1">_xlfn.STDEV.P($C$2:C133)</f>
        <v>5.5634689202661756</v>
      </c>
      <c r="H133">
        <f t="shared" ca="1" si="43"/>
        <v>165.44352645449251</v>
      </c>
      <c r="I133">
        <f t="shared" ca="1" si="44"/>
        <v>154.31658861396014</v>
      </c>
      <c r="J133">
        <f t="shared" ca="1" si="32"/>
        <v>166.24199999999999</v>
      </c>
      <c r="K133">
        <f t="shared" ca="1" si="33"/>
        <v>1.6077234640453859</v>
      </c>
      <c r="L133">
        <f t="shared" ca="1" si="34"/>
        <v>169.45744692809077</v>
      </c>
      <c r="M133">
        <f t="shared" ca="1" si="35"/>
        <v>163.02655307190921</v>
      </c>
      <c r="N133">
        <f t="shared" ca="1" si="45"/>
        <v>-1.2600000000000193</v>
      </c>
      <c r="O133">
        <f t="shared" ca="1" si="46"/>
        <v>0</v>
      </c>
      <c r="P133">
        <f t="shared" ca="1" si="47"/>
        <v>1.2600000000000193</v>
      </c>
      <c r="Q133">
        <f t="shared" ca="1" si="30"/>
        <v>0.52707368949255506</v>
      </c>
      <c r="R133">
        <f t="shared" ca="1" si="31"/>
        <v>0.5483905136892202</v>
      </c>
      <c r="S133">
        <f t="shared" ca="1" si="28"/>
        <v>0.96112838631496522</v>
      </c>
      <c r="T133">
        <f t="shared" ca="1" si="29"/>
        <v>49.008947757926343</v>
      </c>
      <c r="U133">
        <f>70</f>
        <v>70</v>
      </c>
      <c r="V133">
        <f>30</f>
        <v>30</v>
      </c>
      <c r="W133">
        <f t="shared" ca="1" si="27"/>
        <v>165.78256766497654</v>
      </c>
      <c r="X133">
        <f t="shared" ca="1" si="37"/>
        <v>165.83462464909348</v>
      </c>
      <c r="Y133">
        <f t="shared" ca="1" si="36"/>
        <v>1.7805087016085963E-2</v>
      </c>
      <c r="Z133">
        <f t="shared" ca="1" si="38"/>
        <v>4.110459150890787E-2</v>
      </c>
      <c r="AA133">
        <f t="shared" ca="1" si="39"/>
        <v>-2.3299504492821907E-2</v>
      </c>
      <c r="AB133">
        <f t="shared" ca="1" si="40"/>
        <v>162.77270000000001</v>
      </c>
    </row>
    <row r="134" spans="1:28" x14ac:dyDescent="0.25">
      <c r="A134" s="20">
        <f t="shared" ca="1" si="41"/>
        <v>45481</v>
      </c>
      <c r="B134" vm="391">
        <f ca="1"/>
        <v>45485</v>
      </c>
      <c r="C134" vm="392">
        <f ca="1"/>
        <v>166.61</v>
      </c>
      <c r="D134" vm="393">
        <f ca="1"/>
        <v>4684642</v>
      </c>
      <c r="E134">
        <f t="shared" ca="1" si="42"/>
        <v>780508203.62</v>
      </c>
      <c r="F134">
        <f ca="1">SUM($E$2:E134)/SUM($D$2:D134)</f>
        <v>159.91647524896968</v>
      </c>
      <c r="G134">
        <f ca="1">_xlfn.STDEV.P($C$2:C134)</f>
        <v>5.5675547063213129</v>
      </c>
      <c r="H134">
        <f t="shared" ca="1" si="43"/>
        <v>165.48402995529099</v>
      </c>
      <c r="I134">
        <f t="shared" ca="1" si="44"/>
        <v>154.34892054264836</v>
      </c>
      <c r="J134">
        <f t="shared" ca="1" si="32"/>
        <v>166.3135</v>
      </c>
      <c r="K134">
        <f t="shared" ca="1" si="33"/>
        <v>1.5897046233416052</v>
      </c>
      <c r="L134">
        <f t="shared" ca="1" si="34"/>
        <v>169.49290924668321</v>
      </c>
      <c r="M134">
        <f t="shared" ca="1" si="35"/>
        <v>163.1340907533168</v>
      </c>
      <c r="N134">
        <f t="shared" ca="1" si="45"/>
        <v>1.0700000000000216</v>
      </c>
      <c r="O134">
        <f t="shared" ca="1" si="46"/>
        <v>1.0700000000000216</v>
      </c>
      <c r="P134">
        <f t="shared" ca="1" si="47"/>
        <v>0</v>
      </c>
      <c r="Q134">
        <f t="shared" ca="1" si="30"/>
        <v>0.56585414024308833</v>
      </c>
      <c r="R134">
        <f t="shared" ca="1" si="31"/>
        <v>0.50921976271141878</v>
      </c>
      <c r="S134">
        <f t="shared" ca="1" si="28"/>
        <v>1.111217948867717</v>
      </c>
      <c r="T134">
        <f t="shared" ca="1" si="29"/>
        <v>52.633976016719757</v>
      </c>
      <c r="U134">
        <f>70</f>
        <v>70</v>
      </c>
      <c r="V134">
        <f>30</f>
        <v>30</v>
      </c>
      <c r="W134">
        <f t="shared" ca="1" si="27"/>
        <v>165.90986494728784</v>
      </c>
      <c r="X134">
        <f t="shared" ca="1" si="37"/>
        <v>165.89205986027176</v>
      </c>
      <c r="Y134">
        <f t="shared" ca="1" si="36"/>
        <v>-8.9599900979578706E-2</v>
      </c>
      <c r="Z134">
        <f t="shared" ca="1" si="38"/>
        <v>1.4963693011210557E-2</v>
      </c>
      <c r="AA134">
        <f t="shared" ca="1" si="39"/>
        <v>-0.10456359399078927</v>
      </c>
      <c r="AB134">
        <f t="shared" ca="1" si="40"/>
        <v>162.86369999999999</v>
      </c>
    </row>
    <row r="135" spans="1:28" x14ac:dyDescent="0.25">
      <c r="A135" s="20">
        <f t="shared" ca="1" si="41"/>
        <v>45488</v>
      </c>
      <c r="B135" vm="394">
        <f ca="1"/>
        <v>45488</v>
      </c>
      <c r="C135" vm="395">
        <f ca="1"/>
        <v>164.58</v>
      </c>
      <c r="D135" vm="396">
        <f ca="1"/>
        <v>5752513</v>
      </c>
      <c r="E135">
        <f t="shared" ca="1" si="42"/>
        <v>946748589.54000008</v>
      </c>
      <c r="F135">
        <f ca="1">SUM($E$2:E135)/SUM($D$2:D135)</f>
        <v>159.94725893116973</v>
      </c>
      <c r="G135">
        <f ca="1">_xlfn.STDEV.P($C$2:C135)</f>
        <v>5.5575742299142474</v>
      </c>
      <c r="H135">
        <f t="shared" ca="1" si="43"/>
        <v>165.50483316108398</v>
      </c>
      <c r="I135">
        <f t="shared" ca="1" si="44"/>
        <v>154.38968470125548</v>
      </c>
      <c r="J135">
        <f t="shared" ca="1" si="32"/>
        <v>166.22200000000004</v>
      </c>
      <c r="K135">
        <f t="shared" ca="1" si="33"/>
        <v>1.635853551545875</v>
      </c>
      <c r="L135">
        <f t="shared" ca="1" si="34"/>
        <v>169.49370710309179</v>
      </c>
      <c r="M135">
        <f t="shared" ca="1" si="35"/>
        <v>162.95029289690828</v>
      </c>
      <c r="N135">
        <f t="shared" ca="1" si="45"/>
        <v>-2.0300000000000011</v>
      </c>
      <c r="O135">
        <f t="shared" ca="1" si="46"/>
        <v>0</v>
      </c>
      <c r="P135">
        <f t="shared" ca="1" si="47"/>
        <v>2.0300000000000011</v>
      </c>
      <c r="Q135">
        <f t="shared" ca="1" si="30"/>
        <v>0.52543598736858199</v>
      </c>
      <c r="R135">
        <f t="shared" ca="1" si="31"/>
        <v>0.61784692251774609</v>
      </c>
      <c r="S135">
        <f t="shared" ca="1" si="28"/>
        <v>0.85043069443060981</v>
      </c>
      <c r="T135">
        <f t="shared" ca="1" si="29"/>
        <v>45.958527222349879</v>
      </c>
      <c r="U135">
        <f>70</f>
        <v>70</v>
      </c>
      <c r="V135">
        <f>30</f>
        <v>30</v>
      </c>
      <c r="W135">
        <f t="shared" ca="1" si="27"/>
        <v>165.70527034001279</v>
      </c>
      <c r="X135">
        <f t="shared" ca="1" si="37"/>
        <v>165.79487024099237</v>
      </c>
      <c r="Y135">
        <f t="shared" ca="1" si="36"/>
        <v>1.6331802453805722E-2</v>
      </c>
      <c r="Z135">
        <f t="shared" ca="1" si="38"/>
        <v>1.5237314899729591E-2</v>
      </c>
      <c r="AA135">
        <f t="shared" ca="1" si="39"/>
        <v>1.0944875540761304E-3</v>
      </c>
      <c r="AB135">
        <f t="shared" ca="1" si="40"/>
        <v>162.92440000000002</v>
      </c>
    </row>
    <row r="136" spans="1:28" x14ac:dyDescent="0.25">
      <c r="A136" s="20">
        <f t="shared" ca="1" si="41"/>
        <v>45488</v>
      </c>
      <c r="B136" vm="397">
        <f ca="1"/>
        <v>45489</v>
      </c>
      <c r="C136" vm="398">
        <f ca="1"/>
        <v>166.95</v>
      </c>
      <c r="D136" vm="399">
        <f ca="1"/>
        <v>6378312</v>
      </c>
      <c r="E136">
        <f t="shared" ca="1" si="42"/>
        <v>1064859188.4</v>
      </c>
      <c r="F136">
        <f ca="1">SUM($E$2:E136)/SUM($D$2:D136)</f>
        <v>159.9981399096369</v>
      </c>
      <c r="G136">
        <f ca="1">_xlfn.STDEV.P($C$2:C136)</f>
        <v>5.5638269802957279</v>
      </c>
      <c r="H136">
        <f t="shared" ca="1" si="43"/>
        <v>165.56196688993262</v>
      </c>
      <c r="I136">
        <f t="shared" ca="1" si="44"/>
        <v>154.43431292934119</v>
      </c>
      <c r="J136">
        <f t="shared" ca="1" si="32"/>
        <v>166.23</v>
      </c>
      <c r="K136">
        <f t="shared" ca="1" si="33"/>
        <v>1.6391653845462715</v>
      </c>
      <c r="L136">
        <f t="shared" ca="1" si="34"/>
        <v>169.50833076909254</v>
      </c>
      <c r="M136">
        <f t="shared" ca="1" si="35"/>
        <v>162.95166923090744</v>
      </c>
      <c r="N136">
        <f t="shared" ca="1" si="45"/>
        <v>2.3699999999999761</v>
      </c>
      <c r="O136">
        <f t="shared" ca="1" si="46"/>
        <v>2.3699999999999761</v>
      </c>
      <c r="P136">
        <f t="shared" ca="1" si="47"/>
        <v>0</v>
      </c>
      <c r="Q136">
        <f t="shared" ca="1" si="30"/>
        <v>0.65719055969939588</v>
      </c>
      <c r="R136">
        <f t="shared" ca="1" si="31"/>
        <v>0.57371499948076432</v>
      </c>
      <c r="S136">
        <f t="shared" ca="1" si="28"/>
        <v>1.1455000484459712</v>
      </c>
      <c r="T136">
        <f t="shared" ca="1" si="29"/>
        <v>53.390819043592181</v>
      </c>
      <c r="U136">
        <f>70</f>
        <v>70</v>
      </c>
      <c r="V136">
        <f>30</f>
        <v>30</v>
      </c>
      <c r="W136">
        <f t="shared" ca="1" si="27"/>
        <v>165.89676721078007</v>
      </c>
      <c r="X136">
        <f t="shared" ca="1" si="37"/>
        <v>165.88043540832626</v>
      </c>
      <c r="Y136">
        <f t="shared" ca="1" si="36"/>
        <v>0.29777308802178482</v>
      </c>
      <c r="Z136">
        <f t="shared" ca="1" si="38"/>
        <v>7.1744469524140639E-2</v>
      </c>
      <c r="AA136">
        <f t="shared" ca="1" si="39"/>
        <v>0.22602861849764416</v>
      </c>
      <c r="AB136">
        <f t="shared" ca="1" si="40"/>
        <v>162.98990000000003</v>
      </c>
    </row>
    <row r="137" spans="1:28" x14ac:dyDescent="0.25">
      <c r="A137" s="20">
        <f t="shared" ca="1" si="41"/>
        <v>45488</v>
      </c>
      <c r="B137" vm="400">
        <f ca="1"/>
        <v>45490</v>
      </c>
      <c r="C137" vm="401">
        <f ca="1"/>
        <v>169.44</v>
      </c>
      <c r="D137" vm="402">
        <f ca="1"/>
        <v>7982328</v>
      </c>
      <c r="E137">
        <f t="shared" ca="1" si="42"/>
        <v>1352525656.3199999</v>
      </c>
      <c r="F137">
        <f ca="1">SUM($E$2:E137)/SUM($D$2:D137)</f>
        <v>160.08322187772566</v>
      </c>
      <c r="G137">
        <f ca="1">_xlfn.STDEV.P($C$2:C137)</f>
        <v>5.5942296173731068</v>
      </c>
      <c r="H137">
        <f t="shared" ca="1" si="43"/>
        <v>165.67745149509878</v>
      </c>
      <c r="I137">
        <f t="shared" ca="1" si="44"/>
        <v>154.48899226035255</v>
      </c>
      <c r="J137">
        <f t="shared" ca="1" si="32"/>
        <v>166.32700000000003</v>
      </c>
      <c r="K137">
        <f t="shared" ca="1" si="33"/>
        <v>1.7704210025628868</v>
      </c>
      <c r="L137">
        <f t="shared" ca="1" si="34"/>
        <v>169.86784200512579</v>
      </c>
      <c r="M137">
        <f t="shared" ca="1" si="35"/>
        <v>162.78615799487426</v>
      </c>
      <c r="N137">
        <f t="shared" ca="1" si="45"/>
        <v>2.4900000000000091</v>
      </c>
      <c r="O137">
        <f t="shared" ca="1" si="46"/>
        <v>2.4900000000000091</v>
      </c>
      <c r="P137">
        <f t="shared" ca="1" si="47"/>
        <v>0</v>
      </c>
      <c r="Q137">
        <f t="shared" ca="1" si="30"/>
        <v>0.78810551972086818</v>
      </c>
      <c r="R137">
        <f t="shared" ca="1" si="31"/>
        <v>0.5327353566607097</v>
      </c>
      <c r="S137">
        <f t="shared" ca="1" si="28"/>
        <v>1.4793565132617985</v>
      </c>
      <c r="T137">
        <f t="shared" ca="1" si="29"/>
        <v>59.666954120913523</v>
      </c>
      <c r="U137">
        <f>70</f>
        <v>70</v>
      </c>
      <c r="V137">
        <f>30</f>
        <v>30</v>
      </c>
      <c r="W137">
        <f t="shared" ca="1" si="27"/>
        <v>166.44187994758315</v>
      </c>
      <c r="X137">
        <f t="shared" ca="1" si="37"/>
        <v>166.14410685956136</v>
      </c>
      <c r="Y137">
        <f t="shared" ca="1" si="36"/>
        <v>0.43511001445799025</v>
      </c>
      <c r="Z137">
        <f t="shared" ca="1" si="38"/>
        <v>0.14441757851091058</v>
      </c>
      <c r="AA137">
        <f t="shared" ca="1" si="39"/>
        <v>0.29069243594707966</v>
      </c>
      <c r="AB137">
        <f t="shared" ca="1" si="40"/>
        <v>163.07870000000003</v>
      </c>
    </row>
    <row r="138" spans="1:28" x14ac:dyDescent="0.25">
      <c r="A138" s="20">
        <f t="shared" ca="1" si="41"/>
        <v>45488</v>
      </c>
      <c r="B138" vm="403">
        <f ca="1"/>
        <v>45491</v>
      </c>
      <c r="C138" vm="404">
        <f ca="1"/>
        <v>168.44</v>
      </c>
      <c r="D138" vm="405">
        <f ca="1"/>
        <v>5926346</v>
      </c>
      <c r="E138">
        <f t="shared" ca="1" si="42"/>
        <v>998233720.24000001</v>
      </c>
      <c r="F138">
        <f ca="1">SUM($E$2:E138)/SUM($D$2:D138)</f>
        <v>160.13875862534235</v>
      </c>
      <c r="G138">
        <f ca="1">_xlfn.STDEV.P($C$2:C138)</f>
        <v>5.6126592858600244</v>
      </c>
      <c r="H138">
        <f t="shared" ca="1" si="43"/>
        <v>165.75141791120237</v>
      </c>
      <c r="I138">
        <f t="shared" ca="1" si="44"/>
        <v>154.52609933948233</v>
      </c>
      <c r="J138">
        <f t="shared" ca="1" si="32"/>
        <v>166.321</v>
      </c>
      <c r="K138">
        <f t="shared" ca="1" si="33"/>
        <v>1.7626412597367349</v>
      </c>
      <c r="L138">
        <f t="shared" ca="1" si="34"/>
        <v>169.84628251947348</v>
      </c>
      <c r="M138">
        <f t="shared" ca="1" si="35"/>
        <v>162.79571748052652</v>
      </c>
      <c r="N138">
        <f t="shared" ca="1" si="45"/>
        <v>-1</v>
      </c>
      <c r="O138">
        <f t="shared" ca="1" si="46"/>
        <v>0</v>
      </c>
      <c r="P138">
        <f t="shared" ca="1" si="47"/>
        <v>1</v>
      </c>
      <c r="Q138">
        <f t="shared" ca="1" si="30"/>
        <v>0.73181226831223467</v>
      </c>
      <c r="R138">
        <f t="shared" ca="1" si="31"/>
        <v>0.56611140261351622</v>
      </c>
      <c r="S138">
        <f t="shared" ca="1" si="28"/>
        <v>1.292700102724909</v>
      </c>
      <c r="T138">
        <f t="shared" ca="1" si="29"/>
        <v>56.383305482845977</v>
      </c>
      <c r="U138">
        <f>70</f>
        <v>70</v>
      </c>
      <c r="V138">
        <f>30</f>
        <v>30</v>
      </c>
      <c r="W138">
        <f t="shared" ca="1" si="27"/>
        <v>166.74928303257036</v>
      </c>
      <c r="X138">
        <f t="shared" ca="1" si="37"/>
        <v>166.31417301811237</v>
      </c>
      <c r="Y138">
        <f t="shared" ca="1" si="36"/>
        <v>0.49946105352387349</v>
      </c>
      <c r="Z138">
        <f t="shared" ca="1" si="38"/>
        <v>0.21542627351350319</v>
      </c>
      <c r="AA138">
        <f t="shared" ca="1" si="39"/>
        <v>0.2840347800103703</v>
      </c>
      <c r="AB138">
        <f t="shared" ca="1" si="40"/>
        <v>163.15280000000004</v>
      </c>
    </row>
    <row r="139" spans="1:28" x14ac:dyDescent="0.25">
      <c r="A139" s="20">
        <f t="shared" ca="1" si="41"/>
        <v>45488</v>
      </c>
      <c r="B139" vm="406">
        <f ca="1"/>
        <v>45492</v>
      </c>
      <c r="C139" vm="407">
        <f ca="1"/>
        <v>167.96</v>
      </c>
      <c r="D139" vm="408">
        <f ca="1"/>
        <v>6597090</v>
      </c>
      <c r="E139">
        <f t="shared" ca="1" si="42"/>
        <v>1108047236.4000001</v>
      </c>
      <c r="F139">
        <f ca="1">SUM($E$2:E139)/SUM($D$2:D139)</f>
        <v>160.19619428790577</v>
      </c>
      <c r="G139">
        <f ca="1">_xlfn.STDEV.P($C$2:C139)</f>
        <v>5.6256352797694937</v>
      </c>
      <c r="H139">
        <f t="shared" ca="1" si="43"/>
        <v>165.82182956767525</v>
      </c>
      <c r="I139">
        <f t="shared" ca="1" si="44"/>
        <v>154.57055900813629</v>
      </c>
      <c r="J139">
        <f t="shared" ca="1" si="32"/>
        <v>166.3355</v>
      </c>
      <c r="K139">
        <f t="shared" ca="1" si="33"/>
        <v>1.7754687298080767</v>
      </c>
      <c r="L139">
        <f t="shared" ca="1" si="34"/>
        <v>169.88643745961616</v>
      </c>
      <c r="M139">
        <f t="shared" ca="1" si="35"/>
        <v>162.78456254038383</v>
      </c>
      <c r="N139">
        <f t="shared" ca="1" si="45"/>
        <v>-0.47999999999998977</v>
      </c>
      <c r="O139">
        <f t="shared" ca="1" si="46"/>
        <v>0</v>
      </c>
      <c r="P139">
        <f t="shared" ca="1" si="47"/>
        <v>0.47999999999998977</v>
      </c>
      <c r="Q139">
        <f t="shared" ca="1" si="30"/>
        <v>0.67953996343278933</v>
      </c>
      <c r="R139">
        <f t="shared" ca="1" si="31"/>
        <v>0.55996058814112148</v>
      </c>
      <c r="S139">
        <f t="shared" ca="1" si="28"/>
        <v>1.2135496279990539</v>
      </c>
      <c r="T139">
        <f t="shared" ca="1" si="29"/>
        <v>54.823691895087372</v>
      </c>
      <c r="U139">
        <f>70</f>
        <v>70</v>
      </c>
      <c r="V139">
        <f>30</f>
        <v>30</v>
      </c>
      <c r="W139">
        <f t="shared" ca="1" si="27"/>
        <v>166.9355471814057</v>
      </c>
      <c r="X139">
        <f t="shared" ca="1" si="37"/>
        <v>166.43608612788182</v>
      </c>
      <c r="Y139">
        <f t="shared" ca="1" si="36"/>
        <v>0.56732057354957988</v>
      </c>
      <c r="Z139">
        <f t="shared" ca="1" si="38"/>
        <v>0.28580513352071851</v>
      </c>
      <c r="AA139">
        <f t="shared" ca="1" si="39"/>
        <v>0.28151544002886136</v>
      </c>
      <c r="AB139">
        <f t="shared" ca="1" si="40"/>
        <v>163.23020000000002</v>
      </c>
    </row>
    <row r="140" spans="1:28" x14ac:dyDescent="0.25">
      <c r="A140" s="20">
        <f t="shared" ca="1" si="41"/>
        <v>45495</v>
      </c>
      <c r="B140" vm="409">
        <f ca="1"/>
        <v>45495</v>
      </c>
      <c r="C140" vm="410">
        <f ca="1"/>
        <v>168.25</v>
      </c>
      <c r="D140" vm="411">
        <f ca="1"/>
        <v>6383031</v>
      </c>
      <c r="E140">
        <f t="shared" ca="1" si="42"/>
        <v>1073944965.75</v>
      </c>
      <c r="F140">
        <f ca="1">SUM($E$2:E140)/SUM($D$2:D140)</f>
        <v>160.25301501302914</v>
      </c>
      <c r="G140">
        <f ca="1">_xlfn.STDEV.P($C$2:C140)</f>
        <v>5.6406042360931936</v>
      </c>
      <c r="H140">
        <f t="shared" ca="1" si="43"/>
        <v>165.89361924912234</v>
      </c>
      <c r="I140">
        <f t="shared" ca="1" si="44"/>
        <v>154.61241077693595</v>
      </c>
      <c r="J140">
        <f t="shared" ca="1" si="32"/>
        <v>166.33499999999998</v>
      </c>
      <c r="K140">
        <f t="shared" ca="1" si="33"/>
        <v>1.7748995523839155</v>
      </c>
      <c r="L140">
        <f t="shared" ca="1" si="34"/>
        <v>169.88479910476781</v>
      </c>
      <c r="M140">
        <f t="shared" ca="1" si="35"/>
        <v>162.78520089523215</v>
      </c>
      <c r="N140">
        <f t="shared" ca="1" si="45"/>
        <v>0.28999999999999204</v>
      </c>
      <c r="O140">
        <f t="shared" ca="1" si="46"/>
        <v>0.28999999999999204</v>
      </c>
      <c r="P140">
        <f t="shared" ca="1" si="47"/>
        <v>0</v>
      </c>
      <c r="Q140">
        <f t="shared" ca="1" si="30"/>
        <v>0.65171568033044669</v>
      </c>
      <c r="R140">
        <f t="shared" ca="1" si="31"/>
        <v>0.51996340327389856</v>
      </c>
      <c r="S140">
        <f t="shared" ca="1" si="28"/>
        <v>1.2533875965634944</v>
      </c>
      <c r="T140">
        <f t="shared" ca="1" si="29"/>
        <v>55.622370446831269</v>
      </c>
      <c r="U140">
        <f>70</f>
        <v>70</v>
      </c>
      <c r="V140">
        <f>30</f>
        <v>30</v>
      </c>
      <c r="W140">
        <f t="shared" ca="1" si="27"/>
        <v>167.13777069195868</v>
      </c>
      <c r="X140">
        <f t="shared" ca="1" si="37"/>
        <v>166.5704501184091</v>
      </c>
      <c r="Y140">
        <f t="shared" ca="1" si="36"/>
        <v>0.48399318241811784</v>
      </c>
      <c r="Z140">
        <f t="shared" ca="1" si="38"/>
        <v>0.3254427433001984</v>
      </c>
      <c r="AA140">
        <f t="shared" ca="1" si="39"/>
        <v>0.15855043911791944</v>
      </c>
      <c r="AB140">
        <f t="shared" ca="1" si="40"/>
        <v>163.31970000000004</v>
      </c>
    </row>
    <row r="141" spans="1:28" x14ac:dyDescent="0.25">
      <c r="A141" s="20">
        <f t="shared" ca="1" si="41"/>
        <v>45495</v>
      </c>
      <c r="B141" vm="412">
        <f ca="1"/>
        <v>45496</v>
      </c>
      <c r="C141" vm="362">
        <f ca="1"/>
        <v>166.62</v>
      </c>
      <c r="D141" vm="413">
        <f ca="1"/>
        <v>4863398</v>
      </c>
      <c r="E141">
        <f t="shared" ca="1" si="42"/>
        <v>810339374.75999999</v>
      </c>
      <c r="F141">
        <f ca="1">SUM($E$2:E141)/SUM($D$2:D141)</f>
        <v>160.28705771411919</v>
      </c>
      <c r="G141">
        <f ca="1">_xlfn.STDEV.P($C$2:C141)</f>
        <v>5.641355604925514</v>
      </c>
      <c r="H141">
        <f t="shared" ca="1" si="43"/>
        <v>165.92841331904469</v>
      </c>
      <c r="I141">
        <f t="shared" ca="1" si="44"/>
        <v>154.64570210919368</v>
      </c>
      <c r="J141">
        <f t="shared" ca="1" si="32"/>
        <v>166.24349999999998</v>
      </c>
      <c r="K141">
        <f t="shared" ca="1" si="33"/>
        <v>1.7059594460534349</v>
      </c>
      <c r="L141">
        <f t="shared" ca="1" si="34"/>
        <v>169.65541889210687</v>
      </c>
      <c r="M141">
        <f t="shared" ca="1" si="35"/>
        <v>162.8315811078931</v>
      </c>
      <c r="N141">
        <f t="shared" ca="1" si="45"/>
        <v>-1.6299999999999955</v>
      </c>
      <c r="O141">
        <f t="shared" ca="1" si="46"/>
        <v>0</v>
      </c>
      <c r="P141">
        <f t="shared" ca="1" si="47"/>
        <v>1.6299999999999955</v>
      </c>
      <c r="Q141">
        <f t="shared" ca="1" si="30"/>
        <v>0.60516456030684329</v>
      </c>
      <c r="R141">
        <f t="shared" ca="1" si="31"/>
        <v>0.59925173161147693</v>
      </c>
      <c r="S141">
        <f t="shared" ca="1" si="28"/>
        <v>1.0098670197906077</v>
      </c>
      <c r="T141">
        <f t="shared" ca="1" si="29"/>
        <v>50.245464493258751</v>
      </c>
      <c r="U141">
        <f>70</f>
        <v>70</v>
      </c>
      <c r="V141">
        <f>30</f>
        <v>30</v>
      </c>
      <c r="W141">
        <f t="shared" ca="1" si="27"/>
        <v>167.05811366242656</v>
      </c>
      <c r="X141">
        <f t="shared" ca="1" si="37"/>
        <v>166.57412048000845</v>
      </c>
      <c r="Y141">
        <f t="shared" ca="1" si="36"/>
        <v>0.52327806762946238</v>
      </c>
      <c r="Z141">
        <f t="shared" ca="1" si="38"/>
        <v>0.36500980816605122</v>
      </c>
      <c r="AA141">
        <f t="shared" ca="1" si="39"/>
        <v>0.15826825946341117</v>
      </c>
      <c r="AB141">
        <f t="shared" ca="1" si="40"/>
        <v>163.38540000000003</v>
      </c>
    </row>
    <row r="142" spans="1:28" x14ac:dyDescent="0.25">
      <c r="A142" s="20">
        <f t="shared" ca="1" si="41"/>
        <v>45495</v>
      </c>
      <c r="B142" vm="414">
        <f ca="1"/>
        <v>45497</v>
      </c>
      <c r="C142" vm="415">
        <f ca="1"/>
        <v>168</v>
      </c>
      <c r="D142" vm="416">
        <f ca="1"/>
        <v>5906992</v>
      </c>
      <c r="E142">
        <f t="shared" ca="1" si="42"/>
        <v>992374656</v>
      </c>
      <c r="F142">
        <f ca="1">SUM($E$2:E142)/SUM($D$2:D142)</f>
        <v>160.33682289867954</v>
      </c>
      <c r="G142">
        <f ca="1">_xlfn.STDEV.P($C$2:C142)</f>
        <v>5.6528395893360912</v>
      </c>
      <c r="H142">
        <f t="shared" ca="1" si="43"/>
        <v>165.98966248801563</v>
      </c>
      <c r="I142">
        <f t="shared" ca="1" si="44"/>
        <v>154.68398330934346</v>
      </c>
      <c r="J142">
        <f t="shared" ca="1" si="32"/>
        <v>166.30099999999999</v>
      </c>
      <c r="K142">
        <f t="shared" ca="1" si="33"/>
        <v>1.7463794125652004</v>
      </c>
      <c r="L142">
        <f t="shared" ca="1" si="34"/>
        <v>169.7937588251304</v>
      </c>
      <c r="M142">
        <f t="shared" ca="1" si="35"/>
        <v>162.80824117486958</v>
      </c>
      <c r="N142">
        <f t="shared" ca="1" si="45"/>
        <v>1.3799999999999955</v>
      </c>
      <c r="O142">
        <f t="shared" ca="1" si="46"/>
        <v>1.3799999999999955</v>
      </c>
      <c r="P142">
        <f t="shared" ca="1" si="47"/>
        <v>0</v>
      </c>
      <c r="Q142">
        <f t="shared" ca="1" si="30"/>
        <v>0.66050994885635406</v>
      </c>
      <c r="R142">
        <f t="shared" ca="1" si="31"/>
        <v>0.55644803649637142</v>
      </c>
      <c r="S142">
        <f t="shared" ca="1" si="28"/>
        <v>1.1870110154673197</v>
      </c>
      <c r="T142">
        <f t="shared" ca="1" si="29"/>
        <v>54.275493222135403</v>
      </c>
      <c r="U142">
        <f>70</f>
        <v>70</v>
      </c>
      <c r="V142">
        <f>30</f>
        <v>30</v>
      </c>
      <c r="W142">
        <f t="shared" ca="1" si="27"/>
        <v>167.20301925282246</v>
      </c>
      <c r="X142">
        <f t="shared" ca="1" si="37"/>
        <v>166.679741185193</v>
      </c>
      <c r="Y142">
        <f t="shared" ca="1" si="36"/>
        <v>0.46034425327792405</v>
      </c>
      <c r="Z142">
        <f t="shared" ca="1" si="38"/>
        <v>0.38407669718842585</v>
      </c>
      <c r="AA142">
        <f t="shared" ca="1" si="39"/>
        <v>7.6267556089498201E-2</v>
      </c>
      <c r="AB142">
        <f t="shared" ca="1" si="40"/>
        <v>163.47600000000003</v>
      </c>
    </row>
    <row r="143" spans="1:28" x14ac:dyDescent="0.25">
      <c r="A143" s="20">
        <f t="shared" ca="1" si="41"/>
        <v>45495</v>
      </c>
      <c r="B143" vm="417">
        <f ca="1"/>
        <v>45498</v>
      </c>
      <c r="C143" vm="418">
        <f ca="1"/>
        <v>166.9</v>
      </c>
      <c r="D143" vm="419">
        <f ca="1"/>
        <v>7338521</v>
      </c>
      <c r="E143">
        <f t="shared" ca="1" si="42"/>
        <v>1224799154.9000001</v>
      </c>
      <c r="F143">
        <f ca="1">SUM($E$2:E143)/SUM($D$2:D143)</f>
        <v>160.38901376111997</v>
      </c>
      <c r="G143">
        <f ca="1">_xlfn.STDEV.P($C$2:C143)</f>
        <v>5.6548603349381867</v>
      </c>
      <c r="H143">
        <f t="shared" ca="1" si="43"/>
        <v>166.04387409605815</v>
      </c>
      <c r="I143">
        <f t="shared" ca="1" si="44"/>
        <v>154.73415342618179</v>
      </c>
      <c r="J143">
        <f t="shared" ca="1" si="32"/>
        <v>166.27349999999998</v>
      </c>
      <c r="K143">
        <f t="shared" ca="1" si="33"/>
        <v>1.73160185955086</v>
      </c>
      <c r="L143">
        <f t="shared" ca="1" si="34"/>
        <v>169.73670371910171</v>
      </c>
      <c r="M143">
        <f t="shared" ca="1" si="35"/>
        <v>162.81029628089826</v>
      </c>
      <c r="N143">
        <f t="shared" ca="1" si="45"/>
        <v>-1.0999999999999943</v>
      </c>
      <c r="O143">
        <f t="shared" ca="1" si="46"/>
        <v>0</v>
      </c>
      <c r="P143">
        <f t="shared" ca="1" si="47"/>
        <v>1.0999999999999943</v>
      </c>
      <c r="Q143">
        <f t="shared" ca="1" si="30"/>
        <v>0.61333066679518589</v>
      </c>
      <c r="R143">
        <f t="shared" ca="1" si="31"/>
        <v>0.59527317674663016</v>
      </c>
      <c r="S143">
        <f t="shared" ca="1" si="28"/>
        <v>1.0303347954417266</v>
      </c>
      <c r="T143">
        <f t="shared" ca="1" si="29"/>
        <v>50.747039244705618</v>
      </c>
      <c r="U143">
        <f>70</f>
        <v>70</v>
      </c>
      <c r="V143">
        <f>30</f>
        <v>30</v>
      </c>
      <c r="W143">
        <f t="shared" ref="W143:W206" ca="1" si="48">C143*(2/(12+1)) + W142*(1-(2/(12+1)))</f>
        <v>167.15640090623441</v>
      </c>
      <c r="X143">
        <f t="shared" ca="1" si="37"/>
        <v>166.69605665295649</v>
      </c>
      <c r="Y143">
        <f t="shared" ca="1" si="36"/>
        <v>0.58208734171157062</v>
      </c>
      <c r="Z143">
        <f t="shared" ca="1" si="38"/>
        <v>0.42367882609305485</v>
      </c>
      <c r="AA143">
        <f t="shared" ca="1" si="39"/>
        <v>0.15840851561851577</v>
      </c>
      <c r="AB143">
        <f t="shared" ca="1" si="40"/>
        <v>163.55650000000003</v>
      </c>
    </row>
    <row r="144" spans="1:28" x14ac:dyDescent="0.25">
      <c r="A144" s="20">
        <f t="shared" ca="1" si="41"/>
        <v>45495</v>
      </c>
      <c r="B144" vm="420">
        <f ca="1"/>
        <v>45499</v>
      </c>
      <c r="C144" vm="421">
        <f ca="1"/>
        <v>169.11</v>
      </c>
      <c r="D144" vm="422">
        <f ca="1"/>
        <v>5581557</v>
      </c>
      <c r="E144">
        <f t="shared" ca="1" si="42"/>
        <v>943897104.2700001</v>
      </c>
      <c r="F144">
        <f ca="1">SUM($E$2:E144)/SUM($D$2:D144)</f>
        <v>160.44144305148819</v>
      </c>
      <c r="G144">
        <f ca="1">_xlfn.STDEV.P($C$2:C144)</f>
        <v>5.6755532496590932</v>
      </c>
      <c r="H144">
        <f t="shared" ca="1" si="43"/>
        <v>166.11699630114728</v>
      </c>
      <c r="I144">
        <f t="shared" ca="1" si="44"/>
        <v>154.7658898018291</v>
      </c>
      <c r="J144">
        <f t="shared" ca="1" si="32"/>
        <v>166.398</v>
      </c>
      <c r="K144">
        <f t="shared" ca="1" si="33"/>
        <v>1.8437107890567355</v>
      </c>
      <c r="L144">
        <f t="shared" ca="1" si="34"/>
        <v>170.08542157811345</v>
      </c>
      <c r="M144">
        <f t="shared" ca="1" si="35"/>
        <v>162.71057842188654</v>
      </c>
      <c r="N144">
        <f t="shared" ca="1" si="45"/>
        <v>2.210000000000008</v>
      </c>
      <c r="O144">
        <f t="shared" ca="1" si="46"/>
        <v>2.210000000000008</v>
      </c>
      <c r="P144">
        <f t="shared" ca="1" si="47"/>
        <v>0</v>
      </c>
      <c r="Q144">
        <f t="shared" ca="1" si="30"/>
        <v>0.72737847630981611</v>
      </c>
      <c r="R144">
        <f t="shared" ca="1" si="31"/>
        <v>0.55275366412187088</v>
      </c>
      <c r="S144">
        <f t="shared" ref="S144:S207" ca="1" si="49">IF(R144=0,NA(),Q144/R144)</f>
        <v>1.3159179640452714</v>
      </c>
      <c r="T144">
        <f t="shared" ref="T144:T207" ca="1" si="50">100-(100/(1+S144))</f>
        <v>56.82057760572507</v>
      </c>
      <c r="U144">
        <f>70</f>
        <v>70</v>
      </c>
      <c r="V144">
        <f>30</f>
        <v>30</v>
      </c>
      <c r="W144">
        <f t="shared" ca="1" si="48"/>
        <v>167.45695461296759</v>
      </c>
      <c r="X144">
        <f t="shared" ca="1" si="37"/>
        <v>166.87486727125602</v>
      </c>
      <c r="Y144">
        <f t="shared" ca="1" si="36"/>
        <v>0.7362497347383794</v>
      </c>
      <c r="Z144">
        <f t="shared" ca="1" si="38"/>
        <v>0.48619300782211983</v>
      </c>
      <c r="AA144">
        <f t="shared" ca="1" si="39"/>
        <v>0.25005672691625958</v>
      </c>
      <c r="AB144">
        <f t="shared" ca="1" si="40"/>
        <v>163.65200000000002</v>
      </c>
    </row>
    <row r="145" spans="1:28" x14ac:dyDescent="0.25">
      <c r="A145" s="20">
        <f t="shared" ca="1" si="41"/>
        <v>45502</v>
      </c>
      <c r="B145" vm="423">
        <f ca="1"/>
        <v>45502</v>
      </c>
      <c r="C145" vm="424">
        <f ca="1"/>
        <v>169.93</v>
      </c>
      <c r="D145" vm="425">
        <f ca="1"/>
        <v>6797832</v>
      </c>
      <c r="E145">
        <f t="shared" ca="1" si="42"/>
        <v>1155155591.76</v>
      </c>
      <c r="F145">
        <f ca="1">SUM($E$2:E145)/SUM($D$2:D145)</f>
        <v>160.51041227500681</v>
      </c>
      <c r="G145">
        <f ca="1">_xlfn.STDEV.P($C$2:C145)</f>
        <v>5.703739309465286</v>
      </c>
      <c r="H145">
        <f t="shared" ca="1" si="43"/>
        <v>166.21415158447209</v>
      </c>
      <c r="I145">
        <f t="shared" ca="1" si="44"/>
        <v>154.80667296554154</v>
      </c>
      <c r="J145">
        <f t="shared" ca="1" si="32"/>
        <v>166.64849999999998</v>
      </c>
      <c r="K145">
        <f t="shared" ca="1" si="33"/>
        <v>1.9684572505818911</v>
      </c>
      <c r="L145">
        <f t="shared" ca="1" si="34"/>
        <v>170.58541450116377</v>
      </c>
      <c r="M145">
        <f t="shared" ca="1" si="35"/>
        <v>162.7115854988362</v>
      </c>
      <c r="N145">
        <f t="shared" ca="1" si="45"/>
        <v>0.81999999999999318</v>
      </c>
      <c r="O145">
        <f t="shared" ca="1" si="46"/>
        <v>0.81999999999999318</v>
      </c>
      <c r="P145">
        <f t="shared" ca="1" si="47"/>
        <v>0</v>
      </c>
      <c r="Q145">
        <f t="shared" ref="Q145:Q208" ca="1" si="51">(Q144*13+O145)/14</f>
        <v>0.73399429943054295</v>
      </c>
      <c r="R145">
        <f t="shared" ref="R145:R208" ca="1" si="52">(R144*13+P145)/14</f>
        <v>0.51327125954173725</v>
      </c>
      <c r="S145">
        <f t="shared" ca="1" si="49"/>
        <v>1.4300319485760284</v>
      </c>
      <c r="T145">
        <f t="shared" ca="1" si="50"/>
        <v>58.848277670341382</v>
      </c>
      <c r="U145">
        <f>70</f>
        <v>70</v>
      </c>
      <c r="V145">
        <f>30</f>
        <v>30</v>
      </c>
      <c r="W145">
        <f t="shared" ca="1" si="48"/>
        <v>167.83742313404952</v>
      </c>
      <c r="X145">
        <f t="shared" ca="1" si="37"/>
        <v>167.10117339931114</v>
      </c>
      <c r="Y145">
        <f t="shared" ca="1" si="36"/>
        <v>0.19211770950593632</v>
      </c>
      <c r="Z145">
        <f t="shared" ca="1" si="38"/>
        <v>0.42737794815888319</v>
      </c>
      <c r="AA145">
        <f t="shared" ca="1" si="39"/>
        <v>-0.23526023865294687</v>
      </c>
      <c r="AB145">
        <f t="shared" ca="1" si="40"/>
        <v>163.75810000000001</v>
      </c>
    </row>
    <row r="146" spans="1:28" x14ac:dyDescent="0.25">
      <c r="A146" s="20">
        <f t="shared" ca="1" si="41"/>
        <v>45502</v>
      </c>
      <c r="B146" vm="426">
        <f ca="1"/>
        <v>45503</v>
      </c>
      <c r="C146" vm="427">
        <f ca="1"/>
        <v>161.69999999999999</v>
      </c>
      <c r="D146" vm="428">
        <f ca="1"/>
        <v>15746254</v>
      </c>
      <c r="E146">
        <f t="shared" ca="1" si="42"/>
        <v>2546169271.7999997</v>
      </c>
      <c r="F146">
        <f ca="1">SUM($E$2:E146)/SUM($D$2:D146)</f>
        <v>160.53010959643606</v>
      </c>
      <c r="G146">
        <f ca="1">_xlfn.STDEV.P($C$2:C146)</f>
        <v>5.6842494085747406</v>
      </c>
      <c r="H146">
        <f t="shared" ca="1" si="43"/>
        <v>166.21435900501081</v>
      </c>
      <c r="I146">
        <f t="shared" ca="1" si="44"/>
        <v>154.84586018786132</v>
      </c>
      <c r="J146">
        <f t="shared" ca="1" si="32"/>
        <v>166.5975</v>
      </c>
      <c r="K146">
        <f t="shared" ca="1" si="33"/>
        <v>2.0853394902206426</v>
      </c>
      <c r="L146">
        <f t="shared" ca="1" si="34"/>
        <v>170.76817898044129</v>
      </c>
      <c r="M146">
        <f t="shared" ca="1" si="35"/>
        <v>162.4268210195587</v>
      </c>
      <c r="N146">
        <f t="shared" ca="1" si="45"/>
        <v>-8.2300000000000182</v>
      </c>
      <c r="O146">
        <f t="shared" ca="1" si="46"/>
        <v>0</v>
      </c>
      <c r="P146">
        <f t="shared" ca="1" si="47"/>
        <v>8.2300000000000182</v>
      </c>
      <c r="Q146">
        <f t="shared" ca="1" si="51"/>
        <v>0.68156613518550413</v>
      </c>
      <c r="R146">
        <f t="shared" ca="1" si="52"/>
        <v>1.0644661695744715</v>
      </c>
      <c r="S146">
        <f t="shared" ca="1" si="49"/>
        <v>0.64028914649111435</v>
      </c>
      <c r="T146">
        <f t="shared" ca="1" si="50"/>
        <v>39.035138887604838</v>
      </c>
      <c r="U146">
        <f>70</f>
        <v>70</v>
      </c>
      <c r="V146">
        <f>30</f>
        <v>30</v>
      </c>
      <c r="W146">
        <f t="shared" ca="1" si="48"/>
        <v>166.89320419034959</v>
      </c>
      <c r="X146">
        <f t="shared" ca="1" si="37"/>
        <v>166.70108648084366</v>
      </c>
      <c r="Y146">
        <f t="shared" ca="1" si="36"/>
        <v>-0.31137168586994335</v>
      </c>
      <c r="Z146">
        <f t="shared" ca="1" si="38"/>
        <v>0.27962802135311793</v>
      </c>
      <c r="AA146">
        <f t="shared" ca="1" si="39"/>
        <v>-0.59099970722306128</v>
      </c>
      <c r="AB146">
        <f t="shared" ca="1" si="40"/>
        <v>163.77940000000001</v>
      </c>
    </row>
    <row r="147" spans="1:28" x14ac:dyDescent="0.25">
      <c r="A147" s="20">
        <f t="shared" ca="1" si="41"/>
        <v>45502</v>
      </c>
      <c r="B147" vm="429">
        <f ca="1"/>
        <v>45504</v>
      </c>
      <c r="C147" vm="430">
        <f ca="1"/>
        <v>160.76</v>
      </c>
      <c r="D147" vm="431">
        <f ca="1"/>
        <v>9660902</v>
      </c>
      <c r="E147">
        <f t="shared" ca="1" si="42"/>
        <v>1553086605.52</v>
      </c>
      <c r="F147">
        <f ca="1">SUM($E$2:E147)/SUM($D$2:D147)</f>
        <v>160.53242156660036</v>
      </c>
      <c r="G147">
        <f ca="1">_xlfn.STDEV.P($C$2:C147)</f>
        <v>5.6648231646016587</v>
      </c>
      <c r="H147">
        <f t="shared" ca="1" si="43"/>
        <v>166.19724473120203</v>
      </c>
      <c r="I147">
        <f t="shared" ca="1" si="44"/>
        <v>154.86759840199869</v>
      </c>
      <c r="J147">
        <f t="shared" ca="1" si="32"/>
        <v>166.44049999999999</v>
      </c>
      <c r="K147">
        <f t="shared" ca="1" si="33"/>
        <v>2.3944133992098777</v>
      </c>
      <c r="L147">
        <f t="shared" ca="1" si="34"/>
        <v>171.22932679841975</v>
      </c>
      <c r="M147">
        <f t="shared" ca="1" si="35"/>
        <v>161.65167320158022</v>
      </c>
      <c r="N147">
        <f t="shared" ca="1" si="45"/>
        <v>-0.93999999999999773</v>
      </c>
      <c r="O147">
        <f t="shared" ca="1" si="46"/>
        <v>0</v>
      </c>
      <c r="P147">
        <f t="shared" ca="1" si="47"/>
        <v>0.93999999999999773</v>
      </c>
      <c r="Q147">
        <f t="shared" ca="1" si="51"/>
        <v>0.63288283981511095</v>
      </c>
      <c r="R147">
        <f t="shared" ca="1" si="52"/>
        <v>1.0555757288905805</v>
      </c>
      <c r="S147">
        <f t="shared" ca="1" si="49"/>
        <v>0.59956175809411272</v>
      </c>
      <c r="T147">
        <f t="shared" ca="1" si="50"/>
        <v>37.482876485400233</v>
      </c>
      <c r="U147">
        <f>70</f>
        <v>70</v>
      </c>
      <c r="V147">
        <f>30</f>
        <v>30</v>
      </c>
      <c r="W147">
        <f t="shared" ca="1" si="48"/>
        <v>165.94963431491121</v>
      </c>
      <c r="X147">
        <f t="shared" ca="1" si="37"/>
        <v>166.26100600078115</v>
      </c>
      <c r="Y147">
        <f t="shared" ca="1" si="36"/>
        <v>-0.30901868582688508</v>
      </c>
      <c r="Z147">
        <f t="shared" ca="1" si="38"/>
        <v>0.16189867991711734</v>
      </c>
      <c r="AA147">
        <f t="shared" ca="1" si="39"/>
        <v>-0.47091736574400245</v>
      </c>
      <c r="AB147">
        <f t="shared" ca="1" si="40"/>
        <v>163.78080000000003</v>
      </c>
    </row>
    <row r="148" spans="1:28" x14ac:dyDescent="0.25">
      <c r="A148" s="20">
        <f t="shared" ca="1" si="41"/>
        <v>45502</v>
      </c>
      <c r="B148" vm="432">
        <f ca="1"/>
        <v>45505</v>
      </c>
      <c r="C148" vm="433">
        <f ca="1"/>
        <v>165.69</v>
      </c>
      <c r="D148" vm="434">
        <f ca="1"/>
        <v>12532700</v>
      </c>
      <c r="E148">
        <f t="shared" ca="1" si="42"/>
        <v>2076543063</v>
      </c>
      <c r="F148">
        <f ca="1">SUM($E$2:E148)/SUM($D$2:D148)</f>
        <v>160.59884248612366</v>
      </c>
      <c r="G148">
        <f ca="1">_xlfn.STDEV.P($C$2:C148)</f>
        <v>5.6580700568315105</v>
      </c>
      <c r="H148">
        <f t="shared" ca="1" si="43"/>
        <v>166.25691254295518</v>
      </c>
      <c r="I148">
        <f t="shared" ca="1" si="44"/>
        <v>154.94077242929214</v>
      </c>
      <c r="J148">
        <f t="shared" ca="1" si="32"/>
        <v>166.53350000000003</v>
      </c>
      <c r="K148">
        <f t="shared" ca="1" si="33"/>
        <v>2.3227326805431514</v>
      </c>
      <c r="L148">
        <f t="shared" ca="1" si="34"/>
        <v>171.17896536108634</v>
      </c>
      <c r="M148">
        <f t="shared" ca="1" si="35"/>
        <v>161.88803463891372</v>
      </c>
      <c r="N148">
        <f t="shared" ca="1" si="45"/>
        <v>4.9300000000000068</v>
      </c>
      <c r="O148">
        <f t="shared" ca="1" si="46"/>
        <v>4.9300000000000068</v>
      </c>
      <c r="P148">
        <f t="shared" ca="1" si="47"/>
        <v>0</v>
      </c>
      <c r="Q148">
        <f t="shared" ca="1" si="51"/>
        <v>0.93981977982831777</v>
      </c>
      <c r="R148">
        <f t="shared" ca="1" si="52"/>
        <v>0.98017746254125337</v>
      </c>
      <c r="S148">
        <f t="shared" ca="1" si="49"/>
        <v>0.95882614704453373</v>
      </c>
      <c r="T148">
        <f t="shared" ca="1" si="50"/>
        <v>48.949017169859886</v>
      </c>
      <c r="U148">
        <f>70</f>
        <v>70</v>
      </c>
      <c r="V148">
        <f>30</f>
        <v>30</v>
      </c>
      <c r="W148">
        <f t="shared" ca="1" si="48"/>
        <v>165.90969057415566</v>
      </c>
      <c r="X148">
        <f t="shared" ca="1" si="37"/>
        <v>166.21870925998255</v>
      </c>
      <c r="Y148">
        <f t="shared" ca="1" si="36"/>
        <v>4.6545843390049413E-2</v>
      </c>
      <c r="Z148">
        <f t="shared" ca="1" si="38"/>
        <v>0.13882811261170375</v>
      </c>
      <c r="AA148">
        <f t="shared" ca="1" si="39"/>
        <v>-9.2282269221654334E-2</v>
      </c>
      <c r="AB148">
        <f t="shared" ca="1" si="40"/>
        <v>163.83420000000007</v>
      </c>
    </row>
    <row r="149" spans="1:28" x14ac:dyDescent="0.25">
      <c r="A149" s="20">
        <f t="shared" ca="1" si="41"/>
        <v>45502</v>
      </c>
      <c r="B149" vm="435">
        <f ca="1"/>
        <v>45506</v>
      </c>
      <c r="C149" vm="436">
        <f ca="1"/>
        <v>170.08</v>
      </c>
      <c r="D149" vm="437">
        <f ca="1"/>
        <v>11899038</v>
      </c>
      <c r="E149">
        <f t="shared" ca="1" si="42"/>
        <v>2023788383.0400002</v>
      </c>
      <c r="F149">
        <f ca="1">SUM($E$2:E149)/SUM($D$2:D149)</f>
        <v>160.71336994314493</v>
      </c>
      <c r="G149">
        <f ca="1">_xlfn.STDEV.P($C$2:C149)</f>
        <v>5.6862902300650511</v>
      </c>
      <c r="H149">
        <f t="shared" ca="1" si="43"/>
        <v>166.39966017320998</v>
      </c>
      <c r="I149">
        <f t="shared" ca="1" si="44"/>
        <v>155.02707971307987</v>
      </c>
      <c r="J149">
        <f t="shared" ca="1" si="32"/>
        <v>166.77700000000002</v>
      </c>
      <c r="K149">
        <f t="shared" ca="1" si="33"/>
        <v>2.4294987570538775</v>
      </c>
      <c r="L149">
        <f t="shared" ca="1" si="34"/>
        <v>171.63599751410777</v>
      </c>
      <c r="M149">
        <f t="shared" ca="1" si="35"/>
        <v>161.91800248589226</v>
      </c>
      <c r="N149">
        <f t="shared" ca="1" si="45"/>
        <v>4.3900000000000148</v>
      </c>
      <c r="O149">
        <f t="shared" ca="1" si="46"/>
        <v>4.3900000000000148</v>
      </c>
      <c r="P149">
        <f t="shared" ca="1" si="47"/>
        <v>0</v>
      </c>
      <c r="Q149">
        <f t="shared" ca="1" si="51"/>
        <v>1.186261224126296</v>
      </c>
      <c r="R149">
        <f t="shared" ca="1" si="52"/>
        <v>0.91016478664544953</v>
      </c>
      <c r="S149">
        <f t="shared" ca="1" si="49"/>
        <v>1.303347747058466</v>
      </c>
      <c r="T149">
        <f t="shared" ca="1" si="50"/>
        <v>56.584931594585797</v>
      </c>
      <c r="U149">
        <f>70</f>
        <v>70</v>
      </c>
      <c r="V149">
        <f>30</f>
        <v>30</v>
      </c>
      <c r="W149">
        <f t="shared" ca="1" si="48"/>
        <v>166.55127663967019</v>
      </c>
      <c r="X149">
        <f t="shared" ca="1" si="37"/>
        <v>166.50473079628014</v>
      </c>
      <c r="Y149">
        <f t="shared" ca="1" si="36"/>
        <v>0.16345200339318922</v>
      </c>
      <c r="Z149">
        <f t="shared" ca="1" si="38"/>
        <v>0.14375289076800085</v>
      </c>
      <c r="AA149">
        <f t="shared" ca="1" si="39"/>
        <v>1.9699112625188364E-2</v>
      </c>
      <c r="AB149">
        <f t="shared" ca="1" si="40"/>
        <v>163.91950000000008</v>
      </c>
    </row>
    <row r="150" spans="1:28" x14ac:dyDescent="0.25">
      <c r="A150" s="20">
        <f t="shared" ca="1" si="41"/>
        <v>45509</v>
      </c>
      <c r="B150" vm="438">
        <f ca="1"/>
        <v>45509</v>
      </c>
      <c r="C150" vm="439">
        <f ca="1"/>
        <v>168.06</v>
      </c>
      <c r="D150" vm="440">
        <f ca="1"/>
        <v>10338767</v>
      </c>
      <c r="E150">
        <f t="shared" ca="1" si="42"/>
        <v>1737533182.02</v>
      </c>
      <c r="F150">
        <f ca="1">SUM($E$2:E150)/SUM($D$2:D150)</f>
        <v>160.78967598368519</v>
      </c>
      <c r="G150">
        <f ca="1">_xlfn.STDEV.P($C$2:C150)</f>
        <v>5.6947893410103188</v>
      </c>
      <c r="H150">
        <f t="shared" ca="1" si="43"/>
        <v>166.48446532469549</v>
      </c>
      <c r="I150">
        <f t="shared" ca="1" si="44"/>
        <v>155.09488664267488</v>
      </c>
      <c r="J150">
        <f t="shared" ref="J150:J213" ca="1" si="53">AVERAGE(C131:C150)</f>
        <v>166.85399999999998</v>
      </c>
      <c r="K150">
        <f t="shared" ref="K150:K213" ca="1" si="54">_xlfn.STDEV.S(C131:C150)</f>
        <v>2.4452777261273937</v>
      </c>
      <c r="L150">
        <f t="shared" ref="L150:L213" ca="1" si="55">J150 + 2*K150</f>
        <v>171.74455545225476</v>
      </c>
      <c r="M150">
        <f t="shared" ref="M150:M213" ca="1" si="56">J150-2*K150</f>
        <v>161.96344454774521</v>
      </c>
      <c r="N150">
        <f t="shared" ca="1" si="45"/>
        <v>-2.0200000000000102</v>
      </c>
      <c r="O150">
        <f t="shared" ca="1" si="46"/>
        <v>0</v>
      </c>
      <c r="P150">
        <f t="shared" ca="1" si="47"/>
        <v>2.0200000000000102</v>
      </c>
      <c r="Q150">
        <f t="shared" ca="1" si="51"/>
        <v>1.1015282795458463</v>
      </c>
      <c r="R150">
        <f t="shared" ca="1" si="52"/>
        <v>0.98943873045648956</v>
      </c>
      <c r="S150">
        <f t="shared" ca="1" si="49"/>
        <v>1.1132859929969012</v>
      </c>
      <c r="T150">
        <f t="shared" ca="1" si="50"/>
        <v>52.68032801457808</v>
      </c>
      <c r="U150">
        <f>70</f>
        <v>70</v>
      </c>
      <c r="V150">
        <f>30</f>
        <v>30</v>
      </c>
      <c r="W150">
        <f t="shared" ca="1" si="48"/>
        <v>166.78338792587479</v>
      </c>
      <c r="X150">
        <f t="shared" ca="1" si="37"/>
        <v>166.6199359224816</v>
      </c>
      <c r="Y150">
        <f t="shared" ca="1" si="36"/>
        <v>0.25557561019456898</v>
      </c>
      <c r="Z150">
        <f t="shared" ca="1" si="38"/>
        <v>0.16611743465331449</v>
      </c>
      <c r="AA150">
        <f t="shared" ca="1" si="39"/>
        <v>8.9458175541254487E-2</v>
      </c>
      <c r="AB150">
        <f t="shared" ca="1" si="40"/>
        <v>163.98080000000004</v>
      </c>
    </row>
    <row r="151" spans="1:28" x14ac:dyDescent="0.25">
      <c r="A151" s="20">
        <f t="shared" ca="1" si="41"/>
        <v>45509</v>
      </c>
      <c r="B151" vm="441">
        <f ca="1"/>
        <v>45510</v>
      </c>
      <c r="C151" vm="442">
        <f ca="1"/>
        <v>168.09</v>
      </c>
      <c r="D151" vm="443">
        <f ca="1"/>
        <v>7454869</v>
      </c>
      <c r="E151">
        <f t="shared" ca="1" si="42"/>
        <v>1253088930.21</v>
      </c>
      <c r="F151">
        <f ca="1">SUM($E$2:E151)/SUM($D$2:D151)</f>
        <v>160.84394396963407</v>
      </c>
      <c r="G151">
        <f ca="1">_xlfn.STDEV.P($C$2:C151)</f>
        <v>5.7030363125463461</v>
      </c>
      <c r="H151">
        <f t="shared" ca="1" si="43"/>
        <v>166.54698028218041</v>
      </c>
      <c r="I151">
        <f t="shared" ca="1" si="44"/>
        <v>155.14090765708772</v>
      </c>
      <c r="J151">
        <f t="shared" ca="1" si="53"/>
        <v>166.97550000000001</v>
      </c>
      <c r="K151">
        <f t="shared" ca="1" si="54"/>
        <v>2.4431978074474054</v>
      </c>
      <c r="L151">
        <f t="shared" ca="1" si="55"/>
        <v>171.86189561489482</v>
      </c>
      <c r="M151">
        <f t="shared" ca="1" si="56"/>
        <v>162.0891043851052</v>
      </c>
      <c r="N151">
        <f t="shared" ca="1" si="45"/>
        <v>3.0000000000001137E-2</v>
      </c>
      <c r="O151">
        <f t="shared" ca="1" si="46"/>
        <v>3.0000000000001137E-2</v>
      </c>
      <c r="P151">
        <f t="shared" ca="1" si="47"/>
        <v>0</v>
      </c>
      <c r="Q151">
        <f t="shared" ca="1" si="51"/>
        <v>1.0249905452925716</v>
      </c>
      <c r="R151">
        <f t="shared" ca="1" si="52"/>
        <v>0.91876453542388314</v>
      </c>
      <c r="S151">
        <f t="shared" ca="1" si="49"/>
        <v>1.1156183176135328</v>
      </c>
      <c r="T151">
        <f t="shared" ca="1" si="50"/>
        <v>52.732494719178668</v>
      </c>
      <c r="U151">
        <f>70</f>
        <v>70</v>
      </c>
      <c r="V151">
        <f>30</f>
        <v>30</v>
      </c>
      <c r="W151">
        <f t="shared" ca="1" si="48"/>
        <v>166.98440516804791</v>
      </c>
      <c r="X151">
        <f t="shared" ca="1" si="37"/>
        <v>166.72882955785335</v>
      </c>
      <c r="Y151">
        <f t="shared" ca="1" si="36"/>
        <v>0.47879979660368122</v>
      </c>
      <c r="Z151">
        <f t="shared" ca="1" si="38"/>
        <v>0.22865390704338784</v>
      </c>
      <c r="AA151">
        <f t="shared" ca="1" si="39"/>
        <v>0.25014588956029338</v>
      </c>
      <c r="AB151">
        <f t="shared" ca="1" si="40"/>
        <v>164.03870000000006</v>
      </c>
    </row>
    <row r="152" spans="1:28" x14ac:dyDescent="0.25">
      <c r="A152" s="20">
        <f t="shared" ca="1" si="41"/>
        <v>45509</v>
      </c>
      <c r="B152" vm="444">
        <f ca="1"/>
        <v>45511</v>
      </c>
      <c r="C152" vm="445">
        <f ca="1"/>
        <v>170.02</v>
      </c>
      <c r="D152" vm="446">
        <f ca="1"/>
        <v>8385546</v>
      </c>
      <c r="E152">
        <f t="shared" ca="1" si="42"/>
        <v>1425710530.9200001</v>
      </c>
      <c r="F152">
        <f ca="1">SUM($E$2:E152)/SUM($D$2:D152)</f>
        <v>160.92003485300864</v>
      </c>
      <c r="G152">
        <f ca="1">_xlfn.STDEV.P($C$2:C152)</f>
        <v>5.7280396770770716</v>
      </c>
      <c r="H152">
        <f t="shared" ca="1" si="43"/>
        <v>166.64807453008572</v>
      </c>
      <c r="I152">
        <f t="shared" ca="1" si="44"/>
        <v>155.19199517593157</v>
      </c>
      <c r="J152">
        <f t="shared" ca="1" si="53"/>
        <v>167.13650000000001</v>
      </c>
      <c r="K152">
        <f t="shared" ca="1" si="54"/>
        <v>2.5353797078855695</v>
      </c>
      <c r="L152">
        <f t="shared" ca="1" si="55"/>
        <v>172.20725941577115</v>
      </c>
      <c r="M152">
        <f t="shared" ca="1" si="56"/>
        <v>162.06574058422888</v>
      </c>
      <c r="N152">
        <f t="shared" ca="1" si="45"/>
        <v>1.9300000000000068</v>
      </c>
      <c r="O152">
        <f t="shared" ca="1" si="46"/>
        <v>1.9300000000000068</v>
      </c>
      <c r="P152">
        <f t="shared" ca="1" si="47"/>
        <v>0</v>
      </c>
      <c r="Q152">
        <f t="shared" ca="1" si="51"/>
        <v>1.0896340777716742</v>
      </c>
      <c r="R152">
        <f t="shared" ca="1" si="52"/>
        <v>0.85313849717932011</v>
      </c>
      <c r="S152">
        <f t="shared" ca="1" si="49"/>
        <v>1.2772065513093889</v>
      </c>
      <c r="T152">
        <f t="shared" ca="1" si="50"/>
        <v>56.086548256898254</v>
      </c>
      <c r="U152">
        <f>70</f>
        <v>70</v>
      </c>
      <c r="V152">
        <f>30</f>
        <v>30</v>
      </c>
      <c r="W152">
        <f t="shared" ca="1" si="48"/>
        <v>167.451419757579</v>
      </c>
      <c r="X152">
        <f t="shared" ca="1" si="37"/>
        <v>166.97261996097532</v>
      </c>
      <c r="Y152">
        <f t="shared" ca="1" si="36"/>
        <v>0.71604040080907794</v>
      </c>
      <c r="Z152">
        <f t="shared" ca="1" si="38"/>
        <v>0.32613120579652588</v>
      </c>
      <c r="AA152">
        <f t="shared" ca="1" si="39"/>
        <v>0.38990919501255206</v>
      </c>
      <c r="AB152">
        <f t="shared" ca="1" si="40"/>
        <v>164.12390000000002</v>
      </c>
    </row>
    <row r="153" spans="1:28" x14ac:dyDescent="0.25">
      <c r="A153" s="20">
        <f t="shared" ca="1" si="41"/>
        <v>45509</v>
      </c>
      <c r="B153" vm="447">
        <f ca="1"/>
        <v>45512</v>
      </c>
      <c r="C153" vm="448">
        <f ca="1"/>
        <v>170.87</v>
      </c>
      <c r="D153" vm="449">
        <f ca="1"/>
        <v>6386941</v>
      </c>
      <c r="E153">
        <f t="shared" ca="1" si="42"/>
        <v>1091336608.6700001</v>
      </c>
      <c r="F153">
        <f ca="1">SUM($E$2:E153)/SUM($D$2:D153)</f>
        <v>160.98248383090686</v>
      </c>
      <c r="G153">
        <f ca="1">_xlfn.STDEV.P($C$2:C153)</f>
        <v>5.7608159982072715</v>
      </c>
      <c r="H153">
        <f t="shared" ca="1" si="43"/>
        <v>166.74329982911414</v>
      </c>
      <c r="I153">
        <f t="shared" ca="1" si="44"/>
        <v>155.22166783269958</v>
      </c>
      <c r="J153">
        <f t="shared" ca="1" si="53"/>
        <v>167.40299999999999</v>
      </c>
      <c r="K153">
        <f t="shared" ca="1" si="54"/>
        <v>2.6368304338432771</v>
      </c>
      <c r="L153">
        <f t="shared" ca="1" si="55"/>
        <v>172.67666086768654</v>
      </c>
      <c r="M153">
        <f t="shared" ca="1" si="56"/>
        <v>162.12933913231345</v>
      </c>
      <c r="N153">
        <f t="shared" ca="1" si="45"/>
        <v>0.84999999999999432</v>
      </c>
      <c r="O153">
        <f t="shared" ca="1" si="46"/>
        <v>0.84999999999999432</v>
      </c>
      <c r="P153">
        <f t="shared" ca="1" si="47"/>
        <v>0</v>
      </c>
      <c r="Q153">
        <f t="shared" ca="1" si="51"/>
        <v>1.0725173579308398</v>
      </c>
      <c r="R153">
        <f t="shared" ca="1" si="52"/>
        <v>0.79220003309508302</v>
      </c>
      <c r="S153">
        <f t="shared" ca="1" si="49"/>
        <v>1.3538466462069838</v>
      </c>
      <c r="T153">
        <f t="shared" ca="1" si="50"/>
        <v>57.51634875570965</v>
      </c>
      <c r="U153">
        <f>70</f>
        <v>70</v>
      </c>
      <c r="V153">
        <f>30</f>
        <v>30</v>
      </c>
      <c r="W153">
        <f t="shared" ca="1" si="48"/>
        <v>167.97735517948993</v>
      </c>
      <c r="X153">
        <f t="shared" ca="1" si="37"/>
        <v>167.26131477868086</v>
      </c>
      <c r="Y153">
        <f t="shared" ca="1" si="36"/>
        <v>0.86742787816874056</v>
      </c>
      <c r="Z153">
        <f t="shared" ca="1" si="38"/>
        <v>0.43439054027096885</v>
      </c>
      <c r="AA153">
        <f t="shared" ca="1" si="39"/>
        <v>0.43303733789777171</v>
      </c>
      <c r="AB153">
        <f t="shared" ca="1" si="40"/>
        <v>164.21880000000004</v>
      </c>
    </row>
    <row r="154" spans="1:28" x14ac:dyDescent="0.25">
      <c r="A154" s="20">
        <f t="shared" ca="1" si="41"/>
        <v>45509</v>
      </c>
      <c r="B154" vm="450">
        <f ca="1"/>
        <v>45513</v>
      </c>
      <c r="C154" vm="451">
        <f ca="1"/>
        <v>170.54</v>
      </c>
      <c r="D154" vm="452">
        <f ca="1"/>
        <v>5377378</v>
      </c>
      <c r="E154">
        <f t="shared" ca="1" si="42"/>
        <v>917058044.12</v>
      </c>
      <c r="F154">
        <f ca="1">SUM($E$2:E154)/SUM($D$2:D154)</f>
        <v>161.03272244034358</v>
      </c>
      <c r="G154">
        <f ca="1">_xlfn.STDEV.P($C$2:C154)</f>
        <v>5.7888791421495815</v>
      </c>
      <c r="H154">
        <f t="shared" ca="1" si="43"/>
        <v>166.82160158249314</v>
      </c>
      <c r="I154">
        <f t="shared" ca="1" si="44"/>
        <v>155.24384329819401</v>
      </c>
      <c r="J154">
        <f t="shared" ca="1" si="53"/>
        <v>167.59950000000001</v>
      </c>
      <c r="K154">
        <f t="shared" ca="1" si="54"/>
        <v>2.7197551650644507</v>
      </c>
      <c r="L154">
        <f t="shared" ca="1" si="55"/>
        <v>173.03901033012892</v>
      </c>
      <c r="M154">
        <f t="shared" ca="1" si="56"/>
        <v>162.15998966987109</v>
      </c>
      <c r="N154">
        <f t="shared" ca="1" si="45"/>
        <v>-0.33000000000001251</v>
      </c>
      <c r="O154">
        <f t="shared" ca="1" si="46"/>
        <v>0</v>
      </c>
      <c r="P154">
        <f t="shared" ca="1" si="47"/>
        <v>0.33000000000001251</v>
      </c>
      <c r="Q154">
        <f t="shared" ca="1" si="51"/>
        <v>0.99590897522149402</v>
      </c>
      <c r="R154">
        <f t="shared" ca="1" si="52"/>
        <v>0.75918574501686376</v>
      </c>
      <c r="S154">
        <f t="shared" ca="1" si="49"/>
        <v>1.311812006163751</v>
      </c>
      <c r="T154">
        <f t="shared" ca="1" si="50"/>
        <v>56.743887594069029</v>
      </c>
      <c r="U154">
        <f>70</f>
        <v>70</v>
      </c>
      <c r="V154">
        <f>30</f>
        <v>30</v>
      </c>
      <c r="W154">
        <f t="shared" ca="1" si="48"/>
        <v>168.37160822879918</v>
      </c>
      <c r="X154">
        <f t="shared" ca="1" si="37"/>
        <v>167.50418035063043</v>
      </c>
      <c r="Y154">
        <f t="shared" ca="1" si="36"/>
        <v>0.67860122506684206</v>
      </c>
      <c r="Z154">
        <f t="shared" ca="1" si="38"/>
        <v>0.48323267723014351</v>
      </c>
      <c r="AA154">
        <f t="shared" ca="1" si="39"/>
        <v>0.19536854783669855</v>
      </c>
      <c r="AB154">
        <f t="shared" ca="1" si="40"/>
        <v>164.31210000000007</v>
      </c>
    </row>
    <row r="155" spans="1:28" x14ac:dyDescent="0.25">
      <c r="A155" s="20">
        <f t="shared" ca="1" si="41"/>
        <v>45516</v>
      </c>
      <c r="B155" vm="453">
        <f ca="1"/>
        <v>45516</v>
      </c>
      <c r="C155" vm="454">
        <f ca="1"/>
        <v>166.81</v>
      </c>
      <c r="D155" vm="455">
        <f ca="1"/>
        <v>7208103</v>
      </c>
      <c r="E155">
        <f t="shared" ca="1" si="42"/>
        <v>1202383661.4300001</v>
      </c>
      <c r="F155">
        <f ca="1">SUM($E$2:E155)/SUM($D$2:D155)</f>
        <v>161.07314435754563</v>
      </c>
      <c r="G155">
        <f ca="1">_xlfn.STDEV.P($C$2:C155)</f>
        <v>5.7859634313111803</v>
      </c>
      <c r="H155">
        <f t="shared" ca="1" si="43"/>
        <v>166.85910778885682</v>
      </c>
      <c r="I155">
        <f t="shared" ca="1" si="44"/>
        <v>155.28718092623444</v>
      </c>
      <c r="J155">
        <f t="shared" ca="1" si="53"/>
        <v>167.71099999999998</v>
      </c>
      <c r="K155">
        <f t="shared" ca="1" si="54"/>
        <v>2.6338043327396052</v>
      </c>
      <c r="L155">
        <f t="shared" ca="1" si="55"/>
        <v>172.97860866547919</v>
      </c>
      <c r="M155">
        <f t="shared" ca="1" si="56"/>
        <v>162.44339133452078</v>
      </c>
      <c r="N155">
        <f t="shared" ca="1" si="45"/>
        <v>-3.7299999999999898</v>
      </c>
      <c r="O155">
        <f t="shared" ca="1" si="46"/>
        <v>0</v>
      </c>
      <c r="P155">
        <f t="shared" ca="1" si="47"/>
        <v>3.7299999999999898</v>
      </c>
      <c r="Q155">
        <f t="shared" ca="1" si="51"/>
        <v>0.9247726198485301</v>
      </c>
      <c r="R155">
        <f t="shared" ca="1" si="52"/>
        <v>0.97138676322994422</v>
      </c>
      <c r="S155">
        <f t="shared" ca="1" si="49"/>
        <v>0.95201278713494297</v>
      </c>
      <c r="T155">
        <f t="shared" ca="1" si="50"/>
        <v>48.770827394642993</v>
      </c>
      <c r="U155">
        <f>70</f>
        <v>70</v>
      </c>
      <c r="V155">
        <f>30</f>
        <v>30</v>
      </c>
      <c r="W155">
        <f t="shared" ca="1" si="48"/>
        <v>168.13136080898391</v>
      </c>
      <c r="X155">
        <f t="shared" ca="1" si="37"/>
        <v>167.45275958391707</v>
      </c>
      <c r="Y155">
        <f t="shared" ca="1" si="36"/>
        <v>0.56121736608312744</v>
      </c>
      <c r="Z155">
        <f t="shared" ca="1" si="38"/>
        <v>0.4988296150007403</v>
      </c>
      <c r="AA155">
        <f t="shared" ca="1" si="39"/>
        <v>6.2387751082387144E-2</v>
      </c>
      <c r="AB155">
        <f t="shared" ca="1" si="40"/>
        <v>164.36190000000005</v>
      </c>
    </row>
    <row r="156" spans="1:28" x14ac:dyDescent="0.25">
      <c r="A156" s="20">
        <f t="shared" ca="1" si="41"/>
        <v>45516</v>
      </c>
      <c r="B156" vm="456">
        <f ca="1"/>
        <v>45517</v>
      </c>
      <c r="C156" vm="457">
        <f ca="1"/>
        <v>167.29</v>
      </c>
      <c r="D156" vm="458">
        <f ca="1"/>
        <v>3770007</v>
      </c>
      <c r="E156">
        <f t="shared" ca="1" si="42"/>
        <v>630684471.02999997</v>
      </c>
      <c r="F156">
        <f ca="1">SUM($E$2:E156)/SUM($D$2:D156)</f>
        <v>161.09581162956229</v>
      </c>
      <c r="G156">
        <f ca="1">_xlfn.STDEV.P($C$2:C156)</f>
        <v>5.7858289329366714</v>
      </c>
      <c r="H156">
        <f t="shared" ca="1" si="43"/>
        <v>166.88164056249897</v>
      </c>
      <c r="I156">
        <f t="shared" ca="1" si="44"/>
        <v>155.30998269662561</v>
      </c>
      <c r="J156">
        <f t="shared" ca="1" si="53"/>
        <v>167.72800000000001</v>
      </c>
      <c r="K156">
        <f t="shared" ca="1" si="54"/>
        <v>2.6297280227590516</v>
      </c>
      <c r="L156">
        <f t="shared" ca="1" si="55"/>
        <v>172.98745604551812</v>
      </c>
      <c r="M156">
        <f t="shared" ca="1" si="56"/>
        <v>162.4685439544819</v>
      </c>
      <c r="N156">
        <f t="shared" ca="1" si="45"/>
        <v>0.47999999999998977</v>
      </c>
      <c r="O156">
        <f t="shared" ca="1" si="46"/>
        <v>0.47999999999998977</v>
      </c>
      <c r="P156">
        <f t="shared" ca="1" si="47"/>
        <v>0</v>
      </c>
      <c r="Q156">
        <f t="shared" ca="1" si="51"/>
        <v>0.89300314700220584</v>
      </c>
      <c r="R156">
        <f t="shared" ca="1" si="52"/>
        <v>0.90200199442780538</v>
      </c>
      <c r="S156">
        <f t="shared" ca="1" si="49"/>
        <v>0.99002347280694425</v>
      </c>
      <c r="T156">
        <f t="shared" ca="1" si="50"/>
        <v>49.749336444283649</v>
      </c>
      <c r="U156">
        <f>70</f>
        <v>70</v>
      </c>
      <c r="V156">
        <f>30</f>
        <v>30</v>
      </c>
      <c r="W156">
        <f t="shared" ca="1" si="48"/>
        <v>168.00192068452486</v>
      </c>
      <c r="X156">
        <f t="shared" ca="1" si="37"/>
        <v>167.44070331844173</v>
      </c>
      <c r="Y156">
        <f t="shared" ref="Y156:Y219" ca="1" si="57">W157-X157</f>
        <v>0.58331015615473802</v>
      </c>
      <c r="Z156">
        <f t="shared" ca="1" si="38"/>
        <v>0.51572572323153987</v>
      </c>
      <c r="AA156">
        <f t="shared" ca="1" si="39"/>
        <v>6.7584432923198157E-2</v>
      </c>
      <c r="AB156">
        <f t="shared" ca="1" si="40"/>
        <v>164.41490000000005</v>
      </c>
    </row>
    <row r="157" spans="1:28" x14ac:dyDescent="0.25">
      <c r="A157" s="20">
        <f t="shared" ca="1" si="41"/>
        <v>45516</v>
      </c>
      <c r="B157" vm="459">
        <f ca="1"/>
        <v>45518</v>
      </c>
      <c r="C157" vm="460">
        <f ca="1"/>
        <v>168.8</v>
      </c>
      <c r="D157" vm="461">
        <f ca="1"/>
        <v>5476675</v>
      </c>
      <c r="E157">
        <f t="shared" ca="1" si="42"/>
        <v>924462740.00000012</v>
      </c>
      <c r="F157">
        <f ca="1">SUM($E$2:E157)/SUM($D$2:D157)</f>
        <v>161.13640320741507</v>
      </c>
      <c r="G157">
        <f ca="1">_xlfn.STDEV.P($C$2:C157)</f>
        <v>5.7962576893215392</v>
      </c>
      <c r="H157">
        <f t="shared" ca="1" si="43"/>
        <v>166.93266089673662</v>
      </c>
      <c r="I157">
        <f t="shared" ca="1" si="44"/>
        <v>155.34014551809352</v>
      </c>
      <c r="J157">
        <f t="shared" ca="1" si="53"/>
        <v>167.696</v>
      </c>
      <c r="K157">
        <f t="shared" ca="1" si="54"/>
        <v>2.6116306662394146</v>
      </c>
      <c r="L157">
        <f t="shared" ca="1" si="55"/>
        <v>172.91926133247884</v>
      </c>
      <c r="M157">
        <f t="shared" ca="1" si="56"/>
        <v>162.47273866752116</v>
      </c>
      <c r="N157">
        <f t="shared" ca="1" si="45"/>
        <v>1.5100000000000193</v>
      </c>
      <c r="O157">
        <f t="shared" ca="1" si="46"/>
        <v>1.5100000000000193</v>
      </c>
      <c r="P157">
        <f t="shared" ca="1" si="47"/>
        <v>0</v>
      </c>
      <c r="Q157">
        <f t="shared" ca="1" si="51"/>
        <v>0.93707435078776402</v>
      </c>
      <c r="R157">
        <f t="shared" ca="1" si="52"/>
        <v>0.83757328054010494</v>
      </c>
      <c r="S157">
        <f t="shared" ca="1" si="49"/>
        <v>1.1187968534329276</v>
      </c>
      <c r="T157">
        <f t="shared" ca="1" si="50"/>
        <v>52.803403574072</v>
      </c>
      <c r="U157">
        <f>70</f>
        <v>70</v>
      </c>
      <c r="V157">
        <f>30</f>
        <v>30</v>
      </c>
      <c r="W157">
        <f t="shared" ca="1" si="48"/>
        <v>168.12470211767487</v>
      </c>
      <c r="X157">
        <f t="shared" ref="X157:X220" ca="1" si="58">C157*(2/(26+1)) + X156*(1-(2/(26+1)))</f>
        <v>167.54139196152013</v>
      </c>
      <c r="Y157">
        <f t="shared" ca="1" si="57"/>
        <v>0.52377248277892363</v>
      </c>
      <c r="Z157">
        <f t="shared" ca="1" si="38"/>
        <v>0.51733507514101662</v>
      </c>
      <c r="AA157">
        <f t="shared" ca="1" si="39"/>
        <v>6.4374076379070111E-3</v>
      </c>
      <c r="AB157">
        <f t="shared" ca="1" si="40"/>
        <v>164.48430000000005</v>
      </c>
    </row>
    <row r="158" spans="1:28" x14ac:dyDescent="0.25">
      <c r="A158" s="20">
        <f t="shared" ca="1" si="41"/>
        <v>45516</v>
      </c>
      <c r="B158" vm="462">
        <f ca="1"/>
        <v>45519</v>
      </c>
      <c r="C158" vm="463">
        <f ca="1"/>
        <v>167.92</v>
      </c>
      <c r="D158" vm="464">
        <f ca="1"/>
        <v>9491625</v>
      </c>
      <c r="E158">
        <f t="shared" ca="1" si="42"/>
        <v>1593833670</v>
      </c>
      <c r="F158">
        <f ca="1">SUM($E$2:E158)/SUM($D$2:D158)</f>
        <v>161.19778576663307</v>
      </c>
      <c r="G158">
        <f ca="1">_xlfn.STDEV.P($C$2:C158)</f>
        <v>5.7996721723023938</v>
      </c>
      <c r="H158">
        <f t="shared" ca="1" si="43"/>
        <v>166.99745793893547</v>
      </c>
      <c r="I158">
        <f t="shared" ca="1" si="44"/>
        <v>155.39811359433068</v>
      </c>
      <c r="J158">
        <f t="shared" ca="1" si="53"/>
        <v>167.67000000000002</v>
      </c>
      <c r="K158">
        <f t="shared" ca="1" si="54"/>
        <v>2.6064171819407216</v>
      </c>
      <c r="L158">
        <f t="shared" ca="1" si="55"/>
        <v>172.88283436388147</v>
      </c>
      <c r="M158">
        <f t="shared" ca="1" si="56"/>
        <v>162.45716563611856</v>
      </c>
      <c r="N158">
        <f t="shared" ca="1" si="45"/>
        <v>-0.88000000000002387</v>
      </c>
      <c r="O158">
        <f t="shared" ca="1" si="46"/>
        <v>0</v>
      </c>
      <c r="P158">
        <f t="shared" ca="1" si="47"/>
        <v>0.88000000000002387</v>
      </c>
      <c r="Q158">
        <f t="shared" ca="1" si="51"/>
        <v>0.87014046858863803</v>
      </c>
      <c r="R158">
        <f t="shared" ca="1" si="52"/>
        <v>0.84060376050152763</v>
      </c>
      <c r="S158">
        <f t="shared" ca="1" si="49"/>
        <v>1.0351374922109413</v>
      </c>
      <c r="T158">
        <f t="shared" ca="1" si="50"/>
        <v>50.863270721153299</v>
      </c>
      <c r="U158">
        <f>70</f>
        <v>70</v>
      </c>
      <c r="V158">
        <f>30</f>
        <v>30</v>
      </c>
      <c r="W158">
        <f t="shared" ca="1" si="48"/>
        <v>168.09320948418645</v>
      </c>
      <c r="X158">
        <f t="shared" ca="1" si="58"/>
        <v>167.56943700140752</v>
      </c>
      <c r="Y158">
        <f t="shared" ca="1" si="57"/>
        <v>0.46876407790861663</v>
      </c>
      <c r="Z158">
        <f t="shared" ca="1" si="38"/>
        <v>0.50762087569453662</v>
      </c>
      <c r="AA158">
        <f t="shared" ca="1" si="39"/>
        <v>-3.8856797785919994E-2</v>
      </c>
      <c r="AB158">
        <f t="shared" ca="1" si="40"/>
        <v>164.54690000000005</v>
      </c>
    </row>
    <row r="159" spans="1:28" x14ac:dyDescent="0.25">
      <c r="A159" s="20">
        <f t="shared" ca="1" si="41"/>
        <v>45516</v>
      </c>
      <c r="B159" vm="465">
        <f ca="1"/>
        <v>45520</v>
      </c>
      <c r="C159" vm="466">
        <f ca="1"/>
        <v>167.89</v>
      </c>
      <c r="D159" vm="467">
        <f ca="1"/>
        <v>5640925</v>
      </c>
      <c r="E159">
        <f t="shared" ca="1" si="42"/>
        <v>947054898.24999988</v>
      </c>
      <c r="F159">
        <f ca="1">SUM($E$2:E159)/SUM($D$2:D159)</f>
        <v>161.23358183397522</v>
      </c>
      <c r="G159">
        <f ca="1">_xlfn.STDEV.P($C$2:C159)</f>
        <v>5.8025626158958765</v>
      </c>
      <c r="H159">
        <f t="shared" ca="1" si="43"/>
        <v>167.0361444498711</v>
      </c>
      <c r="I159">
        <f t="shared" ca="1" si="44"/>
        <v>155.43101921807934</v>
      </c>
      <c r="J159">
        <f t="shared" ca="1" si="53"/>
        <v>167.66649999999998</v>
      </c>
      <c r="K159">
        <f t="shared" ca="1" si="54"/>
        <v>2.6060542366210555</v>
      </c>
      <c r="L159">
        <f t="shared" ca="1" si="55"/>
        <v>172.87860847324208</v>
      </c>
      <c r="M159">
        <f t="shared" ca="1" si="56"/>
        <v>162.45439152675789</v>
      </c>
      <c r="N159">
        <f t="shared" ca="1" si="45"/>
        <v>-3.0000000000001137E-2</v>
      </c>
      <c r="O159">
        <f t="shared" ca="1" si="46"/>
        <v>0</v>
      </c>
      <c r="P159">
        <f t="shared" ca="1" si="47"/>
        <v>3.0000000000001137E-2</v>
      </c>
      <c r="Q159">
        <f t="shared" ca="1" si="51"/>
        <v>0.80798757797516385</v>
      </c>
      <c r="R159">
        <f t="shared" ca="1" si="52"/>
        <v>0.78270349189427579</v>
      </c>
      <c r="S159">
        <f t="shared" ca="1" si="49"/>
        <v>1.0323035304463715</v>
      </c>
      <c r="T159">
        <f t="shared" ca="1" si="50"/>
        <v>50.794751619588936</v>
      </c>
      <c r="U159">
        <f>70</f>
        <v>70</v>
      </c>
      <c r="V159">
        <f>30</f>
        <v>30</v>
      </c>
      <c r="W159">
        <f t="shared" ca="1" si="48"/>
        <v>168.06194648661929</v>
      </c>
      <c r="X159">
        <f t="shared" ca="1" si="58"/>
        <v>167.59318240871067</v>
      </c>
      <c r="Y159">
        <f t="shared" ca="1" si="57"/>
        <v>0.46260348631042802</v>
      </c>
      <c r="Z159">
        <f t="shared" ca="1" si="38"/>
        <v>0.49861739781771491</v>
      </c>
      <c r="AA159">
        <f t="shared" ca="1" si="39"/>
        <v>-3.6013911507286889E-2</v>
      </c>
      <c r="AB159">
        <f t="shared" ca="1" si="40"/>
        <v>164.62390000000008</v>
      </c>
    </row>
    <row r="160" spans="1:28" x14ac:dyDescent="0.25">
      <c r="A160" s="20">
        <f t="shared" ca="1" si="41"/>
        <v>45523</v>
      </c>
      <c r="B160" vm="468">
        <f ca="1"/>
        <v>45523</v>
      </c>
      <c r="C160" vm="469">
        <f ca="1"/>
        <v>168.42</v>
      </c>
      <c r="D160" vm="470">
        <f ca="1"/>
        <v>3885315</v>
      </c>
      <c r="E160">
        <f t="shared" ca="1" si="42"/>
        <v>654364752.29999995</v>
      </c>
      <c r="F160">
        <f ca="1">SUM($E$2:E160)/SUM($D$2:D160)</f>
        <v>161.2599607408076</v>
      </c>
      <c r="G160">
        <f ca="1">_xlfn.STDEV.P($C$2:C160)</f>
        <v>5.8088491068272923</v>
      </c>
      <c r="H160">
        <f t="shared" ca="1" si="43"/>
        <v>167.0688098476349</v>
      </c>
      <c r="I160">
        <f t="shared" ca="1" si="44"/>
        <v>155.4511116339803</v>
      </c>
      <c r="J160">
        <f t="shared" ca="1" si="53"/>
        <v>167.67500000000001</v>
      </c>
      <c r="K160">
        <f t="shared" ca="1" si="54"/>
        <v>2.6083338097639874</v>
      </c>
      <c r="L160">
        <f t="shared" ca="1" si="55"/>
        <v>172.89166761952799</v>
      </c>
      <c r="M160">
        <f t="shared" ca="1" si="56"/>
        <v>162.45833238047203</v>
      </c>
      <c r="N160">
        <f t="shared" ca="1" si="45"/>
        <v>0.53000000000000114</v>
      </c>
      <c r="O160">
        <f t="shared" ca="1" si="46"/>
        <v>0.53000000000000114</v>
      </c>
      <c r="P160">
        <f t="shared" ca="1" si="47"/>
        <v>0</v>
      </c>
      <c r="Q160">
        <f t="shared" ca="1" si="51"/>
        <v>0.78813132240550932</v>
      </c>
      <c r="R160">
        <f t="shared" ca="1" si="52"/>
        <v>0.72679609961611324</v>
      </c>
      <c r="S160">
        <f t="shared" ca="1" si="49"/>
        <v>1.0843912382328313</v>
      </c>
      <c r="T160">
        <f t="shared" ca="1" si="50"/>
        <v>52.024361758121259</v>
      </c>
      <c r="U160">
        <f>70</f>
        <v>70</v>
      </c>
      <c r="V160">
        <f>30</f>
        <v>30</v>
      </c>
      <c r="W160">
        <f t="shared" ca="1" si="48"/>
        <v>168.11703164252401</v>
      </c>
      <c r="X160">
        <f t="shared" ca="1" si="58"/>
        <v>167.65442815621358</v>
      </c>
      <c r="Y160">
        <f t="shared" ca="1" si="57"/>
        <v>0.611251416125981</v>
      </c>
      <c r="Z160">
        <f t="shared" ca="1" si="38"/>
        <v>0.52114420147936813</v>
      </c>
      <c r="AA160">
        <f t="shared" ca="1" si="39"/>
        <v>9.0107214646612865E-2</v>
      </c>
      <c r="AB160">
        <f t="shared" ca="1" si="40"/>
        <v>164.70260000000005</v>
      </c>
    </row>
    <row r="161" spans="1:28" x14ac:dyDescent="0.25">
      <c r="A161" s="20">
        <f t="shared" ca="1" si="41"/>
        <v>45523</v>
      </c>
      <c r="B161" vm="471">
        <f ca="1"/>
        <v>45524</v>
      </c>
      <c r="C161" vm="472">
        <f ca="1"/>
        <v>170.41</v>
      </c>
      <c r="D161" vm="473">
        <f ca="1"/>
        <v>4513600</v>
      </c>
      <c r="E161">
        <f t="shared" ca="1" si="42"/>
        <v>769162576</v>
      </c>
      <c r="F161">
        <f ca="1">SUM($E$2:E161)/SUM($D$2:D161)</f>
        <v>161.29881298454171</v>
      </c>
      <c r="G161">
        <f ca="1">_xlfn.STDEV.P($C$2:C161)</f>
        <v>5.8310956701844416</v>
      </c>
      <c r="H161">
        <f t="shared" ca="1" si="43"/>
        <v>167.12990865472617</v>
      </c>
      <c r="I161">
        <f t="shared" ca="1" si="44"/>
        <v>155.46771731435726</v>
      </c>
      <c r="J161">
        <f t="shared" ca="1" si="53"/>
        <v>167.86449999999999</v>
      </c>
      <c r="K161">
        <f t="shared" ca="1" si="54"/>
        <v>2.6647177691969004</v>
      </c>
      <c r="L161">
        <f t="shared" ca="1" si="55"/>
        <v>173.19393553839379</v>
      </c>
      <c r="M161">
        <f t="shared" ca="1" si="56"/>
        <v>162.5350644616062</v>
      </c>
      <c r="N161">
        <f t="shared" ca="1" si="45"/>
        <v>1.9900000000000091</v>
      </c>
      <c r="O161">
        <f t="shared" ca="1" si="46"/>
        <v>1.9900000000000091</v>
      </c>
      <c r="P161">
        <f t="shared" ca="1" si="47"/>
        <v>0</v>
      </c>
      <c r="Q161">
        <f t="shared" ca="1" si="51"/>
        <v>0.87397908509083067</v>
      </c>
      <c r="R161">
        <f t="shared" ca="1" si="52"/>
        <v>0.67488209250067654</v>
      </c>
      <c r="S161">
        <f t="shared" ca="1" si="49"/>
        <v>1.2950100392387498</v>
      </c>
      <c r="T161">
        <f t="shared" ca="1" si="50"/>
        <v>56.427205855199745</v>
      </c>
      <c r="U161">
        <f>70</f>
        <v>70</v>
      </c>
      <c r="V161">
        <f>30</f>
        <v>30</v>
      </c>
      <c r="W161">
        <f t="shared" ca="1" si="48"/>
        <v>168.46979600521263</v>
      </c>
      <c r="X161">
        <f t="shared" ca="1" si="58"/>
        <v>167.85854458908665</v>
      </c>
      <c r="Y161">
        <f t="shared" ca="1" si="57"/>
        <v>0.70080462135322819</v>
      </c>
      <c r="Z161">
        <f t="shared" ca="1" si="38"/>
        <v>0.55707628545414023</v>
      </c>
      <c r="AA161">
        <f t="shared" ca="1" si="39"/>
        <v>0.14372833589908796</v>
      </c>
      <c r="AB161">
        <f t="shared" ca="1" si="40"/>
        <v>164.78060000000008</v>
      </c>
    </row>
    <row r="162" spans="1:28" x14ac:dyDescent="0.25">
      <c r="A162" s="20">
        <f t="shared" ca="1" si="41"/>
        <v>45523</v>
      </c>
      <c r="B162" vm="474">
        <f ca="1"/>
        <v>45525</v>
      </c>
      <c r="C162" vm="475">
        <f ca="1"/>
        <v>170.16</v>
      </c>
      <c r="D162" vm="476">
        <f ca="1"/>
        <v>4082026</v>
      </c>
      <c r="E162">
        <f t="shared" ca="1" si="42"/>
        <v>694597544.15999997</v>
      </c>
      <c r="F162">
        <f ca="1">SUM($E$2:E162)/SUM($D$2:D162)</f>
        <v>161.33271091577799</v>
      </c>
      <c r="G162">
        <f ca="1">_xlfn.STDEV.P($C$2:C162)</f>
        <v>5.8502409147701133</v>
      </c>
      <c r="H162">
        <f t="shared" ca="1" si="43"/>
        <v>167.18295183054812</v>
      </c>
      <c r="I162">
        <f t="shared" ca="1" si="44"/>
        <v>155.48247000100787</v>
      </c>
      <c r="J162">
        <f t="shared" ca="1" si="53"/>
        <v>167.97249999999997</v>
      </c>
      <c r="K162">
        <f t="shared" ca="1" si="54"/>
        <v>2.7138181977660807</v>
      </c>
      <c r="L162">
        <f t="shared" ca="1" si="55"/>
        <v>173.40013639553212</v>
      </c>
      <c r="M162">
        <f t="shared" ca="1" si="56"/>
        <v>162.54486360446782</v>
      </c>
      <c r="N162">
        <f t="shared" ca="1" si="45"/>
        <v>-0.25</v>
      </c>
      <c r="O162">
        <f t="shared" ca="1" si="46"/>
        <v>0</v>
      </c>
      <c r="P162">
        <f t="shared" ca="1" si="47"/>
        <v>0.25</v>
      </c>
      <c r="Q162">
        <f t="shared" ca="1" si="51"/>
        <v>0.81155200758434276</v>
      </c>
      <c r="R162">
        <f t="shared" ca="1" si="52"/>
        <v>0.64453337160777113</v>
      </c>
      <c r="S162">
        <f t="shared" ca="1" si="49"/>
        <v>1.2591310913195202</v>
      </c>
      <c r="T162">
        <f t="shared" ca="1" si="50"/>
        <v>55.735193772402248</v>
      </c>
      <c r="U162">
        <f>70</f>
        <v>70</v>
      </c>
      <c r="V162">
        <f>30</f>
        <v>30</v>
      </c>
      <c r="W162">
        <f t="shared" ca="1" si="48"/>
        <v>168.72982738902607</v>
      </c>
      <c r="X162">
        <f t="shared" ca="1" si="58"/>
        <v>168.02902276767284</v>
      </c>
      <c r="Y162">
        <f t="shared" ca="1" si="57"/>
        <v>0.76218329073239488</v>
      </c>
      <c r="Z162">
        <f t="shared" ca="1" si="38"/>
        <v>0.59809768650979123</v>
      </c>
      <c r="AA162">
        <f t="shared" ca="1" si="39"/>
        <v>0.16408560422260365</v>
      </c>
      <c r="AB162">
        <f t="shared" ca="1" si="40"/>
        <v>164.85970000000009</v>
      </c>
    </row>
    <row r="163" spans="1:28" x14ac:dyDescent="0.25">
      <c r="A163" s="20">
        <f t="shared" ca="1" si="41"/>
        <v>45523</v>
      </c>
      <c r="B163" vm="477">
        <f ca="1"/>
        <v>45526</v>
      </c>
      <c r="C163" vm="478">
        <f ca="1"/>
        <v>170.15</v>
      </c>
      <c r="D163" vm="479">
        <f ca="1"/>
        <v>4097382</v>
      </c>
      <c r="E163">
        <f t="shared" ca="1" si="42"/>
        <v>697169547.30000007</v>
      </c>
      <c r="F163">
        <f ca="1">SUM($E$2:E163)/SUM($D$2:D163)</f>
        <v>161.36643829820349</v>
      </c>
      <c r="G163">
        <f ca="1">_xlfn.STDEV.P($C$2:C163)</f>
        <v>5.8685468250781163</v>
      </c>
      <c r="H163">
        <f t="shared" ca="1" si="43"/>
        <v>167.2349851232816</v>
      </c>
      <c r="I163">
        <f t="shared" ca="1" si="44"/>
        <v>155.49789147312538</v>
      </c>
      <c r="J163">
        <f t="shared" ca="1" si="53"/>
        <v>168.13499999999999</v>
      </c>
      <c r="K163">
        <f t="shared" ca="1" si="54"/>
        <v>2.7433604057413778</v>
      </c>
      <c r="L163">
        <f t="shared" ca="1" si="55"/>
        <v>173.62172081148276</v>
      </c>
      <c r="M163">
        <f t="shared" ca="1" si="56"/>
        <v>162.64827918851722</v>
      </c>
      <c r="N163">
        <f t="shared" ca="1" si="45"/>
        <v>-9.9999999999909051E-3</v>
      </c>
      <c r="O163">
        <f t="shared" ca="1" si="46"/>
        <v>0</v>
      </c>
      <c r="P163">
        <f t="shared" ca="1" si="47"/>
        <v>9.9999999999909051E-3</v>
      </c>
      <c r="Q163">
        <f t="shared" ca="1" si="51"/>
        <v>0.75358400704260398</v>
      </c>
      <c r="R163">
        <f t="shared" ca="1" si="52"/>
        <v>0.59920955935007247</v>
      </c>
      <c r="S163">
        <f t="shared" ca="1" si="49"/>
        <v>1.2576301483907775</v>
      </c>
      <c r="T163">
        <f t="shared" ca="1" si="50"/>
        <v>55.70576514878698</v>
      </c>
      <c r="U163">
        <f>70</f>
        <v>70</v>
      </c>
      <c r="V163">
        <f>30</f>
        <v>30</v>
      </c>
      <c r="W163">
        <f t="shared" ca="1" si="48"/>
        <v>168.94831548302207</v>
      </c>
      <c r="X163">
        <f t="shared" ca="1" si="58"/>
        <v>168.18613219228968</v>
      </c>
      <c r="Y163">
        <f t="shared" ca="1" si="57"/>
        <v>0.7234095041692683</v>
      </c>
      <c r="Z163">
        <f t="shared" ca="1" si="38"/>
        <v>0.62316005004168662</v>
      </c>
      <c r="AA163">
        <f t="shared" ca="1" si="39"/>
        <v>0.10024945412758168</v>
      </c>
      <c r="AB163">
        <f t="shared" ca="1" si="40"/>
        <v>164.95540000000008</v>
      </c>
    </row>
    <row r="164" spans="1:28" x14ac:dyDescent="0.25">
      <c r="A164" s="20">
        <f t="shared" ca="1" si="41"/>
        <v>45523</v>
      </c>
      <c r="B164" vm="480">
        <f ca="1"/>
        <v>45527</v>
      </c>
      <c r="C164" vm="481">
        <f ca="1"/>
        <v>169.17</v>
      </c>
      <c r="D164" vm="482">
        <f ca="1"/>
        <v>4771267</v>
      </c>
      <c r="E164">
        <f t="shared" ca="1" si="42"/>
        <v>807155238.38999999</v>
      </c>
      <c r="F164">
        <f ca="1">SUM($E$2:E164)/SUM($D$2:D164)</f>
        <v>161.40104319267741</v>
      </c>
      <c r="G164">
        <f ca="1">_xlfn.STDEV.P($C$2:C164)</f>
        <v>5.8782181219617717</v>
      </c>
      <c r="H164">
        <f t="shared" ca="1" si="43"/>
        <v>167.27926131463917</v>
      </c>
      <c r="I164">
        <f t="shared" ca="1" si="44"/>
        <v>155.52282507071564</v>
      </c>
      <c r="J164">
        <f t="shared" ca="1" si="53"/>
        <v>168.13799999999998</v>
      </c>
      <c r="K164">
        <f t="shared" ca="1" si="54"/>
        <v>2.7445152960999026</v>
      </c>
      <c r="L164">
        <f t="shared" ca="1" si="55"/>
        <v>173.62703059219979</v>
      </c>
      <c r="M164">
        <f t="shared" ca="1" si="56"/>
        <v>162.64896940780017</v>
      </c>
      <c r="N164">
        <f t="shared" ca="1" si="45"/>
        <v>-0.98000000000001819</v>
      </c>
      <c r="O164">
        <f t="shared" ca="1" si="46"/>
        <v>0</v>
      </c>
      <c r="P164">
        <f t="shared" ca="1" si="47"/>
        <v>0.98000000000001819</v>
      </c>
      <c r="Q164">
        <f t="shared" ca="1" si="51"/>
        <v>0.69975657796813218</v>
      </c>
      <c r="R164">
        <f t="shared" ca="1" si="52"/>
        <v>0.62640887653935429</v>
      </c>
      <c r="S164">
        <f t="shared" ca="1" si="49"/>
        <v>1.1170923723718493</v>
      </c>
      <c r="T164">
        <f t="shared" ca="1" si="50"/>
        <v>52.765405371534804</v>
      </c>
      <c r="U164">
        <f>70</f>
        <v>70</v>
      </c>
      <c r="V164">
        <f>30</f>
        <v>30</v>
      </c>
      <c r="W164">
        <f t="shared" ca="1" si="48"/>
        <v>168.98242079332636</v>
      </c>
      <c r="X164">
        <f t="shared" ca="1" si="58"/>
        <v>168.25901128915709</v>
      </c>
      <c r="Y164">
        <f t="shared" ca="1" si="57"/>
        <v>0.77891825254090463</v>
      </c>
      <c r="Z164">
        <f t="shared" ca="1" si="38"/>
        <v>0.65431169054153027</v>
      </c>
      <c r="AA164">
        <f t="shared" ca="1" si="39"/>
        <v>0.12460656199937437</v>
      </c>
      <c r="AB164">
        <f t="shared" ca="1" si="40"/>
        <v>165.04140000000007</v>
      </c>
    </row>
    <row r="165" spans="1:28" x14ac:dyDescent="0.25">
      <c r="A165" s="20">
        <f t="shared" ca="1" si="41"/>
        <v>45530</v>
      </c>
      <c r="B165" vm="483">
        <f ca="1"/>
        <v>45530</v>
      </c>
      <c r="C165" vm="484">
        <f ca="1"/>
        <v>170.35</v>
      </c>
      <c r="D165" vm="485">
        <f ca="1"/>
        <v>6472417</v>
      </c>
      <c r="E165">
        <f t="shared" ca="1" si="42"/>
        <v>1102576235.95</v>
      </c>
      <c r="F165">
        <f ca="1">SUM($E$2:E165)/SUM($D$2:D165)</f>
        <v>161.45455444759165</v>
      </c>
      <c r="G165">
        <f ca="1">_xlfn.STDEV.P($C$2:C165)</f>
        <v>5.8969426182313045</v>
      </c>
      <c r="H165">
        <f t="shared" ca="1" si="43"/>
        <v>167.35149706582294</v>
      </c>
      <c r="I165">
        <f t="shared" ca="1" si="44"/>
        <v>155.55761182936035</v>
      </c>
      <c r="J165">
        <f t="shared" ca="1" si="53"/>
        <v>168.15899999999996</v>
      </c>
      <c r="K165">
        <f t="shared" ca="1" si="54"/>
        <v>2.760508915704535</v>
      </c>
      <c r="L165">
        <f t="shared" ca="1" si="55"/>
        <v>173.68001783140903</v>
      </c>
      <c r="M165">
        <f t="shared" ca="1" si="56"/>
        <v>162.6379821685909</v>
      </c>
      <c r="N165">
        <f t="shared" ca="1" si="45"/>
        <v>1.1800000000000068</v>
      </c>
      <c r="O165">
        <f t="shared" ca="1" si="46"/>
        <v>1.1800000000000068</v>
      </c>
      <c r="P165">
        <f t="shared" ca="1" si="47"/>
        <v>0</v>
      </c>
      <c r="Q165">
        <f t="shared" ca="1" si="51"/>
        <v>0.73405967954183748</v>
      </c>
      <c r="R165">
        <f t="shared" ca="1" si="52"/>
        <v>0.58166538535797174</v>
      </c>
      <c r="S165">
        <f t="shared" ca="1" si="49"/>
        <v>1.2619964983649119</v>
      </c>
      <c r="T165">
        <f t="shared" ca="1" si="50"/>
        <v>55.791266665405907</v>
      </c>
      <c r="U165">
        <f>70</f>
        <v>70</v>
      </c>
      <c r="V165">
        <f>30</f>
        <v>30</v>
      </c>
      <c r="W165">
        <f t="shared" ca="1" si="48"/>
        <v>169.19281759435304</v>
      </c>
      <c r="X165">
        <f t="shared" ca="1" si="58"/>
        <v>168.41389934181214</v>
      </c>
      <c r="Y165">
        <f t="shared" ca="1" si="57"/>
        <v>0.72578216362936132</v>
      </c>
      <c r="Z165">
        <f t="shared" ca="1" si="38"/>
        <v>0.66860578515909652</v>
      </c>
      <c r="AA165">
        <f t="shared" ca="1" si="39"/>
        <v>5.7176378470264799E-2</v>
      </c>
      <c r="AB165">
        <f t="shared" ca="1" si="40"/>
        <v>165.18340000000006</v>
      </c>
    </row>
    <row r="166" spans="1:28" x14ac:dyDescent="0.25">
      <c r="A166" s="20">
        <f t="shared" ca="1" si="41"/>
        <v>45530</v>
      </c>
      <c r="B166" vm="486">
        <f ca="1"/>
        <v>45531</v>
      </c>
      <c r="C166" vm="487">
        <f ca="1"/>
        <v>169.25</v>
      </c>
      <c r="D166" vm="488">
        <f ca="1"/>
        <v>4456635</v>
      </c>
      <c r="E166">
        <f t="shared" ca="1" si="42"/>
        <v>754285473.75</v>
      </c>
      <c r="F166">
        <f ca="1">SUM($E$2:E166)/SUM($D$2:D166)</f>
        <v>161.48651908559259</v>
      </c>
      <c r="G166">
        <f ca="1">_xlfn.STDEV.P($C$2:C166)</f>
        <v>5.9061608884935861</v>
      </c>
      <c r="H166">
        <f t="shared" ca="1" si="43"/>
        <v>167.39267997408618</v>
      </c>
      <c r="I166">
        <f t="shared" ca="1" si="44"/>
        <v>155.580358197099</v>
      </c>
      <c r="J166">
        <f t="shared" ca="1" si="53"/>
        <v>168.53649999999999</v>
      </c>
      <c r="K166">
        <f t="shared" ca="1" si="54"/>
        <v>2.3102660475638572</v>
      </c>
      <c r="L166">
        <f t="shared" ca="1" si="55"/>
        <v>173.1570320951277</v>
      </c>
      <c r="M166">
        <f t="shared" ca="1" si="56"/>
        <v>163.91596790487228</v>
      </c>
      <c r="N166">
        <f t="shared" ca="1" si="45"/>
        <v>-1.0999999999999943</v>
      </c>
      <c r="O166">
        <f t="shared" ca="1" si="46"/>
        <v>0</v>
      </c>
      <c r="P166">
        <f t="shared" ca="1" si="47"/>
        <v>1.0999999999999943</v>
      </c>
      <c r="Q166">
        <f t="shared" ca="1" si="51"/>
        <v>0.68162684528884909</v>
      </c>
      <c r="R166">
        <f t="shared" ca="1" si="52"/>
        <v>0.61868928640383047</v>
      </c>
      <c r="S166">
        <f t="shared" ca="1" si="49"/>
        <v>1.1017272486660421</v>
      </c>
      <c r="T166">
        <f t="shared" ca="1" si="50"/>
        <v>52.42008682931165</v>
      </c>
      <c r="U166">
        <f>70</f>
        <v>70</v>
      </c>
      <c r="V166">
        <f>30</f>
        <v>30</v>
      </c>
      <c r="W166">
        <f t="shared" ca="1" si="48"/>
        <v>169.2016148875295</v>
      </c>
      <c r="X166">
        <f t="shared" ca="1" si="58"/>
        <v>168.47583272390014</v>
      </c>
      <c r="Y166">
        <f t="shared" ca="1" si="57"/>
        <v>0.66072360777414474</v>
      </c>
      <c r="Z166">
        <f t="shared" ref="Z166:Z229" ca="1" si="59">Y166*(2/(9+1)) + Z165*(1-(2/(9+1)))</f>
        <v>0.66702934968210614</v>
      </c>
      <c r="AA166">
        <f t="shared" ref="AA166:AA229" ca="1" si="60">Y166-Z166</f>
        <v>-6.3057419079614041E-3</v>
      </c>
      <c r="AB166">
        <f t="shared" ref="AB166:AB229" ca="1" si="61">AVERAGE(C67:C166)</f>
        <v>165.32140000000007</v>
      </c>
    </row>
    <row r="167" spans="1:28" x14ac:dyDescent="0.25">
      <c r="A167" s="20">
        <f t="shared" ca="1" si="41"/>
        <v>45530</v>
      </c>
      <c r="B167" vm="489">
        <f ca="1"/>
        <v>45532</v>
      </c>
      <c r="C167" vm="490">
        <f ca="1"/>
        <v>169.06</v>
      </c>
      <c r="D167" vm="491">
        <f ca="1"/>
        <v>5645040</v>
      </c>
      <c r="E167">
        <f t="shared" ca="1" si="42"/>
        <v>954350462.39999998</v>
      </c>
      <c r="F167">
        <f ca="1">SUM($E$2:E167)/SUM($D$2:D167)</f>
        <v>161.52565130865267</v>
      </c>
      <c r="G167">
        <f ca="1">_xlfn.STDEV.P($C$2:C167)</f>
        <v>5.9135562088415528</v>
      </c>
      <c r="H167">
        <f t="shared" ca="1" si="43"/>
        <v>167.43920751749422</v>
      </c>
      <c r="I167">
        <f t="shared" ca="1" si="44"/>
        <v>155.61209509981111</v>
      </c>
      <c r="J167">
        <f t="shared" ca="1" si="53"/>
        <v>168.95149999999998</v>
      </c>
      <c r="K167">
        <f t="shared" ca="1" si="54"/>
        <v>1.4098311769032585</v>
      </c>
      <c r="L167">
        <f t="shared" ca="1" si="55"/>
        <v>171.77116235380649</v>
      </c>
      <c r="M167">
        <f t="shared" ca="1" si="56"/>
        <v>166.13183764619347</v>
      </c>
      <c r="N167">
        <f t="shared" ca="1" si="45"/>
        <v>-0.18999999999999773</v>
      </c>
      <c r="O167">
        <f t="shared" ca="1" si="46"/>
        <v>0</v>
      </c>
      <c r="P167">
        <f t="shared" ca="1" si="47"/>
        <v>0.18999999999999773</v>
      </c>
      <c r="Q167">
        <f t="shared" ca="1" si="51"/>
        <v>0.63293921348250282</v>
      </c>
      <c r="R167">
        <f t="shared" ca="1" si="52"/>
        <v>0.58806862308927099</v>
      </c>
      <c r="S167">
        <f t="shared" ca="1" si="49"/>
        <v>1.0763016230274545</v>
      </c>
      <c r="T167">
        <f t="shared" ca="1" si="50"/>
        <v>51.837440721069207</v>
      </c>
      <c r="U167">
        <f>70</f>
        <v>70</v>
      </c>
      <c r="V167">
        <f>30</f>
        <v>30</v>
      </c>
      <c r="W167">
        <f t="shared" ca="1" si="48"/>
        <v>169.17982798175575</v>
      </c>
      <c r="X167">
        <f t="shared" ca="1" si="58"/>
        <v>168.51910437398161</v>
      </c>
      <c r="Y167">
        <f t="shared" ca="1" si="57"/>
        <v>0.67960110836875742</v>
      </c>
      <c r="Z167">
        <f t="shared" ca="1" si="59"/>
        <v>0.66954370141943642</v>
      </c>
      <c r="AA167">
        <f t="shared" ca="1" si="60"/>
        <v>1.0057406949321002E-2</v>
      </c>
      <c r="AB167">
        <f t="shared" ca="1" si="61"/>
        <v>165.45100000000011</v>
      </c>
    </row>
    <row r="168" spans="1:28" x14ac:dyDescent="0.25">
      <c r="A168" s="20">
        <f t="shared" ca="1" si="41"/>
        <v>45530</v>
      </c>
      <c r="B168" vm="492">
        <f ca="1"/>
        <v>45533</v>
      </c>
      <c r="C168" vm="493">
        <f ca="1"/>
        <v>170.03</v>
      </c>
      <c r="D168" vm="494">
        <f ca="1"/>
        <v>4413165</v>
      </c>
      <c r="E168">
        <f t="shared" ca="1" si="42"/>
        <v>750370444.95000005</v>
      </c>
      <c r="F168">
        <f ca="1">SUM($E$2:E168)/SUM($D$2:D168)</f>
        <v>161.55986598283073</v>
      </c>
      <c r="G168">
        <f ca="1">_xlfn.STDEV.P($C$2:C168)</f>
        <v>5.9278561153246239</v>
      </c>
      <c r="H168">
        <f t="shared" ca="1" si="43"/>
        <v>167.48772209815536</v>
      </c>
      <c r="I168">
        <f t="shared" ca="1" si="44"/>
        <v>155.6320098675061</v>
      </c>
      <c r="J168">
        <f t="shared" ca="1" si="53"/>
        <v>169.16849999999999</v>
      </c>
      <c r="K168">
        <f t="shared" ca="1" si="54"/>
        <v>1.1997555672105202</v>
      </c>
      <c r="L168">
        <f t="shared" ca="1" si="55"/>
        <v>171.56801113442103</v>
      </c>
      <c r="M168">
        <f t="shared" ca="1" si="56"/>
        <v>166.76898886557896</v>
      </c>
      <c r="N168">
        <f t="shared" ca="1" si="45"/>
        <v>0.96999999999999886</v>
      </c>
      <c r="O168">
        <f t="shared" ca="1" si="46"/>
        <v>0.96999999999999886</v>
      </c>
      <c r="P168">
        <f t="shared" ca="1" si="47"/>
        <v>0</v>
      </c>
      <c r="Q168">
        <f t="shared" ca="1" si="51"/>
        <v>0.65701498394803826</v>
      </c>
      <c r="R168">
        <f t="shared" ca="1" si="52"/>
        <v>0.54606372144003734</v>
      </c>
      <c r="S168">
        <f t="shared" ca="1" si="49"/>
        <v>1.2031837277440969</v>
      </c>
      <c r="T168">
        <f t="shared" ca="1" si="50"/>
        <v>54.611138989124221</v>
      </c>
      <c r="U168">
        <f>70</f>
        <v>70</v>
      </c>
      <c r="V168">
        <f>30</f>
        <v>30</v>
      </c>
      <c r="W168">
        <f t="shared" ca="1" si="48"/>
        <v>169.31062367687025</v>
      </c>
      <c r="X168">
        <f t="shared" ca="1" si="58"/>
        <v>168.63102256850149</v>
      </c>
      <c r="Y168">
        <f t="shared" ca="1" si="57"/>
        <v>0.80710227141730684</v>
      </c>
      <c r="Z168">
        <f t="shared" ca="1" si="59"/>
        <v>0.69705541541901062</v>
      </c>
      <c r="AA168">
        <f t="shared" ca="1" si="60"/>
        <v>0.11004685599829622</v>
      </c>
      <c r="AB168">
        <f t="shared" ca="1" si="61"/>
        <v>165.59090000000006</v>
      </c>
    </row>
    <row r="169" spans="1:28" x14ac:dyDescent="0.25">
      <c r="A169" s="20">
        <f t="shared" ca="1" si="41"/>
        <v>45530</v>
      </c>
      <c r="B169" vm="495">
        <f ca="1"/>
        <v>45534</v>
      </c>
      <c r="C169" vm="496">
        <f ca="1"/>
        <v>171.54</v>
      </c>
      <c r="D169" vm="497">
        <f ca="1"/>
        <v>7301617</v>
      </c>
      <c r="E169">
        <f t="shared" ca="1" si="42"/>
        <v>1252519380.1799998</v>
      </c>
      <c r="F169">
        <f ca="1">SUM($E$2:E169)/SUM($D$2:D169)</f>
        <v>161.62585859849062</v>
      </c>
      <c r="G169">
        <f ca="1">_xlfn.STDEV.P($C$2:C169)</f>
        <v>5.9546190697059815</v>
      </c>
      <c r="H169">
        <f t="shared" ca="1" si="43"/>
        <v>167.58047766819661</v>
      </c>
      <c r="I169">
        <f t="shared" ca="1" si="44"/>
        <v>155.67123952878464</v>
      </c>
      <c r="J169">
        <f t="shared" ca="1" si="53"/>
        <v>169.24150000000003</v>
      </c>
      <c r="K169">
        <f t="shared" ca="1" si="54"/>
        <v>1.2984901150749555</v>
      </c>
      <c r="L169">
        <f t="shared" ca="1" si="55"/>
        <v>171.83848023014994</v>
      </c>
      <c r="M169">
        <f t="shared" ca="1" si="56"/>
        <v>166.64451976985012</v>
      </c>
      <c r="N169">
        <f t="shared" ca="1" si="45"/>
        <v>1.5099999999999909</v>
      </c>
      <c r="O169">
        <f t="shared" ca="1" si="46"/>
        <v>1.5099999999999909</v>
      </c>
      <c r="P169">
        <f t="shared" ca="1" si="47"/>
        <v>0</v>
      </c>
      <c r="Q169">
        <f t="shared" ca="1" si="51"/>
        <v>0.71794248509460623</v>
      </c>
      <c r="R169">
        <f t="shared" ca="1" si="52"/>
        <v>0.50705916990860611</v>
      </c>
      <c r="S169">
        <f t="shared" ca="1" si="49"/>
        <v>1.4158948850565316</v>
      </c>
      <c r="T169">
        <f t="shared" ca="1" si="50"/>
        <v>58.607470623598758</v>
      </c>
      <c r="U169">
        <f>70</f>
        <v>70</v>
      </c>
      <c r="V169">
        <f>30</f>
        <v>30</v>
      </c>
      <c r="W169">
        <f t="shared" ca="1" si="48"/>
        <v>169.65360464965943</v>
      </c>
      <c r="X169">
        <f t="shared" ca="1" si="58"/>
        <v>168.84650237824212</v>
      </c>
      <c r="Y169">
        <f t="shared" ca="1" si="57"/>
        <v>1.1355193960688723</v>
      </c>
      <c r="Z169">
        <f t="shared" ca="1" si="59"/>
        <v>0.784748211548983</v>
      </c>
      <c r="AA169">
        <f t="shared" ca="1" si="60"/>
        <v>0.35077118451988931</v>
      </c>
      <c r="AB169">
        <f t="shared" ca="1" si="61"/>
        <v>165.73970000000008</v>
      </c>
    </row>
    <row r="170" spans="1:28" x14ac:dyDescent="0.25">
      <c r="A170" s="20">
        <f t="shared" ca="1" si="41"/>
        <v>45537</v>
      </c>
      <c r="B170" vm="498">
        <f ca="1"/>
        <v>45538</v>
      </c>
      <c r="C170" vm="499">
        <f ca="1"/>
        <v>174.52</v>
      </c>
      <c r="D170" vm="500">
        <f ca="1"/>
        <v>10101418</v>
      </c>
      <c r="E170">
        <f t="shared" ca="1" si="42"/>
        <v>1762899469.3600001</v>
      </c>
      <c r="F170">
        <f ca="1">SUM($E$2:E170)/SUM($D$2:D170)</f>
        <v>161.74274388967206</v>
      </c>
      <c r="G170">
        <f ca="1">_xlfn.STDEV.P($C$2:C170)</f>
        <v>6.0122133511647506</v>
      </c>
      <c r="H170">
        <f t="shared" ca="1" si="43"/>
        <v>167.7549572408368</v>
      </c>
      <c r="I170">
        <f t="shared" ca="1" si="44"/>
        <v>155.73053053850731</v>
      </c>
      <c r="J170">
        <f t="shared" ca="1" si="53"/>
        <v>169.56450000000001</v>
      </c>
      <c r="K170">
        <f t="shared" ca="1" si="54"/>
        <v>1.7231472888140984</v>
      </c>
      <c r="L170">
        <f t="shared" ca="1" si="55"/>
        <v>173.01079457762822</v>
      </c>
      <c r="M170">
        <f t="shared" ca="1" si="56"/>
        <v>166.1182054223718</v>
      </c>
      <c r="N170">
        <f t="shared" ca="1" si="45"/>
        <v>2.9800000000000182</v>
      </c>
      <c r="O170">
        <f t="shared" ca="1" si="46"/>
        <v>2.9800000000000182</v>
      </c>
      <c r="P170">
        <f t="shared" ca="1" si="47"/>
        <v>0</v>
      </c>
      <c r="Q170">
        <f t="shared" ca="1" si="51"/>
        <v>0.8795180218735642</v>
      </c>
      <c r="R170">
        <f t="shared" ca="1" si="52"/>
        <v>0.47084065777227707</v>
      </c>
      <c r="S170">
        <f t="shared" ca="1" si="49"/>
        <v>1.8679738194974331</v>
      </c>
      <c r="T170">
        <f t="shared" ca="1" si="50"/>
        <v>65.13217822276934</v>
      </c>
      <c r="U170">
        <f>70</f>
        <v>70</v>
      </c>
      <c r="V170">
        <f>30</f>
        <v>30</v>
      </c>
      <c r="W170">
        <f t="shared" ca="1" si="48"/>
        <v>170.40228085740415</v>
      </c>
      <c r="X170">
        <f t="shared" ca="1" si="58"/>
        <v>169.26676146133528</v>
      </c>
      <c r="Y170">
        <f t="shared" ca="1" si="57"/>
        <v>1.4899713382195898</v>
      </c>
      <c r="Z170">
        <f t="shared" ca="1" si="59"/>
        <v>0.92579283688310432</v>
      </c>
      <c r="AA170">
        <f t="shared" ca="1" si="60"/>
        <v>0.56417850133648551</v>
      </c>
      <c r="AB170">
        <f t="shared" ca="1" si="61"/>
        <v>165.91250000000008</v>
      </c>
    </row>
    <row r="171" spans="1:28" x14ac:dyDescent="0.25">
      <c r="A171" s="20">
        <f t="shared" ca="1" si="41"/>
        <v>45537</v>
      </c>
      <c r="B171" vm="501">
        <f ca="1"/>
        <v>45539</v>
      </c>
      <c r="C171" vm="502">
        <f ca="1"/>
        <v>175.9</v>
      </c>
      <c r="D171" vm="503">
        <f ca="1"/>
        <v>7517526</v>
      </c>
      <c r="E171">
        <f t="shared" ca="1" si="42"/>
        <v>1322332823.4000001</v>
      </c>
      <c r="F171">
        <f ca="1">SUM($E$2:E171)/SUM($D$2:D171)</f>
        <v>161.83761175203702</v>
      </c>
      <c r="G171">
        <f ca="1">_xlfn.STDEV.P($C$2:C171)</f>
        <v>6.0849648436773185</v>
      </c>
      <c r="H171">
        <f t="shared" ca="1" si="43"/>
        <v>167.92257659571433</v>
      </c>
      <c r="I171">
        <f t="shared" ca="1" si="44"/>
        <v>155.75264690835971</v>
      </c>
      <c r="J171">
        <f t="shared" ca="1" si="53"/>
        <v>169.95500000000001</v>
      </c>
      <c r="K171">
        <f t="shared" ca="1" si="54"/>
        <v>2.1924523640027092</v>
      </c>
      <c r="L171">
        <f t="shared" ca="1" si="55"/>
        <v>174.33990472800542</v>
      </c>
      <c r="M171">
        <f t="shared" ca="1" si="56"/>
        <v>165.5700952719946</v>
      </c>
      <c r="N171">
        <f t="shared" ca="1" si="45"/>
        <v>1.3799999999999955</v>
      </c>
      <c r="O171">
        <f t="shared" ca="1" si="46"/>
        <v>1.3799999999999955</v>
      </c>
      <c r="P171">
        <f t="shared" ca="1" si="47"/>
        <v>0</v>
      </c>
      <c r="Q171">
        <f t="shared" ca="1" si="51"/>
        <v>0.91526673459688079</v>
      </c>
      <c r="R171">
        <f t="shared" ca="1" si="52"/>
        <v>0.43720918221711441</v>
      </c>
      <c r="S171">
        <f t="shared" ca="1" si="49"/>
        <v>2.0934298084855114</v>
      </c>
      <c r="T171">
        <f t="shared" ca="1" si="50"/>
        <v>67.673421997262565</v>
      </c>
      <c r="U171">
        <f>70</f>
        <v>70</v>
      </c>
      <c r="V171">
        <f>30</f>
        <v>30</v>
      </c>
      <c r="W171">
        <f t="shared" ca="1" si="48"/>
        <v>171.2480838024189</v>
      </c>
      <c r="X171">
        <f t="shared" ca="1" si="58"/>
        <v>169.75811246419931</v>
      </c>
      <c r="Y171">
        <f t="shared" ca="1" si="57"/>
        <v>1.7163941266485381</v>
      </c>
      <c r="Z171">
        <f t="shared" ca="1" si="59"/>
        <v>1.0839130948361912</v>
      </c>
      <c r="AA171">
        <f t="shared" ca="1" si="60"/>
        <v>0.63248103181234683</v>
      </c>
      <c r="AB171">
        <f t="shared" ca="1" si="61"/>
        <v>166.11310000000009</v>
      </c>
    </row>
    <row r="172" spans="1:28" x14ac:dyDescent="0.25">
      <c r="A172" s="20">
        <f t="shared" ca="1" si="41"/>
        <v>45537</v>
      </c>
      <c r="B172" vm="504">
        <f ca="1"/>
        <v>45540</v>
      </c>
      <c r="C172" vm="505">
        <f ca="1"/>
        <v>175.47</v>
      </c>
      <c r="D172" vm="506">
        <f ca="1"/>
        <v>6061865</v>
      </c>
      <c r="E172">
        <f t="shared" ca="1" si="42"/>
        <v>1063675451.55</v>
      </c>
      <c r="F172">
        <f ca="1">SUM($E$2:E172)/SUM($D$2:D172)</f>
        <v>161.91087782624484</v>
      </c>
      <c r="G172">
        <f ca="1">_xlfn.STDEV.P($C$2:C172)</f>
        <v>6.149554191195743</v>
      </c>
      <c r="H172">
        <f t="shared" ca="1" si="43"/>
        <v>168.06043201744058</v>
      </c>
      <c r="I172">
        <f t="shared" ca="1" si="44"/>
        <v>155.76132363504911</v>
      </c>
      <c r="J172">
        <f t="shared" ca="1" si="53"/>
        <v>170.22750000000002</v>
      </c>
      <c r="K172">
        <f t="shared" ca="1" si="54"/>
        <v>2.5158024250932902</v>
      </c>
      <c r="L172">
        <f t="shared" ca="1" si="55"/>
        <v>175.25910485018659</v>
      </c>
      <c r="M172">
        <f t="shared" ca="1" si="56"/>
        <v>165.19589514981345</v>
      </c>
      <c r="N172">
        <f t="shared" ca="1" si="45"/>
        <v>-0.43000000000000682</v>
      </c>
      <c r="O172">
        <f t="shared" ca="1" si="46"/>
        <v>0</v>
      </c>
      <c r="P172">
        <f t="shared" ca="1" si="47"/>
        <v>0.43000000000000682</v>
      </c>
      <c r="Q172">
        <f t="shared" ca="1" si="51"/>
        <v>0.8498905392685322</v>
      </c>
      <c r="R172">
        <f t="shared" ca="1" si="52"/>
        <v>0.43669424063017814</v>
      </c>
      <c r="S172">
        <f t="shared" ca="1" si="49"/>
        <v>1.9461913169316933</v>
      </c>
      <c r="T172">
        <f t="shared" ca="1" si="50"/>
        <v>66.057872947590909</v>
      </c>
      <c r="U172">
        <f>70</f>
        <v>70</v>
      </c>
      <c r="V172">
        <f>30</f>
        <v>30</v>
      </c>
      <c r="W172">
        <f t="shared" ca="1" si="48"/>
        <v>171.89760937127753</v>
      </c>
      <c r="X172">
        <f t="shared" ca="1" si="58"/>
        <v>170.18121524462899</v>
      </c>
      <c r="Y172">
        <f t="shared" ca="1" si="57"/>
        <v>1.8838035007549934</v>
      </c>
      <c r="Z172">
        <f t="shared" ca="1" si="59"/>
        <v>1.2438911760199518</v>
      </c>
      <c r="AA172">
        <f t="shared" ca="1" si="60"/>
        <v>0.63991232473504156</v>
      </c>
      <c r="AB172">
        <f t="shared" ca="1" si="61"/>
        <v>166.31450000000007</v>
      </c>
    </row>
    <row r="173" spans="1:28" x14ac:dyDescent="0.25">
      <c r="A173" s="20">
        <f t="shared" ca="1" si="41"/>
        <v>45537</v>
      </c>
      <c r="B173" vm="507">
        <f ca="1"/>
        <v>45541</v>
      </c>
      <c r="C173" vm="508">
        <f ca="1"/>
        <v>175.59</v>
      </c>
      <c r="D173" vm="509">
        <f ca="1"/>
        <v>5785684</v>
      </c>
      <c r="E173">
        <f t="shared" ca="1" si="42"/>
        <v>1015908253.5600001</v>
      </c>
      <c r="F173">
        <f ca="1">SUM($E$2:E173)/SUM($D$2:D173)</f>
        <v>161.98068750048623</v>
      </c>
      <c r="G173">
        <f ca="1">_xlfn.STDEV.P($C$2:C173)</f>
        <v>6.2132633085238895</v>
      </c>
      <c r="H173">
        <f t="shared" ca="1" si="43"/>
        <v>168.19395080901012</v>
      </c>
      <c r="I173">
        <f t="shared" ca="1" si="44"/>
        <v>155.76742419196233</v>
      </c>
      <c r="J173">
        <f t="shared" ca="1" si="53"/>
        <v>170.46350000000001</v>
      </c>
      <c r="K173">
        <f t="shared" ca="1" si="54"/>
        <v>2.7861089165244168</v>
      </c>
      <c r="L173">
        <f t="shared" ca="1" si="55"/>
        <v>176.03571783304884</v>
      </c>
      <c r="M173">
        <f t="shared" ca="1" si="56"/>
        <v>164.89128216695119</v>
      </c>
      <c r="N173">
        <f t="shared" ca="1" si="45"/>
        <v>0.12000000000000455</v>
      </c>
      <c r="O173">
        <f t="shared" ca="1" si="46"/>
        <v>0.12000000000000455</v>
      </c>
      <c r="P173">
        <f t="shared" ca="1" si="47"/>
        <v>0</v>
      </c>
      <c r="Q173">
        <f t="shared" ca="1" si="51"/>
        <v>0.79775550074935164</v>
      </c>
      <c r="R173">
        <f t="shared" ca="1" si="52"/>
        <v>0.40550179487087973</v>
      </c>
      <c r="S173">
        <f t="shared" ca="1" si="49"/>
        <v>1.9673291483293525</v>
      </c>
      <c r="T173">
        <f t="shared" ca="1" si="50"/>
        <v>66.299660401239493</v>
      </c>
      <c r="U173">
        <f>70</f>
        <v>70</v>
      </c>
      <c r="V173">
        <f>30</f>
        <v>30</v>
      </c>
      <c r="W173">
        <f t="shared" ca="1" si="48"/>
        <v>172.46566946800405</v>
      </c>
      <c r="X173">
        <f t="shared" ca="1" si="58"/>
        <v>170.58186596724906</v>
      </c>
      <c r="Y173">
        <f t="shared" ca="1" si="57"/>
        <v>2.0309897226246676</v>
      </c>
      <c r="Z173">
        <f t="shared" ca="1" si="59"/>
        <v>1.4013108853408949</v>
      </c>
      <c r="AA173">
        <f t="shared" ca="1" si="60"/>
        <v>0.62967883728377272</v>
      </c>
      <c r="AB173">
        <f t="shared" ca="1" si="61"/>
        <v>166.51590000000007</v>
      </c>
    </row>
    <row r="174" spans="1:28" x14ac:dyDescent="0.25">
      <c r="A174" s="20">
        <f t="shared" ca="1" si="41"/>
        <v>45544</v>
      </c>
      <c r="B174" vm="510">
        <f ca="1"/>
        <v>45544</v>
      </c>
      <c r="C174" vm="511">
        <f ca="1"/>
        <v>176.06</v>
      </c>
      <c r="D174" vm="512">
        <f ca="1"/>
        <v>6450204</v>
      </c>
      <c r="E174">
        <f t="shared" ca="1" si="42"/>
        <v>1135622916.24</v>
      </c>
      <c r="F174">
        <f ca="1">SUM($E$2:E174)/SUM($D$2:D174)</f>
        <v>162.06033894284624</v>
      </c>
      <c r="G174">
        <f ca="1">_xlfn.STDEV.P($C$2:C174)</f>
        <v>6.2804263491529158</v>
      </c>
      <c r="H174">
        <f t="shared" ca="1" si="43"/>
        <v>168.34076529199916</v>
      </c>
      <c r="I174">
        <f t="shared" ca="1" si="44"/>
        <v>155.77991259369333</v>
      </c>
      <c r="J174">
        <f t="shared" ca="1" si="53"/>
        <v>170.73950000000002</v>
      </c>
      <c r="K174">
        <f t="shared" ca="1" si="54"/>
        <v>3.0545659955307318</v>
      </c>
      <c r="L174">
        <f t="shared" ca="1" si="55"/>
        <v>176.8486319910615</v>
      </c>
      <c r="M174">
        <f t="shared" ca="1" si="56"/>
        <v>164.63036800893855</v>
      </c>
      <c r="N174">
        <f t="shared" ca="1" si="45"/>
        <v>0.46999999999999886</v>
      </c>
      <c r="O174">
        <f t="shared" ca="1" si="46"/>
        <v>0.46999999999999886</v>
      </c>
      <c r="P174">
        <f t="shared" ca="1" si="47"/>
        <v>0</v>
      </c>
      <c r="Q174">
        <f t="shared" ca="1" si="51"/>
        <v>0.77434439355296925</v>
      </c>
      <c r="R174">
        <f t="shared" ca="1" si="52"/>
        <v>0.37653738095153116</v>
      </c>
      <c r="S174">
        <f t="shared" ca="1" si="49"/>
        <v>2.0564874371733222</v>
      </c>
      <c r="T174">
        <f t="shared" ca="1" si="50"/>
        <v>67.282705374872648</v>
      </c>
      <c r="U174">
        <f>70</f>
        <v>70</v>
      </c>
      <c r="V174">
        <f>30</f>
        <v>30</v>
      </c>
      <c r="W174">
        <f t="shared" ca="1" si="48"/>
        <v>173.01864339600343</v>
      </c>
      <c r="X174">
        <f t="shared" ca="1" si="58"/>
        <v>170.98765367337876</v>
      </c>
      <c r="Y174">
        <f t="shared" ca="1" si="57"/>
        <v>2.2611670791023357</v>
      </c>
      <c r="Z174">
        <f t="shared" ca="1" si="59"/>
        <v>1.5732821240931831</v>
      </c>
      <c r="AA174">
        <f t="shared" ca="1" si="60"/>
        <v>0.68788495500915259</v>
      </c>
      <c r="AB174">
        <f t="shared" ca="1" si="61"/>
        <v>166.71700000000004</v>
      </c>
    </row>
    <row r="175" spans="1:28" x14ac:dyDescent="0.25">
      <c r="A175" s="20">
        <f t="shared" ca="1" si="41"/>
        <v>45544</v>
      </c>
      <c r="B175" vm="513">
        <f ca="1"/>
        <v>45545</v>
      </c>
      <c r="C175" vm="514">
        <f ca="1"/>
        <v>177.79</v>
      </c>
      <c r="D175" vm="515">
        <f ca="1"/>
        <v>6396311</v>
      </c>
      <c r="E175">
        <f t="shared" ca="1" si="42"/>
        <v>1137200132.6900001</v>
      </c>
      <c r="F175">
        <f ca="1">SUM($E$2:E175)/SUM($D$2:D175)</f>
        <v>162.14809115395988</v>
      </c>
      <c r="G175">
        <f ca="1">_xlfn.STDEV.P($C$2:C175)</f>
        <v>6.3675291723919916</v>
      </c>
      <c r="H175">
        <f t="shared" ca="1" si="43"/>
        <v>168.51562032635186</v>
      </c>
      <c r="I175">
        <f t="shared" ca="1" si="44"/>
        <v>155.7805619815679</v>
      </c>
      <c r="J175">
        <f t="shared" ca="1" si="53"/>
        <v>171.2885</v>
      </c>
      <c r="K175">
        <f t="shared" ca="1" si="54"/>
        <v>3.2888780281747367</v>
      </c>
      <c r="L175">
        <f t="shared" ca="1" si="55"/>
        <v>177.86625605634947</v>
      </c>
      <c r="M175">
        <f t="shared" ca="1" si="56"/>
        <v>164.71074394365053</v>
      </c>
      <c r="N175">
        <f t="shared" ca="1" si="45"/>
        <v>1.7299999999999898</v>
      </c>
      <c r="O175">
        <f t="shared" ca="1" si="46"/>
        <v>1.7299999999999898</v>
      </c>
      <c r="P175">
        <f t="shared" ca="1" si="47"/>
        <v>0</v>
      </c>
      <c r="Q175">
        <f t="shared" ca="1" si="51"/>
        <v>0.84260550829918501</v>
      </c>
      <c r="R175">
        <f t="shared" ca="1" si="52"/>
        <v>0.3496418537407075</v>
      </c>
      <c r="S175">
        <f t="shared" ca="1" si="49"/>
        <v>2.4099103104631654</v>
      </c>
      <c r="T175">
        <f t="shared" ca="1" si="50"/>
        <v>70.673715466018493</v>
      </c>
      <c r="U175">
        <f>70</f>
        <v>70</v>
      </c>
      <c r="V175">
        <f>30</f>
        <v>30</v>
      </c>
      <c r="W175">
        <f t="shared" ca="1" si="48"/>
        <v>173.75269825815676</v>
      </c>
      <c r="X175">
        <f t="shared" ca="1" si="58"/>
        <v>171.49153117905442</v>
      </c>
      <c r="Y175">
        <f t="shared" ca="1" si="57"/>
        <v>2.1070192292873742</v>
      </c>
      <c r="Z175">
        <f t="shared" ca="1" si="59"/>
        <v>1.6800295451320215</v>
      </c>
      <c r="AA175">
        <f t="shared" ca="1" si="60"/>
        <v>0.42698968415535266</v>
      </c>
      <c r="AB175">
        <f t="shared" ca="1" si="61"/>
        <v>166.92530000000005</v>
      </c>
    </row>
    <row r="176" spans="1:28" x14ac:dyDescent="0.25">
      <c r="A176" s="20">
        <f t="shared" ca="1" si="41"/>
        <v>45544</v>
      </c>
      <c r="B176" vm="516">
        <f ca="1"/>
        <v>45546</v>
      </c>
      <c r="C176" vm="517">
        <f ca="1"/>
        <v>173.92</v>
      </c>
      <c r="D176" vm="518">
        <f ca="1"/>
        <v>6828173</v>
      </c>
      <c r="E176">
        <f t="shared" ca="1" si="42"/>
        <v>1187555848.1599998</v>
      </c>
      <c r="F176">
        <f ca="1">SUM($E$2:E176)/SUM($D$2:D176)</f>
        <v>162.21778297234101</v>
      </c>
      <c r="G176">
        <f ca="1">_xlfn.STDEV.P($C$2:C176)</f>
        <v>6.4060801348310905</v>
      </c>
      <c r="H176">
        <f t="shared" ca="1" si="43"/>
        <v>168.6238631071721</v>
      </c>
      <c r="I176">
        <f t="shared" ca="1" si="44"/>
        <v>155.81170283750993</v>
      </c>
      <c r="J176">
        <f t="shared" ca="1" si="53"/>
        <v>171.62</v>
      </c>
      <c r="K176">
        <f t="shared" ca="1" si="54"/>
        <v>3.1975039607399056</v>
      </c>
      <c r="L176">
        <f t="shared" ca="1" si="55"/>
        <v>178.01500792147982</v>
      </c>
      <c r="M176">
        <f t="shared" ca="1" si="56"/>
        <v>165.22499207852019</v>
      </c>
      <c r="N176">
        <f t="shared" ca="1" si="45"/>
        <v>-3.8700000000000045</v>
      </c>
      <c r="O176">
        <f t="shared" ca="1" si="46"/>
        <v>0</v>
      </c>
      <c r="P176">
        <f t="shared" ca="1" si="47"/>
        <v>3.8700000000000045</v>
      </c>
      <c r="Q176">
        <f t="shared" ca="1" si="51"/>
        <v>0.78241940056352899</v>
      </c>
      <c r="R176">
        <f t="shared" ca="1" si="52"/>
        <v>0.60109600704494304</v>
      </c>
      <c r="S176">
        <f t="shared" ca="1" si="49"/>
        <v>1.3016546298651901</v>
      </c>
      <c r="T176">
        <f t="shared" ca="1" si="50"/>
        <v>56.552995092118977</v>
      </c>
      <c r="U176">
        <f>70</f>
        <v>70</v>
      </c>
      <c r="V176">
        <f>30</f>
        <v>30</v>
      </c>
      <c r="W176">
        <f t="shared" ca="1" si="48"/>
        <v>173.77843698767109</v>
      </c>
      <c r="X176">
        <f t="shared" ca="1" si="58"/>
        <v>171.67141775838371</v>
      </c>
      <c r="Y176">
        <f t="shared" ca="1" si="57"/>
        <v>1.9263390708364909</v>
      </c>
      <c r="Z176">
        <f t="shared" ca="1" si="59"/>
        <v>1.7292914502729155</v>
      </c>
      <c r="AA176">
        <f t="shared" ca="1" si="60"/>
        <v>0.19704762056357539</v>
      </c>
      <c r="AB176">
        <f t="shared" ca="1" si="61"/>
        <v>167.09160000000003</v>
      </c>
    </row>
    <row r="177" spans="1:28" x14ac:dyDescent="0.25">
      <c r="A177" s="20">
        <f t="shared" ca="1" si="41"/>
        <v>45544</v>
      </c>
      <c r="B177" vm="519">
        <f ca="1"/>
        <v>45547</v>
      </c>
      <c r="C177" vm="520">
        <f ca="1"/>
        <v>173.47</v>
      </c>
      <c r="D177" vm="521">
        <f ca="1"/>
        <v>4839752</v>
      </c>
      <c r="E177">
        <f t="shared" ca="1" si="42"/>
        <v>839551779.43999994</v>
      </c>
      <c r="F177">
        <f ca="1">SUM($E$2:E177)/SUM($D$2:D177)</f>
        <v>162.26480193411862</v>
      </c>
      <c r="G177">
        <f ca="1">_xlfn.STDEV.P($C$2:C177)</f>
        <v>6.4389898420443563</v>
      </c>
      <c r="H177">
        <f t="shared" ca="1" si="43"/>
        <v>168.70379177616297</v>
      </c>
      <c r="I177">
        <f t="shared" ca="1" si="44"/>
        <v>155.82581209207427</v>
      </c>
      <c r="J177">
        <f t="shared" ca="1" si="53"/>
        <v>171.8535</v>
      </c>
      <c r="K177">
        <f t="shared" ca="1" si="54"/>
        <v>3.1509084320824745</v>
      </c>
      <c r="L177">
        <f t="shared" ca="1" si="55"/>
        <v>178.15531686416494</v>
      </c>
      <c r="M177">
        <f t="shared" ca="1" si="56"/>
        <v>165.55168313583505</v>
      </c>
      <c r="N177">
        <f t="shared" ca="1" si="45"/>
        <v>-0.44999999999998863</v>
      </c>
      <c r="O177">
        <f t="shared" ca="1" si="46"/>
        <v>0</v>
      </c>
      <c r="P177">
        <f t="shared" ca="1" si="47"/>
        <v>0.44999999999998863</v>
      </c>
      <c r="Q177">
        <f t="shared" ca="1" si="51"/>
        <v>0.726532300523277</v>
      </c>
      <c r="R177">
        <f t="shared" ca="1" si="52"/>
        <v>0.59030343511316052</v>
      </c>
      <c r="S177">
        <f t="shared" ca="1" si="49"/>
        <v>1.2307776938211474</v>
      </c>
      <c r="T177">
        <f t="shared" ca="1" si="50"/>
        <v>55.172583858543149</v>
      </c>
      <c r="U177">
        <f>70</f>
        <v>70</v>
      </c>
      <c r="V177">
        <f>30</f>
        <v>30</v>
      </c>
      <c r="W177">
        <f t="shared" ca="1" si="48"/>
        <v>173.73098514341399</v>
      </c>
      <c r="X177">
        <f t="shared" ca="1" si="58"/>
        <v>171.8046460725775</v>
      </c>
      <c r="Y177">
        <f t="shared" ca="1" si="57"/>
        <v>1.8114889287927838</v>
      </c>
      <c r="Z177">
        <f t="shared" ca="1" si="59"/>
        <v>1.7457309459768893</v>
      </c>
      <c r="AA177">
        <f t="shared" ca="1" si="60"/>
        <v>6.5757982815894511E-2</v>
      </c>
      <c r="AB177">
        <f t="shared" ca="1" si="61"/>
        <v>167.24490000000006</v>
      </c>
    </row>
    <row r="178" spans="1:28" x14ac:dyDescent="0.25">
      <c r="A178" s="20">
        <f t="shared" ca="1" si="41"/>
        <v>45544</v>
      </c>
      <c r="B178" vm="522">
        <f ca="1"/>
        <v>45548</v>
      </c>
      <c r="C178" vm="523">
        <f ca="1"/>
        <v>174.08</v>
      </c>
      <c r="D178" vm="524">
        <f ca="1"/>
        <v>3917986</v>
      </c>
      <c r="E178">
        <f t="shared" ca="1" si="42"/>
        <v>682043002.88</v>
      </c>
      <c r="F178">
        <f ca="1">SUM($E$2:E178)/SUM($D$2:D178)</f>
        <v>162.30463548907113</v>
      </c>
      <c r="G178">
        <f ca="1">_xlfn.STDEV.P($C$2:C178)</f>
        <v>6.4766264583169155</v>
      </c>
      <c r="H178">
        <f t="shared" ca="1" si="43"/>
        <v>168.78126194738806</v>
      </c>
      <c r="I178">
        <f t="shared" ca="1" si="44"/>
        <v>155.8280090307542</v>
      </c>
      <c r="J178">
        <f t="shared" ca="1" si="53"/>
        <v>172.16149999999996</v>
      </c>
      <c r="K178">
        <f t="shared" ca="1" si="54"/>
        <v>3.045478572711048</v>
      </c>
      <c r="L178">
        <f t="shared" ca="1" si="55"/>
        <v>178.25245714542206</v>
      </c>
      <c r="M178">
        <f t="shared" ca="1" si="56"/>
        <v>166.07054285457787</v>
      </c>
      <c r="N178">
        <f t="shared" ca="1" si="45"/>
        <v>0.61000000000001364</v>
      </c>
      <c r="O178">
        <f t="shared" ca="1" si="46"/>
        <v>0.61000000000001364</v>
      </c>
      <c r="P178">
        <f t="shared" ca="1" si="47"/>
        <v>0</v>
      </c>
      <c r="Q178">
        <f t="shared" ca="1" si="51"/>
        <v>0.71820856477161532</v>
      </c>
      <c r="R178">
        <f t="shared" ca="1" si="52"/>
        <v>0.54813890403364907</v>
      </c>
      <c r="S178">
        <f t="shared" ca="1" si="49"/>
        <v>1.3102674513457377</v>
      </c>
      <c r="T178">
        <f t="shared" ca="1" si="50"/>
        <v>56.714968242421584</v>
      </c>
      <c r="U178">
        <f>70</f>
        <v>70</v>
      </c>
      <c r="V178">
        <f>30</f>
        <v>30</v>
      </c>
      <c r="W178">
        <f t="shared" ca="1" si="48"/>
        <v>173.78467973673492</v>
      </c>
      <c r="X178">
        <f t="shared" ca="1" si="58"/>
        <v>171.97319080794213</v>
      </c>
      <c r="Y178">
        <f t="shared" ca="1" si="57"/>
        <v>1.9529426473762896</v>
      </c>
      <c r="Z178">
        <f t="shared" ca="1" si="59"/>
        <v>1.7871732862567695</v>
      </c>
      <c r="AA178">
        <f t="shared" ca="1" si="60"/>
        <v>0.16576936111952012</v>
      </c>
      <c r="AB178">
        <f t="shared" ca="1" si="61"/>
        <v>167.38030000000009</v>
      </c>
    </row>
    <row r="179" spans="1:28" x14ac:dyDescent="0.25">
      <c r="A179" s="20">
        <f t="shared" ca="1" si="41"/>
        <v>45551</v>
      </c>
      <c r="B179" vm="525">
        <f ca="1"/>
        <v>45551</v>
      </c>
      <c r="C179" vm="526">
        <f ca="1"/>
        <v>177.24</v>
      </c>
      <c r="D179" vm="527">
        <f ca="1"/>
        <v>6892335</v>
      </c>
      <c r="E179">
        <f t="shared" ca="1" si="42"/>
        <v>1221597455.4000001</v>
      </c>
      <c r="F179">
        <f ca="1">SUM($E$2:E179)/SUM($D$2:D179)</f>
        <v>162.39269155719782</v>
      </c>
      <c r="G179">
        <f ca="1">_xlfn.STDEV.P($C$2:C179)</f>
        <v>6.5477171064152762</v>
      </c>
      <c r="H179">
        <f t="shared" ca="1" si="43"/>
        <v>168.94040866361308</v>
      </c>
      <c r="I179">
        <f t="shared" ca="1" si="44"/>
        <v>155.84497445078256</v>
      </c>
      <c r="J179">
        <f t="shared" ca="1" si="53"/>
        <v>172.62899999999996</v>
      </c>
      <c r="K179">
        <f t="shared" ca="1" si="54"/>
        <v>3.0727852957348367</v>
      </c>
      <c r="L179">
        <f t="shared" ca="1" si="55"/>
        <v>178.77457059146963</v>
      </c>
      <c r="M179">
        <f t="shared" ca="1" si="56"/>
        <v>166.4834294085303</v>
      </c>
      <c r="N179">
        <f t="shared" ca="1" si="45"/>
        <v>3.1599999999999966</v>
      </c>
      <c r="O179">
        <f t="shared" ca="1" si="46"/>
        <v>3.1599999999999966</v>
      </c>
      <c r="P179">
        <f t="shared" ca="1" si="47"/>
        <v>0</v>
      </c>
      <c r="Q179">
        <f t="shared" ca="1" si="51"/>
        <v>0.89262223871649959</v>
      </c>
      <c r="R179">
        <f t="shared" ca="1" si="52"/>
        <v>0.50898612517410269</v>
      </c>
      <c r="S179">
        <f t="shared" ca="1" si="49"/>
        <v>1.7537260733996849</v>
      </c>
      <c r="T179">
        <f t="shared" ca="1" si="50"/>
        <v>63.68556736053911</v>
      </c>
      <c r="U179">
        <f>70</f>
        <v>70</v>
      </c>
      <c r="V179">
        <f>30</f>
        <v>30</v>
      </c>
      <c r="W179">
        <f t="shared" ca="1" si="48"/>
        <v>174.31626746954493</v>
      </c>
      <c r="X179">
        <f t="shared" ca="1" si="58"/>
        <v>172.36332482216864</v>
      </c>
      <c r="Y179">
        <f t="shared" ca="1" si="57"/>
        <v>1.9330224252137498</v>
      </c>
      <c r="Z179">
        <f t="shared" ca="1" si="59"/>
        <v>1.8163431140481656</v>
      </c>
      <c r="AA179">
        <f t="shared" ca="1" si="60"/>
        <v>0.11667931116558417</v>
      </c>
      <c r="AB179">
        <f t="shared" ca="1" si="61"/>
        <v>167.53770000000011</v>
      </c>
    </row>
    <row r="180" spans="1:28" x14ac:dyDescent="0.25">
      <c r="A180" s="20">
        <f t="shared" ca="1" si="41"/>
        <v>45551</v>
      </c>
      <c r="B180" vm="528">
        <f ca="1"/>
        <v>45552</v>
      </c>
      <c r="C180" vm="529">
        <f ca="1"/>
        <v>175.88</v>
      </c>
      <c r="D180" vm="530">
        <f ca="1"/>
        <v>4757247</v>
      </c>
      <c r="E180">
        <f t="shared" ca="1" si="42"/>
        <v>836704602.36000001</v>
      </c>
      <c r="F180">
        <f ca="1">SUM($E$2:E180)/SUM($D$2:D180)</f>
        <v>162.44735466684622</v>
      </c>
      <c r="G180">
        <f ca="1">_xlfn.STDEV.P($C$2:C180)</f>
        <v>6.6006716435905064</v>
      </c>
      <c r="H180">
        <f t="shared" ca="1" si="43"/>
        <v>169.04802631043674</v>
      </c>
      <c r="I180">
        <f t="shared" ca="1" si="44"/>
        <v>155.84668302325571</v>
      </c>
      <c r="J180">
        <f t="shared" ca="1" si="53"/>
        <v>173.00200000000001</v>
      </c>
      <c r="K180">
        <f t="shared" ca="1" si="54"/>
        <v>2.9865392751653665</v>
      </c>
      <c r="L180">
        <f t="shared" ca="1" si="55"/>
        <v>178.97507855033075</v>
      </c>
      <c r="M180">
        <f t="shared" ca="1" si="56"/>
        <v>167.02892144966927</v>
      </c>
      <c r="N180">
        <f t="shared" ca="1" si="45"/>
        <v>-1.3600000000000136</v>
      </c>
      <c r="O180">
        <f t="shared" ca="1" si="46"/>
        <v>0</v>
      </c>
      <c r="P180">
        <f t="shared" ca="1" si="47"/>
        <v>1.3600000000000136</v>
      </c>
      <c r="Q180">
        <f t="shared" ca="1" si="51"/>
        <v>0.82886350737960679</v>
      </c>
      <c r="R180">
        <f t="shared" ca="1" si="52"/>
        <v>0.56977283051881067</v>
      </c>
      <c r="S180">
        <f t="shared" ca="1" si="49"/>
        <v>1.4547262750750669</v>
      </c>
      <c r="T180">
        <f t="shared" ca="1" si="50"/>
        <v>59.262260311715629</v>
      </c>
      <c r="U180">
        <f>70</f>
        <v>70</v>
      </c>
      <c r="V180">
        <f>30</f>
        <v>30</v>
      </c>
      <c r="W180">
        <f t="shared" ca="1" si="48"/>
        <v>174.55684170499953</v>
      </c>
      <c r="X180">
        <f t="shared" ca="1" si="58"/>
        <v>172.62381927978578</v>
      </c>
      <c r="Y180">
        <f t="shared" ca="1" si="57"/>
        <v>1.739033391608217</v>
      </c>
      <c r="Z180">
        <f t="shared" ca="1" si="59"/>
        <v>1.8008811695601759</v>
      </c>
      <c r="AA180">
        <f t="shared" ca="1" si="60"/>
        <v>-6.1847777951958838E-2</v>
      </c>
      <c r="AB180">
        <f t="shared" ca="1" si="61"/>
        <v>167.67050000000009</v>
      </c>
    </row>
    <row r="181" spans="1:28" x14ac:dyDescent="0.25">
      <c r="A181" s="20">
        <f t="shared" ca="1" si="41"/>
        <v>45551</v>
      </c>
      <c r="B181" vm="531">
        <f ca="1"/>
        <v>45553</v>
      </c>
      <c r="C181" vm="517">
        <f ca="1"/>
        <v>173.92</v>
      </c>
      <c r="D181" vm="532">
        <f ca="1"/>
        <v>5102884</v>
      </c>
      <c r="E181">
        <f t="shared" ca="1" si="42"/>
        <v>887493585.27999997</v>
      </c>
      <c r="F181">
        <f ca="1">SUM($E$2:E181)/SUM($D$2:D181)</f>
        <v>162.49701488810987</v>
      </c>
      <c r="G181">
        <f ca="1">_xlfn.STDEV.P($C$2:C181)</f>
        <v>6.6324034021528657</v>
      </c>
      <c r="H181">
        <f t="shared" ca="1" si="43"/>
        <v>169.12941829026275</v>
      </c>
      <c r="I181">
        <f t="shared" ca="1" si="44"/>
        <v>155.864611485957</v>
      </c>
      <c r="J181">
        <f t="shared" ca="1" si="53"/>
        <v>173.17750000000001</v>
      </c>
      <c r="K181">
        <f t="shared" ca="1" si="54"/>
        <v>2.9287789354322369</v>
      </c>
      <c r="L181">
        <f t="shared" ca="1" si="55"/>
        <v>179.03505787086448</v>
      </c>
      <c r="M181">
        <f t="shared" ca="1" si="56"/>
        <v>167.31994212913554</v>
      </c>
      <c r="N181">
        <f t="shared" ca="1" si="45"/>
        <v>-1.960000000000008</v>
      </c>
      <c r="O181">
        <f t="shared" ca="1" si="46"/>
        <v>0</v>
      </c>
      <c r="P181">
        <f t="shared" ca="1" si="47"/>
        <v>1.960000000000008</v>
      </c>
      <c r="Q181">
        <f t="shared" ca="1" si="51"/>
        <v>0.76965897113820625</v>
      </c>
      <c r="R181">
        <f t="shared" ca="1" si="52"/>
        <v>0.66907477119603898</v>
      </c>
      <c r="S181">
        <f t="shared" ca="1" si="49"/>
        <v>1.1503332725613953</v>
      </c>
      <c r="T181">
        <f t="shared" ca="1" si="50"/>
        <v>53.495580766006661</v>
      </c>
      <c r="U181">
        <f>70</f>
        <v>70</v>
      </c>
      <c r="V181">
        <f>30</f>
        <v>30</v>
      </c>
      <c r="W181">
        <f t="shared" ca="1" si="48"/>
        <v>174.45886605807652</v>
      </c>
      <c r="X181">
        <f t="shared" ca="1" si="58"/>
        <v>172.71983266646831</v>
      </c>
      <c r="Y181">
        <f t="shared" ca="1" si="57"/>
        <v>1.3773720873120112</v>
      </c>
      <c r="Z181">
        <f t="shared" ca="1" si="59"/>
        <v>1.7161793531105429</v>
      </c>
      <c r="AA181">
        <f t="shared" ca="1" si="60"/>
        <v>-0.33880726579853171</v>
      </c>
      <c r="AB181">
        <f t="shared" ca="1" si="61"/>
        <v>167.78420000000006</v>
      </c>
    </row>
    <row r="182" spans="1:28" x14ac:dyDescent="0.25">
      <c r="A182" s="20">
        <f t="shared" ca="1" si="41"/>
        <v>45551</v>
      </c>
      <c r="B182" vm="533">
        <f ca="1"/>
        <v>45554</v>
      </c>
      <c r="C182" vm="496">
        <f ca="1"/>
        <v>171.54</v>
      </c>
      <c r="D182" vm="534">
        <f ca="1"/>
        <v>8692016</v>
      </c>
      <c r="E182">
        <f t="shared" ca="1" si="42"/>
        <v>1491028424.6399999</v>
      </c>
      <c r="F182">
        <f ca="1">SUM($E$2:E182)/SUM($D$2:D182)</f>
        <v>162.56320168611057</v>
      </c>
      <c r="G182">
        <f ca="1">_xlfn.STDEV.P($C$2:C182)</f>
        <v>6.6440354602893636</v>
      </c>
      <c r="H182">
        <f t="shared" ca="1" si="43"/>
        <v>169.20723714639993</v>
      </c>
      <c r="I182">
        <f t="shared" ca="1" si="44"/>
        <v>155.91916622582121</v>
      </c>
      <c r="J182">
        <f t="shared" ca="1" si="53"/>
        <v>173.24650000000003</v>
      </c>
      <c r="K182">
        <f t="shared" ca="1" si="54"/>
        <v>2.8696052818609425</v>
      </c>
      <c r="L182">
        <f t="shared" ca="1" si="55"/>
        <v>178.98571056372191</v>
      </c>
      <c r="M182">
        <f t="shared" ca="1" si="56"/>
        <v>167.50728943627814</v>
      </c>
      <c r="N182">
        <f t="shared" ca="1" si="45"/>
        <v>-2.3799999999999955</v>
      </c>
      <c r="O182">
        <f t="shared" ca="1" si="46"/>
        <v>0</v>
      </c>
      <c r="P182">
        <f t="shared" ca="1" si="47"/>
        <v>2.3799999999999955</v>
      </c>
      <c r="Q182">
        <f t="shared" ca="1" si="51"/>
        <v>0.7146833303426201</v>
      </c>
      <c r="R182">
        <f t="shared" ca="1" si="52"/>
        <v>0.79128371611060733</v>
      </c>
      <c r="S182">
        <f t="shared" ca="1" si="49"/>
        <v>0.90319479068203157</v>
      </c>
      <c r="T182">
        <f t="shared" ca="1" si="50"/>
        <v>47.456770852045118</v>
      </c>
      <c r="U182">
        <f>70</f>
        <v>70</v>
      </c>
      <c r="V182">
        <f>30</f>
        <v>30</v>
      </c>
      <c r="W182">
        <f t="shared" ca="1" si="48"/>
        <v>174.00980974144935</v>
      </c>
      <c r="X182">
        <f t="shared" ca="1" si="58"/>
        <v>172.63243765413733</v>
      </c>
      <c r="Y182">
        <f t="shared" ca="1" si="57"/>
        <v>1.2921118393612971</v>
      </c>
      <c r="Z182">
        <f t="shared" ca="1" si="59"/>
        <v>1.6313658503606938</v>
      </c>
      <c r="AA182">
        <f t="shared" ca="1" si="60"/>
        <v>-0.33925401099939667</v>
      </c>
      <c r="AB182">
        <f t="shared" ca="1" si="61"/>
        <v>167.88670000000005</v>
      </c>
    </row>
    <row r="183" spans="1:28" x14ac:dyDescent="0.25">
      <c r="A183" s="20">
        <f t="shared" ca="1" si="41"/>
        <v>45551</v>
      </c>
      <c r="B183" vm="535">
        <f ca="1"/>
        <v>45555</v>
      </c>
      <c r="C183" vm="536">
        <f ca="1"/>
        <v>174.22</v>
      </c>
      <c r="D183" vm="537">
        <f ca="1"/>
        <v>28647462</v>
      </c>
      <c r="E183">
        <f t="shared" ca="1" si="42"/>
        <v>4990960829.6400003</v>
      </c>
      <c r="F183">
        <f ca="1">SUM($E$2:E183)/SUM($D$2:D183)</f>
        <v>162.83777131532943</v>
      </c>
      <c r="G183">
        <f ca="1">_xlfn.STDEV.P($C$2:C183)</f>
        <v>6.676719235434617</v>
      </c>
      <c r="H183">
        <f t="shared" ca="1" si="43"/>
        <v>169.51449055076404</v>
      </c>
      <c r="I183">
        <f t="shared" ca="1" si="44"/>
        <v>156.16105207989483</v>
      </c>
      <c r="J183">
        <f t="shared" ca="1" si="53"/>
        <v>173.45</v>
      </c>
      <c r="K183">
        <f t="shared" ca="1" si="54"/>
        <v>2.7814157697493802</v>
      </c>
      <c r="L183">
        <f t="shared" ca="1" si="55"/>
        <v>179.01283153949876</v>
      </c>
      <c r="M183">
        <f t="shared" ca="1" si="56"/>
        <v>167.88716846050121</v>
      </c>
      <c r="N183">
        <f t="shared" ca="1" si="45"/>
        <v>2.6800000000000068</v>
      </c>
      <c r="O183">
        <f t="shared" ca="1" si="46"/>
        <v>2.6800000000000068</v>
      </c>
      <c r="P183">
        <f t="shared" ca="1" si="47"/>
        <v>0</v>
      </c>
      <c r="Q183">
        <f t="shared" ca="1" si="51"/>
        <v>0.85506309246100487</v>
      </c>
      <c r="R183">
        <f t="shared" ca="1" si="52"/>
        <v>0.7347634506741354</v>
      </c>
      <c r="S183">
        <f t="shared" ca="1" si="49"/>
        <v>1.1637256748093501</v>
      </c>
      <c r="T183">
        <f t="shared" ca="1" si="50"/>
        <v>53.7834203456447</v>
      </c>
      <c r="U183">
        <f>70</f>
        <v>70</v>
      </c>
      <c r="V183">
        <f>30</f>
        <v>30</v>
      </c>
      <c r="W183">
        <f t="shared" ca="1" si="48"/>
        <v>174.04214670430329</v>
      </c>
      <c r="X183">
        <f t="shared" ca="1" si="58"/>
        <v>172.75003486494199</v>
      </c>
      <c r="Y183">
        <f t="shared" ca="1" si="57"/>
        <v>1.174690142655038</v>
      </c>
      <c r="Z183">
        <f t="shared" ca="1" si="59"/>
        <v>1.5400307088195628</v>
      </c>
      <c r="AA183">
        <f t="shared" ca="1" si="60"/>
        <v>-0.36534056616452482</v>
      </c>
      <c r="AB183">
        <f t="shared" ca="1" si="61"/>
        <v>168.01230000000007</v>
      </c>
    </row>
    <row r="184" spans="1:28" x14ac:dyDescent="0.25">
      <c r="A184" s="20">
        <f t="shared" ca="1" si="41"/>
        <v>45558</v>
      </c>
      <c r="B184" vm="538">
        <f ca="1"/>
        <v>45558</v>
      </c>
      <c r="C184" vm="539">
        <f ca="1"/>
        <v>173.77</v>
      </c>
      <c r="D184" vm="540">
        <f ca="1"/>
        <v>10265199</v>
      </c>
      <c r="E184">
        <f t="shared" ca="1" si="42"/>
        <v>1783783630.23</v>
      </c>
      <c r="F184">
        <f ca="1">SUM($E$2:E184)/SUM($D$2:D184)</f>
        <v>162.92926960573845</v>
      </c>
      <c r="G184">
        <f ca="1">_xlfn.STDEV.P($C$2:C184)</f>
        <v>6.7043826062931089</v>
      </c>
      <c r="H184">
        <f t="shared" ca="1" si="43"/>
        <v>169.63365221203156</v>
      </c>
      <c r="I184">
        <f t="shared" ca="1" si="44"/>
        <v>156.22488699944535</v>
      </c>
      <c r="J184">
        <f t="shared" ca="1" si="53"/>
        <v>173.67999999999998</v>
      </c>
      <c r="K184">
        <f t="shared" ca="1" si="54"/>
        <v>2.5926535888118476</v>
      </c>
      <c r="L184">
        <f t="shared" ca="1" si="55"/>
        <v>178.86530717762366</v>
      </c>
      <c r="M184">
        <f t="shared" ca="1" si="56"/>
        <v>168.49469282237629</v>
      </c>
      <c r="N184">
        <f t="shared" ca="1" si="45"/>
        <v>-0.44999999999998863</v>
      </c>
      <c r="O184">
        <f t="shared" ca="1" si="46"/>
        <v>0</v>
      </c>
      <c r="P184">
        <f t="shared" ca="1" si="47"/>
        <v>0.44999999999998863</v>
      </c>
      <c r="Q184">
        <f t="shared" ca="1" si="51"/>
        <v>0.79398715728521885</v>
      </c>
      <c r="R184">
        <f t="shared" ca="1" si="52"/>
        <v>0.71442320419741068</v>
      </c>
      <c r="S184">
        <f t="shared" ca="1" si="49"/>
        <v>1.1113680975370768</v>
      </c>
      <c r="T184">
        <f t="shared" ca="1" si="50"/>
        <v>52.637344422959416</v>
      </c>
      <c r="U184">
        <f>70</f>
        <v>70</v>
      </c>
      <c r="V184">
        <f>30</f>
        <v>30</v>
      </c>
      <c r="W184">
        <f t="shared" ca="1" si="48"/>
        <v>174.00027798056431</v>
      </c>
      <c r="X184">
        <f t="shared" ca="1" si="58"/>
        <v>172.82558783790927</v>
      </c>
      <c r="Y184">
        <f t="shared" ca="1" si="57"/>
        <v>1.0270271022993995</v>
      </c>
      <c r="Z184">
        <f t="shared" ca="1" si="59"/>
        <v>1.4374299875155303</v>
      </c>
      <c r="AA184">
        <f t="shared" ca="1" si="60"/>
        <v>-0.41040288521613077</v>
      </c>
      <c r="AB184">
        <f t="shared" ca="1" si="61"/>
        <v>168.11800000000005</v>
      </c>
    </row>
    <row r="185" spans="1:28" x14ac:dyDescent="0.25">
      <c r="A185" s="20">
        <f t="shared" ca="1" si="41"/>
        <v>45558</v>
      </c>
      <c r="B185" vm="541">
        <f ca="1"/>
        <v>45559</v>
      </c>
      <c r="C185" vm="542">
        <f ca="1"/>
        <v>173.24</v>
      </c>
      <c r="D185" vm="543">
        <f ca="1"/>
        <v>5422351</v>
      </c>
      <c r="E185">
        <f t="shared" ca="1" si="42"/>
        <v>939368087.24000001</v>
      </c>
      <c r="F185">
        <f ca="1">SUM($E$2:E185)/SUM($D$2:D185)</f>
        <v>162.97465312340486</v>
      </c>
      <c r="G185">
        <f ca="1">_xlfn.STDEV.P($C$2:C185)</f>
        <v>6.7267537538622033</v>
      </c>
      <c r="H185">
        <f t="shared" ca="1" si="43"/>
        <v>169.70140687726706</v>
      </c>
      <c r="I185">
        <f t="shared" ca="1" si="44"/>
        <v>156.24789936954267</v>
      </c>
      <c r="J185">
        <f t="shared" ca="1" si="53"/>
        <v>173.8245</v>
      </c>
      <c r="K185">
        <f t="shared" ca="1" si="54"/>
        <v>2.4751639499126865</v>
      </c>
      <c r="L185">
        <f t="shared" ca="1" si="55"/>
        <v>178.77482789982537</v>
      </c>
      <c r="M185">
        <f t="shared" ca="1" si="56"/>
        <v>168.87417210017463</v>
      </c>
      <c r="N185">
        <f t="shared" ca="1" si="45"/>
        <v>-0.53000000000000114</v>
      </c>
      <c r="O185">
        <f t="shared" ca="1" si="46"/>
        <v>0</v>
      </c>
      <c r="P185">
        <f t="shared" ca="1" si="47"/>
        <v>0.53000000000000114</v>
      </c>
      <c r="Q185">
        <f t="shared" ca="1" si="51"/>
        <v>0.73727378890770312</v>
      </c>
      <c r="R185">
        <f t="shared" ca="1" si="52"/>
        <v>0.70125011818331007</v>
      </c>
      <c r="S185">
        <f t="shared" ca="1" si="49"/>
        <v>1.0513706447818043</v>
      </c>
      <c r="T185">
        <f t="shared" ca="1" si="50"/>
        <v>51.252105388962228</v>
      </c>
      <c r="U185">
        <f>70</f>
        <v>70</v>
      </c>
      <c r="V185">
        <f>30</f>
        <v>30</v>
      </c>
      <c r="W185">
        <f t="shared" ca="1" si="48"/>
        <v>173.88331213740057</v>
      </c>
      <c r="X185">
        <f t="shared" ca="1" si="58"/>
        <v>172.85628503510117</v>
      </c>
      <c r="Y185">
        <f t="shared" ca="1" si="57"/>
        <v>0.82145603532791256</v>
      </c>
      <c r="Z185">
        <f t="shared" ca="1" si="59"/>
        <v>1.3142351970780068</v>
      </c>
      <c r="AA185">
        <f t="shared" ca="1" si="60"/>
        <v>-0.49277916175009429</v>
      </c>
      <c r="AB185">
        <f t="shared" ca="1" si="61"/>
        <v>168.21640000000008</v>
      </c>
    </row>
    <row r="186" spans="1:28" x14ac:dyDescent="0.25">
      <c r="A186" s="20">
        <f t="shared" ca="1" si="41"/>
        <v>45558</v>
      </c>
      <c r="B186" vm="544">
        <f ca="1"/>
        <v>45560</v>
      </c>
      <c r="C186" vm="545">
        <f ca="1"/>
        <v>172.26</v>
      </c>
      <c r="D186" vm="546">
        <f ca="1"/>
        <v>8916483</v>
      </c>
      <c r="E186">
        <f t="shared" ca="1" si="42"/>
        <v>1535953361.5799999</v>
      </c>
      <c r="F186">
        <f ca="1">SUM($E$2:E186)/SUM($D$2:D186)</f>
        <v>163.04137691870403</v>
      </c>
      <c r="G186">
        <f ca="1">_xlfn.STDEV.P($C$2:C186)</f>
        <v>6.7409593892276902</v>
      </c>
      <c r="H186">
        <f t="shared" ca="1" si="43"/>
        <v>169.78233630793173</v>
      </c>
      <c r="I186">
        <f t="shared" ca="1" si="44"/>
        <v>156.30041752947633</v>
      </c>
      <c r="J186">
        <f t="shared" ca="1" si="53"/>
        <v>173.97499999999999</v>
      </c>
      <c r="K186">
        <f t="shared" ca="1" si="54"/>
        <v>2.2649607873914852</v>
      </c>
      <c r="L186">
        <f t="shared" ca="1" si="55"/>
        <v>178.50492157478297</v>
      </c>
      <c r="M186">
        <f t="shared" ca="1" si="56"/>
        <v>169.44507842521702</v>
      </c>
      <c r="N186">
        <f t="shared" ca="1" si="45"/>
        <v>-0.98000000000001819</v>
      </c>
      <c r="O186">
        <f t="shared" ca="1" si="46"/>
        <v>0</v>
      </c>
      <c r="P186">
        <f t="shared" ca="1" si="47"/>
        <v>0.98000000000001819</v>
      </c>
      <c r="Q186">
        <f t="shared" ca="1" si="51"/>
        <v>0.68461137541429573</v>
      </c>
      <c r="R186">
        <f t="shared" ca="1" si="52"/>
        <v>0.72116082402736059</v>
      </c>
      <c r="S186">
        <f t="shared" ca="1" si="49"/>
        <v>0.94931858831577598</v>
      </c>
      <c r="T186">
        <f t="shared" ca="1" si="50"/>
        <v>48.7000223568377</v>
      </c>
      <c r="U186">
        <f>70</f>
        <v>70</v>
      </c>
      <c r="V186">
        <f>30</f>
        <v>30</v>
      </c>
      <c r="W186">
        <f t="shared" ca="1" si="48"/>
        <v>173.63357180856971</v>
      </c>
      <c r="X186">
        <f t="shared" ca="1" si="58"/>
        <v>172.8121157732418</v>
      </c>
      <c r="Y186">
        <f t="shared" ca="1" si="57"/>
        <v>0.72681823601598694</v>
      </c>
      <c r="Z186">
        <f t="shared" ca="1" si="59"/>
        <v>1.196751804865603</v>
      </c>
      <c r="AA186">
        <f t="shared" ca="1" si="60"/>
        <v>-0.46993356884961601</v>
      </c>
      <c r="AB186">
        <f t="shared" ca="1" si="61"/>
        <v>168.3006</v>
      </c>
    </row>
    <row r="187" spans="1:28" x14ac:dyDescent="0.25">
      <c r="A187" s="20">
        <f t="shared" ca="1" si="41"/>
        <v>45558</v>
      </c>
      <c r="B187" vm="547">
        <f ca="1"/>
        <v>45561</v>
      </c>
      <c r="C187" vm="548">
        <f ca="1"/>
        <v>173.21</v>
      </c>
      <c r="D187" vm="549">
        <f ca="1"/>
        <v>4957367</v>
      </c>
      <c r="E187">
        <f t="shared" ca="1" si="42"/>
        <v>858665538.07000005</v>
      </c>
      <c r="F187">
        <f ca="1">SUM($E$2:E187)/SUM($D$2:D187)</f>
        <v>163.08184108542184</v>
      </c>
      <c r="G187">
        <f ca="1">_xlfn.STDEV.P($C$2:C187)</f>
        <v>6.7617268748092645</v>
      </c>
      <c r="H187">
        <f t="shared" ca="1" si="43"/>
        <v>169.8435679602311</v>
      </c>
      <c r="I187">
        <f t="shared" ca="1" si="44"/>
        <v>156.32011421061259</v>
      </c>
      <c r="J187">
        <f t="shared" ca="1" si="53"/>
        <v>174.18249999999998</v>
      </c>
      <c r="K187">
        <f t="shared" ca="1" si="54"/>
        <v>1.9606359736199468</v>
      </c>
      <c r="L187">
        <f t="shared" ca="1" si="55"/>
        <v>178.10377194723986</v>
      </c>
      <c r="M187">
        <f t="shared" ca="1" si="56"/>
        <v>170.26122805276009</v>
      </c>
      <c r="N187">
        <f t="shared" ca="1" si="45"/>
        <v>0.95000000000001705</v>
      </c>
      <c r="O187">
        <f t="shared" ca="1" si="46"/>
        <v>0.95000000000001705</v>
      </c>
      <c r="P187">
        <f t="shared" ca="1" si="47"/>
        <v>0</v>
      </c>
      <c r="Q187">
        <f t="shared" ca="1" si="51"/>
        <v>0.70356770574184735</v>
      </c>
      <c r="R187">
        <f t="shared" ca="1" si="52"/>
        <v>0.66964933659683479</v>
      </c>
      <c r="S187">
        <f t="shared" ca="1" si="49"/>
        <v>1.0506509411588252</v>
      </c>
      <c r="T187">
        <f t="shared" ca="1" si="50"/>
        <v>51.234996657456541</v>
      </c>
      <c r="U187">
        <f>70</f>
        <v>70</v>
      </c>
      <c r="V187">
        <f>30</f>
        <v>30</v>
      </c>
      <c r="W187">
        <f t="shared" ca="1" si="48"/>
        <v>173.56840691494358</v>
      </c>
      <c r="X187">
        <f t="shared" ca="1" si="58"/>
        <v>172.84158867892759</v>
      </c>
      <c r="Y187">
        <f t="shared" ca="1" si="57"/>
        <v>0.67151149027571932</v>
      </c>
      <c r="Z187">
        <f t="shared" ca="1" si="59"/>
        <v>1.0917037419476263</v>
      </c>
      <c r="AA187">
        <f t="shared" ca="1" si="60"/>
        <v>-0.42019225167190699</v>
      </c>
      <c r="AB187">
        <f t="shared" ca="1" si="61"/>
        <v>168.38810000000001</v>
      </c>
    </row>
    <row r="188" spans="1:28" x14ac:dyDescent="0.25">
      <c r="A188" s="20">
        <f t="shared" ca="1" si="41"/>
        <v>45558</v>
      </c>
      <c r="B188" vm="550">
        <f ca="1"/>
        <v>45562</v>
      </c>
      <c r="C188" vm="551">
        <f ca="1"/>
        <v>173.55</v>
      </c>
      <c r="D188" vm="552">
        <f ca="1"/>
        <v>4599709</v>
      </c>
      <c r="E188">
        <f t="shared" ca="1" si="42"/>
        <v>798279496.95000005</v>
      </c>
      <c r="F188">
        <f ca="1">SUM($E$2:E188)/SUM($D$2:D188)</f>
        <v>163.1203496637682</v>
      </c>
      <c r="G188">
        <f ca="1">_xlfn.STDEV.P($C$2:C188)</f>
        <v>6.7844702767107403</v>
      </c>
      <c r="H188">
        <f t="shared" ca="1" si="43"/>
        <v>169.90481994047894</v>
      </c>
      <c r="I188">
        <f t="shared" ca="1" si="44"/>
        <v>156.33587938705745</v>
      </c>
      <c r="J188">
        <f t="shared" ca="1" si="53"/>
        <v>174.35849999999999</v>
      </c>
      <c r="K188">
        <f t="shared" ca="1" si="54"/>
        <v>1.7102639839325529</v>
      </c>
      <c r="L188">
        <f t="shared" ca="1" si="55"/>
        <v>177.77902796786509</v>
      </c>
      <c r="M188">
        <f t="shared" ca="1" si="56"/>
        <v>170.93797203213489</v>
      </c>
      <c r="N188">
        <f t="shared" ca="1" si="45"/>
        <v>0.34000000000000341</v>
      </c>
      <c r="O188">
        <f t="shared" ca="1" si="46"/>
        <v>0.34000000000000341</v>
      </c>
      <c r="P188">
        <f t="shared" ca="1" si="47"/>
        <v>0</v>
      </c>
      <c r="Q188">
        <f t="shared" ca="1" si="51"/>
        <v>0.6775985839031442</v>
      </c>
      <c r="R188">
        <f t="shared" ca="1" si="52"/>
        <v>0.6218172411256323</v>
      </c>
      <c r="S188">
        <f t="shared" ca="1" si="49"/>
        <v>1.0897069735096678</v>
      </c>
      <c r="T188">
        <f t="shared" ca="1" si="50"/>
        <v>52.146400778837545</v>
      </c>
      <c r="U188">
        <f>70</f>
        <v>70</v>
      </c>
      <c r="V188">
        <f>30</f>
        <v>30</v>
      </c>
      <c r="W188">
        <f t="shared" ca="1" si="48"/>
        <v>173.56557508187535</v>
      </c>
      <c r="X188">
        <f t="shared" ca="1" si="58"/>
        <v>172.89406359159963</v>
      </c>
      <c r="Y188">
        <f t="shared" ca="1" si="57"/>
        <v>0.5926072138094014</v>
      </c>
      <c r="Z188">
        <f t="shared" ca="1" si="59"/>
        <v>0.99188443631998136</v>
      </c>
      <c r="AA188">
        <f t="shared" ca="1" si="60"/>
        <v>-0.39927722251057995</v>
      </c>
      <c r="AB188">
        <f t="shared" ca="1" si="61"/>
        <v>168.47919999999999</v>
      </c>
    </row>
    <row r="189" spans="1:28" x14ac:dyDescent="0.25">
      <c r="A189" s="20">
        <f t="shared" ca="1" si="41"/>
        <v>45565</v>
      </c>
      <c r="B189" vm="553">
        <f ca="1"/>
        <v>45565</v>
      </c>
      <c r="C189" vm="554">
        <f ca="1"/>
        <v>173.2</v>
      </c>
      <c r="D189" vm="555">
        <f ca="1"/>
        <v>6296653</v>
      </c>
      <c r="E189">
        <f t="shared" ca="1" si="42"/>
        <v>1090580299.5999999</v>
      </c>
      <c r="F189">
        <f ca="1">SUM($E$2:E189)/SUM($D$2:D189)</f>
        <v>163.17085421618617</v>
      </c>
      <c r="G189">
        <f ca="1">_xlfn.STDEV.P($C$2:C189)</f>
        <v>6.8037562794771773</v>
      </c>
      <c r="H189">
        <f t="shared" ca="1" si="43"/>
        <v>169.97461049566334</v>
      </c>
      <c r="I189">
        <f t="shared" ca="1" si="44"/>
        <v>156.367097936709</v>
      </c>
      <c r="J189">
        <f t="shared" ca="1" si="53"/>
        <v>174.44149999999999</v>
      </c>
      <c r="K189">
        <f t="shared" ca="1" si="54"/>
        <v>1.6032114973587117</v>
      </c>
      <c r="L189">
        <f t="shared" ca="1" si="55"/>
        <v>177.64792299471742</v>
      </c>
      <c r="M189">
        <f t="shared" ca="1" si="56"/>
        <v>171.23507700528256</v>
      </c>
      <c r="N189">
        <f t="shared" ca="1" si="45"/>
        <v>-0.35000000000002274</v>
      </c>
      <c r="O189">
        <f t="shared" ca="1" si="46"/>
        <v>0</v>
      </c>
      <c r="P189">
        <f t="shared" ca="1" si="47"/>
        <v>0.35000000000002274</v>
      </c>
      <c r="Q189">
        <f t="shared" ca="1" si="51"/>
        <v>0.62919868505291965</v>
      </c>
      <c r="R189">
        <f t="shared" ca="1" si="52"/>
        <v>0.60240172390237456</v>
      </c>
      <c r="S189">
        <f t="shared" ca="1" si="49"/>
        <v>1.0444835399489789</v>
      </c>
      <c r="T189">
        <f t="shared" ca="1" si="50"/>
        <v>51.087891858256022</v>
      </c>
      <c r="U189">
        <f>70</f>
        <v>70</v>
      </c>
      <c r="V189">
        <f>30</f>
        <v>30</v>
      </c>
      <c r="W189">
        <f t="shared" ca="1" si="48"/>
        <v>173.50933276158685</v>
      </c>
      <c r="X189">
        <f t="shared" ca="1" si="58"/>
        <v>172.91672554777745</v>
      </c>
      <c r="Y189">
        <f t="shared" ca="1" si="57"/>
        <v>0.5112707326599093</v>
      </c>
      <c r="Z189">
        <f t="shared" ca="1" si="59"/>
        <v>0.89576169558796692</v>
      </c>
      <c r="AA189">
        <f t="shared" ca="1" si="60"/>
        <v>-0.38449096292805762</v>
      </c>
      <c r="AB189">
        <f t="shared" ca="1" si="61"/>
        <v>168.55360000000005</v>
      </c>
    </row>
    <row r="190" spans="1:28" x14ac:dyDescent="0.25">
      <c r="A190" s="20">
        <f t="shared" ca="1" si="41"/>
        <v>45565</v>
      </c>
      <c r="B190" vm="556">
        <f ca="1"/>
        <v>45566</v>
      </c>
      <c r="C190" vm="557">
        <f ca="1"/>
        <v>173.04</v>
      </c>
      <c r="D190" vm="558">
        <f ca="1"/>
        <v>7130825</v>
      </c>
      <c r="E190">
        <f t="shared" ca="1" si="42"/>
        <v>1233917958</v>
      </c>
      <c r="F190">
        <f ca="1">SUM($E$2:E190)/SUM($D$2:D190)</f>
        <v>163.22653909444264</v>
      </c>
      <c r="G190">
        <f ca="1">_xlfn.STDEV.P($C$2:C190)</f>
        <v>6.8212015817807652</v>
      </c>
      <c r="H190">
        <f t="shared" ca="1" si="43"/>
        <v>170.04774067622341</v>
      </c>
      <c r="I190">
        <f t="shared" ca="1" si="44"/>
        <v>156.40533751266187</v>
      </c>
      <c r="J190">
        <f t="shared" ca="1" si="53"/>
        <v>174.36750000000001</v>
      </c>
      <c r="K190">
        <f t="shared" ca="1" si="54"/>
        <v>1.6332720629395925</v>
      </c>
      <c r="L190">
        <f t="shared" ca="1" si="55"/>
        <v>177.6340441258792</v>
      </c>
      <c r="M190">
        <f t="shared" ca="1" si="56"/>
        <v>171.10095587412081</v>
      </c>
      <c r="N190">
        <f t="shared" ca="1" si="45"/>
        <v>-0.15999999999999659</v>
      </c>
      <c r="O190">
        <f t="shared" ca="1" si="46"/>
        <v>0</v>
      </c>
      <c r="P190">
        <f t="shared" ca="1" si="47"/>
        <v>0.15999999999999659</v>
      </c>
      <c r="Q190">
        <f t="shared" ca="1" si="51"/>
        <v>0.58425592183485386</v>
      </c>
      <c r="R190">
        <f t="shared" ca="1" si="52"/>
        <v>0.57080160076649045</v>
      </c>
      <c r="S190">
        <f t="shared" ca="1" si="49"/>
        <v>1.0235709238556734</v>
      </c>
      <c r="T190">
        <f t="shared" ca="1" si="50"/>
        <v>50.582409135696651</v>
      </c>
      <c r="U190">
        <f>70</f>
        <v>70</v>
      </c>
      <c r="V190">
        <f>30</f>
        <v>30</v>
      </c>
      <c r="W190">
        <f t="shared" ca="1" si="48"/>
        <v>173.4371277213427</v>
      </c>
      <c r="X190">
        <f t="shared" ca="1" si="58"/>
        <v>172.9258569886828</v>
      </c>
      <c r="Y190">
        <f t="shared" ca="1" si="57"/>
        <v>0.3523743929255545</v>
      </c>
      <c r="Z190">
        <f t="shared" ca="1" si="59"/>
        <v>0.78708423505548453</v>
      </c>
      <c r="AA190">
        <f t="shared" ca="1" si="60"/>
        <v>-0.43470984212993002</v>
      </c>
      <c r="AB190">
        <f t="shared" ca="1" si="61"/>
        <v>168.63330000000005</v>
      </c>
    </row>
    <row r="191" spans="1:28" x14ac:dyDescent="0.25">
      <c r="A191" s="20">
        <f t="shared" ca="1" si="41"/>
        <v>45565</v>
      </c>
      <c r="B191" vm="559">
        <f ca="1"/>
        <v>45567</v>
      </c>
      <c r="C191" vm="560">
        <f ca="1"/>
        <v>171.92</v>
      </c>
      <c r="D191" vm="561">
        <f ca="1"/>
        <v>6212890</v>
      </c>
      <c r="E191">
        <f t="shared" ca="1" si="42"/>
        <v>1068120048.8</v>
      </c>
      <c r="F191">
        <f ca="1">SUM($E$2:E191)/SUM($D$2:D191)</f>
        <v>163.26906705358846</v>
      </c>
      <c r="G191">
        <f ca="1">_xlfn.STDEV.P($C$2:C191)</f>
        <v>6.8303577265857891</v>
      </c>
      <c r="H191">
        <f t="shared" ca="1" si="43"/>
        <v>170.09942478017425</v>
      </c>
      <c r="I191">
        <f t="shared" ca="1" si="44"/>
        <v>156.43870932700267</v>
      </c>
      <c r="J191">
        <f t="shared" ca="1" si="53"/>
        <v>174.16849999999999</v>
      </c>
      <c r="K191">
        <f t="shared" ca="1" si="54"/>
        <v>1.6785591408924772</v>
      </c>
      <c r="L191">
        <f t="shared" ca="1" si="55"/>
        <v>177.52561828178494</v>
      </c>
      <c r="M191">
        <f t="shared" ca="1" si="56"/>
        <v>170.81138171821505</v>
      </c>
      <c r="N191">
        <f t="shared" ca="1" si="45"/>
        <v>-1.1200000000000045</v>
      </c>
      <c r="O191">
        <f t="shared" ca="1" si="46"/>
        <v>0</v>
      </c>
      <c r="P191">
        <f t="shared" ca="1" si="47"/>
        <v>1.1200000000000045</v>
      </c>
      <c r="Q191">
        <f t="shared" ca="1" si="51"/>
        <v>0.54252335598950718</v>
      </c>
      <c r="R191">
        <f t="shared" ca="1" si="52"/>
        <v>0.61003005785459863</v>
      </c>
      <c r="S191">
        <f t="shared" ca="1" si="49"/>
        <v>0.88933872848412698</v>
      </c>
      <c r="T191">
        <f t="shared" ca="1" si="50"/>
        <v>47.071428488509845</v>
      </c>
      <c r="U191">
        <f>70</f>
        <v>70</v>
      </c>
      <c r="V191">
        <f>30</f>
        <v>30</v>
      </c>
      <c r="W191">
        <f t="shared" ca="1" si="48"/>
        <v>173.20372345652075</v>
      </c>
      <c r="X191">
        <f t="shared" ca="1" si="58"/>
        <v>172.85134906359519</v>
      </c>
      <c r="Y191">
        <f t="shared" ca="1" si="57"/>
        <v>8.0277552473603464E-2</v>
      </c>
      <c r="Z191">
        <f t="shared" ca="1" si="59"/>
        <v>0.64572289853910836</v>
      </c>
      <c r="AA191">
        <f t="shared" ca="1" si="60"/>
        <v>-0.56544534606550489</v>
      </c>
      <c r="AB191">
        <f t="shared" ca="1" si="61"/>
        <v>168.69209999999998</v>
      </c>
    </row>
    <row r="192" spans="1:28" x14ac:dyDescent="0.25">
      <c r="A192" s="20">
        <f t="shared" ca="1" si="41"/>
        <v>45565</v>
      </c>
      <c r="B192" vm="562">
        <f ca="1"/>
        <v>45568</v>
      </c>
      <c r="C192" vm="563">
        <f ca="1"/>
        <v>170.12</v>
      </c>
      <c r="D192" vm="564">
        <f ca="1"/>
        <v>4794348</v>
      </c>
      <c r="E192">
        <f t="shared" ca="1" si="42"/>
        <v>815614481.75999999</v>
      </c>
      <c r="F192">
        <f ca="1">SUM($E$2:E192)/SUM($D$2:D192)</f>
        <v>163.29483210809246</v>
      </c>
      <c r="G192">
        <f ca="1">_xlfn.STDEV.P($C$2:C192)</f>
        <v>6.8288892749863681</v>
      </c>
      <c r="H192">
        <f t="shared" ca="1" si="43"/>
        <v>170.12372138307884</v>
      </c>
      <c r="I192">
        <f t="shared" ca="1" si="44"/>
        <v>156.46594283310608</v>
      </c>
      <c r="J192">
        <f t="shared" ca="1" si="53"/>
        <v>173.90100000000001</v>
      </c>
      <c r="K192">
        <f t="shared" ca="1" si="54"/>
        <v>1.8750295436268969</v>
      </c>
      <c r="L192">
        <f t="shared" ca="1" si="55"/>
        <v>177.6510590872538</v>
      </c>
      <c r="M192">
        <f t="shared" ca="1" si="56"/>
        <v>170.15094091274622</v>
      </c>
      <c r="N192">
        <f t="shared" ca="1" si="45"/>
        <v>-1.7999999999999829</v>
      </c>
      <c r="O192">
        <f t="shared" ca="1" si="46"/>
        <v>0</v>
      </c>
      <c r="P192">
        <f t="shared" ca="1" si="47"/>
        <v>1.7999999999999829</v>
      </c>
      <c r="Q192">
        <f t="shared" ca="1" si="51"/>
        <v>0.50377168770454239</v>
      </c>
      <c r="R192">
        <f t="shared" ca="1" si="52"/>
        <v>0.69502791086498328</v>
      </c>
      <c r="S192">
        <f t="shared" ca="1" si="49"/>
        <v>0.72482224070337442</v>
      </c>
      <c r="T192">
        <f t="shared" ca="1" si="50"/>
        <v>42.023011044187101</v>
      </c>
      <c r="U192">
        <f>70</f>
        <v>70</v>
      </c>
      <c r="V192">
        <f>30</f>
        <v>30</v>
      </c>
      <c r="W192">
        <f t="shared" ca="1" si="48"/>
        <v>172.72930446320987</v>
      </c>
      <c r="X192">
        <f t="shared" ca="1" si="58"/>
        <v>172.64902691073627</v>
      </c>
      <c r="Y192">
        <f t="shared" ca="1" si="57"/>
        <v>-0.23273595560101512</v>
      </c>
      <c r="Z192">
        <f t="shared" ca="1" si="59"/>
        <v>0.47003112771108368</v>
      </c>
      <c r="AA192">
        <f t="shared" ca="1" si="60"/>
        <v>-0.70276708331209881</v>
      </c>
      <c r="AB192">
        <f t="shared" ca="1" si="61"/>
        <v>168.72479999999999</v>
      </c>
    </row>
    <row r="193" spans="1:28" x14ac:dyDescent="0.25">
      <c r="A193" s="20">
        <f t="shared" ca="1" si="41"/>
        <v>45565</v>
      </c>
      <c r="B193" vm="565">
        <f ca="1"/>
        <v>45569</v>
      </c>
      <c r="C193" vm="566">
        <f ca="1"/>
        <v>168.88</v>
      </c>
      <c r="D193" vm="567">
        <f ca="1"/>
        <v>6003668</v>
      </c>
      <c r="E193">
        <f t="shared" ca="1" si="42"/>
        <v>1013899451.8399999</v>
      </c>
      <c r="F193">
        <f ca="1">SUM($E$2:E193)/SUM($D$2:D193)</f>
        <v>163.32101178098929</v>
      </c>
      <c r="G193">
        <f ca="1">_xlfn.STDEV.P($C$2:C193)</f>
        <v>6.8217049367306348</v>
      </c>
      <c r="H193">
        <f t="shared" ca="1" si="43"/>
        <v>170.14271671771994</v>
      </c>
      <c r="I193">
        <f t="shared" ca="1" si="44"/>
        <v>156.49930684425865</v>
      </c>
      <c r="J193">
        <f t="shared" ca="1" si="53"/>
        <v>173.56550000000001</v>
      </c>
      <c r="K193">
        <f t="shared" ca="1" si="54"/>
        <v>2.1386849747105434</v>
      </c>
      <c r="L193">
        <f t="shared" ca="1" si="55"/>
        <v>177.8428699494211</v>
      </c>
      <c r="M193">
        <f t="shared" ca="1" si="56"/>
        <v>169.28813005057893</v>
      </c>
      <c r="N193">
        <f t="shared" ca="1" si="45"/>
        <v>-1.2400000000000091</v>
      </c>
      <c r="O193">
        <f t="shared" ca="1" si="46"/>
        <v>0</v>
      </c>
      <c r="P193">
        <f t="shared" ca="1" si="47"/>
        <v>1.2400000000000091</v>
      </c>
      <c r="Q193">
        <f t="shared" ca="1" si="51"/>
        <v>0.4677879957256465</v>
      </c>
      <c r="R193">
        <f t="shared" ca="1" si="52"/>
        <v>0.7339544886603423</v>
      </c>
      <c r="S193">
        <f t="shared" ca="1" si="49"/>
        <v>0.63735286445278261</v>
      </c>
      <c r="T193">
        <f t="shared" ca="1" si="50"/>
        <v>38.925809963742388</v>
      </c>
      <c r="U193">
        <f>70</f>
        <v>70</v>
      </c>
      <c r="V193">
        <f>30</f>
        <v>30</v>
      </c>
      <c r="W193">
        <f t="shared" ca="1" si="48"/>
        <v>172.13710377656218</v>
      </c>
      <c r="X193">
        <f t="shared" ca="1" si="58"/>
        <v>172.3698397321632</v>
      </c>
      <c r="Y193">
        <f t="shared" ca="1" si="57"/>
        <v>-0.61572105787482201</v>
      </c>
      <c r="Z193">
        <f t="shared" ca="1" si="59"/>
        <v>0.25288069059390256</v>
      </c>
      <c r="AA193">
        <f t="shared" ca="1" si="60"/>
        <v>-0.86860174846872451</v>
      </c>
      <c r="AB193">
        <f t="shared" ca="1" si="61"/>
        <v>168.75490000000002</v>
      </c>
    </row>
    <row r="194" spans="1:28" x14ac:dyDescent="0.25">
      <c r="A194" s="20">
        <f t="shared" ca="1" si="41"/>
        <v>45572</v>
      </c>
      <c r="B194" vm="568">
        <f ca="1"/>
        <v>45572</v>
      </c>
      <c r="C194" vm="569">
        <f ca="1"/>
        <v>167.12</v>
      </c>
      <c r="D194" vm="570">
        <f ca="1"/>
        <v>6325281</v>
      </c>
      <c r="E194">
        <f t="shared" ca="1" si="42"/>
        <v>1057080960.72</v>
      </c>
      <c r="F194">
        <f ca="1">SUM($E$2:E194)/SUM($D$2:D194)</f>
        <v>163.33968071928945</v>
      </c>
      <c r="G194">
        <f ca="1">_xlfn.STDEV.P($C$2:C194)</f>
        <v>6.808645628372763</v>
      </c>
      <c r="H194">
        <f t="shared" ca="1" si="43"/>
        <v>170.14832634766222</v>
      </c>
      <c r="I194">
        <f t="shared" ca="1" si="44"/>
        <v>156.53103509091667</v>
      </c>
      <c r="J194">
        <f t="shared" ca="1" si="53"/>
        <v>173.11849999999998</v>
      </c>
      <c r="K194">
        <f t="shared" ca="1" si="54"/>
        <v>2.4945335499004515</v>
      </c>
      <c r="L194">
        <f t="shared" ca="1" si="55"/>
        <v>178.10756709980089</v>
      </c>
      <c r="M194">
        <f t="shared" ca="1" si="56"/>
        <v>168.12943290019908</v>
      </c>
      <c r="N194">
        <f t="shared" ca="1" si="45"/>
        <v>-1.7599999999999909</v>
      </c>
      <c r="O194">
        <f t="shared" ca="1" si="46"/>
        <v>0</v>
      </c>
      <c r="P194">
        <f t="shared" ca="1" si="47"/>
        <v>1.7599999999999909</v>
      </c>
      <c r="Q194">
        <f t="shared" ca="1" si="51"/>
        <v>0.43437456745952885</v>
      </c>
      <c r="R194">
        <f t="shared" ca="1" si="52"/>
        <v>0.80724345375603146</v>
      </c>
      <c r="S194">
        <f t="shared" ca="1" si="49"/>
        <v>0.53809611640506083</v>
      </c>
      <c r="T194">
        <f t="shared" ca="1" si="50"/>
        <v>34.98455725008489</v>
      </c>
      <c r="U194">
        <f>70</f>
        <v>70</v>
      </c>
      <c r="V194">
        <f>30</f>
        <v>30</v>
      </c>
      <c r="W194">
        <f t="shared" ca="1" si="48"/>
        <v>171.3652416570911</v>
      </c>
      <c r="X194">
        <f t="shared" ca="1" si="58"/>
        <v>171.98096271496593</v>
      </c>
      <c r="Y194">
        <f t="shared" ca="1" si="57"/>
        <v>-0.82580088378310279</v>
      </c>
      <c r="Z194">
        <f t="shared" ca="1" si="59"/>
        <v>3.7144375718501488E-2</v>
      </c>
      <c r="AA194">
        <f t="shared" ca="1" si="60"/>
        <v>-0.86294525950160428</v>
      </c>
      <c r="AB194">
        <f t="shared" ca="1" si="61"/>
        <v>168.76850000000002</v>
      </c>
    </row>
    <row r="195" spans="1:28" x14ac:dyDescent="0.25">
      <c r="A195" s="20">
        <f t="shared" ref="A195:A258" ca="1" si="62">B195 - WEEKDAY(B195, 2) + 1</f>
        <v>45572</v>
      </c>
      <c r="B195" vm="571">
        <f ca="1"/>
        <v>45573</v>
      </c>
      <c r="C195" vm="572">
        <f ca="1"/>
        <v>168.16</v>
      </c>
      <c r="D195" vm="573">
        <f ca="1"/>
        <v>7472965</v>
      </c>
      <c r="E195">
        <f t="shared" ref="E195:E258" ca="1" si="63">C195*D195</f>
        <v>1256653794.3999999</v>
      </c>
      <c r="F195">
        <f ca="1">SUM($E$2:E195)/SUM($D$2:D195)</f>
        <v>163.36750516054337</v>
      </c>
      <c r="G195">
        <f ca="1">_xlfn.STDEV.P($C$2:C195)</f>
        <v>6.7987879252186607</v>
      </c>
      <c r="H195">
        <f t="shared" ref="H195:H258" ca="1" si="64">F195 + G195</f>
        <v>170.16629308576202</v>
      </c>
      <c r="I195">
        <f t="shared" ref="I195:I258" ca="1" si="65">F195 - G195</f>
        <v>156.56871723532473</v>
      </c>
      <c r="J195">
        <f t="shared" ca="1" si="53"/>
        <v>172.637</v>
      </c>
      <c r="K195">
        <f t="shared" ca="1" si="54"/>
        <v>2.4746953028818051</v>
      </c>
      <c r="L195">
        <f t="shared" ca="1" si="55"/>
        <v>177.5863906057636</v>
      </c>
      <c r="M195">
        <f t="shared" ca="1" si="56"/>
        <v>167.6876093942364</v>
      </c>
      <c r="N195">
        <f t="shared" ca="1" si="45"/>
        <v>1.039999999999992</v>
      </c>
      <c r="O195">
        <f t="shared" ca="1" si="46"/>
        <v>1.039999999999992</v>
      </c>
      <c r="P195">
        <f t="shared" ca="1" si="47"/>
        <v>0</v>
      </c>
      <c r="Q195">
        <f t="shared" ca="1" si="51"/>
        <v>0.4776335269267048</v>
      </c>
      <c r="R195">
        <f t="shared" ca="1" si="52"/>
        <v>0.74958320705917203</v>
      </c>
      <c r="S195">
        <f t="shared" ca="1" si="49"/>
        <v>0.6371988091897054</v>
      </c>
      <c r="T195">
        <f t="shared" ca="1" si="50"/>
        <v>38.920063074384508</v>
      </c>
      <c r="U195">
        <f>70</f>
        <v>70</v>
      </c>
      <c r="V195">
        <f>30</f>
        <v>30</v>
      </c>
      <c r="W195">
        <f t="shared" ca="1" si="48"/>
        <v>170.87212755600018</v>
      </c>
      <c r="X195">
        <f t="shared" ca="1" si="58"/>
        <v>171.69792843978328</v>
      </c>
      <c r="Y195">
        <f t="shared" ca="1" si="57"/>
        <v>-0.89243549514961273</v>
      </c>
      <c r="Z195">
        <f t="shared" ca="1" si="59"/>
        <v>-0.14877159845512136</v>
      </c>
      <c r="AA195">
        <f t="shared" ca="1" si="60"/>
        <v>-0.7436638966944914</v>
      </c>
      <c r="AB195">
        <f t="shared" ca="1" si="61"/>
        <v>168.785</v>
      </c>
    </row>
    <row r="196" spans="1:28" x14ac:dyDescent="0.25">
      <c r="A196" s="20">
        <f t="shared" ca="1" si="62"/>
        <v>45572</v>
      </c>
      <c r="B196" vm="574">
        <f ca="1"/>
        <v>45574</v>
      </c>
      <c r="C196" vm="575">
        <f ca="1"/>
        <v>169.27</v>
      </c>
      <c r="D196" vm="576">
        <f ca="1"/>
        <v>8758806</v>
      </c>
      <c r="E196">
        <f t="shared" ca="1" si="63"/>
        <v>1482603091.6200001</v>
      </c>
      <c r="F196">
        <f ca="1">SUM($E$2:E196)/SUM($D$2:D196)</f>
        <v>163.40717038158763</v>
      </c>
      <c r="G196">
        <f ca="1">_xlfn.STDEV.P($C$2:C196)</f>
        <v>6.7931520250352095</v>
      </c>
      <c r="H196">
        <f t="shared" ca="1" si="64"/>
        <v>170.20032240662283</v>
      </c>
      <c r="I196">
        <f t="shared" ca="1" si="65"/>
        <v>156.61401835655244</v>
      </c>
      <c r="J196">
        <f t="shared" ca="1" si="53"/>
        <v>172.40449999999998</v>
      </c>
      <c r="K196">
        <f t="shared" ca="1" si="54"/>
        <v>2.5646144164889897</v>
      </c>
      <c r="L196">
        <f t="shared" ca="1" si="55"/>
        <v>177.53372883297797</v>
      </c>
      <c r="M196">
        <f t="shared" ca="1" si="56"/>
        <v>167.275271167022</v>
      </c>
      <c r="N196">
        <f t="shared" ref="N196:N259" ca="1" si="66">C196-C195</f>
        <v>1.1100000000000136</v>
      </c>
      <c r="O196">
        <f t="shared" ref="O196:O259" ca="1" si="67">MAX(N196,0)</f>
        <v>1.1100000000000136</v>
      </c>
      <c r="P196">
        <f t="shared" ref="P196:P259" ca="1" si="68">MAX(-N196,0)</f>
        <v>0</v>
      </c>
      <c r="Q196">
        <f t="shared" ca="1" si="51"/>
        <v>0.52280256071765541</v>
      </c>
      <c r="R196">
        <f t="shared" ca="1" si="52"/>
        <v>0.69604154941208829</v>
      </c>
      <c r="S196">
        <f t="shared" ca="1" si="49"/>
        <v>0.75110826524543073</v>
      </c>
      <c r="T196">
        <f t="shared" ca="1" si="50"/>
        <v>42.893308206740571</v>
      </c>
      <c r="U196">
        <f>70</f>
        <v>70</v>
      </c>
      <c r="V196">
        <f>30</f>
        <v>30</v>
      </c>
      <c r="W196">
        <f t="shared" ca="1" si="48"/>
        <v>170.6256463935386</v>
      </c>
      <c r="X196">
        <f t="shared" ca="1" si="58"/>
        <v>171.51808188868822</v>
      </c>
      <c r="Y196">
        <f t="shared" ca="1" si="57"/>
        <v>-0.95999895995072393</v>
      </c>
      <c r="Z196">
        <f t="shared" ca="1" si="59"/>
        <v>-0.3110170707542419</v>
      </c>
      <c r="AA196">
        <f t="shared" ca="1" si="60"/>
        <v>-0.64898188919648203</v>
      </c>
      <c r="AB196">
        <f t="shared" ca="1" si="61"/>
        <v>168.79910000000001</v>
      </c>
    </row>
    <row r="197" spans="1:28" x14ac:dyDescent="0.25">
      <c r="A197" s="20">
        <f t="shared" ca="1" si="62"/>
        <v>45572</v>
      </c>
      <c r="B197" vm="577">
        <f ca="1"/>
        <v>45575</v>
      </c>
      <c r="C197" vm="578">
        <f ca="1"/>
        <v>168.95</v>
      </c>
      <c r="D197" vm="579">
        <f ca="1"/>
        <v>6932308</v>
      </c>
      <c r="E197">
        <f t="shared" ca="1" si="63"/>
        <v>1171213436.5999999</v>
      </c>
      <c r="F197">
        <f ca="1">SUM($E$2:E197)/SUM($D$2:D197)</f>
        <v>163.43649517522243</v>
      </c>
      <c r="G197">
        <f ca="1">_xlfn.STDEV.P($C$2:C197)</f>
        <v>6.7861520748373794</v>
      </c>
      <c r="H197">
        <f t="shared" ca="1" si="64"/>
        <v>170.22264725005982</v>
      </c>
      <c r="I197">
        <f t="shared" ca="1" si="65"/>
        <v>156.65034310038504</v>
      </c>
      <c r="J197">
        <f t="shared" ca="1" si="53"/>
        <v>172.17849999999996</v>
      </c>
      <c r="K197">
        <f t="shared" ca="1" si="54"/>
        <v>2.6630458916535105</v>
      </c>
      <c r="L197">
        <f t="shared" ca="1" si="55"/>
        <v>177.50459178330698</v>
      </c>
      <c r="M197">
        <f t="shared" ca="1" si="56"/>
        <v>166.85240821669294</v>
      </c>
      <c r="N197">
        <f t="shared" ca="1" si="66"/>
        <v>-0.3200000000000216</v>
      </c>
      <c r="O197">
        <f t="shared" ca="1" si="67"/>
        <v>0</v>
      </c>
      <c r="P197">
        <f t="shared" ca="1" si="68"/>
        <v>0.3200000000000216</v>
      </c>
      <c r="Q197">
        <f t="shared" ca="1" si="51"/>
        <v>0.48545952066639436</v>
      </c>
      <c r="R197">
        <f t="shared" ca="1" si="52"/>
        <v>0.66918143873979774</v>
      </c>
      <c r="S197">
        <f t="shared" ca="1" si="49"/>
        <v>0.72545275849343871</v>
      </c>
      <c r="T197">
        <f t="shared" ca="1" si="50"/>
        <v>42.044197091020926</v>
      </c>
      <c r="U197">
        <f>70</f>
        <v>70</v>
      </c>
      <c r="V197">
        <f>30</f>
        <v>30</v>
      </c>
      <c r="W197">
        <f t="shared" ca="1" si="48"/>
        <v>170.36785464068652</v>
      </c>
      <c r="X197">
        <f t="shared" ca="1" si="58"/>
        <v>171.32785360063724</v>
      </c>
      <c r="Y197">
        <f t="shared" ca="1" si="57"/>
        <v>-0.83128088867007932</v>
      </c>
      <c r="Z197">
        <f t="shared" ca="1" si="59"/>
        <v>-0.4150698343374094</v>
      </c>
      <c r="AA197">
        <f t="shared" ca="1" si="60"/>
        <v>-0.41621105433266992</v>
      </c>
      <c r="AB197">
        <f t="shared" ca="1" si="61"/>
        <v>168.81220000000002</v>
      </c>
    </row>
    <row r="198" spans="1:28" x14ac:dyDescent="0.25">
      <c r="A198" s="20">
        <f t="shared" ca="1" si="62"/>
        <v>45572</v>
      </c>
      <c r="B198" vm="580">
        <f ca="1"/>
        <v>45576</v>
      </c>
      <c r="C198" vm="581">
        <f ca="1"/>
        <v>171.09</v>
      </c>
      <c r="D198" vm="582">
        <f ca="1"/>
        <v>7036480</v>
      </c>
      <c r="E198">
        <f t="shared" ca="1" si="63"/>
        <v>1203871363.2</v>
      </c>
      <c r="F198">
        <f ca="1">SUM($E$2:E198)/SUM($D$2:D198)</f>
        <v>163.47737560430738</v>
      </c>
      <c r="G198">
        <f ca="1">_xlfn.STDEV.P($C$2:C198)</f>
        <v>6.7891515115891892</v>
      </c>
      <c r="H198">
        <f t="shared" ca="1" si="64"/>
        <v>170.26652711589657</v>
      </c>
      <c r="I198">
        <f t="shared" ca="1" si="65"/>
        <v>156.6882240927182</v>
      </c>
      <c r="J198">
        <f t="shared" ca="1" si="53"/>
        <v>172.029</v>
      </c>
      <c r="K198">
        <f t="shared" ca="1" si="54"/>
        <v>2.634453703481896</v>
      </c>
      <c r="L198">
        <f t="shared" ca="1" si="55"/>
        <v>177.29790740696379</v>
      </c>
      <c r="M198">
        <f t="shared" ca="1" si="56"/>
        <v>166.76009259303621</v>
      </c>
      <c r="N198">
        <f t="shared" ca="1" si="66"/>
        <v>2.1400000000000148</v>
      </c>
      <c r="O198">
        <f t="shared" ca="1" si="67"/>
        <v>2.1400000000000148</v>
      </c>
      <c r="P198">
        <f t="shared" ca="1" si="68"/>
        <v>0</v>
      </c>
      <c r="Q198">
        <f t="shared" ca="1" si="51"/>
        <v>0.60364098347593864</v>
      </c>
      <c r="R198">
        <f t="shared" ca="1" si="52"/>
        <v>0.62138276454409791</v>
      </c>
      <c r="S198">
        <f t="shared" ca="1" si="49"/>
        <v>0.97144790283783256</v>
      </c>
      <c r="T198">
        <f t="shared" ca="1" si="50"/>
        <v>49.275859708971566</v>
      </c>
      <c r="U198">
        <f>70</f>
        <v>70</v>
      </c>
      <c r="V198">
        <f>30</f>
        <v>30</v>
      </c>
      <c r="W198">
        <f t="shared" ca="1" si="48"/>
        <v>170.47895392673476</v>
      </c>
      <c r="X198">
        <f t="shared" ca="1" si="58"/>
        <v>171.31023481540484</v>
      </c>
      <c r="Y198">
        <f t="shared" ca="1" si="57"/>
        <v>-0.60768375716912715</v>
      </c>
      <c r="Z198">
        <f t="shared" ca="1" si="59"/>
        <v>-0.45359261890375296</v>
      </c>
      <c r="AA198">
        <f t="shared" ca="1" si="60"/>
        <v>-0.15409113826537418</v>
      </c>
      <c r="AB198">
        <f t="shared" ca="1" si="61"/>
        <v>168.85</v>
      </c>
    </row>
    <row r="199" spans="1:28" x14ac:dyDescent="0.25">
      <c r="A199" s="20">
        <f t="shared" ca="1" si="62"/>
        <v>45579</v>
      </c>
      <c r="B199" vm="583">
        <f ca="1"/>
        <v>45579</v>
      </c>
      <c r="C199" vm="584">
        <f ca="1"/>
        <v>172.51</v>
      </c>
      <c r="D199" vm="585">
        <f ca="1"/>
        <v>5909158</v>
      </c>
      <c r="E199">
        <f t="shared" ca="1" si="63"/>
        <v>1019388846.5799999</v>
      </c>
      <c r="F199">
        <f ca="1">SUM($E$2:E199)/SUM($D$2:D199)</f>
        <v>163.5177118473521</v>
      </c>
      <c r="G199">
        <f ca="1">_xlfn.STDEV.P($C$2:C199)</f>
        <v>6.800362749864294</v>
      </c>
      <c r="H199">
        <f t="shared" ca="1" si="64"/>
        <v>170.31807459721639</v>
      </c>
      <c r="I199">
        <f t="shared" ca="1" si="65"/>
        <v>156.71734909748781</v>
      </c>
      <c r="J199">
        <f t="shared" ca="1" si="53"/>
        <v>171.79249999999996</v>
      </c>
      <c r="K199">
        <f t="shared" ca="1" si="54"/>
        <v>2.3376188402101103</v>
      </c>
      <c r="L199">
        <f t="shared" ca="1" si="55"/>
        <v>176.46773768042019</v>
      </c>
      <c r="M199">
        <f t="shared" ca="1" si="56"/>
        <v>167.11726231957974</v>
      </c>
      <c r="N199">
        <f t="shared" ca="1" si="66"/>
        <v>1.4199999999999875</v>
      </c>
      <c r="O199">
        <f t="shared" ca="1" si="67"/>
        <v>1.4199999999999875</v>
      </c>
      <c r="P199">
        <f t="shared" ca="1" si="68"/>
        <v>0</v>
      </c>
      <c r="Q199">
        <f t="shared" ca="1" si="51"/>
        <v>0.66195234179908502</v>
      </c>
      <c r="R199">
        <f t="shared" ca="1" si="52"/>
        <v>0.57699828136237663</v>
      </c>
      <c r="S199">
        <f t="shared" ca="1" si="49"/>
        <v>1.1472345120961531</v>
      </c>
      <c r="T199">
        <f t="shared" ca="1" si="50"/>
        <v>53.428468368655764</v>
      </c>
      <c r="U199">
        <f>70</f>
        <v>70</v>
      </c>
      <c r="V199">
        <f>30</f>
        <v>30</v>
      </c>
      <c r="W199">
        <f t="shared" ca="1" si="48"/>
        <v>170.79142255339093</v>
      </c>
      <c r="X199">
        <f t="shared" ca="1" si="58"/>
        <v>171.39910631056006</v>
      </c>
      <c r="Y199">
        <f t="shared" ca="1" si="57"/>
        <v>-0.3410172438031509</v>
      </c>
      <c r="Z199">
        <f t="shared" ca="1" si="59"/>
        <v>-0.43107754388363256</v>
      </c>
      <c r="AA199">
        <f t="shared" ca="1" si="60"/>
        <v>9.0060300080481659E-2</v>
      </c>
      <c r="AB199">
        <f t="shared" ca="1" si="61"/>
        <v>168.89160000000001</v>
      </c>
    </row>
    <row r="200" spans="1:28" x14ac:dyDescent="0.25">
      <c r="A200" s="20">
        <f t="shared" ca="1" si="62"/>
        <v>45579</v>
      </c>
      <c r="B200" vm="586">
        <f ca="1"/>
        <v>45580</v>
      </c>
      <c r="C200" vm="587">
        <f ca="1"/>
        <v>173.57</v>
      </c>
      <c r="D200" vm="588">
        <f ca="1"/>
        <v>7172262</v>
      </c>
      <c r="E200">
        <f t="shared" ca="1" si="63"/>
        <v>1244889515.3399999</v>
      </c>
      <c r="F200">
        <f ca="1">SUM($E$2:E200)/SUM($D$2:D200)</f>
        <v>163.57190312343789</v>
      </c>
      <c r="G200">
        <f ca="1">_xlfn.STDEV.P($C$2:C200)</f>
        <v>6.8183468418092925</v>
      </c>
      <c r="H200">
        <f t="shared" ca="1" si="64"/>
        <v>170.39024996524719</v>
      </c>
      <c r="I200">
        <f t="shared" ca="1" si="65"/>
        <v>156.75355628162859</v>
      </c>
      <c r="J200">
        <f t="shared" ca="1" si="53"/>
        <v>171.67699999999996</v>
      </c>
      <c r="K200">
        <f t="shared" ca="1" si="54"/>
        <v>2.1765474833709506</v>
      </c>
      <c r="L200">
        <f t="shared" ca="1" si="55"/>
        <v>176.03009496674187</v>
      </c>
      <c r="M200">
        <f t="shared" ca="1" si="56"/>
        <v>167.32390503325806</v>
      </c>
      <c r="N200">
        <f t="shared" ca="1" si="66"/>
        <v>1.0600000000000023</v>
      </c>
      <c r="O200">
        <f t="shared" ca="1" si="67"/>
        <v>1.0600000000000023</v>
      </c>
      <c r="P200">
        <f t="shared" ca="1" si="68"/>
        <v>0</v>
      </c>
      <c r="Q200">
        <f t="shared" ca="1" si="51"/>
        <v>0.69038431738486483</v>
      </c>
      <c r="R200">
        <f t="shared" ca="1" si="52"/>
        <v>0.53578411840792117</v>
      </c>
      <c r="S200">
        <f t="shared" ca="1" si="49"/>
        <v>1.2885494244143276</v>
      </c>
      <c r="T200">
        <f t="shared" ca="1" si="50"/>
        <v>56.30419909957093</v>
      </c>
      <c r="U200">
        <f>70</f>
        <v>70</v>
      </c>
      <c r="V200">
        <f>30</f>
        <v>30</v>
      </c>
      <c r="W200">
        <f t="shared" ca="1" si="48"/>
        <v>171.21889600671543</v>
      </c>
      <c r="X200">
        <f t="shared" ca="1" si="58"/>
        <v>171.55991325051858</v>
      </c>
      <c r="Y200">
        <f t="shared" ca="1" si="57"/>
        <v>-0.2231330268491547</v>
      </c>
      <c r="Z200">
        <f t="shared" ca="1" si="59"/>
        <v>-0.38948864047673698</v>
      </c>
      <c r="AA200">
        <f t="shared" ca="1" si="60"/>
        <v>0.16635561362758228</v>
      </c>
      <c r="AB200">
        <f t="shared" ca="1" si="61"/>
        <v>168.94919999999999</v>
      </c>
    </row>
    <row r="201" spans="1:28" x14ac:dyDescent="0.25">
      <c r="A201" s="20">
        <f t="shared" ca="1" si="62"/>
        <v>45579</v>
      </c>
      <c r="B201" vm="589">
        <f ca="1"/>
        <v>45581</v>
      </c>
      <c r="C201" vm="590">
        <f ca="1"/>
        <v>172.38</v>
      </c>
      <c r="D201" vm="591">
        <f ca="1"/>
        <v>6117053</v>
      </c>
      <c r="E201">
        <f t="shared" ca="1" si="63"/>
        <v>1054457596.14</v>
      </c>
      <c r="F201">
        <f ca="1">SUM($E$2:E201)/SUM($D$2:D201)</f>
        <v>163.61221568579774</v>
      </c>
      <c r="G201">
        <f ca="1">_xlfn.STDEV.P($C$2:C201)</f>
        <v>6.8278483843741009</v>
      </c>
      <c r="H201">
        <f t="shared" ca="1" si="64"/>
        <v>170.44006407017184</v>
      </c>
      <c r="I201">
        <f t="shared" ca="1" si="65"/>
        <v>156.78436730142363</v>
      </c>
      <c r="J201">
        <f t="shared" ca="1" si="53"/>
        <v>171.60000000000002</v>
      </c>
      <c r="K201">
        <f t="shared" ca="1" si="54"/>
        <v>2.1195133503012582</v>
      </c>
      <c r="L201">
        <f t="shared" ca="1" si="55"/>
        <v>175.83902670060255</v>
      </c>
      <c r="M201">
        <f t="shared" ca="1" si="56"/>
        <v>167.3609732993975</v>
      </c>
      <c r="N201">
        <f t="shared" ca="1" si="66"/>
        <v>-1.1899999999999977</v>
      </c>
      <c r="O201">
        <f t="shared" ca="1" si="67"/>
        <v>0</v>
      </c>
      <c r="P201">
        <f t="shared" ca="1" si="68"/>
        <v>1.1899999999999977</v>
      </c>
      <c r="Q201">
        <f t="shared" ca="1" si="51"/>
        <v>0.64107115185737451</v>
      </c>
      <c r="R201">
        <f t="shared" ca="1" si="52"/>
        <v>0.58251382423592657</v>
      </c>
      <c r="S201">
        <f t="shared" ca="1" si="49"/>
        <v>1.1005252153427545</v>
      </c>
      <c r="T201">
        <f t="shared" ca="1" si="50"/>
        <v>52.392859048025073</v>
      </c>
      <c r="U201">
        <f>70</f>
        <v>70</v>
      </c>
      <c r="V201">
        <f>30</f>
        <v>30</v>
      </c>
      <c r="W201">
        <f t="shared" ca="1" si="48"/>
        <v>171.39752739029768</v>
      </c>
      <c r="X201">
        <f t="shared" ca="1" si="58"/>
        <v>171.62066041714684</v>
      </c>
      <c r="Y201">
        <f t="shared" ca="1" si="57"/>
        <v>-0.13620797907208271</v>
      </c>
      <c r="Z201">
        <f t="shared" ca="1" si="59"/>
        <v>-0.33883250819580613</v>
      </c>
      <c r="AA201">
        <f t="shared" ca="1" si="60"/>
        <v>0.20262452912372342</v>
      </c>
      <c r="AB201">
        <f t="shared" ca="1" si="61"/>
        <v>169.0181</v>
      </c>
    </row>
    <row r="202" spans="1:28" x14ac:dyDescent="0.25">
      <c r="A202" s="20">
        <f t="shared" ca="1" si="62"/>
        <v>45579</v>
      </c>
      <c r="B202" vm="592">
        <f ca="1"/>
        <v>45582</v>
      </c>
      <c r="C202" vm="593">
        <f ca="1"/>
        <v>172.28</v>
      </c>
      <c r="D202" vm="594">
        <f ca="1"/>
        <v>7045586</v>
      </c>
      <c r="E202">
        <f t="shared" ca="1" si="63"/>
        <v>1213813556.0799999</v>
      </c>
      <c r="F202">
        <f ca="1">SUM($E$2:E202)/SUM($D$2:D202)</f>
        <v>163.65766820188611</v>
      </c>
      <c r="G202">
        <f ca="1">_xlfn.STDEV.P($C$2:C202)</f>
        <v>6.8363691478130528</v>
      </c>
      <c r="H202">
        <f t="shared" ca="1" si="64"/>
        <v>170.49403734969917</v>
      </c>
      <c r="I202">
        <f t="shared" ca="1" si="65"/>
        <v>156.82129905407305</v>
      </c>
      <c r="J202">
        <f t="shared" ca="1" si="53"/>
        <v>171.63700000000003</v>
      </c>
      <c r="K202">
        <f t="shared" ca="1" si="54"/>
        <v>2.1248630915648983</v>
      </c>
      <c r="L202">
        <f t="shared" ca="1" si="55"/>
        <v>175.88672618312984</v>
      </c>
      <c r="M202">
        <f t="shared" ca="1" si="56"/>
        <v>167.38727381687022</v>
      </c>
      <c r="N202">
        <f t="shared" ca="1" si="66"/>
        <v>-9.9999999999994316E-2</v>
      </c>
      <c r="O202">
        <f t="shared" ca="1" si="67"/>
        <v>0</v>
      </c>
      <c r="P202">
        <f t="shared" ca="1" si="68"/>
        <v>9.9999999999994316E-2</v>
      </c>
      <c r="Q202">
        <f t="shared" ca="1" si="51"/>
        <v>0.59528035529613355</v>
      </c>
      <c r="R202">
        <f t="shared" ca="1" si="52"/>
        <v>0.54804855107621708</v>
      </c>
      <c r="S202">
        <f t="shared" ca="1" si="49"/>
        <v>1.0861817883236187</v>
      </c>
      <c r="T202">
        <f t="shared" ca="1" si="50"/>
        <v>52.065538794509159</v>
      </c>
      <c r="U202">
        <f>70</f>
        <v>70</v>
      </c>
      <c r="V202">
        <f>30</f>
        <v>30</v>
      </c>
      <c r="W202">
        <f t="shared" ca="1" si="48"/>
        <v>171.53329240717497</v>
      </c>
      <c r="X202">
        <f t="shared" ca="1" si="58"/>
        <v>171.66950038624705</v>
      </c>
      <c r="Y202">
        <f t="shared" ca="1" si="57"/>
        <v>-0.14632416125166969</v>
      </c>
      <c r="Z202">
        <f t="shared" ca="1" si="59"/>
        <v>-0.30033083880697886</v>
      </c>
      <c r="AA202">
        <f t="shared" ca="1" si="60"/>
        <v>0.15400667755530917</v>
      </c>
      <c r="AB202">
        <f t="shared" ca="1" si="61"/>
        <v>169.08759999999998</v>
      </c>
    </row>
    <row r="203" spans="1:28" x14ac:dyDescent="0.25">
      <c r="A203" s="20">
        <f t="shared" ca="1" si="62"/>
        <v>45579</v>
      </c>
      <c r="B203" vm="595">
        <f ca="1"/>
        <v>45583</v>
      </c>
      <c r="C203" vm="596">
        <f ca="1"/>
        <v>171.28</v>
      </c>
      <c r="D203" vm="597">
        <f ca="1"/>
        <v>8372536</v>
      </c>
      <c r="E203">
        <f t="shared" ca="1" si="63"/>
        <v>1434047966.0799999</v>
      </c>
      <c r="F203">
        <f ca="1">SUM($E$2:E203)/SUM($D$2:D203)</f>
        <v>163.70487229898146</v>
      </c>
      <c r="G203">
        <f ca="1">_xlfn.STDEV.P($C$2:C203)</f>
        <v>6.8388945545004365</v>
      </c>
      <c r="H203">
        <f t="shared" ca="1" si="64"/>
        <v>170.54376685348188</v>
      </c>
      <c r="I203">
        <f t="shared" ca="1" si="65"/>
        <v>156.86597774448103</v>
      </c>
      <c r="J203">
        <f t="shared" ca="1" si="53"/>
        <v>171.49000000000004</v>
      </c>
      <c r="K203">
        <f t="shared" ca="1" si="54"/>
        <v>2.0366277596995843</v>
      </c>
      <c r="L203">
        <f t="shared" ca="1" si="55"/>
        <v>175.56325551939921</v>
      </c>
      <c r="M203">
        <f t="shared" ca="1" si="56"/>
        <v>167.41674448060087</v>
      </c>
      <c r="N203">
        <f t="shared" ca="1" si="66"/>
        <v>-1</v>
      </c>
      <c r="O203">
        <f t="shared" ca="1" si="67"/>
        <v>0</v>
      </c>
      <c r="P203">
        <f t="shared" ca="1" si="68"/>
        <v>1</v>
      </c>
      <c r="Q203">
        <f t="shared" ca="1" si="51"/>
        <v>0.5527603299178383</v>
      </c>
      <c r="R203">
        <f t="shared" ca="1" si="52"/>
        <v>0.58033079742791582</v>
      </c>
      <c r="S203">
        <f t="shared" ca="1" si="49"/>
        <v>0.95249180703096825</v>
      </c>
      <c r="T203">
        <f t="shared" ca="1" si="50"/>
        <v>48.783395843251334</v>
      </c>
      <c r="U203">
        <f>70</f>
        <v>70</v>
      </c>
      <c r="V203">
        <f>30</f>
        <v>30</v>
      </c>
      <c r="W203">
        <f t="shared" ca="1" si="48"/>
        <v>171.49432434453266</v>
      </c>
      <c r="X203">
        <f t="shared" ca="1" si="58"/>
        <v>171.64064850578433</v>
      </c>
      <c r="Y203">
        <f t="shared" ca="1" si="57"/>
        <v>-0.29138585200485068</v>
      </c>
      <c r="Z203">
        <f t="shared" ca="1" si="59"/>
        <v>-0.29854184144655327</v>
      </c>
      <c r="AA203">
        <f t="shared" ca="1" si="60"/>
        <v>7.1559894417025927E-3</v>
      </c>
      <c r="AB203">
        <f t="shared" ca="1" si="61"/>
        <v>169.16929999999999</v>
      </c>
    </row>
    <row r="204" spans="1:28" x14ac:dyDescent="0.25">
      <c r="A204" s="20">
        <f t="shared" ca="1" si="62"/>
        <v>45586</v>
      </c>
      <c r="B204" vm="598">
        <f ca="1"/>
        <v>45586</v>
      </c>
      <c r="C204" vm="599">
        <f ca="1"/>
        <v>169.54</v>
      </c>
      <c r="D204" vm="600">
        <f ca="1"/>
        <v>5522460</v>
      </c>
      <c r="E204">
        <f t="shared" ca="1" si="63"/>
        <v>936277868.39999998</v>
      </c>
      <c r="F204">
        <f ca="1">SUM($E$2:E204)/SUM($D$2:D204)</f>
        <v>163.72861047724152</v>
      </c>
      <c r="G204">
        <f ca="1">_xlfn.STDEV.P($C$2:C204)</f>
        <v>6.8331690511584986</v>
      </c>
      <c r="H204">
        <f t="shared" ca="1" si="64"/>
        <v>170.56177952840002</v>
      </c>
      <c r="I204">
        <f t="shared" ca="1" si="65"/>
        <v>156.89544142608301</v>
      </c>
      <c r="J204">
        <f t="shared" ca="1" si="53"/>
        <v>171.27850000000007</v>
      </c>
      <c r="K204">
        <f t="shared" ca="1" si="54"/>
        <v>2.0068128043190643</v>
      </c>
      <c r="L204">
        <f t="shared" ca="1" si="55"/>
        <v>175.2921256086382</v>
      </c>
      <c r="M204">
        <f t="shared" ca="1" si="56"/>
        <v>167.26487439136193</v>
      </c>
      <c r="N204">
        <f t="shared" ca="1" si="66"/>
        <v>-1.7400000000000091</v>
      </c>
      <c r="O204">
        <f t="shared" ca="1" si="67"/>
        <v>0</v>
      </c>
      <c r="P204">
        <f t="shared" ca="1" si="68"/>
        <v>1.7400000000000091</v>
      </c>
      <c r="Q204">
        <f t="shared" ca="1" si="51"/>
        <v>0.51327744920942131</v>
      </c>
      <c r="R204">
        <f t="shared" ca="1" si="52"/>
        <v>0.66316431189735103</v>
      </c>
      <c r="S204">
        <f t="shared" ca="1" si="49"/>
        <v>0.77398231479149593</v>
      </c>
      <c r="T204">
        <f t="shared" ca="1" si="50"/>
        <v>43.629652242754489</v>
      </c>
      <c r="U204">
        <f>70</f>
        <v>70</v>
      </c>
      <c r="V204">
        <f>30</f>
        <v>30</v>
      </c>
      <c r="W204">
        <f t="shared" ca="1" si="48"/>
        <v>171.19365906075842</v>
      </c>
      <c r="X204">
        <f t="shared" ca="1" si="58"/>
        <v>171.48504491276327</v>
      </c>
      <c r="Y204">
        <f t="shared" ca="1" si="57"/>
        <v>-0.38895400456644325</v>
      </c>
      <c r="Z204">
        <f t="shared" ca="1" si="59"/>
        <v>-0.31662427407053129</v>
      </c>
      <c r="AA204">
        <f t="shared" ca="1" si="60"/>
        <v>-7.2329730495911959E-2</v>
      </c>
      <c r="AB204">
        <f t="shared" ca="1" si="61"/>
        <v>169.24819999999997</v>
      </c>
    </row>
    <row r="205" spans="1:28" x14ac:dyDescent="0.25">
      <c r="A205" s="20">
        <f t="shared" ca="1" si="62"/>
        <v>45586</v>
      </c>
      <c r="B205" vm="601">
        <f ca="1"/>
        <v>45587</v>
      </c>
      <c r="C205" vm="602">
        <f ca="1"/>
        <v>169.7</v>
      </c>
      <c r="D205" vm="603">
        <f ca="1"/>
        <v>7511671</v>
      </c>
      <c r="E205">
        <f t="shared" ca="1" si="63"/>
        <v>1274730568.6999998</v>
      </c>
      <c r="F205">
        <f ca="1">SUM($E$2:E205)/SUM($D$2:D205)</f>
        <v>163.76147140744877</v>
      </c>
      <c r="G205">
        <f ca="1">_xlfn.STDEV.P($C$2:C205)</f>
        <v>6.8280290564589565</v>
      </c>
      <c r="H205">
        <f t="shared" ca="1" si="64"/>
        <v>170.58950046390771</v>
      </c>
      <c r="I205">
        <f t="shared" ca="1" si="65"/>
        <v>156.93344235098982</v>
      </c>
      <c r="J205">
        <f t="shared" ca="1" si="53"/>
        <v>171.10150000000004</v>
      </c>
      <c r="K205">
        <f t="shared" ca="1" si="54"/>
        <v>1.9806465584433994</v>
      </c>
      <c r="L205">
        <f t="shared" ca="1" si="55"/>
        <v>175.06279311688684</v>
      </c>
      <c r="M205">
        <f t="shared" ca="1" si="56"/>
        <v>167.14020688311325</v>
      </c>
      <c r="N205">
        <f t="shared" ca="1" si="66"/>
        <v>0.15999999999999659</v>
      </c>
      <c r="O205">
        <f t="shared" ca="1" si="67"/>
        <v>0.15999999999999659</v>
      </c>
      <c r="P205">
        <f t="shared" ca="1" si="68"/>
        <v>0</v>
      </c>
      <c r="Q205">
        <f t="shared" ca="1" si="51"/>
        <v>0.48804334569446245</v>
      </c>
      <c r="R205">
        <f t="shared" ca="1" si="52"/>
        <v>0.61579543247611157</v>
      </c>
      <c r="S205">
        <f t="shared" ca="1" si="49"/>
        <v>0.79254135376100732</v>
      </c>
      <c r="T205">
        <f t="shared" ca="1" si="50"/>
        <v>44.213281445258851</v>
      </c>
      <c r="U205">
        <f>70</f>
        <v>70</v>
      </c>
      <c r="V205">
        <f>30</f>
        <v>30</v>
      </c>
      <c r="W205">
        <f t="shared" ca="1" si="48"/>
        <v>170.96386535910327</v>
      </c>
      <c r="X205">
        <f t="shared" ca="1" si="58"/>
        <v>171.35281936366971</v>
      </c>
      <c r="Y205">
        <f t="shared" ca="1" si="57"/>
        <v>-0.47053641464097495</v>
      </c>
      <c r="Z205">
        <f t="shared" ca="1" si="59"/>
        <v>-0.34740670218462</v>
      </c>
      <c r="AA205">
        <f t="shared" ca="1" si="60"/>
        <v>-0.12312971245635496</v>
      </c>
      <c r="AB205">
        <f t="shared" ca="1" si="61"/>
        <v>169.31939999999997</v>
      </c>
    </row>
    <row r="206" spans="1:28" x14ac:dyDescent="0.25">
      <c r="A206" s="20">
        <f t="shared" ca="1" si="62"/>
        <v>45586</v>
      </c>
      <c r="B206" vm="604">
        <f ca="1"/>
        <v>45588</v>
      </c>
      <c r="C206" vm="605">
        <f ca="1"/>
        <v>169.58</v>
      </c>
      <c r="D206" vm="606">
        <f ca="1"/>
        <v>4837810</v>
      </c>
      <c r="E206">
        <f t="shared" ca="1" si="63"/>
        <v>820395819.80000007</v>
      </c>
      <c r="F206">
        <f ca="1">SUM($E$2:E206)/SUM($D$2:D206)</f>
        <v>163.78202053433398</v>
      </c>
      <c r="G206">
        <f ca="1">_xlfn.STDEV.P($C$2:C206)</f>
        <v>6.8223430751537393</v>
      </c>
      <c r="H206">
        <f t="shared" ca="1" si="64"/>
        <v>170.60436360948773</v>
      </c>
      <c r="I206">
        <f t="shared" ca="1" si="65"/>
        <v>156.95967745918023</v>
      </c>
      <c r="J206">
        <f t="shared" ca="1" si="53"/>
        <v>170.96750000000003</v>
      </c>
      <c r="K206">
        <f t="shared" ca="1" si="54"/>
        <v>1.9887840109235744</v>
      </c>
      <c r="L206">
        <f t="shared" ca="1" si="55"/>
        <v>174.94506802184719</v>
      </c>
      <c r="M206">
        <f t="shared" ca="1" si="56"/>
        <v>166.98993197815287</v>
      </c>
      <c r="N206">
        <f t="shared" ca="1" si="66"/>
        <v>-0.11999999999997613</v>
      </c>
      <c r="O206">
        <f t="shared" ca="1" si="67"/>
        <v>0</v>
      </c>
      <c r="P206">
        <f t="shared" ca="1" si="68"/>
        <v>0.11999999999997613</v>
      </c>
      <c r="Q206">
        <f t="shared" ca="1" si="51"/>
        <v>0.45318310671628659</v>
      </c>
      <c r="R206">
        <f t="shared" ca="1" si="52"/>
        <v>0.58038147301353049</v>
      </c>
      <c r="S206">
        <f t="shared" ca="1" si="49"/>
        <v>0.78083661830763074</v>
      </c>
      <c r="T206">
        <f t="shared" ca="1" si="50"/>
        <v>43.846617386477455</v>
      </c>
      <c r="U206">
        <f>70</f>
        <v>70</v>
      </c>
      <c r="V206">
        <f>30</f>
        <v>30</v>
      </c>
      <c r="W206">
        <f t="shared" ca="1" si="48"/>
        <v>170.7509629961643</v>
      </c>
      <c r="X206">
        <f t="shared" ca="1" si="58"/>
        <v>171.22149941080528</v>
      </c>
      <c r="Y206">
        <f t="shared" ca="1" si="57"/>
        <v>-0.52590113575760711</v>
      </c>
      <c r="Z206">
        <f t="shared" ca="1" si="59"/>
        <v>-0.38310558889921742</v>
      </c>
      <c r="AA206">
        <f t="shared" ca="1" si="60"/>
        <v>-0.14279554685838969</v>
      </c>
      <c r="AB206">
        <f t="shared" ca="1" si="61"/>
        <v>169.36980000000003</v>
      </c>
    </row>
    <row r="207" spans="1:28" x14ac:dyDescent="0.25">
      <c r="A207" s="20">
        <f t="shared" ca="1" si="62"/>
        <v>45586</v>
      </c>
      <c r="B207" vm="607">
        <f ca="1"/>
        <v>45589</v>
      </c>
      <c r="C207" vm="608">
        <f ca="1"/>
        <v>169.62</v>
      </c>
      <c r="D207" vm="609">
        <f ca="1"/>
        <v>5861303</v>
      </c>
      <c r="E207">
        <f t="shared" ca="1" si="63"/>
        <v>994194214.86000001</v>
      </c>
      <c r="F207">
        <f ca="1">SUM($E$2:E207)/SUM($D$2:D207)</f>
        <v>163.80689385786158</v>
      </c>
      <c r="G207">
        <f ca="1">_xlfn.STDEV.P($C$2:C207)</f>
        <v>6.8167587322374636</v>
      </c>
      <c r="H207">
        <f t="shared" ca="1" si="64"/>
        <v>170.62365259009906</v>
      </c>
      <c r="I207">
        <f t="shared" ca="1" si="65"/>
        <v>156.99013512562411</v>
      </c>
      <c r="J207">
        <f t="shared" ca="1" si="53"/>
        <v>170.78800000000001</v>
      </c>
      <c r="K207">
        <f t="shared" ca="1" si="54"/>
        <v>1.9370694088588656</v>
      </c>
      <c r="L207">
        <f t="shared" ca="1" si="55"/>
        <v>174.66213881771773</v>
      </c>
      <c r="M207">
        <f t="shared" ca="1" si="56"/>
        <v>166.91386118228229</v>
      </c>
      <c r="N207">
        <f t="shared" ca="1" si="66"/>
        <v>3.9999999999992042E-2</v>
      </c>
      <c r="O207">
        <f t="shared" ca="1" si="67"/>
        <v>3.9999999999992042E-2</v>
      </c>
      <c r="P207">
        <f t="shared" ca="1" si="68"/>
        <v>0</v>
      </c>
      <c r="Q207">
        <f t="shared" ca="1" si="51"/>
        <v>0.42367002766512268</v>
      </c>
      <c r="R207">
        <f t="shared" ca="1" si="52"/>
        <v>0.53892565351256405</v>
      </c>
      <c r="S207">
        <f t="shared" ca="1" si="49"/>
        <v>0.78613817119998275</v>
      </c>
      <c r="T207">
        <f t="shared" ca="1" si="50"/>
        <v>44.013289894131255</v>
      </c>
      <c r="U207">
        <f>70</f>
        <v>70</v>
      </c>
      <c r="V207">
        <f>30</f>
        <v>30</v>
      </c>
      <c r="W207">
        <f t="shared" ref="W207:W270" ca="1" si="69">C207*(2/(12+1)) + W206*(1-(2/(12+1)))</f>
        <v>170.57696868906208</v>
      </c>
      <c r="X207">
        <f t="shared" ca="1" si="58"/>
        <v>171.10286982481969</v>
      </c>
      <c r="Y207">
        <f t="shared" ca="1" si="57"/>
        <v>-0.6749657903559978</v>
      </c>
      <c r="Z207">
        <f t="shared" ca="1" si="59"/>
        <v>-0.44147762919057354</v>
      </c>
      <c r="AA207">
        <f t="shared" ca="1" si="60"/>
        <v>-0.23348816116542426</v>
      </c>
      <c r="AB207">
        <f t="shared" ca="1" si="61"/>
        <v>169.4195</v>
      </c>
    </row>
    <row r="208" spans="1:28" x14ac:dyDescent="0.25">
      <c r="A208" s="20">
        <f t="shared" ca="1" si="62"/>
        <v>45586</v>
      </c>
      <c r="B208" vm="610">
        <f ca="1"/>
        <v>45590</v>
      </c>
      <c r="C208" vm="611">
        <f ca="1"/>
        <v>168.22</v>
      </c>
      <c r="D208" vm="612">
        <f ca="1"/>
        <v>4877911</v>
      </c>
      <c r="E208">
        <f t="shared" ca="1" si="63"/>
        <v>820562188.41999996</v>
      </c>
      <c r="F208">
        <f ca="1">SUM($E$2:E208)/SUM($D$2:D208)</f>
        <v>163.82248644364248</v>
      </c>
      <c r="G208">
        <f ca="1">_xlfn.STDEV.P($C$2:C208)</f>
        <v>6.8063324882618472</v>
      </c>
      <c r="H208">
        <f t="shared" ca="1" si="64"/>
        <v>170.62881893190433</v>
      </c>
      <c r="I208">
        <f t="shared" ca="1" si="65"/>
        <v>157.01615395538062</v>
      </c>
      <c r="J208">
        <f t="shared" ca="1" si="53"/>
        <v>170.5215</v>
      </c>
      <c r="K208">
        <f t="shared" ca="1" si="54"/>
        <v>1.9034325641629071</v>
      </c>
      <c r="L208">
        <f t="shared" ca="1" si="55"/>
        <v>174.32836512832583</v>
      </c>
      <c r="M208">
        <f t="shared" ca="1" si="56"/>
        <v>166.71463487167418</v>
      </c>
      <c r="N208">
        <f t="shared" ca="1" si="66"/>
        <v>-1.4000000000000057</v>
      </c>
      <c r="O208">
        <f t="shared" ca="1" si="67"/>
        <v>0</v>
      </c>
      <c r="P208">
        <f t="shared" ca="1" si="68"/>
        <v>1.4000000000000057</v>
      </c>
      <c r="Q208">
        <f t="shared" ca="1" si="51"/>
        <v>0.39340788283189959</v>
      </c>
      <c r="R208">
        <f t="shared" ca="1" si="52"/>
        <v>0.60043096397595275</v>
      </c>
      <c r="S208">
        <f t="shared" ref="S208:S271" ca="1" si="70">IF(R208=0,NA(),Q208/R208)</f>
        <v>0.65520918546042139</v>
      </c>
      <c r="T208">
        <f t="shared" ref="T208:T271" ca="1" si="71">100-(100/(1+S208))</f>
        <v>39.584675533211538</v>
      </c>
      <c r="U208">
        <f>70</f>
        <v>70</v>
      </c>
      <c r="V208">
        <f>30</f>
        <v>30</v>
      </c>
      <c r="W208">
        <f t="shared" ca="1" si="69"/>
        <v>170.21435812151407</v>
      </c>
      <c r="X208">
        <f t="shared" ca="1" si="58"/>
        <v>170.88932391187006</v>
      </c>
      <c r="Y208">
        <f t="shared" ca="1" si="57"/>
        <v>-0.69790857341337187</v>
      </c>
      <c r="Z208">
        <f t="shared" ca="1" si="59"/>
        <v>-0.49276381803513325</v>
      </c>
      <c r="AA208">
        <f t="shared" ca="1" si="60"/>
        <v>-0.20514475537823862</v>
      </c>
      <c r="AB208">
        <f t="shared" ca="1" si="61"/>
        <v>169.43160000000003</v>
      </c>
    </row>
    <row r="209" spans="1:28" x14ac:dyDescent="0.25">
      <c r="A209" s="20">
        <f t="shared" ca="1" si="62"/>
        <v>45593</v>
      </c>
      <c r="B209" vm="613">
        <f ca="1"/>
        <v>45593</v>
      </c>
      <c r="C209" vm="614">
        <f ca="1"/>
        <v>169.3</v>
      </c>
      <c r="D209" vm="615">
        <f ca="1"/>
        <v>5754043</v>
      </c>
      <c r="E209">
        <f t="shared" ca="1" si="63"/>
        <v>974159479.9000001</v>
      </c>
      <c r="F209">
        <f ca="1">SUM($E$2:E209)/SUM($D$2:D209)</f>
        <v>163.84522119163</v>
      </c>
      <c r="G209">
        <f ca="1">_xlfn.STDEV.P($C$2:C209)</f>
        <v>6.7994759141496051</v>
      </c>
      <c r="H209">
        <f t="shared" ca="1" si="64"/>
        <v>170.64469710577961</v>
      </c>
      <c r="I209">
        <f t="shared" ca="1" si="65"/>
        <v>157.04574527748039</v>
      </c>
      <c r="J209">
        <f t="shared" ca="1" si="53"/>
        <v>170.32649999999998</v>
      </c>
      <c r="K209">
        <f t="shared" ca="1" si="54"/>
        <v>1.8121701877786409</v>
      </c>
      <c r="L209">
        <f t="shared" ca="1" si="55"/>
        <v>173.95084037555728</v>
      </c>
      <c r="M209">
        <f t="shared" ca="1" si="56"/>
        <v>166.70215962444269</v>
      </c>
      <c r="N209">
        <f t="shared" ca="1" si="66"/>
        <v>1.0800000000000125</v>
      </c>
      <c r="O209">
        <f t="shared" ca="1" si="67"/>
        <v>1.0800000000000125</v>
      </c>
      <c r="P209">
        <f t="shared" ca="1" si="68"/>
        <v>0</v>
      </c>
      <c r="Q209">
        <f t="shared" ref="Q209:Q272" ca="1" si="72">(Q208*13+O209)/14</f>
        <v>0.44245017691533622</v>
      </c>
      <c r="R209">
        <f t="shared" ref="R209:R272" ca="1" si="73">(R208*13+P209)/14</f>
        <v>0.55754303797767046</v>
      </c>
      <c r="S209">
        <f t="shared" ca="1" si="70"/>
        <v>0.7935713420800643</v>
      </c>
      <c r="T209">
        <f t="shared" ca="1" si="71"/>
        <v>44.245317900749534</v>
      </c>
      <c r="U209">
        <f>70</f>
        <v>70</v>
      </c>
      <c r="V209">
        <f>30</f>
        <v>30</v>
      </c>
      <c r="W209">
        <f t="shared" ca="1" si="69"/>
        <v>170.07368764128114</v>
      </c>
      <c r="X209">
        <f t="shared" ca="1" si="58"/>
        <v>170.77159621469451</v>
      </c>
      <c r="Y209">
        <f t="shared" ca="1" si="57"/>
        <v>-0.87784484420291164</v>
      </c>
      <c r="Z209">
        <f t="shared" ca="1" si="59"/>
        <v>-0.56978002326868893</v>
      </c>
      <c r="AA209">
        <f t="shared" ca="1" si="60"/>
        <v>-0.30806482093422272</v>
      </c>
      <c r="AB209">
        <f t="shared" ca="1" si="61"/>
        <v>169.46410000000003</v>
      </c>
    </row>
    <row r="210" spans="1:28" x14ac:dyDescent="0.25">
      <c r="A210" s="20">
        <f t="shared" ca="1" si="62"/>
        <v>45593</v>
      </c>
      <c r="B210" vm="616">
        <f ca="1"/>
        <v>45594</v>
      </c>
      <c r="C210" vm="617">
        <f ca="1"/>
        <v>167.17</v>
      </c>
      <c r="D210" vm="618">
        <f ca="1"/>
        <v>5681358</v>
      </c>
      <c r="E210">
        <f t="shared" ca="1" si="63"/>
        <v>949752616.8599999</v>
      </c>
      <c r="F210">
        <f ca="1">SUM($E$2:E210)/SUM($D$2:D210)</f>
        <v>163.85879095692789</v>
      </c>
      <c r="G210">
        <f ca="1">_xlfn.STDEV.P($C$2:C210)</f>
        <v>6.7864458847145936</v>
      </c>
      <c r="H210">
        <f t="shared" ca="1" si="64"/>
        <v>170.64523684164249</v>
      </c>
      <c r="I210">
        <f t="shared" ca="1" si="65"/>
        <v>157.0723450722133</v>
      </c>
      <c r="J210">
        <f t="shared" ca="1" si="53"/>
        <v>170.03299999999996</v>
      </c>
      <c r="K210">
        <f t="shared" ca="1" si="54"/>
        <v>1.8248694257542448</v>
      </c>
      <c r="L210">
        <f t="shared" ca="1" si="55"/>
        <v>173.68273885150845</v>
      </c>
      <c r="M210">
        <f t="shared" ca="1" si="56"/>
        <v>166.38326114849147</v>
      </c>
      <c r="N210">
        <f t="shared" ca="1" si="66"/>
        <v>-2.1300000000000239</v>
      </c>
      <c r="O210">
        <f t="shared" ca="1" si="67"/>
        <v>0</v>
      </c>
      <c r="P210">
        <f t="shared" ca="1" si="68"/>
        <v>2.1300000000000239</v>
      </c>
      <c r="Q210">
        <f t="shared" ca="1" si="72"/>
        <v>0.41084659284995506</v>
      </c>
      <c r="R210">
        <f t="shared" ca="1" si="73"/>
        <v>0.6698613924078386</v>
      </c>
      <c r="S210">
        <f t="shared" ca="1" si="70"/>
        <v>0.61333075395367032</v>
      </c>
      <c r="T210">
        <f t="shared" ca="1" si="71"/>
        <v>38.016429826966728</v>
      </c>
      <c r="U210">
        <f>70</f>
        <v>70</v>
      </c>
      <c r="V210">
        <f>30</f>
        <v>30</v>
      </c>
      <c r="W210">
        <f t="shared" ca="1" si="69"/>
        <v>169.62696646569941</v>
      </c>
      <c r="X210">
        <f t="shared" ca="1" si="58"/>
        <v>170.50481130990232</v>
      </c>
      <c r="Y210">
        <f t="shared" ca="1" si="57"/>
        <v>-1.0893864256567838</v>
      </c>
      <c r="Z210">
        <f t="shared" ca="1" si="59"/>
        <v>-0.67370130374630788</v>
      </c>
      <c r="AA210">
        <f t="shared" ca="1" si="60"/>
        <v>-0.41568512191047591</v>
      </c>
      <c r="AB210">
        <f t="shared" ca="1" si="61"/>
        <v>169.4511</v>
      </c>
    </row>
    <row r="211" spans="1:28" x14ac:dyDescent="0.25">
      <c r="A211" s="20">
        <f t="shared" ca="1" si="62"/>
        <v>45593</v>
      </c>
      <c r="B211" vm="619">
        <f ca="1"/>
        <v>45595</v>
      </c>
      <c r="C211" vm="620">
        <f ca="1"/>
        <v>166.16</v>
      </c>
      <c r="D211" vm="621">
        <f ca="1"/>
        <v>5518085</v>
      </c>
      <c r="E211">
        <f t="shared" ca="1" si="63"/>
        <v>916885003.60000002</v>
      </c>
      <c r="F211">
        <f ca="1">SUM($E$2:E211)/SUM($D$2:D211)</f>
        <v>163.86787718621457</v>
      </c>
      <c r="G211">
        <f ca="1">_xlfn.STDEV.P($C$2:C211)</f>
        <v>6.7716986331853848</v>
      </c>
      <c r="H211">
        <f t="shared" ca="1" si="64"/>
        <v>170.63957581939997</v>
      </c>
      <c r="I211">
        <f t="shared" ca="1" si="65"/>
        <v>157.09617855302918</v>
      </c>
      <c r="J211">
        <f t="shared" ca="1" si="53"/>
        <v>169.74499999999995</v>
      </c>
      <c r="K211">
        <f t="shared" ca="1" si="54"/>
        <v>1.9608443401544622</v>
      </c>
      <c r="L211">
        <f t="shared" ca="1" si="55"/>
        <v>173.66668868030888</v>
      </c>
      <c r="M211">
        <f t="shared" ca="1" si="56"/>
        <v>165.82331131969102</v>
      </c>
      <c r="N211">
        <f t="shared" ca="1" si="66"/>
        <v>-1.0099999999999909</v>
      </c>
      <c r="O211">
        <f t="shared" ca="1" si="67"/>
        <v>0</v>
      </c>
      <c r="P211">
        <f t="shared" ca="1" si="68"/>
        <v>1.0099999999999909</v>
      </c>
      <c r="Q211">
        <f t="shared" ca="1" si="72"/>
        <v>0.38150040764638682</v>
      </c>
      <c r="R211">
        <f t="shared" ca="1" si="73"/>
        <v>0.6941570072358495</v>
      </c>
      <c r="S211">
        <f t="shared" ca="1" si="70"/>
        <v>0.54958806677689664</v>
      </c>
      <c r="T211">
        <f t="shared" ca="1" si="71"/>
        <v>35.466720385891051</v>
      </c>
      <c r="U211">
        <f>70</f>
        <v>70</v>
      </c>
      <c r="V211">
        <f>30</f>
        <v>30</v>
      </c>
      <c r="W211">
        <f t="shared" ca="1" si="69"/>
        <v>169.09358700943795</v>
      </c>
      <c r="X211">
        <f t="shared" ca="1" si="58"/>
        <v>170.18297343509474</v>
      </c>
      <c r="Y211">
        <f t="shared" ca="1" si="57"/>
        <v>-1.3208861099792557</v>
      </c>
      <c r="Z211">
        <f t="shared" ca="1" si="59"/>
        <v>-0.80313826499289742</v>
      </c>
      <c r="AA211">
        <f t="shared" ca="1" si="60"/>
        <v>-0.51774784498635829</v>
      </c>
      <c r="AB211">
        <f t="shared" ca="1" si="61"/>
        <v>169.44210000000004</v>
      </c>
    </row>
    <row r="212" spans="1:28" x14ac:dyDescent="0.25">
      <c r="A212" s="20">
        <f t="shared" ca="1" si="62"/>
        <v>45593</v>
      </c>
      <c r="B212" vm="622">
        <f ca="1"/>
        <v>45596</v>
      </c>
      <c r="C212" vm="333">
        <f ca="1"/>
        <v>165.18</v>
      </c>
      <c r="D212" vm="623">
        <f ca="1"/>
        <v>6056514</v>
      </c>
      <c r="E212">
        <f t="shared" ca="1" si="63"/>
        <v>1000414982.5200001</v>
      </c>
      <c r="F212">
        <f ca="1">SUM($E$2:E212)/SUM($D$2:D212)</f>
        <v>163.87353903670402</v>
      </c>
      <c r="G212">
        <f ca="1">_xlfn.STDEV.P($C$2:C212)</f>
        <v>6.7560046587321612</v>
      </c>
      <c r="H212">
        <f t="shared" ca="1" si="64"/>
        <v>170.62954369543618</v>
      </c>
      <c r="I212">
        <f t="shared" ca="1" si="65"/>
        <v>157.11753437797185</v>
      </c>
      <c r="J212">
        <f t="shared" ca="1" si="53"/>
        <v>169.49799999999996</v>
      </c>
      <c r="K212">
        <f t="shared" ca="1" si="54"/>
        <v>2.2068281596707484</v>
      </c>
      <c r="L212">
        <f t="shared" ca="1" si="55"/>
        <v>173.91165631934146</v>
      </c>
      <c r="M212">
        <f t="shared" ca="1" si="56"/>
        <v>165.08434368065846</v>
      </c>
      <c r="N212">
        <f t="shared" ca="1" si="66"/>
        <v>-0.97999999999998977</v>
      </c>
      <c r="O212">
        <f t="shared" ca="1" si="67"/>
        <v>0</v>
      </c>
      <c r="P212">
        <f t="shared" ca="1" si="68"/>
        <v>0.97999999999998977</v>
      </c>
      <c r="Q212">
        <f t="shared" ca="1" si="72"/>
        <v>0.35425037852878777</v>
      </c>
      <c r="R212">
        <f t="shared" ca="1" si="73"/>
        <v>0.71457436386185957</v>
      </c>
      <c r="S212">
        <f t="shared" ca="1" si="70"/>
        <v>0.495750192624138</v>
      </c>
      <c r="T212">
        <f t="shared" ca="1" si="71"/>
        <v>33.143916348384082</v>
      </c>
      <c r="U212">
        <f>70</f>
        <v>70</v>
      </c>
      <c r="V212">
        <f>30</f>
        <v>30</v>
      </c>
      <c r="W212">
        <f t="shared" ca="1" si="69"/>
        <v>168.49149670029365</v>
      </c>
      <c r="X212">
        <f t="shared" ca="1" si="58"/>
        <v>169.81238281027291</v>
      </c>
      <c r="Y212">
        <f t="shared" ca="1" si="57"/>
        <v>-1.4935894397478364</v>
      </c>
      <c r="Z212">
        <f t="shared" ca="1" si="59"/>
        <v>-0.94122849994388535</v>
      </c>
      <c r="AA212">
        <f t="shared" ca="1" si="60"/>
        <v>-0.55236093980395107</v>
      </c>
      <c r="AB212">
        <f t="shared" ca="1" si="61"/>
        <v>169.42040000000006</v>
      </c>
    </row>
    <row r="213" spans="1:28" x14ac:dyDescent="0.25">
      <c r="A213" s="20">
        <f t="shared" ca="1" si="62"/>
        <v>45593</v>
      </c>
      <c r="B213" vm="624">
        <f ca="1"/>
        <v>45597</v>
      </c>
      <c r="C213" vm="625">
        <f ca="1"/>
        <v>165.1</v>
      </c>
      <c r="D213" vm="626">
        <f ca="1"/>
        <v>5455095</v>
      </c>
      <c r="E213">
        <f t="shared" ca="1" si="63"/>
        <v>900636184.5</v>
      </c>
      <c r="F213">
        <f ca="1">SUM($E$2:E213)/SUM($D$2:D213)</f>
        <v>163.87828727602391</v>
      </c>
      <c r="G213">
        <f ca="1">_xlfn.STDEV.P($C$2:C213)</f>
        <v>6.7403642170758022</v>
      </c>
      <c r="H213">
        <f t="shared" ca="1" si="64"/>
        <v>170.61865149309972</v>
      </c>
      <c r="I213">
        <f t="shared" ca="1" si="65"/>
        <v>157.1379230589481</v>
      </c>
      <c r="J213">
        <f t="shared" ca="1" si="53"/>
        <v>169.309</v>
      </c>
      <c r="K213">
        <f t="shared" ca="1" si="54"/>
        <v>2.4146240853773091</v>
      </c>
      <c r="L213">
        <f t="shared" ca="1" si="55"/>
        <v>174.13824817075462</v>
      </c>
      <c r="M213">
        <f t="shared" ca="1" si="56"/>
        <v>164.47975182924537</v>
      </c>
      <c r="N213">
        <f t="shared" ca="1" si="66"/>
        <v>-8.0000000000012506E-2</v>
      </c>
      <c r="O213">
        <f t="shared" ca="1" si="67"/>
        <v>0</v>
      </c>
      <c r="P213">
        <f t="shared" ca="1" si="68"/>
        <v>8.0000000000012506E-2</v>
      </c>
      <c r="Q213">
        <f t="shared" ca="1" si="72"/>
        <v>0.32894678006244582</v>
      </c>
      <c r="R213">
        <f t="shared" ca="1" si="73"/>
        <v>0.66924762358601342</v>
      </c>
      <c r="S213">
        <f t="shared" ca="1" si="70"/>
        <v>0.4915172926574744</v>
      </c>
      <c r="T213">
        <f t="shared" ca="1" si="71"/>
        <v>32.95417995333635</v>
      </c>
      <c r="U213">
        <f>70</f>
        <v>70</v>
      </c>
      <c r="V213">
        <f>30</f>
        <v>30</v>
      </c>
      <c r="W213">
        <f t="shared" ca="1" si="69"/>
        <v>167.96972797717154</v>
      </c>
      <c r="X213">
        <f t="shared" ca="1" si="58"/>
        <v>169.46331741691938</v>
      </c>
      <c r="Y213">
        <f t="shared" ca="1" si="57"/>
        <v>-1.6134727956662118</v>
      </c>
      <c r="Z213">
        <f t="shared" ca="1" si="59"/>
        <v>-1.0756773590883508</v>
      </c>
      <c r="AA213">
        <f t="shared" ca="1" si="60"/>
        <v>-0.537795436577861</v>
      </c>
      <c r="AB213">
        <f t="shared" ca="1" si="61"/>
        <v>169.39660000000003</v>
      </c>
    </row>
    <row r="214" spans="1:28" x14ac:dyDescent="0.25">
      <c r="A214" s="20">
        <f t="shared" ca="1" si="62"/>
        <v>45600</v>
      </c>
      <c r="B214" vm="627">
        <f ca="1"/>
        <v>45600</v>
      </c>
      <c r="C214" vm="628">
        <f ca="1"/>
        <v>165.08</v>
      </c>
      <c r="D214" vm="629">
        <f ca="1"/>
        <v>5130338</v>
      </c>
      <c r="E214">
        <f t="shared" ca="1" si="63"/>
        <v>846916197.04000008</v>
      </c>
      <c r="F214">
        <f ca="1">SUM($E$2:E214)/SUM($D$2:D214)</f>
        <v>163.88264685740427</v>
      </c>
      <c r="G214">
        <f ca="1">_xlfn.STDEV.P($C$2:C214)</f>
        <v>6.7248188824161224</v>
      </c>
      <c r="H214">
        <f t="shared" ca="1" si="64"/>
        <v>170.60746573982038</v>
      </c>
      <c r="I214">
        <f t="shared" ca="1" si="65"/>
        <v>157.15782797498815</v>
      </c>
      <c r="J214">
        <f t="shared" ref="J214:J277" ca="1" si="74">AVERAGE(C195:C214)</f>
        <v>169.20699999999997</v>
      </c>
      <c r="K214">
        <f t="shared" ref="K214:K277" ca="1" si="75">_xlfn.STDEV.S(C195:C214)</f>
        <v>2.5511856892536504</v>
      </c>
      <c r="L214">
        <f t="shared" ref="L214:L277" ca="1" si="76">J214 + 2*K214</f>
        <v>174.30937137850728</v>
      </c>
      <c r="M214">
        <f t="shared" ref="M214:M277" ca="1" si="77">J214-2*K214</f>
        <v>164.10462862149265</v>
      </c>
      <c r="N214">
        <f t="shared" ca="1" si="66"/>
        <v>-1.999999999998181E-2</v>
      </c>
      <c r="O214">
        <f t="shared" ca="1" si="67"/>
        <v>0</v>
      </c>
      <c r="P214">
        <f t="shared" ca="1" si="68"/>
        <v>1.999999999998181E-2</v>
      </c>
      <c r="Q214">
        <f t="shared" ca="1" si="72"/>
        <v>0.30545058148655679</v>
      </c>
      <c r="R214">
        <f t="shared" ca="1" si="73"/>
        <v>0.62287279332986834</v>
      </c>
      <c r="S214">
        <f t="shared" ca="1" si="70"/>
        <v>0.49038998774311959</v>
      </c>
      <c r="T214">
        <f t="shared" ca="1" si="71"/>
        <v>32.90346766792976</v>
      </c>
      <c r="U214">
        <f>70</f>
        <v>70</v>
      </c>
      <c r="V214">
        <f>30</f>
        <v>30</v>
      </c>
      <c r="W214">
        <f t="shared" ca="1" si="69"/>
        <v>167.52515444222209</v>
      </c>
      <c r="X214">
        <f t="shared" ca="1" si="58"/>
        <v>169.1386272378883</v>
      </c>
      <c r="Y214">
        <f t="shared" ca="1" si="57"/>
        <v>-1.6347663332585114</v>
      </c>
      <c r="Z214">
        <f t="shared" ca="1" si="59"/>
        <v>-1.187495153922383</v>
      </c>
      <c r="AA214">
        <f t="shared" ca="1" si="60"/>
        <v>-0.44727117933612837</v>
      </c>
      <c r="AB214">
        <f t="shared" ca="1" si="61"/>
        <v>169.39560000000006</v>
      </c>
    </row>
    <row r="215" spans="1:28" x14ac:dyDescent="0.25">
      <c r="A215" s="20">
        <f t="shared" ca="1" si="62"/>
        <v>45600</v>
      </c>
      <c r="B215" vm="630">
        <f ca="1"/>
        <v>45601</v>
      </c>
      <c r="C215" vm="259">
        <f ca="1"/>
        <v>165.76</v>
      </c>
      <c r="D215" vm="631">
        <f ca="1"/>
        <v>4397441</v>
      </c>
      <c r="E215">
        <f t="shared" ca="1" si="63"/>
        <v>728919820.15999997</v>
      </c>
      <c r="F215">
        <f ca="1">SUM($E$2:E215)/SUM($D$2:D215)</f>
        <v>163.88846649283411</v>
      </c>
      <c r="G215">
        <f ca="1">_xlfn.STDEV.P($C$2:C215)</f>
        <v>6.7099736635252318</v>
      </c>
      <c r="H215">
        <f t="shared" ca="1" si="64"/>
        <v>170.59844015635935</v>
      </c>
      <c r="I215">
        <f t="shared" ca="1" si="65"/>
        <v>157.17849282930888</v>
      </c>
      <c r="J215">
        <f t="shared" ca="1" si="74"/>
        <v>169.08699999999999</v>
      </c>
      <c r="K215">
        <f t="shared" ca="1" si="75"/>
        <v>2.657264323361626</v>
      </c>
      <c r="L215">
        <f t="shared" ca="1" si="76"/>
        <v>174.40152864672325</v>
      </c>
      <c r="M215">
        <f t="shared" ca="1" si="77"/>
        <v>163.77247135327673</v>
      </c>
      <c r="N215">
        <f t="shared" ca="1" si="66"/>
        <v>0.6799999999999784</v>
      </c>
      <c r="O215">
        <f t="shared" ca="1" si="67"/>
        <v>0.6799999999999784</v>
      </c>
      <c r="P215">
        <f t="shared" ca="1" si="68"/>
        <v>0</v>
      </c>
      <c r="Q215">
        <f t="shared" ca="1" si="72"/>
        <v>0.33220411138037259</v>
      </c>
      <c r="R215">
        <f t="shared" ca="1" si="73"/>
        <v>0.57838187952059195</v>
      </c>
      <c r="S215">
        <f t="shared" ca="1" si="70"/>
        <v>0.57436811757610606</v>
      </c>
      <c r="T215">
        <f t="shared" ca="1" si="71"/>
        <v>36.48245357384409</v>
      </c>
      <c r="U215">
        <f>70</f>
        <v>70</v>
      </c>
      <c r="V215">
        <f>30</f>
        <v>30</v>
      </c>
      <c r="W215">
        <f t="shared" ca="1" si="69"/>
        <v>167.25359222034177</v>
      </c>
      <c r="X215">
        <f t="shared" ca="1" si="58"/>
        <v>168.88835855360028</v>
      </c>
      <c r="Y215">
        <f t="shared" ca="1" si="57"/>
        <v>-2.0085459842694604</v>
      </c>
      <c r="Z215">
        <f t="shared" ca="1" si="59"/>
        <v>-1.3517053199917985</v>
      </c>
      <c r="AA215">
        <f t="shared" ca="1" si="60"/>
        <v>-0.65684066427766186</v>
      </c>
      <c r="AB215">
        <f t="shared" ca="1" si="61"/>
        <v>169.38910000000004</v>
      </c>
    </row>
    <row r="216" spans="1:28" x14ac:dyDescent="0.25">
      <c r="A216" s="20">
        <f t="shared" ca="1" si="62"/>
        <v>45600</v>
      </c>
      <c r="B216" vm="632">
        <f ca="1"/>
        <v>45602</v>
      </c>
      <c r="C216" vm="633">
        <f ca="1"/>
        <v>161.05000000000001</v>
      </c>
      <c r="D216" vm="634">
        <f ca="1"/>
        <v>11473688</v>
      </c>
      <c r="E216">
        <f t="shared" ca="1" si="63"/>
        <v>1847837452.4000001</v>
      </c>
      <c r="F216">
        <f ca="1">SUM($E$2:E216)/SUM($D$2:D216)</f>
        <v>163.86569255907276</v>
      </c>
      <c r="G216">
        <f ca="1">_xlfn.STDEV.P($C$2:C216)</f>
        <v>6.6977142770131817</v>
      </c>
      <c r="H216">
        <f t="shared" ca="1" si="64"/>
        <v>170.56340683608593</v>
      </c>
      <c r="I216">
        <f t="shared" ca="1" si="65"/>
        <v>157.16797828205958</v>
      </c>
      <c r="J216">
        <f t="shared" ca="1" si="74"/>
        <v>168.67599999999999</v>
      </c>
      <c r="K216">
        <f t="shared" ca="1" si="75"/>
        <v>3.2064202042645271</v>
      </c>
      <c r="L216">
        <f t="shared" ca="1" si="76"/>
        <v>175.08884040852905</v>
      </c>
      <c r="M216">
        <f t="shared" ca="1" si="77"/>
        <v>162.26315959147092</v>
      </c>
      <c r="N216">
        <f t="shared" ca="1" si="66"/>
        <v>-4.7099999999999795</v>
      </c>
      <c r="O216">
        <f t="shared" ca="1" si="67"/>
        <v>0</v>
      </c>
      <c r="P216">
        <f t="shared" ca="1" si="68"/>
        <v>4.7099999999999795</v>
      </c>
      <c r="Q216">
        <f t="shared" ca="1" si="72"/>
        <v>0.30847524628177453</v>
      </c>
      <c r="R216">
        <f t="shared" ca="1" si="73"/>
        <v>0.87349745955483393</v>
      </c>
      <c r="S216">
        <f t="shared" ca="1" si="70"/>
        <v>0.35314956318131108</v>
      </c>
      <c r="T216">
        <f t="shared" ca="1" si="71"/>
        <v>26.098339222091738</v>
      </c>
      <c r="U216">
        <f>70</f>
        <v>70</v>
      </c>
      <c r="V216">
        <f>30</f>
        <v>30</v>
      </c>
      <c r="W216">
        <f t="shared" ca="1" si="69"/>
        <v>166.29919341721228</v>
      </c>
      <c r="X216">
        <f t="shared" ca="1" si="58"/>
        <v>168.30773940148174</v>
      </c>
      <c r="Y216">
        <f t="shared" ca="1" si="57"/>
        <v>-2.090241768004347</v>
      </c>
      <c r="Z216">
        <f t="shared" ca="1" si="59"/>
        <v>-1.4994126095943083</v>
      </c>
      <c r="AA216">
        <f t="shared" ca="1" si="60"/>
        <v>-0.59082915841003869</v>
      </c>
      <c r="AB216">
        <f t="shared" ca="1" si="61"/>
        <v>169.33170000000001</v>
      </c>
    </row>
    <row r="217" spans="1:28" x14ac:dyDescent="0.25">
      <c r="A217" s="20">
        <f t="shared" ca="1" si="62"/>
        <v>45600</v>
      </c>
      <c r="B217" vm="635">
        <f ca="1"/>
        <v>45603</v>
      </c>
      <c r="C217" vm="636">
        <f ca="1"/>
        <v>163.41</v>
      </c>
      <c r="D217" vm="637">
        <f ca="1"/>
        <v>9056725</v>
      </c>
      <c r="E217">
        <f t="shared" ca="1" si="63"/>
        <v>1479959432.25</v>
      </c>
      <c r="F217">
        <f ca="1">SUM($E$2:E217)/SUM($D$2:D217)</f>
        <v>163.86282473459426</v>
      </c>
      <c r="G217">
        <f ca="1">_xlfn.STDEV.P($C$2:C217)</f>
        <v>6.6823835437954981</v>
      </c>
      <c r="H217">
        <f t="shared" ca="1" si="64"/>
        <v>170.54520827838977</v>
      </c>
      <c r="I217">
        <f t="shared" ca="1" si="65"/>
        <v>157.18044119079875</v>
      </c>
      <c r="J217">
        <f t="shared" ca="1" si="74"/>
        <v>168.39899999999997</v>
      </c>
      <c r="K217">
        <f t="shared" ca="1" si="75"/>
        <v>3.4140775127635692</v>
      </c>
      <c r="L217">
        <f t="shared" ca="1" si="76"/>
        <v>175.22715502552711</v>
      </c>
      <c r="M217">
        <f t="shared" ca="1" si="77"/>
        <v>161.57084497447283</v>
      </c>
      <c r="N217">
        <f t="shared" ca="1" si="66"/>
        <v>2.3599999999999852</v>
      </c>
      <c r="O217">
        <f t="shared" ca="1" si="67"/>
        <v>2.3599999999999852</v>
      </c>
      <c r="P217">
        <f t="shared" ca="1" si="68"/>
        <v>0</v>
      </c>
      <c r="Q217">
        <f t="shared" ca="1" si="72"/>
        <v>0.45501272869021819</v>
      </c>
      <c r="R217">
        <f t="shared" ca="1" si="73"/>
        <v>0.81110478387234586</v>
      </c>
      <c r="S217">
        <f t="shared" ca="1" si="70"/>
        <v>0.56097897304700084</v>
      </c>
      <c r="T217">
        <f t="shared" ca="1" si="71"/>
        <v>35.937638029292643</v>
      </c>
      <c r="U217">
        <f>70</f>
        <v>70</v>
      </c>
      <c r="V217">
        <f>30</f>
        <v>30</v>
      </c>
      <c r="W217">
        <f t="shared" ca="1" si="69"/>
        <v>165.85470212225653</v>
      </c>
      <c r="X217">
        <f t="shared" ca="1" si="58"/>
        <v>167.94494389026087</v>
      </c>
      <c r="Y217">
        <f t="shared" ca="1" si="57"/>
        <v>-1.7874080741441674</v>
      </c>
      <c r="Z217">
        <f t="shared" ca="1" si="59"/>
        <v>-1.5570117025042802</v>
      </c>
      <c r="AA217">
        <f t="shared" ca="1" si="60"/>
        <v>-0.23039637163988713</v>
      </c>
      <c r="AB217">
        <f t="shared" ca="1" si="61"/>
        <v>169.29080000000002</v>
      </c>
    </row>
    <row r="218" spans="1:28" x14ac:dyDescent="0.25">
      <c r="A218" s="20">
        <f t="shared" ca="1" si="62"/>
        <v>45600</v>
      </c>
      <c r="B218" vm="638">
        <f ca="1"/>
        <v>45604</v>
      </c>
      <c r="C218" vm="639">
        <f ca="1"/>
        <v>167.71</v>
      </c>
      <c r="D218" vm="640">
        <f ca="1"/>
        <v>7506566</v>
      </c>
      <c r="E218">
        <f t="shared" ca="1" si="63"/>
        <v>1258926183.8600001</v>
      </c>
      <c r="F218">
        <f ca="1">SUM($E$2:E218)/SUM($D$2:D218)</f>
        <v>163.88278807754509</v>
      </c>
      <c r="G218">
        <f ca="1">_xlfn.STDEV.P($C$2:C218)</f>
        <v>6.6713239766062129</v>
      </c>
      <c r="H218">
        <f t="shared" ca="1" si="64"/>
        <v>170.55411205415129</v>
      </c>
      <c r="I218">
        <f t="shared" ca="1" si="65"/>
        <v>157.21146410093888</v>
      </c>
      <c r="J218">
        <f t="shared" ca="1" si="74"/>
        <v>168.22999999999996</v>
      </c>
      <c r="K218">
        <f t="shared" ca="1" si="75"/>
        <v>3.3570397360581938</v>
      </c>
      <c r="L218">
        <f t="shared" ca="1" si="76"/>
        <v>174.94407947211636</v>
      </c>
      <c r="M218">
        <f t="shared" ca="1" si="77"/>
        <v>161.51592052788357</v>
      </c>
      <c r="N218">
        <f t="shared" ca="1" si="66"/>
        <v>4.3000000000000114</v>
      </c>
      <c r="O218">
        <f t="shared" ca="1" si="67"/>
        <v>4.3000000000000114</v>
      </c>
      <c r="P218">
        <f t="shared" ca="1" si="68"/>
        <v>0</v>
      </c>
      <c r="Q218">
        <f t="shared" ca="1" si="72"/>
        <v>0.72965467664091777</v>
      </c>
      <c r="R218">
        <f t="shared" ca="1" si="73"/>
        <v>0.75316872788146405</v>
      </c>
      <c r="S218">
        <f t="shared" ca="1" si="70"/>
        <v>0.96877983595165018</v>
      </c>
      <c r="T218">
        <f t="shared" ca="1" si="71"/>
        <v>49.207118960732885</v>
      </c>
      <c r="U218">
        <f>70</f>
        <v>70</v>
      </c>
      <c r="V218">
        <f>30</f>
        <v>30</v>
      </c>
      <c r="W218">
        <f t="shared" ca="1" si="69"/>
        <v>166.14013256498629</v>
      </c>
      <c r="X218">
        <f t="shared" ca="1" si="58"/>
        <v>167.92754063913046</v>
      </c>
      <c r="Y218">
        <f t="shared" ca="1" si="57"/>
        <v>-1.663792979818993</v>
      </c>
      <c r="Z218">
        <f t="shared" ca="1" si="59"/>
        <v>-1.578367957967223</v>
      </c>
      <c r="AA218">
        <f t="shared" ca="1" si="60"/>
        <v>-8.5425021851770033E-2</v>
      </c>
      <c r="AB218">
        <f t="shared" ca="1" si="61"/>
        <v>169.28230000000002</v>
      </c>
    </row>
    <row r="219" spans="1:28" x14ac:dyDescent="0.25">
      <c r="A219" s="20">
        <f t="shared" ca="1" si="62"/>
        <v>45607</v>
      </c>
      <c r="B219" vm="641">
        <f ca="1"/>
        <v>45607</v>
      </c>
      <c r="C219" vm="642">
        <f ca="1"/>
        <v>166.03</v>
      </c>
      <c r="D219" vm="643">
        <f ca="1"/>
        <v>6364403</v>
      </c>
      <c r="E219">
        <f t="shared" ca="1" si="63"/>
        <v>1056681830.09</v>
      </c>
      <c r="F219">
        <f ca="1">SUM($E$2:E219)/SUM($D$2:D219)</f>
        <v>163.89219345140319</v>
      </c>
      <c r="G219">
        <f ca="1">_xlfn.STDEV.P($C$2:C219)</f>
        <v>6.657194749005372</v>
      </c>
      <c r="H219">
        <f t="shared" ca="1" si="64"/>
        <v>170.54938820040857</v>
      </c>
      <c r="I219">
        <f t="shared" ca="1" si="65"/>
        <v>157.2349987023978</v>
      </c>
      <c r="J219">
        <f t="shared" ca="1" si="74"/>
        <v>167.90600000000001</v>
      </c>
      <c r="K219">
        <f t="shared" ca="1" si="75"/>
        <v>3.2326189480292729</v>
      </c>
      <c r="L219">
        <f t="shared" ca="1" si="76"/>
        <v>174.37123789605855</v>
      </c>
      <c r="M219">
        <f t="shared" ca="1" si="77"/>
        <v>161.44076210394147</v>
      </c>
      <c r="N219">
        <f t="shared" ca="1" si="66"/>
        <v>-1.6800000000000068</v>
      </c>
      <c r="O219">
        <f t="shared" ca="1" si="67"/>
        <v>0</v>
      </c>
      <c r="P219">
        <f t="shared" ca="1" si="68"/>
        <v>1.6800000000000068</v>
      </c>
      <c r="Q219">
        <f t="shared" ca="1" si="72"/>
        <v>0.67753648545228085</v>
      </c>
      <c r="R219">
        <f t="shared" ca="1" si="73"/>
        <v>0.81937096160421707</v>
      </c>
      <c r="S219">
        <f t="shared" ca="1" si="70"/>
        <v>0.82689833689707093</v>
      </c>
      <c r="T219">
        <f t="shared" ca="1" si="71"/>
        <v>45.262416643365697</v>
      </c>
      <c r="U219">
        <f>70</f>
        <v>70</v>
      </c>
      <c r="V219">
        <f>30</f>
        <v>30</v>
      </c>
      <c r="W219">
        <f t="shared" ca="1" si="69"/>
        <v>166.12318909344992</v>
      </c>
      <c r="X219">
        <f t="shared" ca="1" si="58"/>
        <v>167.78698207326892</v>
      </c>
      <c r="Y219">
        <f t="shared" ca="1" si="57"/>
        <v>-1.5631396383412266</v>
      </c>
      <c r="Z219">
        <f t="shared" ca="1" si="59"/>
        <v>-1.5753222940420237</v>
      </c>
      <c r="AA219">
        <f t="shared" ca="1" si="60"/>
        <v>1.2182655700797129E-2</v>
      </c>
      <c r="AB219">
        <f t="shared" ca="1" si="61"/>
        <v>169.26590000000004</v>
      </c>
    </row>
    <row r="220" spans="1:28" x14ac:dyDescent="0.25">
      <c r="A220" s="20">
        <f t="shared" ca="1" si="62"/>
        <v>45607</v>
      </c>
      <c r="B220" vm="644">
        <f ca="1"/>
        <v>45608</v>
      </c>
      <c r="C220" vm="645">
        <f ca="1"/>
        <v>165.84</v>
      </c>
      <c r="D220" vm="646">
        <f ca="1"/>
        <v>6507823</v>
      </c>
      <c r="E220">
        <f t="shared" ca="1" si="63"/>
        <v>1079257366.3199999</v>
      </c>
      <c r="F220">
        <f ca="1">SUM($E$2:E220)/SUM($D$2:D220)</f>
        <v>163.90087873856558</v>
      </c>
      <c r="G220">
        <f ca="1">_xlfn.STDEV.P($C$2:C220)</f>
        <v>6.6429254277754639</v>
      </c>
      <c r="H220">
        <f t="shared" ca="1" si="64"/>
        <v>170.54380416634103</v>
      </c>
      <c r="I220">
        <f t="shared" ca="1" si="65"/>
        <v>157.25795331079013</v>
      </c>
      <c r="J220">
        <f t="shared" ca="1" si="74"/>
        <v>167.51949999999999</v>
      </c>
      <c r="K220">
        <f t="shared" ca="1" si="75"/>
        <v>2.9713234247952265</v>
      </c>
      <c r="L220">
        <f t="shared" ca="1" si="76"/>
        <v>173.46214684959045</v>
      </c>
      <c r="M220">
        <f t="shared" ca="1" si="77"/>
        <v>161.57685315040953</v>
      </c>
      <c r="N220">
        <f t="shared" ca="1" si="66"/>
        <v>-0.18999999999999773</v>
      </c>
      <c r="O220">
        <f t="shared" ca="1" si="67"/>
        <v>0</v>
      </c>
      <c r="P220">
        <f t="shared" ca="1" si="68"/>
        <v>0.18999999999999773</v>
      </c>
      <c r="Q220">
        <f t="shared" ca="1" si="72"/>
        <v>0.62914102220568935</v>
      </c>
      <c r="R220">
        <f t="shared" ca="1" si="73"/>
        <v>0.77441589291820134</v>
      </c>
      <c r="S220">
        <f t="shared" ca="1" si="70"/>
        <v>0.81240716772343302</v>
      </c>
      <c r="T220">
        <f t="shared" ca="1" si="71"/>
        <v>44.824760252073972</v>
      </c>
      <c r="U220">
        <f>70</f>
        <v>70</v>
      </c>
      <c r="V220">
        <f>30</f>
        <v>30</v>
      </c>
      <c r="W220">
        <f t="shared" ca="1" si="69"/>
        <v>166.07962154061147</v>
      </c>
      <c r="X220">
        <f t="shared" ca="1" si="58"/>
        <v>167.6427611789527</v>
      </c>
      <c r="Y220">
        <f t="shared" ref="Y220:Y283" ca="1" si="78">W221-X221</f>
        <v>-1.4074352866040272</v>
      </c>
      <c r="Z220">
        <f t="shared" ca="1" si="59"/>
        <v>-1.5417448925544246</v>
      </c>
      <c r="AA220">
        <f t="shared" ca="1" si="60"/>
        <v>0.13430960595039743</v>
      </c>
      <c r="AB220">
        <f t="shared" ca="1" si="61"/>
        <v>169.24170000000001</v>
      </c>
    </row>
    <row r="221" spans="1:28" x14ac:dyDescent="0.25">
      <c r="A221" s="20">
        <f t="shared" ca="1" si="62"/>
        <v>45607</v>
      </c>
      <c r="B221" vm="647">
        <f ca="1"/>
        <v>45609</v>
      </c>
      <c r="C221" vm="648">
        <f ca="1"/>
        <v>166.58</v>
      </c>
      <c r="D221" vm="649">
        <f ca="1"/>
        <v>5412566</v>
      </c>
      <c r="E221">
        <f t="shared" ca="1" si="63"/>
        <v>901625244.28000009</v>
      </c>
      <c r="F221">
        <f ca="1">SUM($E$2:E221)/SUM($D$2:D221)</f>
        <v>163.91077772146892</v>
      </c>
      <c r="G221">
        <f ca="1">_xlfn.STDEV.P($C$2:C221)</f>
        <v>6.629770350378684</v>
      </c>
      <c r="H221">
        <f t="shared" ca="1" si="64"/>
        <v>170.54054807184761</v>
      </c>
      <c r="I221">
        <f t="shared" ca="1" si="65"/>
        <v>157.28100737109023</v>
      </c>
      <c r="J221">
        <f t="shared" ca="1" si="74"/>
        <v>167.22950000000003</v>
      </c>
      <c r="K221">
        <f t="shared" ca="1" si="75"/>
        <v>2.7465068244666897</v>
      </c>
      <c r="L221">
        <f t="shared" ca="1" si="76"/>
        <v>172.72251364893341</v>
      </c>
      <c r="M221">
        <f t="shared" ca="1" si="77"/>
        <v>161.73648635106665</v>
      </c>
      <c r="N221">
        <f t="shared" ca="1" si="66"/>
        <v>0.74000000000000909</v>
      </c>
      <c r="O221">
        <f t="shared" ca="1" si="67"/>
        <v>0.74000000000000909</v>
      </c>
      <c r="P221">
        <f t="shared" ca="1" si="68"/>
        <v>0</v>
      </c>
      <c r="Q221">
        <f t="shared" ca="1" si="72"/>
        <v>0.63705952061956939</v>
      </c>
      <c r="R221">
        <f t="shared" ca="1" si="73"/>
        <v>0.71910047199547267</v>
      </c>
      <c r="S221">
        <f t="shared" ca="1" si="70"/>
        <v>0.88591169861390417</v>
      </c>
      <c r="T221">
        <f t="shared" ca="1" si="71"/>
        <v>46.975248059865478</v>
      </c>
      <c r="U221">
        <f>70</f>
        <v>70</v>
      </c>
      <c r="V221">
        <f>30</f>
        <v>30</v>
      </c>
      <c r="W221">
        <f t="shared" ca="1" si="69"/>
        <v>166.15660284205586</v>
      </c>
      <c r="X221">
        <f t="shared" ref="X221:X284" ca="1" si="79">C221*(2/(26+1)) + X220*(1-(2/(26+1)))</f>
        <v>167.56403812865989</v>
      </c>
      <c r="Y221">
        <f t="shared" ca="1" si="78"/>
        <v>-1.2295195091848257</v>
      </c>
      <c r="Z221">
        <f t="shared" ca="1" si="59"/>
        <v>-1.4792998158805049</v>
      </c>
      <c r="AA221">
        <f t="shared" ca="1" si="60"/>
        <v>0.24978030669567919</v>
      </c>
      <c r="AB221">
        <f t="shared" ca="1" si="61"/>
        <v>169.22300000000004</v>
      </c>
    </row>
    <row r="222" spans="1:28" x14ac:dyDescent="0.25">
      <c r="A222" s="20">
        <f t="shared" ca="1" si="62"/>
        <v>45607</v>
      </c>
      <c r="B222" vm="650">
        <f ca="1"/>
        <v>45610</v>
      </c>
      <c r="C222" vm="651">
        <f ca="1"/>
        <v>167.08</v>
      </c>
      <c r="D222" vm="652">
        <f ca="1"/>
        <v>7444273</v>
      </c>
      <c r="E222">
        <f t="shared" ca="1" si="63"/>
        <v>1243789132.8400002</v>
      </c>
      <c r="F222">
        <f ca="1">SUM($E$2:E222)/SUM($D$2:D222)</f>
        <v>163.92680163461466</v>
      </c>
      <c r="G222">
        <f ca="1">_xlfn.STDEV.P($C$2:C222)</f>
        <v>6.6175877919765522</v>
      </c>
      <c r="H222">
        <f t="shared" ca="1" si="64"/>
        <v>170.54438942659121</v>
      </c>
      <c r="I222">
        <f t="shared" ca="1" si="65"/>
        <v>157.30921384263812</v>
      </c>
      <c r="J222">
        <f t="shared" ca="1" si="74"/>
        <v>166.96950000000001</v>
      </c>
      <c r="K222">
        <f t="shared" ca="1" si="75"/>
        <v>2.4760483691389759</v>
      </c>
      <c r="L222">
        <f t="shared" ca="1" si="76"/>
        <v>171.92159673827797</v>
      </c>
      <c r="M222">
        <f t="shared" ca="1" si="77"/>
        <v>162.01740326172205</v>
      </c>
      <c r="N222">
        <f t="shared" ca="1" si="66"/>
        <v>0.5</v>
      </c>
      <c r="O222">
        <f t="shared" ca="1" si="67"/>
        <v>0.5</v>
      </c>
      <c r="P222">
        <f t="shared" ca="1" si="68"/>
        <v>0</v>
      </c>
      <c r="Q222">
        <f t="shared" ca="1" si="72"/>
        <v>0.62726955486102864</v>
      </c>
      <c r="R222">
        <f t="shared" ca="1" si="73"/>
        <v>0.66773615256722463</v>
      </c>
      <c r="S222">
        <f t="shared" ca="1" si="70"/>
        <v>0.93939732400197995</v>
      </c>
      <c r="T222">
        <f t="shared" ca="1" si="71"/>
        <v>48.437589986126063</v>
      </c>
      <c r="U222">
        <f>70</f>
        <v>70</v>
      </c>
      <c r="V222">
        <f>30</f>
        <v>30</v>
      </c>
      <c r="W222">
        <f t="shared" ca="1" si="69"/>
        <v>166.29866394327803</v>
      </c>
      <c r="X222">
        <f t="shared" ca="1" si="79"/>
        <v>167.52818345246286</v>
      </c>
      <c r="Y222">
        <f t="shared" ca="1" si="78"/>
        <v>-0.87987587150101376</v>
      </c>
      <c r="Z222">
        <f t="shared" ca="1" si="59"/>
        <v>-1.3594150270046066</v>
      </c>
      <c r="AA222">
        <f t="shared" ca="1" si="60"/>
        <v>0.47953915550359283</v>
      </c>
      <c r="AB222">
        <f t="shared" ca="1" si="61"/>
        <v>169.22530000000006</v>
      </c>
    </row>
    <row r="223" spans="1:28" x14ac:dyDescent="0.25">
      <c r="A223" s="20">
        <f t="shared" ca="1" si="62"/>
        <v>45607</v>
      </c>
      <c r="B223" vm="653">
        <f ca="1"/>
        <v>45611</v>
      </c>
      <c r="C223" vm="599">
        <f ca="1"/>
        <v>169.54</v>
      </c>
      <c r="D223" vm="654">
        <f ca="1"/>
        <v>9939416</v>
      </c>
      <c r="E223">
        <f t="shared" ca="1" si="63"/>
        <v>1685128588.6399999</v>
      </c>
      <c r="F223">
        <f ca="1">SUM($E$2:E223)/SUM($D$2:D223)</f>
        <v>163.96444105008766</v>
      </c>
      <c r="G223">
        <f ca="1">_xlfn.STDEV.P($C$2:C223)</f>
        <v>6.6123146152813508</v>
      </c>
      <c r="H223">
        <f t="shared" ca="1" si="64"/>
        <v>170.57675566536901</v>
      </c>
      <c r="I223">
        <f t="shared" ca="1" si="65"/>
        <v>157.35212643480631</v>
      </c>
      <c r="J223">
        <f t="shared" ca="1" si="74"/>
        <v>166.88249999999999</v>
      </c>
      <c r="K223">
        <f t="shared" ca="1" si="75"/>
        <v>2.3436495943405498</v>
      </c>
      <c r="L223">
        <f t="shared" ca="1" si="76"/>
        <v>171.56979918868109</v>
      </c>
      <c r="M223">
        <f t="shared" ca="1" si="77"/>
        <v>162.1952008113189</v>
      </c>
      <c r="N223">
        <f t="shared" ca="1" si="66"/>
        <v>2.4599999999999795</v>
      </c>
      <c r="O223">
        <f t="shared" ca="1" si="67"/>
        <v>2.4599999999999795</v>
      </c>
      <c r="P223">
        <f t="shared" ca="1" si="68"/>
        <v>0</v>
      </c>
      <c r="Q223">
        <f t="shared" ca="1" si="72"/>
        <v>0.7581788723709536</v>
      </c>
      <c r="R223">
        <f t="shared" ca="1" si="73"/>
        <v>0.62004071309813713</v>
      </c>
      <c r="S223">
        <f t="shared" ca="1" si="70"/>
        <v>1.2227888529812601</v>
      </c>
      <c r="T223">
        <f t="shared" ca="1" si="71"/>
        <v>55.011471347862177</v>
      </c>
      <c r="U223">
        <f>70</f>
        <v>70</v>
      </c>
      <c r="V223">
        <f>30</f>
        <v>30</v>
      </c>
      <c r="W223">
        <f t="shared" ca="1" si="69"/>
        <v>166.79733102892757</v>
      </c>
      <c r="X223">
        <f t="shared" ca="1" si="79"/>
        <v>167.67720690042859</v>
      </c>
      <c r="Y223">
        <f t="shared" ca="1" si="78"/>
        <v>-0.49938725654644145</v>
      </c>
      <c r="Z223">
        <f t="shared" ca="1" si="59"/>
        <v>-1.1874094729129736</v>
      </c>
      <c r="AA223">
        <f t="shared" ca="1" si="60"/>
        <v>0.68802221636653216</v>
      </c>
      <c r="AB223">
        <f t="shared" ca="1" si="61"/>
        <v>169.24620000000007</v>
      </c>
    </row>
    <row r="224" spans="1:28" x14ac:dyDescent="0.25">
      <c r="A224" s="20">
        <f t="shared" ca="1" si="62"/>
        <v>45614</v>
      </c>
      <c r="B224" vm="655">
        <f ca="1"/>
        <v>45614</v>
      </c>
      <c r="C224" vm="656">
        <f ca="1"/>
        <v>170.75</v>
      </c>
      <c r="D224" vm="657">
        <f ca="1"/>
        <v>6681087</v>
      </c>
      <c r="E224">
        <f t="shared" ca="1" si="63"/>
        <v>1140795605.25</v>
      </c>
      <c r="F224">
        <f ca="1">SUM($E$2:E224)/SUM($D$2:D224)</f>
        <v>163.99488852350828</v>
      </c>
      <c r="G224">
        <f ca="1">_xlfn.STDEV.P($C$2:C224)</f>
        <v>6.6118311483543044</v>
      </c>
      <c r="H224">
        <f t="shared" ca="1" si="64"/>
        <v>170.60671967186258</v>
      </c>
      <c r="I224">
        <f t="shared" ca="1" si="65"/>
        <v>157.38305737515398</v>
      </c>
      <c r="J224">
        <f t="shared" ca="1" si="74"/>
        <v>166.94300000000001</v>
      </c>
      <c r="K224">
        <f t="shared" ca="1" si="75"/>
        <v>2.4298930017595413</v>
      </c>
      <c r="L224">
        <f t="shared" ca="1" si="76"/>
        <v>171.80278600351909</v>
      </c>
      <c r="M224">
        <f t="shared" ca="1" si="77"/>
        <v>162.08321399648094</v>
      </c>
      <c r="N224">
        <f t="shared" ca="1" si="66"/>
        <v>1.210000000000008</v>
      </c>
      <c r="O224">
        <f t="shared" ca="1" si="67"/>
        <v>1.210000000000008</v>
      </c>
      <c r="P224">
        <f t="shared" ca="1" si="68"/>
        <v>0</v>
      </c>
      <c r="Q224">
        <f t="shared" ca="1" si="72"/>
        <v>0.7904518100587431</v>
      </c>
      <c r="R224">
        <f t="shared" ca="1" si="73"/>
        <v>0.57575209073398448</v>
      </c>
      <c r="S224">
        <f t="shared" ca="1" si="70"/>
        <v>1.3729030650171909</v>
      </c>
      <c r="T224">
        <f t="shared" ca="1" si="71"/>
        <v>57.857528411395286</v>
      </c>
      <c r="U224">
        <f>70</f>
        <v>70</v>
      </c>
      <c r="V224">
        <f>30</f>
        <v>30</v>
      </c>
      <c r="W224">
        <f t="shared" ca="1" si="69"/>
        <v>167.40543394755412</v>
      </c>
      <c r="X224">
        <f t="shared" ca="1" si="79"/>
        <v>167.90482120410056</v>
      </c>
      <c r="Y224">
        <f t="shared" ca="1" si="78"/>
        <v>-0.19479489717696197</v>
      </c>
      <c r="Z224">
        <f t="shared" ca="1" si="59"/>
        <v>-0.98888655776577128</v>
      </c>
      <c r="AA224">
        <f t="shared" ca="1" si="60"/>
        <v>0.79409166058880931</v>
      </c>
      <c r="AB224">
        <f t="shared" ca="1" si="61"/>
        <v>169.28750000000008</v>
      </c>
    </row>
    <row r="225" spans="1:28" x14ac:dyDescent="0.25">
      <c r="A225" s="20">
        <f t="shared" ca="1" si="62"/>
        <v>45614</v>
      </c>
      <c r="B225" vm="658">
        <f ca="1"/>
        <v>45615</v>
      </c>
      <c r="C225" vm="659">
        <f ca="1"/>
        <v>170.76</v>
      </c>
      <c r="D225" vm="660">
        <f ca="1"/>
        <v>5683673</v>
      </c>
      <c r="E225">
        <f t="shared" ca="1" si="63"/>
        <v>970544001.4799999</v>
      </c>
      <c r="F225">
        <f ca="1">SUM($E$2:E225)/SUM($D$2:D225)</f>
        <v>164.0206142651063</v>
      </c>
      <c r="G225">
        <f ca="1">_xlfn.STDEV.P($C$2:C225)</f>
        <v>6.6112681137152949</v>
      </c>
      <c r="H225">
        <f t="shared" ca="1" si="64"/>
        <v>170.63188237882159</v>
      </c>
      <c r="I225">
        <f t="shared" ca="1" si="65"/>
        <v>157.40934615139102</v>
      </c>
      <c r="J225">
        <f t="shared" ca="1" si="74"/>
        <v>166.99600000000001</v>
      </c>
      <c r="K225">
        <f t="shared" ca="1" si="75"/>
        <v>2.5036339904016987</v>
      </c>
      <c r="L225">
        <f t="shared" ca="1" si="76"/>
        <v>172.0032679808034</v>
      </c>
      <c r="M225">
        <f t="shared" ca="1" si="77"/>
        <v>161.98873201919662</v>
      </c>
      <c r="N225">
        <f t="shared" ca="1" si="66"/>
        <v>9.9999999999909051E-3</v>
      </c>
      <c r="O225">
        <f t="shared" ca="1" si="67"/>
        <v>9.9999999999909051E-3</v>
      </c>
      <c r="P225">
        <f t="shared" ca="1" si="68"/>
        <v>0</v>
      </c>
      <c r="Q225">
        <f t="shared" ca="1" si="72"/>
        <v>0.73470525219740357</v>
      </c>
      <c r="R225">
        <f t="shared" ca="1" si="73"/>
        <v>0.53462694139584277</v>
      </c>
      <c r="S225">
        <f t="shared" ca="1" si="70"/>
        <v>1.3742391101338474</v>
      </c>
      <c r="T225">
        <f t="shared" ca="1" si="71"/>
        <v>57.881243058807783</v>
      </c>
      <c r="U225">
        <f>70</f>
        <v>70</v>
      </c>
      <c r="V225">
        <f>30</f>
        <v>30</v>
      </c>
      <c r="W225">
        <f t="shared" ca="1" si="69"/>
        <v>167.92152103254577</v>
      </c>
      <c r="X225">
        <f t="shared" ca="1" si="79"/>
        <v>168.11631592972273</v>
      </c>
      <c r="Y225">
        <f t="shared" ca="1" si="78"/>
        <v>5.6436095459275748E-2</v>
      </c>
      <c r="Z225">
        <f t="shared" ca="1" si="59"/>
        <v>-0.77982202712076187</v>
      </c>
      <c r="AA225">
        <f t="shared" ca="1" si="60"/>
        <v>0.83625812258003762</v>
      </c>
      <c r="AB225">
        <f t="shared" ca="1" si="61"/>
        <v>169.34590000000003</v>
      </c>
    </row>
    <row r="226" spans="1:28" x14ac:dyDescent="0.25">
      <c r="A226" s="20">
        <f t="shared" ca="1" si="62"/>
        <v>45614</v>
      </c>
      <c r="B226" vm="661">
        <f ca="1"/>
        <v>45616</v>
      </c>
      <c r="C226" vm="662">
        <f ca="1"/>
        <v>170.89</v>
      </c>
      <c r="D226" vm="663">
        <f ca="1"/>
        <v>7081237</v>
      </c>
      <c r="E226">
        <f t="shared" ca="1" si="63"/>
        <v>1210112590.9299998</v>
      </c>
      <c r="F226">
        <f ca="1">SUM($E$2:E226)/SUM($D$2:D226)</f>
        <v>164.05300629555455</v>
      </c>
      <c r="G226">
        <f ca="1">_xlfn.STDEV.P($C$2:C226)</f>
        <v>6.6111530008009938</v>
      </c>
      <c r="H226">
        <f t="shared" ca="1" si="64"/>
        <v>170.66415929635554</v>
      </c>
      <c r="I226">
        <f t="shared" ca="1" si="65"/>
        <v>157.44185329475357</v>
      </c>
      <c r="J226">
        <f t="shared" ca="1" si="74"/>
        <v>167.0615</v>
      </c>
      <c r="K226">
        <f t="shared" ca="1" si="75"/>
        <v>2.5904262502327144</v>
      </c>
      <c r="L226">
        <f t="shared" ca="1" si="76"/>
        <v>172.24235250046542</v>
      </c>
      <c r="M226">
        <f t="shared" ca="1" si="77"/>
        <v>161.88064749953458</v>
      </c>
      <c r="N226">
        <f t="shared" ca="1" si="66"/>
        <v>0.12999999999999545</v>
      </c>
      <c r="O226">
        <f t="shared" ca="1" si="67"/>
        <v>0.12999999999999545</v>
      </c>
      <c r="P226">
        <f t="shared" ca="1" si="68"/>
        <v>0</v>
      </c>
      <c r="Q226">
        <f t="shared" ca="1" si="72"/>
        <v>0.6915120198975887</v>
      </c>
      <c r="R226">
        <f t="shared" ca="1" si="73"/>
        <v>0.49643930272471115</v>
      </c>
      <c r="S226">
        <f t="shared" ca="1" si="70"/>
        <v>1.3929437417670587</v>
      </c>
      <c r="T226">
        <f t="shared" ca="1" si="71"/>
        <v>58.210467611680897</v>
      </c>
      <c r="U226">
        <f>70</f>
        <v>70</v>
      </c>
      <c r="V226">
        <f>30</f>
        <v>30</v>
      </c>
      <c r="W226">
        <f t="shared" ca="1" si="69"/>
        <v>168.3782101044618</v>
      </c>
      <c r="X226">
        <f t="shared" ca="1" si="79"/>
        <v>168.32177400900252</v>
      </c>
      <c r="Y226">
        <f t="shared" ca="1" si="78"/>
        <v>0.40100241623738953</v>
      </c>
      <c r="Z226">
        <f t="shared" ca="1" si="59"/>
        <v>-0.54365713844913155</v>
      </c>
      <c r="AA226">
        <f t="shared" ca="1" si="60"/>
        <v>0.94465955468652107</v>
      </c>
      <c r="AB226">
        <f t="shared" ca="1" si="61"/>
        <v>169.42760000000001</v>
      </c>
    </row>
    <row r="227" spans="1:28" x14ac:dyDescent="0.25">
      <c r="A227" s="20">
        <f t="shared" ca="1" si="62"/>
        <v>45614</v>
      </c>
      <c r="B227" vm="664">
        <f ca="1"/>
        <v>45617</v>
      </c>
      <c r="C227" vm="665">
        <f ca="1"/>
        <v>172.75</v>
      </c>
      <c r="D227" vm="666">
        <f ca="1"/>
        <v>6240403</v>
      </c>
      <c r="E227">
        <f t="shared" ca="1" si="63"/>
        <v>1078029618.25</v>
      </c>
      <c r="F227">
        <f ca="1">SUM($E$2:E227)/SUM($D$2:D227)</f>
        <v>164.08899713344988</v>
      </c>
      <c r="G227">
        <f ca="1">_xlfn.STDEV.P($C$2:C227)</f>
        <v>6.6202003967502234</v>
      </c>
      <c r="H227">
        <f t="shared" ca="1" si="64"/>
        <v>170.7091975302001</v>
      </c>
      <c r="I227">
        <f t="shared" ca="1" si="65"/>
        <v>157.46879673669966</v>
      </c>
      <c r="J227">
        <f t="shared" ca="1" si="74"/>
        <v>167.21800000000002</v>
      </c>
      <c r="K227">
        <f t="shared" ca="1" si="75"/>
        <v>2.8360380073171361</v>
      </c>
      <c r="L227">
        <f t="shared" ca="1" si="76"/>
        <v>172.8900760146343</v>
      </c>
      <c r="M227">
        <f t="shared" ca="1" si="77"/>
        <v>161.54592398536573</v>
      </c>
      <c r="N227">
        <f t="shared" ca="1" si="66"/>
        <v>1.8600000000000136</v>
      </c>
      <c r="O227">
        <f t="shared" ca="1" si="67"/>
        <v>1.8600000000000136</v>
      </c>
      <c r="P227">
        <f t="shared" ca="1" si="68"/>
        <v>0</v>
      </c>
      <c r="Q227">
        <f t="shared" ca="1" si="72"/>
        <v>0.77497544704776189</v>
      </c>
      <c r="R227">
        <f t="shared" ca="1" si="73"/>
        <v>0.46097935253008898</v>
      </c>
      <c r="S227">
        <f t="shared" ca="1" si="70"/>
        <v>1.6811500185296864</v>
      </c>
      <c r="T227">
        <f t="shared" ca="1" si="71"/>
        <v>62.702571915450328</v>
      </c>
      <c r="U227">
        <f>70</f>
        <v>70</v>
      </c>
      <c r="V227">
        <f>30</f>
        <v>30</v>
      </c>
      <c r="W227">
        <f t="shared" ca="1" si="69"/>
        <v>169.05079316531382</v>
      </c>
      <c r="X227">
        <f t="shared" ca="1" si="79"/>
        <v>168.64979074907643</v>
      </c>
      <c r="Y227">
        <f t="shared" ca="1" si="78"/>
        <v>0.9479873978586113</v>
      </c>
      <c r="Z227">
        <f t="shared" ca="1" si="59"/>
        <v>-0.24532823118758298</v>
      </c>
      <c r="AA227">
        <f t="shared" ca="1" si="60"/>
        <v>1.1933156290461944</v>
      </c>
      <c r="AB227">
        <f t="shared" ca="1" si="61"/>
        <v>169.51610000000005</v>
      </c>
    </row>
    <row r="228" spans="1:28" x14ac:dyDescent="0.25">
      <c r="A228" s="20">
        <f t="shared" ca="1" si="62"/>
        <v>45614</v>
      </c>
      <c r="B228" vm="667">
        <f ca="1"/>
        <v>45618</v>
      </c>
      <c r="C228" vm="668">
        <f ca="1"/>
        <v>176.28</v>
      </c>
      <c r="D228" vm="669">
        <f ca="1"/>
        <v>10609785</v>
      </c>
      <c r="E228">
        <f t="shared" ca="1" si="63"/>
        <v>1870292899.8</v>
      </c>
      <c r="F228">
        <f ca="1">SUM($E$2:E228)/SUM($D$2:D228)</f>
        <v>164.17417195822441</v>
      </c>
      <c r="G228">
        <f ca="1">_xlfn.STDEV.P($C$2:C228)</f>
        <v>6.6526316679939761</v>
      </c>
      <c r="H228">
        <f t="shared" ca="1" si="64"/>
        <v>170.82680362621838</v>
      </c>
      <c r="I228">
        <f t="shared" ca="1" si="65"/>
        <v>157.52154029023043</v>
      </c>
      <c r="J228">
        <f t="shared" ca="1" si="74"/>
        <v>167.62100000000001</v>
      </c>
      <c r="K228">
        <f t="shared" ca="1" si="75"/>
        <v>3.4844525357198068</v>
      </c>
      <c r="L228">
        <f t="shared" ca="1" si="76"/>
        <v>174.58990507143963</v>
      </c>
      <c r="M228">
        <f t="shared" ca="1" si="77"/>
        <v>160.65209492856039</v>
      </c>
      <c r="N228">
        <f t="shared" ca="1" si="66"/>
        <v>3.5300000000000011</v>
      </c>
      <c r="O228">
        <f t="shared" ca="1" si="67"/>
        <v>3.5300000000000011</v>
      </c>
      <c r="P228">
        <f t="shared" ca="1" si="68"/>
        <v>0</v>
      </c>
      <c r="Q228">
        <f t="shared" ca="1" si="72"/>
        <v>0.97176291511577895</v>
      </c>
      <c r="R228">
        <f t="shared" ca="1" si="73"/>
        <v>0.42805225592079693</v>
      </c>
      <c r="S228">
        <f t="shared" ca="1" si="70"/>
        <v>2.2701969249651275</v>
      </c>
      <c r="T228">
        <f t="shared" ca="1" si="71"/>
        <v>69.420801776007309</v>
      </c>
      <c r="U228">
        <f>70</f>
        <v>70</v>
      </c>
      <c r="V228">
        <f>30</f>
        <v>30</v>
      </c>
      <c r="W228">
        <f t="shared" ca="1" si="69"/>
        <v>170.16297883218863</v>
      </c>
      <c r="X228">
        <f t="shared" ca="1" si="79"/>
        <v>169.21499143433002</v>
      </c>
      <c r="Y228">
        <f t="shared" ca="1" si="78"/>
        <v>1.454280618241512</v>
      </c>
      <c r="Z228">
        <f t="shared" ca="1" si="59"/>
        <v>9.4593538698236029E-2</v>
      </c>
      <c r="AA228">
        <f t="shared" ca="1" si="60"/>
        <v>1.3596870795432761</v>
      </c>
      <c r="AB228">
        <f t="shared" ca="1" si="61"/>
        <v>169.64060000000006</v>
      </c>
    </row>
    <row r="229" spans="1:28" x14ac:dyDescent="0.25">
      <c r="A229" s="20">
        <f t="shared" ca="1" si="62"/>
        <v>45621</v>
      </c>
      <c r="B229" vm="670">
        <f ca="1"/>
        <v>45621</v>
      </c>
      <c r="C229" vm="671">
        <f ca="1"/>
        <v>177.39</v>
      </c>
      <c r="D229" vm="672">
        <f ca="1"/>
        <v>19357005</v>
      </c>
      <c r="E229">
        <f t="shared" ca="1" si="63"/>
        <v>3433739116.9499998</v>
      </c>
      <c r="F229">
        <f ca="1">SUM($E$2:E229)/SUM($D$2:D229)</f>
        <v>164.34051202286807</v>
      </c>
      <c r="G229">
        <f ca="1">_xlfn.STDEV.P($C$2:C229)</f>
        <v>6.6932203935253369</v>
      </c>
      <c r="H229">
        <f t="shared" ca="1" si="64"/>
        <v>171.03373241639341</v>
      </c>
      <c r="I229">
        <f t="shared" ca="1" si="65"/>
        <v>157.64729162934273</v>
      </c>
      <c r="J229">
        <f t="shared" ca="1" si="74"/>
        <v>168.02549999999999</v>
      </c>
      <c r="K229">
        <f t="shared" ca="1" si="75"/>
        <v>4.1040974070209106</v>
      </c>
      <c r="L229">
        <f t="shared" ca="1" si="76"/>
        <v>176.23369481404183</v>
      </c>
      <c r="M229">
        <f t="shared" ca="1" si="77"/>
        <v>159.81730518595816</v>
      </c>
      <c r="N229">
        <f t="shared" ca="1" si="66"/>
        <v>1.1099999999999852</v>
      </c>
      <c r="O229">
        <f t="shared" ca="1" si="67"/>
        <v>1.1099999999999852</v>
      </c>
      <c r="P229">
        <f t="shared" ca="1" si="68"/>
        <v>0</v>
      </c>
      <c r="Q229">
        <f t="shared" ca="1" si="72"/>
        <v>0.98163699260750803</v>
      </c>
      <c r="R229">
        <f t="shared" ca="1" si="73"/>
        <v>0.39747709478359716</v>
      </c>
      <c r="S229">
        <f t="shared" ca="1" si="70"/>
        <v>2.4696693356429797</v>
      </c>
      <c r="T229">
        <f t="shared" ca="1" si="71"/>
        <v>71.178809757827096</v>
      </c>
      <c r="U229">
        <f>70</f>
        <v>70</v>
      </c>
      <c r="V229">
        <f>30</f>
        <v>30</v>
      </c>
      <c r="W229">
        <f t="shared" ca="1" si="69"/>
        <v>171.27482824262114</v>
      </c>
      <c r="X229">
        <f t="shared" ca="1" si="79"/>
        <v>169.82054762437963</v>
      </c>
      <c r="Y229">
        <f t="shared" ca="1" si="78"/>
        <v>1.9875384904133853</v>
      </c>
      <c r="Z229">
        <f t="shared" ca="1" si="59"/>
        <v>0.4731825290412659</v>
      </c>
      <c r="AA229">
        <f t="shared" ca="1" si="60"/>
        <v>1.5143559613721194</v>
      </c>
      <c r="AB229">
        <f t="shared" ca="1" si="61"/>
        <v>169.76240000000004</v>
      </c>
    </row>
    <row r="230" spans="1:28" x14ac:dyDescent="0.25">
      <c r="A230" s="20">
        <f t="shared" ca="1" si="62"/>
        <v>45621</v>
      </c>
      <c r="B230" vm="673">
        <f ca="1"/>
        <v>45622</v>
      </c>
      <c r="C230" vm="674">
        <f ca="1"/>
        <v>179.31</v>
      </c>
      <c r="D230" vm="675">
        <f ca="1"/>
        <v>6276933</v>
      </c>
      <c r="E230">
        <f t="shared" ca="1" si="63"/>
        <v>1125516856.23</v>
      </c>
      <c r="F230">
        <f ca="1">SUM($E$2:E230)/SUM($D$2:D230)</f>
        <v>164.40136051637793</v>
      </c>
      <c r="G230">
        <f ca="1">_xlfn.STDEV.P($C$2:C230)</f>
        <v>6.7499301977382542</v>
      </c>
      <c r="H230">
        <f t="shared" ca="1" si="64"/>
        <v>171.15129071411619</v>
      </c>
      <c r="I230">
        <f t="shared" ca="1" si="65"/>
        <v>157.65143031863968</v>
      </c>
      <c r="J230">
        <f t="shared" ca="1" si="74"/>
        <v>168.63249999999999</v>
      </c>
      <c r="K230">
        <f t="shared" ca="1" si="75"/>
        <v>4.8082592046339743</v>
      </c>
      <c r="L230">
        <f t="shared" ca="1" si="76"/>
        <v>178.24901840926793</v>
      </c>
      <c r="M230">
        <f t="shared" ca="1" si="77"/>
        <v>159.01598159073205</v>
      </c>
      <c r="N230">
        <f t="shared" ca="1" si="66"/>
        <v>1.9200000000000159</v>
      </c>
      <c r="O230">
        <f t="shared" ca="1" si="67"/>
        <v>1.9200000000000159</v>
      </c>
      <c r="P230">
        <f t="shared" ca="1" si="68"/>
        <v>0</v>
      </c>
      <c r="Q230">
        <f t="shared" ca="1" si="72"/>
        <v>1.048662921706973</v>
      </c>
      <c r="R230">
        <f t="shared" ca="1" si="73"/>
        <v>0.36908587372762591</v>
      </c>
      <c r="S230">
        <f t="shared" ca="1" si="70"/>
        <v>2.8412437222695068</v>
      </c>
      <c r="T230">
        <f t="shared" ca="1" si="71"/>
        <v>73.966765133841236</v>
      </c>
      <c r="U230">
        <f>70</f>
        <v>70</v>
      </c>
      <c r="V230">
        <f>30</f>
        <v>30</v>
      </c>
      <c r="W230">
        <f t="shared" ca="1" si="69"/>
        <v>172.51100851298713</v>
      </c>
      <c r="X230">
        <f t="shared" ca="1" si="79"/>
        <v>170.52347002257375</v>
      </c>
      <c r="Y230">
        <f t="shared" ca="1" si="78"/>
        <v>2.3866717123096919</v>
      </c>
      <c r="Z230">
        <f t="shared" ref="Z230:Z293" ca="1" si="80">Y230*(2/(9+1)) + Z229*(1-(2/(9+1)))</f>
        <v>0.85588036569495118</v>
      </c>
      <c r="AA230">
        <f t="shared" ref="AA230:AA293" ca="1" si="81">Y230-Z230</f>
        <v>1.5307913466147407</v>
      </c>
      <c r="AB230">
        <f t="shared" ref="AB230:AB293" ca="1" si="82">AVERAGE(C131:C230)</f>
        <v>169.89030000000002</v>
      </c>
    </row>
    <row r="231" spans="1:28" x14ac:dyDescent="0.25">
      <c r="A231" s="20">
        <f t="shared" ca="1" si="62"/>
        <v>45621</v>
      </c>
      <c r="B231" vm="676">
        <f ca="1"/>
        <v>45623</v>
      </c>
      <c r="C231" vm="677">
        <f ca="1"/>
        <v>179.36</v>
      </c>
      <c r="D231" vm="678">
        <f ca="1"/>
        <v>5522912</v>
      </c>
      <c r="E231">
        <f t="shared" ca="1" si="63"/>
        <v>990589496.32000005</v>
      </c>
      <c r="F231">
        <f ca="1">SUM($E$2:E231)/SUM($D$2:D231)</f>
        <v>164.45467007764918</v>
      </c>
      <c r="G231">
        <f ca="1">_xlfn.STDEV.P($C$2:C231)</f>
        <v>6.8055419599485294</v>
      </c>
      <c r="H231">
        <f t="shared" ca="1" si="64"/>
        <v>171.26021203759771</v>
      </c>
      <c r="I231">
        <f t="shared" ca="1" si="65"/>
        <v>157.64912811770066</v>
      </c>
      <c r="J231">
        <f t="shared" ca="1" si="74"/>
        <v>169.29249999999999</v>
      </c>
      <c r="K231">
        <f t="shared" ca="1" si="75"/>
        <v>5.3287787432709965</v>
      </c>
      <c r="L231">
        <f t="shared" ca="1" si="76"/>
        <v>179.95005748654199</v>
      </c>
      <c r="M231">
        <f t="shared" ca="1" si="77"/>
        <v>158.63494251345799</v>
      </c>
      <c r="N231">
        <f t="shared" ca="1" si="66"/>
        <v>5.0000000000011369E-2</v>
      </c>
      <c r="O231">
        <f t="shared" ca="1" si="67"/>
        <v>5.0000000000011369E-2</v>
      </c>
      <c r="P231">
        <f t="shared" ca="1" si="68"/>
        <v>0</v>
      </c>
      <c r="Q231">
        <f t="shared" ca="1" si="72"/>
        <v>0.97732985587076138</v>
      </c>
      <c r="R231">
        <f t="shared" ca="1" si="73"/>
        <v>0.34272259703279545</v>
      </c>
      <c r="S231">
        <f t="shared" ca="1" si="70"/>
        <v>2.8516644783047083</v>
      </c>
      <c r="T231">
        <f t="shared" ca="1" si="71"/>
        <v>74.037198576545137</v>
      </c>
      <c r="U231">
        <f>70</f>
        <v>70</v>
      </c>
      <c r="V231">
        <f>30</f>
        <v>30</v>
      </c>
      <c r="W231">
        <f t="shared" ca="1" si="69"/>
        <v>173.5646995109891</v>
      </c>
      <c r="X231">
        <f t="shared" ca="1" si="79"/>
        <v>171.17802779867941</v>
      </c>
      <c r="Y231">
        <f t="shared" ca="1" si="78"/>
        <v>2.6642071800368967</v>
      </c>
      <c r="Z231">
        <f t="shared" ca="1" si="80"/>
        <v>1.2175457285633402</v>
      </c>
      <c r="AA231">
        <f t="shared" ca="1" si="81"/>
        <v>1.4466614514735565</v>
      </c>
      <c r="AB231">
        <f t="shared" ca="1" si="82"/>
        <v>170.02730000000008</v>
      </c>
    </row>
    <row r="232" spans="1:28" x14ac:dyDescent="0.25">
      <c r="A232" s="20">
        <f t="shared" ca="1" si="62"/>
        <v>45621</v>
      </c>
      <c r="B232" vm="679">
        <f ca="1"/>
        <v>45625</v>
      </c>
      <c r="C232" vm="680">
        <f ca="1"/>
        <v>179.26</v>
      </c>
      <c r="D232" vm="681">
        <f ca="1"/>
        <v>3823708</v>
      </c>
      <c r="E232">
        <f t="shared" ca="1" si="63"/>
        <v>685437896.07999992</v>
      </c>
      <c r="F232">
        <f ca="1">SUM($E$2:E232)/SUM($D$2:D232)</f>
        <v>164.49111000185835</v>
      </c>
      <c r="G232">
        <f ca="1">_xlfn.STDEV.P($C$2:C232)</f>
        <v>6.8587044917087479</v>
      </c>
      <c r="H232">
        <f t="shared" ca="1" si="64"/>
        <v>171.3498144935671</v>
      </c>
      <c r="I232">
        <f t="shared" ca="1" si="65"/>
        <v>157.6324055101496</v>
      </c>
      <c r="J232">
        <f t="shared" ca="1" si="74"/>
        <v>169.99649999999997</v>
      </c>
      <c r="K232">
        <f t="shared" ca="1" si="75"/>
        <v>5.6756537068429367</v>
      </c>
      <c r="L232">
        <f t="shared" ca="1" si="76"/>
        <v>181.34780741368584</v>
      </c>
      <c r="M232">
        <f t="shared" ca="1" si="77"/>
        <v>158.6451925863141</v>
      </c>
      <c r="N232">
        <f t="shared" ca="1" si="66"/>
        <v>-0.10000000000002274</v>
      </c>
      <c r="O232">
        <f t="shared" ca="1" si="67"/>
        <v>0</v>
      </c>
      <c r="P232">
        <f t="shared" ca="1" si="68"/>
        <v>0.10000000000002274</v>
      </c>
      <c r="Q232">
        <f t="shared" ca="1" si="72"/>
        <v>0.90752058045142125</v>
      </c>
      <c r="R232">
        <f t="shared" ca="1" si="73"/>
        <v>0.32538526867331169</v>
      </c>
      <c r="S232">
        <f t="shared" ca="1" si="70"/>
        <v>2.7890647420875592</v>
      </c>
      <c r="T232">
        <f t="shared" ca="1" si="71"/>
        <v>73.608263039362669</v>
      </c>
      <c r="U232">
        <f>70</f>
        <v>70</v>
      </c>
      <c r="V232">
        <f>30</f>
        <v>30</v>
      </c>
      <c r="W232">
        <f t="shared" ca="1" si="69"/>
        <v>174.44089958622155</v>
      </c>
      <c r="X232">
        <f t="shared" ca="1" si="79"/>
        <v>171.77669240618465</v>
      </c>
      <c r="Y232">
        <f t="shared" ca="1" si="78"/>
        <v>2.8863878777714831</v>
      </c>
      <c r="Z232">
        <f t="shared" ca="1" si="80"/>
        <v>1.5513141584049688</v>
      </c>
      <c r="AA232">
        <f t="shared" ca="1" si="81"/>
        <v>1.3350737193665143</v>
      </c>
      <c r="AB232">
        <f t="shared" ca="1" si="82"/>
        <v>170.15190000000007</v>
      </c>
    </row>
    <row r="233" spans="1:28" x14ac:dyDescent="0.25">
      <c r="A233" s="20">
        <f t="shared" ca="1" si="62"/>
        <v>45628</v>
      </c>
      <c r="B233" vm="682">
        <f ca="1"/>
        <v>45628</v>
      </c>
      <c r="C233" vm="683">
        <f ca="1"/>
        <v>179.7</v>
      </c>
      <c r="D233" vm="684">
        <f ca="1"/>
        <v>5728297</v>
      </c>
      <c r="E233">
        <f t="shared" ca="1" si="63"/>
        <v>1029374970.9</v>
      </c>
      <c r="F233">
        <f ca="1">SUM($E$2:E233)/SUM($D$2:D233)</f>
        <v>164.54698265610293</v>
      </c>
      <c r="G233">
        <f ca="1">_xlfn.STDEV.P($C$2:C233)</f>
        <v>6.9144783170423647</v>
      </c>
      <c r="H233">
        <f t="shared" ca="1" si="64"/>
        <v>171.46146097314528</v>
      </c>
      <c r="I233">
        <f t="shared" ca="1" si="65"/>
        <v>157.63250433906057</v>
      </c>
      <c r="J233">
        <f t="shared" ca="1" si="74"/>
        <v>170.72649999999999</v>
      </c>
      <c r="K233">
        <f t="shared" ca="1" si="75"/>
        <v>5.945241595728378</v>
      </c>
      <c r="L233">
        <f t="shared" ca="1" si="76"/>
        <v>182.61698319145674</v>
      </c>
      <c r="M233">
        <f t="shared" ca="1" si="77"/>
        <v>158.83601680854323</v>
      </c>
      <c r="N233">
        <f t="shared" ca="1" si="66"/>
        <v>0.43999999999999773</v>
      </c>
      <c r="O233">
        <f t="shared" ca="1" si="67"/>
        <v>0.43999999999999773</v>
      </c>
      <c r="P233">
        <f t="shared" ca="1" si="68"/>
        <v>0</v>
      </c>
      <c r="Q233">
        <f t="shared" ca="1" si="72"/>
        <v>0.87412625327631954</v>
      </c>
      <c r="R233">
        <f t="shared" ca="1" si="73"/>
        <v>0.30214346376807516</v>
      </c>
      <c r="S233">
        <f t="shared" ca="1" si="70"/>
        <v>2.8930834457742809</v>
      </c>
      <c r="T233">
        <f t="shared" ca="1" si="71"/>
        <v>74.313419839858739</v>
      </c>
      <c r="U233">
        <f>70</f>
        <v>70</v>
      </c>
      <c r="V233">
        <f>30</f>
        <v>30</v>
      </c>
      <c r="W233">
        <f t="shared" ca="1" si="69"/>
        <v>175.24999195757209</v>
      </c>
      <c r="X233">
        <f t="shared" ca="1" si="79"/>
        <v>172.36360407980061</v>
      </c>
      <c r="Y233">
        <f t="shared" ca="1" si="78"/>
        <v>2.6861432634293863</v>
      </c>
      <c r="Z233">
        <f t="shared" ca="1" si="80"/>
        <v>1.7782799794098523</v>
      </c>
      <c r="AA233">
        <f t="shared" ca="1" si="81"/>
        <v>0.90786328401953398</v>
      </c>
      <c r="AB233">
        <f t="shared" ca="1" si="82"/>
        <v>170.29350000000005</v>
      </c>
    </row>
    <row r="234" spans="1:28" x14ac:dyDescent="0.25">
      <c r="A234" s="20">
        <f t="shared" ca="1" si="62"/>
        <v>45628</v>
      </c>
      <c r="B234" vm="685">
        <f ca="1"/>
        <v>45629</v>
      </c>
      <c r="C234" vm="686">
        <f ca="1"/>
        <v>175.42</v>
      </c>
      <c r="D234" vm="687">
        <f ca="1"/>
        <v>8127329</v>
      </c>
      <c r="E234">
        <f t="shared" ca="1" si="63"/>
        <v>1425696053.1799998</v>
      </c>
      <c r="F234">
        <f ca="1">SUM($E$2:E234)/SUM($D$2:D234)</f>
        <v>164.60336153194908</v>
      </c>
      <c r="G234">
        <f ca="1">_xlfn.STDEV.P($C$2:C234)</f>
        <v>6.9349652320147532</v>
      </c>
      <c r="H234">
        <f t="shared" ca="1" si="64"/>
        <v>171.53832676396382</v>
      </c>
      <c r="I234">
        <f t="shared" ca="1" si="65"/>
        <v>157.66839629993433</v>
      </c>
      <c r="J234">
        <f t="shared" ca="1" si="74"/>
        <v>171.24349999999998</v>
      </c>
      <c r="K234">
        <f t="shared" ca="1" si="75"/>
        <v>5.8775767249687778</v>
      </c>
      <c r="L234">
        <f t="shared" ca="1" si="76"/>
        <v>182.99865344993754</v>
      </c>
      <c r="M234">
        <f t="shared" ca="1" si="77"/>
        <v>159.48834655006243</v>
      </c>
      <c r="N234">
        <f t="shared" ca="1" si="66"/>
        <v>-4.2800000000000011</v>
      </c>
      <c r="O234">
        <f t="shared" ca="1" si="67"/>
        <v>0</v>
      </c>
      <c r="P234">
        <f t="shared" ca="1" si="68"/>
        <v>4.2800000000000011</v>
      </c>
      <c r="Q234">
        <f t="shared" ca="1" si="72"/>
        <v>0.81168866375658244</v>
      </c>
      <c r="R234">
        <f t="shared" ca="1" si="73"/>
        <v>0.58627607349892696</v>
      </c>
      <c r="S234">
        <f t="shared" ca="1" si="70"/>
        <v>1.3844819880033328</v>
      </c>
      <c r="T234">
        <f t="shared" ca="1" si="71"/>
        <v>58.062170105241222</v>
      </c>
      <c r="U234">
        <f>70</f>
        <v>70</v>
      </c>
      <c r="V234">
        <f>30</f>
        <v>30</v>
      </c>
      <c r="W234">
        <f t="shared" ca="1" si="69"/>
        <v>175.27614704102254</v>
      </c>
      <c r="X234">
        <f t="shared" ca="1" si="79"/>
        <v>172.59000377759315</v>
      </c>
      <c r="Y234">
        <f t="shared" ca="1" si="78"/>
        <v>2.4739157933502156</v>
      </c>
      <c r="Z234">
        <f t="shared" ca="1" si="80"/>
        <v>1.9174071421979251</v>
      </c>
      <c r="AA234">
        <f t="shared" ca="1" si="81"/>
        <v>0.55650865115229053</v>
      </c>
      <c r="AB234">
        <f t="shared" ca="1" si="82"/>
        <v>170.38160000000005</v>
      </c>
    </row>
    <row r="235" spans="1:28" x14ac:dyDescent="0.25">
      <c r="A235" s="20">
        <f t="shared" ca="1" si="62"/>
        <v>45628</v>
      </c>
      <c r="B235" vm="688">
        <f ca="1"/>
        <v>45630</v>
      </c>
      <c r="C235" vm="689">
        <f ca="1"/>
        <v>175.11</v>
      </c>
      <c r="D235" vm="690">
        <f ca="1"/>
        <v>6823659</v>
      </c>
      <c r="E235">
        <f t="shared" ca="1" si="63"/>
        <v>1194890927.49</v>
      </c>
      <c r="F235">
        <f ca="1">SUM($E$2:E235)/SUM($D$2:D235)</f>
        <v>164.6489036274138</v>
      </c>
      <c r="G235">
        <f ca="1">_xlfn.STDEV.P($C$2:C235)</f>
        <v>6.9529274148785332</v>
      </c>
      <c r="H235">
        <f t="shared" ca="1" si="64"/>
        <v>171.60183104229233</v>
      </c>
      <c r="I235">
        <f t="shared" ca="1" si="65"/>
        <v>157.69597621253527</v>
      </c>
      <c r="J235">
        <f t="shared" ca="1" si="74"/>
        <v>171.71099999999998</v>
      </c>
      <c r="K235">
        <f t="shared" ca="1" si="75"/>
        <v>5.7896558392396766</v>
      </c>
      <c r="L235">
        <f t="shared" ca="1" si="76"/>
        <v>183.29031167847933</v>
      </c>
      <c r="M235">
        <f t="shared" ca="1" si="77"/>
        <v>160.13168832152064</v>
      </c>
      <c r="N235">
        <f t="shared" ca="1" si="66"/>
        <v>-0.30999999999997385</v>
      </c>
      <c r="O235">
        <f t="shared" ca="1" si="67"/>
        <v>0</v>
      </c>
      <c r="P235">
        <f t="shared" ca="1" si="68"/>
        <v>0.30999999999997385</v>
      </c>
      <c r="Q235">
        <f t="shared" ca="1" si="72"/>
        <v>0.75371090205968372</v>
      </c>
      <c r="R235">
        <f t="shared" ca="1" si="73"/>
        <v>0.56654206824900177</v>
      </c>
      <c r="S235">
        <f t="shared" ca="1" si="70"/>
        <v>1.3303705837576374</v>
      </c>
      <c r="T235">
        <f t="shared" ca="1" si="71"/>
        <v>57.088370108605787</v>
      </c>
      <c r="U235">
        <f>70</f>
        <v>70</v>
      </c>
      <c r="V235">
        <f>30</f>
        <v>30</v>
      </c>
      <c r="W235">
        <f t="shared" ca="1" si="69"/>
        <v>175.2505859577883</v>
      </c>
      <c r="X235">
        <f t="shared" ca="1" si="79"/>
        <v>172.77667016443809</v>
      </c>
      <c r="Y235">
        <f t="shared" ca="1" si="78"/>
        <v>2.3528382507713275</v>
      </c>
      <c r="Z235">
        <f t="shared" ca="1" si="80"/>
        <v>2.0044933639126059</v>
      </c>
      <c r="AA235">
        <f t="shared" ca="1" si="81"/>
        <v>0.34834488685872156</v>
      </c>
      <c r="AB235">
        <f t="shared" ca="1" si="82"/>
        <v>170.48690000000002</v>
      </c>
    </row>
    <row r="236" spans="1:28" x14ac:dyDescent="0.25">
      <c r="A236" s="20">
        <f t="shared" ca="1" si="62"/>
        <v>45628</v>
      </c>
      <c r="B236" vm="691">
        <f ca="1"/>
        <v>45631</v>
      </c>
      <c r="C236" vm="692">
        <f ca="1"/>
        <v>176.03</v>
      </c>
      <c r="D236" vm="693">
        <f ca="1"/>
        <v>5022189</v>
      </c>
      <c r="E236">
        <f t="shared" ca="1" si="63"/>
        <v>884055929.66999996</v>
      </c>
      <c r="F236">
        <f ca="1">SUM($E$2:E236)/SUM($D$2:D236)</f>
        <v>164.68509672511613</v>
      </c>
      <c r="G236">
        <f ca="1">_xlfn.STDEV.P($C$2:C236)</f>
        <v>6.9764273148058145</v>
      </c>
      <c r="H236">
        <f t="shared" ca="1" si="64"/>
        <v>171.66152403992194</v>
      </c>
      <c r="I236">
        <f t="shared" ca="1" si="65"/>
        <v>157.70866941031031</v>
      </c>
      <c r="J236">
        <f t="shared" ca="1" si="74"/>
        <v>172.46000000000004</v>
      </c>
      <c r="K236">
        <f t="shared" ca="1" si="75"/>
        <v>5.2848293305112097</v>
      </c>
      <c r="L236">
        <f t="shared" ca="1" si="76"/>
        <v>183.02965866102247</v>
      </c>
      <c r="M236">
        <f t="shared" ca="1" si="77"/>
        <v>161.89034133897761</v>
      </c>
      <c r="N236">
        <f t="shared" ca="1" si="66"/>
        <v>0.91999999999998749</v>
      </c>
      <c r="O236">
        <f t="shared" ca="1" si="67"/>
        <v>0.91999999999998749</v>
      </c>
      <c r="P236">
        <f t="shared" ca="1" si="68"/>
        <v>0</v>
      </c>
      <c r="Q236">
        <f t="shared" ca="1" si="72"/>
        <v>0.76558869476970537</v>
      </c>
      <c r="R236">
        <f t="shared" ca="1" si="73"/>
        <v>0.52607477765978738</v>
      </c>
      <c r="S236">
        <f t="shared" ca="1" si="70"/>
        <v>1.4552849276967459</v>
      </c>
      <c r="T236">
        <f t="shared" ca="1" si="71"/>
        <v>59.271529396872069</v>
      </c>
      <c r="U236">
        <f>70</f>
        <v>70</v>
      </c>
      <c r="V236">
        <f>30</f>
        <v>30</v>
      </c>
      <c r="W236">
        <f t="shared" ca="1" si="69"/>
        <v>175.37049581043624</v>
      </c>
      <c r="X236">
        <f t="shared" ca="1" si="79"/>
        <v>173.01765755966491</v>
      </c>
      <c r="Y236">
        <f t="shared" ca="1" si="78"/>
        <v>2.054867660422957</v>
      </c>
      <c r="Z236">
        <f t="shared" ca="1" si="80"/>
        <v>2.0145682232146762</v>
      </c>
      <c r="AA236">
        <f t="shared" ca="1" si="81"/>
        <v>4.0299437208280775E-2</v>
      </c>
      <c r="AB236">
        <f t="shared" ca="1" si="82"/>
        <v>170.57770000000005</v>
      </c>
    </row>
    <row r="237" spans="1:28" x14ac:dyDescent="0.25">
      <c r="A237" s="20">
        <f t="shared" ca="1" si="62"/>
        <v>45628</v>
      </c>
      <c r="B237" vm="694">
        <f ca="1"/>
        <v>45632</v>
      </c>
      <c r="C237" vm="695">
        <f ca="1"/>
        <v>173.82</v>
      </c>
      <c r="D237" vm="696">
        <f ca="1"/>
        <v>5741167</v>
      </c>
      <c r="E237">
        <f t="shared" ca="1" si="63"/>
        <v>997929647.93999994</v>
      </c>
      <c r="F237">
        <f ca="1">SUM($E$2:E237)/SUM($D$2:D237)</f>
        <v>164.71818520197641</v>
      </c>
      <c r="G237">
        <f ca="1">_xlfn.STDEV.P($C$2:C237)</f>
        <v>6.9859091042354731</v>
      </c>
      <c r="H237">
        <f t="shared" ca="1" si="64"/>
        <v>171.70409430621189</v>
      </c>
      <c r="I237">
        <f t="shared" ca="1" si="65"/>
        <v>157.73227609774094</v>
      </c>
      <c r="J237">
        <f t="shared" ca="1" si="74"/>
        <v>172.98050000000006</v>
      </c>
      <c r="K237">
        <f t="shared" ca="1" si="75"/>
        <v>4.8405507244309973</v>
      </c>
      <c r="L237">
        <f t="shared" ca="1" si="76"/>
        <v>182.66160144886206</v>
      </c>
      <c r="M237">
        <f t="shared" ca="1" si="77"/>
        <v>163.29939855113807</v>
      </c>
      <c r="N237">
        <f t="shared" ca="1" si="66"/>
        <v>-2.210000000000008</v>
      </c>
      <c r="O237">
        <f t="shared" ca="1" si="67"/>
        <v>0</v>
      </c>
      <c r="P237">
        <f t="shared" ca="1" si="68"/>
        <v>2.210000000000008</v>
      </c>
      <c r="Q237">
        <f t="shared" ca="1" si="72"/>
        <v>0.71090378800044074</v>
      </c>
      <c r="R237">
        <f t="shared" ca="1" si="73"/>
        <v>0.64635515068408889</v>
      </c>
      <c r="S237">
        <f t="shared" ca="1" si="70"/>
        <v>1.0998655882111172</v>
      </c>
      <c r="T237">
        <f t="shared" ca="1" si="71"/>
        <v>52.37790429948884</v>
      </c>
      <c r="U237">
        <f>70</f>
        <v>70</v>
      </c>
      <c r="V237">
        <f>30</f>
        <v>30</v>
      </c>
      <c r="W237">
        <f t="shared" ca="1" si="69"/>
        <v>175.13195799344604</v>
      </c>
      <c r="X237">
        <f t="shared" ca="1" si="79"/>
        <v>173.07709033302308</v>
      </c>
      <c r="Y237">
        <f t="shared" ca="1" si="78"/>
        <v>1.5562882217121796</v>
      </c>
      <c r="Z237">
        <f t="shared" ca="1" si="80"/>
        <v>1.9229122229141771</v>
      </c>
      <c r="AA237">
        <f t="shared" ca="1" si="81"/>
        <v>-0.36662400120199745</v>
      </c>
      <c r="AB237">
        <f t="shared" ca="1" si="82"/>
        <v>170.62150000000005</v>
      </c>
    </row>
    <row r="238" spans="1:28" x14ac:dyDescent="0.25">
      <c r="A238" s="20">
        <f t="shared" ca="1" si="62"/>
        <v>45635</v>
      </c>
      <c r="B238" vm="697">
        <f ca="1"/>
        <v>45635</v>
      </c>
      <c r="C238" vm="698">
        <f ca="1"/>
        <v>170.79</v>
      </c>
      <c r="D238" vm="699">
        <f ca="1"/>
        <v>7164286</v>
      </c>
      <c r="E238">
        <f t="shared" ca="1" si="63"/>
        <v>1223588405.9400001</v>
      </c>
      <c r="F238">
        <f ca="1">SUM($E$2:E238)/SUM($D$2:D238)</f>
        <v>164.74550675951826</v>
      </c>
      <c r="G238">
        <f ca="1">_xlfn.STDEV.P($C$2:C238)</f>
        <v>6.9816039842235487</v>
      </c>
      <c r="H238">
        <f t="shared" ca="1" si="64"/>
        <v>171.7271107437418</v>
      </c>
      <c r="I238">
        <f t="shared" ca="1" si="65"/>
        <v>157.76390277529472</v>
      </c>
      <c r="J238">
        <f t="shared" ca="1" si="74"/>
        <v>173.1345</v>
      </c>
      <c r="K238">
        <f t="shared" ca="1" si="75"/>
        <v>4.7113161363723073</v>
      </c>
      <c r="L238">
        <f t="shared" ca="1" si="76"/>
        <v>182.55713227274461</v>
      </c>
      <c r="M238">
        <f t="shared" ca="1" si="77"/>
        <v>163.7118677272554</v>
      </c>
      <c r="N238">
        <f t="shared" ca="1" si="66"/>
        <v>-3.0300000000000011</v>
      </c>
      <c r="O238">
        <f t="shared" ca="1" si="67"/>
        <v>0</v>
      </c>
      <c r="P238">
        <f t="shared" ca="1" si="68"/>
        <v>3.0300000000000011</v>
      </c>
      <c r="Q238">
        <f t="shared" ca="1" si="72"/>
        <v>0.66012494600040927</v>
      </c>
      <c r="R238">
        <f t="shared" ca="1" si="73"/>
        <v>0.81661549706379688</v>
      </c>
      <c r="S238">
        <f t="shared" ca="1" si="70"/>
        <v>0.8083669099765296</v>
      </c>
      <c r="T238">
        <f t="shared" ca="1" si="71"/>
        <v>44.701487597283077</v>
      </c>
      <c r="U238">
        <f>70</f>
        <v>70</v>
      </c>
      <c r="V238">
        <f>30</f>
        <v>30</v>
      </c>
      <c r="W238">
        <f t="shared" ca="1" si="69"/>
        <v>174.46396445599279</v>
      </c>
      <c r="X238">
        <f t="shared" ca="1" si="79"/>
        <v>172.90767623428061</v>
      </c>
      <c r="Y238">
        <f t="shared" ca="1" si="78"/>
        <v>1.2667882258936345</v>
      </c>
      <c r="Z238">
        <f t="shared" ca="1" si="80"/>
        <v>1.7916874235100686</v>
      </c>
      <c r="AA238">
        <f t="shared" ca="1" si="81"/>
        <v>-0.52489919761643411</v>
      </c>
      <c r="AB238">
        <f t="shared" ca="1" si="82"/>
        <v>170.64500000000007</v>
      </c>
    </row>
    <row r="239" spans="1:28" x14ac:dyDescent="0.25">
      <c r="A239" s="20">
        <f t="shared" ca="1" si="62"/>
        <v>45635</v>
      </c>
      <c r="B239" vm="700">
        <f ca="1"/>
        <v>45636</v>
      </c>
      <c r="C239" vm="593">
        <f ca="1"/>
        <v>172.28</v>
      </c>
      <c r="D239" vm="701">
        <f ca="1"/>
        <v>6220088</v>
      </c>
      <c r="E239">
        <f t="shared" ca="1" si="63"/>
        <v>1071596760.64</v>
      </c>
      <c r="F239">
        <f ca="1">SUM($E$2:E239)/SUM($D$2:D239)</f>
        <v>164.7748272509395</v>
      </c>
      <c r="G239">
        <f ca="1">_xlfn.STDEV.P($C$2:C239)</f>
        <v>6.9831491459991515</v>
      </c>
      <c r="H239">
        <f t="shared" ca="1" si="64"/>
        <v>171.75797639693866</v>
      </c>
      <c r="I239">
        <f t="shared" ca="1" si="65"/>
        <v>157.79167810494033</v>
      </c>
      <c r="J239">
        <f t="shared" ca="1" si="74"/>
        <v>173.44700000000003</v>
      </c>
      <c r="K239">
        <f t="shared" ca="1" si="75"/>
        <v>4.4131181242911852</v>
      </c>
      <c r="L239">
        <f t="shared" ca="1" si="76"/>
        <v>182.27323624858241</v>
      </c>
      <c r="M239">
        <f t="shared" ca="1" si="77"/>
        <v>164.62076375141766</v>
      </c>
      <c r="N239">
        <f t="shared" ca="1" si="66"/>
        <v>1.4900000000000091</v>
      </c>
      <c r="O239">
        <f t="shared" ca="1" si="67"/>
        <v>1.4900000000000091</v>
      </c>
      <c r="P239">
        <f t="shared" ca="1" si="68"/>
        <v>0</v>
      </c>
      <c r="Q239">
        <f t="shared" ca="1" si="72"/>
        <v>0.7194017355718092</v>
      </c>
      <c r="R239">
        <f t="shared" ca="1" si="73"/>
        <v>0.7582858187020971</v>
      </c>
      <c r="S239">
        <f t="shared" ca="1" si="70"/>
        <v>0.94872107301592035</v>
      </c>
      <c r="T239">
        <f t="shared" ca="1" si="71"/>
        <v>48.684292798642595</v>
      </c>
      <c r="U239">
        <f>70</f>
        <v>70</v>
      </c>
      <c r="V239">
        <f>30</f>
        <v>30</v>
      </c>
      <c r="W239">
        <f t="shared" ca="1" si="69"/>
        <v>174.1279699243016</v>
      </c>
      <c r="X239">
        <f t="shared" ca="1" si="79"/>
        <v>172.86118169840796</v>
      </c>
      <c r="Y239">
        <f t="shared" ca="1" si="78"/>
        <v>0.89391172517090922</v>
      </c>
      <c r="Z239">
        <f t="shared" ca="1" si="80"/>
        <v>1.6121322838422369</v>
      </c>
      <c r="AA239">
        <f t="shared" ca="1" si="81"/>
        <v>-0.71822055867132772</v>
      </c>
      <c r="AB239">
        <f t="shared" ca="1" si="82"/>
        <v>170.68820000000008</v>
      </c>
    </row>
    <row r="240" spans="1:28" x14ac:dyDescent="0.25">
      <c r="A240" s="20">
        <f t="shared" ca="1" si="62"/>
        <v>45635</v>
      </c>
      <c r="B240" vm="702">
        <f ca="1"/>
        <v>45637</v>
      </c>
      <c r="C240" vm="703">
        <f ca="1"/>
        <v>170.63</v>
      </c>
      <c r="D240" vm="704">
        <f ca="1"/>
        <v>5237533</v>
      </c>
      <c r="E240">
        <f t="shared" ca="1" si="63"/>
        <v>893680255.78999996</v>
      </c>
      <c r="F240">
        <f ca="1">SUM($E$2:E240)/SUM($D$2:D240)</f>
        <v>164.79395070742973</v>
      </c>
      <c r="G240">
        <f ca="1">_xlfn.STDEV.P($C$2:C240)</f>
        <v>6.978145369591096</v>
      </c>
      <c r="H240">
        <f t="shared" ca="1" si="64"/>
        <v>171.77209607702082</v>
      </c>
      <c r="I240">
        <f t="shared" ca="1" si="65"/>
        <v>157.81580533783864</v>
      </c>
      <c r="J240">
        <f t="shared" ca="1" si="74"/>
        <v>173.68650000000002</v>
      </c>
      <c r="K240">
        <f t="shared" ca="1" si="75"/>
        <v>4.0972291985271143</v>
      </c>
      <c r="L240">
        <f t="shared" ca="1" si="76"/>
        <v>181.88095839705426</v>
      </c>
      <c r="M240">
        <f t="shared" ca="1" si="77"/>
        <v>165.49204160294579</v>
      </c>
      <c r="N240">
        <f t="shared" ca="1" si="66"/>
        <v>-1.6500000000000057</v>
      </c>
      <c r="O240">
        <f t="shared" ca="1" si="67"/>
        <v>0</v>
      </c>
      <c r="P240">
        <f t="shared" ca="1" si="68"/>
        <v>1.6500000000000057</v>
      </c>
      <c r="Q240">
        <f t="shared" ca="1" si="72"/>
        <v>0.66801589731667999</v>
      </c>
      <c r="R240">
        <f t="shared" ca="1" si="73"/>
        <v>0.82197968879480487</v>
      </c>
      <c r="S240">
        <f t="shared" ca="1" si="70"/>
        <v>0.81269148912442324</v>
      </c>
      <c r="T240">
        <f t="shared" ca="1" si="71"/>
        <v>44.833414510980809</v>
      </c>
      <c r="U240">
        <f>70</f>
        <v>70</v>
      </c>
      <c r="V240">
        <f>30</f>
        <v>30</v>
      </c>
      <c r="W240">
        <f t="shared" ca="1" si="69"/>
        <v>173.58982070517828</v>
      </c>
      <c r="X240">
        <f t="shared" ca="1" si="79"/>
        <v>172.69590898000737</v>
      </c>
      <c r="Y240">
        <f t="shared" ca="1" si="78"/>
        <v>0.60913484597023171</v>
      </c>
      <c r="Z240">
        <f t="shared" ca="1" si="80"/>
        <v>1.4115327962678359</v>
      </c>
      <c r="AA240">
        <f t="shared" ca="1" si="81"/>
        <v>-0.80239795029760419</v>
      </c>
      <c r="AB240">
        <f t="shared" ca="1" si="82"/>
        <v>170.7120000000001</v>
      </c>
    </row>
    <row r="241" spans="1:28" x14ac:dyDescent="0.25">
      <c r="A241" s="20">
        <f t="shared" ca="1" si="62"/>
        <v>45635</v>
      </c>
      <c r="B241" vm="705">
        <f ca="1"/>
        <v>45638</v>
      </c>
      <c r="C241" vm="706">
        <f ca="1"/>
        <v>170.85</v>
      </c>
      <c r="D241" vm="707">
        <f ca="1"/>
        <v>4072810</v>
      </c>
      <c r="E241">
        <f t="shared" ca="1" si="63"/>
        <v>695839588.5</v>
      </c>
      <c r="F241">
        <f ca="1">SUM($E$2:E241)/SUM($D$2:D241)</f>
        <v>164.80929270288249</v>
      </c>
      <c r="G241">
        <f ca="1">_xlfn.STDEV.P($C$2:C241)</f>
        <v>6.9738540365614119</v>
      </c>
      <c r="H241">
        <f t="shared" ca="1" si="64"/>
        <v>171.78314673944391</v>
      </c>
      <c r="I241">
        <f t="shared" ca="1" si="65"/>
        <v>157.83543866632107</v>
      </c>
      <c r="J241">
        <f t="shared" ca="1" si="74"/>
        <v>173.90000000000003</v>
      </c>
      <c r="K241">
        <f t="shared" ca="1" si="75"/>
        <v>3.8085098619303919</v>
      </c>
      <c r="L241">
        <f t="shared" ca="1" si="76"/>
        <v>181.51701972386081</v>
      </c>
      <c r="M241">
        <f t="shared" ca="1" si="77"/>
        <v>166.28298027613926</v>
      </c>
      <c r="N241">
        <f t="shared" ca="1" si="66"/>
        <v>0.21999999999999886</v>
      </c>
      <c r="O241">
        <f t="shared" ca="1" si="67"/>
        <v>0.21999999999999886</v>
      </c>
      <c r="P241">
        <f t="shared" ca="1" si="68"/>
        <v>0</v>
      </c>
      <c r="Q241">
        <f t="shared" ca="1" si="72"/>
        <v>0.63601476179405991</v>
      </c>
      <c r="R241">
        <f t="shared" ca="1" si="73"/>
        <v>0.76326685388089022</v>
      </c>
      <c r="S241">
        <f t="shared" ca="1" si="70"/>
        <v>0.83327968266955776</v>
      </c>
      <c r="T241">
        <f t="shared" ca="1" si="71"/>
        <v>45.452949189736565</v>
      </c>
      <c r="U241">
        <f>70</f>
        <v>70</v>
      </c>
      <c r="V241">
        <f>30</f>
        <v>30</v>
      </c>
      <c r="W241">
        <f t="shared" ca="1" si="69"/>
        <v>173.16830982745856</v>
      </c>
      <c r="X241">
        <f t="shared" ca="1" si="79"/>
        <v>172.55917498148833</v>
      </c>
      <c r="Y241">
        <f t="shared" ca="1" si="78"/>
        <v>0.39582948652844152</v>
      </c>
      <c r="Z241">
        <f t="shared" ca="1" si="80"/>
        <v>1.2083921343199571</v>
      </c>
      <c r="AA241">
        <f t="shared" ca="1" si="81"/>
        <v>-0.81256264779151555</v>
      </c>
      <c r="AB241">
        <f t="shared" ca="1" si="82"/>
        <v>170.75430000000009</v>
      </c>
    </row>
    <row r="242" spans="1:28" x14ac:dyDescent="0.25">
      <c r="A242" s="20">
        <f t="shared" ca="1" si="62"/>
        <v>45635</v>
      </c>
      <c r="B242" vm="708">
        <f ca="1"/>
        <v>45639</v>
      </c>
      <c r="C242" vm="709">
        <f ca="1"/>
        <v>171.06</v>
      </c>
      <c r="D242" vm="710">
        <f ca="1"/>
        <v>3884513</v>
      </c>
      <c r="E242">
        <f t="shared" ca="1" si="63"/>
        <v>664484793.77999997</v>
      </c>
      <c r="F242">
        <f ca="1">SUM($E$2:E242)/SUM($D$2:D242)</f>
        <v>164.82435932716143</v>
      </c>
      <c r="G242">
        <f ca="1">_xlfn.STDEV.P($C$2:C242)</f>
        <v>6.9702518812224019</v>
      </c>
      <c r="H242">
        <f t="shared" ca="1" si="64"/>
        <v>171.79461120838383</v>
      </c>
      <c r="I242">
        <f t="shared" ca="1" si="65"/>
        <v>157.85410744593904</v>
      </c>
      <c r="J242">
        <f t="shared" ca="1" si="74"/>
        <v>174.09900000000005</v>
      </c>
      <c r="K242">
        <f t="shared" ca="1" si="75"/>
        <v>3.5269741019448224</v>
      </c>
      <c r="L242">
        <f t="shared" ca="1" si="76"/>
        <v>181.15294820388968</v>
      </c>
      <c r="M242">
        <f t="shared" ca="1" si="77"/>
        <v>167.04505179611041</v>
      </c>
      <c r="N242">
        <f t="shared" ca="1" si="66"/>
        <v>0.21000000000000796</v>
      </c>
      <c r="O242">
        <f t="shared" ca="1" si="67"/>
        <v>0.21000000000000796</v>
      </c>
      <c r="P242">
        <f t="shared" ca="1" si="68"/>
        <v>0</v>
      </c>
      <c r="Q242">
        <f t="shared" ca="1" si="72"/>
        <v>0.60558513595162755</v>
      </c>
      <c r="R242">
        <f t="shared" ca="1" si="73"/>
        <v>0.70874779288939804</v>
      </c>
      <c r="S242">
        <f t="shared" ca="1" si="70"/>
        <v>0.85444376974043112</v>
      </c>
      <c r="T242">
        <f t="shared" ca="1" si="71"/>
        <v>46.075474688565443</v>
      </c>
      <c r="U242">
        <f>70</f>
        <v>70</v>
      </c>
      <c r="V242">
        <f>30</f>
        <v>30</v>
      </c>
      <c r="W242">
        <f t="shared" ca="1" si="69"/>
        <v>172.843954469388</v>
      </c>
      <c r="X242">
        <f t="shared" ca="1" si="79"/>
        <v>172.44812498285955</v>
      </c>
      <c r="Y242">
        <f t="shared" ca="1" si="78"/>
        <v>0.23058079196263748</v>
      </c>
      <c r="Z242">
        <f t="shared" ca="1" si="80"/>
        <v>1.0128298658484933</v>
      </c>
      <c r="AA242">
        <f t="shared" ca="1" si="81"/>
        <v>-0.78224907388585585</v>
      </c>
      <c r="AB242">
        <f t="shared" ca="1" si="82"/>
        <v>170.78490000000005</v>
      </c>
    </row>
    <row r="243" spans="1:28" x14ac:dyDescent="0.25">
      <c r="A243" s="20">
        <f t="shared" ca="1" si="62"/>
        <v>45642</v>
      </c>
      <c r="B243" vm="711">
        <f ca="1"/>
        <v>45642</v>
      </c>
      <c r="C243" vm="712">
        <f ca="1"/>
        <v>171.14</v>
      </c>
      <c r="D243" vm="713">
        <f ca="1"/>
        <v>5943680</v>
      </c>
      <c r="E243">
        <f t="shared" ca="1" si="63"/>
        <v>1017201395.1999999</v>
      </c>
      <c r="F243">
        <f ca="1">SUM($E$2:E243)/SUM($D$2:D243)</f>
        <v>164.84756660827864</v>
      </c>
      <c r="G243">
        <f ca="1">_xlfn.STDEV.P($C$2:C243)</f>
        <v>6.9668750260239181</v>
      </c>
      <c r="H243">
        <f t="shared" ca="1" si="64"/>
        <v>171.81444163430257</v>
      </c>
      <c r="I243">
        <f t="shared" ca="1" si="65"/>
        <v>157.88069158225471</v>
      </c>
      <c r="J243">
        <f t="shared" ca="1" si="74"/>
        <v>174.17900000000003</v>
      </c>
      <c r="K243">
        <f t="shared" ca="1" si="75"/>
        <v>3.4350712855546557</v>
      </c>
      <c r="L243">
        <f t="shared" ca="1" si="76"/>
        <v>181.04914257110934</v>
      </c>
      <c r="M243">
        <f t="shared" ca="1" si="77"/>
        <v>167.30885742889072</v>
      </c>
      <c r="N243">
        <f t="shared" ca="1" si="66"/>
        <v>7.9999999999984084E-2</v>
      </c>
      <c r="O243">
        <f t="shared" ca="1" si="67"/>
        <v>7.9999999999984084E-2</v>
      </c>
      <c r="P243">
        <f t="shared" ca="1" si="68"/>
        <v>0</v>
      </c>
      <c r="Q243">
        <f t="shared" ca="1" si="72"/>
        <v>0.56804334052651018</v>
      </c>
      <c r="R243">
        <f t="shared" ca="1" si="73"/>
        <v>0.65812295054015535</v>
      </c>
      <c r="S243">
        <f t="shared" ca="1" si="70"/>
        <v>0.86312647212847959</v>
      </c>
      <c r="T243">
        <f t="shared" ca="1" si="71"/>
        <v>46.32677840396007</v>
      </c>
      <c r="U243">
        <f>70</f>
        <v>70</v>
      </c>
      <c r="V243">
        <f>30</f>
        <v>30</v>
      </c>
      <c r="W243">
        <f t="shared" ca="1" si="69"/>
        <v>172.5818076279437</v>
      </c>
      <c r="X243">
        <f t="shared" ca="1" si="79"/>
        <v>172.35122683598107</v>
      </c>
      <c r="Y243">
        <f t="shared" ca="1" si="78"/>
        <v>3.3869355571056303E-2</v>
      </c>
      <c r="Z243">
        <f t="shared" ca="1" si="80"/>
        <v>0.81703776379300597</v>
      </c>
      <c r="AA243">
        <f t="shared" ca="1" si="81"/>
        <v>-0.78316840822194966</v>
      </c>
      <c r="AB243">
        <f t="shared" ca="1" si="82"/>
        <v>170.82730000000006</v>
      </c>
    </row>
    <row r="244" spans="1:28" x14ac:dyDescent="0.25">
      <c r="A244" s="20">
        <f t="shared" ca="1" si="62"/>
        <v>45642</v>
      </c>
      <c r="B244" vm="714">
        <f ca="1"/>
        <v>45643</v>
      </c>
      <c r="C244" vm="715">
        <f ca="1"/>
        <v>170.33</v>
      </c>
      <c r="D244" vm="716">
        <f ca="1"/>
        <v>6069344</v>
      </c>
      <c r="E244">
        <f t="shared" ca="1" si="63"/>
        <v>1033791363.5200001</v>
      </c>
      <c r="F244">
        <f ca="1">SUM($E$2:E244)/SUM($D$2:D244)</f>
        <v>164.86806123490456</v>
      </c>
      <c r="G244">
        <f ca="1">_xlfn.STDEV.P($C$2:C244)</f>
        <v>6.9607250343707152</v>
      </c>
      <c r="H244">
        <f t="shared" ca="1" si="64"/>
        <v>171.82878626927527</v>
      </c>
      <c r="I244">
        <f t="shared" ca="1" si="65"/>
        <v>157.90733620053385</v>
      </c>
      <c r="J244">
        <f t="shared" ca="1" si="74"/>
        <v>174.15800000000002</v>
      </c>
      <c r="K244">
        <f t="shared" ca="1" si="75"/>
        <v>3.4583424688105939</v>
      </c>
      <c r="L244">
        <f t="shared" ca="1" si="76"/>
        <v>181.07468493762121</v>
      </c>
      <c r="M244">
        <f t="shared" ca="1" si="77"/>
        <v>167.24131506237882</v>
      </c>
      <c r="N244">
        <f t="shared" ca="1" si="66"/>
        <v>-0.80999999999997385</v>
      </c>
      <c r="O244">
        <f t="shared" ca="1" si="67"/>
        <v>0</v>
      </c>
      <c r="P244">
        <f t="shared" ca="1" si="68"/>
        <v>0.80999999999997385</v>
      </c>
      <c r="Q244">
        <f t="shared" ca="1" si="72"/>
        <v>0.52746881620318808</v>
      </c>
      <c r="R244">
        <f t="shared" ca="1" si="73"/>
        <v>0.66897131121585662</v>
      </c>
      <c r="S244">
        <f t="shared" ca="1" si="70"/>
        <v>0.78847748380197724</v>
      </c>
      <c r="T244">
        <f t="shared" ca="1" si="71"/>
        <v>44.08652001174864</v>
      </c>
      <c r="U244">
        <f>70</f>
        <v>70</v>
      </c>
      <c r="V244">
        <f>30</f>
        <v>30</v>
      </c>
      <c r="W244">
        <f t="shared" ca="1" si="69"/>
        <v>172.23537568518313</v>
      </c>
      <c r="X244">
        <f t="shared" ca="1" si="79"/>
        <v>172.20150632961207</v>
      </c>
      <c r="Y244">
        <f t="shared" ca="1" si="78"/>
        <v>-0.22035036645166883</v>
      </c>
      <c r="Z244">
        <f t="shared" ca="1" si="80"/>
        <v>0.60956013774407103</v>
      </c>
      <c r="AA244">
        <f t="shared" ca="1" si="81"/>
        <v>-0.82991050419573986</v>
      </c>
      <c r="AB244">
        <f t="shared" ca="1" si="82"/>
        <v>170.83950000000007</v>
      </c>
    </row>
    <row r="245" spans="1:28" x14ac:dyDescent="0.25">
      <c r="A245" s="20">
        <f t="shared" ca="1" si="62"/>
        <v>45642</v>
      </c>
      <c r="B245" vm="717">
        <f ca="1"/>
        <v>45644</v>
      </c>
      <c r="C245" vm="718">
        <f ca="1"/>
        <v>169.08</v>
      </c>
      <c r="D245" vm="719">
        <f ca="1"/>
        <v>7517081</v>
      </c>
      <c r="E245">
        <f t="shared" ca="1" si="63"/>
        <v>1270988055.48</v>
      </c>
      <c r="F245">
        <f ca="1">SUM($E$2:E245)/SUM($D$2:D245)</f>
        <v>164.88747233105906</v>
      </c>
      <c r="G245">
        <f ca="1">_xlfn.STDEV.P($C$2:C245)</f>
        <v>6.9511560707724351</v>
      </c>
      <c r="H245">
        <f t="shared" ca="1" si="64"/>
        <v>171.8386284018315</v>
      </c>
      <c r="I245">
        <f t="shared" ca="1" si="65"/>
        <v>157.93631626028662</v>
      </c>
      <c r="J245">
        <f t="shared" ca="1" si="74"/>
        <v>174.07400000000001</v>
      </c>
      <c r="K245">
        <f t="shared" ca="1" si="75"/>
        <v>3.5640092740147509</v>
      </c>
      <c r="L245">
        <f t="shared" ca="1" si="76"/>
        <v>181.20201854802951</v>
      </c>
      <c r="M245">
        <f t="shared" ca="1" si="77"/>
        <v>166.94598145197051</v>
      </c>
      <c r="N245">
        <f t="shared" ca="1" si="66"/>
        <v>-1.25</v>
      </c>
      <c r="O245">
        <f t="shared" ca="1" si="67"/>
        <v>0</v>
      </c>
      <c r="P245">
        <f t="shared" ca="1" si="68"/>
        <v>1.25</v>
      </c>
      <c r="Q245">
        <f t="shared" ca="1" si="72"/>
        <v>0.48979247218867467</v>
      </c>
      <c r="R245">
        <f t="shared" ca="1" si="73"/>
        <v>0.71047336041472398</v>
      </c>
      <c r="S245">
        <f t="shared" ca="1" si="70"/>
        <v>0.68938893346088104</v>
      </c>
      <c r="T245">
        <f t="shared" ca="1" si="71"/>
        <v>40.806999489963474</v>
      </c>
      <c r="U245">
        <f>70</f>
        <v>70</v>
      </c>
      <c r="V245">
        <f>30</f>
        <v>30</v>
      </c>
      <c r="W245">
        <f t="shared" ca="1" si="69"/>
        <v>171.74993327207804</v>
      </c>
      <c r="X245">
        <f t="shared" ca="1" si="79"/>
        <v>171.97028363852971</v>
      </c>
      <c r="Y245">
        <f t="shared" ca="1" si="78"/>
        <v>-0.40823931827628712</v>
      </c>
      <c r="Z245">
        <f t="shared" ca="1" si="80"/>
        <v>0.40600024653999939</v>
      </c>
      <c r="AA245">
        <f t="shared" ca="1" si="81"/>
        <v>-0.81423956481628657</v>
      </c>
      <c r="AB245">
        <f t="shared" ca="1" si="82"/>
        <v>170.8310000000001</v>
      </c>
    </row>
    <row r="246" spans="1:28" x14ac:dyDescent="0.25">
      <c r="A246" s="20">
        <f t="shared" ca="1" si="62"/>
        <v>45642</v>
      </c>
      <c r="B246" vm="720">
        <f ca="1"/>
        <v>45645</v>
      </c>
      <c r="C246" vm="721">
        <f ca="1"/>
        <v>169.19</v>
      </c>
      <c r="D246" vm="722">
        <f ca="1"/>
        <v>8585220</v>
      </c>
      <c r="E246">
        <f t="shared" ca="1" si="63"/>
        <v>1452533371.8</v>
      </c>
      <c r="F246">
        <f ca="1">SUM($E$2:E246)/SUM($D$2:D246)</f>
        <v>164.90999988259347</v>
      </c>
      <c r="G246">
        <f ca="1">_xlfn.STDEV.P($C$2:C246)</f>
        <v>6.941874293172372</v>
      </c>
      <c r="H246">
        <f t="shared" ca="1" si="64"/>
        <v>171.85187417576583</v>
      </c>
      <c r="I246">
        <f t="shared" ca="1" si="65"/>
        <v>157.96812558942111</v>
      </c>
      <c r="J246">
        <f t="shared" ca="1" si="74"/>
        <v>173.98899999999998</v>
      </c>
      <c r="K246">
        <f t="shared" ca="1" si="75"/>
        <v>3.6628445948901218</v>
      </c>
      <c r="L246">
        <f t="shared" ca="1" si="76"/>
        <v>181.31468918978021</v>
      </c>
      <c r="M246">
        <f t="shared" ca="1" si="77"/>
        <v>166.66331081021974</v>
      </c>
      <c r="N246">
        <f t="shared" ca="1" si="66"/>
        <v>0.10999999999998522</v>
      </c>
      <c r="O246">
        <f t="shared" ca="1" si="67"/>
        <v>0.10999999999998522</v>
      </c>
      <c r="P246">
        <f t="shared" ca="1" si="68"/>
        <v>0</v>
      </c>
      <c r="Q246">
        <f t="shared" ca="1" si="72"/>
        <v>0.46266443846091115</v>
      </c>
      <c r="R246">
        <f t="shared" ca="1" si="73"/>
        <v>0.65972526324224368</v>
      </c>
      <c r="S246">
        <f t="shared" ca="1" si="70"/>
        <v>0.70129865299856797</v>
      </c>
      <c r="T246">
        <f t="shared" ca="1" si="71"/>
        <v>41.221372377067198</v>
      </c>
      <c r="U246">
        <f>70</f>
        <v>70</v>
      </c>
      <c r="V246">
        <f>30</f>
        <v>30</v>
      </c>
      <c r="W246">
        <f t="shared" ca="1" si="69"/>
        <v>171.35609738406603</v>
      </c>
      <c r="X246">
        <f t="shared" ca="1" si="79"/>
        <v>171.76433670234232</v>
      </c>
      <c r="Y246">
        <f t="shared" ca="1" si="78"/>
        <v>-0.64093591223257818</v>
      </c>
      <c r="Z246">
        <f t="shared" ca="1" si="80"/>
        <v>0.1966130147854839</v>
      </c>
      <c r="AA246">
        <f t="shared" ca="1" si="81"/>
        <v>-0.83754892701806205</v>
      </c>
      <c r="AB246">
        <f t="shared" ca="1" si="82"/>
        <v>170.90590000000012</v>
      </c>
    </row>
    <row r="247" spans="1:28" x14ac:dyDescent="0.25">
      <c r="A247" s="20">
        <f t="shared" ca="1" si="62"/>
        <v>45642</v>
      </c>
      <c r="B247" vm="723">
        <f ca="1"/>
        <v>45646</v>
      </c>
      <c r="C247" vm="439">
        <f ca="1"/>
        <v>168.06</v>
      </c>
      <c r="D247" vm="724">
        <f ca="1"/>
        <v>21999342</v>
      </c>
      <c r="E247">
        <f t="shared" ca="1" si="63"/>
        <v>3697209416.52</v>
      </c>
      <c r="F247">
        <f ca="1">SUM($E$2:E247)/SUM($D$2:D247)</f>
        <v>164.95170324362687</v>
      </c>
      <c r="G247">
        <f ca="1">_xlfn.STDEV.P($C$2:C247)</f>
        <v>6.930295041326791</v>
      </c>
      <c r="H247">
        <f t="shared" ca="1" si="64"/>
        <v>171.88199828495365</v>
      </c>
      <c r="I247">
        <f t="shared" ca="1" si="65"/>
        <v>158.02140820230008</v>
      </c>
      <c r="J247">
        <f t="shared" ca="1" si="74"/>
        <v>173.75449999999998</v>
      </c>
      <c r="K247">
        <f t="shared" ca="1" si="75"/>
        <v>3.8894614361319855</v>
      </c>
      <c r="L247">
        <f t="shared" ca="1" si="76"/>
        <v>181.53342287226394</v>
      </c>
      <c r="M247">
        <f t="shared" ca="1" si="77"/>
        <v>165.97557712773602</v>
      </c>
      <c r="N247">
        <f t="shared" ca="1" si="66"/>
        <v>-1.1299999999999955</v>
      </c>
      <c r="O247">
        <f t="shared" ca="1" si="67"/>
        <v>0</v>
      </c>
      <c r="P247">
        <f t="shared" ca="1" si="68"/>
        <v>1.1299999999999955</v>
      </c>
      <c r="Q247">
        <f t="shared" ca="1" si="72"/>
        <v>0.42961697857084608</v>
      </c>
      <c r="R247">
        <f t="shared" ca="1" si="73"/>
        <v>0.69331631586779729</v>
      </c>
      <c r="S247">
        <f t="shared" ca="1" si="70"/>
        <v>0.61965508201420449</v>
      </c>
      <c r="T247">
        <f t="shared" ca="1" si="71"/>
        <v>38.258459402578538</v>
      </c>
      <c r="U247">
        <f>70</f>
        <v>70</v>
      </c>
      <c r="V247">
        <f>30</f>
        <v>30</v>
      </c>
      <c r="W247">
        <f t="shared" ca="1" si="69"/>
        <v>170.84900547882512</v>
      </c>
      <c r="X247">
        <f t="shared" ca="1" si="79"/>
        <v>171.4899413910577</v>
      </c>
      <c r="Y247">
        <f t="shared" ca="1" si="78"/>
        <v>-0.81195534154613824</v>
      </c>
      <c r="Z247">
        <f t="shared" ca="1" si="80"/>
        <v>-5.100656480840543E-3</v>
      </c>
      <c r="AA247">
        <f t="shared" ca="1" si="81"/>
        <v>-0.80685468506529767</v>
      </c>
      <c r="AB247">
        <f t="shared" ca="1" si="82"/>
        <v>170.9789000000001</v>
      </c>
    </row>
    <row r="248" spans="1:28" x14ac:dyDescent="0.25">
      <c r="A248" s="20">
        <f t="shared" ca="1" si="62"/>
        <v>45649</v>
      </c>
      <c r="B248" vm="725">
        <f ca="1"/>
        <v>45649</v>
      </c>
      <c r="C248" vm="726">
        <f ca="1"/>
        <v>168.11</v>
      </c>
      <c r="D248" vm="727">
        <f ca="1"/>
        <v>6984079</v>
      </c>
      <c r="E248">
        <f t="shared" ca="1" si="63"/>
        <v>1174093520.6900001</v>
      </c>
      <c r="F248">
        <f ca="1">SUM($E$2:E248)/SUM($D$2:D248)</f>
        <v>164.96492202309832</v>
      </c>
      <c r="G248">
        <f ca="1">_xlfn.STDEV.P($C$2:C248)</f>
        <v>6.9188562312321613</v>
      </c>
      <c r="H248">
        <f t="shared" ca="1" si="64"/>
        <v>171.88377825433048</v>
      </c>
      <c r="I248">
        <f t="shared" ca="1" si="65"/>
        <v>158.04606579186617</v>
      </c>
      <c r="J248">
        <f t="shared" ca="1" si="74"/>
        <v>173.34599999999998</v>
      </c>
      <c r="K248">
        <f t="shared" ca="1" si="75"/>
        <v>4.0365115214945035</v>
      </c>
      <c r="L248">
        <f t="shared" ca="1" si="76"/>
        <v>181.41902304298898</v>
      </c>
      <c r="M248">
        <f t="shared" ca="1" si="77"/>
        <v>165.27297695701097</v>
      </c>
      <c r="N248">
        <f t="shared" ca="1" si="66"/>
        <v>5.0000000000011369E-2</v>
      </c>
      <c r="O248">
        <f t="shared" ca="1" si="67"/>
        <v>5.0000000000011369E-2</v>
      </c>
      <c r="P248">
        <f t="shared" ca="1" si="68"/>
        <v>0</v>
      </c>
      <c r="Q248">
        <f t="shared" ca="1" si="72"/>
        <v>0.40250148010150072</v>
      </c>
      <c r="R248">
        <f t="shared" ca="1" si="73"/>
        <v>0.64379372187724038</v>
      </c>
      <c r="S248">
        <f t="shared" ca="1" si="70"/>
        <v>0.62520255545183823</v>
      </c>
      <c r="T248">
        <f t="shared" ca="1" si="71"/>
        <v>38.469208244508302</v>
      </c>
      <c r="U248">
        <f>70</f>
        <v>70</v>
      </c>
      <c r="V248">
        <f>30</f>
        <v>30</v>
      </c>
      <c r="W248">
        <f t="shared" ca="1" si="69"/>
        <v>170.42762002054434</v>
      </c>
      <c r="X248">
        <f t="shared" ca="1" si="79"/>
        <v>171.23957536209048</v>
      </c>
      <c r="Y248">
        <f t="shared" ca="1" si="78"/>
        <v>-0.87048104438102314</v>
      </c>
      <c r="Z248">
        <f t="shared" ca="1" si="80"/>
        <v>-0.17817673406087708</v>
      </c>
      <c r="AA248">
        <f t="shared" ca="1" si="81"/>
        <v>-0.69230431032014605</v>
      </c>
      <c r="AB248">
        <f t="shared" ca="1" si="82"/>
        <v>171.00310000000007</v>
      </c>
    </row>
    <row r="249" spans="1:28" x14ac:dyDescent="0.25">
      <c r="A249" s="20">
        <f t="shared" ca="1" si="62"/>
        <v>45649</v>
      </c>
      <c r="B249" vm="728">
        <f ca="1"/>
        <v>45650</v>
      </c>
      <c r="C249" vm="729">
        <f ca="1"/>
        <v>168.94</v>
      </c>
      <c r="D249" vm="730">
        <f ca="1"/>
        <v>2460756</v>
      </c>
      <c r="E249">
        <f t="shared" ca="1" si="63"/>
        <v>415720118.63999999</v>
      </c>
      <c r="F249">
        <f ca="1">SUM($E$2:E249)/SUM($D$2:D249)</f>
        <v>164.97077535986011</v>
      </c>
      <c r="G249">
        <f ca="1">_xlfn.STDEV.P($C$2:C249)</f>
        <v>6.9091067611517403</v>
      </c>
      <c r="H249">
        <f t="shared" ca="1" si="64"/>
        <v>171.87988212101186</v>
      </c>
      <c r="I249">
        <f t="shared" ca="1" si="65"/>
        <v>158.06166859870837</v>
      </c>
      <c r="J249">
        <f t="shared" ca="1" si="74"/>
        <v>172.92349999999999</v>
      </c>
      <c r="K249">
        <f t="shared" ca="1" si="75"/>
        <v>4.0331772443336185</v>
      </c>
      <c r="L249">
        <f t="shared" ca="1" si="76"/>
        <v>180.98985448866722</v>
      </c>
      <c r="M249">
        <f t="shared" ca="1" si="77"/>
        <v>164.85714551133276</v>
      </c>
      <c r="N249">
        <f t="shared" ca="1" si="66"/>
        <v>0.82999999999998408</v>
      </c>
      <c r="O249">
        <f t="shared" ca="1" si="67"/>
        <v>0.82999999999998408</v>
      </c>
      <c r="P249">
        <f t="shared" ca="1" si="68"/>
        <v>0</v>
      </c>
      <c r="Q249">
        <f t="shared" ca="1" si="72"/>
        <v>0.43303708866567808</v>
      </c>
      <c r="R249">
        <f t="shared" ca="1" si="73"/>
        <v>0.59780845602886601</v>
      </c>
      <c r="S249">
        <f t="shared" ca="1" si="70"/>
        <v>0.72437431136766706</v>
      </c>
      <c r="T249">
        <f t="shared" ca="1" si="71"/>
        <v>42.007950744356549</v>
      </c>
      <c r="U249">
        <f>70</f>
        <v>70</v>
      </c>
      <c r="V249">
        <f>30</f>
        <v>30</v>
      </c>
      <c r="W249">
        <f t="shared" ca="1" si="69"/>
        <v>170.19875540199905</v>
      </c>
      <c r="X249">
        <f t="shared" ca="1" si="79"/>
        <v>171.06923644638007</v>
      </c>
      <c r="Y249">
        <f t="shared" ca="1" si="78"/>
        <v>-0.80909256603933954</v>
      </c>
      <c r="Z249">
        <f t="shared" ca="1" si="80"/>
        <v>-0.30435990045656958</v>
      </c>
      <c r="AA249">
        <f t="shared" ca="1" si="81"/>
        <v>-0.50473266558276997</v>
      </c>
      <c r="AB249">
        <f t="shared" ca="1" si="82"/>
        <v>170.99170000000007</v>
      </c>
    </row>
    <row r="250" spans="1:28" x14ac:dyDescent="0.25">
      <c r="A250" s="20">
        <f t="shared" ca="1" si="62"/>
        <v>45649</v>
      </c>
      <c r="B250" vm="731">
        <f ca="1"/>
        <v>45652</v>
      </c>
      <c r="C250" vm="475">
        <f ca="1"/>
        <v>170.16</v>
      </c>
      <c r="D250" vm="732">
        <f ca="1"/>
        <v>3629533</v>
      </c>
      <c r="E250">
        <f t="shared" ca="1" si="63"/>
        <v>617601335.27999997</v>
      </c>
      <c r="F250">
        <f ca="1">SUM($E$2:E250)/SUM($D$2:D250)</f>
        <v>164.98202141750474</v>
      </c>
      <c r="G250">
        <f ca="1">_xlfn.STDEV.P($C$2:C250)</f>
        <v>6.9025009603584904</v>
      </c>
      <c r="H250">
        <f t="shared" ca="1" si="64"/>
        <v>171.88452237786322</v>
      </c>
      <c r="I250">
        <f t="shared" ca="1" si="65"/>
        <v>158.07952045714626</v>
      </c>
      <c r="J250">
        <f t="shared" ca="1" si="74"/>
        <v>172.46599999999995</v>
      </c>
      <c r="K250">
        <f t="shared" ca="1" si="75"/>
        <v>3.7817239176695159</v>
      </c>
      <c r="L250">
        <f t="shared" ca="1" si="76"/>
        <v>180.02944783533897</v>
      </c>
      <c r="M250">
        <f t="shared" ca="1" si="77"/>
        <v>164.90255216466093</v>
      </c>
      <c r="N250">
        <f t="shared" ca="1" si="66"/>
        <v>1.2199999999999989</v>
      </c>
      <c r="O250">
        <f t="shared" ca="1" si="67"/>
        <v>1.2199999999999989</v>
      </c>
      <c r="P250">
        <f t="shared" ca="1" si="68"/>
        <v>0</v>
      </c>
      <c r="Q250">
        <f t="shared" ca="1" si="72"/>
        <v>0.48924872518955814</v>
      </c>
      <c r="R250">
        <f t="shared" ca="1" si="73"/>
        <v>0.55510785202680413</v>
      </c>
      <c r="S250">
        <f t="shared" ca="1" si="70"/>
        <v>0.88135796206668338</v>
      </c>
      <c r="T250">
        <f t="shared" ca="1" si="71"/>
        <v>46.846904195653771</v>
      </c>
      <c r="U250">
        <f>70</f>
        <v>70</v>
      </c>
      <c r="V250">
        <f>30</f>
        <v>30</v>
      </c>
      <c r="W250">
        <f t="shared" ca="1" si="69"/>
        <v>170.19279303246074</v>
      </c>
      <c r="X250">
        <f t="shared" ca="1" si="79"/>
        <v>171.00188559850008</v>
      </c>
      <c r="Y250">
        <f t="shared" ca="1" si="78"/>
        <v>-0.80203216202758654</v>
      </c>
      <c r="Z250">
        <f t="shared" ca="1" si="80"/>
        <v>-0.40389435277077301</v>
      </c>
      <c r="AA250">
        <f t="shared" ca="1" si="81"/>
        <v>-0.39813780925681352</v>
      </c>
      <c r="AB250">
        <f t="shared" ca="1" si="82"/>
        <v>171.01270000000005</v>
      </c>
    </row>
    <row r="251" spans="1:28" x14ac:dyDescent="0.25">
      <c r="A251" s="20">
        <f t="shared" ca="1" si="62"/>
        <v>45649</v>
      </c>
      <c r="B251" vm="733">
        <f ca="1"/>
        <v>45653</v>
      </c>
      <c r="C251" vm="734">
        <f ca="1"/>
        <v>169.53</v>
      </c>
      <c r="D251" vm="735">
        <f ca="1"/>
        <v>4367879</v>
      </c>
      <c r="E251">
        <f t="shared" ca="1" si="63"/>
        <v>740486526.87</v>
      </c>
      <c r="F251">
        <f ca="1">SUM($E$2:E251)/SUM($D$2:D251)</f>
        <v>164.99385196660049</v>
      </c>
      <c r="G251">
        <f ca="1">_xlfn.STDEV.P($C$2:C251)</f>
        <v>6.8941812916110647</v>
      </c>
      <c r="H251">
        <f t="shared" ca="1" si="64"/>
        <v>171.88803325821155</v>
      </c>
      <c r="I251">
        <f t="shared" ca="1" si="65"/>
        <v>158.09967067498943</v>
      </c>
      <c r="J251">
        <f t="shared" ca="1" si="74"/>
        <v>171.97449999999998</v>
      </c>
      <c r="K251">
        <f t="shared" ca="1" si="75"/>
        <v>3.4640157332206183</v>
      </c>
      <c r="L251">
        <f t="shared" ca="1" si="76"/>
        <v>178.90253146644122</v>
      </c>
      <c r="M251">
        <f t="shared" ca="1" si="77"/>
        <v>165.04646853355874</v>
      </c>
      <c r="N251">
        <f t="shared" ca="1" si="66"/>
        <v>-0.62999999999999545</v>
      </c>
      <c r="O251">
        <f t="shared" ca="1" si="67"/>
        <v>0</v>
      </c>
      <c r="P251">
        <f t="shared" ca="1" si="68"/>
        <v>0.62999999999999545</v>
      </c>
      <c r="Q251">
        <f t="shared" ca="1" si="72"/>
        <v>0.45430238767601827</v>
      </c>
      <c r="R251">
        <f t="shared" ca="1" si="73"/>
        <v>0.56045729116774634</v>
      </c>
      <c r="S251">
        <f t="shared" ca="1" si="70"/>
        <v>0.81059234099613908</v>
      </c>
      <c r="T251">
        <f t="shared" ca="1" si="71"/>
        <v>44.769455975394941</v>
      </c>
      <c r="U251">
        <f>70</f>
        <v>70</v>
      </c>
      <c r="V251">
        <f>30</f>
        <v>30</v>
      </c>
      <c r="W251">
        <f t="shared" ca="1" si="69"/>
        <v>170.09082487362062</v>
      </c>
      <c r="X251">
        <f t="shared" ca="1" si="79"/>
        <v>170.89285703564821</v>
      </c>
      <c r="Y251">
        <f t="shared" ca="1" si="78"/>
        <v>-0.98200441344826572</v>
      </c>
      <c r="Z251">
        <f t="shared" ca="1" si="80"/>
        <v>-0.51951636490627162</v>
      </c>
      <c r="AA251">
        <f t="shared" ca="1" si="81"/>
        <v>-0.4624880485419941</v>
      </c>
      <c r="AB251">
        <f t="shared" ca="1" si="82"/>
        <v>171.02710000000002</v>
      </c>
    </row>
    <row r="252" spans="1:28" x14ac:dyDescent="0.25">
      <c r="A252" s="20">
        <f t="shared" ca="1" si="62"/>
        <v>45656</v>
      </c>
      <c r="B252" vm="736">
        <f ca="1"/>
        <v>45656</v>
      </c>
      <c r="C252" vm="737">
        <f ca="1"/>
        <v>167.09</v>
      </c>
      <c r="D252" vm="738">
        <f ca="1"/>
        <v>4354543</v>
      </c>
      <c r="E252">
        <f t="shared" ca="1" si="63"/>
        <v>727600589.87</v>
      </c>
      <c r="F252">
        <f ca="1">SUM($E$2:E252)/SUM($D$2:D252)</f>
        <v>164.99927391790789</v>
      </c>
      <c r="G252">
        <f ca="1">_xlfn.STDEV.P($C$2:C252)</f>
        <v>6.8814797802254217</v>
      </c>
      <c r="H252">
        <f t="shared" ca="1" si="64"/>
        <v>171.8807536981333</v>
      </c>
      <c r="I252">
        <f t="shared" ca="1" si="65"/>
        <v>158.11779413768247</v>
      </c>
      <c r="J252">
        <f t="shared" ca="1" si="74"/>
        <v>171.36599999999999</v>
      </c>
      <c r="K252">
        <f t="shared" ca="1" si="75"/>
        <v>3.1736006447931602</v>
      </c>
      <c r="L252">
        <f t="shared" ca="1" si="76"/>
        <v>177.71320128958629</v>
      </c>
      <c r="M252">
        <f t="shared" ca="1" si="77"/>
        <v>165.01879871041368</v>
      </c>
      <c r="N252">
        <f t="shared" ca="1" si="66"/>
        <v>-2.4399999999999977</v>
      </c>
      <c r="O252">
        <f t="shared" ca="1" si="67"/>
        <v>0</v>
      </c>
      <c r="P252">
        <f t="shared" ca="1" si="68"/>
        <v>2.4399999999999977</v>
      </c>
      <c r="Q252">
        <f t="shared" ca="1" si="72"/>
        <v>0.42185221712773124</v>
      </c>
      <c r="R252">
        <f t="shared" ca="1" si="73"/>
        <v>0.69471034179862146</v>
      </c>
      <c r="S252">
        <f t="shared" ca="1" si="70"/>
        <v>0.60723468724468088</v>
      </c>
      <c r="T252">
        <f t="shared" ca="1" si="71"/>
        <v>37.781332873401155</v>
      </c>
      <c r="U252">
        <f>70</f>
        <v>70</v>
      </c>
      <c r="V252">
        <f>30</f>
        <v>30</v>
      </c>
      <c r="W252">
        <f t="shared" ca="1" si="69"/>
        <v>169.62915950844823</v>
      </c>
      <c r="X252">
        <f t="shared" ca="1" si="79"/>
        <v>170.61116392189649</v>
      </c>
      <c r="Y252">
        <f t="shared" ca="1" si="78"/>
        <v>-1.0671450159750293</v>
      </c>
      <c r="Z252">
        <f t="shared" ca="1" si="80"/>
        <v>-0.62904209512002318</v>
      </c>
      <c r="AA252">
        <f t="shared" ca="1" si="81"/>
        <v>-0.43810292085500613</v>
      </c>
      <c r="AB252">
        <f t="shared" ca="1" si="82"/>
        <v>170.99780000000001</v>
      </c>
    </row>
    <row r="253" spans="1:28" x14ac:dyDescent="0.25">
      <c r="A253" s="20">
        <f t="shared" ca="1" si="62"/>
        <v>45656</v>
      </c>
      <c r="B253" vm="739">
        <f ca="1"/>
        <v>45657</v>
      </c>
      <c r="C253" vm="740">
        <f ca="1"/>
        <v>167.65</v>
      </c>
      <c r="D253" vm="741">
        <f ca="1"/>
        <v>3957920</v>
      </c>
      <c r="E253">
        <f t="shared" ca="1" si="63"/>
        <v>663545288</v>
      </c>
      <c r="F253">
        <f ca="1">SUM($E$2:E253)/SUM($D$2:D253)</f>
        <v>165.00549123620712</v>
      </c>
      <c r="G253">
        <f ca="1">_xlfn.STDEV.P($C$2:C253)</f>
        <v>6.8695489637360874</v>
      </c>
      <c r="H253">
        <f t="shared" ca="1" si="64"/>
        <v>171.87504019994321</v>
      </c>
      <c r="I253">
        <f t="shared" ca="1" si="65"/>
        <v>158.13594227247103</v>
      </c>
      <c r="J253">
        <f t="shared" ca="1" si="74"/>
        <v>170.76349999999999</v>
      </c>
      <c r="K253">
        <f t="shared" ca="1" si="75"/>
        <v>2.6001624949221904</v>
      </c>
      <c r="L253">
        <f t="shared" ca="1" si="76"/>
        <v>175.96382498984437</v>
      </c>
      <c r="M253">
        <f t="shared" ca="1" si="77"/>
        <v>165.56317501015562</v>
      </c>
      <c r="N253">
        <f t="shared" ca="1" si="66"/>
        <v>0.56000000000000227</v>
      </c>
      <c r="O253">
        <f t="shared" ca="1" si="67"/>
        <v>0.56000000000000227</v>
      </c>
      <c r="P253">
        <f t="shared" ca="1" si="68"/>
        <v>0</v>
      </c>
      <c r="Q253">
        <f t="shared" ca="1" si="72"/>
        <v>0.43171991590432202</v>
      </c>
      <c r="R253">
        <f t="shared" ca="1" si="73"/>
        <v>0.64508817452729139</v>
      </c>
      <c r="S253">
        <f t="shared" ca="1" si="70"/>
        <v>0.66924171446900005</v>
      </c>
      <c r="T253">
        <f t="shared" ca="1" si="71"/>
        <v>40.09255871501459</v>
      </c>
      <c r="U253">
        <f>70</f>
        <v>70</v>
      </c>
      <c r="V253">
        <f>30</f>
        <v>30</v>
      </c>
      <c r="W253">
        <f t="shared" ca="1" si="69"/>
        <v>169.32467343022543</v>
      </c>
      <c r="X253">
        <f t="shared" ca="1" si="79"/>
        <v>170.39181844620046</v>
      </c>
      <c r="Y253">
        <f t="shared" ca="1" si="78"/>
        <v>-1.2549087927013716</v>
      </c>
      <c r="Z253">
        <f t="shared" ca="1" si="80"/>
        <v>-0.75421543463629281</v>
      </c>
      <c r="AA253">
        <f t="shared" ca="1" si="81"/>
        <v>-0.50069335806507875</v>
      </c>
      <c r="AB253">
        <f t="shared" ca="1" si="82"/>
        <v>170.96560000000005</v>
      </c>
    </row>
    <row r="254" spans="1:28" x14ac:dyDescent="0.25">
      <c r="A254" s="20">
        <f t="shared" ca="1" si="62"/>
        <v>45656</v>
      </c>
      <c r="B254" vm="742">
        <f ca="1"/>
        <v>45659</v>
      </c>
      <c r="C254" vm="743">
        <f ca="1"/>
        <v>165.98</v>
      </c>
      <c r="D254" vm="744">
        <f ca="1"/>
        <v>5401712</v>
      </c>
      <c r="E254">
        <f t="shared" ca="1" si="63"/>
        <v>896576157.75999999</v>
      </c>
      <c r="F254">
        <f ca="1">SUM($E$2:E254)/SUM($D$2:D254)</f>
        <v>165.0086008066724</v>
      </c>
      <c r="G254">
        <f ca="1">_xlfn.STDEV.P($C$2:C254)</f>
        <v>6.856132653058447</v>
      </c>
      <c r="H254">
        <f t="shared" ca="1" si="64"/>
        <v>171.86473345973084</v>
      </c>
      <c r="I254">
        <f t="shared" ca="1" si="65"/>
        <v>158.15246815361397</v>
      </c>
      <c r="J254">
        <f t="shared" ca="1" si="74"/>
        <v>170.29149999999998</v>
      </c>
      <c r="K254">
        <f t="shared" ca="1" si="75"/>
        <v>2.5669893793477625</v>
      </c>
      <c r="L254">
        <f t="shared" ca="1" si="76"/>
        <v>175.4254787586955</v>
      </c>
      <c r="M254">
        <f t="shared" ca="1" si="77"/>
        <v>165.15752124130447</v>
      </c>
      <c r="N254">
        <f t="shared" ca="1" si="66"/>
        <v>-1.6700000000000159</v>
      </c>
      <c r="O254">
        <f t="shared" ca="1" si="67"/>
        <v>0</v>
      </c>
      <c r="P254">
        <f t="shared" ca="1" si="68"/>
        <v>1.6700000000000159</v>
      </c>
      <c r="Q254">
        <f t="shared" ca="1" si="72"/>
        <v>0.40088277905401332</v>
      </c>
      <c r="R254">
        <f t="shared" ca="1" si="73"/>
        <v>0.7182961620610574</v>
      </c>
      <c r="S254">
        <f t="shared" ca="1" si="70"/>
        <v>0.5581023541929172</v>
      </c>
      <c r="T254">
        <f t="shared" ca="1" si="71"/>
        <v>35.81936402900881</v>
      </c>
      <c r="U254">
        <f>70</f>
        <v>70</v>
      </c>
      <c r="V254">
        <f>30</f>
        <v>30</v>
      </c>
      <c r="W254">
        <f t="shared" ca="1" si="69"/>
        <v>168.81010828711385</v>
      </c>
      <c r="X254">
        <f t="shared" ca="1" si="79"/>
        <v>170.06501707981522</v>
      </c>
      <c r="Y254">
        <f t="shared" ca="1" si="78"/>
        <v>-1.4555224776841271</v>
      </c>
      <c r="Z254">
        <f t="shared" ca="1" si="80"/>
        <v>-0.89447684324585963</v>
      </c>
      <c r="AA254">
        <f t="shared" ca="1" si="81"/>
        <v>-0.56104563443826749</v>
      </c>
      <c r="AB254">
        <f t="shared" ca="1" si="82"/>
        <v>170.92000000000007</v>
      </c>
    </row>
    <row r="255" spans="1:28" x14ac:dyDescent="0.25">
      <c r="A255" s="20">
        <f t="shared" ca="1" si="62"/>
        <v>45656</v>
      </c>
      <c r="B255" vm="745">
        <f ca="1"/>
        <v>45660</v>
      </c>
      <c r="C255" vm="746">
        <f ca="1"/>
        <v>165.13</v>
      </c>
      <c r="D255" vm="747">
        <f ca="1"/>
        <v>5256807</v>
      </c>
      <c r="E255">
        <f t="shared" ca="1" si="63"/>
        <v>868056539.90999997</v>
      </c>
      <c r="F255">
        <f ca="1">SUM($E$2:E255)/SUM($D$2:D255)</f>
        <v>165.00897662203678</v>
      </c>
      <c r="G255">
        <f ca="1">_xlfn.STDEV.P($C$2:C255)</f>
        <v>6.8426246795674102</v>
      </c>
      <c r="H255">
        <f t="shared" ca="1" si="64"/>
        <v>171.85160130160421</v>
      </c>
      <c r="I255">
        <f t="shared" ca="1" si="65"/>
        <v>158.16635194246936</v>
      </c>
      <c r="J255">
        <f t="shared" ca="1" si="74"/>
        <v>169.79250000000002</v>
      </c>
      <c r="K255">
        <f t="shared" ca="1" si="75"/>
        <v>2.5509789142704857</v>
      </c>
      <c r="L255">
        <f t="shared" ca="1" si="76"/>
        <v>174.89445782854099</v>
      </c>
      <c r="M255">
        <f t="shared" ca="1" si="77"/>
        <v>164.69054217145904</v>
      </c>
      <c r="N255">
        <f t="shared" ca="1" si="66"/>
        <v>-0.84999999999999432</v>
      </c>
      <c r="O255">
        <f t="shared" ca="1" si="67"/>
        <v>0</v>
      </c>
      <c r="P255">
        <f t="shared" ca="1" si="68"/>
        <v>0.84999999999999432</v>
      </c>
      <c r="Q255">
        <f t="shared" ca="1" si="72"/>
        <v>0.37224829483586952</v>
      </c>
      <c r="R255">
        <f t="shared" ca="1" si="73"/>
        <v>0.7277035790566958</v>
      </c>
      <c r="S255">
        <f t="shared" ca="1" si="70"/>
        <v>0.51153835922918756</v>
      </c>
      <c r="T255">
        <f t="shared" ca="1" si="71"/>
        <v>33.842234707827572</v>
      </c>
      <c r="U255">
        <f>70</f>
        <v>70</v>
      </c>
      <c r="V255">
        <f>30</f>
        <v>30</v>
      </c>
      <c r="W255">
        <f t="shared" ca="1" si="69"/>
        <v>168.24393778140404</v>
      </c>
      <c r="X255">
        <f t="shared" ca="1" si="79"/>
        <v>169.69946025908817</v>
      </c>
      <c r="Y255">
        <f t="shared" ca="1" si="78"/>
        <v>-1.9574788123266558</v>
      </c>
      <c r="Z255">
        <f t="shared" ca="1" si="80"/>
        <v>-1.107077237062019</v>
      </c>
      <c r="AA255">
        <f t="shared" ca="1" si="81"/>
        <v>-0.85040157526463678</v>
      </c>
      <c r="AB255">
        <f t="shared" ca="1" si="82"/>
        <v>170.90320000000008</v>
      </c>
    </row>
    <row r="256" spans="1:28" x14ac:dyDescent="0.25">
      <c r="A256" s="20">
        <f t="shared" ca="1" si="62"/>
        <v>45663</v>
      </c>
      <c r="B256" vm="748">
        <f ca="1"/>
        <v>45663</v>
      </c>
      <c r="C256" vm="749">
        <f ca="1"/>
        <v>160.6</v>
      </c>
      <c r="D256" vm="750">
        <f ca="1"/>
        <v>8731671</v>
      </c>
      <c r="E256">
        <f t="shared" ca="1" si="63"/>
        <v>1402306362.5999999</v>
      </c>
      <c r="F256">
        <f ca="1">SUM($E$2:E256)/SUM($D$2:D256)</f>
        <v>164.98642153917578</v>
      </c>
      <c r="G256">
        <f ca="1">_xlfn.STDEV.P($C$2:C256)</f>
        <v>6.8352588274881256</v>
      </c>
      <c r="H256">
        <f t="shared" ca="1" si="64"/>
        <v>171.82168036666391</v>
      </c>
      <c r="I256">
        <f t="shared" ca="1" si="65"/>
        <v>158.15116271168765</v>
      </c>
      <c r="J256">
        <f t="shared" ca="1" si="74"/>
        <v>169.02100000000002</v>
      </c>
      <c r="K256">
        <f t="shared" ca="1" si="75"/>
        <v>2.8776249344134293</v>
      </c>
      <c r="L256">
        <f t="shared" ca="1" si="76"/>
        <v>174.77624986882688</v>
      </c>
      <c r="M256">
        <f t="shared" ca="1" si="77"/>
        <v>163.26575013117315</v>
      </c>
      <c r="N256">
        <f t="shared" ca="1" si="66"/>
        <v>-4.5300000000000011</v>
      </c>
      <c r="O256">
        <f t="shared" ca="1" si="67"/>
        <v>0</v>
      </c>
      <c r="P256">
        <f t="shared" ca="1" si="68"/>
        <v>4.5300000000000011</v>
      </c>
      <c r="Q256">
        <f t="shared" ca="1" si="72"/>
        <v>0.34565913091902173</v>
      </c>
      <c r="R256">
        <f t="shared" ca="1" si="73"/>
        <v>0.99929618055264613</v>
      </c>
      <c r="S256">
        <f t="shared" ca="1" si="70"/>
        <v>0.34590258388444955</v>
      </c>
      <c r="T256">
        <f t="shared" ca="1" si="71"/>
        <v>25.700417550736091</v>
      </c>
      <c r="U256">
        <f>70</f>
        <v>70</v>
      </c>
      <c r="V256">
        <f>30</f>
        <v>30</v>
      </c>
      <c r="W256">
        <f t="shared" ca="1" si="69"/>
        <v>167.06794735349573</v>
      </c>
      <c r="X256">
        <f t="shared" ca="1" si="79"/>
        <v>169.02542616582238</v>
      </c>
      <c r="Y256">
        <f t="shared" ca="1" si="78"/>
        <v>-2.2726015381881268</v>
      </c>
      <c r="Z256">
        <f t="shared" ca="1" si="80"/>
        <v>-1.3401820972872407</v>
      </c>
      <c r="AA256">
        <f t="shared" ca="1" si="81"/>
        <v>-0.93241944090088613</v>
      </c>
      <c r="AB256">
        <f t="shared" ca="1" si="82"/>
        <v>170.83630000000005</v>
      </c>
    </row>
    <row r="257" spans="1:28" x14ac:dyDescent="0.25">
      <c r="A257" s="20">
        <f t="shared" ca="1" si="62"/>
        <v>45663</v>
      </c>
      <c r="B257" vm="751">
        <f ca="1"/>
        <v>45664</v>
      </c>
      <c r="C257" vm="752">
        <f ca="1"/>
        <v>161.30000000000001</v>
      </c>
      <c r="D257" vm="753">
        <f ca="1"/>
        <v>8447744</v>
      </c>
      <c r="E257">
        <f t="shared" ca="1" si="63"/>
        <v>1362621107.2</v>
      </c>
      <c r="F257">
        <f ca="1">SUM($E$2:E257)/SUM($D$2:D257)</f>
        <v>164.96826593005679</v>
      </c>
      <c r="G257">
        <f ca="1">_xlfn.STDEV.P($C$2:C257)</f>
        <v>6.8262047638692689</v>
      </c>
      <c r="H257">
        <f t="shared" ca="1" si="64"/>
        <v>171.79447069392606</v>
      </c>
      <c r="I257">
        <f t="shared" ca="1" si="65"/>
        <v>158.14206116618752</v>
      </c>
      <c r="J257">
        <f t="shared" ca="1" si="74"/>
        <v>168.39500000000004</v>
      </c>
      <c r="K257">
        <f t="shared" ca="1" si="75"/>
        <v>3.1294837307537846</v>
      </c>
      <c r="L257">
        <f t="shared" ca="1" si="76"/>
        <v>174.65396746150762</v>
      </c>
      <c r="M257">
        <f t="shared" ca="1" si="77"/>
        <v>162.13603253849246</v>
      </c>
      <c r="N257">
        <f t="shared" ca="1" si="66"/>
        <v>0.70000000000001705</v>
      </c>
      <c r="O257">
        <f t="shared" ca="1" si="67"/>
        <v>0.70000000000001705</v>
      </c>
      <c r="P257">
        <f t="shared" ca="1" si="68"/>
        <v>0</v>
      </c>
      <c r="Q257">
        <f t="shared" ca="1" si="72"/>
        <v>0.37096919299623565</v>
      </c>
      <c r="R257">
        <f t="shared" ca="1" si="73"/>
        <v>0.92791788194174285</v>
      </c>
      <c r="S257">
        <f t="shared" ca="1" si="70"/>
        <v>0.39978666239296173</v>
      </c>
      <c r="T257">
        <f t="shared" ca="1" si="71"/>
        <v>28.560542340753472</v>
      </c>
      <c r="U257">
        <f>70</f>
        <v>70</v>
      </c>
      <c r="V257">
        <f>30</f>
        <v>30</v>
      </c>
      <c r="W257">
        <f t="shared" ca="1" si="69"/>
        <v>166.18057083757333</v>
      </c>
      <c r="X257">
        <f t="shared" ca="1" si="79"/>
        <v>168.45317237576145</v>
      </c>
      <c r="Y257">
        <f t="shared" ca="1" si="78"/>
        <v>-2.429776305878022</v>
      </c>
      <c r="Z257">
        <f t="shared" ca="1" si="80"/>
        <v>-1.558100939005397</v>
      </c>
      <c r="AA257">
        <f t="shared" ca="1" si="81"/>
        <v>-0.87167536687262492</v>
      </c>
      <c r="AB257">
        <f t="shared" ca="1" si="82"/>
        <v>170.76130000000001</v>
      </c>
    </row>
    <row r="258" spans="1:28" x14ac:dyDescent="0.25">
      <c r="A258" s="20">
        <f t="shared" ca="1" si="62"/>
        <v>45663</v>
      </c>
      <c r="B258" vm="754">
        <f ca="1"/>
        <v>45665</v>
      </c>
      <c r="C258" vm="755">
        <f ca="1"/>
        <v>162.1</v>
      </c>
      <c r="D258" vm="756">
        <f ca="1"/>
        <v>4974783</v>
      </c>
      <c r="E258">
        <f t="shared" ca="1" si="63"/>
        <v>806412324.29999995</v>
      </c>
      <c r="F258">
        <f ca="1">SUM($E$2:E258)/SUM($D$2:D258)</f>
        <v>164.95997122610973</v>
      </c>
      <c r="G258">
        <f ca="1">_xlfn.STDEV.P($C$2:C258)</f>
        <v>6.8155961854691576</v>
      </c>
      <c r="H258">
        <f t="shared" ca="1" si="64"/>
        <v>171.77556741157889</v>
      </c>
      <c r="I258">
        <f t="shared" ca="1" si="65"/>
        <v>158.14437504064057</v>
      </c>
      <c r="J258">
        <f t="shared" ca="1" si="74"/>
        <v>167.96050000000002</v>
      </c>
      <c r="K258">
        <f t="shared" ca="1" si="75"/>
        <v>3.3732297111537672</v>
      </c>
      <c r="L258">
        <f t="shared" ca="1" si="76"/>
        <v>174.70695942230756</v>
      </c>
      <c r="M258">
        <f t="shared" ca="1" si="77"/>
        <v>161.21404057769249</v>
      </c>
      <c r="N258">
        <f t="shared" ca="1" si="66"/>
        <v>0.79999999999998295</v>
      </c>
      <c r="O258">
        <f t="shared" ca="1" si="67"/>
        <v>0.79999999999998295</v>
      </c>
      <c r="P258">
        <f t="shared" ca="1" si="68"/>
        <v>0</v>
      </c>
      <c r="Q258">
        <f t="shared" ca="1" si="72"/>
        <v>0.40161425063936046</v>
      </c>
      <c r="R258">
        <f t="shared" ca="1" si="73"/>
        <v>0.86163803323161836</v>
      </c>
      <c r="S258">
        <f t="shared" ca="1" si="70"/>
        <v>0.46610552824958906</v>
      </c>
      <c r="T258">
        <f t="shared" ca="1" si="71"/>
        <v>31.792085853879925</v>
      </c>
      <c r="U258">
        <f>70</f>
        <v>70</v>
      </c>
      <c r="V258">
        <f>30</f>
        <v>30</v>
      </c>
      <c r="W258">
        <f t="shared" ca="1" si="69"/>
        <v>165.55279070871592</v>
      </c>
      <c r="X258">
        <f t="shared" ca="1" si="79"/>
        <v>167.98256701459394</v>
      </c>
      <c r="Y258">
        <f t="shared" ca="1" si="78"/>
        <v>-2.8076223340581521</v>
      </c>
      <c r="Z258">
        <f t="shared" ca="1" si="80"/>
        <v>-1.808005218015948</v>
      </c>
      <c r="AA258">
        <f t="shared" ca="1" si="81"/>
        <v>-0.99961711604220405</v>
      </c>
      <c r="AB258">
        <f t="shared" ca="1" si="82"/>
        <v>170.70310000000001</v>
      </c>
    </row>
    <row r="259" spans="1:28" x14ac:dyDescent="0.25">
      <c r="A259" s="20">
        <f t="shared" ref="A259:A322" ca="1" si="83">B259 - WEEKDAY(B259, 2) + 1</f>
        <v>45663</v>
      </c>
      <c r="B259" vm="757">
        <f ca="1"/>
        <v>45667</v>
      </c>
      <c r="C259" vm="758">
        <f ca="1"/>
        <v>158.56</v>
      </c>
      <c r="D259" vm="759">
        <f ca="1"/>
        <v>8501525</v>
      </c>
      <c r="E259">
        <f t="shared" ref="E259:E322" ca="1" si="84">C259*D259</f>
        <v>1348001804</v>
      </c>
      <c r="F259">
        <f ca="1">SUM($E$2:E259)/SUM($D$2:D259)</f>
        <v>164.92849800539216</v>
      </c>
      <c r="G259">
        <f ca="1">_xlfn.STDEV.P($C$2:C259)</f>
        <v>6.8147280225812032</v>
      </c>
      <c r="H259">
        <f t="shared" ref="H259:H322" ca="1" si="85">F259 + G259</f>
        <v>171.74322602797335</v>
      </c>
      <c r="I259">
        <f t="shared" ref="I259:I322" ca="1" si="86">F259 - G259</f>
        <v>158.11376998281096</v>
      </c>
      <c r="J259">
        <f t="shared" ca="1" si="74"/>
        <v>167.27450000000002</v>
      </c>
      <c r="K259">
        <f t="shared" ca="1" si="75"/>
        <v>3.8147518026458118</v>
      </c>
      <c r="L259">
        <f t="shared" ca="1" si="76"/>
        <v>174.90400360529165</v>
      </c>
      <c r="M259">
        <f t="shared" ca="1" si="77"/>
        <v>159.64499639470839</v>
      </c>
      <c r="N259">
        <f t="shared" ca="1" si="66"/>
        <v>-3.539999999999992</v>
      </c>
      <c r="O259">
        <f t="shared" ca="1" si="67"/>
        <v>0</v>
      </c>
      <c r="P259">
        <f t="shared" ca="1" si="68"/>
        <v>3.539999999999992</v>
      </c>
      <c r="Q259">
        <f t="shared" ca="1" si="72"/>
        <v>0.37292751845083466</v>
      </c>
      <c r="R259">
        <f t="shared" ca="1" si="73"/>
        <v>1.0529496022865021</v>
      </c>
      <c r="S259">
        <f t="shared" ca="1" si="70"/>
        <v>0.35417413866818959</v>
      </c>
      <c r="T259">
        <f t="shared" ca="1" si="71"/>
        <v>26.154253618852493</v>
      </c>
      <c r="U259">
        <f>70</f>
        <v>70</v>
      </c>
      <c r="V259">
        <f>30</f>
        <v>30</v>
      </c>
      <c r="W259">
        <f t="shared" ca="1" si="69"/>
        <v>164.47697675352885</v>
      </c>
      <c r="X259">
        <f t="shared" ca="1" si="79"/>
        <v>167.284599087587</v>
      </c>
      <c r="Y259">
        <f t="shared" ca="1" si="78"/>
        <v>-3.0493236685689453</v>
      </c>
      <c r="Z259">
        <f t="shared" ca="1" si="80"/>
        <v>-2.0562689081265475</v>
      </c>
      <c r="AA259">
        <f t="shared" ca="1" si="81"/>
        <v>-0.99305476044239782</v>
      </c>
      <c r="AB259">
        <f t="shared" ca="1" si="82"/>
        <v>170.60980000000001</v>
      </c>
    </row>
    <row r="260" spans="1:28" x14ac:dyDescent="0.25">
      <c r="A260" s="20">
        <f t="shared" ca="1" si="83"/>
        <v>45670</v>
      </c>
      <c r="B260" vm="760">
        <f ca="1"/>
        <v>45670</v>
      </c>
      <c r="C260" vm="761">
        <f ca="1"/>
        <v>158.84</v>
      </c>
      <c r="D260" vm="762">
        <f ca="1"/>
        <v>6772198</v>
      </c>
      <c r="E260">
        <f t="shared" ca="1" si="84"/>
        <v>1075695930.3199999</v>
      </c>
      <c r="F260">
        <f ca="1">SUM($E$2:E260)/SUM($D$2:D260)</f>
        <v>164.90474009877124</v>
      </c>
      <c r="G260">
        <f ca="1">_xlfn.STDEV.P($C$2:C260)</f>
        <v>6.8127543799675774</v>
      </c>
      <c r="H260">
        <f t="shared" ca="1" si="85"/>
        <v>171.71749447873881</v>
      </c>
      <c r="I260">
        <f t="shared" ca="1" si="86"/>
        <v>158.09198571880367</v>
      </c>
      <c r="J260">
        <f t="shared" ca="1" si="74"/>
        <v>166.685</v>
      </c>
      <c r="K260">
        <f t="shared" ca="1" si="75"/>
        <v>4.1639145296855355</v>
      </c>
      <c r="L260">
        <f t="shared" ca="1" si="76"/>
        <v>175.01282905937109</v>
      </c>
      <c r="M260">
        <f t="shared" ca="1" si="77"/>
        <v>158.35717094062892</v>
      </c>
      <c r="N260">
        <f t="shared" ref="N260:N323" ca="1" si="87">C260-C259</f>
        <v>0.28000000000000114</v>
      </c>
      <c r="O260">
        <f t="shared" ref="O260:O323" ca="1" si="88">MAX(N260,0)</f>
        <v>0.28000000000000114</v>
      </c>
      <c r="P260">
        <f t="shared" ref="P260:P323" ca="1" si="89">MAX(-N260,0)</f>
        <v>0</v>
      </c>
      <c r="Q260">
        <f t="shared" ca="1" si="72"/>
        <v>0.36628983856148939</v>
      </c>
      <c r="R260">
        <f t="shared" ca="1" si="73"/>
        <v>0.97773891640889488</v>
      </c>
      <c r="S260">
        <f t="shared" ca="1" si="70"/>
        <v>0.37462949711240223</v>
      </c>
      <c r="T260">
        <f t="shared" ca="1" si="71"/>
        <v>27.253125143856067</v>
      </c>
      <c r="U260">
        <f>70</f>
        <v>70</v>
      </c>
      <c r="V260">
        <f>30</f>
        <v>30</v>
      </c>
      <c r="W260">
        <f t="shared" ca="1" si="69"/>
        <v>163.60974956067827</v>
      </c>
      <c r="X260">
        <f t="shared" ca="1" si="79"/>
        <v>166.65907322924721</v>
      </c>
      <c r="Y260">
        <f t="shared" ca="1" si="78"/>
        <v>-3.1321458119199406</v>
      </c>
      <c r="Z260">
        <f t="shared" ca="1" si="80"/>
        <v>-2.2714442888852262</v>
      </c>
      <c r="AA260">
        <f t="shared" ca="1" si="81"/>
        <v>-0.86070152303471437</v>
      </c>
      <c r="AB260">
        <f t="shared" ca="1" si="82"/>
        <v>170.51399999999998</v>
      </c>
    </row>
    <row r="261" spans="1:28" x14ac:dyDescent="0.25">
      <c r="A261" s="20">
        <f t="shared" ca="1" si="83"/>
        <v>45670</v>
      </c>
      <c r="B261" vm="763">
        <f ca="1"/>
        <v>45671</v>
      </c>
      <c r="C261" vm="764">
        <f ca="1"/>
        <v>159.74</v>
      </c>
      <c r="D261" vm="765">
        <f ca="1"/>
        <v>5982254</v>
      </c>
      <c r="E261">
        <f t="shared" ca="1" si="84"/>
        <v>955605253.96000004</v>
      </c>
      <c r="F261">
        <f ca="1">SUM($E$2:E261)/SUM($D$2:D261)</f>
        <v>164.88699872420278</v>
      </c>
      <c r="G261">
        <f ca="1">_xlfn.STDEV.P($C$2:C261)</f>
        <v>6.8077619722641529</v>
      </c>
      <c r="H261">
        <f t="shared" ca="1" si="85"/>
        <v>171.69476069646694</v>
      </c>
      <c r="I261">
        <f t="shared" ca="1" si="86"/>
        <v>158.07923675193862</v>
      </c>
      <c r="J261">
        <f t="shared" ca="1" si="74"/>
        <v>166.12950000000001</v>
      </c>
      <c r="K261">
        <f t="shared" ca="1" si="75"/>
        <v>4.3172828626104023</v>
      </c>
      <c r="L261">
        <f t="shared" ca="1" si="76"/>
        <v>174.7640657252208</v>
      </c>
      <c r="M261">
        <f t="shared" ca="1" si="77"/>
        <v>157.49493427477921</v>
      </c>
      <c r="N261">
        <f t="shared" ca="1" si="87"/>
        <v>0.90000000000000568</v>
      </c>
      <c r="O261">
        <f t="shared" ca="1" si="88"/>
        <v>0.90000000000000568</v>
      </c>
      <c r="P261">
        <f t="shared" ca="1" si="89"/>
        <v>0</v>
      </c>
      <c r="Q261">
        <f t="shared" ca="1" si="72"/>
        <v>0.40441199294995483</v>
      </c>
      <c r="R261">
        <f t="shared" ca="1" si="73"/>
        <v>0.90790042237968815</v>
      </c>
      <c r="S261">
        <f t="shared" ca="1" si="70"/>
        <v>0.44543650711160027</v>
      </c>
      <c r="T261">
        <f t="shared" ca="1" si="71"/>
        <v>30.816746700393708</v>
      </c>
      <c r="U261">
        <f>70</f>
        <v>70</v>
      </c>
      <c r="V261">
        <f>30</f>
        <v>30</v>
      </c>
      <c r="W261">
        <f t="shared" ca="1" si="69"/>
        <v>163.01440347442008</v>
      </c>
      <c r="X261">
        <f t="shared" ca="1" si="79"/>
        <v>166.14654928634002</v>
      </c>
      <c r="Y261">
        <f t="shared" ca="1" si="78"/>
        <v>-3.168520473383893</v>
      </c>
      <c r="Z261">
        <f t="shared" ca="1" si="80"/>
        <v>-2.4508595257849599</v>
      </c>
      <c r="AA261">
        <f t="shared" ca="1" si="81"/>
        <v>-0.71766094759893306</v>
      </c>
      <c r="AB261">
        <f t="shared" ca="1" si="82"/>
        <v>170.40730000000002</v>
      </c>
    </row>
    <row r="262" spans="1:28" x14ac:dyDescent="0.25">
      <c r="A262" s="20">
        <f t="shared" ca="1" si="83"/>
        <v>45670</v>
      </c>
      <c r="B262" vm="766">
        <f ca="1"/>
        <v>45672</v>
      </c>
      <c r="C262" vm="767">
        <f ca="1"/>
        <v>159.65</v>
      </c>
      <c r="D262" vm="768">
        <f ca="1"/>
        <v>8059231</v>
      </c>
      <c r="E262">
        <f t="shared" ca="1" si="84"/>
        <v>1286656229.1500001</v>
      </c>
      <c r="F262">
        <f ca="1">SUM($E$2:E262)/SUM($D$2:D262)</f>
        <v>164.86287497207678</v>
      </c>
      <c r="G262">
        <f ca="1">_xlfn.STDEV.P($C$2:C262)</f>
        <v>6.8030146142668508</v>
      </c>
      <c r="H262">
        <f t="shared" ca="1" si="85"/>
        <v>171.66588958634364</v>
      </c>
      <c r="I262">
        <f t="shared" ca="1" si="86"/>
        <v>158.05986035780992</v>
      </c>
      <c r="J262">
        <f t="shared" ca="1" si="74"/>
        <v>165.559</v>
      </c>
      <c r="K262">
        <f t="shared" ca="1" si="75"/>
        <v>4.3848085837114326</v>
      </c>
      <c r="L262">
        <f t="shared" ca="1" si="76"/>
        <v>174.32861716742286</v>
      </c>
      <c r="M262">
        <f t="shared" ca="1" si="77"/>
        <v>156.78938283257713</v>
      </c>
      <c r="N262">
        <f t="shared" ca="1" si="87"/>
        <v>-9.0000000000003411E-2</v>
      </c>
      <c r="O262">
        <f t="shared" ca="1" si="88"/>
        <v>0</v>
      </c>
      <c r="P262">
        <f t="shared" ca="1" si="89"/>
        <v>9.0000000000003411E-2</v>
      </c>
      <c r="Q262">
        <f t="shared" ca="1" si="72"/>
        <v>0.37552542202495809</v>
      </c>
      <c r="R262">
        <f t="shared" ca="1" si="73"/>
        <v>0.84947896363828213</v>
      </c>
      <c r="S262">
        <f t="shared" ca="1" si="70"/>
        <v>0.44206559326272044</v>
      </c>
      <c r="T262">
        <f t="shared" ca="1" si="71"/>
        <v>30.655026742752568</v>
      </c>
      <c r="U262">
        <f>70</f>
        <v>70</v>
      </c>
      <c r="V262">
        <f>30</f>
        <v>30</v>
      </c>
      <c r="W262">
        <f t="shared" ca="1" si="69"/>
        <v>162.49680293989391</v>
      </c>
      <c r="X262">
        <f t="shared" ca="1" si="79"/>
        <v>165.6653234132778</v>
      </c>
      <c r="Y262">
        <f t="shared" ca="1" si="78"/>
        <v>-3.0931043765435788</v>
      </c>
      <c r="Z262">
        <f t="shared" ca="1" si="80"/>
        <v>-2.5793084959366839</v>
      </c>
      <c r="AA262">
        <f t="shared" ca="1" si="81"/>
        <v>-0.51379588060689496</v>
      </c>
      <c r="AB262">
        <f t="shared" ca="1" si="82"/>
        <v>170.30220000000006</v>
      </c>
    </row>
    <row r="263" spans="1:28" x14ac:dyDescent="0.25">
      <c r="A263" s="20">
        <f t="shared" ca="1" si="83"/>
        <v>45670</v>
      </c>
      <c r="B263" vm="769">
        <f ca="1"/>
        <v>45673</v>
      </c>
      <c r="C263" vm="770">
        <f ca="1"/>
        <v>160.5</v>
      </c>
      <c r="D263" vm="771">
        <f ca="1"/>
        <v>5774429</v>
      </c>
      <c r="E263">
        <f t="shared" ca="1" si="84"/>
        <v>926795854.5</v>
      </c>
      <c r="F263">
        <f ca="1">SUM($E$2:E263)/SUM($D$2:D263)</f>
        <v>164.84852273577613</v>
      </c>
      <c r="G263">
        <f ca="1">_xlfn.STDEV.P($C$2:C263)</f>
        <v>6.7958623628815404</v>
      </c>
      <c r="H263">
        <f t="shared" ca="1" si="85"/>
        <v>171.64438509865766</v>
      </c>
      <c r="I263">
        <f t="shared" ca="1" si="86"/>
        <v>158.05266037289459</v>
      </c>
      <c r="J263">
        <f t="shared" ca="1" si="74"/>
        <v>165.02700000000002</v>
      </c>
      <c r="K263">
        <f t="shared" ca="1" si="75"/>
        <v>4.3169788412487593</v>
      </c>
      <c r="L263">
        <f t="shared" ca="1" si="76"/>
        <v>173.66095768249752</v>
      </c>
      <c r="M263">
        <f t="shared" ca="1" si="77"/>
        <v>156.39304231750251</v>
      </c>
      <c r="N263">
        <f t="shared" ca="1" si="87"/>
        <v>0.84999999999999432</v>
      </c>
      <c r="O263">
        <f t="shared" ca="1" si="88"/>
        <v>0.84999999999999432</v>
      </c>
      <c r="P263">
        <f t="shared" ca="1" si="89"/>
        <v>0</v>
      </c>
      <c r="Q263">
        <f t="shared" ca="1" si="72"/>
        <v>0.40941646330888926</v>
      </c>
      <c r="R263">
        <f t="shared" ca="1" si="73"/>
        <v>0.78880189480697627</v>
      </c>
      <c r="S263">
        <f t="shared" ca="1" si="70"/>
        <v>0.51903585171923994</v>
      </c>
      <c r="T263">
        <f t="shared" ca="1" si="71"/>
        <v>34.168769034107839</v>
      </c>
      <c r="U263">
        <f>70</f>
        <v>70</v>
      </c>
      <c r="V263">
        <f>30</f>
        <v>30</v>
      </c>
      <c r="W263">
        <f t="shared" ca="1" si="69"/>
        <v>162.18960248760254</v>
      </c>
      <c r="X263">
        <f t="shared" ca="1" si="79"/>
        <v>165.28270686414612</v>
      </c>
      <c r="Y263">
        <f t="shared" ca="1" si="78"/>
        <v>-2.9485122280044038</v>
      </c>
      <c r="Z263">
        <f t="shared" ca="1" si="80"/>
        <v>-2.6531492423502279</v>
      </c>
      <c r="AA263">
        <f t="shared" ca="1" si="81"/>
        <v>-0.29536298565417596</v>
      </c>
      <c r="AB263">
        <f t="shared" ca="1" si="82"/>
        <v>170.20570000000004</v>
      </c>
    </row>
    <row r="264" spans="1:28" x14ac:dyDescent="0.25">
      <c r="A264" s="20">
        <f t="shared" ca="1" si="83"/>
        <v>45670</v>
      </c>
      <c r="B264" vm="772">
        <f ca="1"/>
        <v>45674</v>
      </c>
      <c r="C264" vm="773">
        <f ca="1"/>
        <v>161.13</v>
      </c>
      <c r="D264" vm="774">
        <f ca="1"/>
        <v>7262739</v>
      </c>
      <c r="E264">
        <f t="shared" ca="1" si="84"/>
        <v>1170245135.0699999</v>
      </c>
      <c r="F264">
        <f ca="1">SUM($E$2:E264)/SUM($D$2:D264)</f>
        <v>164.83320073591051</v>
      </c>
      <c r="G264">
        <f ca="1">_xlfn.STDEV.P($C$2:C264)</f>
        <v>6.7872233030020253</v>
      </c>
      <c r="H264">
        <f t="shared" ca="1" si="85"/>
        <v>171.62042403891255</v>
      </c>
      <c r="I264">
        <f t="shared" ca="1" si="86"/>
        <v>158.04597743290847</v>
      </c>
      <c r="J264">
        <f t="shared" ca="1" si="74"/>
        <v>164.56700000000004</v>
      </c>
      <c r="K264">
        <f t="shared" ca="1" si="75"/>
        <v>4.2110295028275697</v>
      </c>
      <c r="L264">
        <f t="shared" ca="1" si="76"/>
        <v>172.98905900565518</v>
      </c>
      <c r="M264">
        <f t="shared" ca="1" si="77"/>
        <v>156.14494099434489</v>
      </c>
      <c r="N264">
        <f t="shared" ca="1" si="87"/>
        <v>0.62999999999999545</v>
      </c>
      <c r="O264">
        <f t="shared" ca="1" si="88"/>
        <v>0.62999999999999545</v>
      </c>
      <c r="P264">
        <f t="shared" ca="1" si="89"/>
        <v>0</v>
      </c>
      <c r="Q264">
        <f t="shared" ca="1" si="72"/>
        <v>0.42517243021539686</v>
      </c>
      <c r="R264">
        <f t="shared" ca="1" si="73"/>
        <v>0.73245890232076361</v>
      </c>
      <c r="S264">
        <f t="shared" ca="1" si="70"/>
        <v>0.58047274579946651</v>
      </c>
      <c r="T264">
        <f t="shared" ca="1" si="71"/>
        <v>36.727792196494988</v>
      </c>
      <c r="U264">
        <f>70</f>
        <v>70</v>
      </c>
      <c r="V264">
        <f>30</f>
        <v>30</v>
      </c>
      <c r="W264">
        <f t="shared" ca="1" si="69"/>
        <v>162.02658672027906</v>
      </c>
      <c r="X264">
        <f t="shared" ca="1" si="79"/>
        <v>164.97509894828346</v>
      </c>
      <c r="Y264">
        <f t="shared" ca="1" si="78"/>
        <v>-2.7545609751260827</v>
      </c>
      <c r="Z264">
        <f t="shared" ca="1" si="80"/>
        <v>-2.673431588905399</v>
      </c>
      <c r="AA264">
        <f t="shared" ca="1" si="81"/>
        <v>-8.1129386220683664E-2</v>
      </c>
      <c r="AB264">
        <f t="shared" ca="1" si="82"/>
        <v>170.12530000000004</v>
      </c>
    </row>
    <row r="265" spans="1:28" x14ac:dyDescent="0.25">
      <c r="A265" s="20">
        <f t="shared" ca="1" si="83"/>
        <v>45677</v>
      </c>
      <c r="B265" vm="775">
        <f ca="1"/>
        <v>45678</v>
      </c>
      <c r="C265" vm="776">
        <f ca="1"/>
        <v>161.72</v>
      </c>
      <c r="D265" vm="777">
        <f ca="1"/>
        <v>13914694</v>
      </c>
      <c r="E265">
        <f t="shared" ca="1" si="84"/>
        <v>2250284313.6799998</v>
      </c>
      <c r="F265">
        <f ca="1">SUM($E$2:E265)/SUM($D$2:D265)</f>
        <v>164.80881643353669</v>
      </c>
      <c r="G265">
        <f ca="1">_xlfn.STDEV.P($C$2:C265)</f>
        <v>6.7774199740624725</v>
      </c>
      <c r="H265">
        <f t="shared" ca="1" si="85"/>
        <v>171.58623640759916</v>
      </c>
      <c r="I265">
        <f t="shared" ca="1" si="86"/>
        <v>158.03139645947422</v>
      </c>
      <c r="J265">
        <f t="shared" ca="1" si="74"/>
        <v>164.19900000000001</v>
      </c>
      <c r="K265">
        <f t="shared" ca="1" si="75"/>
        <v>4.1164137432069623</v>
      </c>
      <c r="L265">
        <f t="shared" ca="1" si="76"/>
        <v>172.43182748641394</v>
      </c>
      <c r="M265">
        <f t="shared" ca="1" si="77"/>
        <v>155.96617251358609</v>
      </c>
      <c r="N265">
        <f t="shared" ca="1" si="87"/>
        <v>0.59000000000000341</v>
      </c>
      <c r="O265">
        <f t="shared" ca="1" si="88"/>
        <v>0.59000000000000341</v>
      </c>
      <c r="P265">
        <f t="shared" ca="1" si="89"/>
        <v>0</v>
      </c>
      <c r="Q265">
        <f t="shared" ca="1" si="72"/>
        <v>0.43694582805715448</v>
      </c>
      <c r="R265">
        <f t="shared" ca="1" si="73"/>
        <v>0.68014040929785191</v>
      </c>
      <c r="S265">
        <f t="shared" ca="1" si="70"/>
        <v>0.64243474153849911</v>
      </c>
      <c r="T265">
        <f t="shared" ca="1" si="71"/>
        <v>39.114780349611863</v>
      </c>
      <c r="U265">
        <f>70</f>
        <v>70</v>
      </c>
      <c r="V265">
        <f>30</f>
        <v>30</v>
      </c>
      <c r="W265">
        <f t="shared" ca="1" si="69"/>
        <v>161.9794195325438</v>
      </c>
      <c r="X265">
        <f t="shared" ca="1" si="79"/>
        <v>164.73398050766988</v>
      </c>
      <c r="Y265">
        <f t="shared" ca="1" si="78"/>
        <v>-2.3303021761458922</v>
      </c>
      <c r="Z265">
        <f t="shared" ca="1" si="80"/>
        <v>-2.6048057063534977</v>
      </c>
      <c r="AA265">
        <f t="shared" ca="1" si="81"/>
        <v>0.27450353020760554</v>
      </c>
      <c r="AB265">
        <f t="shared" ca="1" si="82"/>
        <v>170.03900000000004</v>
      </c>
    </row>
    <row r="266" spans="1:28" x14ac:dyDescent="0.25">
      <c r="A266" s="20">
        <f t="shared" ca="1" si="83"/>
        <v>45677</v>
      </c>
      <c r="B266" vm="778">
        <f ca="1"/>
        <v>45679</v>
      </c>
      <c r="C266" vm="779">
        <f ca="1"/>
        <v>164.74</v>
      </c>
      <c r="D266" vm="780">
        <f ca="1"/>
        <v>14356691</v>
      </c>
      <c r="E266">
        <f t="shared" ca="1" si="84"/>
        <v>2365121275.3400002</v>
      </c>
      <c r="F266">
        <f ca="1">SUM($E$2:E266)/SUM($D$2:D266)</f>
        <v>164.80826476211743</v>
      </c>
      <c r="G266">
        <f ca="1">_xlfn.STDEV.P($C$2:C266)</f>
        <v>6.7646427645729412</v>
      </c>
      <c r="H266">
        <f t="shared" ca="1" si="85"/>
        <v>171.57290752669039</v>
      </c>
      <c r="I266">
        <f t="shared" ca="1" si="86"/>
        <v>158.04362199754448</v>
      </c>
      <c r="J266">
        <f t="shared" ca="1" si="74"/>
        <v>163.97649999999999</v>
      </c>
      <c r="K266">
        <f t="shared" ca="1" si="75"/>
        <v>3.949316096690533</v>
      </c>
      <c r="L266">
        <f t="shared" ca="1" si="76"/>
        <v>171.87513219338106</v>
      </c>
      <c r="M266">
        <f t="shared" ca="1" si="77"/>
        <v>156.07786780661891</v>
      </c>
      <c r="N266">
        <f t="shared" ca="1" si="87"/>
        <v>3.0200000000000102</v>
      </c>
      <c r="O266">
        <f t="shared" ca="1" si="88"/>
        <v>3.0200000000000102</v>
      </c>
      <c r="P266">
        <f t="shared" ca="1" si="89"/>
        <v>0</v>
      </c>
      <c r="Q266">
        <f t="shared" ca="1" si="72"/>
        <v>0.62144969748164414</v>
      </c>
      <c r="R266">
        <f t="shared" ca="1" si="73"/>
        <v>0.6315589514908625</v>
      </c>
      <c r="S266">
        <f t="shared" ca="1" si="70"/>
        <v>0.98399317437373912</v>
      </c>
      <c r="T266">
        <f t="shared" ca="1" si="71"/>
        <v>49.596600788928782</v>
      </c>
      <c r="U266">
        <f>70</f>
        <v>70</v>
      </c>
      <c r="V266">
        <f>30</f>
        <v>30</v>
      </c>
      <c r="W266">
        <f t="shared" ca="1" si="69"/>
        <v>162.40412421984476</v>
      </c>
      <c r="X266">
        <f t="shared" ca="1" si="79"/>
        <v>164.73442639599065</v>
      </c>
      <c r="Y266">
        <f t="shared" ca="1" si="78"/>
        <v>-1.8588708985842288</v>
      </c>
      <c r="Z266">
        <f t="shared" ca="1" si="80"/>
        <v>-2.455618744799644</v>
      </c>
      <c r="AA266">
        <f t="shared" ca="1" si="81"/>
        <v>0.59674784621541521</v>
      </c>
      <c r="AB266">
        <f t="shared" ca="1" si="82"/>
        <v>169.99390000000005</v>
      </c>
    </row>
    <row r="267" spans="1:28" x14ac:dyDescent="0.25">
      <c r="A267" s="20">
        <f t="shared" ca="1" si="83"/>
        <v>45677</v>
      </c>
      <c r="B267" vm="781">
        <f ca="1"/>
        <v>45680</v>
      </c>
      <c r="C267" vm="782">
        <f ca="1"/>
        <v>166.15</v>
      </c>
      <c r="D267" vm="783">
        <f ca="1"/>
        <v>7614308</v>
      </c>
      <c r="E267">
        <f t="shared" ca="1" si="84"/>
        <v>1265117274.2</v>
      </c>
      <c r="F267">
        <f ca="1">SUM($E$2:E267)/SUM($D$2:D267)</f>
        <v>164.81394528944097</v>
      </c>
      <c r="G267">
        <f ca="1">_xlfn.STDEV.P($C$2:C267)</f>
        <v>6.7522674031937679</v>
      </c>
      <c r="H267">
        <f t="shared" ca="1" si="85"/>
        <v>171.56621269263474</v>
      </c>
      <c r="I267">
        <f t="shared" ca="1" si="86"/>
        <v>158.0616778862472</v>
      </c>
      <c r="J267">
        <f t="shared" ca="1" si="74"/>
        <v>163.88099999999997</v>
      </c>
      <c r="K267">
        <f t="shared" ca="1" si="75"/>
        <v>3.867622552748176</v>
      </c>
      <c r="L267">
        <f t="shared" ca="1" si="76"/>
        <v>171.61624510549632</v>
      </c>
      <c r="M267">
        <f t="shared" ca="1" si="77"/>
        <v>156.14575489450363</v>
      </c>
      <c r="N267">
        <f t="shared" ca="1" si="87"/>
        <v>1.4099999999999966</v>
      </c>
      <c r="O267">
        <f t="shared" ca="1" si="88"/>
        <v>1.4099999999999966</v>
      </c>
      <c r="P267">
        <f t="shared" ca="1" si="89"/>
        <v>0</v>
      </c>
      <c r="Q267">
        <f t="shared" ca="1" si="72"/>
        <v>0.6777747190900979</v>
      </c>
      <c r="R267">
        <f t="shared" ca="1" si="73"/>
        <v>0.58644759781294376</v>
      </c>
      <c r="S267">
        <f t="shared" ca="1" si="70"/>
        <v>1.155729380796755</v>
      </c>
      <c r="T267">
        <f t="shared" ca="1" si="71"/>
        <v>53.611988178664561</v>
      </c>
      <c r="U267">
        <f>70</f>
        <v>70</v>
      </c>
      <c r="V267">
        <f>30</f>
        <v>30</v>
      </c>
      <c r="W267">
        <f t="shared" ca="1" si="69"/>
        <v>162.98041280140711</v>
      </c>
      <c r="X267">
        <f t="shared" ca="1" si="79"/>
        <v>164.83928369999134</v>
      </c>
      <c r="Y267">
        <f t="shared" ca="1" si="78"/>
        <v>-1.6302695170350034</v>
      </c>
      <c r="Z267">
        <f t="shared" ca="1" si="80"/>
        <v>-2.290548899246716</v>
      </c>
      <c r="AA267">
        <f t="shared" ca="1" si="81"/>
        <v>0.66027938221171256</v>
      </c>
      <c r="AB267">
        <f t="shared" ca="1" si="82"/>
        <v>169.96480000000003</v>
      </c>
    </row>
    <row r="268" spans="1:28" x14ac:dyDescent="0.25">
      <c r="A268" s="20">
        <f t="shared" ca="1" si="83"/>
        <v>45677</v>
      </c>
      <c r="B268" vm="784">
        <f ca="1"/>
        <v>45681</v>
      </c>
      <c r="C268" vm="785">
        <f ca="1"/>
        <v>164.12</v>
      </c>
      <c r="D268" vm="786">
        <f ca="1"/>
        <v>6199939</v>
      </c>
      <c r="E268">
        <f t="shared" ca="1" si="84"/>
        <v>1017533988.6800001</v>
      </c>
      <c r="F268">
        <f ca="1">SUM($E$2:E268)/SUM($D$2:D268)</f>
        <v>164.81156127178116</v>
      </c>
      <c r="G268">
        <f ca="1">_xlfn.STDEV.P($C$2:C268)</f>
        <v>6.7398388077356453</v>
      </c>
      <c r="H268">
        <f t="shared" ca="1" si="85"/>
        <v>171.55140007951681</v>
      </c>
      <c r="I268">
        <f t="shared" ca="1" si="86"/>
        <v>158.07172246404551</v>
      </c>
      <c r="J268">
        <f t="shared" ca="1" si="74"/>
        <v>163.68149999999997</v>
      </c>
      <c r="K268">
        <f t="shared" ca="1" si="75"/>
        <v>3.7387603842084225</v>
      </c>
      <c r="L268">
        <f t="shared" ca="1" si="76"/>
        <v>171.15902076841681</v>
      </c>
      <c r="M268">
        <f t="shared" ca="1" si="77"/>
        <v>156.20397923158313</v>
      </c>
      <c r="N268">
        <f t="shared" ca="1" si="87"/>
        <v>-2.0300000000000011</v>
      </c>
      <c r="O268">
        <f t="shared" ca="1" si="88"/>
        <v>0</v>
      </c>
      <c r="P268">
        <f t="shared" ca="1" si="89"/>
        <v>2.0300000000000011</v>
      </c>
      <c r="Q268">
        <f t="shared" ca="1" si="72"/>
        <v>0.62936223915509093</v>
      </c>
      <c r="R268">
        <f t="shared" ca="1" si="73"/>
        <v>0.68955848368344785</v>
      </c>
      <c r="S268">
        <f t="shared" ca="1" si="70"/>
        <v>0.91270320654050441</v>
      </c>
      <c r="T268">
        <f t="shared" ca="1" si="71"/>
        <v>47.717973359353827</v>
      </c>
      <c r="U268">
        <f>70</f>
        <v>70</v>
      </c>
      <c r="V268">
        <f>30</f>
        <v>30</v>
      </c>
      <c r="W268">
        <f t="shared" ca="1" si="69"/>
        <v>163.15573390888292</v>
      </c>
      <c r="X268">
        <f t="shared" ca="1" si="79"/>
        <v>164.78600342591793</v>
      </c>
      <c r="Y268">
        <f t="shared" ca="1" si="78"/>
        <v>-0.99064997859002801</v>
      </c>
      <c r="Z268">
        <f t="shared" ca="1" si="80"/>
        <v>-2.0305691151153784</v>
      </c>
      <c r="AA268">
        <f t="shared" ca="1" si="81"/>
        <v>1.0399191365253504</v>
      </c>
      <c r="AB268">
        <f t="shared" ca="1" si="82"/>
        <v>169.90570000000002</v>
      </c>
    </row>
    <row r="269" spans="1:28" x14ac:dyDescent="0.25">
      <c r="A269" s="20">
        <f t="shared" ca="1" si="83"/>
        <v>45684</v>
      </c>
      <c r="B269" vm="787">
        <f ca="1"/>
        <v>45684</v>
      </c>
      <c r="C269" vm="788">
        <f ca="1"/>
        <v>169.66</v>
      </c>
      <c r="D269" vm="789">
        <f ca="1"/>
        <v>9170829</v>
      </c>
      <c r="E269">
        <f t="shared" ca="1" si="84"/>
        <v>1555922848.1399999</v>
      </c>
      <c r="F269">
        <f ca="1">SUM($E$2:E269)/SUM($D$2:D269)</f>
        <v>164.83607480879411</v>
      </c>
      <c r="G269">
        <f ca="1">_xlfn.STDEV.P($C$2:C269)</f>
        <v>6.7331881819797594</v>
      </c>
      <c r="H269">
        <f t="shared" ca="1" si="85"/>
        <v>171.56926299077386</v>
      </c>
      <c r="I269">
        <f t="shared" ca="1" si="86"/>
        <v>158.10288662681435</v>
      </c>
      <c r="J269">
        <f t="shared" ca="1" si="74"/>
        <v>163.71749999999994</v>
      </c>
      <c r="K269">
        <f t="shared" ca="1" si="75"/>
        <v>3.795100546480255</v>
      </c>
      <c r="L269">
        <f t="shared" ca="1" si="76"/>
        <v>171.30770109296046</v>
      </c>
      <c r="M269">
        <f t="shared" ca="1" si="77"/>
        <v>156.12729890703943</v>
      </c>
      <c r="N269">
        <f t="shared" ca="1" si="87"/>
        <v>5.539999999999992</v>
      </c>
      <c r="O269">
        <f t="shared" ca="1" si="88"/>
        <v>5.539999999999992</v>
      </c>
      <c r="P269">
        <f t="shared" ca="1" si="89"/>
        <v>0</v>
      </c>
      <c r="Q269">
        <f t="shared" ca="1" si="72"/>
        <v>0.98012207921544103</v>
      </c>
      <c r="R269">
        <f t="shared" ca="1" si="73"/>
        <v>0.64030430627748736</v>
      </c>
      <c r="S269">
        <f t="shared" ca="1" si="70"/>
        <v>1.5307129275977218</v>
      </c>
      <c r="T269">
        <f t="shared" ca="1" si="71"/>
        <v>60.485443090171053</v>
      </c>
      <c r="U269">
        <f>70</f>
        <v>70</v>
      </c>
      <c r="V269">
        <f>30</f>
        <v>30</v>
      </c>
      <c r="W269">
        <f t="shared" ca="1" si="69"/>
        <v>164.15639023059325</v>
      </c>
      <c r="X269">
        <f t="shared" ca="1" si="79"/>
        <v>165.14704020918327</v>
      </c>
      <c r="Y269">
        <f t="shared" ca="1" si="78"/>
        <v>-0.75504321794406337</v>
      </c>
      <c r="Z269">
        <f t="shared" ca="1" si="80"/>
        <v>-1.7754639356811155</v>
      </c>
      <c r="AA269">
        <f t="shared" ca="1" si="81"/>
        <v>1.0204207177370521</v>
      </c>
      <c r="AB269">
        <f t="shared" ca="1" si="82"/>
        <v>169.88690000000003</v>
      </c>
    </row>
    <row r="270" spans="1:28" x14ac:dyDescent="0.25">
      <c r="A270" s="20">
        <f t="shared" ca="1" si="83"/>
        <v>45684</v>
      </c>
      <c r="B270" vm="790">
        <f ca="1"/>
        <v>45685</v>
      </c>
      <c r="C270" vm="791">
        <f ca="1"/>
        <v>166.19</v>
      </c>
      <c r="D270" vm="792">
        <f ca="1"/>
        <v>6716387</v>
      </c>
      <c r="E270">
        <f t="shared" ca="1" si="84"/>
        <v>1116196355.53</v>
      </c>
      <c r="F270">
        <f ca="1">SUM($E$2:E270)/SUM($D$2:D270)</f>
        <v>164.84106963882411</v>
      </c>
      <c r="G270">
        <f ca="1">_xlfn.STDEV.P($C$2:C270)</f>
        <v>6.7210248297896049</v>
      </c>
      <c r="H270">
        <f t="shared" ca="1" si="85"/>
        <v>171.56209446861371</v>
      </c>
      <c r="I270">
        <f t="shared" ca="1" si="86"/>
        <v>158.12004480903451</v>
      </c>
      <c r="J270">
        <f t="shared" ca="1" si="74"/>
        <v>163.51900000000001</v>
      </c>
      <c r="K270">
        <f t="shared" ca="1" si="75"/>
        <v>3.5353283179627697</v>
      </c>
      <c r="L270">
        <f t="shared" ca="1" si="76"/>
        <v>170.58965663592554</v>
      </c>
      <c r="M270">
        <f t="shared" ca="1" si="77"/>
        <v>156.44834336407447</v>
      </c>
      <c r="N270">
        <f t="shared" ca="1" si="87"/>
        <v>-3.4699999999999989</v>
      </c>
      <c r="O270">
        <f t="shared" ca="1" si="88"/>
        <v>0</v>
      </c>
      <c r="P270">
        <f t="shared" ca="1" si="89"/>
        <v>3.4699999999999989</v>
      </c>
      <c r="Q270">
        <f t="shared" ca="1" si="72"/>
        <v>0.91011335927148096</v>
      </c>
      <c r="R270">
        <f t="shared" ca="1" si="73"/>
        <v>0.84242542725766678</v>
      </c>
      <c r="S270">
        <f t="shared" ca="1" si="70"/>
        <v>1.0803488710379476</v>
      </c>
      <c r="T270">
        <f t="shared" ca="1" si="71"/>
        <v>51.931139342937684</v>
      </c>
      <c r="U270">
        <f>70</f>
        <v>70</v>
      </c>
      <c r="V270">
        <f>30</f>
        <v>30</v>
      </c>
      <c r="W270">
        <f t="shared" ca="1" si="69"/>
        <v>164.46925327204045</v>
      </c>
      <c r="X270">
        <f t="shared" ca="1" si="79"/>
        <v>165.22429648998451</v>
      </c>
      <c r="Y270">
        <f t="shared" ca="1" si="78"/>
        <v>-0.55865566224773033</v>
      </c>
      <c r="Z270">
        <f t="shared" ca="1" si="80"/>
        <v>-1.5321022809944385</v>
      </c>
      <c r="AA270">
        <f t="shared" ca="1" si="81"/>
        <v>0.97344661874670813</v>
      </c>
      <c r="AB270">
        <f t="shared" ca="1" si="82"/>
        <v>169.80360000000002</v>
      </c>
    </row>
    <row r="271" spans="1:28" x14ac:dyDescent="0.25">
      <c r="A271" s="20">
        <f t="shared" ca="1" si="83"/>
        <v>45684</v>
      </c>
      <c r="B271" vm="793">
        <f ca="1"/>
        <v>45686</v>
      </c>
      <c r="C271" vm="794">
        <f ca="1"/>
        <v>166.23</v>
      </c>
      <c r="D271" vm="795">
        <f ca="1"/>
        <v>4850295</v>
      </c>
      <c r="E271">
        <f t="shared" ca="1" si="84"/>
        <v>806264537.8499999</v>
      </c>
      <c r="F271">
        <f ca="1">SUM($E$2:E271)/SUM($D$2:D271)</f>
        <v>164.84476012405287</v>
      </c>
      <c r="G271">
        <f ca="1">_xlfn.STDEV.P($C$2:C271)</f>
        <v>6.7089526973235225</v>
      </c>
      <c r="H271">
        <f t="shared" ca="1" si="85"/>
        <v>171.55371282137639</v>
      </c>
      <c r="I271">
        <f t="shared" ca="1" si="86"/>
        <v>158.13580742672934</v>
      </c>
      <c r="J271">
        <f t="shared" ca="1" si="74"/>
        <v>163.35399999999998</v>
      </c>
      <c r="K271">
        <f t="shared" ca="1" si="75"/>
        <v>3.309836058907162</v>
      </c>
      <c r="L271">
        <f t="shared" ca="1" si="76"/>
        <v>169.97367211781432</v>
      </c>
      <c r="M271">
        <f t="shared" ca="1" si="77"/>
        <v>156.73432788218565</v>
      </c>
      <c r="N271">
        <f t="shared" ca="1" si="87"/>
        <v>3.9999999999992042E-2</v>
      </c>
      <c r="O271">
        <f t="shared" ca="1" si="88"/>
        <v>3.9999999999992042E-2</v>
      </c>
      <c r="P271">
        <f t="shared" ca="1" si="89"/>
        <v>0</v>
      </c>
      <c r="Q271">
        <f t="shared" ca="1" si="72"/>
        <v>0.84796240503780318</v>
      </c>
      <c r="R271">
        <f t="shared" ca="1" si="73"/>
        <v>0.78225218245354777</v>
      </c>
      <c r="S271">
        <f t="shared" ca="1" si="70"/>
        <v>1.0840013285461909</v>
      </c>
      <c r="T271">
        <f t="shared" ca="1" si="71"/>
        <v>52.015385676476285</v>
      </c>
      <c r="U271">
        <f>70</f>
        <v>70</v>
      </c>
      <c r="V271">
        <f>30</f>
        <v>30</v>
      </c>
      <c r="W271">
        <f t="shared" ref="W271:W334" ca="1" si="90">C271*(2/(12+1)) + W270*(1-(2/(12+1)))</f>
        <v>164.74013738403423</v>
      </c>
      <c r="X271">
        <f t="shared" ca="1" si="79"/>
        <v>165.29879304628196</v>
      </c>
      <c r="Y271">
        <f t="shared" ca="1" si="78"/>
        <v>-0.30429326775913523</v>
      </c>
      <c r="Z271">
        <f t="shared" ca="1" si="80"/>
        <v>-1.2865404783473777</v>
      </c>
      <c r="AA271">
        <f t="shared" ca="1" si="81"/>
        <v>0.98224721058824249</v>
      </c>
      <c r="AB271">
        <f t="shared" ca="1" si="82"/>
        <v>169.70689999999999</v>
      </c>
    </row>
    <row r="272" spans="1:28" x14ac:dyDescent="0.25">
      <c r="A272" s="20">
        <f t="shared" ca="1" si="83"/>
        <v>45684</v>
      </c>
      <c r="B272" vm="796">
        <f ca="1"/>
        <v>45687</v>
      </c>
      <c r="C272" vm="797">
        <f ca="1"/>
        <v>167.41</v>
      </c>
      <c r="D272" vm="798">
        <f ca="1"/>
        <v>4136546</v>
      </c>
      <c r="E272">
        <f t="shared" ca="1" si="84"/>
        <v>692499165.86000001</v>
      </c>
      <c r="F272">
        <f ca="1">SUM($E$2:E272)/SUM($D$2:D272)</f>
        <v>164.85055998604852</v>
      </c>
      <c r="G272">
        <f ca="1">_xlfn.STDEV.P($C$2:C272)</f>
        <v>6.6980917515583647</v>
      </c>
      <c r="H272">
        <f t="shared" ca="1" si="85"/>
        <v>171.54865173760689</v>
      </c>
      <c r="I272">
        <f t="shared" ca="1" si="86"/>
        <v>158.15246823449016</v>
      </c>
      <c r="J272">
        <f t="shared" ca="1" si="74"/>
        <v>163.37</v>
      </c>
      <c r="K272">
        <f t="shared" ca="1" si="75"/>
        <v>3.3295613746210488</v>
      </c>
      <c r="L272">
        <f t="shared" ca="1" si="76"/>
        <v>170.02912274924211</v>
      </c>
      <c r="M272">
        <f t="shared" ca="1" si="77"/>
        <v>156.7108772507579</v>
      </c>
      <c r="N272">
        <f t="shared" ca="1" si="87"/>
        <v>1.1800000000000068</v>
      </c>
      <c r="O272">
        <f t="shared" ca="1" si="88"/>
        <v>1.1800000000000068</v>
      </c>
      <c r="P272">
        <f t="shared" ca="1" si="89"/>
        <v>0</v>
      </c>
      <c r="Q272">
        <f t="shared" ca="1" si="72"/>
        <v>0.87167937610653201</v>
      </c>
      <c r="R272">
        <f t="shared" ca="1" si="73"/>
        <v>0.72637702656400871</v>
      </c>
      <c r="S272">
        <f t="shared" ref="S272:S335" ca="1" si="91">IF(R272=0,NA(),Q272/R272)</f>
        <v>1.2000370940004106</v>
      </c>
      <c r="T272">
        <f t="shared" ref="T272:T335" ca="1" si="92">100-(100/(1+S272))</f>
        <v>54.546220937499641</v>
      </c>
      <c r="U272">
        <f>70</f>
        <v>70</v>
      </c>
      <c r="V272">
        <f>30</f>
        <v>30</v>
      </c>
      <c r="W272">
        <f t="shared" ca="1" si="90"/>
        <v>165.15088547879822</v>
      </c>
      <c r="X272">
        <f t="shared" ca="1" si="79"/>
        <v>165.45517874655735</v>
      </c>
      <c r="Y272">
        <f t="shared" ca="1" si="78"/>
        <v>-0.21481511517970375</v>
      </c>
      <c r="Z272">
        <f t="shared" ca="1" si="80"/>
        <v>-1.072195405713843</v>
      </c>
      <c r="AA272">
        <f t="shared" ca="1" si="81"/>
        <v>0.85738029053413922</v>
      </c>
      <c r="AB272">
        <f t="shared" ca="1" si="82"/>
        <v>169.62630000000001</v>
      </c>
    </row>
    <row r="273" spans="1:28" x14ac:dyDescent="0.25">
      <c r="A273" s="20">
        <f t="shared" ca="1" si="83"/>
        <v>45684</v>
      </c>
      <c r="B273" vm="799">
        <f ca="1"/>
        <v>45688</v>
      </c>
      <c r="C273" vm="800">
        <f ca="1"/>
        <v>165.99</v>
      </c>
      <c r="D273" vm="801">
        <f ca="1"/>
        <v>5464903</v>
      </c>
      <c r="E273">
        <f t="shared" ca="1" si="84"/>
        <v>907119248.97000003</v>
      </c>
      <c r="F273">
        <f ca="1">SUM($E$2:E273)/SUM($D$2:D273)</f>
        <v>164.85395335000504</v>
      </c>
      <c r="G273">
        <f ca="1">_xlfn.STDEV.P($C$2:C273)</f>
        <v>6.6860053085609445</v>
      </c>
      <c r="H273">
        <f t="shared" ca="1" si="85"/>
        <v>171.53995865856598</v>
      </c>
      <c r="I273">
        <f t="shared" ca="1" si="86"/>
        <v>158.16794804144411</v>
      </c>
      <c r="J273">
        <f t="shared" ca="1" si="74"/>
        <v>163.28699999999998</v>
      </c>
      <c r="K273">
        <f t="shared" ca="1" si="75"/>
        <v>3.2366472256268337</v>
      </c>
      <c r="L273">
        <f t="shared" ca="1" si="76"/>
        <v>169.76029445125366</v>
      </c>
      <c r="M273">
        <f t="shared" ca="1" si="77"/>
        <v>156.8137055487463</v>
      </c>
      <c r="N273">
        <f t="shared" ca="1" si="87"/>
        <v>-1.4199999999999875</v>
      </c>
      <c r="O273">
        <f t="shared" ca="1" si="88"/>
        <v>0</v>
      </c>
      <c r="P273">
        <f t="shared" ca="1" si="89"/>
        <v>1.4199999999999875</v>
      </c>
      <c r="Q273">
        <f t="shared" ref="Q273:Q336" ca="1" si="93">(Q272*13+O273)/14</f>
        <v>0.80941656352749392</v>
      </c>
      <c r="R273">
        <f t="shared" ref="R273:R336" ca="1" si="94">(R272*13+P273)/14</f>
        <v>0.77592152466657871</v>
      </c>
      <c r="S273">
        <f t="shared" ca="1" si="91"/>
        <v>1.0431680753737413</v>
      </c>
      <c r="T273">
        <f t="shared" ca="1" si="92"/>
        <v>51.056400496220682</v>
      </c>
      <c r="U273">
        <f>70</f>
        <v>70</v>
      </c>
      <c r="V273">
        <f>30</f>
        <v>30</v>
      </c>
      <c r="W273">
        <f t="shared" ca="1" si="90"/>
        <v>165.27998002052155</v>
      </c>
      <c r="X273">
        <f t="shared" ca="1" si="79"/>
        <v>165.49479513570125</v>
      </c>
      <c r="Y273">
        <f t="shared" ca="1" si="78"/>
        <v>7.8705546985730734E-2</v>
      </c>
      <c r="Z273">
        <f t="shared" ca="1" si="80"/>
        <v>-0.8420152151739283</v>
      </c>
      <c r="AA273">
        <f t="shared" ca="1" si="81"/>
        <v>0.92072076215965903</v>
      </c>
      <c r="AB273">
        <f t="shared" ca="1" si="82"/>
        <v>169.53030000000001</v>
      </c>
    </row>
    <row r="274" spans="1:28" x14ac:dyDescent="0.25">
      <c r="A274" s="20">
        <f t="shared" ca="1" si="83"/>
        <v>45691</v>
      </c>
      <c r="B274" vm="802">
        <f ca="1"/>
        <v>45691</v>
      </c>
      <c r="C274" vm="803">
        <f ca="1"/>
        <v>168.76</v>
      </c>
      <c r="D274" vm="804">
        <f ca="1"/>
        <v>8668729</v>
      </c>
      <c r="E274">
        <f t="shared" ca="1" si="84"/>
        <v>1462934706.04</v>
      </c>
      <c r="F274">
        <f ca="1">SUM($E$2:E274)/SUM($D$2:D274)</f>
        <v>164.87231884271813</v>
      </c>
      <c r="G274">
        <f ca="1">_xlfn.STDEV.P($C$2:C274)</f>
        <v>6.677486444942935</v>
      </c>
      <c r="H274">
        <f t="shared" ca="1" si="85"/>
        <v>171.54980528766106</v>
      </c>
      <c r="I274">
        <f t="shared" ca="1" si="86"/>
        <v>158.1948323977752</v>
      </c>
      <c r="J274">
        <f t="shared" ca="1" si="74"/>
        <v>163.42600000000002</v>
      </c>
      <c r="K274">
        <f t="shared" ca="1" si="75"/>
        <v>3.4132626774485351</v>
      </c>
      <c r="L274">
        <f t="shared" ca="1" si="76"/>
        <v>170.25252535489707</v>
      </c>
      <c r="M274">
        <f t="shared" ca="1" si="77"/>
        <v>156.59947464510296</v>
      </c>
      <c r="N274">
        <f t="shared" ca="1" si="87"/>
        <v>2.7699999999999818</v>
      </c>
      <c r="O274">
        <f t="shared" ca="1" si="88"/>
        <v>2.7699999999999818</v>
      </c>
      <c r="P274">
        <f t="shared" ca="1" si="89"/>
        <v>0</v>
      </c>
      <c r="Q274">
        <f t="shared" ca="1" si="93"/>
        <v>0.94945823756124315</v>
      </c>
      <c r="R274">
        <f t="shared" ca="1" si="94"/>
        <v>0.72049855861896595</v>
      </c>
      <c r="S274">
        <f t="shared" ca="1" si="91"/>
        <v>1.3177795100397447</v>
      </c>
      <c r="T274">
        <f t="shared" ca="1" si="92"/>
        <v>56.8552575571413</v>
      </c>
      <c r="U274">
        <f>70</f>
        <v>70</v>
      </c>
      <c r="V274">
        <f>30</f>
        <v>30</v>
      </c>
      <c r="W274">
        <f t="shared" ca="1" si="90"/>
        <v>165.81536770967207</v>
      </c>
      <c r="X274">
        <f t="shared" ca="1" si="79"/>
        <v>165.73666216268634</v>
      </c>
      <c r="Y274">
        <f t="shared" ca="1" si="78"/>
        <v>0.2575185381753613</v>
      </c>
      <c r="Z274">
        <f t="shared" ca="1" si="80"/>
        <v>-0.62210846450407042</v>
      </c>
      <c r="AA274">
        <f t="shared" ca="1" si="81"/>
        <v>0.87962700267943172</v>
      </c>
      <c r="AB274">
        <f t="shared" ca="1" si="82"/>
        <v>169.4573</v>
      </c>
    </row>
    <row r="275" spans="1:28" x14ac:dyDescent="0.25">
      <c r="A275" s="20">
        <f t="shared" ca="1" si="83"/>
        <v>45691</v>
      </c>
      <c r="B275" vm="805">
        <f ca="1"/>
        <v>45692</v>
      </c>
      <c r="C275" vm="806">
        <f ca="1"/>
        <v>168.13</v>
      </c>
      <c r="D275" vm="807">
        <f ca="1"/>
        <v>6410938</v>
      </c>
      <c r="E275">
        <f t="shared" ca="1" si="84"/>
        <v>1077871005.9400001</v>
      </c>
      <c r="F275">
        <f ca="1">SUM($E$2:E275)/SUM($D$2:D275)</f>
        <v>164.88360724219038</v>
      </c>
      <c r="G275">
        <f ca="1">_xlfn.STDEV.P($C$2:C275)</f>
        <v>6.6678342987990149</v>
      </c>
      <c r="H275">
        <f t="shared" ca="1" si="85"/>
        <v>171.5514415409894</v>
      </c>
      <c r="I275">
        <f t="shared" ca="1" si="86"/>
        <v>158.21577294339136</v>
      </c>
      <c r="J275">
        <f t="shared" ca="1" si="74"/>
        <v>163.57600000000002</v>
      </c>
      <c r="K275">
        <f t="shared" ca="1" si="75"/>
        <v>3.5550622172362942</v>
      </c>
      <c r="L275">
        <f t="shared" ca="1" si="76"/>
        <v>170.68612443447262</v>
      </c>
      <c r="M275">
        <f t="shared" ca="1" si="77"/>
        <v>156.46587556552743</v>
      </c>
      <c r="N275">
        <f t="shared" ca="1" si="87"/>
        <v>-0.62999999999999545</v>
      </c>
      <c r="O275">
        <f t="shared" ca="1" si="88"/>
        <v>0</v>
      </c>
      <c r="P275">
        <f t="shared" ca="1" si="89"/>
        <v>0.62999999999999545</v>
      </c>
      <c r="Q275">
        <f t="shared" ca="1" si="93"/>
        <v>0.88163979202115439</v>
      </c>
      <c r="R275">
        <f t="shared" ca="1" si="94"/>
        <v>0.71403437586046803</v>
      </c>
      <c r="S275">
        <f t="shared" ca="1" si="91"/>
        <v>1.234730178023584</v>
      </c>
      <c r="T275">
        <f t="shared" ca="1" si="92"/>
        <v>55.251868443267313</v>
      </c>
      <c r="U275">
        <f>70</f>
        <v>70</v>
      </c>
      <c r="V275">
        <f>30</f>
        <v>30</v>
      </c>
      <c r="W275">
        <f t="shared" ca="1" si="90"/>
        <v>166.17146498510715</v>
      </c>
      <c r="X275">
        <f t="shared" ca="1" si="79"/>
        <v>165.91394644693179</v>
      </c>
      <c r="Y275">
        <f t="shared" ca="1" si="78"/>
        <v>0.46487893254698065</v>
      </c>
      <c r="Z275">
        <f t="shared" ca="1" si="80"/>
        <v>-0.40471098509386022</v>
      </c>
      <c r="AA275">
        <f t="shared" ca="1" si="81"/>
        <v>0.86958991764084081</v>
      </c>
      <c r="AB275">
        <f t="shared" ca="1" si="82"/>
        <v>169.36070000000001</v>
      </c>
    </row>
    <row r="276" spans="1:28" x14ac:dyDescent="0.25">
      <c r="A276" s="20">
        <f t="shared" ca="1" si="83"/>
        <v>45691</v>
      </c>
      <c r="B276" vm="808">
        <f ca="1"/>
        <v>45693</v>
      </c>
      <c r="C276" vm="809">
        <f ca="1"/>
        <v>169.01</v>
      </c>
      <c r="D276" vm="810">
        <f ca="1"/>
        <v>7537232</v>
      </c>
      <c r="E276">
        <f t="shared" ca="1" si="84"/>
        <v>1273867580.3199999</v>
      </c>
      <c r="F276">
        <f ca="1">SUM($E$2:E276)/SUM($D$2:D276)</f>
        <v>164.90034969061006</v>
      </c>
      <c r="G276">
        <f ca="1">_xlfn.STDEV.P($C$2:C276)</f>
        <v>6.6598877824412872</v>
      </c>
      <c r="H276">
        <f t="shared" ca="1" si="85"/>
        <v>171.56023747305133</v>
      </c>
      <c r="I276">
        <f t="shared" ca="1" si="86"/>
        <v>158.24046190816878</v>
      </c>
      <c r="J276">
        <f t="shared" ca="1" si="74"/>
        <v>163.99650000000003</v>
      </c>
      <c r="K276">
        <f t="shared" ca="1" si="75"/>
        <v>3.6797186319780342</v>
      </c>
      <c r="L276">
        <f t="shared" ca="1" si="76"/>
        <v>171.35593726395609</v>
      </c>
      <c r="M276">
        <f t="shared" ca="1" si="77"/>
        <v>156.63706273604396</v>
      </c>
      <c r="N276">
        <f t="shared" ca="1" si="87"/>
        <v>0.87999999999999545</v>
      </c>
      <c r="O276">
        <f t="shared" ca="1" si="88"/>
        <v>0.87999999999999545</v>
      </c>
      <c r="P276">
        <f t="shared" ca="1" si="89"/>
        <v>0</v>
      </c>
      <c r="Q276">
        <f t="shared" ca="1" si="93"/>
        <v>0.88152266401964308</v>
      </c>
      <c r="R276">
        <f t="shared" ca="1" si="94"/>
        <v>0.66303192044186321</v>
      </c>
      <c r="S276">
        <f t="shared" ca="1" si="91"/>
        <v>1.3295327673397255</v>
      </c>
      <c r="T276">
        <f t="shared" ca="1" si="92"/>
        <v>57.072936941686478</v>
      </c>
      <c r="U276">
        <f>70</f>
        <v>70</v>
      </c>
      <c r="V276">
        <f>30</f>
        <v>30</v>
      </c>
      <c r="W276">
        <f t="shared" ca="1" si="90"/>
        <v>166.60816267970606</v>
      </c>
      <c r="X276">
        <f t="shared" ca="1" si="79"/>
        <v>166.14328374715907</v>
      </c>
      <c r="Y276">
        <f t="shared" ca="1" si="78"/>
        <v>0.61167264400572208</v>
      </c>
      <c r="Z276">
        <f t="shared" ca="1" si="80"/>
        <v>-0.20143425927394376</v>
      </c>
      <c r="AA276">
        <f t="shared" ca="1" si="81"/>
        <v>0.81310690327966584</v>
      </c>
      <c r="AB276">
        <f t="shared" ca="1" si="82"/>
        <v>169.31159999999997</v>
      </c>
    </row>
    <row r="277" spans="1:28" x14ac:dyDescent="0.25">
      <c r="A277" s="20">
        <f t="shared" ca="1" si="83"/>
        <v>45691</v>
      </c>
      <c r="B277" vm="811">
        <f ca="1"/>
        <v>45694</v>
      </c>
      <c r="C277" vm="566">
        <f ca="1"/>
        <v>168.88</v>
      </c>
      <c r="D277" vm="812">
        <f ca="1"/>
        <v>4957889</v>
      </c>
      <c r="E277">
        <f t="shared" ca="1" si="84"/>
        <v>837288294.31999993</v>
      </c>
      <c r="F277">
        <f ca="1">SUM($E$2:E277)/SUM($D$2:D277)</f>
        <v>164.91094273246483</v>
      </c>
      <c r="G277">
        <f ca="1">_xlfn.STDEV.P($C$2:C277)</f>
        <v>6.6516879983994155</v>
      </c>
      <c r="H277">
        <f t="shared" ca="1" si="85"/>
        <v>171.56263073086424</v>
      </c>
      <c r="I277">
        <f t="shared" ca="1" si="86"/>
        <v>158.25925473406542</v>
      </c>
      <c r="J277">
        <f t="shared" ca="1" si="74"/>
        <v>164.37550000000002</v>
      </c>
      <c r="K277">
        <f t="shared" ca="1" si="75"/>
        <v>3.7764568119642989</v>
      </c>
      <c r="L277">
        <f t="shared" ca="1" si="76"/>
        <v>171.92841362392861</v>
      </c>
      <c r="M277">
        <f t="shared" ca="1" si="77"/>
        <v>156.82258637607143</v>
      </c>
      <c r="N277">
        <f t="shared" ca="1" si="87"/>
        <v>-0.12999999999999545</v>
      </c>
      <c r="O277">
        <f t="shared" ca="1" si="88"/>
        <v>0</v>
      </c>
      <c r="P277">
        <f t="shared" ca="1" si="89"/>
        <v>0.12999999999999545</v>
      </c>
      <c r="Q277">
        <f t="shared" ca="1" si="93"/>
        <v>0.81855675944681139</v>
      </c>
      <c r="R277">
        <f t="shared" ca="1" si="94"/>
        <v>0.62495821183887268</v>
      </c>
      <c r="S277">
        <f t="shared" ca="1" si="91"/>
        <v>1.3097783882834273</v>
      </c>
      <c r="T277">
        <f t="shared" ca="1" si="92"/>
        <v>56.705803246207687</v>
      </c>
      <c r="U277">
        <f>70</f>
        <v>70</v>
      </c>
      <c r="V277">
        <f>30</f>
        <v>30</v>
      </c>
      <c r="W277">
        <f t="shared" ca="1" si="90"/>
        <v>166.95767611359744</v>
      </c>
      <c r="X277">
        <f t="shared" ca="1" si="79"/>
        <v>166.34600346959172</v>
      </c>
      <c r="Y277">
        <f t="shared" ca="1" si="78"/>
        <v>0.64711874108584766</v>
      </c>
      <c r="Z277">
        <f t="shared" ca="1" si="80"/>
        <v>-3.1723659201985471E-2</v>
      </c>
      <c r="AA277">
        <f t="shared" ca="1" si="81"/>
        <v>0.67884240028783316</v>
      </c>
      <c r="AB277">
        <f t="shared" ca="1" si="82"/>
        <v>169.26570000000001</v>
      </c>
    </row>
    <row r="278" spans="1:28" x14ac:dyDescent="0.25">
      <c r="A278" s="20">
        <f t="shared" ca="1" si="83"/>
        <v>45691</v>
      </c>
      <c r="B278" vm="813">
        <f ca="1"/>
        <v>45695</v>
      </c>
      <c r="C278" vm="814">
        <f ca="1"/>
        <v>167.97</v>
      </c>
      <c r="D278" vm="815">
        <f ca="1"/>
        <v>4535617</v>
      </c>
      <c r="E278">
        <f t="shared" ca="1" si="84"/>
        <v>761847587.49000001</v>
      </c>
      <c r="F278">
        <f ca="1">SUM($E$2:E278)/SUM($D$2:D278)</f>
        <v>164.91837372280611</v>
      </c>
      <c r="G278">
        <f ca="1">_xlfn.STDEV.P($C$2:C278)</f>
        <v>6.6418783282831226</v>
      </c>
      <c r="H278">
        <f t="shared" ca="1" si="85"/>
        <v>171.56025205108924</v>
      </c>
      <c r="I278">
        <f t="shared" ca="1" si="86"/>
        <v>158.27649539452298</v>
      </c>
      <c r="J278">
        <f t="shared" ref="J278:J341" ca="1" si="95">AVERAGE(C259:C278)</f>
        <v>164.66900000000004</v>
      </c>
      <c r="K278">
        <f t="shared" ref="K278:K341" ca="1" si="96">_xlfn.STDEV.S(C259:C278)</f>
        <v>3.8181738539447547</v>
      </c>
      <c r="L278">
        <f t="shared" ref="L278:L341" ca="1" si="97">J278 + 2*K278</f>
        <v>172.30534770788955</v>
      </c>
      <c r="M278">
        <f t="shared" ref="M278:M341" ca="1" si="98">J278-2*K278</f>
        <v>157.03265229211053</v>
      </c>
      <c r="N278">
        <f t="shared" ca="1" si="87"/>
        <v>-0.90999999999999659</v>
      </c>
      <c r="O278">
        <f t="shared" ca="1" si="88"/>
        <v>0</v>
      </c>
      <c r="P278">
        <f t="shared" ca="1" si="89"/>
        <v>0.90999999999999659</v>
      </c>
      <c r="Q278">
        <f t="shared" ca="1" si="93"/>
        <v>0.76008841948632477</v>
      </c>
      <c r="R278">
        <f t="shared" ca="1" si="94"/>
        <v>0.64531833956466733</v>
      </c>
      <c r="S278">
        <f t="shared" ca="1" si="91"/>
        <v>1.1778503304261916</v>
      </c>
      <c r="T278">
        <f t="shared" ca="1" si="92"/>
        <v>54.083162372121947</v>
      </c>
      <c r="U278">
        <f>70</f>
        <v>70</v>
      </c>
      <c r="V278">
        <f>30</f>
        <v>30</v>
      </c>
      <c r="W278">
        <f t="shared" ca="1" si="90"/>
        <v>167.11341824996708</v>
      </c>
      <c r="X278">
        <f t="shared" ca="1" si="79"/>
        <v>166.46629950888124</v>
      </c>
      <c r="Y278">
        <f t="shared" ca="1" si="78"/>
        <v>0.63241561211918906</v>
      </c>
      <c r="Z278">
        <f t="shared" ca="1" si="80"/>
        <v>0.10110419506224945</v>
      </c>
      <c r="AA278">
        <f t="shared" ca="1" si="81"/>
        <v>0.53131141705693963</v>
      </c>
      <c r="AB278">
        <f t="shared" ca="1" si="82"/>
        <v>169.20460000000003</v>
      </c>
    </row>
    <row r="279" spans="1:28" x14ac:dyDescent="0.25">
      <c r="A279" s="20">
        <f t="shared" ca="1" si="83"/>
        <v>45698</v>
      </c>
      <c r="B279" vm="816">
        <f ca="1"/>
        <v>45698</v>
      </c>
      <c r="C279" vm="817">
        <f ca="1"/>
        <v>167.53</v>
      </c>
      <c r="D279" vm="818">
        <f ca="1"/>
        <v>7063167</v>
      </c>
      <c r="E279">
        <f t="shared" ca="1" si="84"/>
        <v>1183292367.51</v>
      </c>
      <c r="F279">
        <f ca="1">SUM($E$2:E279)/SUM($D$2:D279)</f>
        <v>164.92821595114873</v>
      </c>
      <c r="G279">
        <f ca="1">_xlfn.STDEV.P($C$2:C279)</f>
        <v>6.6314848360014729</v>
      </c>
      <c r="H279">
        <f t="shared" ca="1" si="85"/>
        <v>171.55970078715021</v>
      </c>
      <c r="I279">
        <f t="shared" ca="1" si="86"/>
        <v>158.29673111514725</v>
      </c>
      <c r="J279">
        <f t="shared" ca="1" si="95"/>
        <v>165.11750000000006</v>
      </c>
      <c r="K279">
        <f t="shared" ca="1" si="96"/>
        <v>3.5823615777422848</v>
      </c>
      <c r="L279">
        <f t="shared" ca="1" si="97"/>
        <v>172.28222315548464</v>
      </c>
      <c r="M279">
        <f t="shared" ca="1" si="98"/>
        <v>157.95277684451548</v>
      </c>
      <c r="N279">
        <f t="shared" ca="1" si="87"/>
        <v>-0.43999999999999773</v>
      </c>
      <c r="O279">
        <f t="shared" ca="1" si="88"/>
        <v>0</v>
      </c>
      <c r="P279">
        <f t="shared" ca="1" si="89"/>
        <v>0.43999999999999773</v>
      </c>
      <c r="Q279">
        <f t="shared" ca="1" si="93"/>
        <v>0.70579638952301582</v>
      </c>
      <c r="R279">
        <f t="shared" ca="1" si="94"/>
        <v>0.63065274388147663</v>
      </c>
      <c r="S279">
        <f t="shared" ca="1" si="91"/>
        <v>1.11915217426797</v>
      </c>
      <c r="T279">
        <f t="shared" ca="1" si="92"/>
        <v>52.81131708507742</v>
      </c>
      <c r="U279">
        <f>70</f>
        <v>70</v>
      </c>
      <c r="V279">
        <f>30</f>
        <v>30</v>
      </c>
      <c r="W279">
        <f t="shared" ca="1" si="90"/>
        <v>167.17750774997216</v>
      </c>
      <c r="X279">
        <f t="shared" ca="1" si="79"/>
        <v>166.54509213785298</v>
      </c>
      <c r="Y279">
        <f t="shared" ca="1" si="78"/>
        <v>0.76525600267666505</v>
      </c>
      <c r="Z279">
        <f t="shared" ca="1" si="80"/>
        <v>0.2339345565851326</v>
      </c>
      <c r="AA279">
        <f t="shared" ca="1" si="81"/>
        <v>0.53132144609153242</v>
      </c>
      <c r="AB279">
        <f t="shared" ca="1" si="82"/>
        <v>169.10749999999999</v>
      </c>
    </row>
    <row r="280" spans="1:28" x14ac:dyDescent="0.25">
      <c r="A280" s="20">
        <f t="shared" ca="1" si="83"/>
        <v>45698</v>
      </c>
      <c r="B280" vm="819">
        <f ca="1"/>
        <v>45699</v>
      </c>
      <c r="C280" vm="820">
        <f ca="1"/>
        <v>169.43</v>
      </c>
      <c r="D280" vm="821">
        <f ca="1"/>
        <v>5438081</v>
      </c>
      <c r="E280">
        <f t="shared" ca="1" si="84"/>
        <v>921374063.83000004</v>
      </c>
      <c r="F280">
        <f ca="1">SUM($E$2:E280)/SUM($D$2:D280)</f>
        <v>164.94124026832745</v>
      </c>
      <c r="G280">
        <f ca="1">_xlfn.STDEV.P($C$2:C280)</f>
        <v>6.6245669934627056</v>
      </c>
      <c r="H280">
        <f t="shared" ca="1" si="85"/>
        <v>171.56580726179016</v>
      </c>
      <c r="I280">
        <f t="shared" ca="1" si="86"/>
        <v>158.31667327486474</v>
      </c>
      <c r="J280">
        <f t="shared" ca="1" si="95"/>
        <v>165.64700000000005</v>
      </c>
      <c r="K280">
        <f t="shared" ca="1" si="96"/>
        <v>3.3827442923414131</v>
      </c>
      <c r="L280">
        <f t="shared" ca="1" si="97"/>
        <v>172.41248858468288</v>
      </c>
      <c r="M280">
        <f t="shared" ca="1" si="98"/>
        <v>158.88151141531722</v>
      </c>
      <c r="N280">
        <f t="shared" ca="1" si="87"/>
        <v>1.9000000000000057</v>
      </c>
      <c r="O280">
        <f t="shared" ca="1" si="88"/>
        <v>1.9000000000000057</v>
      </c>
      <c r="P280">
        <f t="shared" ca="1" si="89"/>
        <v>0</v>
      </c>
      <c r="Q280">
        <f t="shared" ca="1" si="93"/>
        <v>0.79109664741422936</v>
      </c>
      <c r="R280">
        <f t="shared" ca="1" si="94"/>
        <v>0.58560611931851392</v>
      </c>
      <c r="S280">
        <f t="shared" ca="1" si="91"/>
        <v>1.3509022896394089</v>
      </c>
      <c r="T280">
        <f t="shared" ca="1" si="92"/>
        <v>57.463140667008147</v>
      </c>
      <c r="U280">
        <f>70</f>
        <v>70</v>
      </c>
      <c r="V280">
        <f>30</f>
        <v>30</v>
      </c>
      <c r="W280">
        <f t="shared" ca="1" si="90"/>
        <v>167.52404501920719</v>
      </c>
      <c r="X280">
        <f t="shared" ca="1" si="79"/>
        <v>166.75878901653053</v>
      </c>
      <c r="Y280">
        <f t="shared" ca="1" si="78"/>
        <v>0.87257817758438705</v>
      </c>
      <c r="Z280">
        <f t="shared" ca="1" si="80"/>
        <v>0.36166328078498355</v>
      </c>
      <c r="AA280">
        <f t="shared" ca="1" si="81"/>
        <v>0.5109148967994035</v>
      </c>
      <c r="AB280">
        <f t="shared" ca="1" si="82"/>
        <v>169.04300000000001</v>
      </c>
    </row>
    <row r="281" spans="1:28" x14ac:dyDescent="0.25">
      <c r="A281" s="20">
        <f t="shared" ca="1" si="83"/>
        <v>45698</v>
      </c>
      <c r="B281" vm="822">
        <f ca="1"/>
        <v>45700</v>
      </c>
      <c r="C281" vm="605">
        <f ca="1"/>
        <v>169.58</v>
      </c>
      <c r="D281" vm="823">
        <f ca="1"/>
        <v>6037671</v>
      </c>
      <c r="E281">
        <f t="shared" ca="1" si="84"/>
        <v>1023868248.1800001</v>
      </c>
      <c r="F281">
        <f ca="1">SUM($E$2:E281)/SUM($D$2:D281)</f>
        <v>164.95609289204845</v>
      </c>
      <c r="G281">
        <f ca="1">_xlfn.STDEV.P($C$2:C281)</f>
        <v>6.6180073069078507</v>
      </c>
      <c r="H281">
        <f t="shared" ca="1" si="85"/>
        <v>171.5741001989563</v>
      </c>
      <c r="I281">
        <f t="shared" ca="1" si="86"/>
        <v>158.33808558514059</v>
      </c>
      <c r="J281">
        <f t="shared" ca="1" si="95"/>
        <v>166.13900000000001</v>
      </c>
      <c r="K281">
        <f t="shared" ca="1" si="96"/>
        <v>3.1883899583199948</v>
      </c>
      <c r="L281">
        <f t="shared" ca="1" si="97"/>
        <v>172.51577991663999</v>
      </c>
      <c r="M281">
        <f t="shared" ca="1" si="98"/>
        <v>159.76222008336003</v>
      </c>
      <c r="N281">
        <f t="shared" ca="1" si="87"/>
        <v>0.15000000000000568</v>
      </c>
      <c r="O281">
        <f t="shared" ca="1" si="88"/>
        <v>0.15000000000000568</v>
      </c>
      <c r="P281">
        <f t="shared" ca="1" si="89"/>
        <v>0</v>
      </c>
      <c r="Q281">
        <f t="shared" ca="1" si="93"/>
        <v>0.74530402974178478</v>
      </c>
      <c r="R281">
        <f t="shared" ca="1" si="94"/>
        <v>0.54377711079576296</v>
      </c>
      <c r="S281">
        <f t="shared" ca="1" si="91"/>
        <v>1.3706057407438639</v>
      </c>
      <c r="T281">
        <f t="shared" ca="1" si="92"/>
        <v>57.8166886710477</v>
      </c>
      <c r="U281">
        <f>70</f>
        <v>70</v>
      </c>
      <c r="V281">
        <f>30</f>
        <v>30</v>
      </c>
      <c r="W281">
        <f t="shared" ca="1" si="90"/>
        <v>167.84034578548301</v>
      </c>
      <c r="X281">
        <f t="shared" ca="1" si="79"/>
        <v>166.96776760789862</v>
      </c>
      <c r="Y281">
        <f t="shared" ca="1" si="78"/>
        <v>1.0615903866706731</v>
      </c>
      <c r="Z281">
        <f t="shared" ca="1" si="80"/>
        <v>0.50164870196212152</v>
      </c>
      <c r="AA281">
        <f t="shared" ca="1" si="81"/>
        <v>0.55994168470855155</v>
      </c>
      <c r="AB281">
        <f t="shared" ca="1" si="82"/>
        <v>168.99960000000002</v>
      </c>
    </row>
    <row r="282" spans="1:28" x14ac:dyDescent="0.25">
      <c r="A282" s="20">
        <f t="shared" ca="1" si="83"/>
        <v>45698</v>
      </c>
      <c r="B282" vm="824">
        <f ca="1"/>
        <v>45701</v>
      </c>
      <c r="C282" vm="825">
        <f ca="1"/>
        <v>171.02</v>
      </c>
      <c r="D282" vm="826">
        <f ca="1"/>
        <v>6328365</v>
      </c>
      <c r="E282">
        <f t="shared" ca="1" si="84"/>
        <v>1082276982.3</v>
      </c>
      <c r="F282">
        <f ca="1">SUM($E$2:E282)/SUM($D$2:D282)</f>
        <v>164.97637536283045</v>
      </c>
      <c r="G282">
        <f ca="1">_xlfn.STDEV.P($C$2:C282)</f>
        <v>6.6154151986690914</v>
      </c>
      <c r="H282">
        <f t="shared" ca="1" si="85"/>
        <v>171.59179056149955</v>
      </c>
      <c r="I282">
        <f t="shared" ca="1" si="86"/>
        <v>158.36096016416136</v>
      </c>
      <c r="J282">
        <f t="shared" ca="1" si="95"/>
        <v>166.70749999999998</v>
      </c>
      <c r="K282">
        <f t="shared" ca="1" si="96"/>
        <v>2.977140760068822</v>
      </c>
      <c r="L282">
        <f t="shared" ca="1" si="97"/>
        <v>172.66178152013762</v>
      </c>
      <c r="M282">
        <f t="shared" ca="1" si="98"/>
        <v>160.75321847986234</v>
      </c>
      <c r="N282">
        <f t="shared" ca="1" si="87"/>
        <v>1.4399999999999977</v>
      </c>
      <c r="O282">
        <f t="shared" ca="1" si="88"/>
        <v>1.4399999999999977</v>
      </c>
      <c r="P282">
        <f t="shared" ca="1" si="89"/>
        <v>0</v>
      </c>
      <c r="Q282">
        <f t="shared" ca="1" si="93"/>
        <v>0.79492517047451428</v>
      </c>
      <c r="R282">
        <f t="shared" ca="1" si="94"/>
        <v>0.50493588859606564</v>
      </c>
      <c r="S282">
        <f t="shared" ca="1" si="91"/>
        <v>1.574309112162221</v>
      </c>
      <c r="T282">
        <f t="shared" ca="1" si="92"/>
        <v>61.154626098492223</v>
      </c>
      <c r="U282">
        <f>70</f>
        <v>70</v>
      </c>
      <c r="V282">
        <f>30</f>
        <v>30</v>
      </c>
      <c r="W282">
        <f t="shared" ca="1" si="90"/>
        <v>168.32952335694716</v>
      </c>
      <c r="X282">
        <f t="shared" ca="1" si="79"/>
        <v>167.26793297027649</v>
      </c>
      <c r="Y282">
        <f t="shared" ca="1" si="78"/>
        <v>0.54903197057961961</v>
      </c>
      <c r="Z282">
        <f t="shared" ca="1" si="80"/>
        <v>0.51112535568562123</v>
      </c>
      <c r="AA282">
        <f t="shared" ca="1" si="81"/>
        <v>3.790661489399838E-2</v>
      </c>
      <c r="AB282">
        <f t="shared" ca="1" si="82"/>
        <v>168.99440000000001</v>
      </c>
    </row>
    <row r="283" spans="1:28" x14ac:dyDescent="0.25">
      <c r="A283" s="20">
        <f t="shared" ca="1" si="83"/>
        <v>45698</v>
      </c>
      <c r="B283" vm="827">
        <f ca="1"/>
        <v>45702</v>
      </c>
      <c r="C283" vm="828">
        <f ca="1"/>
        <v>162.88999999999999</v>
      </c>
      <c r="D283" vm="829">
        <f ca="1"/>
        <v>13179478</v>
      </c>
      <c r="E283">
        <f t="shared" ca="1" si="84"/>
        <v>2146805171.4199998</v>
      </c>
      <c r="F283">
        <f ca="1">SUM($E$2:E283)/SUM($D$2:D283)</f>
        <v>164.96194249262444</v>
      </c>
      <c r="G283">
        <f ca="1">_xlfn.STDEV.P($C$2:C283)</f>
        <v>6.6050853505883582</v>
      </c>
      <c r="H283">
        <f t="shared" ca="1" si="85"/>
        <v>171.5670278432128</v>
      </c>
      <c r="I283">
        <f t="shared" ca="1" si="86"/>
        <v>158.35685714203609</v>
      </c>
      <c r="J283">
        <f t="shared" ca="1" si="95"/>
        <v>166.82699999999997</v>
      </c>
      <c r="K283">
        <f t="shared" ca="1" si="96"/>
        <v>2.7545046359506622</v>
      </c>
      <c r="L283">
        <f t="shared" ca="1" si="97"/>
        <v>172.3360092719013</v>
      </c>
      <c r="M283">
        <f t="shared" ca="1" si="98"/>
        <v>161.31799072809864</v>
      </c>
      <c r="N283">
        <f t="shared" ca="1" si="87"/>
        <v>-8.1300000000000239</v>
      </c>
      <c r="O283">
        <f t="shared" ca="1" si="88"/>
        <v>0</v>
      </c>
      <c r="P283">
        <f t="shared" ca="1" si="89"/>
        <v>8.1300000000000239</v>
      </c>
      <c r="Q283">
        <f t="shared" ca="1" si="93"/>
        <v>0.73814480115490611</v>
      </c>
      <c r="R283">
        <f t="shared" ca="1" si="94"/>
        <v>1.0495833251249198</v>
      </c>
      <c r="S283">
        <f t="shared" ca="1" si="91"/>
        <v>0.70327413125304106</v>
      </c>
      <c r="T283">
        <f t="shared" ca="1" si="92"/>
        <v>41.289544551214789</v>
      </c>
      <c r="U283">
        <f>70</f>
        <v>70</v>
      </c>
      <c r="V283">
        <f>30</f>
        <v>30</v>
      </c>
      <c r="W283">
        <f t="shared" ca="1" si="90"/>
        <v>167.49267360972453</v>
      </c>
      <c r="X283">
        <f t="shared" ca="1" si="79"/>
        <v>166.94364163914491</v>
      </c>
      <c r="Y283">
        <f t="shared" ca="1" si="78"/>
        <v>0.34381917198314227</v>
      </c>
      <c r="Z283">
        <f t="shared" ca="1" si="80"/>
        <v>0.4776641189451255</v>
      </c>
      <c r="AA283">
        <f t="shared" ca="1" si="81"/>
        <v>-0.13384494696198324</v>
      </c>
      <c r="AB283">
        <f t="shared" ca="1" si="82"/>
        <v>168.8811</v>
      </c>
    </row>
    <row r="284" spans="1:28" x14ac:dyDescent="0.25">
      <c r="A284" s="20">
        <f t="shared" ca="1" si="83"/>
        <v>45705</v>
      </c>
      <c r="B284" vm="830">
        <f ca="1"/>
        <v>45706</v>
      </c>
      <c r="C284" vm="831">
        <f ca="1"/>
        <v>165.43</v>
      </c>
      <c r="D284" vm="832">
        <f ca="1"/>
        <v>7075681</v>
      </c>
      <c r="E284">
        <f t="shared" ca="1" si="84"/>
        <v>1170529907.8300002</v>
      </c>
      <c r="F284">
        <f ca="1">SUM($E$2:E284)/SUM($D$2:D284)</f>
        <v>164.96367437970474</v>
      </c>
      <c r="G284">
        <f ca="1">_xlfn.STDEV.P($C$2:C284)</f>
        <v>6.5934222588496949</v>
      </c>
      <c r="H284">
        <f t="shared" ca="1" si="85"/>
        <v>171.55709663855444</v>
      </c>
      <c r="I284">
        <f t="shared" ca="1" si="86"/>
        <v>158.37025212085504</v>
      </c>
      <c r="J284">
        <f t="shared" ca="1" si="95"/>
        <v>167.04199999999997</v>
      </c>
      <c r="K284">
        <f t="shared" ca="1" si="96"/>
        <v>2.4358065777500748</v>
      </c>
      <c r="L284">
        <f t="shared" ca="1" si="97"/>
        <v>171.91361315550012</v>
      </c>
      <c r="M284">
        <f t="shared" ca="1" si="98"/>
        <v>162.17038684449983</v>
      </c>
      <c r="N284">
        <f t="shared" ca="1" si="87"/>
        <v>2.5400000000000205</v>
      </c>
      <c r="O284">
        <f t="shared" ca="1" si="88"/>
        <v>2.5400000000000205</v>
      </c>
      <c r="P284">
        <f t="shared" ca="1" si="89"/>
        <v>0</v>
      </c>
      <c r="Q284">
        <f t="shared" ca="1" si="93"/>
        <v>0.86684874392955713</v>
      </c>
      <c r="R284">
        <f t="shared" ca="1" si="94"/>
        <v>0.97461308761599696</v>
      </c>
      <c r="S284">
        <f t="shared" ca="1" si="91"/>
        <v>0.88942858960570459</v>
      </c>
      <c r="T284">
        <f t="shared" ca="1" si="92"/>
        <v>47.073945768509567</v>
      </c>
      <c r="U284">
        <f>70</f>
        <v>70</v>
      </c>
      <c r="V284">
        <f>30</f>
        <v>30</v>
      </c>
      <c r="W284">
        <f t="shared" ca="1" si="90"/>
        <v>167.17533920822845</v>
      </c>
      <c r="X284">
        <f t="shared" ca="1" si="79"/>
        <v>166.83152003624531</v>
      </c>
      <c r="Y284">
        <f t="shared" ref="Y284:Y347" ca="1" si="99">W285-X285</f>
        <v>0.263680151179841</v>
      </c>
      <c r="Z284">
        <f t="shared" ca="1" si="80"/>
        <v>0.43486732539206863</v>
      </c>
      <c r="AA284">
        <f t="shared" ca="1" si="81"/>
        <v>-0.17118717421222762</v>
      </c>
      <c r="AB284">
        <f t="shared" ca="1" si="82"/>
        <v>168.79769999999999</v>
      </c>
    </row>
    <row r="285" spans="1:28" x14ac:dyDescent="0.25">
      <c r="A285" s="20">
        <f t="shared" ca="1" si="83"/>
        <v>45705</v>
      </c>
      <c r="B285" vm="833">
        <f ca="1"/>
        <v>45707</v>
      </c>
      <c r="C285" vm="834">
        <f ca="1"/>
        <v>166.49</v>
      </c>
      <c r="D285" vm="835">
        <f ca="1"/>
        <v>7910823</v>
      </c>
      <c r="E285">
        <f t="shared" ca="1" si="84"/>
        <v>1317072921.27</v>
      </c>
      <c r="F285">
        <f ca="1">SUM($E$2:E285)/SUM($D$2:D285)</f>
        <v>164.96996260440315</v>
      </c>
      <c r="G285">
        <f ca="1">_xlfn.STDEV.P($C$2:C285)</f>
        <v>6.5822622786372538</v>
      </c>
      <c r="H285">
        <f t="shared" ca="1" si="85"/>
        <v>171.5522248830404</v>
      </c>
      <c r="I285">
        <f t="shared" ca="1" si="86"/>
        <v>158.38770032576591</v>
      </c>
      <c r="J285">
        <f t="shared" ca="1" si="95"/>
        <v>167.28049999999999</v>
      </c>
      <c r="K285">
        <f t="shared" ca="1" si="96"/>
        <v>2.0972826403907066</v>
      </c>
      <c r="L285">
        <f t="shared" ca="1" si="97"/>
        <v>171.47506528078139</v>
      </c>
      <c r="M285">
        <f t="shared" ca="1" si="98"/>
        <v>163.08593471921859</v>
      </c>
      <c r="N285">
        <f t="shared" ca="1" si="87"/>
        <v>1.0600000000000023</v>
      </c>
      <c r="O285">
        <f t="shared" ca="1" si="88"/>
        <v>1.0600000000000023</v>
      </c>
      <c r="P285">
        <f t="shared" ca="1" si="89"/>
        <v>0</v>
      </c>
      <c r="Q285">
        <f t="shared" ca="1" si="93"/>
        <v>0.88064526222030326</v>
      </c>
      <c r="R285">
        <f t="shared" ca="1" si="94"/>
        <v>0.90499786707199714</v>
      </c>
      <c r="S285">
        <f t="shared" ca="1" si="91"/>
        <v>0.97309098094287938</v>
      </c>
      <c r="T285">
        <f t="shared" ca="1" si="92"/>
        <v>49.318099892072347</v>
      </c>
      <c r="U285">
        <f>70</f>
        <v>70</v>
      </c>
      <c r="V285">
        <f>30</f>
        <v>30</v>
      </c>
      <c r="W285">
        <f t="shared" ca="1" si="90"/>
        <v>167.06990240696254</v>
      </c>
      <c r="X285">
        <f t="shared" ref="X285:X348" ca="1" si="100">C285*(2/(26+1)) + X284*(1-(2/(26+1)))</f>
        <v>166.8062222557827</v>
      </c>
      <c r="Y285">
        <f t="shared" ca="1" si="99"/>
        <v>0.25532416449715356</v>
      </c>
      <c r="Z285">
        <f t="shared" ca="1" si="80"/>
        <v>0.39895869321308564</v>
      </c>
      <c r="AA285">
        <f t="shared" ca="1" si="81"/>
        <v>-0.14363452871593207</v>
      </c>
      <c r="AB285">
        <f t="shared" ca="1" si="82"/>
        <v>168.7302</v>
      </c>
    </row>
    <row r="286" spans="1:28" x14ac:dyDescent="0.25">
      <c r="A286" s="20">
        <f t="shared" ca="1" si="83"/>
        <v>45705</v>
      </c>
      <c r="B286" vm="836">
        <f ca="1"/>
        <v>45708</v>
      </c>
      <c r="C286" vm="837">
        <f ca="1"/>
        <v>167.21</v>
      </c>
      <c r="D286" vm="838">
        <f ca="1"/>
        <v>6162601</v>
      </c>
      <c r="E286">
        <f t="shared" ca="1" si="84"/>
        <v>1030448513.21</v>
      </c>
      <c r="F286">
        <f ca="1">SUM($E$2:E286)/SUM($D$2:D286)</f>
        <v>164.97712877129413</v>
      </c>
      <c r="G286">
        <f ca="1">_xlfn.STDEV.P($C$2:C286)</f>
        <v>6.5717971777810549</v>
      </c>
      <c r="H286">
        <f t="shared" ca="1" si="85"/>
        <v>171.5489259490752</v>
      </c>
      <c r="I286">
        <f t="shared" ca="1" si="86"/>
        <v>158.40533159351307</v>
      </c>
      <c r="J286">
        <f t="shared" ca="1" si="95"/>
        <v>167.40399999999994</v>
      </c>
      <c r="K286">
        <f t="shared" ca="1" si="96"/>
        <v>2.010748485933588</v>
      </c>
      <c r="L286">
        <f t="shared" ca="1" si="97"/>
        <v>171.42549697186712</v>
      </c>
      <c r="M286">
        <f t="shared" ca="1" si="98"/>
        <v>163.38250302813276</v>
      </c>
      <c r="N286">
        <f t="shared" ca="1" si="87"/>
        <v>0.71999999999999886</v>
      </c>
      <c r="O286">
        <f t="shared" ca="1" si="88"/>
        <v>0.71999999999999886</v>
      </c>
      <c r="P286">
        <f t="shared" ca="1" si="89"/>
        <v>0</v>
      </c>
      <c r="Q286">
        <f t="shared" ca="1" si="93"/>
        <v>0.86917060063313867</v>
      </c>
      <c r="R286">
        <f t="shared" ca="1" si="94"/>
        <v>0.84035516228114027</v>
      </c>
      <c r="S286">
        <f t="shared" ca="1" si="91"/>
        <v>1.0342895952156455</v>
      </c>
      <c r="T286">
        <f t="shared" ca="1" si="92"/>
        <v>50.842790409396223</v>
      </c>
      <c r="U286">
        <f>70</f>
        <v>70</v>
      </c>
      <c r="V286">
        <f>30</f>
        <v>30</v>
      </c>
      <c r="W286">
        <f t="shared" ca="1" si="90"/>
        <v>167.09145588281447</v>
      </c>
      <c r="X286">
        <f t="shared" ca="1" si="100"/>
        <v>166.83613171831732</v>
      </c>
      <c r="Y286">
        <f t="shared" ca="1" si="99"/>
        <v>0.48677945510758036</v>
      </c>
      <c r="Z286">
        <f t="shared" ca="1" si="80"/>
        <v>0.4165228455919846</v>
      </c>
      <c r="AA286">
        <f t="shared" ca="1" si="81"/>
        <v>7.0256609515595758E-2</v>
      </c>
      <c r="AB286">
        <f t="shared" ca="1" si="82"/>
        <v>168.67969999999997</v>
      </c>
    </row>
    <row r="287" spans="1:28" x14ac:dyDescent="0.25">
      <c r="A287" s="20">
        <f t="shared" ca="1" si="83"/>
        <v>45705</v>
      </c>
      <c r="B287" vm="839">
        <f ca="1"/>
        <v>45709</v>
      </c>
      <c r="C287" vm="840">
        <f ca="1"/>
        <v>170.23</v>
      </c>
      <c r="D287" vm="841">
        <f ca="1"/>
        <v>9813720</v>
      </c>
      <c r="E287">
        <f t="shared" ca="1" si="84"/>
        <v>1670589555.5999999</v>
      </c>
      <c r="F287">
        <f ca="1">SUM($E$2:E287)/SUM($D$2:D287)</f>
        <v>165.00375386357652</v>
      </c>
      <c r="G287">
        <f ca="1">_xlfn.STDEV.P($C$2:C287)</f>
        <v>6.5670392480591584</v>
      </c>
      <c r="H287">
        <f t="shared" ca="1" si="85"/>
        <v>171.57079311163568</v>
      </c>
      <c r="I287">
        <f t="shared" ca="1" si="86"/>
        <v>158.43671461551736</v>
      </c>
      <c r="J287">
        <f t="shared" ca="1" si="95"/>
        <v>167.60799999999998</v>
      </c>
      <c r="K287">
        <f t="shared" ca="1" si="96"/>
        <v>2.0825151797007901</v>
      </c>
      <c r="L287">
        <f t="shared" ca="1" si="97"/>
        <v>171.77303035940156</v>
      </c>
      <c r="M287">
        <f t="shared" ca="1" si="98"/>
        <v>163.44296964059839</v>
      </c>
      <c r="N287">
        <f t="shared" ca="1" si="87"/>
        <v>3.0199999999999818</v>
      </c>
      <c r="O287">
        <f t="shared" ca="1" si="88"/>
        <v>3.0199999999999818</v>
      </c>
      <c r="P287">
        <f t="shared" ca="1" si="89"/>
        <v>0</v>
      </c>
      <c r="Q287">
        <f t="shared" ca="1" si="93"/>
        <v>1.0228012720164845</v>
      </c>
      <c r="R287">
        <f t="shared" ca="1" si="94"/>
        <v>0.78032979354677312</v>
      </c>
      <c r="S287">
        <f t="shared" ca="1" si="91"/>
        <v>1.3107294896016009</v>
      </c>
      <c r="T287">
        <f t="shared" ca="1" si="92"/>
        <v>56.723623232401266</v>
      </c>
      <c r="U287">
        <f>70</f>
        <v>70</v>
      </c>
      <c r="V287">
        <f>30</f>
        <v>30</v>
      </c>
      <c r="W287">
        <f t="shared" ca="1" si="90"/>
        <v>167.57430882391992</v>
      </c>
      <c r="X287">
        <f t="shared" ca="1" si="100"/>
        <v>167.08752936881234</v>
      </c>
      <c r="Y287">
        <f t="shared" ca="1" si="99"/>
        <v>0.68730107076979152</v>
      </c>
      <c r="Z287">
        <f t="shared" ca="1" si="80"/>
        <v>0.47067849062754602</v>
      </c>
      <c r="AA287">
        <f t="shared" ca="1" si="81"/>
        <v>0.2166225801422455</v>
      </c>
      <c r="AB287">
        <f t="shared" ca="1" si="82"/>
        <v>168.64989999999997</v>
      </c>
    </row>
    <row r="288" spans="1:28" x14ac:dyDescent="0.25">
      <c r="A288" s="20">
        <f t="shared" ca="1" si="83"/>
        <v>45712</v>
      </c>
      <c r="B288" vm="842">
        <f ca="1"/>
        <v>45712</v>
      </c>
      <c r="C288" vm="451">
        <f ca="1"/>
        <v>170.54</v>
      </c>
      <c r="D288" vm="843">
        <f ca="1"/>
        <v>8564057</v>
      </c>
      <c r="E288">
        <f t="shared" ca="1" si="84"/>
        <v>1460514280.78</v>
      </c>
      <c r="F288">
        <f ca="1">SUM($E$2:E288)/SUM($D$2:D288)</f>
        <v>165.02813415498628</v>
      </c>
      <c r="G288">
        <f ca="1">_xlfn.STDEV.P($C$2:C288)</f>
        <v>6.5631133503130448</v>
      </c>
      <c r="H288">
        <f t="shared" ca="1" si="85"/>
        <v>171.59124750529932</v>
      </c>
      <c r="I288">
        <f t="shared" ca="1" si="86"/>
        <v>158.46502080467323</v>
      </c>
      <c r="J288">
        <f t="shared" ca="1" si="95"/>
        <v>167.92899999999997</v>
      </c>
      <c r="K288">
        <f t="shared" ca="1" si="96"/>
        <v>2.0101084024185578</v>
      </c>
      <c r="L288">
        <f t="shared" ca="1" si="97"/>
        <v>171.94921680483708</v>
      </c>
      <c r="M288">
        <f t="shared" ca="1" si="98"/>
        <v>163.90878319516287</v>
      </c>
      <c r="N288">
        <f t="shared" ca="1" si="87"/>
        <v>0.31000000000000227</v>
      </c>
      <c r="O288">
        <f t="shared" ca="1" si="88"/>
        <v>0.31000000000000227</v>
      </c>
      <c r="P288">
        <f t="shared" ca="1" si="89"/>
        <v>0</v>
      </c>
      <c r="Q288">
        <f t="shared" ca="1" si="93"/>
        <v>0.97188689544387863</v>
      </c>
      <c r="R288">
        <f t="shared" ca="1" si="94"/>
        <v>0.72459195115057506</v>
      </c>
      <c r="S288">
        <f t="shared" ca="1" si="91"/>
        <v>1.341288560962657</v>
      </c>
      <c r="T288">
        <f t="shared" ca="1" si="92"/>
        <v>57.288477094475084</v>
      </c>
      <c r="U288">
        <f>70</f>
        <v>70</v>
      </c>
      <c r="V288">
        <f>30</f>
        <v>30</v>
      </c>
      <c r="W288">
        <f t="shared" ca="1" si="90"/>
        <v>168.03056900485529</v>
      </c>
      <c r="X288">
        <f t="shared" ca="1" si="100"/>
        <v>167.3432679340855</v>
      </c>
      <c r="Y288">
        <f t="shared" ca="1" si="99"/>
        <v>1.0048914981886981</v>
      </c>
      <c r="Z288">
        <f t="shared" ca="1" si="80"/>
        <v>0.57752109213977643</v>
      </c>
      <c r="AA288">
        <f t="shared" ca="1" si="81"/>
        <v>0.42737040604892162</v>
      </c>
      <c r="AB288">
        <f t="shared" ca="1" si="82"/>
        <v>168.61979999999997</v>
      </c>
    </row>
    <row r="289" spans="1:28" x14ac:dyDescent="0.25">
      <c r="A289" s="20">
        <f t="shared" ca="1" si="83"/>
        <v>45712</v>
      </c>
      <c r="B289" vm="844">
        <f ca="1"/>
        <v>45713</v>
      </c>
      <c r="C289" vm="845">
        <f ca="1"/>
        <v>172.65</v>
      </c>
      <c r="D289" vm="846">
        <f ca="1"/>
        <v>7314856</v>
      </c>
      <c r="E289">
        <f t="shared" ca="1" si="84"/>
        <v>1262909888.4000001</v>
      </c>
      <c r="F289">
        <f ca="1">SUM($E$2:E289)/SUM($D$2:D289)</f>
        <v>165.05669562412129</v>
      </c>
      <c r="G289">
        <f ca="1">_xlfn.STDEV.P($C$2:C289)</f>
        <v>6.5662451978481489</v>
      </c>
      <c r="H289">
        <f t="shared" ca="1" si="85"/>
        <v>171.62294082196945</v>
      </c>
      <c r="I289">
        <f t="shared" ca="1" si="86"/>
        <v>158.49045042627313</v>
      </c>
      <c r="J289">
        <f t="shared" ca="1" si="95"/>
        <v>168.07849999999999</v>
      </c>
      <c r="K289">
        <f t="shared" ca="1" si="96"/>
        <v>2.243290053282879</v>
      </c>
      <c r="L289">
        <f t="shared" ca="1" si="97"/>
        <v>172.56508010656574</v>
      </c>
      <c r="M289">
        <f t="shared" ca="1" si="98"/>
        <v>163.59191989343424</v>
      </c>
      <c r="N289">
        <f t="shared" ca="1" si="87"/>
        <v>2.1100000000000136</v>
      </c>
      <c r="O289">
        <f t="shared" ca="1" si="88"/>
        <v>2.1100000000000136</v>
      </c>
      <c r="P289">
        <f t="shared" ca="1" si="89"/>
        <v>0</v>
      </c>
      <c r="Q289">
        <f t="shared" ca="1" si="93"/>
        <v>1.0531806886264596</v>
      </c>
      <c r="R289">
        <f t="shared" ca="1" si="94"/>
        <v>0.67283538321124836</v>
      </c>
      <c r="S289">
        <f t="shared" ca="1" si="91"/>
        <v>1.5652873123288096</v>
      </c>
      <c r="T289">
        <f t="shared" ca="1" si="92"/>
        <v>61.018011698183479</v>
      </c>
      <c r="U289">
        <f>70</f>
        <v>70</v>
      </c>
      <c r="V289">
        <f>30</f>
        <v>30</v>
      </c>
      <c r="W289">
        <f t="shared" ca="1" si="90"/>
        <v>168.74125069641602</v>
      </c>
      <c r="X289">
        <f t="shared" ca="1" si="100"/>
        <v>167.73635919822732</v>
      </c>
      <c r="Y289">
        <f t="shared" ca="1" si="99"/>
        <v>1.1345718444777049</v>
      </c>
      <c r="Z289">
        <f t="shared" ca="1" si="80"/>
        <v>0.68893124260736216</v>
      </c>
      <c r="AA289">
        <f t="shared" ca="1" si="81"/>
        <v>0.44564060187034271</v>
      </c>
      <c r="AB289">
        <f t="shared" ca="1" si="82"/>
        <v>168.61429999999996</v>
      </c>
    </row>
    <row r="290" spans="1:28" x14ac:dyDescent="0.25">
      <c r="A290" s="20">
        <f t="shared" ca="1" si="83"/>
        <v>45712</v>
      </c>
      <c r="B290" vm="847">
        <f ca="1"/>
        <v>45714</v>
      </c>
      <c r="C290" vm="848">
        <f ca="1"/>
        <v>171.3</v>
      </c>
      <c r="D290" vm="849">
        <f ca="1"/>
        <v>5519041</v>
      </c>
      <c r="E290">
        <f t="shared" ca="1" si="84"/>
        <v>945411723.30000007</v>
      </c>
      <c r="F290">
        <f ca="1">SUM($E$2:E290)/SUM($D$2:D290)</f>
        <v>165.07429776235179</v>
      </c>
      <c r="G290">
        <f ca="1">_xlfn.STDEV.P($C$2:C290)</f>
        <v>6.5644882177878516</v>
      </c>
      <c r="H290">
        <f t="shared" ca="1" si="85"/>
        <v>171.63878598013963</v>
      </c>
      <c r="I290">
        <f t="shared" ca="1" si="86"/>
        <v>158.50980954456395</v>
      </c>
      <c r="J290">
        <f t="shared" ca="1" si="95"/>
        <v>168.334</v>
      </c>
      <c r="K290">
        <f t="shared" ca="1" si="96"/>
        <v>2.3069766042661959</v>
      </c>
      <c r="L290">
        <f t="shared" ca="1" si="97"/>
        <v>172.9479532085324</v>
      </c>
      <c r="M290">
        <f t="shared" ca="1" si="98"/>
        <v>163.72004679146761</v>
      </c>
      <c r="N290">
        <f t="shared" ca="1" si="87"/>
        <v>-1.3499999999999943</v>
      </c>
      <c r="O290">
        <f t="shared" ca="1" si="88"/>
        <v>0</v>
      </c>
      <c r="P290">
        <f t="shared" ca="1" si="89"/>
        <v>1.3499999999999943</v>
      </c>
      <c r="Q290">
        <f t="shared" ca="1" si="93"/>
        <v>0.9779534965817126</v>
      </c>
      <c r="R290">
        <f t="shared" ca="1" si="94"/>
        <v>0.72120428441044448</v>
      </c>
      <c r="S290">
        <f t="shared" ca="1" si="91"/>
        <v>1.356000675150107</v>
      </c>
      <c r="T290">
        <f t="shared" ca="1" si="92"/>
        <v>57.555190431501586</v>
      </c>
      <c r="U290">
        <f>70</f>
        <v>70</v>
      </c>
      <c r="V290">
        <f>30</f>
        <v>30</v>
      </c>
      <c r="W290">
        <f t="shared" ca="1" si="90"/>
        <v>169.13490443542892</v>
      </c>
      <c r="X290">
        <f t="shared" ca="1" si="100"/>
        <v>168.00033259095122</v>
      </c>
      <c r="Y290">
        <f t="shared" ca="1" si="99"/>
        <v>1.2766909551659182</v>
      </c>
      <c r="Z290">
        <f t="shared" ca="1" si="80"/>
        <v>0.80648318511907346</v>
      </c>
      <c r="AA290">
        <f t="shared" ca="1" si="81"/>
        <v>0.47020777004684478</v>
      </c>
      <c r="AB290">
        <f t="shared" ca="1" si="82"/>
        <v>168.59689999999992</v>
      </c>
    </row>
    <row r="291" spans="1:28" x14ac:dyDescent="0.25">
      <c r="A291" s="20">
        <f t="shared" ca="1" si="83"/>
        <v>45712</v>
      </c>
      <c r="B291" vm="850">
        <f ca="1"/>
        <v>45715</v>
      </c>
      <c r="C291" vm="851">
        <f ca="1"/>
        <v>171.97</v>
      </c>
      <c r="D291" vm="852">
        <f ca="1"/>
        <v>5466965</v>
      </c>
      <c r="E291">
        <f t="shared" ca="1" si="84"/>
        <v>940153971.04999995</v>
      </c>
      <c r="F291">
        <f ca="1">SUM($E$2:E291)/SUM($D$2:D291)</f>
        <v>165.09350216939166</v>
      </c>
      <c r="G291">
        <f ca="1">_xlfn.STDEV.P($C$2:C291)</f>
        <v>6.5649083697859849</v>
      </c>
      <c r="H291">
        <f t="shared" ca="1" si="85"/>
        <v>171.65841053917765</v>
      </c>
      <c r="I291">
        <f t="shared" ca="1" si="86"/>
        <v>158.52859379960566</v>
      </c>
      <c r="J291">
        <f t="shared" ca="1" si="95"/>
        <v>168.62099999999998</v>
      </c>
      <c r="K291">
        <f t="shared" ca="1" si="96"/>
        <v>2.3871032875146323</v>
      </c>
      <c r="L291">
        <f t="shared" ca="1" si="97"/>
        <v>173.39520657502925</v>
      </c>
      <c r="M291">
        <f t="shared" ca="1" si="98"/>
        <v>163.84679342497071</v>
      </c>
      <c r="N291">
        <f t="shared" ca="1" si="87"/>
        <v>0.66999999999998749</v>
      </c>
      <c r="O291">
        <f t="shared" ca="1" si="88"/>
        <v>0.66999999999998749</v>
      </c>
      <c r="P291">
        <f t="shared" ca="1" si="89"/>
        <v>0</v>
      </c>
      <c r="Q291">
        <f t="shared" ca="1" si="93"/>
        <v>0.95595681825444656</v>
      </c>
      <c r="R291">
        <f t="shared" ca="1" si="94"/>
        <v>0.66968969266684131</v>
      </c>
      <c r="S291">
        <f t="shared" ca="1" si="91"/>
        <v>1.4274623437126992</v>
      </c>
      <c r="T291">
        <f t="shared" ca="1" si="92"/>
        <v>58.804716267172125</v>
      </c>
      <c r="U291">
        <f>70</f>
        <v>70</v>
      </c>
      <c r="V291">
        <f>30</f>
        <v>30</v>
      </c>
      <c r="W291">
        <f t="shared" ca="1" si="90"/>
        <v>169.57107298382448</v>
      </c>
      <c r="X291">
        <f t="shared" ca="1" si="100"/>
        <v>168.29438202865856</v>
      </c>
      <c r="Y291">
        <f t="shared" ca="1" si="99"/>
        <v>1.5226624412587739</v>
      </c>
      <c r="Z291">
        <f t="shared" ca="1" si="80"/>
        <v>0.9497190363470136</v>
      </c>
      <c r="AA291">
        <f t="shared" ca="1" si="81"/>
        <v>0.57294340491176032</v>
      </c>
      <c r="AB291">
        <f t="shared" ca="1" si="82"/>
        <v>168.59739999999994</v>
      </c>
    </row>
    <row r="292" spans="1:28" x14ac:dyDescent="0.25">
      <c r="A292" s="20">
        <f t="shared" ca="1" si="83"/>
        <v>45712</v>
      </c>
      <c r="B292" vm="853">
        <f ca="1"/>
        <v>45716</v>
      </c>
      <c r="C292" vm="854">
        <f ca="1"/>
        <v>173.84</v>
      </c>
      <c r="D292" vm="855">
        <f ca="1"/>
        <v>10240069</v>
      </c>
      <c r="E292">
        <f t="shared" ca="1" si="84"/>
        <v>1780133594.96</v>
      </c>
      <c r="F292">
        <f ca="1">SUM($E$2:E292)/SUM($D$2:D292)</f>
        <v>165.13889147901031</v>
      </c>
      <c r="G292">
        <f ca="1">_xlfn.STDEV.P($C$2:C292)</f>
        <v>6.5726628852540046</v>
      </c>
      <c r="H292">
        <f t="shared" ca="1" si="85"/>
        <v>171.71155436426432</v>
      </c>
      <c r="I292">
        <f t="shared" ca="1" si="86"/>
        <v>158.56622859375631</v>
      </c>
      <c r="J292">
        <f t="shared" ca="1" si="95"/>
        <v>168.94250000000002</v>
      </c>
      <c r="K292">
        <f t="shared" ca="1" si="96"/>
        <v>2.6354983050249681</v>
      </c>
      <c r="L292">
        <f t="shared" ca="1" si="97"/>
        <v>174.21349661004996</v>
      </c>
      <c r="M292">
        <f t="shared" ca="1" si="98"/>
        <v>163.67150338995009</v>
      </c>
      <c r="N292">
        <f t="shared" ca="1" si="87"/>
        <v>1.8700000000000045</v>
      </c>
      <c r="O292">
        <f t="shared" ca="1" si="88"/>
        <v>1.8700000000000045</v>
      </c>
      <c r="P292">
        <f t="shared" ca="1" si="89"/>
        <v>0</v>
      </c>
      <c r="Q292">
        <f t="shared" ca="1" si="93"/>
        <v>1.0212456169505579</v>
      </c>
      <c r="R292">
        <f t="shared" ca="1" si="94"/>
        <v>0.62185471461920983</v>
      </c>
      <c r="S292">
        <f t="shared" ca="1" si="91"/>
        <v>1.6422575771189794</v>
      </c>
      <c r="T292">
        <f t="shared" ca="1" si="92"/>
        <v>62.153576219833823</v>
      </c>
      <c r="U292">
        <f>70</f>
        <v>70</v>
      </c>
      <c r="V292">
        <f>30</f>
        <v>30</v>
      </c>
      <c r="W292">
        <f t="shared" ca="1" si="90"/>
        <v>170.22783098631299</v>
      </c>
      <c r="X292">
        <f t="shared" ca="1" si="100"/>
        <v>168.70516854505422</v>
      </c>
      <c r="Y292">
        <f t="shared" ca="1" si="99"/>
        <v>1.8376240051063633</v>
      </c>
      <c r="Z292">
        <f t="shared" ca="1" si="80"/>
        <v>1.1273000300988836</v>
      </c>
      <c r="AA292">
        <f t="shared" ca="1" si="81"/>
        <v>0.71032397500747968</v>
      </c>
      <c r="AB292">
        <f t="shared" ca="1" si="82"/>
        <v>168.63459999999995</v>
      </c>
    </row>
    <row r="293" spans="1:28" x14ac:dyDescent="0.25">
      <c r="A293" s="20">
        <f t="shared" ca="1" si="83"/>
        <v>45719</v>
      </c>
      <c r="B293" vm="856">
        <f ca="1"/>
        <v>45719</v>
      </c>
      <c r="C293" vm="508">
        <f ca="1"/>
        <v>175.59</v>
      </c>
      <c r="D293" vm="857">
        <f ca="1"/>
        <v>7615570</v>
      </c>
      <c r="E293">
        <f t="shared" ca="1" si="84"/>
        <v>1337217936.3</v>
      </c>
      <c r="F293">
        <f ca="1">SUM($E$2:E293)/SUM($D$2:D293)</f>
        <v>165.1790713359733</v>
      </c>
      <c r="G293">
        <f ca="1">_xlfn.STDEV.P($C$2:C293)</f>
        <v>6.5887424233848595</v>
      </c>
      <c r="H293">
        <f t="shared" ca="1" si="85"/>
        <v>171.76781375935818</v>
      </c>
      <c r="I293">
        <f t="shared" ca="1" si="86"/>
        <v>158.59032891258843</v>
      </c>
      <c r="J293">
        <f t="shared" ca="1" si="95"/>
        <v>169.42250000000001</v>
      </c>
      <c r="K293">
        <f t="shared" ca="1" si="96"/>
        <v>2.9275027529314239</v>
      </c>
      <c r="L293">
        <f t="shared" ca="1" si="97"/>
        <v>175.27750550586285</v>
      </c>
      <c r="M293">
        <f t="shared" ca="1" si="98"/>
        <v>163.56749449413718</v>
      </c>
      <c r="N293">
        <f t="shared" ca="1" si="87"/>
        <v>1.75</v>
      </c>
      <c r="O293">
        <f t="shared" ca="1" si="88"/>
        <v>1.75</v>
      </c>
      <c r="P293">
        <f t="shared" ca="1" si="89"/>
        <v>0</v>
      </c>
      <c r="Q293">
        <f t="shared" ca="1" si="93"/>
        <v>1.0732995014540896</v>
      </c>
      <c r="R293">
        <f t="shared" ca="1" si="94"/>
        <v>0.57743652071783769</v>
      </c>
      <c r="S293">
        <f t="shared" ca="1" si="91"/>
        <v>1.858731588573272</v>
      </c>
      <c r="T293">
        <f t="shared" ca="1" si="92"/>
        <v>65.019451144097189</v>
      </c>
      <c r="U293">
        <f>70</f>
        <v>70</v>
      </c>
      <c r="V293">
        <f>30</f>
        <v>30</v>
      </c>
      <c r="W293">
        <f t="shared" ca="1" si="90"/>
        <v>171.05278006534175</v>
      </c>
      <c r="X293">
        <f t="shared" ca="1" si="100"/>
        <v>169.21515606023539</v>
      </c>
      <c r="Y293">
        <f t="shared" ca="1" si="99"/>
        <v>1.8711964667521102</v>
      </c>
      <c r="Z293">
        <f t="shared" ca="1" si="80"/>
        <v>1.2760793174295291</v>
      </c>
      <c r="AA293">
        <f t="shared" ca="1" si="81"/>
        <v>0.59511714932258108</v>
      </c>
      <c r="AB293">
        <f t="shared" ca="1" si="82"/>
        <v>168.70169999999996</v>
      </c>
    </row>
    <row r="294" spans="1:28" x14ac:dyDescent="0.25">
      <c r="A294" s="20">
        <f t="shared" ca="1" si="83"/>
        <v>45719</v>
      </c>
      <c r="B294" vm="858">
        <f ca="1"/>
        <v>45720</v>
      </c>
      <c r="C294" vm="859">
        <f ca="1"/>
        <v>173.18</v>
      </c>
      <c r="D294" vm="860">
        <f ca="1"/>
        <v>12118023</v>
      </c>
      <c r="E294">
        <f t="shared" ca="1" si="84"/>
        <v>2098599223.1400001</v>
      </c>
      <c r="F294">
        <f ca="1">SUM($E$2:E294)/SUM($D$2:D294)</f>
        <v>165.22771956934702</v>
      </c>
      <c r="G294">
        <f ca="1">_xlfn.STDEV.P($C$2:C294)</f>
        <v>6.5932783750692536</v>
      </c>
      <c r="H294">
        <f t="shared" ca="1" si="85"/>
        <v>171.82099794441626</v>
      </c>
      <c r="I294">
        <f t="shared" ca="1" si="86"/>
        <v>158.63444119427777</v>
      </c>
      <c r="J294">
        <f t="shared" ca="1" si="95"/>
        <v>169.64350000000002</v>
      </c>
      <c r="K294">
        <f t="shared" ca="1" si="96"/>
        <v>3.0395485727844198</v>
      </c>
      <c r="L294">
        <f t="shared" ca="1" si="97"/>
        <v>175.72259714556887</v>
      </c>
      <c r="M294">
        <f t="shared" ca="1" si="98"/>
        <v>163.56440285443117</v>
      </c>
      <c r="N294">
        <f t="shared" ca="1" si="87"/>
        <v>-2.4099999999999966</v>
      </c>
      <c r="O294">
        <f t="shared" ca="1" si="88"/>
        <v>0</v>
      </c>
      <c r="P294">
        <f t="shared" ca="1" si="89"/>
        <v>2.4099999999999966</v>
      </c>
      <c r="Q294">
        <f t="shared" ca="1" si="93"/>
        <v>0.99663525135022613</v>
      </c>
      <c r="R294">
        <f t="shared" ca="1" si="94"/>
        <v>0.70833391209513485</v>
      </c>
      <c r="S294">
        <f t="shared" ca="1" si="91"/>
        <v>1.4070133228583444</v>
      </c>
      <c r="T294">
        <f t="shared" ca="1" si="92"/>
        <v>58.454737640899587</v>
      </c>
      <c r="U294">
        <f>70</f>
        <v>70</v>
      </c>
      <c r="V294">
        <f>30</f>
        <v>30</v>
      </c>
      <c r="W294">
        <f t="shared" ca="1" si="90"/>
        <v>171.38004467067378</v>
      </c>
      <c r="X294">
        <f t="shared" ca="1" si="100"/>
        <v>169.50884820392167</v>
      </c>
      <c r="Y294">
        <f t="shared" ca="1" si="99"/>
        <v>1.9902495752580478</v>
      </c>
      <c r="Z294">
        <f t="shared" ref="Z294:Z357" ca="1" si="101">Y294*(2/(9+1)) + Z293*(1-(2/(9+1)))</f>
        <v>1.4189133689952329</v>
      </c>
      <c r="AA294">
        <f t="shared" ref="AA294:AA357" ca="1" si="102">Y294-Z294</f>
        <v>0.57133620626281489</v>
      </c>
      <c r="AB294">
        <f t="shared" ref="AB294:AB357" ca="1" si="103">AVERAGE(C195:C294)</f>
        <v>168.76229999999993</v>
      </c>
    </row>
    <row r="295" spans="1:28" x14ac:dyDescent="0.25">
      <c r="A295" s="20">
        <f t="shared" ca="1" si="83"/>
        <v>45719</v>
      </c>
      <c r="B295" vm="861">
        <f ca="1"/>
        <v>45721</v>
      </c>
      <c r="C295" vm="862">
        <f ca="1"/>
        <v>174.61</v>
      </c>
      <c r="D295" vm="863">
        <f ca="1"/>
        <v>6989086</v>
      </c>
      <c r="E295">
        <f t="shared" ca="1" si="84"/>
        <v>1220364306.46</v>
      </c>
      <c r="F295">
        <f ca="1">SUM($E$2:E295)/SUM($D$2:D295)</f>
        <v>165.26050669630993</v>
      </c>
      <c r="G295">
        <f ca="1">_xlfn.STDEV.P($C$2:C295)</f>
        <v>6.603921152652295</v>
      </c>
      <c r="H295">
        <f t="shared" ca="1" si="85"/>
        <v>171.86442784896224</v>
      </c>
      <c r="I295">
        <f t="shared" ca="1" si="86"/>
        <v>158.65658554365763</v>
      </c>
      <c r="J295">
        <f t="shared" ca="1" si="95"/>
        <v>169.96750000000003</v>
      </c>
      <c r="K295">
        <f t="shared" ca="1" si="96"/>
        <v>3.2102973710431146</v>
      </c>
      <c r="L295">
        <f t="shared" ca="1" si="97"/>
        <v>176.38809474208625</v>
      </c>
      <c r="M295">
        <f t="shared" ca="1" si="98"/>
        <v>163.54690525791381</v>
      </c>
      <c r="N295">
        <f t="shared" ca="1" si="87"/>
        <v>1.4300000000000068</v>
      </c>
      <c r="O295">
        <f t="shared" ca="1" si="88"/>
        <v>1.4300000000000068</v>
      </c>
      <c r="P295">
        <f t="shared" ca="1" si="89"/>
        <v>0</v>
      </c>
      <c r="Q295">
        <f t="shared" ca="1" si="93"/>
        <v>1.0275898762537818</v>
      </c>
      <c r="R295">
        <f t="shared" ca="1" si="94"/>
        <v>0.65773863265976806</v>
      </c>
      <c r="S295">
        <f t="shared" ca="1" si="91"/>
        <v>1.5623073136184913</v>
      </c>
      <c r="T295">
        <f t="shared" ca="1" si="92"/>
        <v>60.972675108677748</v>
      </c>
      <c r="U295">
        <f>70</f>
        <v>70</v>
      </c>
      <c r="V295">
        <f>30</f>
        <v>30</v>
      </c>
      <c r="W295">
        <f t="shared" ca="1" si="90"/>
        <v>171.87696087518552</v>
      </c>
      <c r="X295">
        <f t="shared" ca="1" si="100"/>
        <v>169.88671129992747</v>
      </c>
      <c r="Y295">
        <f t="shared" ca="1" si="99"/>
        <v>2.0648324998680323</v>
      </c>
      <c r="Z295">
        <f t="shared" ca="1" si="101"/>
        <v>1.5480971951697928</v>
      </c>
      <c r="AA295">
        <f t="shared" ca="1" si="102"/>
        <v>0.51673530469823947</v>
      </c>
      <c r="AB295">
        <f t="shared" ca="1" si="103"/>
        <v>168.82679999999993</v>
      </c>
    </row>
    <row r="296" spans="1:28" x14ac:dyDescent="0.25">
      <c r="A296" s="20">
        <f t="shared" ca="1" si="83"/>
        <v>45719</v>
      </c>
      <c r="B296" vm="864">
        <f ca="1"/>
        <v>45722</v>
      </c>
      <c r="C296" vm="865">
        <f ca="1"/>
        <v>174.66</v>
      </c>
      <c r="D296" vm="866">
        <f ca="1"/>
        <v>6702490</v>
      </c>
      <c r="E296">
        <f t="shared" ca="1" si="84"/>
        <v>1170656903.4000001</v>
      </c>
      <c r="F296">
        <f ca="1">SUM($E$2:E296)/SUM($D$2:D296)</f>
        <v>165.29190181843177</v>
      </c>
      <c r="G296">
        <f ca="1">_xlfn.STDEV.P($C$2:C296)</f>
        <v>6.6145629236176298</v>
      </c>
      <c r="H296">
        <f t="shared" ca="1" si="85"/>
        <v>171.90646474204939</v>
      </c>
      <c r="I296">
        <f t="shared" ca="1" si="86"/>
        <v>158.67733889481414</v>
      </c>
      <c r="J296">
        <f t="shared" ca="1" si="95"/>
        <v>170.25</v>
      </c>
      <c r="K296">
        <f t="shared" ca="1" si="96"/>
        <v>3.3664036722013209</v>
      </c>
      <c r="L296">
        <f t="shared" ca="1" si="97"/>
        <v>176.98280734440263</v>
      </c>
      <c r="M296">
        <f t="shared" ca="1" si="98"/>
        <v>163.51719265559737</v>
      </c>
      <c r="N296">
        <f t="shared" ca="1" si="87"/>
        <v>4.9999999999982947E-2</v>
      </c>
      <c r="O296">
        <f t="shared" ca="1" si="88"/>
        <v>4.9999999999982947E-2</v>
      </c>
      <c r="P296">
        <f t="shared" ca="1" si="89"/>
        <v>0</v>
      </c>
      <c r="Q296">
        <f t="shared" ca="1" si="93"/>
        <v>0.95776202794993903</v>
      </c>
      <c r="R296">
        <f t="shared" ca="1" si="94"/>
        <v>0.61075730175549892</v>
      </c>
      <c r="S296">
        <f t="shared" ca="1" si="91"/>
        <v>1.5681548549596458</v>
      </c>
      <c r="T296">
        <f t="shared" ca="1" si="92"/>
        <v>61.061538089543546</v>
      </c>
      <c r="U296">
        <f>70</f>
        <v>70</v>
      </c>
      <c r="V296">
        <f>30</f>
        <v>30</v>
      </c>
      <c r="W296">
        <f t="shared" ca="1" si="90"/>
        <v>172.30512074054161</v>
      </c>
      <c r="X296">
        <f t="shared" ca="1" si="100"/>
        <v>170.24028824067358</v>
      </c>
      <c r="Y296">
        <f t="shared" ca="1" si="99"/>
        <v>2.2026415433673492</v>
      </c>
      <c r="Z296">
        <f t="shared" ca="1" si="101"/>
        <v>1.6790060648093044</v>
      </c>
      <c r="AA296">
        <f t="shared" ca="1" si="102"/>
        <v>0.52363547855804482</v>
      </c>
      <c r="AB296">
        <f t="shared" ca="1" si="103"/>
        <v>168.88069999999996</v>
      </c>
    </row>
    <row r="297" spans="1:28" x14ac:dyDescent="0.25">
      <c r="A297" s="20">
        <f t="shared" ca="1" si="83"/>
        <v>45719</v>
      </c>
      <c r="B297" vm="867">
        <f ca="1"/>
        <v>45723</v>
      </c>
      <c r="C297" vm="868">
        <f ca="1"/>
        <v>175.95</v>
      </c>
      <c r="D297" vm="869">
        <f ca="1"/>
        <v>9566763</v>
      </c>
      <c r="E297">
        <f t="shared" ca="1" si="84"/>
        <v>1683271949.8499999</v>
      </c>
      <c r="F297">
        <f ca="1">SUM($E$2:E297)/SUM($D$2:D297)</f>
        <v>165.34247272411878</v>
      </c>
      <c r="G297">
        <f ca="1">_xlfn.STDEV.P($C$2:C297)</f>
        <v>6.6314269857841834</v>
      </c>
      <c r="H297">
        <f t="shared" ca="1" si="85"/>
        <v>171.97389970990295</v>
      </c>
      <c r="I297">
        <f t="shared" ca="1" si="86"/>
        <v>158.7110457383346</v>
      </c>
      <c r="J297">
        <f t="shared" ca="1" si="95"/>
        <v>170.6035</v>
      </c>
      <c r="K297">
        <f t="shared" ca="1" si="96"/>
        <v>3.5794343496085941</v>
      </c>
      <c r="L297">
        <f t="shared" ca="1" si="97"/>
        <v>177.76236869921718</v>
      </c>
      <c r="M297">
        <f t="shared" ca="1" si="98"/>
        <v>163.44463130078282</v>
      </c>
      <c r="N297">
        <f t="shared" ca="1" si="87"/>
        <v>1.289999999999992</v>
      </c>
      <c r="O297">
        <f t="shared" ca="1" si="88"/>
        <v>1.289999999999992</v>
      </c>
      <c r="P297">
        <f t="shared" ca="1" si="89"/>
        <v>0</v>
      </c>
      <c r="Q297">
        <f t="shared" ca="1" si="93"/>
        <v>0.98149331166780007</v>
      </c>
      <c r="R297">
        <f t="shared" ca="1" si="94"/>
        <v>0.56713178020153465</v>
      </c>
      <c r="S297">
        <f t="shared" ca="1" si="91"/>
        <v>1.730626542069321</v>
      </c>
      <c r="T297">
        <f t="shared" ca="1" si="92"/>
        <v>63.378368129309223</v>
      </c>
      <c r="U297">
        <f>70</f>
        <v>70</v>
      </c>
      <c r="V297">
        <f>30</f>
        <v>30</v>
      </c>
      <c r="W297">
        <f t="shared" ca="1" si="90"/>
        <v>172.86587139584287</v>
      </c>
      <c r="X297">
        <f t="shared" ca="1" si="100"/>
        <v>170.66322985247552</v>
      </c>
      <c r="Y297">
        <f t="shared" ca="1" si="99"/>
        <v>2.3102396082928465</v>
      </c>
      <c r="Z297">
        <f t="shared" ca="1" si="101"/>
        <v>1.8052527735060129</v>
      </c>
      <c r="AA297">
        <f t="shared" ca="1" si="102"/>
        <v>0.50498683478683359</v>
      </c>
      <c r="AB297">
        <f t="shared" ca="1" si="103"/>
        <v>168.95069999999996</v>
      </c>
    </row>
    <row r="298" spans="1:28" x14ac:dyDescent="0.25">
      <c r="A298" s="20">
        <f t="shared" ca="1" si="83"/>
        <v>45726</v>
      </c>
      <c r="B298" vm="870">
        <f ca="1"/>
        <v>45726</v>
      </c>
      <c r="C298" vm="871">
        <f ca="1"/>
        <v>176.26</v>
      </c>
      <c r="D298" vm="872">
        <f ca="1"/>
        <v>11047022</v>
      </c>
      <c r="E298">
        <f t="shared" ca="1" si="84"/>
        <v>1947148097.7199998</v>
      </c>
      <c r="F298">
        <f ca="1">SUM($E$2:E298)/SUM($D$2:D298)</f>
        <v>165.40196389275135</v>
      </c>
      <c r="G298">
        <f ca="1">_xlfn.STDEV.P($C$2:C298)</f>
        <v>6.6496092559666407</v>
      </c>
      <c r="H298">
        <f t="shared" ca="1" si="85"/>
        <v>172.05157314871801</v>
      </c>
      <c r="I298">
        <f t="shared" ca="1" si="86"/>
        <v>158.7523546367847</v>
      </c>
      <c r="J298">
        <f t="shared" ca="1" si="95"/>
        <v>171.01799999999997</v>
      </c>
      <c r="K298">
        <f t="shared" ca="1" si="96"/>
        <v>3.7350341363901878</v>
      </c>
      <c r="L298">
        <f t="shared" ca="1" si="97"/>
        <v>178.48806827278034</v>
      </c>
      <c r="M298">
        <f t="shared" ca="1" si="98"/>
        <v>163.54793172721961</v>
      </c>
      <c r="N298">
        <f t="shared" ca="1" si="87"/>
        <v>0.31000000000000227</v>
      </c>
      <c r="O298">
        <f t="shared" ca="1" si="88"/>
        <v>0.31000000000000227</v>
      </c>
      <c r="P298">
        <f t="shared" ca="1" si="89"/>
        <v>0</v>
      </c>
      <c r="Q298">
        <f t="shared" ca="1" si="93"/>
        <v>0.93352950369152876</v>
      </c>
      <c r="R298">
        <f t="shared" ca="1" si="94"/>
        <v>0.52662236732999645</v>
      </c>
      <c r="S298">
        <f t="shared" ca="1" si="91"/>
        <v>1.772673478387508</v>
      </c>
      <c r="T298">
        <f t="shared" ca="1" si="92"/>
        <v>63.933726499177759</v>
      </c>
      <c r="U298">
        <f>70</f>
        <v>70</v>
      </c>
      <c r="V298">
        <f>30</f>
        <v>30</v>
      </c>
      <c r="W298">
        <f t="shared" ca="1" si="90"/>
        <v>173.38804502725168</v>
      </c>
      <c r="X298">
        <f t="shared" ca="1" si="100"/>
        <v>171.07780541895883</v>
      </c>
      <c r="Y298">
        <f t="shared" ca="1" si="99"/>
        <v>2.1177282391228687</v>
      </c>
      <c r="Z298">
        <f t="shared" ca="1" si="101"/>
        <v>1.8677478666293843</v>
      </c>
      <c r="AA298">
        <f t="shared" ca="1" si="102"/>
        <v>0.24998037249348437</v>
      </c>
      <c r="AB298">
        <f t="shared" ca="1" si="103"/>
        <v>169.00239999999994</v>
      </c>
    </row>
    <row r="299" spans="1:28" x14ac:dyDescent="0.25">
      <c r="A299" s="20">
        <f t="shared" ca="1" si="83"/>
        <v>45726</v>
      </c>
      <c r="B299" vm="873">
        <f ca="1"/>
        <v>45727</v>
      </c>
      <c r="C299" vm="874">
        <f ca="1"/>
        <v>173.12</v>
      </c>
      <c r="D299" vm="875">
        <f ca="1"/>
        <v>11032285</v>
      </c>
      <c r="E299">
        <f t="shared" ca="1" si="84"/>
        <v>1909909179.2</v>
      </c>
      <c r="F299">
        <f ca="1">SUM($E$2:E299)/SUM($D$2:D299)</f>
        <v>165.44373714666713</v>
      </c>
      <c r="G299">
        <f ca="1">_xlfn.STDEV.P($C$2:C299)</f>
        <v>6.6529691766094921</v>
      </c>
      <c r="H299">
        <f t="shared" ca="1" si="85"/>
        <v>172.09670632327663</v>
      </c>
      <c r="I299">
        <f t="shared" ca="1" si="86"/>
        <v>158.79076797005763</v>
      </c>
      <c r="J299">
        <f t="shared" ca="1" si="95"/>
        <v>171.29749999999999</v>
      </c>
      <c r="K299">
        <f t="shared" ca="1" si="96"/>
        <v>3.6688516416477039</v>
      </c>
      <c r="L299">
        <f t="shared" ca="1" si="97"/>
        <v>178.6352032832954</v>
      </c>
      <c r="M299">
        <f t="shared" ca="1" si="98"/>
        <v>163.95979671670457</v>
      </c>
      <c r="N299">
        <f t="shared" ca="1" si="87"/>
        <v>-3.1399999999999864</v>
      </c>
      <c r="O299">
        <f t="shared" ca="1" si="88"/>
        <v>0</v>
      </c>
      <c r="P299">
        <f t="shared" ca="1" si="89"/>
        <v>3.1399999999999864</v>
      </c>
      <c r="Q299">
        <f t="shared" ca="1" si="93"/>
        <v>0.86684882485641956</v>
      </c>
      <c r="R299">
        <f t="shared" ca="1" si="94"/>
        <v>0.71329219823499579</v>
      </c>
      <c r="S299">
        <f t="shared" ca="1" si="91"/>
        <v>1.2152787132698095</v>
      </c>
      <c r="T299">
        <f t="shared" ca="1" si="92"/>
        <v>54.858953231940113</v>
      </c>
      <c r="U299">
        <f>70</f>
        <v>70</v>
      </c>
      <c r="V299">
        <f>30</f>
        <v>30</v>
      </c>
      <c r="W299">
        <f t="shared" ca="1" si="90"/>
        <v>173.3468073307514</v>
      </c>
      <c r="X299">
        <f t="shared" ca="1" si="100"/>
        <v>171.22907909162853</v>
      </c>
      <c r="Y299">
        <f t="shared" ca="1" si="99"/>
        <v>1.5638492092703586</v>
      </c>
      <c r="Z299">
        <f t="shared" ca="1" si="101"/>
        <v>1.8069681351575793</v>
      </c>
      <c r="AA299">
        <f t="shared" ca="1" si="102"/>
        <v>-0.24311892588722062</v>
      </c>
      <c r="AB299">
        <f t="shared" ca="1" si="103"/>
        <v>169.00849999999991</v>
      </c>
    </row>
    <row r="300" spans="1:28" x14ac:dyDescent="0.25">
      <c r="A300" s="20">
        <f t="shared" ca="1" si="83"/>
        <v>45726</v>
      </c>
      <c r="B300" vm="876">
        <f ca="1"/>
        <v>45728</v>
      </c>
      <c r="C300" vm="877">
        <f ca="1"/>
        <v>168.37</v>
      </c>
      <c r="D300" vm="878">
        <f ca="1"/>
        <v>10159136</v>
      </c>
      <c r="E300">
        <f t="shared" ca="1" si="84"/>
        <v>1710493728.3199999</v>
      </c>
      <c r="F300">
        <f ca="1">SUM($E$2:E300)/SUM($D$2:D300)</f>
        <v>165.45824947062707</v>
      </c>
      <c r="G300">
        <f ca="1">_xlfn.STDEV.P($C$2:C300)</f>
        <v>6.6438333132945457</v>
      </c>
      <c r="H300">
        <f t="shared" ca="1" si="85"/>
        <v>172.10208278392162</v>
      </c>
      <c r="I300">
        <f t="shared" ca="1" si="86"/>
        <v>158.81441615733252</v>
      </c>
      <c r="J300">
        <f t="shared" ca="1" si="95"/>
        <v>171.24449999999996</v>
      </c>
      <c r="K300">
        <f t="shared" ca="1" si="96"/>
        <v>3.7047302267009372</v>
      </c>
      <c r="L300">
        <f t="shared" ca="1" si="97"/>
        <v>178.65396045340182</v>
      </c>
      <c r="M300">
        <f t="shared" ca="1" si="98"/>
        <v>163.8350395465981</v>
      </c>
      <c r="N300">
        <f t="shared" ca="1" si="87"/>
        <v>-4.75</v>
      </c>
      <c r="O300">
        <f t="shared" ca="1" si="88"/>
        <v>0</v>
      </c>
      <c r="P300">
        <f t="shared" ca="1" si="89"/>
        <v>4.75</v>
      </c>
      <c r="Q300">
        <f t="shared" ca="1" si="93"/>
        <v>0.80493105165238965</v>
      </c>
      <c r="R300">
        <f t="shared" ca="1" si="94"/>
        <v>1.0016284697896389</v>
      </c>
      <c r="S300">
        <f t="shared" ca="1" si="91"/>
        <v>0.80362237688934757</v>
      </c>
      <c r="T300">
        <f t="shared" ca="1" si="92"/>
        <v>44.556021658775968</v>
      </c>
      <c r="U300">
        <f>70</f>
        <v>70</v>
      </c>
      <c r="V300">
        <f>30</f>
        <v>30</v>
      </c>
      <c r="W300">
        <f t="shared" ca="1" si="90"/>
        <v>172.58114466448197</v>
      </c>
      <c r="X300">
        <f t="shared" ca="1" si="100"/>
        <v>171.01729545521161</v>
      </c>
      <c r="Y300">
        <f t="shared" ca="1" si="99"/>
        <v>1.1296266165452096</v>
      </c>
      <c r="Z300">
        <f t="shared" ca="1" si="101"/>
        <v>1.6714998314351055</v>
      </c>
      <c r="AA300">
        <f t="shared" ca="1" si="102"/>
        <v>-0.54187321488989593</v>
      </c>
      <c r="AB300">
        <f t="shared" ca="1" si="103"/>
        <v>168.95649999999989</v>
      </c>
    </row>
    <row r="301" spans="1:28" x14ac:dyDescent="0.25">
      <c r="A301" s="20">
        <f t="shared" ca="1" si="83"/>
        <v>45726</v>
      </c>
      <c r="B301" vm="879">
        <f ca="1"/>
        <v>45729</v>
      </c>
      <c r="C301" vm="880">
        <f ca="1"/>
        <v>168.59</v>
      </c>
      <c r="D301" vm="881">
        <f ca="1"/>
        <v>6609126</v>
      </c>
      <c r="E301">
        <f t="shared" ca="1" si="84"/>
        <v>1114232552.3399999</v>
      </c>
      <c r="F301">
        <f ca="1">SUM($E$2:E301)/SUM($D$2:D301)</f>
        <v>165.46832108568702</v>
      </c>
      <c r="G301">
        <f ca="1">_xlfn.STDEV.P($C$2:C301)</f>
        <v>6.6350546091698934</v>
      </c>
      <c r="H301">
        <f t="shared" ca="1" si="85"/>
        <v>172.10337569485691</v>
      </c>
      <c r="I301">
        <f t="shared" ca="1" si="86"/>
        <v>158.83326647651714</v>
      </c>
      <c r="J301">
        <f t="shared" ca="1" si="95"/>
        <v>171.19499999999999</v>
      </c>
      <c r="K301">
        <f t="shared" ca="1" si="96"/>
        <v>3.7346337803972438</v>
      </c>
      <c r="L301">
        <f t="shared" ca="1" si="97"/>
        <v>178.66426756079449</v>
      </c>
      <c r="M301">
        <f t="shared" ca="1" si="98"/>
        <v>163.7257324392055</v>
      </c>
      <c r="N301">
        <f t="shared" ca="1" si="87"/>
        <v>0.21999999999999886</v>
      </c>
      <c r="O301">
        <f t="shared" ca="1" si="88"/>
        <v>0.21999999999999886</v>
      </c>
      <c r="P301">
        <f t="shared" ca="1" si="89"/>
        <v>0</v>
      </c>
      <c r="Q301">
        <f t="shared" ca="1" si="93"/>
        <v>0.76315026224864746</v>
      </c>
      <c r="R301">
        <f t="shared" ca="1" si="94"/>
        <v>0.93008357909037898</v>
      </c>
      <c r="S301">
        <f t="shared" ca="1" si="91"/>
        <v>0.82051793989848509</v>
      </c>
      <c r="T301">
        <f t="shared" ca="1" si="92"/>
        <v>45.070576999875016</v>
      </c>
      <c r="U301">
        <f>70</f>
        <v>70</v>
      </c>
      <c r="V301">
        <f>30</f>
        <v>30</v>
      </c>
      <c r="W301">
        <f t="shared" ca="1" si="90"/>
        <v>171.96712240840782</v>
      </c>
      <c r="X301">
        <f t="shared" ca="1" si="100"/>
        <v>170.83749579186261</v>
      </c>
      <c r="Y301">
        <f t="shared" ca="1" si="99"/>
        <v>0.7270918032529039</v>
      </c>
      <c r="Z301">
        <f t="shared" ca="1" si="101"/>
        <v>1.4826182257986653</v>
      </c>
      <c r="AA301">
        <f t="shared" ca="1" si="102"/>
        <v>-0.75552642254576141</v>
      </c>
      <c r="AB301">
        <f t="shared" ca="1" si="103"/>
        <v>168.91859999999994</v>
      </c>
    </row>
    <row r="302" spans="1:28" x14ac:dyDescent="0.25">
      <c r="A302" s="20">
        <f t="shared" ca="1" si="83"/>
        <v>45726</v>
      </c>
      <c r="B302" vm="882">
        <f ca="1"/>
        <v>45730</v>
      </c>
      <c r="C302" vm="814">
        <f ca="1"/>
        <v>167.97</v>
      </c>
      <c r="D302" vm="883">
        <f ca="1"/>
        <v>6790624</v>
      </c>
      <c r="E302">
        <f t="shared" ca="1" si="84"/>
        <v>1140621113.28</v>
      </c>
      <c r="F302">
        <f ca="1">SUM($E$2:E302)/SUM($D$2:D302)</f>
        <v>165.47656012380529</v>
      </c>
      <c r="G302">
        <f ca="1">_xlfn.STDEV.P($C$2:C302)</f>
        <v>6.6254668549646869</v>
      </c>
      <c r="H302">
        <f t="shared" ca="1" si="85"/>
        <v>172.10202697876997</v>
      </c>
      <c r="I302">
        <f t="shared" ca="1" si="86"/>
        <v>158.8510932688406</v>
      </c>
      <c r="J302">
        <f t="shared" ca="1" si="95"/>
        <v>171.04249999999996</v>
      </c>
      <c r="K302">
        <f t="shared" ca="1" si="96"/>
        <v>3.8037874131200504</v>
      </c>
      <c r="L302">
        <f t="shared" ca="1" si="97"/>
        <v>178.65007482624006</v>
      </c>
      <c r="M302">
        <f t="shared" ca="1" si="98"/>
        <v>163.43492517375986</v>
      </c>
      <c r="N302">
        <f t="shared" ca="1" si="87"/>
        <v>-0.62000000000000455</v>
      </c>
      <c r="O302">
        <f t="shared" ca="1" si="88"/>
        <v>0</v>
      </c>
      <c r="P302">
        <f t="shared" ca="1" si="89"/>
        <v>0.62000000000000455</v>
      </c>
      <c r="Q302">
        <f t="shared" ca="1" si="93"/>
        <v>0.70863952923088702</v>
      </c>
      <c r="R302">
        <f t="shared" ca="1" si="94"/>
        <v>0.90793475201249507</v>
      </c>
      <c r="S302">
        <f t="shared" ca="1" si="91"/>
        <v>0.78049609584845436</v>
      </c>
      <c r="T302">
        <f t="shared" ca="1" si="92"/>
        <v>43.835877970657776</v>
      </c>
      <c r="U302">
        <f>70</f>
        <v>70</v>
      </c>
      <c r="V302">
        <f>30</f>
        <v>30</v>
      </c>
      <c r="W302">
        <f t="shared" ca="1" si="90"/>
        <v>171.35218049942199</v>
      </c>
      <c r="X302">
        <f t="shared" ca="1" si="100"/>
        <v>170.62508869616909</v>
      </c>
      <c r="Y302">
        <f t="shared" ca="1" si="99"/>
        <v>0.54622160134869091</v>
      </c>
      <c r="Z302">
        <f t="shared" ca="1" si="101"/>
        <v>1.2953389009086704</v>
      </c>
      <c r="AA302">
        <f t="shared" ca="1" si="102"/>
        <v>-0.74911729955997952</v>
      </c>
      <c r="AB302">
        <f t="shared" ca="1" si="103"/>
        <v>168.87549999999996</v>
      </c>
    </row>
    <row r="303" spans="1:28" x14ac:dyDescent="0.25">
      <c r="A303" s="20">
        <f t="shared" ca="1" si="83"/>
        <v>45733</v>
      </c>
      <c r="B303" vm="884">
        <f ca="1"/>
        <v>45733</v>
      </c>
      <c r="C303" vm="885">
        <f ca="1"/>
        <v>169.76</v>
      </c>
      <c r="D303" vm="886">
        <f ca="1"/>
        <v>9931678</v>
      </c>
      <c r="E303">
        <f t="shared" ca="1" si="84"/>
        <v>1686001657.28</v>
      </c>
      <c r="F303">
        <f ca="1">SUM($E$2:E303)/SUM($D$2:D303)</f>
        <v>165.49709365686959</v>
      </c>
      <c r="G303">
        <f ca="1">_xlfn.STDEV.P($C$2:C303)</f>
        <v>6.61885639027886</v>
      </c>
      <c r="H303">
        <f t="shared" ca="1" si="85"/>
        <v>172.11595004714846</v>
      </c>
      <c r="I303">
        <f t="shared" ca="1" si="86"/>
        <v>158.87823726659073</v>
      </c>
      <c r="J303">
        <f t="shared" ca="1" si="95"/>
        <v>171.38599999999997</v>
      </c>
      <c r="K303">
        <f t="shared" ca="1" si="96"/>
        <v>3.306523695267948</v>
      </c>
      <c r="L303">
        <f t="shared" ca="1" si="97"/>
        <v>177.99904739053585</v>
      </c>
      <c r="M303">
        <f t="shared" ca="1" si="98"/>
        <v>164.77295260946408</v>
      </c>
      <c r="N303">
        <f t="shared" ca="1" si="87"/>
        <v>1.789999999999992</v>
      </c>
      <c r="O303">
        <f t="shared" ca="1" si="88"/>
        <v>1.789999999999992</v>
      </c>
      <c r="P303">
        <f t="shared" ca="1" si="89"/>
        <v>0</v>
      </c>
      <c r="Q303">
        <f t="shared" ca="1" si="93"/>
        <v>0.78587956285725169</v>
      </c>
      <c r="R303">
        <f t="shared" ca="1" si="94"/>
        <v>0.84308226972588829</v>
      </c>
      <c r="S303">
        <f t="shared" ca="1" si="91"/>
        <v>0.93215050425952506</v>
      </c>
      <c r="T303">
        <f t="shared" ca="1" si="92"/>
        <v>48.244197447587617</v>
      </c>
      <c r="U303">
        <f>70</f>
        <v>70</v>
      </c>
      <c r="V303">
        <f>30</f>
        <v>30</v>
      </c>
      <c r="W303">
        <f t="shared" ca="1" si="90"/>
        <v>171.10722965335708</v>
      </c>
      <c r="X303">
        <f t="shared" ca="1" si="100"/>
        <v>170.56100805200839</v>
      </c>
      <c r="Y303">
        <f t="shared" ca="1" si="99"/>
        <v>0.23475666707781784</v>
      </c>
      <c r="Z303">
        <f t="shared" ca="1" si="101"/>
        <v>1.0832224541425</v>
      </c>
      <c r="AA303">
        <f t="shared" ca="1" si="102"/>
        <v>-0.84846578706468212</v>
      </c>
      <c r="AB303">
        <f t="shared" ca="1" si="103"/>
        <v>168.86029999999994</v>
      </c>
    </row>
    <row r="304" spans="1:28" x14ac:dyDescent="0.25">
      <c r="A304" s="20">
        <f t="shared" ca="1" si="83"/>
        <v>45733</v>
      </c>
      <c r="B304" vm="887">
        <f ca="1"/>
        <v>45734</v>
      </c>
      <c r="C304" vm="639">
        <f ca="1"/>
        <v>167.71</v>
      </c>
      <c r="D304" vm="888">
        <f ca="1"/>
        <v>6100242</v>
      </c>
      <c r="E304">
        <f t="shared" ca="1" si="84"/>
        <v>1023071585.8200001</v>
      </c>
      <c r="F304">
        <f ca="1">SUM($E$2:E304)/SUM($D$2:D304)</f>
        <v>165.50359018943519</v>
      </c>
      <c r="G304">
        <f ca="1">_xlfn.STDEV.P($C$2:C304)</f>
        <v>6.6090449474049286</v>
      </c>
      <c r="H304">
        <f t="shared" ca="1" si="85"/>
        <v>172.11263513684011</v>
      </c>
      <c r="I304">
        <f t="shared" ca="1" si="86"/>
        <v>158.89454524203026</v>
      </c>
      <c r="J304">
        <f t="shared" ca="1" si="95"/>
        <v>171.49999999999994</v>
      </c>
      <c r="K304">
        <f t="shared" ca="1" si="96"/>
        <v>3.1246726144299357</v>
      </c>
      <c r="L304">
        <f t="shared" ca="1" si="97"/>
        <v>177.74934522885982</v>
      </c>
      <c r="M304">
        <f t="shared" ca="1" si="98"/>
        <v>165.25065477114006</v>
      </c>
      <c r="N304">
        <f t="shared" ca="1" si="87"/>
        <v>-2.0499999999999829</v>
      </c>
      <c r="O304">
        <f t="shared" ca="1" si="88"/>
        <v>0</v>
      </c>
      <c r="P304">
        <f t="shared" ca="1" si="89"/>
        <v>2.0499999999999829</v>
      </c>
      <c r="Q304">
        <f t="shared" ca="1" si="93"/>
        <v>0.729745308367448</v>
      </c>
      <c r="R304">
        <f t="shared" ca="1" si="94"/>
        <v>0.92929067903118079</v>
      </c>
      <c r="S304">
        <f t="shared" ca="1" si="91"/>
        <v>0.78527130943380807</v>
      </c>
      <c r="T304">
        <f t="shared" ca="1" si="92"/>
        <v>43.986104816911769</v>
      </c>
      <c r="U304">
        <f>70</f>
        <v>70</v>
      </c>
      <c r="V304">
        <f>30</f>
        <v>30</v>
      </c>
      <c r="W304">
        <f t="shared" ca="1" si="90"/>
        <v>170.58457893745597</v>
      </c>
      <c r="X304">
        <f t="shared" ca="1" si="100"/>
        <v>170.34982227037816</v>
      </c>
      <c r="Y304">
        <f t="shared" ca="1" si="99"/>
        <v>5.6660132625438564E-2</v>
      </c>
      <c r="Z304">
        <f t="shared" ca="1" si="101"/>
        <v>0.87790998983908775</v>
      </c>
      <c r="AA304">
        <f t="shared" ca="1" si="102"/>
        <v>-0.82124985721364918</v>
      </c>
      <c r="AB304">
        <f t="shared" ca="1" si="103"/>
        <v>168.84199999999993</v>
      </c>
    </row>
    <row r="305" spans="1:28" x14ac:dyDescent="0.25">
      <c r="A305" s="20">
        <f t="shared" ca="1" si="83"/>
        <v>45733</v>
      </c>
      <c r="B305" vm="889">
        <f ca="1"/>
        <v>45735</v>
      </c>
      <c r="C305" vm="890">
        <f ca="1"/>
        <v>168.57</v>
      </c>
      <c r="D305" vm="891">
        <f ca="1"/>
        <v>7569165</v>
      </c>
      <c r="E305">
        <f t="shared" ca="1" si="84"/>
        <v>1275934144.05</v>
      </c>
      <c r="F305">
        <f ca="1">SUM($E$2:E305)/SUM($D$2:D305)</f>
        <v>165.51471955926795</v>
      </c>
      <c r="G305">
        <f ca="1">_xlfn.STDEV.P($C$2:C305)</f>
        <v>6.600363198053353</v>
      </c>
      <c r="H305">
        <f t="shared" ca="1" si="85"/>
        <v>172.11508275732129</v>
      </c>
      <c r="I305">
        <f t="shared" ca="1" si="86"/>
        <v>158.9143563612146</v>
      </c>
      <c r="J305">
        <f t="shared" ca="1" si="95"/>
        <v>171.60399999999998</v>
      </c>
      <c r="K305">
        <f t="shared" ca="1" si="96"/>
        <v>2.9804316183363344</v>
      </c>
      <c r="L305">
        <f t="shared" ca="1" si="97"/>
        <v>177.56486323667266</v>
      </c>
      <c r="M305">
        <f t="shared" ca="1" si="98"/>
        <v>165.64313676332731</v>
      </c>
      <c r="N305">
        <f t="shared" ca="1" si="87"/>
        <v>0.85999999999998522</v>
      </c>
      <c r="O305">
        <f t="shared" ca="1" si="88"/>
        <v>0.85999999999998522</v>
      </c>
      <c r="P305">
        <f t="shared" ca="1" si="89"/>
        <v>0</v>
      </c>
      <c r="Q305">
        <f t="shared" ca="1" si="93"/>
        <v>0.73904921491262932</v>
      </c>
      <c r="R305">
        <f t="shared" ca="1" si="94"/>
        <v>0.8629127733860964</v>
      </c>
      <c r="S305">
        <f t="shared" ca="1" si="91"/>
        <v>0.85645877278253435</v>
      </c>
      <c r="T305">
        <f t="shared" ca="1" si="92"/>
        <v>46.134004446478485</v>
      </c>
      <c r="U305">
        <f>70</f>
        <v>70</v>
      </c>
      <c r="V305">
        <f>30</f>
        <v>30</v>
      </c>
      <c r="W305">
        <f t="shared" ca="1" si="90"/>
        <v>170.2746437163089</v>
      </c>
      <c r="X305">
        <f t="shared" ca="1" si="100"/>
        <v>170.21798358368346</v>
      </c>
      <c r="Y305">
        <f t="shared" ca="1" si="99"/>
        <v>-0.16488741012358332</v>
      </c>
      <c r="Z305">
        <f t="shared" ca="1" si="101"/>
        <v>0.66935050984655364</v>
      </c>
      <c r="AA305">
        <f t="shared" ca="1" si="102"/>
        <v>-0.83423791997013697</v>
      </c>
      <c r="AB305">
        <f t="shared" ca="1" si="103"/>
        <v>168.83069999999992</v>
      </c>
    </row>
    <row r="306" spans="1:28" x14ac:dyDescent="0.25">
      <c r="A306" s="20">
        <f t="shared" ca="1" si="83"/>
        <v>45733</v>
      </c>
      <c r="B306" vm="892">
        <f ca="1"/>
        <v>45736</v>
      </c>
      <c r="C306" vm="893">
        <f ca="1"/>
        <v>167.55</v>
      </c>
      <c r="D306" vm="894">
        <f ca="1"/>
        <v>8789167</v>
      </c>
      <c r="E306">
        <f t="shared" ca="1" si="84"/>
        <v>1472624930.8500001</v>
      </c>
      <c r="F306">
        <f ca="1">SUM($E$2:E306)/SUM($D$2:D306)</f>
        <v>165.52326113348124</v>
      </c>
      <c r="G306">
        <f ca="1">_xlfn.STDEV.P($C$2:C306)</f>
        <v>6.5904714326759661</v>
      </c>
      <c r="H306">
        <f t="shared" ca="1" si="85"/>
        <v>172.11373256615721</v>
      </c>
      <c r="I306">
        <f t="shared" ca="1" si="86"/>
        <v>158.93278970080527</v>
      </c>
      <c r="J306">
        <f t="shared" ca="1" si="95"/>
        <v>171.62099999999998</v>
      </c>
      <c r="K306">
        <f t="shared" ca="1" si="96"/>
        <v>2.9549100974835967</v>
      </c>
      <c r="L306">
        <f t="shared" ca="1" si="97"/>
        <v>177.53082019496716</v>
      </c>
      <c r="M306">
        <f t="shared" ca="1" si="98"/>
        <v>165.7111798050328</v>
      </c>
      <c r="N306">
        <f t="shared" ca="1" si="87"/>
        <v>-1.0199999999999818</v>
      </c>
      <c r="O306">
        <f t="shared" ca="1" si="88"/>
        <v>0</v>
      </c>
      <c r="P306">
        <f t="shared" ca="1" si="89"/>
        <v>1.0199999999999818</v>
      </c>
      <c r="Q306">
        <f t="shared" ca="1" si="93"/>
        <v>0.68625998527601284</v>
      </c>
      <c r="R306">
        <f t="shared" ca="1" si="94"/>
        <v>0.87413328957280256</v>
      </c>
      <c r="S306">
        <f t="shared" ca="1" si="91"/>
        <v>0.78507476315356295</v>
      </c>
      <c r="T306">
        <f t="shared" ca="1" si="92"/>
        <v>43.97993738741944</v>
      </c>
      <c r="U306">
        <f>70</f>
        <v>70</v>
      </c>
      <c r="V306">
        <f>30</f>
        <v>30</v>
      </c>
      <c r="W306">
        <f t="shared" ca="1" si="90"/>
        <v>169.85546775995368</v>
      </c>
      <c r="X306">
        <f t="shared" ca="1" si="100"/>
        <v>170.02035517007727</v>
      </c>
      <c r="Y306">
        <f t="shared" ca="1" si="99"/>
        <v>-0.40518947455518628</v>
      </c>
      <c r="Z306">
        <f t="shared" ca="1" si="101"/>
        <v>0.45444251296620569</v>
      </c>
      <c r="AA306">
        <f t="shared" ca="1" si="102"/>
        <v>-0.85963198752139203</v>
      </c>
      <c r="AB306">
        <f t="shared" ca="1" si="103"/>
        <v>168.81039999999993</v>
      </c>
    </row>
    <row r="307" spans="1:28" x14ac:dyDescent="0.25">
      <c r="A307" s="20">
        <f t="shared" ca="1" si="83"/>
        <v>45733</v>
      </c>
      <c r="B307" vm="895">
        <f ca="1"/>
        <v>45737</v>
      </c>
      <c r="C307" vm="896">
        <f ca="1"/>
        <v>166.69</v>
      </c>
      <c r="D307" vm="897">
        <f ca="1"/>
        <v>16027251</v>
      </c>
      <c r="E307">
        <f t="shared" ca="1" si="84"/>
        <v>2671582469.1900001</v>
      </c>
      <c r="F307">
        <f ca="1">SUM($E$2:E307)/SUM($D$2:D307)</f>
        <v>165.53212223466693</v>
      </c>
      <c r="G307">
        <f ca="1">_xlfn.STDEV.P($C$2:C307)</f>
        <v>6.5799815161400499</v>
      </c>
      <c r="H307">
        <f t="shared" ca="1" si="85"/>
        <v>172.11210375080697</v>
      </c>
      <c r="I307">
        <f t="shared" ca="1" si="86"/>
        <v>158.95214071852689</v>
      </c>
      <c r="J307">
        <f t="shared" ca="1" si="95"/>
        <v>171.44400000000005</v>
      </c>
      <c r="K307">
        <f t="shared" ca="1" si="96"/>
        <v>3.1426746905345309</v>
      </c>
      <c r="L307">
        <f t="shared" ca="1" si="97"/>
        <v>177.72934938106911</v>
      </c>
      <c r="M307">
        <f t="shared" ca="1" si="98"/>
        <v>165.15865061893098</v>
      </c>
      <c r="N307">
        <f t="shared" ca="1" si="87"/>
        <v>-0.86000000000001364</v>
      </c>
      <c r="O307">
        <f t="shared" ca="1" si="88"/>
        <v>0</v>
      </c>
      <c r="P307">
        <f t="shared" ca="1" si="89"/>
        <v>0.86000000000001364</v>
      </c>
      <c r="Q307">
        <f t="shared" ca="1" si="93"/>
        <v>0.63724141489915476</v>
      </c>
      <c r="R307">
        <f t="shared" ca="1" si="94"/>
        <v>0.87312376888903198</v>
      </c>
      <c r="S307">
        <f t="shared" ca="1" si="91"/>
        <v>0.72984087434704092</v>
      </c>
      <c r="T307">
        <f t="shared" ca="1" si="92"/>
        <v>42.191214531367358</v>
      </c>
      <c r="U307">
        <f>70</f>
        <v>70</v>
      </c>
      <c r="V307">
        <f>30</f>
        <v>30</v>
      </c>
      <c r="W307">
        <f t="shared" ca="1" si="90"/>
        <v>169.36847271996081</v>
      </c>
      <c r="X307">
        <f t="shared" ca="1" si="100"/>
        <v>169.77366219451599</v>
      </c>
      <c r="Y307">
        <f t="shared" ca="1" si="99"/>
        <v>-0.67180574184993702</v>
      </c>
      <c r="Z307">
        <f t="shared" ca="1" si="101"/>
        <v>0.22919286200297717</v>
      </c>
      <c r="AA307">
        <f t="shared" ca="1" si="102"/>
        <v>-0.90099860385291419</v>
      </c>
      <c r="AB307">
        <f t="shared" ca="1" si="103"/>
        <v>168.78109999999992</v>
      </c>
    </row>
    <row r="308" spans="1:28" x14ac:dyDescent="0.25">
      <c r="A308" s="20">
        <f t="shared" ca="1" si="83"/>
        <v>45740</v>
      </c>
      <c r="B308" vm="898">
        <f ca="1"/>
        <v>45740</v>
      </c>
      <c r="C308" vm="899">
        <f ca="1"/>
        <v>165.65</v>
      </c>
      <c r="D308" vm="900">
        <f ca="1"/>
        <v>6102109</v>
      </c>
      <c r="E308">
        <f t="shared" ca="1" si="84"/>
        <v>1010814355.85</v>
      </c>
      <c r="F308">
        <f ca="1">SUM($E$2:E308)/SUM($D$2:D308)</f>
        <v>165.53246210469146</v>
      </c>
      <c r="G308">
        <f ca="1">_xlfn.STDEV.P($C$2:C308)</f>
        <v>6.5692564865038161</v>
      </c>
      <c r="H308">
        <f t="shared" ca="1" si="85"/>
        <v>172.10171859119527</v>
      </c>
      <c r="I308">
        <f t="shared" ca="1" si="86"/>
        <v>158.96320561818766</v>
      </c>
      <c r="J308">
        <f t="shared" ca="1" si="95"/>
        <v>171.19950000000006</v>
      </c>
      <c r="K308">
        <f t="shared" ca="1" si="96"/>
        <v>3.3966647340868752</v>
      </c>
      <c r="L308">
        <f t="shared" ca="1" si="97"/>
        <v>177.9928294681738</v>
      </c>
      <c r="M308">
        <f t="shared" ca="1" si="98"/>
        <v>164.40617053182632</v>
      </c>
      <c r="N308">
        <f t="shared" ca="1" si="87"/>
        <v>-1.039999999999992</v>
      </c>
      <c r="O308">
        <f t="shared" ca="1" si="88"/>
        <v>0</v>
      </c>
      <c r="P308">
        <f t="shared" ca="1" si="89"/>
        <v>1.039999999999992</v>
      </c>
      <c r="Q308">
        <f t="shared" ca="1" si="93"/>
        <v>0.59172417097778662</v>
      </c>
      <c r="R308">
        <f t="shared" ca="1" si="94"/>
        <v>0.88504349968267193</v>
      </c>
      <c r="S308">
        <f t="shared" ca="1" si="91"/>
        <v>0.66858202019442714</v>
      </c>
      <c r="T308">
        <f t="shared" ca="1" si="92"/>
        <v>40.068873576650574</v>
      </c>
      <c r="U308">
        <f>70</f>
        <v>70</v>
      </c>
      <c r="V308">
        <f>30</f>
        <v>30</v>
      </c>
      <c r="W308">
        <f t="shared" ca="1" si="90"/>
        <v>168.796399993813</v>
      </c>
      <c r="X308">
        <f t="shared" ca="1" si="100"/>
        <v>169.46820573566293</v>
      </c>
      <c r="Y308">
        <f t="shared" ca="1" si="99"/>
        <v>-1.0963990482278803</v>
      </c>
      <c r="Z308">
        <f t="shared" ca="1" si="101"/>
        <v>-3.5925520043194298E-2</v>
      </c>
      <c r="AA308">
        <f t="shared" ca="1" si="102"/>
        <v>-1.060473528184686</v>
      </c>
      <c r="AB308">
        <f t="shared" ca="1" si="103"/>
        <v>168.75539999999992</v>
      </c>
    </row>
    <row r="309" spans="1:28" x14ac:dyDescent="0.25">
      <c r="A309" s="20">
        <f t="shared" ca="1" si="83"/>
        <v>45740</v>
      </c>
      <c r="B309" vm="901">
        <f ca="1"/>
        <v>45741</v>
      </c>
      <c r="C309" vm="902">
        <f ca="1"/>
        <v>162.85</v>
      </c>
      <c r="D309" vm="903">
        <f ca="1"/>
        <v>8366736</v>
      </c>
      <c r="E309">
        <f t="shared" ca="1" si="84"/>
        <v>1362522957.5999999</v>
      </c>
      <c r="F309">
        <f ca="1">SUM($E$2:E309)/SUM($D$2:D309)</f>
        <v>165.52189935063441</v>
      </c>
      <c r="G309">
        <f ca="1">_xlfn.STDEV.P($C$2:C309)</f>
        <v>6.5604702316813786</v>
      </c>
      <c r="H309">
        <f t="shared" ca="1" si="85"/>
        <v>172.08236958231578</v>
      </c>
      <c r="I309">
        <f t="shared" ca="1" si="86"/>
        <v>158.96142911895305</v>
      </c>
      <c r="J309">
        <f t="shared" ca="1" si="95"/>
        <v>170.70950000000002</v>
      </c>
      <c r="K309">
        <f t="shared" ca="1" si="96"/>
        <v>3.8526647988933029</v>
      </c>
      <c r="L309">
        <f t="shared" ca="1" si="97"/>
        <v>178.41482959778662</v>
      </c>
      <c r="M309">
        <f t="shared" ca="1" si="98"/>
        <v>163.00417040221342</v>
      </c>
      <c r="N309">
        <f t="shared" ca="1" si="87"/>
        <v>-2.8000000000000114</v>
      </c>
      <c r="O309">
        <f t="shared" ca="1" si="88"/>
        <v>0</v>
      </c>
      <c r="P309">
        <f t="shared" ca="1" si="89"/>
        <v>2.8000000000000114</v>
      </c>
      <c r="Q309">
        <f t="shared" ca="1" si="93"/>
        <v>0.54945815876508752</v>
      </c>
      <c r="R309">
        <f t="shared" ca="1" si="94"/>
        <v>1.0218261068481962</v>
      </c>
      <c r="S309">
        <f t="shared" ca="1" si="91"/>
        <v>0.53772178561759509</v>
      </c>
      <c r="T309">
        <f t="shared" ca="1" si="92"/>
        <v>34.968730406692515</v>
      </c>
      <c r="U309">
        <f>70</f>
        <v>70</v>
      </c>
      <c r="V309">
        <f>30</f>
        <v>30</v>
      </c>
      <c r="W309">
        <f t="shared" ca="1" si="90"/>
        <v>167.88156922553409</v>
      </c>
      <c r="X309">
        <f t="shared" ca="1" si="100"/>
        <v>168.97796827376197</v>
      </c>
      <c r="Y309">
        <f t="shared" ca="1" si="99"/>
        <v>-1.1190131880028673</v>
      </c>
      <c r="Z309">
        <f t="shared" ca="1" si="101"/>
        <v>-0.25254305363512891</v>
      </c>
      <c r="AA309">
        <f t="shared" ca="1" si="102"/>
        <v>-0.86647013436773834</v>
      </c>
      <c r="AB309">
        <f t="shared" ca="1" si="103"/>
        <v>168.69089999999994</v>
      </c>
    </row>
    <row r="310" spans="1:28" x14ac:dyDescent="0.25">
      <c r="A310" s="20">
        <f t="shared" ca="1" si="83"/>
        <v>45740</v>
      </c>
      <c r="B310" vm="904">
        <f ca="1"/>
        <v>45742</v>
      </c>
      <c r="C310" vm="648">
        <f ca="1"/>
        <v>166.58</v>
      </c>
      <c r="D310" vm="905">
        <f ca="1"/>
        <v>7757259</v>
      </c>
      <c r="E310">
        <f t="shared" ca="1" si="84"/>
        <v>1292204204.22</v>
      </c>
      <c r="F310">
        <f ca="1">SUM($E$2:E310)/SUM($D$2:D310)</f>
        <v>165.52574828155238</v>
      </c>
      <c r="G310">
        <f ca="1">_xlfn.STDEV.P($C$2:C310)</f>
        <v>6.5500792723159487</v>
      </c>
      <c r="H310">
        <f t="shared" ca="1" si="85"/>
        <v>172.07582755386832</v>
      </c>
      <c r="I310">
        <f t="shared" ca="1" si="86"/>
        <v>158.97566900923644</v>
      </c>
      <c r="J310">
        <f t="shared" ca="1" si="95"/>
        <v>170.4735</v>
      </c>
      <c r="K310">
        <f t="shared" ca="1" si="96"/>
        <v>3.9577216664987538</v>
      </c>
      <c r="L310">
        <f t="shared" ca="1" si="97"/>
        <v>178.38894333299751</v>
      </c>
      <c r="M310">
        <f t="shared" ca="1" si="98"/>
        <v>162.55805666700249</v>
      </c>
      <c r="N310">
        <f t="shared" ca="1" si="87"/>
        <v>3.7300000000000182</v>
      </c>
      <c r="O310">
        <f t="shared" ca="1" si="88"/>
        <v>3.7300000000000182</v>
      </c>
      <c r="P310">
        <f t="shared" ca="1" si="89"/>
        <v>0</v>
      </c>
      <c r="Q310">
        <f t="shared" ca="1" si="93"/>
        <v>0.77663971885329686</v>
      </c>
      <c r="R310">
        <f t="shared" ca="1" si="94"/>
        <v>0.94883852778761069</v>
      </c>
      <c r="S310">
        <f t="shared" ca="1" si="91"/>
        <v>0.81851621335842395</v>
      </c>
      <c r="T310">
        <f t="shared" ca="1" si="92"/>
        <v>45.010113594026947</v>
      </c>
      <c r="U310">
        <f>70</f>
        <v>70</v>
      </c>
      <c r="V310">
        <f>30</f>
        <v>30</v>
      </c>
      <c r="W310">
        <f t="shared" ca="1" si="90"/>
        <v>167.68132780622116</v>
      </c>
      <c r="X310">
        <f t="shared" ca="1" si="100"/>
        <v>168.80034099422403</v>
      </c>
      <c r="Y310">
        <f t="shared" ca="1" si="99"/>
        <v>-0.95406400192342744</v>
      </c>
      <c r="Z310">
        <f t="shared" ca="1" si="101"/>
        <v>-0.39284724329278864</v>
      </c>
      <c r="AA310">
        <f t="shared" ca="1" si="102"/>
        <v>-0.5612167586306388</v>
      </c>
      <c r="AB310">
        <f t="shared" ca="1" si="103"/>
        <v>168.68499999999997</v>
      </c>
    </row>
    <row r="311" spans="1:28" x14ac:dyDescent="0.25">
      <c r="A311" s="20">
        <f t="shared" ca="1" si="83"/>
        <v>45740</v>
      </c>
      <c r="B311" vm="906">
        <f ca="1"/>
        <v>45743</v>
      </c>
      <c r="C311" vm="907">
        <f ca="1"/>
        <v>168.71</v>
      </c>
      <c r="D311" vm="908">
        <f ca="1"/>
        <v>6211735</v>
      </c>
      <c r="E311">
        <f t="shared" ca="1" si="84"/>
        <v>1047981811.85</v>
      </c>
      <c r="F311">
        <f ca="1">SUM($E$2:E311)/SUM($D$2:D311)</f>
        <v>165.53499658264496</v>
      </c>
      <c r="G311">
        <f ca="1">_xlfn.STDEV.P($C$2:C311)</f>
        <v>6.5418685276843327</v>
      </c>
      <c r="H311">
        <f t="shared" ca="1" si="85"/>
        <v>172.07686511032929</v>
      </c>
      <c r="I311">
        <f t="shared" ca="1" si="86"/>
        <v>158.99312805496064</v>
      </c>
      <c r="J311">
        <f t="shared" ca="1" si="95"/>
        <v>170.31049999999999</v>
      </c>
      <c r="K311">
        <f t="shared" ca="1" si="96"/>
        <v>3.959975378711337</v>
      </c>
      <c r="L311">
        <f t="shared" ca="1" si="97"/>
        <v>178.23045075742266</v>
      </c>
      <c r="M311">
        <f t="shared" ca="1" si="98"/>
        <v>162.39054924257732</v>
      </c>
      <c r="N311">
        <f t="shared" ca="1" si="87"/>
        <v>2.1299999999999955</v>
      </c>
      <c r="O311">
        <f t="shared" ca="1" si="88"/>
        <v>2.1299999999999955</v>
      </c>
      <c r="P311">
        <f t="shared" ca="1" si="89"/>
        <v>0</v>
      </c>
      <c r="Q311">
        <f t="shared" ca="1" si="93"/>
        <v>0.87330831036377532</v>
      </c>
      <c r="R311">
        <f t="shared" ca="1" si="94"/>
        <v>0.88106434723135274</v>
      </c>
      <c r="S311">
        <f t="shared" ca="1" si="91"/>
        <v>0.99119696887979869</v>
      </c>
      <c r="T311">
        <f t="shared" ca="1" si="92"/>
        <v>49.778951272581693</v>
      </c>
      <c r="U311">
        <f>70</f>
        <v>70</v>
      </c>
      <c r="V311">
        <f>30</f>
        <v>30</v>
      </c>
      <c r="W311">
        <f t="shared" ca="1" si="90"/>
        <v>167.83958506680253</v>
      </c>
      <c r="X311">
        <f t="shared" ca="1" si="100"/>
        <v>168.79364906872595</v>
      </c>
      <c r="Y311">
        <f t="shared" ca="1" si="99"/>
        <v>-0.86820279913271747</v>
      </c>
      <c r="Z311">
        <f t="shared" ca="1" si="101"/>
        <v>-0.48791835446077447</v>
      </c>
      <c r="AA311">
        <f t="shared" ca="1" si="102"/>
        <v>-0.380284444671943</v>
      </c>
      <c r="AB311">
        <f t="shared" ca="1" si="103"/>
        <v>168.71049999999997</v>
      </c>
    </row>
    <row r="312" spans="1:28" x14ac:dyDescent="0.25">
      <c r="A312" s="20">
        <f t="shared" ca="1" si="83"/>
        <v>45740</v>
      </c>
      <c r="B312" vm="909">
        <f ca="1"/>
        <v>45744</v>
      </c>
      <c r="C312" vm="910">
        <f ca="1"/>
        <v>168.03</v>
      </c>
      <c r="D312" vm="911">
        <f ca="1"/>
        <v>5479306</v>
      </c>
      <c r="E312">
        <f t="shared" ca="1" si="84"/>
        <v>920687787.17999995</v>
      </c>
      <c r="F312">
        <f ca="1">SUM($E$2:E312)/SUM($D$2:D312)</f>
        <v>165.54137227186271</v>
      </c>
      <c r="G312">
        <f ca="1">_xlfn.STDEV.P($C$2:C312)</f>
        <v>6.5327677502223285</v>
      </c>
      <c r="H312">
        <f t="shared" ca="1" si="85"/>
        <v>172.07414002208503</v>
      </c>
      <c r="I312">
        <f t="shared" ca="1" si="86"/>
        <v>159.00860452164039</v>
      </c>
      <c r="J312">
        <f t="shared" ca="1" si="95"/>
        <v>170.02</v>
      </c>
      <c r="K312">
        <f t="shared" ca="1" si="96"/>
        <v>3.9000823203187833</v>
      </c>
      <c r="L312">
        <f t="shared" ca="1" si="97"/>
        <v>177.82016464063759</v>
      </c>
      <c r="M312">
        <f t="shared" ca="1" si="98"/>
        <v>162.21983535936243</v>
      </c>
      <c r="N312">
        <f t="shared" ca="1" si="87"/>
        <v>-0.68000000000000682</v>
      </c>
      <c r="O312">
        <f t="shared" ca="1" si="88"/>
        <v>0</v>
      </c>
      <c r="P312">
        <f t="shared" ca="1" si="89"/>
        <v>0.68000000000000682</v>
      </c>
      <c r="Q312">
        <f t="shared" ca="1" si="93"/>
        <v>0.81092914533779137</v>
      </c>
      <c r="R312">
        <f t="shared" ca="1" si="94"/>
        <v>0.8667026081433995</v>
      </c>
      <c r="S312">
        <f t="shared" ca="1" si="91"/>
        <v>0.9356486731647401</v>
      </c>
      <c r="T312">
        <f t="shared" ca="1" si="92"/>
        <v>48.337732261866329</v>
      </c>
      <c r="U312">
        <f>70</f>
        <v>70</v>
      </c>
      <c r="V312">
        <f>30</f>
        <v>30</v>
      </c>
      <c r="W312">
        <f t="shared" ca="1" si="90"/>
        <v>167.86887967190984</v>
      </c>
      <c r="X312">
        <f t="shared" ca="1" si="100"/>
        <v>168.73708247104256</v>
      </c>
      <c r="Y312">
        <f t="shared" ca="1" si="99"/>
        <v>-0.60038330635788384</v>
      </c>
      <c r="Z312">
        <f t="shared" ca="1" si="101"/>
        <v>-0.51041134484019635</v>
      </c>
      <c r="AA312">
        <f t="shared" ca="1" si="102"/>
        <v>-8.9971961517687493E-2</v>
      </c>
      <c r="AB312">
        <f t="shared" ca="1" si="103"/>
        <v>168.73899999999995</v>
      </c>
    </row>
    <row r="313" spans="1:28" x14ac:dyDescent="0.25">
      <c r="A313" s="20">
        <f t="shared" ca="1" si="83"/>
        <v>45747</v>
      </c>
      <c r="B313" vm="912">
        <f ca="1"/>
        <v>45747</v>
      </c>
      <c r="C313" vm="913">
        <f ca="1"/>
        <v>170.42</v>
      </c>
      <c r="D313" vm="914">
        <f ca="1"/>
        <v>11520451</v>
      </c>
      <c r="E313">
        <f t="shared" ca="1" si="84"/>
        <v>1963315259.4199998</v>
      </c>
      <c r="F313">
        <f ca="1">SUM($E$2:E313)/SUM($D$2:D313)</f>
        <v>165.56744403927328</v>
      </c>
      <c r="G313">
        <f ca="1">_xlfn.STDEV.P($C$2:C313)</f>
        <v>6.527912908562242</v>
      </c>
      <c r="H313">
        <f t="shared" ca="1" si="85"/>
        <v>172.09535694783551</v>
      </c>
      <c r="I313">
        <f t="shared" ca="1" si="86"/>
        <v>159.03953113071105</v>
      </c>
      <c r="J313">
        <f t="shared" ca="1" si="95"/>
        <v>169.76150000000001</v>
      </c>
      <c r="K313">
        <f t="shared" ca="1" si="96"/>
        <v>3.6763887816285425</v>
      </c>
      <c r="L313">
        <f t="shared" ca="1" si="97"/>
        <v>177.1142775632571</v>
      </c>
      <c r="M313">
        <f t="shared" ca="1" si="98"/>
        <v>162.40872243674292</v>
      </c>
      <c r="N313">
        <f t="shared" ca="1" si="87"/>
        <v>2.3899999999999864</v>
      </c>
      <c r="O313">
        <f t="shared" ca="1" si="88"/>
        <v>2.3899999999999864</v>
      </c>
      <c r="P313">
        <f t="shared" ca="1" si="89"/>
        <v>0</v>
      </c>
      <c r="Q313">
        <f t="shared" ca="1" si="93"/>
        <v>0.92371992067080533</v>
      </c>
      <c r="R313">
        <f t="shared" ca="1" si="94"/>
        <v>0.80479527899029957</v>
      </c>
      <c r="S313">
        <f t="shared" ca="1" si="91"/>
        <v>1.1477700538076083</v>
      </c>
      <c r="T313">
        <f t="shared" ca="1" si="92"/>
        <v>53.44008087703893</v>
      </c>
      <c r="U313">
        <f>70</f>
        <v>70</v>
      </c>
      <c r="V313">
        <f>30</f>
        <v>30</v>
      </c>
      <c r="W313">
        <f t="shared" ca="1" si="90"/>
        <v>168.26135972238524</v>
      </c>
      <c r="X313">
        <f t="shared" ca="1" si="100"/>
        <v>168.86174302874312</v>
      </c>
      <c r="Y313">
        <f t="shared" ca="1" si="99"/>
        <v>-0.37254315325668586</v>
      </c>
      <c r="Z313">
        <f t="shared" ca="1" si="101"/>
        <v>-0.48283770652349428</v>
      </c>
      <c r="AA313">
        <f t="shared" ca="1" si="102"/>
        <v>0.11029455326680843</v>
      </c>
      <c r="AB313">
        <f t="shared" ca="1" si="103"/>
        <v>168.79219999999995</v>
      </c>
    </row>
    <row r="314" spans="1:28" x14ac:dyDescent="0.25">
      <c r="A314" s="20">
        <f t="shared" ca="1" si="83"/>
        <v>45747</v>
      </c>
      <c r="B314" vm="915">
        <f ca="1"/>
        <v>45748</v>
      </c>
      <c r="C314" vm="916">
        <f ca="1"/>
        <v>170.56</v>
      </c>
      <c r="D314" vm="917">
        <f ca="1"/>
        <v>7021507</v>
      </c>
      <c r="E314">
        <f t="shared" ca="1" si="84"/>
        <v>1197588233.9200001</v>
      </c>
      <c r="F314">
        <f ca="1">SUM($E$2:E314)/SUM($D$2:D314)</f>
        <v>165.58365259567776</v>
      </c>
      <c r="G314">
        <f ca="1">_xlfn.STDEV.P($C$2:C314)</f>
        <v>6.5233809784975412</v>
      </c>
      <c r="H314">
        <f t="shared" ca="1" si="85"/>
        <v>172.10703357417529</v>
      </c>
      <c r="I314">
        <f t="shared" ca="1" si="86"/>
        <v>159.06027161718023</v>
      </c>
      <c r="J314">
        <f t="shared" ca="1" si="95"/>
        <v>169.63050000000001</v>
      </c>
      <c r="K314">
        <f t="shared" ca="1" si="96"/>
        <v>3.5939210005083195</v>
      </c>
      <c r="L314">
        <f t="shared" ca="1" si="97"/>
        <v>176.81834200101665</v>
      </c>
      <c r="M314">
        <f t="shared" ca="1" si="98"/>
        <v>162.44265799898338</v>
      </c>
      <c r="N314">
        <f t="shared" ca="1" si="87"/>
        <v>0.14000000000001478</v>
      </c>
      <c r="O314">
        <f t="shared" ca="1" si="88"/>
        <v>0.14000000000001478</v>
      </c>
      <c r="P314">
        <f t="shared" ca="1" si="89"/>
        <v>0</v>
      </c>
      <c r="Q314">
        <f t="shared" ca="1" si="93"/>
        <v>0.86773992633717734</v>
      </c>
      <c r="R314">
        <f t="shared" ca="1" si="94"/>
        <v>0.74730990191956381</v>
      </c>
      <c r="S314">
        <f t="shared" ca="1" si="91"/>
        <v>1.1611513832591716</v>
      </c>
      <c r="T314">
        <f t="shared" ca="1" si="92"/>
        <v>53.728368695212446</v>
      </c>
      <c r="U314">
        <f>70</f>
        <v>70</v>
      </c>
      <c r="V314">
        <f>30</f>
        <v>30</v>
      </c>
      <c r="W314">
        <f t="shared" ca="1" si="90"/>
        <v>168.61499668817214</v>
      </c>
      <c r="X314">
        <f t="shared" ca="1" si="100"/>
        <v>168.98753984142883</v>
      </c>
      <c r="Y314">
        <f t="shared" ca="1" si="99"/>
        <v>-0.27434880933688532</v>
      </c>
      <c r="Z314">
        <f t="shared" ca="1" si="101"/>
        <v>-0.4411399270861725</v>
      </c>
      <c r="AA314">
        <f t="shared" ca="1" si="102"/>
        <v>0.16679111774928718</v>
      </c>
      <c r="AB314">
        <f t="shared" ca="1" si="103"/>
        <v>168.84699999999998</v>
      </c>
    </row>
    <row r="315" spans="1:28" x14ac:dyDescent="0.25">
      <c r="A315" s="20">
        <f t="shared" ca="1" si="83"/>
        <v>45747</v>
      </c>
      <c r="B315" vm="918">
        <f ca="1"/>
        <v>45749</v>
      </c>
      <c r="C315" vm="919">
        <f ca="1"/>
        <v>169.5</v>
      </c>
      <c r="D315" vm="920">
        <f ca="1"/>
        <v>6274548</v>
      </c>
      <c r="E315">
        <f t="shared" ca="1" si="84"/>
        <v>1063535886</v>
      </c>
      <c r="F315">
        <f ca="1">SUM($E$2:E315)/SUM($D$2:D315)</f>
        <v>165.59498172615343</v>
      </c>
      <c r="G315">
        <f ca="1">_xlfn.STDEV.P($C$2:C315)</f>
        <v>6.5165803886130353</v>
      </c>
      <c r="H315">
        <f t="shared" ca="1" si="85"/>
        <v>172.11156211476646</v>
      </c>
      <c r="I315">
        <f t="shared" ca="1" si="86"/>
        <v>159.07840133754041</v>
      </c>
      <c r="J315">
        <f t="shared" ca="1" si="95"/>
        <v>169.375</v>
      </c>
      <c r="K315">
        <f t="shared" ca="1" si="96"/>
        <v>3.3975618192741468</v>
      </c>
      <c r="L315">
        <f t="shared" ca="1" si="97"/>
        <v>176.17012363854829</v>
      </c>
      <c r="M315">
        <f t="shared" ca="1" si="98"/>
        <v>162.57987636145171</v>
      </c>
      <c r="N315">
        <f t="shared" ca="1" si="87"/>
        <v>-1.0600000000000023</v>
      </c>
      <c r="O315">
        <f t="shared" ca="1" si="88"/>
        <v>0</v>
      </c>
      <c r="P315">
        <f t="shared" ca="1" si="89"/>
        <v>1.0600000000000023</v>
      </c>
      <c r="Q315">
        <f t="shared" ca="1" si="93"/>
        <v>0.80575850302737895</v>
      </c>
      <c r="R315">
        <f t="shared" ca="1" si="94"/>
        <v>0.76964490892530946</v>
      </c>
      <c r="S315">
        <f t="shared" ca="1" si="91"/>
        <v>1.0469224101702908</v>
      </c>
      <c r="T315">
        <f t="shared" ca="1" si="92"/>
        <v>51.14616973113278</v>
      </c>
      <c r="U315">
        <f>70</f>
        <v>70</v>
      </c>
      <c r="V315">
        <f>30</f>
        <v>30</v>
      </c>
      <c r="W315">
        <f t="shared" ca="1" si="90"/>
        <v>168.75115104383795</v>
      </c>
      <c r="X315">
        <f t="shared" ca="1" si="100"/>
        <v>169.02549985317484</v>
      </c>
      <c r="Y315">
        <f t="shared" ca="1" si="99"/>
        <v>3.6251873897583664E-2</v>
      </c>
      <c r="Z315">
        <f t="shared" ca="1" si="101"/>
        <v>-0.34566156688942129</v>
      </c>
      <c r="AA315">
        <f t="shared" ca="1" si="102"/>
        <v>0.38191344078700495</v>
      </c>
      <c r="AB315">
        <f t="shared" ca="1" si="103"/>
        <v>168.8844</v>
      </c>
    </row>
    <row r="316" spans="1:28" x14ac:dyDescent="0.25">
      <c r="A316" s="20">
        <f t="shared" ca="1" si="83"/>
        <v>45747</v>
      </c>
      <c r="B316" vm="921">
        <f ca="1"/>
        <v>45750</v>
      </c>
      <c r="C316" vm="922">
        <f ca="1"/>
        <v>172.39</v>
      </c>
      <c r="D316" vm="923">
        <f ca="1"/>
        <v>9393270</v>
      </c>
      <c r="E316">
        <f t="shared" ca="1" si="84"/>
        <v>1619305815.3</v>
      </c>
      <c r="F316">
        <f ca="1">SUM($E$2:E316)/SUM($D$2:D316)</f>
        <v>165.62428145868455</v>
      </c>
      <c r="G316">
        <f ca="1">_xlfn.STDEV.P($C$2:C316)</f>
        <v>6.5171984897036115</v>
      </c>
      <c r="H316">
        <f t="shared" ca="1" si="85"/>
        <v>172.14147994838817</v>
      </c>
      <c r="I316">
        <f t="shared" ca="1" si="86"/>
        <v>159.10708296898093</v>
      </c>
      <c r="J316">
        <f t="shared" ca="1" si="95"/>
        <v>169.26150000000001</v>
      </c>
      <c r="K316">
        <f t="shared" ca="1" si="96"/>
        <v>3.2462646955669197</v>
      </c>
      <c r="L316">
        <f t="shared" ca="1" si="97"/>
        <v>175.75402939113386</v>
      </c>
      <c r="M316">
        <f t="shared" ca="1" si="98"/>
        <v>162.76897060886617</v>
      </c>
      <c r="N316">
        <f t="shared" ca="1" si="87"/>
        <v>2.8899999999999864</v>
      </c>
      <c r="O316">
        <f t="shared" ca="1" si="88"/>
        <v>2.8899999999999864</v>
      </c>
      <c r="P316">
        <f t="shared" ca="1" si="89"/>
        <v>0</v>
      </c>
      <c r="Q316">
        <f t="shared" ca="1" si="93"/>
        <v>0.95463289566827947</v>
      </c>
      <c r="R316">
        <f t="shared" ca="1" si="94"/>
        <v>0.71467027257350157</v>
      </c>
      <c r="S316">
        <f t="shared" ca="1" si="91"/>
        <v>1.3357669016099987</v>
      </c>
      <c r="T316">
        <f t="shared" ca="1" si="92"/>
        <v>57.187508765933813</v>
      </c>
      <c r="U316">
        <f>70</f>
        <v>70</v>
      </c>
      <c r="V316">
        <f>30</f>
        <v>30</v>
      </c>
      <c r="W316">
        <f t="shared" ca="1" si="90"/>
        <v>169.31097396017057</v>
      </c>
      <c r="X316">
        <f t="shared" ca="1" si="100"/>
        <v>169.27472208627299</v>
      </c>
      <c r="Y316">
        <f t="shared" ca="1" si="99"/>
        <v>-0.41004390845597527</v>
      </c>
      <c r="Z316">
        <f t="shared" ca="1" si="101"/>
        <v>-0.35853803520273214</v>
      </c>
      <c r="AA316">
        <f t="shared" ca="1" si="102"/>
        <v>-5.1505873253243128E-2</v>
      </c>
      <c r="AB316">
        <f t="shared" ca="1" si="103"/>
        <v>168.99779999999998</v>
      </c>
    </row>
    <row r="317" spans="1:28" x14ac:dyDescent="0.25">
      <c r="A317" s="20">
        <f t="shared" ca="1" si="83"/>
        <v>45747</v>
      </c>
      <c r="B317" vm="924">
        <f ca="1"/>
        <v>45751</v>
      </c>
      <c r="C317" vm="925">
        <f ca="1"/>
        <v>163.75</v>
      </c>
      <c r="D317" vm="926">
        <f ca="1"/>
        <v>13454205</v>
      </c>
      <c r="E317">
        <f t="shared" ca="1" si="84"/>
        <v>2203126068.75</v>
      </c>
      <c r="F317">
        <f ca="1">SUM($E$2:E317)/SUM($D$2:D317)</f>
        <v>165.61277676463487</v>
      </c>
      <c r="G317">
        <f ca="1">_xlfn.STDEV.P($C$2:C317)</f>
        <v>6.5077925916364823</v>
      </c>
      <c r="H317">
        <f t="shared" ca="1" si="85"/>
        <v>172.12056935627135</v>
      </c>
      <c r="I317">
        <f t="shared" ca="1" si="86"/>
        <v>159.1049841729984</v>
      </c>
      <c r="J317">
        <f t="shared" ca="1" si="95"/>
        <v>168.6515</v>
      </c>
      <c r="K317">
        <f t="shared" ca="1" si="96"/>
        <v>3.0644399763123173</v>
      </c>
      <c r="L317">
        <f t="shared" ca="1" si="97"/>
        <v>174.78037995262463</v>
      </c>
      <c r="M317">
        <f t="shared" ca="1" si="98"/>
        <v>162.52262004737537</v>
      </c>
      <c r="N317">
        <f t="shared" ca="1" si="87"/>
        <v>-8.6399999999999864</v>
      </c>
      <c r="O317">
        <f t="shared" ca="1" si="88"/>
        <v>0</v>
      </c>
      <c r="P317">
        <f t="shared" ca="1" si="89"/>
        <v>8.6399999999999864</v>
      </c>
      <c r="Q317">
        <f t="shared" ca="1" si="93"/>
        <v>0.88644483169197386</v>
      </c>
      <c r="R317">
        <f t="shared" ca="1" si="94"/>
        <v>1.2807652531039648</v>
      </c>
      <c r="S317">
        <f t="shared" ca="1" si="91"/>
        <v>0.69212123731780972</v>
      </c>
      <c r="T317">
        <f t="shared" ca="1" si="92"/>
        <v>40.902579676554069</v>
      </c>
      <c r="U317">
        <f>70</f>
        <v>70</v>
      </c>
      <c r="V317">
        <f>30</f>
        <v>30</v>
      </c>
      <c r="W317">
        <f t="shared" ca="1" si="90"/>
        <v>168.45543950475974</v>
      </c>
      <c r="X317">
        <f t="shared" ca="1" si="100"/>
        <v>168.86548341321571</v>
      </c>
      <c r="Y317">
        <f t="shared" ca="1" si="99"/>
        <v>-1.0358307019414781</v>
      </c>
      <c r="Z317">
        <f t="shared" ca="1" si="101"/>
        <v>-0.49399656855048135</v>
      </c>
      <c r="AA317">
        <f t="shared" ca="1" si="102"/>
        <v>-0.54183413339099673</v>
      </c>
      <c r="AB317">
        <f t="shared" ca="1" si="103"/>
        <v>169.00119999999998</v>
      </c>
    </row>
    <row r="318" spans="1:28" x14ac:dyDescent="0.25">
      <c r="A318" s="20">
        <f t="shared" ca="1" si="83"/>
        <v>45754</v>
      </c>
      <c r="B318" vm="927">
        <f ca="1"/>
        <v>45754</v>
      </c>
      <c r="C318" vm="928">
        <f ca="1"/>
        <v>160.22999999999999</v>
      </c>
      <c r="D318" vm="929">
        <f ca="1"/>
        <v>15708009</v>
      </c>
      <c r="E318">
        <f t="shared" ca="1" si="84"/>
        <v>2516894282.0699997</v>
      </c>
      <c r="F318">
        <f ca="1">SUM($E$2:E318)/SUM($D$2:D318)</f>
        <v>165.57447590784832</v>
      </c>
      <c r="G318">
        <f ca="1">_xlfn.STDEV.P($C$2:C318)</f>
        <v>6.5047193903688871</v>
      </c>
      <c r="H318">
        <f t="shared" ca="1" si="85"/>
        <v>172.0791952982172</v>
      </c>
      <c r="I318">
        <f t="shared" ca="1" si="86"/>
        <v>159.06975651747945</v>
      </c>
      <c r="J318">
        <f t="shared" ca="1" si="95"/>
        <v>167.85</v>
      </c>
      <c r="K318">
        <f t="shared" ca="1" si="96"/>
        <v>3.0660226249723119</v>
      </c>
      <c r="L318">
        <f t="shared" ca="1" si="97"/>
        <v>173.9820452499446</v>
      </c>
      <c r="M318">
        <f t="shared" ca="1" si="98"/>
        <v>161.71795475005538</v>
      </c>
      <c r="N318">
        <f t="shared" ca="1" si="87"/>
        <v>-3.5200000000000102</v>
      </c>
      <c r="O318">
        <f t="shared" ca="1" si="88"/>
        <v>0</v>
      </c>
      <c r="P318">
        <f t="shared" ca="1" si="89"/>
        <v>3.5200000000000102</v>
      </c>
      <c r="Q318">
        <f t="shared" ca="1" si="93"/>
        <v>0.82312734371397578</v>
      </c>
      <c r="R318">
        <f t="shared" ca="1" si="94"/>
        <v>1.4407105921679679</v>
      </c>
      <c r="S318">
        <f t="shared" ca="1" si="91"/>
        <v>0.57133427642490042</v>
      </c>
      <c r="T318">
        <f t="shared" ca="1" si="92"/>
        <v>36.359817576486662</v>
      </c>
      <c r="U318">
        <f>70</f>
        <v>70</v>
      </c>
      <c r="V318">
        <f>30</f>
        <v>30</v>
      </c>
      <c r="W318">
        <f t="shared" ca="1" si="90"/>
        <v>167.18998727325825</v>
      </c>
      <c r="X318">
        <f t="shared" ca="1" si="100"/>
        <v>168.22581797519973</v>
      </c>
      <c r="Y318">
        <f t="shared" ca="1" si="99"/>
        <v>-1.6610957885533253</v>
      </c>
      <c r="Z318">
        <f t="shared" ca="1" si="101"/>
        <v>-0.72741641255105016</v>
      </c>
      <c r="AA318">
        <f t="shared" ca="1" si="102"/>
        <v>-0.93367937600227513</v>
      </c>
      <c r="AB318">
        <f t="shared" ca="1" si="103"/>
        <v>168.92639999999994</v>
      </c>
    </row>
    <row r="319" spans="1:28" x14ac:dyDescent="0.25">
      <c r="A319" s="20">
        <f t="shared" ca="1" si="83"/>
        <v>45754</v>
      </c>
      <c r="B319" vm="930">
        <f ca="1"/>
        <v>45755</v>
      </c>
      <c r="C319" vm="931">
        <f ca="1"/>
        <v>158.38999999999999</v>
      </c>
      <c r="D319" vm="932">
        <f ca="1"/>
        <v>11541114</v>
      </c>
      <c r="E319">
        <f t="shared" ca="1" si="84"/>
        <v>1827997046.4599998</v>
      </c>
      <c r="F319">
        <f ca="1">SUM($E$2:E319)/SUM($D$2:D319)</f>
        <v>165.53711140045169</v>
      </c>
      <c r="G319">
        <f ca="1">_xlfn.STDEV.P($C$2:C319)</f>
        <v>6.5072577929737356</v>
      </c>
      <c r="H319">
        <f t="shared" ca="1" si="85"/>
        <v>172.04436919342544</v>
      </c>
      <c r="I319">
        <f t="shared" ca="1" si="86"/>
        <v>159.02985360747795</v>
      </c>
      <c r="J319">
        <f t="shared" ca="1" si="95"/>
        <v>167.11349999999999</v>
      </c>
      <c r="K319">
        <f t="shared" ca="1" si="96"/>
        <v>3.4753224386568204</v>
      </c>
      <c r="L319">
        <f t="shared" ca="1" si="97"/>
        <v>174.06414487731362</v>
      </c>
      <c r="M319">
        <f t="shared" ca="1" si="98"/>
        <v>160.16285512268635</v>
      </c>
      <c r="N319">
        <f t="shared" ca="1" si="87"/>
        <v>-1.8400000000000034</v>
      </c>
      <c r="O319">
        <f t="shared" ca="1" si="88"/>
        <v>0</v>
      </c>
      <c r="P319">
        <f t="shared" ca="1" si="89"/>
        <v>1.8400000000000034</v>
      </c>
      <c r="Q319">
        <f t="shared" ca="1" si="93"/>
        <v>0.76433253344869179</v>
      </c>
      <c r="R319">
        <f t="shared" ca="1" si="94"/>
        <v>1.4692312641559704</v>
      </c>
      <c r="S319">
        <f t="shared" ca="1" si="91"/>
        <v>0.52022615642322179</v>
      </c>
      <c r="T319">
        <f t="shared" ca="1" si="92"/>
        <v>34.220313485935961</v>
      </c>
      <c r="U319">
        <f>70</f>
        <v>70</v>
      </c>
      <c r="V319">
        <f>30</f>
        <v>30</v>
      </c>
      <c r="W319">
        <f t="shared" ca="1" si="90"/>
        <v>165.83614307737236</v>
      </c>
      <c r="X319">
        <f t="shared" ca="1" si="100"/>
        <v>167.49723886592568</v>
      </c>
      <c r="Y319">
        <f t="shared" ca="1" si="99"/>
        <v>-1.8185417021261117</v>
      </c>
      <c r="Z319">
        <f t="shared" ca="1" si="101"/>
        <v>-0.94564147046606251</v>
      </c>
      <c r="AA319">
        <f t="shared" ca="1" si="102"/>
        <v>-0.87290023166004915</v>
      </c>
      <c r="AB319">
        <f t="shared" ca="1" si="103"/>
        <v>168.84999999999997</v>
      </c>
    </row>
    <row r="320" spans="1:28" x14ac:dyDescent="0.25">
      <c r="A320" s="20">
        <f t="shared" ca="1" si="83"/>
        <v>45754</v>
      </c>
      <c r="B320" vm="933">
        <f ca="1"/>
        <v>45756</v>
      </c>
      <c r="C320" vm="934">
        <f ca="1"/>
        <v>162.32</v>
      </c>
      <c r="D320" vm="935">
        <f ca="1"/>
        <v>10670212</v>
      </c>
      <c r="E320">
        <f t="shared" ca="1" si="84"/>
        <v>1731988811.8399999</v>
      </c>
      <c r="F320">
        <f ca="1">SUM($E$2:E320)/SUM($D$2:D320)</f>
        <v>165.52171665964232</v>
      </c>
      <c r="G320">
        <f ca="1">_xlfn.STDEV.P($C$2:C320)</f>
        <v>6.4997100706149809</v>
      </c>
      <c r="H320">
        <f t="shared" ca="1" si="85"/>
        <v>172.0214267302573</v>
      </c>
      <c r="I320">
        <f t="shared" ca="1" si="86"/>
        <v>159.02200658902734</v>
      </c>
      <c r="J320">
        <f t="shared" ca="1" si="95"/>
        <v>166.81099999999998</v>
      </c>
      <c r="K320">
        <f t="shared" ca="1" si="96"/>
        <v>3.6204694374305153</v>
      </c>
      <c r="L320">
        <f t="shared" ca="1" si="97"/>
        <v>174.05193887486101</v>
      </c>
      <c r="M320">
        <f t="shared" ca="1" si="98"/>
        <v>159.57006112513895</v>
      </c>
      <c r="N320">
        <f t="shared" ca="1" si="87"/>
        <v>3.9300000000000068</v>
      </c>
      <c r="O320">
        <f t="shared" ca="1" si="88"/>
        <v>3.9300000000000068</v>
      </c>
      <c r="P320">
        <f t="shared" ca="1" si="89"/>
        <v>0</v>
      </c>
      <c r="Q320">
        <f t="shared" ca="1" si="93"/>
        <v>0.99045163820235715</v>
      </c>
      <c r="R320">
        <f t="shared" ca="1" si="94"/>
        <v>1.3642861738591154</v>
      </c>
      <c r="S320">
        <f t="shared" ca="1" si="91"/>
        <v>0.72598524941486164</v>
      </c>
      <c r="T320">
        <f t="shared" ca="1" si="92"/>
        <v>42.062077277947949</v>
      </c>
      <c r="U320">
        <f>70</f>
        <v>70</v>
      </c>
      <c r="V320">
        <f>30</f>
        <v>30</v>
      </c>
      <c r="W320">
        <f t="shared" ca="1" si="90"/>
        <v>165.29519798854582</v>
      </c>
      <c r="X320">
        <f t="shared" ca="1" si="100"/>
        <v>167.11373969067193</v>
      </c>
      <c r="Y320">
        <f t="shared" ca="1" si="99"/>
        <v>-1.8222552617386611</v>
      </c>
      <c r="Z320">
        <f t="shared" ca="1" si="101"/>
        <v>-1.1209642287205823</v>
      </c>
      <c r="AA320">
        <f t="shared" ca="1" si="102"/>
        <v>-0.70129103301807882</v>
      </c>
      <c r="AB320">
        <f t="shared" ca="1" si="103"/>
        <v>168.81479999999996</v>
      </c>
    </row>
    <row r="321" spans="1:28" x14ac:dyDescent="0.25">
      <c r="A321" s="20">
        <f t="shared" ca="1" si="83"/>
        <v>45754</v>
      </c>
      <c r="B321" vm="936">
        <f ca="1"/>
        <v>45757</v>
      </c>
      <c r="C321" vm="937">
        <f ca="1"/>
        <v>163.56</v>
      </c>
      <c r="D321" vm="938">
        <f ca="1"/>
        <v>10581571</v>
      </c>
      <c r="E321">
        <f t="shared" ca="1" si="84"/>
        <v>1730721752.76</v>
      </c>
      <c r="F321">
        <f ca="1">SUM($E$2:E321)/SUM($D$2:D321)</f>
        <v>165.5124512721338</v>
      </c>
      <c r="G321">
        <f ca="1">_xlfn.STDEV.P($C$2:C321)</f>
        <v>6.490580193559234</v>
      </c>
      <c r="H321">
        <f t="shared" ca="1" si="85"/>
        <v>172.00303146569303</v>
      </c>
      <c r="I321">
        <f t="shared" ca="1" si="86"/>
        <v>159.02187107857458</v>
      </c>
      <c r="J321">
        <f t="shared" ca="1" si="95"/>
        <v>166.55950000000001</v>
      </c>
      <c r="K321">
        <f t="shared" ca="1" si="96"/>
        <v>3.6648206317851222</v>
      </c>
      <c r="L321">
        <f t="shared" ca="1" si="97"/>
        <v>173.88914126357025</v>
      </c>
      <c r="M321">
        <f t="shared" ca="1" si="98"/>
        <v>159.22985873642978</v>
      </c>
      <c r="N321">
        <f t="shared" ca="1" si="87"/>
        <v>1.2400000000000091</v>
      </c>
      <c r="O321">
        <f t="shared" ca="1" si="88"/>
        <v>1.2400000000000091</v>
      </c>
      <c r="P321">
        <f t="shared" ca="1" si="89"/>
        <v>0</v>
      </c>
      <c r="Q321">
        <f t="shared" ca="1" si="93"/>
        <v>1.0082765211879037</v>
      </c>
      <c r="R321">
        <f t="shared" ca="1" si="94"/>
        <v>1.2668371614406071</v>
      </c>
      <c r="S321">
        <f t="shared" ca="1" si="91"/>
        <v>0.79590065075240102</v>
      </c>
      <c r="T321">
        <f t="shared" ca="1" si="92"/>
        <v>44.317632515972122</v>
      </c>
      <c r="U321">
        <f>70</f>
        <v>70</v>
      </c>
      <c r="V321">
        <f>30</f>
        <v>30</v>
      </c>
      <c r="W321">
        <f t="shared" ca="1" si="90"/>
        <v>165.02824445184646</v>
      </c>
      <c r="X321">
        <f t="shared" ca="1" si="100"/>
        <v>166.85049971358512</v>
      </c>
      <c r="Y321">
        <f t="shared" ca="1" si="99"/>
        <v>-1.5371618367998963</v>
      </c>
      <c r="Z321">
        <f t="shared" ca="1" si="101"/>
        <v>-1.2042037503364451</v>
      </c>
      <c r="AA321">
        <f t="shared" ca="1" si="102"/>
        <v>-0.33295808646345115</v>
      </c>
      <c r="AB321">
        <f t="shared" ca="1" si="103"/>
        <v>168.78459999999995</v>
      </c>
    </row>
    <row r="322" spans="1:28" x14ac:dyDescent="0.25">
      <c r="A322" s="20">
        <f t="shared" ca="1" si="83"/>
        <v>45754</v>
      </c>
      <c r="B322" vm="939">
        <f ca="1"/>
        <v>45758</v>
      </c>
      <c r="C322" vm="940">
        <f ca="1"/>
        <v>166.91</v>
      </c>
      <c r="D322" vm="941">
        <f ca="1"/>
        <v>8603200</v>
      </c>
      <c r="E322">
        <f t="shared" ca="1" si="84"/>
        <v>1435960112</v>
      </c>
      <c r="F322">
        <f ca="1">SUM($E$2:E322)/SUM($D$2:D322)</f>
        <v>165.51779740337062</v>
      </c>
      <c r="G322">
        <f ca="1">_xlfn.STDEV.P($C$2:C322)</f>
        <v>6.4808555281283269</v>
      </c>
      <c r="H322">
        <f t="shared" ca="1" si="85"/>
        <v>171.99865293149895</v>
      </c>
      <c r="I322">
        <f t="shared" ca="1" si="86"/>
        <v>159.03694187524229</v>
      </c>
      <c r="J322">
        <f t="shared" ca="1" si="95"/>
        <v>166.50649999999999</v>
      </c>
      <c r="K322">
        <f t="shared" ca="1" si="96"/>
        <v>3.6509872853647063</v>
      </c>
      <c r="L322">
        <f t="shared" ca="1" si="97"/>
        <v>173.8084745707294</v>
      </c>
      <c r="M322">
        <f t="shared" ca="1" si="98"/>
        <v>159.20452542927057</v>
      </c>
      <c r="N322">
        <f t="shared" ca="1" si="87"/>
        <v>3.3499999999999943</v>
      </c>
      <c r="O322">
        <f t="shared" ca="1" si="88"/>
        <v>3.3499999999999943</v>
      </c>
      <c r="P322">
        <f t="shared" ca="1" si="89"/>
        <v>0</v>
      </c>
      <c r="Q322">
        <f t="shared" ca="1" si="93"/>
        <v>1.175542483960196</v>
      </c>
      <c r="R322">
        <f t="shared" ca="1" si="94"/>
        <v>1.1763487927662781</v>
      </c>
      <c r="S322">
        <f t="shared" ca="1" si="91"/>
        <v>0.99931456655454542</v>
      </c>
      <c r="T322">
        <f t="shared" ca="1" si="92"/>
        <v>49.982858289112663</v>
      </c>
      <c r="U322">
        <f>70</f>
        <v>70</v>
      </c>
      <c r="V322">
        <f>30</f>
        <v>30</v>
      </c>
      <c r="W322">
        <f t="shared" ca="1" si="90"/>
        <v>165.31774530540855</v>
      </c>
      <c r="X322">
        <f t="shared" ca="1" si="100"/>
        <v>166.85490714220845</v>
      </c>
      <c r="Y322">
        <f t="shared" ca="1" si="99"/>
        <v>-1.1191865114285235</v>
      </c>
      <c r="Z322">
        <f t="shared" ca="1" si="101"/>
        <v>-1.1872003025548608</v>
      </c>
      <c r="AA322">
        <f t="shared" ca="1" si="102"/>
        <v>6.8013791126337209E-2</v>
      </c>
      <c r="AB322">
        <f t="shared" ca="1" si="103"/>
        <v>168.78289999999998</v>
      </c>
    </row>
    <row r="323" spans="1:28" x14ac:dyDescent="0.25">
      <c r="A323" s="20">
        <f t="shared" ref="A323:A386" ca="1" si="104">B323 - WEEKDAY(B323, 2) + 1</f>
        <v>45761</v>
      </c>
      <c r="B323" vm="942">
        <f ca="1"/>
        <v>45761</v>
      </c>
      <c r="C323" vm="943">
        <f ca="1"/>
        <v>169.13</v>
      </c>
      <c r="D323" vm="944">
        <f ca="1"/>
        <v>9877411</v>
      </c>
      <c r="E323">
        <f t="shared" ref="E323:E386" ca="1" si="105">C323*D323</f>
        <v>1670566522.4300001</v>
      </c>
      <c r="F323">
        <f ca="1">SUM($E$2:E323)/SUM($D$2:D323)</f>
        <v>165.5335925858187</v>
      </c>
      <c r="G323">
        <f ca="1">_xlfn.STDEV.P($C$2:C323)</f>
        <v>6.4737090483907238</v>
      </c>
      <c r="H323">
        <f t="shared" ref="H323:H386" ca="1" si="106">F323 + G323</f>
        <v>172.00730163420943</v>
      </c>
      <c r="I323">
        <f t="shared" ref="I323:I386" ca="1" si="107">F323 - G323</f>
        <v>159.05988353742796</v>
      </c>
      <c r="J323">
        <f t="shared" ca="1" si="95"/>
        <v>166.47499999999999</v>
      </c>
      <c r="K323">
        <f t="shared" ca="1" si="96"/>
        <v>3.6240577722826268</v>
      </c>
      <c r="L323">
        <f t="shared" ca="1" si="97"/>
        <v>173.72311554456525</v>
      </c>
      <c r="M323">
        <f t="shared" ca="1" si="98"/>
        <v>159.22688445543474</v>
      </c>
      <c r="N323">
        <f t="shared" ca="1" si="87"/>
        <v>2.2199999999999989</v>
      </c>
      <c r="O323">
        <f t="shared" ca="1" si="88"/>
        <v>2.2199999999999989</v>
      </c>
      <c r="P323">
        <f t="shared" ca="1" si="89"/>
        <v>0</v>
      </c>
      <c r="Q323">
        <f t="shared" ca="1" si="93"/>
        <v>1.2501465922487536</v>
      </c>
      <c r="R323">
        <f t="shared" ca="1" si="94"/>
        <v>1.0923238789972582</v>
      </c>
      <c r="S323">
        <f t="shared" ca="1" si="91"/>
        <v>1.1444834414829188</v>
      </c>
      <c r="T323">
        <f t="shared" ca="1" si="92"/>
        <v>53.368723644305874</v>
      </c>
      <c r="U323">
        <f>70</f>
        <v>70</v>
      </c>
      <c r="V323">
        <f>30</f>
        <v>30</v>
      </c>
      <c r="W323">
        <f t="shared" ca="1" si="90"/>
        <v>165.90424602765339</v>
      </c>
      <c r="X323">
        <f t="shared" ca="1" si="100"/>
        <v>167.02343253908191</v>
      </c>
      <c r="Y323">
        <f t="shared" ca="1" si="99"/>
        <v>-0.83160827632070777</v>
      </c>
      <c r="Z323">
        <f t="shared" ca="1" si="101"/>
        <v>-1.1160818973080302</v>
      </c>
      <c r="AA323">
        <f t="shared" ca="1" si="102"/>
        <v>0.28447362098732243</v>
      </c>
      <c r="AB323">
        <f t="shared" ca="1" si="103"/>
        <v>168.77879999999996</v>
      </c>
    </row>
    <row r="324" spans="1:28" x14ac:dyDescent="0.25">
      <c r="A324" s="20">
        <f t="shared" ca="1" si="104"/>
        <v>45761</v>
      </c>
      <c r="B324" vm="945">
        <f ca="1"/>
        <v>45762</v>
      </c>
      <c r="C324" vm="321">
        <f ca="1"/>
        <v>168.47</v>
      </c>
      <c r="D324" vm="946">
        <f ca="1"/>
        <v>8764978</v>
      </c>
      <c r="E324">
        <f t="shared" ca="1" si="105"/>
        <v>1476635843.6600001</v>
      </c>
      <c r="F324">
        <f ca="1">SUM($E$2:E324)/SUM($D$2:D324)</f>
        <v>165.54494255418618</v>
      </c>
      <c r="G324">
        <f ca="1">_xlfn.STDEV.P($C$2:C324)</f>
        <v>6.4655866494735834</v>
      </c>
      <c r="H324">
        <f t="shared" ca="1" si="106"/>
        <v>172.01052920365976</v>
      </c>
      <c r="I324">
        <f t="shared" ca="1" si="107"/>
        <v>159.0793559047126</v>
      </c>
      <c r="J324">
        <f t="shared" ca="1" si="95"/>
        <v>166.51299999999998</v>
      </c>
      <c r="K324">
        <f t="shared" ca="1" si="96"/>
        <v>3.6416307798625214</v>
      </c>
      <c r="L324">
        <f t="shared" ca="1" si="97"/>
        <v>173.79626155972502</v>
      </c>
      <c r="M324">
        <f t="shared" ca="1" si="98"/>
        <v>159.22973844027493</v>
      </c>
      <c r="N324">
        <f t="shared" ref="N324:N387" ca="1" si="108">C324-C323</f>
        <v>-0.65999999999999659</v>
      </c>
      <c r="O324">
        <f t="shared" ref="O324:O387" ca="1" si="109">MAX(N324,0)</f>
        <v>0</v>
      </c>
      <c r="P324">
        <f t="shared" ref="P324:P387" ca="1" si="110">MAX(-N324,0)</f>
        <v>0.65999999999999659</v>
      </c>
      <c r="Q324">
        <f t="shared" ca="1" si="93"/>
        <v>1.1608504070881283</v>
      </c>
      <c r="R324">
        <f t="shared" ca="1" si="94"/>
        <v>1.0614436019260254</v>
      </c>
      <c r="S324">
        <f t="shared" ca="1" si="91"/>
        <v>1.0936524606505007</v>
      </c>
      <c r="T324">
        <f t="shared" ca="1" si="92"/>
        <v>52.236580865512956</v>
      </c>
      <c r="U324">
        <f>70</f>
        <v>70</v>
      </c>
      <c r="V324">
        <f>30</f>
        <v>30</v>
      </c>
      <c r="W324">
        <f t="shared" ca="1" si="90"/>
        <v>166.29897740801439</v>
      </c>
      <c r="X324">
        <f t="shared" ca="1" si="100"/>
        <v>167.1305856843351</v>
      </c>
      <c r="Y324">
        <f t="shared" ca="1" si="99"/>
        <v>-0.76274660179097964</v>
      </c>
      <c r="Z324">
        <f t="shared" ca="1" si="101"/>
        <v>-1.0454148382046202</v>
      </c>
      <c r="AA324">
        <f t="shared" ca="1" si="102"/>
        <v>0.28266823641364058</v>
      </c>
      <c r="AB324">
        <f t="shared" ca="1" si="103"/>
        <v>168.75599999999997</v>
      </c>
    </row>
    <row r="325" spans="1:28" x14ac:dyDescent="0.25">
      <c r="A325" s="20">
        <f t="shared" ca="1" si="104"/>
        <v>45761</v>
      </c>
      <c r="B325" vm="947">
        <f ca="1"/>
        <v>45763</v>
      </c>
      <c r="C325" vm="948">
        <f ca="1"/>
        <v>166.39</v>
      </c>
      <c r="D325" vm="949">
        <f ca="1"/>
        <v>5897634</v>
      </c>
      <c r="E325">
        <f t="shared" ca="1" si="105"/>
        <v>981307321.25999987</v>
      </c>
      <c r="F325">
        <f ca="1">SUM($E$2:E325)/SUM($D$2:D325)</f>
        <v>165.54713467010669</v>
      </c>
      <c r="G325">
        <f ca="1">_xlfn.STDEV.P($C$2:C325)</f>
        <v>6.4557307533173853</v>
      </c>
      <c r="H325">
        <f t="shared" ca="1" si="106"/>
        <v>172.00286542342408</v>
      </c>
      <c r="I325">
        <f t="shared" ca="1" si="107"/>
        <v>159.09140391678929</v>
      </c>
      <c r="J325">
        <f t="shared" ca="1" si="95"/>
        <v>166.404</v>
      </c>
      <c r="K325">
        <f t="shared" ca="1" si="96"/>
        <v>3.6093028923077464</v>
      </c>
      <c r="L325">
        <f t="shared" ca="1" si="97"/>
        <v>173.6226057846155</v>
      </c>
      <c r="M325">
        <f t="shared" ca="1" si="98"/>
        <v>159.18539421538449</v>
      </c>
      <c r="N325">
        <f t="shared" ca="1" si="108"/>
        <v>-2.0800000000000125</v>
      </c>
      <c r="O325">
        <f t="shared" ca="1" si="109"/>
        <v>0</v>
      </c>
      <c r="P325">
        <f t="shared" ca="1" si="110"/>
        <v>2.0800000000000125</v>
      </c>
      <c r="Q325">
        <f t="shared" ca="1" si="93"/>
        <v>1.0779325208675476</v>
      </c>
      <c r="R325">
        <f t="shared" ca="1" si="94"/>
        <v>1.1341976303598815</v>
      </c>
      <c r="S325">
        <f t="shared" ca="1" si="91"/>
        <v>0.95039214684791673</v>
      </c>
      <c r="T325">
        <f t="shared" ca="1" si="92"/>
        <v>48.728259513548188</v>
      </c>
      <c r="U325">
        <f>70</f>
        <v>70</v>
      </c>
      <c r="V325">
        <f>30</f>
        <v>30</v>
      </c>
      <c r="W325">
        <f t="shared" ca="1" si="90"/>
        <v>166.31298088370448</v>
      </c>
      <c r="X325">
        <f t="shared" ca="1" si="100"/>
        <v>167.07572748549546</v>
      </c>
      <c r="Y325">
        <f t="shared" ca="1" si="99"/>
        <v>-0.36186926018746135</v>
      </c>
      <c r="Z325">
        <f t="shared" ca="1" si="101"/>
        <v>-0.90870572260118843</v>
      </c>
      <c r="AA325">
        <f t="shared" ca="1" si="102"/>
        <v>0.54683646241372708</v>
      </c>
      <c r="AB325">
        <f t="shared" ca="1" si="103"/>
        <v>168.71229999999991</v>
      </c>
    </row>
    <row r="326" spans="1:28" x14ac:dyDescent="0.25">
      <c r="A326" s="20">
        <f t="shared" ca="1" si="104"/>
        <v>45761</v>
      </c>
      <c r="B326" vm="950">
        <f ca="1"/>
        <v>45764</v>
      </c>
      <c r="C326" vm="703">
        <f ca="1"/>
        <v>170.63</v>
      </c>
      <c r="D326" vm="951">
        <f ca="1"/>
        <v>7227061</v>
      </c>
      <c r="E326">
        <f t="shared" ca="1" si="105"/>
        <v>1233153418.4300001</v>
      </c>
      <c r="F326">
        <f ca="1">SUM($E$2:E326)/SUM($D$2:D326)</f>
        <v>165.5632408093937</v>
      </c>
      <c r="G326">
        <f ca="1">_xlfn.STDEV.P($C$2:C326)</f>
        <v>6.4516779653818812</v>
      </c>
      <c r="H326">
        <f t="shared" ca="1" si="106"/>
        <v>172.01491877477559</v>
      </c>
      <c r="I326">
        <f t="shared" ca="1" si="107"/>
        <v>159.11156284401181</v>
      </c>
      <c r="J326">
        <f t="shared" ca="1" si="95"/>
        <v>166.55799999999999</v>
      </c>
      <c r="K326">
        <f t="shared" ca="1" si="96"/>
        <v>3.7246385907331945</v>
      </c>
      <c r="L326">
        <f t="shared" ca="1" si="97"/>
        <v>174.00727718146638</v>
      </c>
      <c r="M326">
        <f t="shared" ca="1" si="98"/>
        <v>159.10872281853361</v>
      </c>
      <c r="N326">
        <f t="shared" ca="1" si="108"/>
        <v>4.2400000000000091</v>
      </c>
      <c r="O326">
        <f t="shared" ca="1" si="109"/>
        <v>4.2400000000000091</v>
      </c>
      <c r="P326">
        <f t="shared" ca="1" si="110"/>
        <v>0</v>
      </c>
      <c r="Q326">
        <f t="shared" ca="1" si="93"/>
        <v>1.3037944836627235</v>
      </c>
      <c r="R326">
        <f t="shared" ca="1" si="94"/>
        <v>1.0531835139056043</v>
      </c>
      <c r="S326">
        <f t="shared" ca="1" si="91"/>
        <v>1.2379556520285422</v>
      </c>
      <c r="T326">
        <f t="shared" ca="1" si="92"/>
        <v>55.316362096202688</v>
      </c>
      <c r="U326">
        <f>70</f>
        <v>70</v>
      </c>
      <c r="V326">
        <f>30</f>
        <v>30</v>
      </c>
      <c r="W326">
        <f t="shared" ca="1" si="90"/>
        <v>166.97713767082686</v>
      </c>
      <c r="X326">
        <f t="shared" ca="1" si="100"/>
        <v>167.33900693101432</v>
      </c>
      <c r="Y326">
        <f t="shared" ca="1" si="99"/>
        <v>-0.43295545397171509</v>
      </c>
      <c r="Z326">
        <f t="shared" ca="1" si="101"/>
        <v>-0.81355566887529385</v>
      </c>
      <c r="AA326">
        <f t="shared" ca="1" si="102"/>
        <v>0.38060021490357876</v>
      </c>
      <c r="AB326">
        <f t="shared" ca="1" si="103"/>
        <v>168.70969999999994</v>
      </c>
    </row>
    <row r="327" spans="1:28" x14ac:dyDescent="0.25">
      <c r="A327" s="20">
        <f t="shared" ca="1" si="104"/>
        <v>45768</v>
      </c>
      <c r="B327" vm="952">
        <f ca="1"/>
        <v>45768</v>
      </c>
      <c r="C327" vm="953">
        <f ca="1"/>
        <v>165.75</v>
      </c>
      <c r="D327" vm="954">
        <f ca="1"/>
        <v>8062360</v>
      </c>
      <c r="E327">
        <f t="shared" ca="1" si="105"/>
        <v>1336336170</v>
      </c>
      <c r="F327">
        <f ca="1">SUM($E$2:E327)/SUM($D$2:D327)</f>
        <v>165.56389866835352</v>
      </c>
      <c r="G327">
        <f ca="1">_xlfn.STDEV.P($C$2:C327)</f>
        <v>6.4417766647178203</v>
      </c>
      <c r="H327">
        <f t="shared" ca="1" si="106"/>
        <v>172.00567533307134</v>
      </c>
      <c r="I327">
        <f t="shared" ca="1" si="107"/>
        <v>159.1221220036357</v>
      </c>
      <c r="J327">
        <f t="shared" ca="1" si="95"/>
        <v>166.511</v>
      </c>
      <c r="K327">
        <f t="shared" ca="1" si="96"/>
        <v>3.7288136959289582</v>
      </c>
      <c r="L327">
        <f t="shared" ca="1" si="97"/>
        <v>173.96862739185792</v>
      </c>
      <c r="M327">
        <f t="shared" ca="1" si="98"/>
        <v>159.05337260814207</v>
      </c>
      <c r="N327">
        <f t="shared" ca="1" si="108"/>
        <v>-4.8799999999999955</v>
      </c>
      <c r="O327">
        <f t="shared" ca="1" si="109"/>
        <v>0</v>
      </c>
      <c r="P327">
        <f t="shared" ca="1" si="110"/>
        <v>4.8799999999999955</v>
      </c>
      <c r="Q327">
        <f t="shared" ca="1" si="93"/>
        <v>1.2106663062582432</v>
      </c>
      <c r="R327">
        <f t="shared" ca="1" si="94"/>
        <v>1.3265275486266321</v>
      </c>
      <c r="S327">
        <f t="shared" ca="1" si="91"/>
        <v>0.91265824634524839</v>
      </c>
      <c r="T327">
        <f t="shared" ca="1" si="92"/>
        <v>47.71674438385304</v>
      </c>
      <c r="U327">
        <f>70</f>
        <v>70</v>
      </c>
      <c r="V327">
        <f>30</f>
        <v>30</v>
      </c>
      <c r="W327">
        <f t="shared" ca="1" si="90"/>
        <v>166.78834725993042</v>
      </c>
      <c r="X327">
        <f t="shared" ca="1" si="100"/>
        <v>167.22130271390213</v>
      </c>
      <c r="Y327">
        <f t="shared" ca="1" si="99"/>
        <v>-0.31380127013920855</v>
      </c>
      <c r="Z327">
        <f t="shared" ca="1" si="101"/>
        <v>-0.71360478912807679</v>
      </c>
      <c r="AA327">
        <f t="shared" ca="1" si="102"/>
        <v>0.39980351898886823</v>
      </c>
      <c r="AB327">
        <f t="shared" ca="1" si="103"/>
        <v>168.63969999999995</v>
      </c>
    </row>
    <row r="328" spans="1:28" x14ac:dyDescent="0.25">
      <c r="A328" s="20">
        <f t="shared" ca="1" si="104"/>
        <v>45768</v>
      </c>
      <c r="B328" vm="955">
        <f ca="1"/>
        <v>45769</v>
      </c>
      <c r="C328" vm="956">
        <f ca="1"/>
        <v>167.88</v>
      </c>
      <c r="D328" vm="957">
        <f ca="1"/>
        <v>7907421</v>
      </c>
      <c r="E328">
        <f t="shared" ca="1" si="105"/>
        <v>1327497837.48</v>
      </c>
      <c r="F328">
        <f ca="1">SUM($E$2:E328)/SUM($D$2:D328)</f>
        <v>165.5718727967801</v>
      </c>
      <c r="G328">
        <f ca="1">_xlfn.STDEV.P($C$2:C328)</f>
        <v>6.43307626546276</v>
      </c>
      <c r="H328">
        <f t="shared" ca="1" si="106"/>
        <v>172.00494906224287</v>
      </c>
      <c r="I328">
        <f t="shared" ca="1" si="107"/>
        <v>159.13879653131733</v>
      </c>
      <c r="J328">
        <f t="shared" ca="1" si="95"/>
        <v>166.6225</v>
      </c>
      <c r="K328">
        <f t="shared" ca="1" si="96"/>
        <v>3.7350486151983011</v>
      </c>
      <c r="L328">
        <f t="shared" ca="1" si="97"/>
        <v>174.09259723039659</v>
      </c>
      <c r="M328">
        <f t="shared" ca="1" si="98"/>
        <v>159.15240276960341</v>
      </c>
      <c r="N328">
        <f t="shared" ca="1" si="108"/>
        <v>2.1299999999999955</v>
      </c>
      <c r="O328">
        <f t="shared" ca="1" si="109"/>
        <v>2.1299999999999955</v>
      </c>
      <c r="P328">
        <f t="shared" ca="1" si="110"/>
        <v>0</v>
      </c>
      <c r="Q328">
        <f t="shared" ca="1" si="93"/>
        <v>1.2763329986683682</v>
      </c>
      <c r="R328">
        <f t="shared" ca="1" si="94"/>
        <v>1.231775580867587</v>
      </c>
      <c r="S328">
        <f t="shared" ca="1" si="91"/>
        <v>1.0361733245023397</v>
      </c>
      <c r="T328">
        <f t="shared" ca="1" si="92"/>
        <v>50.888267321525305</v>
      </c>
      <c r="U328">
        <f>70</f>
        <v>70</v>
      </c>
      <c r="V328">
        <f>30</f>
        <v>30</v>
      </c>
      <c r="W328">
        <f t="shared" ca="1" si="90"/>
        <v>166.95629383532574</v>
      </c>
      <c r="X328">
        <f t="shared" ca="1" si="100"/>
        <v>167.27009510546495</v>
      </c>
      <c r="Y328">
        <f t="shared" ca="1" si="99"/>
        <v>-0.38838074126599054</v>
      </c>
      <c r="Z328">
        <f t="shared" ca="1" si="101"/>
        <v>-0.64855997955565958</v>
      </c>
      <c r="AA328">
        <f t="shared" ca="1" si="102"/>
        <v>0.26017923828966905</v>
      </c>
      <c r="AB328">
        <f t="shared" ca="1" si="103"/>
        <v>168.55569999999992</v>
      </c>
    </row>
    <row r="329" spans="1:28" x14ac:dyDescent="0.25">
      <c r="A329" s="20">
        <f t="shared" ca="1" si="104"/>
        <v>45768</v>
      </c>
      <c r="B329" vm="958">
        <f ca="1"/>
        <v>45770</v>
      </c>
      <c r="C329" vm="959">
        <f ca="1"/>
        <v>165.73</v>
      </c>
      <c r="D329" vm="960">
        <f ca="1"/>
        <v>9309164</v>
      </c>
      <c r="E329">
        <f t="shared" ca="1" si="105"/>
        <v>1542807749.7199998</v>
      </c>
      <c r="F329">
        <f ca="1">SUM($E$2:E329)/SUM($D$2:D329)</f>
        <v>165.57251113572337</v>
      </c>
      <c r="G329">
        <f ca="1">_xlfn.STDEV.P($C$2:C329)</f>
        <v>6.4232629200435172</v>
      </c>
      <c r="H329">
        <f t="shared" ca="1" si="106"/>
        <v>171.9957740557669</v>
      </c>
      <c r="I329">
        <f t="shared" ca="1" si="107"/>
        <v>159.14924821567985</v>
      </c>
      <c r="J329">
        <f t="shared" ca="1" si="95"/>
        <v>166.76650000000001</v>
      </c>
      <c r="K329">
        <f t="shared" ca="1" si="96"/>
        <v>3.6361579998674434</v>
      </c>
      <c r="L329">
        <f t="shared" ca="1" si="97"/>
        <v>174.03881599973491</v>
      </c>
      <c r="M329">
        <f t="shared" ca="1" si="98"/>
        <v>159.49418400026511</v>
      </c>
      <c r="N329">
        <f t="shared" ca="1" si="108"/>
        <v>-2.1500000000000057</v>
      </c>
      <c r="O329">
        <f t="shared" ca="1" si="109"/>
        <v>0</v>
      </c>
      <c r="P329">
        <f t="shared" ca="1" si="110"/>
        <v>2.1500000000000057</v>
      </c>
      <c r="Q329">
        <f t="shared" ca="1" si="93"/>
        <v>1.1851663559063419</v>
      </c>
      <c r="R329">
        <f t="shared" ca="1" si="94"/>
        <v>1.2973630393770457</v>
      </c>
      <c r="S329">
        <f t="shared" ca="1" si="91"/>
        <v>0.91351943899636823</v>
      </c>
      <c r="T329">
        <f t="shared" ca="1" si="92"/>
        <v>47.74027482446192</v>
      </c>
      <c r="U329">
        <f>70</f>
        <v>70</v>
      </c>
      <c r="V329">
        <f>30</f>
        <v>30</v>
      </c>
      <c r="W329">
        <f t="shared" ca="1" si="90"/>
        <v>166.76763324527562</v>
      </c>
      <c r="X329">
        <f t="shared" ca="1" si="100"/>
        <v>167.15601398654161</v>
      </c>
      <c r="Y329">
        <f t="shared" ca="1" si="99"/>
        <v>-0.93697285407171194</v>
      </c>
      <c r="Z329">
        <f t="shared" ca="1" si="101"/>
        <v>-0.70624255445887008</v>
      </c>
      <c r="AA329">
        <f t="shared" ca="1" si="102"/>
        <v>-0.23073029961284186</v>
      </c>
      <c r="AB329">
        <f t="shared" ca="1" si="103"/>
        <v>168.43909999999997</v>
      </c>
    </row>
    <row r="330" spans="1:28" x14ac:dyDescent="0.25">
      <c r="A330" s="20">
        <f t="shared" ca="1" si="104"/>
        <v>45768</v>
      </c>
      <c r="B330" vm="961">
        <f ca="1"/>
        <v>45771</v>
      </c>
      <c r="C330" vm="962">
        <f ca="1"/>
        <v>159.53</v>
      </c>
      <c r="D330" vm="963">
        <f ca="1"/>
        <v>20077665</v>
      </c>
      <c r="E330">
        <f t="shared" ca="1" si="105"/>
        <v>3202989897.4499998</v>
      </c>
      <c r="F330">
        <f ca="1">SUM($E$2:E330)/SUM($D$2:D330)</f>
        <v>165.52035566356872</v>
      </c>
      <c r="G330">
        <f ca="1">_xlfn.STDEV.P($C$2:C330)</f>
        <v>6.4224151395643636</v>
      </c>
      <c r="H330">
        <f t="shared" ca="1" si="106"/>
        <v>171.94277080313307</v>
      </c>
      <c r="I330">
        <f t="shared" ca="1" si="107"/>
        <v>159.09794052400437</v>
      </c>
      <c r="J330">
        <f t="shared" ca="1" si="95"/>
        <v>166.41400000000002</v>
      </c>
      <c r="K330">
        <f t="shared" ca="1" si="96"/>
        <v>3.9805995316759697</v>
      </c>
      <c r="L330">
        <f t="shared" ca="1" si="97"/>
        <v>174.37519906335194</v>
      </c>
      <c r="M330">
        <f t="shared" ca="1" si="98"/>
        <v>158.45280093664809</v>
      </c>
      <c r="N330">
        <f t="shared" ca="1" si="108"/>
        <v>-6.1999999999999886</v>
      </c>
      <c r="O330">
        <f t="shared" ca="1" si="109"/>
        <v>0</v>
      </c>
      <c r="P330">
        <f t="shared" ca="1" si="110"/>
        <v>6.1999999999999886</v>
      </c>
      <c r="Q330">
        <f t="shared" ca="1" si="93"/>
        <v>1.100511616198746</v>
      </c>
      <c r="R330">
        <f t="shared" ca="1" si="94"/>
        <v>1.6475513937072559</v>
      </c>
      <c r="S330">
        <f t="shared" ca="1" si="91"/>
        <v>0.66796800415580226</v>
      </c>
      <c r="T330">
        <f t="shared" ca="1" si="92"/>
        <v>40.04681159899566</v>
      </c>
      <c r="U330">
        <f>70</f>
        <v>70</v>
      </c>
      <c r="V330">
        <f>30</f>
        <v>30</v>
      </c>
      <c r="W330">
        <f t="shared" ca="1" si="90"/>
        <v>165.65415120754091</v>
      </c>
      <c r="X330">
        <f t="shared" ca="1" si="100"/>
        <v>166.59112406161262</v>
      </c>
      <c r="Y330">
        <f t="shared" ca="1" si="99"/>
        <v>-1.237243337277647</v>
      </c>
      <c r="Z330">
        <f t="shared" ca="1" si="101"/>
        <v>-0.81244271102262544</v>
      </c>
      <c r="AA330">
        <f t="shared" ca="1" si="102"/>
        <v>-0.42480062625502157</v>
      </c>
      <c r="AB330">
        <f t="shared" ca="1" si="103"/>
        <v>168.24129999999994</v>
      </c>
    </row>
    <row r="331" spans="1:28" x14ac:dyDescent="0.25">
      <c r="A331" s="20">
        <f t="shared" ca="1" si="104"/>
        <v>45768</v>
      </c>
      <c r="B331" vm="964">
        <f ca="1"/>
        <v>45772</v>
      </c>
      <c r="C331" vm="965">
        <f ca="1"/>
        <v>161.02000000000001</v>
      </c>
      <c r="D331" vm="966">
        <f ca="1"/>
        <v>12893200</v>
      </c>
      <c r="E331">
        <f t="shared" ca="1" si="105"/>
        <v>2076063064.0000002</v>
      </c>
      <c r="F331">
        <f ca="1">SUM($E$2:E331)/SUM($D$2:D331)</f>
        <v>165.49554855139053</v>
      </c>
      <c r="G331">
        <f ca="1">_xlfn.STDEV.P($C$2:C331)</f>
        <v>6.417743445197436</v>
      </c>
      <c r="H331">
        <f t="shared" ca="1" si="106"/>
        <v>171.91329199658796</v>
      </c>
      <c r="I331">
        <f t="shared" ca="1" si="107"/>
        <v>159.0778051061931</v>
      </c>
      <c r="J331">
        <f t="shared" ca="1" si="95"/>
        <v>166.02950000000001</v>
      </c>
      <c r="K331">
        <f t="shared" ca="1" si="96"/>
        <v>4.1162393094463754</v>
      </c>
      <c r="L331">
        <f t="shared" ca="1" si="97"/>
        <v>174.26197861889275</v>
      </c>
      <c r="M331">
        <f t="shared" ca="1" si="98"/>
        <v>157.79702138110727</v>
      </c>
      <c r="N331">
        <f t="shared" ca="1" si="108"/>
        <v>1.4900000000000091</v>
      </c>
      <c r="O331">
        <f t="shared" ca="1" si="109"/>
        <v>1.4900000000000091</v>
      </c>
      <c r="P331">
        <f t="shared" ca="1" si="110"/>
        <v>0</v>
      </c>
      <c r="Q331">
        <f t="shared" ca="1" si="93"/>
        <v>1.1283322150416935</v>
      </c>
      <c r="R331">
        <f t="shared" ca="1" si="94"/>
        <v>1.5298691512995948</v>
      </c>
      <c r="S331">
        <f t="shared" ca="1" si="91"/>
        <v>0.73753511147224371</v>
      </c>
      <c r="T331">
        <f t="shared" ca="1" si="92"/>
        <v>42.447206194717836</v>
      </c>
      <c r="U331">
        <f>70</f>
        <v>70</v>
      </c>
      <c r="V331">
        <f>30</f>
        <v>30</v>
      </c>
      <c r="W331">
        <f t="shared" ca="1" si="90"/>
        <v>164.94120486791923</v>
      </c>
      <c r="X331">
        <f t="shared" ca="1" si="100"/>
        <v>166.17844820519687</v>
      </c>
      <c r="Y331">
        <f t="shared" ca="1" si="99"/>
        <v>-1.3921875239799704</v>
      </c>
      <c r="Z331">
        <f t="shared" ca="1" si="101"/>
        <v>-0.92839167361409447</v>
      </c>
      <c r="AA331">
        <f t="shared" ca="1" si="102"/>
        <v>-0.46379585036587589</v>
      </c>
      <c r="AB331">
        <f t="shared" ca="1" si="103"/>
        <v>168.05789999999993</v>
      </c>
    </row>
    <row r="332" spans="1:28" x14ac:dyDescent="0.25">
      <c r="A332" s="20">
        <f t="shared" ca="1" si="104"/>
        <v>45775</v>
      </c>
      <c r="B332" vm="967">
        <f ca="1"/>
        <v>45775</v>
      </c>
      <c r="C332" vm="968">
        <f ca="1"/>
        <v>161.85</v>
      </c>
      <c r="D332" vm="969">
        <f ca="1"/>
        <v>8126981</v>
      </c>
      <c r="E332">
        <f t="shared" ca="1" si="105"/>
        <v>1315351874.8499999</v>
      </c>
      <c r="F332">
        <f ca="1">SUM($E$2:E332)/SUM($D$2:D332)</f>
        <v>165.48292578849976</v>
      </c>
      <c r="G332">
        <f ca="1">_xlfn.STDEV.P($C$2:C332)</f>
        <v>6.4114248406233081</v>
      </c>
      <c r="H332">
        <f t="shared" ca="1" si="106"/>
        <v>171.89435062912307</v>
      </c>
      <c r="I332">
        <f t="shared" ca="1" si="107"/>
        <v>159.07150094787644</v>
      </c>
      <c r="J332">
        <f t="shared" ca="1" si="95"/>
        <v>165.72050000000002</v>
      </c>
      <c r="K332">
        <f t="shared" ca="1" si="96"/>
        <v>4.1894711071798465</v>
      </c>
      <c r="L332">
        <f t="shared" ca="1" si="97"/>
        <v>174.0994422143597</v>
      </c>
      <c r="M332">
        <f t="shared" ca="1" si="98"/>
        <v>157.34155778564033</v>
      </c>
      <c r="N332">
        <f t="shared" ca="1" si="108"/>
        <v>0.82999999999998408</v>
      </c>
      <c r="O332">
        <f t="shared" ca="1" si="109"/>
        <v>0.82999999999998408</v>
      </c>
      <c r="P332">
        <f t="shared" ca="1" si="110"/>
        <v>0</v>
      </c>
      <c r="Q332">
        <f t="shared" ca="1" si="93"/>
        <v>1.1070227711101428</v>
      </c>
      <c r="R332">
        <f t="shared" ca="1" si="94"/>
        <v>1.4205927833496237</v>
      </c>
      <c r="S332">
        <f t="shared" ca="1" si="91"/>
        <v>0.77926819288768145</v>
      </c>
      <c r="T332">
        <f t="shared" ca="1" si="92"/>
        <v>43.797118163673808</v>
      </c>
      <c r="U332">
        <f>70</f>
        <v>70</v>
      </c>
      <c r="V332">
        <f>30</f>
        <v>30</v>
      </c>
      <c r="W332">
        <f t="shared" ca="1" si="90"/>
        <v>164.46563488823935</v>
      </c>
      <c r="X332">
        <f t="shared" ca="1" si="100"/>
        <v>165.85782241221932</v>
      </c>
      <c r="Y332">
        <f t="shared" ca="1" si="99"/>
        <v>-1.4650106044563813</v>
      </c>
      <c r="Z332">
        <f t="shared" ca="1" si="101"/>
        <v>-1.035715459782552</v>
      </c>
      <c r="AA332">
        <f t="shared" ca="1" si="102"/>
        <v>-0.42929514467382934</v>
      </c>
      <c r="AB332">
        <f t="shared" ca="1" si="103"/>
        <v>167.88379999999989</v>
      </c>
    </row>
    <row r="333" spans="1:28" x14ac:dyDescent="0.25">
      <c r="A333" s="20">
        <f t="shared" ca="1" si="104"/>
        <v>45775</v>
      </c>
      <c r="B333" vm="970">
        <f ca="1"/>
        <v>45776</v>
      </c>
      <c r="C333" vm="971">
        <f ca="1"/>
        <v>162.26</v>
      </c>
      <c r="D333" vm="972">
        <f ca="1"/>
        <v>8266154</v>
      </c>
      <c r="E333">
        <f t="shared" ca="1" si="105"/>
        <v>1341266148.04</v>
      </c>
      <c r="F333">
        <f ca="1">SUM($E$2:E333)/SUM($D$2:D333)</f>
        <v>165.47161509390972</v>
      </c>
      <c r="G333">
        <f ca="1">_xlfn.STDEV.P($C$2:C333)</f>
        <v>6.4044299399147553</v>
      </c>
      <c r="H333">
        <f t="shared" ca="1" si="106"/>
        <v>171.87604503382448</v>
      </c>
      <c r="I333">
        <f t="shared" ca="1" si="107"/>
        <v>159.06718515399496</v>
      </c>
      <c r="J333">
        <f t="shared" ca="1" si="95"/>
        <v>165.31250000000006</v>
      </c>
      <c r="K333">
        <f t="shared" ca="1" si="96"/>
        <v>4.1041838409116123</v>
      </c>
      <c r="L333">
        <f t="shared" ca="1" si="97"/>
        <v>173.52086768182329</v>
      </c>
      <c r="M333">
        <f t="shared" ca="1" si="98"/>
        <v>157.10413231817682</v>
      </c>
      <c r="N333">
        <f t="shared" ca="1" si="108"/>
        <v>0.40999999999999659</v>
      </c>
      <c r="O333">
        <f t="shared" ca="1" si="109"/>
        <v>0.40999999999999659</v>
      </c>
      <c r="P333">
        <f t="shared" ca="1" si="110"/>
        <v>0</v>
      </c>
      <c r="Q333">
        <f t="shared" ca="1" si="93"/>
        <v>1.057235430316561</v>
      </c>
      <c r="R333">
        <f t="shared" ca="1" si="94"/>
        <v>1.3191218702532219</v>
      </c>
      <c r="S333">
        <f t="shared" ca="1" si="91"/>
        <v>0.80146910922916581</v>
      </c>
      <c r="T333">
        <f t="shared" ca="1" si="92"/>
        <v>44.489750344490112</v>
      </c>
      <c r="U333">
        <f>70</f>
        <v>70</v>
      </c>
      <c r="V333">
        <f>30</f>
        <v>30</v>
      </c>
      <c r="W333">
        <f t="shared" ca="1" si="90"/>
        <v>164.12630644389483</v>
      </c>
      <c r="X333">
        <f t="shared" ca="1" si="100"/>
        <v>165.59131704835121</v>
      </c>
      <c r="Y333">
        <f t="shared" ca="1" si="99"/>
        <v>-1.4806411022147756</v>
      </c>
      <c r="Z333">
        <f t="shared" ca="1" si="101"/>
        <v>-1.1247005882689967</v>
      </c>
      <c r="AA333">
        <f t="shared" ca="1" si="102"/>
        <v>-0.35594051394577897</v>
      </c>
      <c r="AB333">
        <f t="shared" ca="1" si="103"/>
        <v>167.70939999999987</v>
      </c>
    </row>
    <row r="334" spans="1:28" x14ac:dyDescent="0.25">
      <c r="A334" s="20">
        <f t="shared" ca="1" si="104"/>
        <v>45775</v>
      </c>
      <c r="B334" vm="973">
        <f ca="1"/>
        <v>45777</v>
      </c>
      <c r="C334" vm="974">
        <f ca="1"/>
        <v>162.57</v>
      </c>
      <c r="D334" vm="975">
        <f ca="1"/>
        <v>12475539</v>
      </c>
      <c r="E334">
        <f t="shared" ca="1" si="105"/>
        <v>2028148375.23</v>
      </c>
      <c r="F334">
        <f ca="1">SUM($E$2:E334)/SUM($D$2:D334)</f>
        <v>165.45632745567735</v>
      </c>
      <c r="G334">
        <f ca="1">_xlfn.STDEV.P($C$2:C334)</f>
        <v>6.3969880487410142</v>
      </c>
      <c r="H334">
        <f t="shared" ca="1" si="106"/>
        <v>171.85331550441836</v>
      </c>
      <c r="I334">
        <f t="shared" ca="1" si="107"/>
        <v>159.05933940693635</v>
      </c>
      <c r="J334">
        <f t="shared" ca="1" si="95"/>
        <v>164.91300000000004</v>
      </c>
      <c r="K334">
        <f t="shared" ca="1" si="96"/>
        <v>3.952582233906015</v>
      </c>
      <c r="L334">
        <f t="shared" ca="1" si="97"/>
        <v>172.81816446781207</v>
      </c>
      <c r="M334">
        <f t="shared" ca="1" si="98"/>
        <v>157.00783553218801</v>
      </c>
      <c r="N334">
        <f t="shared" ca="1" si="108"/>
        <v>0.31000000000000227</v>
      </c>
      <c r="O334">
        <f t="shared" ca="1" si="109"/>
        <v>0.31000000000000227</v>
      </c>
      <c r="P334">
        <f t="shared" ca="1" si="110"/>
        <v>0</v>
      </c>
      <c r="Q334">
        <f t="shared" ca="1" si="93"/>
        <v>1.0038614710082354</v>
      </c>
      <c r="R334">
        <f t="shared" ca="1" si="94"/>
        <v>1.2248988795208489</v>
      </c>
      <c r="S334">
        <f t="shared" ca="1" si="91"/>
        <v>0.81954640321078753</v>
      </c>
      <c r="T334">
        <f t="shared" ca="1" si="92"/>
        <v>45.041247739799807</v>
      </c>
      <c r="U334">
        <f>70</f>
        <v>70</v>
      </c>
      <c r="V334">
        <f>30</f>
        <v>30</v>
      </c>
      <c r="W334">
        <f t="shared" ca="1" si="90"/>
        <v>163.88687468329562</v>
      </c>
      <c r="X334">
        <f t="shared" ca="1" si="100"/>
        <v>165.36751578551039</v>
      </c>
      <c r="Y334">
        <f t="shared" ca="1" si="99"/>
        <v>-1.6826235024275888</v>
      </c>
      <c r="Z334">
        <f t="shared" ca="1" si="101"/>
        <v>-1.2362851711007152</v>
      </c>
      <c r="AA334">
        <f t="shared" ca="1" si="102"/>
        <v>-0.44633833132687362</v>
      </c>
      <c r="AB334">
        <f t="shared" ca="1" si="103"/>
        <v>167.5808999999999</v>
      </c>
    </row>
    <row r="335" spans="1:28" x14ac:dyDescent="0.25">
      <c r="A335" s="20">
        <f t="shared" ca="1" si="104"/>
        <v>45775</v>
      </c>
      <c r="B335" vm="976">
        <f ca="1"/>
        <v>45778</v>
      </c>
      <c r="C335" vm="977">
        <f ca="1"/>
        <v>159.97999999999999</v>
      </c>
      <c r="D335" vm="978">
        <f ca="1"/>
        <v>6792815</v>
      </c>
      <c r="E335">
        <f t="shared" ca="1" si="105"/>
        <v>1086714543.7</v>
      </c>
      <c r="F335">
        <f ca="1">SUM($E$2:E335)/SUM($D$2:D335)</f>
        <v>165.44066223999337</v>
      </c>
      <c r="G335">
        <f ca="1">_xlfn.STDEV.P($C$2:C335)</f>
        <v>6.3948168677360426</v>
      </c>
      <c r="H335">
        <f t="shared" ca="1" si="106"/>
        <v>171.83547910772941</v>
      </c>
      <c r="I335">
        <f t="shared" ca="1" si="107"/>
        <v>159.04584537225733</v>
      </c>
      <c r="J335">
        <f t="shared" ca="1" si="95"/>
        <v>164.43700000000004</v>
      </c>
      <c r="K335">
        <f t="shared" ca="1" si="96"/>
        <v>3.94433384409639</v>
      </c>
      <c r="L335">
        <f t="shared" ca="1" si="97"/>
        <v>172.32566768819282</v>
      </c>
      <c r="M335">
        <f t="shared" ca="1" si="98"/>
        <v>156.54833231180726</v>
      </c>
      <c r="N335">
        <f t="shared" ca="1" si="108"/>
        <v>-2.5900000000000034</v>
      </c>
      <c r="O335">
        <f t="shared" ca="1" si="109"/>
        <v>0</v>
      </c>
      <c r="P335">
        <f t="shared" ca="1" si="110"/>
        <v>2.5900000000000034</v>
      </c>
      <c r="Q335">
        <f t="shared" ca="1" si="93"/>
        <v>0.93215708022193289</v>
      </c>
      <c r="R335">
        <f t="shared" ca="1" si="94"/>
        <v>1.3224061024122169</v>
      </c>
      <c r="S335">
        <f t="shared" ca="1" si="91"/>
        <v>0.70489472070763581</v>
      </c>
      <c r="T335">
        <f t="shared" ca="1" si="92"/>
        <v>41.345351835863582</v>
      </c>
      <c r="U335">
        <f>70</f>
        <v>70</v>
      </c>
      <c r="V335">
        <f>30</f>
        <v>30</v>
      </c>
      <c r="W335">
        <f t="shared" ref="W335:W398" ca="1" si="111">C335*(2/(12+1)) + W334*(1-(2/(12+1)))</f>
        <v>163.28581703971167</v>
      </c>
      <c r="X335">
        <f t="shared" ca="1" si="100"/>
        <v>164.96844054213926</v>
      </c>
      <c r="Y335">
        <f t="shared" ca="1" si="99"/>
        <v>-1.7786197019968313</v>
      </c>
      <c r="Z335">
        <f t="shared" ca="1" si="101"/>
        <v>-1.3447520772799386</v>
      </c>
      <c r="AA335">
        <f t="shared" ca="1" si="102"/>
        <v>-0.43386762471689266</v>
      </c>
      <c r="AB335">
        <f t="shared" ca="1" si="103"/>
        <v>167.42959999999991</v>
      </c>
    </row>
    <row r="336" spans="1:28" x14ac:dyDescent="0.25">
      <c r="A336" s="20">
        <f t="shared" ca="1" si="104"/>
        <v>45775</v>
      </c>
      <c r="B336" vm="979">
        <f ca="1"/>
        <v>45779</v>
      </c>
      <c r="C336" vm="980">
        <f ca="1"/>
        <v>160.52000000000001</v>
      </c>
      <c r="D336" vm="981">
        <f ca="1"/>
        <v>5750165</v>
      </c>
      <c r="E336">
        <f t="shared" ca="1" si="105"/>
        <v>923016485.80000007</v>
      </c>
      <c r="F336">
        <f ca="1">SUM($E$2:E336)/SUM($D$2:D336)</f>
        <v>165.42877583045336</v>
      </c>
      <c r="G336">
        <f ca="1">_xlfn.STDEV.P($C$2:C336)</f>
        <v>6.3912694156983374</v>
      </c>
      <c r="H336">
        <f t="shared" ca="1" si="106"/>
        <v>171.82004524615169</v>
      </c>
      <c r="I336">
        <f t="shared" ca="1" si="107"/>
        <v>159.03750641475503</v>
      </c>
      <c r="J336">
        <f t="shared" ca="1" si="95"/>
        <v>163.84350000000001</v>
      </c>
      <c r="K336">
        <f t="shared" ca="1" si="96"/>
        <v>3.5588692394014552</v>
      </c>
      <c r="L336">
        <f t="shared" ca="1" si="97"/>
        <v>170.96123847880293</v>
      </c>
      <c r="M336">
        <f t="shared" ca="1" si="98"/>
        <v>156.72576152119709</v>
      </c>
      <c r="N336">
        <f t="shared" ca="1" si="108"/>
        <v>0.54000000000002046</v>
      </c>
      <c r="O336">
        <f t="shared" ca="1" si="109"/>
        <v>0.54000000000002046</v>
      </c>
      <c r="P336">
        <f t="shared" ca="1" si="110"/>
        <v>0</v>
      </c>
      <c r="Q336">
        <f t="shared" ca="1" si="93"/>
        <v>0.90414586020608201</v>
      </c>
      <c r="R336">
        <f t="shared" ca="1" si="94"/>
        <v>1.2279485236684873</v>
      </c>
      <c r="S336">
        <f t="shared" ref="S336:S399" ca="1" si="112">IF(R336=0,NA(),Q336/R336)</f>
        <v>0.73630599555179466</v>
      </c>
      <c r="T336">
        <f t="shared" ref="T336:T399" ca="1" si="113">100-(100/(1+S336))</f>
        <v>42.406465072292626</v>
      </c>
      <c r="U336">
        <f>70</f>
        <v>70</v>
      </c>
      <c r="V336">
        <f>30</f>
        <v>30</v>
      </c>
      <c r="W336">
        <f t="shared" ca="1" si="111"/>
        <v>162.86030672590988</v>
      </c>
      <c r="X336">
        <f t="shared" ca="1" si="100"/>
        <v>164.63892642790671</v>
      </c>
      <c r="Y336">
        <f t="shared" ca="1" si="99"/>
        <v>-1.9683760440867388</v>
      </c>
      <c r="Z336">
        <f t="shared" ca="1" si="101"/>
        <v>-1.4694768706412988</v>
      </c>
      <c r="AA336">
        <f t="shared" ca="1" si="102"/>
        <v>-0.49889917344543999</v>
      </c>
      <c r="AB336">
        <f t="shared" ca="1" si="103"/>
        <v>167.27449999999996</v>
      </c>
    </row>
    <row r="337" spans="1:28" x14ac:dyDescent="0.25">
      <c r="A337" s="20">
        <f t="shared" ca="1" si="104"/>
        <v>45782</v>
      </c>
      <c r="B337" vm="982">
        <f ca="1"/>
        <v>45782</v>
      </c>
      <c r="C337" vm="983">
        <f ca="1"/>
        <v>158.83000000000001</v>
      </c>
      <c r="D337" vm="984">
        <f ca="1"/>
        <v>7576219</v>
      </c>
      <c r="E337">
        <f t="shared" ca="1" si="105"/>
        <v>1203330863.77</v>
      </c>
      <c r="F337">
        <f ca="1">SUM($E$2:E337)/SUM($D$2:D337)</f>
        <v>165.40784036232031</v>
      </c>
      <c r="G337">
        <f ca="1">_xlfn.STDEV.P($C$2:C337)</f>
        <v>6.3923410735988462</v>
      </c>
      <c r="H337">
        <f t="shared" ca="1" si="106"/>
        <v>171.80018143591917</v>
      </c>
      <c r="I337">
        <f t="shared" ca="1" si="107"/>
        <v>159.01549928872146</v>
      </c>
      <c r="J337">
        <f t="shared" ca="1" si="95"/>
        <v>163.59750000000003</v>
      </c>
      <c r="K337">
        <f t="shared" ca="1" si="96"/>
        <v>3.7315269556915469</v>
      </c>
      <c r="L337">
        <f t="shared" ca="1" si="97"/>
        <v>171.06055391138312</v>
      </c>
      <c r="M337">
        <f t="shared" ca="1" si="98"/>
        <v>156.13444608861693</v>
      </c>
      <c r="N337">
        <f t="shared" ca="1" si="108"/>
        <v>-1.6899999999999977</v>
      </c>
      <c r="O337">
        <f t="shared" ca="1" si="109"/>
        <v>0</v>
      </c>
      <c r="P337">
        <f t="shared" ca="1" si="110"/>
        <v>1.6899999999999977</v>
      </c>
      <c r="Q337">
        <f t="shared" ref="Q337:Q400" ca="1" si="114">(Q336*13+O337)/14</f>
        <v>0.8395640130485047</v>
      </c>
      <c r="R337">
        <f t="shared" ref="R337:R400" ca="1" si="115">(R336*13+P337)/14</f>
        <v>1.2609522005493095</v>
      </c>
      <c r="S337">
        <f t="shared" ca="1" si="112"/>
        <v>0.6658174772071177</v>
      </c>
      <c r="T337">
        <f t="shared" ca="1" si="113"/>
        <v>39.969413595264733</v>
      </c>
      <c r="U337">
        <f>70</f>
        <v>70</v>
      </c>
      <c r="V337">
        <f>30</f>
        <v>30</v>
      </c>
      <c r="W337">
        <f t="shared" ca="1" si="111"/>
        <v>162.24025953730836</v>
      </c>
      <c r="X337">
        <f t="shared" ca="1" si="100"/>
        <v>164.2086355813951</v>
      </c>
      <c r="Y337">
        <f t="shared" ca="1" si="99"/>
        <v>-2.0611096335408376</v>
      </c>
      <c r="Z337">
        <f t="shared" ca="1" si="101"/>
        <v>-1.5878034232212066</v>
      </c>
      <c r="AA337">
        <f t="shared" ca="1" si="102"/>
        <v>-0.47330621031963105</v>
      </c>
      <c r="AB337">
        <f t="shared" ca="1" si="103"/>
        <v>167.12459999999999</v>
      </c>
    </row>
    <row r="338" spans="1:28" x14ac:dyDescent="0.25">
      <c r="A338" s="20">
        <f t="shared" ca="1" si="104"/>
        <v>45782</v>
      </c>
      <c r="B338" vm="985">
        <f ca="1"/>
        <v>45783</v>
      </c>
      <c r="C338" vm="986">
        <f ca="1"/>
        <v>159.25</v>
      </c>
      <c r="D338" vm="987">
        <f ca="1"/>
        <v>7703843</v>
      </c>
      <c r="E338">
        <f t="shared" ca="1" si="105"/>
        <v>1226836997.75</v>
      </c>
      <c r="F338">
        <f ca="1">SUM($E$2:E338)/SUM($D$2:D338)</f>
        <v>165.38803860105267</v>
      </c>
      <c r="G338">
        <f ca="1">_xlfn.STDEV.P($C$2:C338)</f>
        <v>6.3920759255482391</v>
      </c>
      <c r="H338">
        <f t="shared" ca="1" si="106"/>
        <v>171.7801145266009</v>
      </c>
      <c r="I338">
        <f t="shared" ca="1" si="107"/>
        <v>158.99596267550444</v>
      </c>
      <c r="J338">
        <f t="shared" ca="1" si="95"/>
        <v>163.54850000000005</v>
      </c>
      <c r="K338">
        <f t="shared" ca="1" si="96"/>
        <v>3.7841376338049511</v>
      </c>
      <c r="L338">
        <f t="shared" ca="1" si="97"/>
        <v>171.11677526760994</v>
      </c>
      <c r="M338">
        <f t="shared" ca="1" si="98"/>
        <v>155.98022473239016</v>
      </c>
      <c r="N338">
        <f t="shared" ca="1" si="108"/>
        <v>0.41999999999998749</v>
      </c>
      <c r="O338">
        <f t="shared" ca="1" si="109"/>
        <v>0.41999999999998749</v>
      </c>
      <c r="P338">
        <f t="shared" ca="1" si="110"/>
        <v>0</v>
      </c>
      <c r="Q338">
        <f t="shared" ca="1" si="114"/>
        <v>0.80959515497361068</v>
      </c>
      <c r="R338">
        <f t="shared" ca="1" si="115"/>
        <v>1.1708841862243589</v>
      </c>
      <c r="S338">
        <f t="shared" ca="1" si="112"/>
        <v>0.69143914018024</v>
      </c>
      <c r="T338">
        <f t="shared" ca="1" si="113"/>
        <v>40.878747792637704</v>
      </c>
      <c r="U338">
        <f>70</f>
        <v>70</v>
      </c>
      <c r="V338">
        <f>30</f>
        <v>30</v>
      </c>
      <c r="W338">
        <f t="shared" ca="1" si="111"/>
        <v>161.78021960849168</v>
      </c>
      <c r="X338">
        <f t="shared" ca="1" si="100"/>
        <v>163.84132924203251</v>
      </c>
      <c r="Y338">
        <f t="shared" ca="1" si="99"/>
        <v>-2.1070848431297691</v>
      </c>
      <c r="Z338">
        <f t="shared" ca="1" si="101"/>
        <v>-1.6916597072029194</v>
      </c>
      <c r="AA338">
        <f t="shared" ca="1" si="102"/>
        <v>-0.41542513592684971</v>
      </c>
      <c r="AB338">
        <f t="shared" ca="1" si="103"/>
        <v>167.00919999999994</v>
      </c>
    </row>
    <row r="339" spans="1:28" x14ac:dyDescent="0.25">
      <c r="A339" s="20">
        <f t="shared" ca="1" si="104"/>
        <v>45782</v>
      </c>
      <c r="B339" vm="988">
        <f ca="1"/>
        <v>45784</v>
      </c>
      <c r="C339" vm="989">
        <f ca="1"/>
        <v>159.29</v>
      </c>
      <c r="D339" vm="990">
        <f ca="1"/>
        <v>6430156</v>
      </c>
      <c r="E339">
        <f t="shared" ca="1" si="105"/>
        <v>1024259549.2399999</v>
      </c>
      <c r="F339">
        <f ca="1">SUM($E$2:E339)/SUM($D$2:D339)</f>
        <v>165.37171501602401</v>
      </c>
      <c r="G339">
        <f ca="1">_xlfn.STDEV.P($C$2:C339)</f>
        <v>6.391642139863122</v>
      </c>
      <c r="H339">
        <f t="shared" ca="1" si="106"/>
        <v>171.76335715588712</v>
      </c>
      <c r="I339">
        <f t="shared" ca="1" si="107"/>
        <v>158.9800728761609</v>
      </c>
      <c r="J339">
        <f t="shared" ca="1" si="95"/>
        <v>163.59350000000001</v>
      </c>
      <c r="K339">
        <f t="shared" ca="1" si="96"/>
        <v>3.7244459496116908</v>
      </c>
      <c r="L339">
        <f t="shared" ca="1" si="97"/>
        <v>171.04239189922339</v>
      </c>
      <c r="M339">
        <f t="shared" ca="1" si="98"/>
        <v>156.14460810077662</v>
      </c>
      <c r="N339">
        <f t="shared" ca="1" si="108"/>
        <v>3.9999999999992042E-2</v>
      </c>
      <c r="O339">
        <f t="shared" ca="1" si="109"/>
        <v>3.9999999999992042E-2</v>
      </c>
      <c r="P339">
        <f t="shared" ca="1" si="110"/>
        <v>0</v>
      </c>
      <c r="Q339">
        <f t="shared" ca="1" si="114"/>
        <v>0.75462407247549501</v>
      </c>
      <c r="R339">
        <f t="shared" ca="1" si="115"/>
        <v>1.0872496014940476</v>
      </c>
      <c r="S339">
        <f t="shared" ca="1" si="112"/>
        <v>0.6940670030492776</v>
      </c>
      <c r="T339">
        <f t="shared" ca="1" si="113"/>
        <v>40.970457591109131</v>
      </c>
      <c r="U339">
        <f>70</f>
        <v>70</v>
      </c>
      <c r="V339">
        <f>30</f>
        <v>30</v>
      </c>
      <c r="W339">
        <f t="shared" ca="1" si="111"/>
        <v>161.39710889949293</v>
      </c>
      <c r="X339">
        <f t="shared" ca="1" si="100"/>
        <v>163.5041937426227</v>
      </c>
      <c r="Y339">
        <f t="shared" ca="1" si="99"/>
        <v>-2.1701470746523626</v>
      </c>
      <c r="Z339">
        <f t="shared" ca="1" si="101"/>
        <v>-1.7873571806928079</v>
      </c>
      <c r="AA339">
        <f t="shared" ca="1" si="102"/>
        <v>-0.38278989395955465</v>
      </c>
      <c r="AB339">
        <f t="shared" ca="1" si="103"/>
        <v>166.87929999999994</v>
      </c>
    </row>
    <row r="340" spans="1:28" x14ac:dyDescent="0.25">
      <c r="A340" s="20">
        <f t="shared" ca="1" si="104"/>
        <v>45782</v>
      </c>
      <c r="B340" vm="991">
        <f ca="1"/>
        <v>45785</v>
      </c>
      <c r="C340" vm="992">
        <f ca="1"/>
        <v>158.65</v>
      </c>
      <c r="D340" vm="993">
        <f ca="1"/>
        <v>7230806</v>
      </c>
      <c r="E340">
        <f t="shared" ca="1" si="105"/>
        <v>1147167371.9000001</v>
      </c>
      <c r="F340">
        <f ca="1">SUM($E$2:E340)/SUM($D$2:D340)</f>
        <v>165.35154225529638</v>
      </c>
      <c r="G340">
        <f ca="1">_xlfn.STDEV.P($C$2:C340)</f>
        <v>6.3930879589964098</v>
      </c>
      <c r="H340">
        <f t="shared" ca="1" si="106"/>
        <v>171.74463021429278</v>
      </c>
      <c r="I340">
        <f t="shared" ca="1" si="107"/>
        <v>158.95845429629998</v>
      </c>
      <c r="J340">
        <f t="shared" ca="1" si="95"/>
        <v>163.41000000000003</v>
      </c>
      <c r="K340">
        <f t="shared" ca="1" si="96"/>
        <v>3.8777462255121415</v>
      </c>
      <c r="L340">
        <f t="shared" ca="1" si="97"/>
        <v>171.16549245102431</v>
      </c>
      <c r="M340">
        <f t="shared" ca="1" si="98"/>
        <v>155.65450754897574</v>
      </c>
      <c r="N340">
        <f t="shared" ca="1" si="108"/>
        <v>-0.63999999999998636</v>
      </c>
      <c r="O340">
        <f t="shared" ca="1" si="109"/>
        <v>0</v>
      </c>
      <c r="P340">
        <f t="shared" ca="1" si="110"/>
        <v>0.63999999999998636</v>
      </c>
      <c r="Q340">
        <f t="shared" ca="1" si="114"/>
        <v>0.70072235301295971</v>
      </c>
      <c r="R340">
        <f t="shared" ca="1" si="115"/>
        <v>1.0553032013873289</v>
      </c>
      <c r="S340">
        <f t="shared" ca="1" si="112"/>
        <v>0.66400097345651177</v>
      </c>
      <c r="T340">
        <f t="shared" ca="1" si="113"/>
        <v>39.90388131067192</v>
      </c>
      <c r="U340">
        <f>70</f>
        <v>70</v>
      </c>
      <c r="V340">
        <f>30</f>
        <v>30</v>
      </c>
      <c r="W340">
        <f t="shared" ca="1" si="111"/>
        <v>160.9744767611094</v>
      </c>
      <c r="X340">
        <f t="shared" ca="1" si="100"/>
        <v>163.14462383576176</v>
      </c>
      <c r="Y340">
        <f t="shared" ca="1" si="99"/>
        <v>-2.2737981440828605</v>
      </c>
      <c r="Z340">
        <f t="shared" ca="1" si="101"/>
        <v>-1.8846453733708184</v>
      </c>
      <c r="AA340">
        <f t="shared" ca="1" si="102"/>
        <v>-0.38915277071204213</v>
      </c>
      <c r="AB340">
        <f t="shared" ca="1" si="103"/>
        <v>166.75949999999997</v>
      </c>
    </row>
    <row r="341" spans="1:28" x14ac:dyDescent="0.25">
      <c r="A341" s="20">
        <f t="shared" ca="1" si="104"/>
        <v>45782</v>
      </c>
      <c r="B341" vm="994">
        <f ca="1"/>
        <v>45786</v>
      </c>
      <c r="C341" vm="995">
        <f ca="1"/>
        <v>157.66</v>
      </c>
      <c r="D341" vm="996">
        <f ca="1"/>
        <v>6453232</v>
      </c>
      <c r="E341">
        <f t="shared" ca="1" si="105"/>
        <v>1017416557.12</v>
      </c>
      <c r="F341">
        <f ca="1">SUM($E$2:E341)/SUM($D$2:D341)</f>
        <v>165.33099624124841</v>
      </c>
      <c r="G341">
        <f ca="1">_xlfn.STDEV.P($C$2:C341)</f>
        <v>6.397797013459595</v>
      </c>
      <c r="H341">
        <f t="shared" ca="1" si="106"/>
        <v>171.72879325470802</v>
      </c>
      <c r="I341">
        <f t="shared" ca="1" si="107"/>
        <v>158.9331992277888</v>
      </c>
      <c r="J341">
        <f t="shared" ca="1" si="95"/>
        <v>163.11499999999998</v>
      </c>
      <c r="K341">
        <f t="shared" ca="1" si="96"/>
        <v>4.0846368130761421</v>
      </c>
      <c r="L341">
        <f t="shared" ca="1" si="97"/>
        <v>171.28427362615227</v>
      </c>
      <c r="M341">
        <f t="shared" ca="1" si="98"/>
        <v>154.94572637384769</v>
      </c>
      <c r="N341">
        <f t="shared" ca="1" si="108"/>
        <v>-0.99000000000000909</v>
      </c>
      <c r="O341">
        <f t="shared" ca="1" si="109"/>
        <v>0</v>
      </c>
      <c r="P341">
        <f t="shared" ca="1" si="110"/>
        <v>0.99000000000000909</v>
      </c>
      <c r="Q341">
        <f t="shared" ca="1" si="114"/>
        <v>0.65067075636917693</v>
      </c>
      <c r="R341">
        <f t="shared" ca="1" si="115"/>
        <v>1.0506386870025204</v>
      </c>
      <c r="S341">
        <f t="shared" ca="1" si="112"/>
        <v>0.61930972504500592</v>
      </c>
      <c r="T341">
        <f t="shared" ca="1" si="113"/>
        <v>38.245291525547607</v>
      </c>
      <c r="U341">
        <f>70</f>
        <v>70</v>
      </c>
      <c r="V341">
        <f>30</f>
        <v>30</v>
      </c>
      <c r="W341">
        <f t="shared" ca="1" si="111"/>
        <v>160.46455725940027</v>
      </c>
      <c r="X341">
        <f t="shared" ca="1" si="100"/>
        <v>162.73835540348313</v>
      </c>
      <c r="Y341">
        <f t="shared" ca="1" si="99"/>
        <v>-2.07063247888928</v>
      </c>
      <c r="Z341">
        <f t="shared" ca="1" si="101"/>
        <v>-1.9218427944745109</v>
      </c>
      <c r="AA341">
        <f t="shared" ca="1" si="102"/>
        <v>-0.14878968441476914</v>
      </c>
      <c r="AB341">
        <f t="shared" ca="1" si="103"/>
        <v>166.62759999999994</v>
      </c>
    </row>
    <row r="342" spans="1:28" x14ac:dyDescent="0.25">
      <c r="A342" s="20">
        <f t="shared" ca="1" si="104"/>
        <v>45789</v>
      </c>
      <c r="B342" vm="997">
        <f ca="1"/>
        <v>45789</v>
      </c>
      <c r="C342" vm="998">
        <f ca="1"/>
        <v>160.9</v>
      </c>
      <c r="D342" vm="999">
        <f ca="1"/>
        <v>7378380</v>
      </c>
      <c r="E342">
        <f t="shared" ca="1" si="105"/>
        <v>1187181342</v>
      </c>
      <c r="F342">
        <f ca="1">SUM($E$2:E342)/SUM($D$2:D342)</f>
        <v>165.31750428669068</v>
      </c>
      <c r="G342">
        <f ca="1">_xlfn.STDEV.P($C$2:C342)</f>
        <v>6.3932102032805647</v>
      </c>
      <c r="H342">
        <f t="shared" ca="1" si="106"/>
        <v>171.71071448997125</v>
      </c>
      <c r="I342">
        <f t="shared" ca="1" si="107"/>
        <v>158.9242940834101</v>
      </c>
      <c r="J342">
        <f t="shared" ref="J342:J405" ca="1" si="116">AVERAGE(C323:C342)</f>
        <v>162.81449999999998</v>
      </c>
      <c r="K342">
        <f t="shared" ref="K342:K405" ca="1" si="117">_xlfn.STDEV.S(C323:C342)</f>
        <v>4.01116268089834</v>
      </c>
      <c r="L342">
        <f t="shared" ref="L342:L405" ca="1" si="118">J342 + 2*K342</f>
        <v>170.83682536179666</v>
      </c>
      <c r="M342">
        <f t="shared" ref="M342:M405" ca="1" si="119">J342-2*K342</f>
        <v>154.79217463820331</v>
      </c>
      <c r="N342">
        <f t="shared" ca="1" si="108"/>
        <v>3.2400000000000091</v>
      </c>
      <c r="O342">
        <f t="shared" ca="1" si="109"/>
        <v>3.2400000000000091</v>
      </c>
      <c r="P342">
        <f t="shared" ca="1" si="110"/>
        <v>0</v>
      </c>
      <c r="Q342">
        <f t="shared" ca="1" si="114"/>
        <v>0.83562284519995067</v>
      </c>
      <c r="R342">
        <f t="shared" ca="1" si="115"/>
        <v>0.97559306650234034</v>
      </c>
      <c r="S342">
        <f t="shared" ca="1" si="112"/>
        <v>0.85652806881438215</v>
      </c>
      <c r="T342">
        <f t="shared" ca="1" si="113"/>
        <v>46.136015027307344</v>
      </c>
      <c r="U342">
        <f>70</f>
        <v>70</v>
      </c>
      <c r="V342">
        <f>30</f>
        <v>30</v>
      </c>
      <c r="W342">
        <f t="shared" ca="1" si="111"/>
        <v>160.53154845026177</v>
      </c>
      <c r="X342">
        <f t="shared" ca="1" si="100"/>
        <v>162.60218092915105</v>
      </c>
      <c r="Y342">
        <f t="shared" ca="1" si="99"/>
        <v>-2.0609655619554417</v>
      </c>
      <c r="Z342">
        <f t="shared" ca="1" si="101"/>
        <v>-1.949667347970697</v>
      </c>
      <c r="AA342">
        <f t="shared" ca="1" si="102"/>
        <v>-0.11129821398474471</v>
      </c>
      <c r="AB342">
        <f t="shared" ca="1" si="103"/>
        <v>166.52599999999998</v>
      </c>
    </row>
    <row r="343" spans="1:28" x14ac:dyDescent="0.25">
      <c r="A343" s="20">
        <f t="shared" ca="1" si="104"/>
        <v>45789</v>
      </c>
      <c r="B343" vm="1000">
        <f ca="1"/>
        <v>45790</v>
      </c>
      <c r="C343" vm="1001">
        <f ca="1"/>
        <v>158.72999999999999</v>
      </c>
      <c r="D343" vm="1002">
        <f ca="1"/>
        <v>7780827</v>
      </c>
      <c r="E343">
        <f t="shared" ca="1" si="105"/>
        <v>1235050669.71</v>
      </c>
      <c r="F343">
        <f ca="1">SUM($E$2:E343)/SUM($D$2:D343)</f>
        <v>165.29641961412659</v>
      </c>
      <c r="G343">
        <f ca="1">_xlfn.STDEV.P($C$2:C343)</f>
        <v>6.3942142268468443</v>
      </c>
      <c r="H343">
        <f t="shared" ca="1" si="106"/>
        <v>171.69063384097345</v>
      </c>
      <c r="I343">
        <f t="shared" ca="1" si="107"/>
        <v>158.90220538727974</v>
      </c>
      <c r="J343">
        <f t="shared" ca="1" si="116"/>
        <v>162.2945</v>
      </c>
      <c r="K343">
        <f t="shared" ca="1" si="117"/>
        <v>3.8188500266854906</v>
      </c>
      <c r="L343">
        <f t="shared" ca="1" si="118"/>
        <v>169.93220005337099</v>
      </c>
      <c r="M343">
        <f t="shared" ca="1" si="119"/>
        <v>154.65679994662901</v>
      </c>
      <c r="N343">
        <f t="shared" ca="1" si="108"/>
        <v>-2.1700000000000159</v>
      </c>
      <c r="O343">
        <f t="shared" ca="1" si="109"/>
        <v>0</v>
      </c>
      <c r="P343">
        <f t="shared" ca="1" si="110"/>
        <v>2.1700000000000159</v>
      </c>
      <c r="Q343">
        <f t="shared" ca="1" si="114"/>
        <v>0.77593549911423998</v>
      </c>
      <c r="R343">
        <f t="shared" ca="1" si="115"/>
        <v>1.0609078474664602</v>
      </c>
      <c r="S343">
        <f t="shared" ca="1" si="112"/>
        <v>0.73138821714557123</v>
      </c>
      <c r="T343">
        <f t="shared" ca="1" si="113"/>
        <v>42.242878281299852</v>
      </c>
      <c r="U343">
        <f>70</f>
        <v>70</v>
      </c>
      <c r="V343">
        <f>30</f>
        <v>30</v>
      </c>
      <c r="W343">
        <f t="shared" ca="1" si="111"/>
        <v>160.25438715022148</v>
      </c>
      <c r="X343">
        <f t="shared" ca="1" si="100"/>
        <v>162.31535271217692</v>
      </c>
      <c r="Y343">
        <f t="shared" ca="1" si="99"/>
        <v>-2.0865431562442041</v>
      </c>
      <c r="Z343">
        <f t="shared" ca="1" si="101"/>
        <v>-1.9770425096253985</v>
      </c>
      <c r="AA343">
        <f t="shared" ca="1" si="102"/>
        <v>-0.10950064661880554</v>
      </c>
      <c r="AB343">
        <f t="shared" ca="1" si="103"/>
        <v>166.40189999999996</v>
      </c>
    </row>
    <row r="344" spans="1:28" x14ac:dyDescent="0.25">
      <c r="A344" s="20">
        <f t="shared" ca="1" si="104"/>
        <v>45789</v>
      </c>
      <c r="B344" vm="1003">
        <f ca="1"/>
        <v>45791</v>
      </c>
      <c r="C344" vm="1004">
        <f ca="1"/>
        <v>158.02000000000001</v>
      </c>
      <c r="D344" vm="1005">
        <f ca="1"/>
        <v>5988905</v>
      </c>
      <c r="E344">
        <f t="shared" ca="1" si="105"/>
        <v>946366768.10000002</v>
      </c>
      <c r="F344">
        <f ca="1">SUM($E$2:E344)/SUM($D$2:D344)</f>
        <v>165.27853758717643</v>
      </c>
      <c r="G344">
        <f ca="1">_xlfn.STDEV.P($C$2:C344)</f>
        <v>6.3974343765568271</v>
      </c>
      <c r="H344">
        <f t="shared" ca="1" si="106"/>
        <v>171.67597196373325</v>
      </c>
      <c r="I344">
        <f t="shared" ca="1" si="107"/>
        <v>158.88110321061961</v>
      </c>
      <c r="J344">
        <f t="shared" ca="1" si="116"/>
        <v>161.77199999999999</v>
      </c>
      <c r="K344">
        <f t="shared" ca="1" si="117"/>
        <v>3.6401497944886509</v>
      </c>
      <c r="L344">
        <f t="shared" ca="1" si="118"/>
        <v>169.05229958897729</v>
      </c>
      <c r="M344">
        <f t="shared" ca="1" si="119"/>
        <v>154.49170041102269</v>
      </c>
      <c r="N344">
        <f t="shared" ca="1" si="108"/>
        <v>-0.70999999999997954</v>
      </c>
      <c r="O344">
        <f t="shared" ca="1" si="109"/>
        <v>0</v>
      </c>
      <c r="P344">
        <f t="shared" ca="1" si="110"/>
        <v>0.70999999999997954</v>
      </c>
      <c r="Q344">
        <f t="shared" ca="1" si="114"/>
        <v>0.7205115348917942</v>
      </c>
      <c r="R344">
        <f t="shared" ca="1" si="115"/>
        <v>1.0358430012188544</v>
      </c>
      <c r="S344">
        <f t="shared" ca="1" si="112"/>
        <v>0.69557986494476831</v>
      </c>
      <c r="T344">
        <f t="shared" ca="1" si="113"/>
        <v>41.023126030540944</v>
      </c>
      <c r="U344">
        <f>70</f>
        <v>70</v>
      </c>
      <c r="V344">
        <f>30</f>
        <v>30</v>
      </c>
      <c r="W344">
        <f t="shared" ca="1" si="111"/>
        <v>159.91063528095663</v>
      </c>
      <c r="X344">
        <f t="shared" ca="1" si="100"/>
        <v>161.99717843720083</v>
      </c>
      <c r="Y344">
        <f t="shared" ca="1" si="99"/>
        <v>-1.732604882182784</v>
      </c>
      <c r="Z344">
        <f t="shared" ca="1" si="101"/>
        <v>-1.9281549841368757</v>
      </c>
      <c r="AA344">
        <f t="shared" ca="1" si="102"/>
        <v>0.19555010195409173</v>
      </c>
      <c r="AB344">
        <f t="shared" ca="1" si="103"/>
        <v>166.27879999999996</v>
      </c>
    </row>
    <row r="345" spans="1:28" x14ac:dyDescent="0.25">
      <c r="A345" s="20">
        <f t="shared" ca="1" si="104"/>
        <v>45789</v>
      </c>
      <c r="B345" vm="1006">
        <f ca="1"/>
        <v>45792</v>
      </c>
      <c r="C345" vm="1007">
        <f ca="1"/>
        <v>162.41</v>
      </c>
      <c r="D345" vm="1008">
        <f ca="1"/>
        <v>8727316</v>
      </c>
      <c r="E345">
        <f t="shared" ca="1" si="105"/>
        <v>1417403391.5599999</v>
      </c>
      <c r="F345">
        <f ca="1">SUM($E$2:E345)/SUM($D$2:D345)</f>
        <v>165.2683013509214</v>
      </c>
      <c r="G345">
        <f ca="1">_xlfn.STDEV.P($C$2:C345)</f>
        <v>6.3901928168546354</v>
      </c>
      <c r="H345">
        <f t="shared" ca="1" si="106"/>
        <v>171.65849416777604</v>
      </c>
      <c r="I345">
        <f t="shared" ca="1" si="107"/>
        <v>158.87810853406677</v>
      </c>
      <c r="J345">
        <f t="shared" ca="1" si="116"/>
        <v>161.57299999999998</v>
      </c>
      <c r="K345">
        <f t="shared" ca="1" si="117"/>
        <v>3.4796568191342305</v>
      </c>
      <c r="L345">
        <f t="shared" ca="1" si="118"/>
        <v>168.53231363826845</v>
      </c>
      <c r="M345">
        <f t="shared" ca="1" si="119"/>
        <v>154.61368636173151</v>
      </c>
      <c r="N345">
        <f t="shared" ca="1" si="108"/>
        <v>4.3899999999999864</v>
      </c>
      <c r="O345">
        <f t="shared" ca="1" si="109"/>
        <v>4.3899999999999864</v>
      </c>
      <c r="P345">
        <f t="shared" ca="1" si="110"/>
        <v>0</v>
      </c>
      <c r="Q345">
        <f t="shared" ca="1" si="114"/>
        <v>0.98261785382809363</v>
      </c>
      <c r="R345">
        <f t="shared" ca="1" si="115"/>
        <v>0.96185421541750771</v>
      </c>
      <c r="S345">
        <f t="shared" ca="1" si="112"/>
        <v>1.0215870950896371</v>
      </c>
      <c r="T345">
        <f t="shared" ca="1" si="113"/>
        <v>50.533914545212305</v>
      </c>
      <c r="U345">
        <f>70</f>
        <v>70</v>
      </c>
      <c r="V345">
        <f>30</f>
        <v>30</v>
      </c>
      <c r="W345">
        <f t="shared" ca="1" si="111"/>
        <v>160.29515293004022</v>
      </c>
      <c r="X345">
        <f t="shared" ca="1" si="100"/>
        <v>162.027757812223</v>
      </c>
      <c r="Y345">
        <f t="shared" ca="1" si="99"/>
        <v>-1.3661563212265833</v>
      </c>
      <c r="Z345">
        <f t="shared" ca="1" si="101"/>
        <v>-1.8157552515548174</v>
      </c>
      <c r="AA345">
        <f t="shared" ca="1" si="102"/>
        <v>0.44959893032823417</v>
      </c>
      <c r="AB345">
        <f t="shared" ca="1" si="103"/>
        <v>166.21209999999996</v>
      </c>
    </row>
    <row r="346" spans="1:28" x14ac:dyDescent="0.25">
      <c r="A346" s="20">
        <f t="shared" ca="1" si="104"/>
        <v>45789</v>
      </c>
      <c r="B346" vm="1009">
        <f ca="1"/>
        <v>45793</v>
      </c>
      <c r="C346" vm="1010">
        <f ca="1"/>
        <v>163.28</v>
      </c>
      <c r="D346" vm="1011">
        <f ca="1"/>
        <v>7100784</v>
      </c>
      <c r="E346">
        <f t="shared" ca="1" si="105"/>
        <v>1159416011.52</v>
      </c>
      <c r="F346">
        <f ca="1">SUM($E$2:E346)/SUM($D$2:D346)</f>
        <v>165.2625452491346</v>
      </c>
      <c r="G346">
        <f ca="1">_xlfn.STDEV.P($C$2:C346)</f>
        <v>6.3819596581900262</v>
      </c>
      <c r="H346">
        <f t="shared" ca="1" si="106"/>
        <v>171.64450490732463</v>
      </c>
      <c r="I346">
        <f t="shared" ca="1" si="107"/>
        <v>158.88058559094458</v>
      </c>
      <c r="J346">
        <f t="shared" ca="1" si="116"/>
        <v>161.2055</v>
      </c>
      <c r="K346">
        <f t="shared" ca="1" si="117"/>
        <v>2.7931843269305578</v>
      </c>
      <c r="L346">
        <f t="shared" ca="1" si="118"/>
        <v>166.79186865386112</v>
      </c>
      <c r="M346">
        <f t="shared" ca="1" si="119"/>
        <v>155.61913134613889</v>
      </c>
      <c r="N346">
        <f t="shared" ca="1" si="108"/>
        <v>0.87000000000000455</v>
      </c>
      <c r="O346">
        <f t="shared" ca="1" si="109"/>
        <v>0.87000000000000455</v>
      </c>
      <c r="P346">
        <f t="shared" ca="1" si="110"/>
        <v>0</v>
      </c>
      <c r="Q346">
        <f t="shared" ca="1" si="114"/>
        <v>0.97457372141180154</v>
      </c>
      <c r="R346">
        <f t="shared" ca="1" si="115"/>
        <v>0.89315034288768569</v>
      </c>
      <c r="S346">
        <f t="shared" ca="1" si="112"/>
        <v>1.0911642470637835</v>
      </c>
      <c r="T346">
        <f t="shared" ca="1" si="113"/>
        <v>52.17974860635141</v>
      </c>
      <c r="U346">
        <f>70</f>
        <v>70</v>
      </c>
      <c r="V346">
        <f>30</f>
        <v>30</v>
      </c>
      <c r="W346">
        <f t="shared" ca="1" si="111"/>
        <v>160.7543601715725</v>
      </c>
      <c r="X346">
        <f t="shared" ca="1" si="100"/>
        <v>162.12051649279908</v>
      </c>
      <c r="Y346">
        <f t="shared" ca="1" si="99"/>
        <v>-0.94462361596202982</v>
      </c>
      <c r="Z346">
        <f t="shared" ca="1" si="101"/>
        <v>-1.6415289244362601</v>
      </c>
      <c r="AA346">
        <f t="shared" ca="1" si="102"/>
        <v>0.69690530847423027</v>
      </c>
      <c r="AB346">
        <f t="shared" ca="1" si="103"/>
        <v>166.15299999999996</v>
      </c>
    </row>
    <row r="347" spans="1:28" x14ac:dyDescent="0.25">
      <c r="A347" s="20">
        <f t="shared" ca="1" si="104"/>
        <v>45796</v>
      </c>
      <c r="B347" vm="1012">
        <f ca="1"/>
        <v>45796</v>
      </c>
      <c r="C347" vm="1013">
        <f ca="1"/>
        <v>164.77</v>
      </c>
      <c r="D347" vm="1014">
        <f ca="1"/>
        <v>8120219</v>
      </c>
      <c r="E347">
        <f t="shared" ca="1" si="105"/>
        <v>1337968484.6300001</v>
      </c>
      <c r="F347">
        <f ca="1">SUM($E$2:E347)/SUM($D$2:D347)</f>
        <v>165.26092000567019</v>
      </c>
      <c r="G347">
        <f ca="1">_xlfn.STDEV.P($C$2:C347)</f>
        <v>6.3728235151262984</v>
      </c>
      <c r="H347">
        <f t="shared" ca="1" si="106"/>
        <v>171.63374352079649</v>
      </c>
      <c r="I347">
        <f t="shared" ca="1" si="107"/>
        <v>158.88809649054389</v>
      </c>
      <c r="J347">
        <f t="shared" ca="1" si="116"/>
        <v>161.15649999999999</v>
      </c>
      <c r="K347">
        <f t="shared" ca="1" si="117"/>
        <v>2.7168175558139596</v>
      </c>
      <c r="L347">
        <f t="shared" ca="1" si="118"/>
        <v>166.59013511162792</v>
      </c>
      <c r="M347">
        <f t="shared" ca="1" si="119"/>
        <v>155.72286488837207</v>
      </c>
      <c r="N347">
        <f t="shared" ca="1" si="108"/>
        <v>1.4900000000000091</v>
      </c>
      <c r="O347">
        <f t="shared" ca="1" si="109"/>
        <v>1.4900000000000091</v>
      </c>
      <c r="P347">
        <f t="shared" ca="1" si="110"/>
        <v>0</v>
      </c>
      <c r="Q347">
        <f t="shared" ca="1" si="114"/>
        <v>1.0113898841681022</v>
      </c>
      <c r="R347">
        <f t="shared" ca="1" si="115"/>
        <v>0.8293538898242796</v>
      </c>
      <c r="S347">
        <f t="shared" ca="1" si="112"/>
        <v>1.2194913372654363</v>
      </c>
      <c r="T347">
        <f t="shared" ca="1" si="113"/>
        <v>54.944631537419397</v>
      </c>
      <c r="U347">
        <f>70</f>
        <v>70</v>
      </c>
      <c r="V347">
        <f>30</f>
        <v>30</v>
      </c>
      <c r="W347">
        <f t="shared" ca="1" si="111"/>
        <v>161.37215091440748</v>
      </c>
      <c r="X347">
        <f t="shared" ca="1" si="100"/>
        <v>162.31677453036951</v>
      </c>
      <c r="Y347">
        <f t="shared" ca="1" si="99"/>
        <v>-0.53419629855002881</v>
      </c>
      <c r="Z347">
        <f t="shared" ca="1" si="101"/>
        <v>-1.420062399259014</v>
      </c>
      <c r="AA347">
        <f t="shared" ca="1" si="102"/>
        <v>0.88586610070898519</v>
      </c>
      <c r="AB347">
        <f t="shared" ca="1" si="103"/>
        <v>166.12009999999995</v>
      </c>
    </row>
    <row r="348" spans="1:28" x14ac:dyDescent="0.25">
      <c r="A348" s="20">
        <f t="shared" ca="1" si="104"/>
        <v>45796</v>
      </c>
      <c r="B348" vm="1015">
        <f ca="1"/>
        <v>45797</v>
      </c>
      <c r="C348" vm="1016">
        <f ca="1"/>
        <v>165.64</v>
      </c>
      <c r="D348" vm="1017">
        <f ca="1"/>
        <v>5576561</v>
      </c>
      <c r="E348">
        <f t="shared" ca="1" si="105"/>
        <v>923701564.03999996</v>
      </c>
      <c r="F348">
        <f ca="1">SUM($E$2:E348)/SUM($D$2:D348)</f>
        <v>165.26177708071722</v>
      </c>
      <c r="G348">
        <f ca="1">_xlfn.STDEV.P($C$2:C348)</f>
        <v>6.3636461386791092</v>
      </c>
      <c r="H348">
        <f t="shared" ca="1" si="106"/>
        <v>171.62542321939634</v>
      </c>
      <c r="I348">
        <f t="shared" ca="1" si="107"/>
        <v>158.89813094203811</v>
      </c>
      <c r="J348">
        <f t="shared" ca="1" si="116"/>
        <v>161.0445</v>
      </c>
      <c r="K348">
        <f t="shared" ca="1" si="117"/>
        <v>2.4589931080145679</v>
      </c>
      <c r="L348">
        <f t="shared" ca="1" si="118"/>
        <v>165.96248621602913</v>
      </c>
      <c r="M348">
        <f t="shared" ca="1" si="119"/>
        <v>156.12651378397086</v>
      </c>
      <c r="N348">
        <f t="shared" ca="1" si="108"/>
        <v>0.86999999999997613</v>
      </c>
      <c r="O348">
        <f t="shared" ca="1" si="109"/>
        <v>0.86999999999997613</v>
      </c>
      <c r="P348">
        <f t="shared" ca="1" si="110"/>
        <v>0</v>
      </c>
      <c r="Q348">
        <f t="shared" ca="1" si="114"/>
        <v>1.0012906067275218</v>
      </c>
      <c r="R348">
        <f t="shared" ca="1" si="115"/>
        <v>0.77011432626540255</v>
      </c>
      <c r="S348">
        <f t="shared" ca="1" si="112"/>
        <v>1.3001843655904792</v>
      </c>
      <c r="T348">
        <f t="shared" ca="1" si="113"/>
        <v>56.525224022932164</v>
      </c>
      <c r="U348">
        <f>70</f>
        <v>70</v>
      </c>
      <c r="V348">
        <f>30</f>
        <v>30</v>
      </c>
      <c r="W348">
        <f t="shared" ca="1" si="111"/>
        <v>162.02874308142174</v>
      </c>
      <c r="X348">
        <f t="shared" ca="1" si="100"/>
        <v>162.56293937997177</v>
      </c>
      <c r="Y348">
        <f t="shared" ref="Y348:Y411" ca="1" si="120">W349-X349</f>
        <v>-0.22330086412699757</v>
      </c>
      <c r="Z348">
        <f t="shared" ca="1" si="101"/>
        <v>-1.1807100922326108</v>
      </c>
      <c r="AA348">
        <f t="shared" ca="1" si="102"/>
        <v>0.95740922810561324</v>
      </c>
      <c r="AB348">
        <f t="shared" ca="1" si="103"/>
        <v>166.09539999999993</v>
      </c>
    </row>
    <row r="349" spans="1:28" x14ac:dyDescent="0.25">
      <c r="A349" s="20">
        <f t="shared" ca="1" si="104"/>
        <v>45796</v>
      </c>
      <c r="B349" vm="1018">
        <f ca="1"/>
        <v>45798</v>
      </c>
      <c r="C349" vm="831">
        <f ca="1"/>
        <v>165.43</v>
      </c>
      <c r="D349" vm="1019">
        <f ca="1"/>
        <v>6424153</v>
      </c>
      <c r="E349">
        <f t="shared" ca="1" si="105"/>
        <v>1062747630.7900001</v>
      </c>
      <c r="F349">
        <f ca="1">SUM($E$2:E349)/SUM($D$2:D349)</f>
        <v>165.26221409223791</v>
      </c>
      <c r="G349">
        <f ca="1">_xlfn.STDEV.P($C$2:C349)</f>
        <v>6.3544964794882048</v>
      </c>
      <c r="H349">
        <f t="shared" ca="1" si="106"/>
        <v>171.61671057172612</v>
      </c>
      <c r="I349">
        <f t="shared" ca="1" si="107"/>
        <v>158.90771761274971</v>
      </c>
      <c r="J349">
        <f t="shared" ca="1" si="116"/>
        <v>161.02949999999998</v>
      </c>
      <c r="K349">
        <f t="shared" ca="1" si="117"/>
        <v>2.4296468770931337</v>
      </c>
      <c r="L349">
        <f t="shared" ca="1" si="118"/>
        <v>165.88879375418625</v>
      </c>
      <c r="M349">
        <f t="shared" ca="1" si="119"/>
        <v>156.17020624581372</v>
      </c>
      <c r="N349">
        <f t="shared" ca="1" si="108"/>
        <v>-0.20999999999997954</v>
      </c>
      <c r="O349">
        <f t="shared" ca="1" si="109"/>
        <v>0</v>
      </c>
      <c r="P349">
        <f t="shared" ca="1" si="110"/>
        <v>0.20999999999997954</v>
      </c>
      <c r="Q349">
        <f t="shared" ca="1" si="114"/>
        <v>0.92976984910412741</v>
      </c>
      <c r="R349">
        <f t="shared" ca="1" si="115"/>
        <v>0.73010616010358664</v>
      </c>
      <c r="S349">
        <f t="shared" ca="1" si="112"/>
        <v>1.2734721331103585</v>
      </c>
      <c r="T349">
        <f t="shared" ca="1" si="113"/>
        <v>56.014415772411922</v>
      </c>
      <c r="U349">
        <f>70</f>
        <v>70</v>
      </c>
      <c r="V349">
        <f>30</f>
        <v>30</v>
      </c>
      <c r="W349">
        <f t="shared" ca="1" si="111"/>
        <v>162.55201337658761</v>
      </c>
      <c r="X349">
        <f t="shared" ref="X349:X412" ca="1" si="121">C349*(2/(26+1)) + X348*(1-(2/(26+1)))</f>
        <v>162.77531424071461</v>
      </c>
      <c r="Y349">
        <f t="shared" ca="1" si="120"/>
        <v>-9.0859127798523787E-3</v>
      </c>
      <c r="Z349">
        <f t="shared" ca="1" si="101"/>
        <v>-0.94638525634205917</v>
      </c>
      <c r="AA349">
        <f t="shared" ca="1" si="102"/>
        <v>0.93729934356220679</v>
      </c>
      <c r="AB349">
        <f t="shared" ca="1" si="103"/>
        <v>166.06029999999996</v>
      </c>
    </row>
    <row r="350" spans="1:28" x14ac:dyDescent="0.25">
      <c r="A350" s="20">
        <f t="shared" ca="1" si="104"/>
        <v>45796</v>
      </c>
      <c r="B350" vm="1020">
        <f ca="1"/>
        <v>45799</v>
      </c>
      <c r="C350" vm="1021">
        <f ca="1"/>
        <v>165.03</v>
      </c>
      <c r="D350" vm="1022">
        <f ca="1"/>
        <v>6245571</v>
      </c>
      <c r="E350">
        <f t="shared" ca="1" si="105"/>
        <v>1030706582.13</v>
      </c>
      <c r="F350">
        <f ca="1">SUM($E$2:E350)/SUM($D$2:D350)</f>
        <v>165.26162909057979</v>
      </c>
      <c r="G350">
        <f ca="1">_xlfn.STDEV.P($C$2:C350)</f>
        <v>6.3454186390611733</v>
      </c>
      <c r="H350">
        <f t="shared" ca="1" si="106"/>
        <v>171.60704772964095</v>
      </c>
      <c r="I350">
        <f t="shared" ca="1" si="107"/>
        <v>158.91621045151862</v>
      </c>
      <c r="J350">
        <f t="shared" ca="1" si="116"/>
        <v>161.30450000000002</v>
      </c>
      <c r="K350">
        <f t="shared" ca="1" si="117"/>
        <v>2.5588185493350344</v>
      </c>
      <c r="L350">
        <f t="shared" ca="1" si="118"/>
        <v>166.42213709867008</v>
      </c>
      <c r="M350">
        <f t="shared" ca="1" si="119"/>
        <v>156.18686290132996</v>
      </c>
      <c r="N350">
        <f t="shared" ca="1" si="108"/>
        <v>-0.40000000000000568</v>
      </c>
      <c r="O350">
        <f t="shared" ca="1" si="109"/>
        <v>0</v>
      </c>
      <c r="P350">
        <f t="shared" ca="1" si="110"/>
        <v>0.40000000000000568</v>
      </c>
      <c r="Q350">
        <f t="shared" ca="1" si="114"/>
        <v>0.86335771702526121</v>
      </c>
      <c r="R350">
        <f t="shared" ca="1" si="115"/>
        <v>0.70652714866761657</v>
      </c>
      <c r="S350">
        <f t="shared" ca="1" si="112"/>
        <v>1.221973874115664</v>
      </c>
      <c r="T350">
        <f t="shared" ca="1" si="113"/>
        <v>54.994970388749707</v>
      </c>
      <c r="U350">
        <f>70</f>
        <v>70</v>
      </c>
      <c r="V350">
        <f>30</f>
        <v>30</v>
      </c>
      <c r="W350">
        <f t="shared" ca="1" si="111"/>
        <v>162.93324208788184</v>
      </c>
      <c r="X350">
        <f t="shared" ca="1" si="121"/>
        <v>162.94232800066169</v>
      </c>
      <c r="Y350">
        <f t="shared" ca="1" si="120"/>
        <v>0.22506068343548691</v>
      </c>
      <c r="Z350">
        <f t="shared" ca="1" si="101"/>
        <v>-0.71209606838655004</v>
      </c>
      <c r="AA350">
        <f t="shared" ca="1" si="102"/>
        <v>0.93715675182203695</v>
      </c>
      <c r="AB350">
        <f t="shared" ca="1" si="103"/>
        <v>166.00899999999993</v>
      </c>
    </row>
    <row r="351" spans="1:28" x14ac:dyDescent="0.25">
      <c r="A351" s="20">
        <f t="shared" ca="1" si="104"/>
        <v>45796</v>
      </c>
      <c r="B351" vm="1023">
        <f ca="1"/>
        <v>45800</v>
      </c>
      <c r="C351" vm="1024">
        <f ca="1"/>
        <v>165.86</v>
      </c>
      <c r="D351" vm="1025">
        <f ca="1"/>
        <v>5349868</v>
      </c>
      <c r="E351">
        <f t="shared" ca="1" si="105"/>
        <v>887329106.48000002</v>
      </c>
      <c r="F351">
        <f ca="1">SUM($E$2:E351)/SUM($D$2:D351)</f>
        <v>165.26291755888997</v>
      </c>
      <c r="G351">
        <f ca="1">_xlfn.STDEV.P($C$2:C351)</f>
        <v>6.3363929637468352</v>
      </c>
      <c r="H351">
        <f t="shared" ca="1" si="106"/>
        <v>171.59931052263681</v>
      </c>
      <c r="I351">
        <f t="shared" ca="1" si="107"/>
        <v>158.92652459514312</v>
      </c>
      <c r="J351">
        <f t="shared" ca="1" si="116"/>
        <v>161.54650000000001</v>
      </c>
      <c r="K351">
        <f t="shared" ca="1" si="117"/>
        <v>2.752069604000444</v>
      </c>
      <c r="L351">
        <f t="shared" ca="1" si="118"/>
        <v>167.05063920800089</v>
      </c>
      <c r="M351">
        <f t="shared" ca="1" si="119"/>
        <v>156.04236079199913</v>
      </c>
      <c r="N351">
        <f t="shared" ca="1" si="108"/>
        <v>0.83000000000001251</v>
      </c>
      <c r="O351">
        <f t="shared" ca="1" si="109"/>
        <v>0.83000000000001251</v>
      </c>
      <c r="P351">
        <f t="shared" ca="1" si="110"/>
        <v>0</v>
      </c>
      <c r="Q351">
        <f t="shared" ca="1" si="114"/>
        <v>0.86097502295202921</v>
      </c>
      <c r="R351">
        <f t="shared" ca="1" si="115"/>
        <v>0.65606092376278691</v>
      </c>
      <c r="S351">
        <f t="shared" ca="1" si="112"/>
        <v>1.3123400461255539</v>
      </c>
      <c r="T351">
        <f t="shared" ca="1" si="113"/>
        <v>56.753765447449993</v>
      </c>
      <c r="U351">
        <f>70</f>
        <v>70</v>
      </c>
      <c r="V351">
        <f>30</f>
        <v>30</v>
      </c>
      <c r="W351">
        <f t="shared" ca="1" si="111"/>
        <v>163.38351253590002</v>
      </c>
      <c r="X351">
        <f t="shared" ca="1" si="121"/>
        <v>163.15845185246454</v>
      </c>
      <c r="Y351">
        <f t="shared" ca="1" si="120"/>
        <v>0.55751102880719827</v>
      </c>
      <c r="Z351">
        <f t="shared" ca="1" si="101"/>
        <v>-0.45817464894780036</v>
      </c>
      <c r="AA351">
        <f t="shared" ca="1" si="102"/>
        <v>1.0156856777549987</v>
      </c>
      <c r="AB351">
        <f t="shared" ca="1" si="103"/>
        <v>165.97229999999996</v>
      </c>
    </row>
    <row r="352" spans="1:28" x14ac:dyDescent="0.25">
      <c r="A352" s="20">
        <f t="shared" ca="1" si="104"/>
        <v>45803</v>
      </c>
      <c r="B352" vm="1026">
        <f ca="1"/>
        <v>45804</v>
      </c>
      <c r="C352" vm="1027">
        <f ca="1"/>
        <v>167.76</v>
      </c>
      <c r="D352" vm="1028">
        <f ca="1"/>
        <v>11423794</v>
      </c>
      <c r="E352">
        <f t="shared" ca="1" si="105"/>
        <v>1916455681.4399998</v>
      </c>
      <c r="F352">
        <f ca="1">SUM($E$2:E352)/SUM($D$2:D352)</f>
        <v>165.27434663515547</v>
      </c>
      <c r="G352">
        <f ca="1">_xlfn.STDEV.P($C$2:C352)</f>
        <v>6.3285994793763223</v>
      </c>
      <c r="H352">
        <f t="shared" ca="1" si="106"/>
        <v>171.60294611453179</v>
      </c>
      <c r="I352">
        <f t="shared" ca="1" si="107"/>
        <v>158.94574715577915</v>
      </c>
      <c r="J352">
        <f t="shared" ca="1" si="116"/>
        <v>161.84200000000001</v>
      </c>
      <c r="K352">
        <f t="shared" ca="1" si="117"/>
        <v>3.0836830337490224</v>
      </c>
      <c r="L352">
        <f t="shared" ca="1" si="118"/>
        <v>168.00936606749806</v>
      </c>
      <c r="M352">
        <f t="shared" ca="1" si="119"/>
        <v>155.67463393250196</v>
      </c>
      <c r="N352">
        <f t="shared" ca="1" si="108"/>
        <v>1.8999999999999773</v>
      </c>
      <c r="O352">
        <f t="shared" ca="1" si="109"/>
        <v>1.8999999999999773</v>
      </c>
      <c r="P352">
        <f t="shared" ca="1" si="110"/>
        <v>0</v>
      </c>
      <c r="Q352">
        <f t="shared" ca="1" si="114"/>
        <v>0.93519109274116829</v>
      </c>
      <c r="R352">
        <f t="shared" ca="1" si="115"/>
        <v>0.60919942920830217</v>
      </c>
      <c r="S352">
        <f t="shared" ca="1" si="112"/>
        <v>1.5351148538607717</v>
      </c>
      <c r="T352">
        <f t="shared" ca="1" si="113"/>
        <v>60.55405543156823</v>
      </c>
      <c r="U352">
        <f>70</f>
        <v>70</v>
      </c>
      <c r="V352">
        <f>30</f>
        <v>30</v>
      </c>
      <c r="W352">
        <f t="shared" ca="1" si="111"/>
        <v>164.0568182996077</v>
      </c>
      <c r="X352">
        <f t="shared" ca="1" si="121"/>
        <v>163.4993072708005</v>
      </c>
      <c r="Y352">
        <f t="shared" ca="1" si="120"/>
        <v>0.77971558966760313</v>
      </c>
      <c r="Z352">
        <f t="shared" ca="1" si="101"/>
        <v>-0.21059660122471965</v>
      </c>
      <c r="AA352">
        <f t="shared" ca="1" si="102"/>
        <v>0.99031219089232281</v>
      </c>
      <c r="AB352">
        <f t="shared" ca="1" si="103"/>
        <v>165.97899999999993</v>
      </c>
    </row>
    <row r="353" spans="1:28" x14ac:dyDescent="0.25">
      <c r="A353" s="20">
        <f t="shared" ca="1" si="104"/>
        <v>45803</v>
      </c>
      <c r="B353" vm="1029">
        <f ca="1"/>
        <v>45805</v>
      </c>
      <c r="C353" vm="1030">
        <f ca="1"/>
        <v>167.36</v>
      </c>
      <c r="D353" vm="1031">
        <f ca="1"/>
        <v>5385942</v>
      </c>
      <c r="E353">
        <f t="shared" ca="1" si="105"/>
        <v>901391253.12000012</v>
      </c>
      <c r="F353">
        <f ca="1">SUM($E$2:E353)/SUM($D$2:D353)</f>
        <v>165.27883755743323</v>
      </c>
      <c r="G353">
        <f ca="1">_xlfn.STDEV.P($C$2:C353)</f>
        <v>6.3204495600708475</v>
      </c>
      <c r="H353">
        <f t="shared" ca="1" si="106"/>
        <v>171.59928711750408</v>
      </c>
      <c r="I353">
        <f t="shared" ca="1" si="107"/>
        <v>158.95838799736239</v>
      </c>
      <c r="J353">
        <f t="shared" ca="1" si="116"/>
        <v>162.09700000000001</v>
      </c>
      <c r="K353">
        <f t="shared" ca="1" si="117"/>
        <v>3.3217466870054349</v>
      </c>
      <c r="L353">
        <f t="shared" ca="1" si="118"/>
        <v>168.74049337401087</v>
      </c>
      <c r="M353">
        <f t="shared" ca="1" si="119"/>
        <v>155.45350662598915</v>
      </c>
      <c r="N353">
        <f t="shared" ca="1" si="108"/>
        <v>-0.39999999999997726</v>
      </c>
      <c r="O353">
        <f t="shared" ca="1" si="109"/>
        <v>0</v>
      </c>
      <c r="P353">
        <f t="shared" ca="1" si="110"/>
        <v>0.39999999999997726</v>
      </c>
      <c r="Q353">
        <f t="shared" ca="1" si="114"/>
        <v>0.8683917289739419</v>
      </c>
      <c r="R353">
        <f t="shared" ca="1" si="115"/>
        <v>0.59425661283627895</v>
      </c>
      <c r="S353">
        <f t="shared" ca="1" si="112"/>
        <v>1.4613076408679169</v>
      </c>
      <c r="T353">
        <f t="shared" ca="1" si="113"/>
        <v>59.371190200044403</v>
      </c>
      <c r="U353">
        <f>70</f>
        <v>70</v>
      </c>
      <c r="V353">
        <f>30</f>
        <v>30</v>
      </c>
      <c r="W353">
        <f t="shared" ca="1" si="111"/>
        <v>164.56500009966805</v>
      </c>
      <c r="X353">
        <f t="shared" ca="1" si="121"/>
        <v>163.78528451000045</v>
      </c>
      <c r="Y353">
        <f t="shared" ca="1" si="120"/>
        <v>1.0406483300605771</v>
      </c>
      <c r="Z353">
        <f t="shared" ca="1" si="101"/>
        <v>3.9652385032339699E-2</v>
      </c>
      <c r="AA353">
        <f t="shared" ca="1" si="102"/>
        <v>1.0009959450282375</v>
      </c>
      <c r="AB353">
        <f t="shared" ca="1" si="103"/>
        <v>165.97609999999997</v>
      </c>
    </row>
    <row r="354" spans="1:28" x14ac:dyDescent="0.25">
      <c r="A354" s="20">
        <f t="shared" ca="1" si="104"/>
        <v>45803</v>
      </c>
      <c r="B354" vm="1032">
        <f ca="1"/>
        <v>45806</v>
      </c>
      <c r="C354" vm="345">
        <f ca="1"/>
        <v>168.56</v>
      </c>
      <c r="D354" vm="1033">
        <f ca="1"/>
        <v>4842554</v>
      </c>
      <c r="E354">
        <f t="shared" ca="1" si="105"/>
        <v>816260902.24000001</v>
      </c>
      <c r="F354">
        <f ca="1">SUM($E$2:E354)/SUM($D$2:D354)</f>
        <v>165.28517762603985</v>
      </c>
      <c r="G354">
        <f ca="1">_xlfn.STDEV.P($C$2:C354)</f>
        <v>6.3136930293389932</v>
      </c>
      <c r="H354">
        <f t="shared" ca="1" si="106"/>
        <v>171.59887065537885</v>
      </c>
      <c r="I354">
        <f t="shared" ca="1" si="107"/>
        <v>158.97148459670086</v>
      </c>
      <c r="J354">
        <f t="shared" ca="1" si="116"/>
        <v>162.3965</v>
      </c>
      <c r="K354">
        <f t="shared" ca="1" si="117"/>
        <v>3.6230160087970913</v>
      </c>
      <c r="L354">
        <f t="shared" ca="1" si="118"/>
        <v>169.64253201759419</v>
      </c>
      <c r="M354">
        <f t="shared" ca="1" si="119"/>
        <v>155.15046798240581</v>
      </c>
      <c r="N354">
        <f t="shared" ca="1" si="108"/>
        <v>1.1999999999999886</v>
      </c>
      <c r="O354">
        <f t="shared" ca="1" si="109"/>
        <v>1.1999999999999886</v>
      </c>
      <c r="P354">
        <f t="shared" ca="1" si="110"/>
        <v>0</v>
      </c>
      <c r="Q354">
        <f t="shared" ca="1" si="114"/>
        <v>0.89207803404723085</v>
      </c>
      <c r="R354">
        <f t="shared" ca="1" si="115"/>
        <v>0.55180971191940187</v>
      </c>
      <c r="S354">
        <f t="shared" ca="1" si="112"/>
        <v>1.6166406911256557</v>
      </c>
      <c r="T354">
        <f t="shared" ca="1" si="113"/>
        <v>61.783060112475404</v>
      </c>
      <c r="U354">
        <f>70</f>
        <v>70</v>
      </c>
      <c r="V354">
        <f>30</f>
        <v>30</v>
      </c>
      <c r="W354">
        <f t="shared" ca="1" si="111"/>
        <v>165.17961546894989</v>
      </c>
      <c r="X354">
        <f t="shared" ca="1" si="121"/>
        <v>164.13896713888931</v>
      </c>
      <c r="Y354">
        <f t="shared" ca="1" si="120"/>
        <v>1.3393204391427105</v>
      </c>
      <c r="Z354">
        <f t="shared" ca="1" si="101"/>
        <v>0.29958599585441387</v>
      </c>
      <c r="AA354">
        <f t="shared" ca="1" si="102"/>
        <v>1.0397344432882967</v>
      </c>
      <c r="AB354">
        <f t="shared" ca="1" si="103"/>
        <v>166.00189999999998</v>
      </c>
    </row>
    <row r="355" spans="1:28" x14ac:dyDescent="0.25">
      <c r="A355" s="20">
        <f t="shared" ca="1" si="104"/>
        <v>45803</v>
      </c>
      <c r="B355" vm="1034">
        <f ca="1"/>
        <v>45807</v>
      </c>
      <c r="C355" vm="1035">
        <f ca="1"/>
        <v>169.89</v>
      </c>
      <c r="D355" vm="1036">
        <f ca="1"/>
        <v>12587537</v>
      </c>
      <c r="E355">
        <f t="shared" ca="1" si="105"/>
        <v>2138496660.9299998</v>
      </c>
      <c r="F355">
        <f ca="1">SUM($E$2:E355)/SUM($D$2:D355)</f>
        <v>165.30819043056138</v>
      </c>
      <c r="G355">
        <f ca="1">_xlfn.STDEV.P($C$2:C355)</f>
        <v>6.3092080487743898</v>
      </c>
      <c r="H355">
        <f t="shared" ca="1" si="106"/>
        <v>171.61739847933578</v>
      </c>
      <c r="I355">
        <f t="shared" ca="1" si="107"/>
        <v>158.99898238178699</v>
      </c>
      <c r="J355">
        <f t="shared" ca="1" si="116"/>
        <v>162.892</v>
      </c>
      <c r="K355">
        <f t="shared" ca="1" si="117"/>
        <v>3.9390175104165772</v>
      </c>
      <c r="L355">
        <f t="shared" ca="1" si="118"/>
        <v>170.77003502083315</v>
      </c>
      <c r="M355">
        <f t="shared" ca="1" si="119"/>
        <v>155.01396497916684</v>
      </c>
      <c r="N355">
        <f t="shared" ca="1" si="108"/>
        <v>1.3299999999999841</v>
      </c>
      <c r="O355">
        <f t="shared" ca="1" si="109"/>
        <v>1.3299999999999841</v>
      </c>
      <c r="P355">
        <f t="shared" ca="1" si="110"/>
        <v>0</v>
      </c>
      <c r="Q355">
        <f t="shared" ca="1" si="114"/>
        <v>0.92335817447242741</v>
      </c>
      <c r="R355">
        <f t="shared" ca="1" si="115"/>
        <v>0.51239473249658751</v>
      </c>
      <c r="S355">
        <f t="shared" ca="1" si="112"/>
        <v>1.8020446267538022</v>
      </c>
      <c r="T355">
        <f t="shared" ca="1" si="113"/>
        <v>64.311774678674169</v>
      </c>
      <c r="U355">
        <f>70</f>
        <v>70</v>
      </c>
      <c r="V355">
        <f>30</f>
        <v>30</v>
      </c>
      <c r="W355">
        <f t="shared" ca="1" si="111"/>
        <v>165.90429001218837</v>
      </c>
      <c r="X355">
        <f t="shared" ca="1" si="121"/>
        <v>164.56496957304566</v>
      </c>
      <c r="Y355">
        <f t="shared" ca="1" si="120"/>
        <v>1.389740804501713</v>
      </c>
      <c r="Z355">
        <f t="shared" ca="1" si="101"/>
        <v>0.51761695758387372</v>
      </c>
      <c r="AA355">
        <f t="shared" ca="1" si="102"/>
        <v>0.87212384691783928</v>
      </c>
      <c r="AB355">
        <f t="shared" ca="1" si="103"/>
        <v>166.04949999999997</v>
      </c>
    </row>
    <row r="356" spans="1:28" x14ac:dyDescent="0.25">
      <c r="A356" s="20">
        <f t="shared" ca="1" si="104"/>
        <v>45810</v>
      </c>
      <c r="B356" vm="1037">
        <f ca="1"/>
        <v>45810</v>
      </c>
      <c r="C356" vm="1038">
        <f ca="1"/>
        <v>167.78</v>
      </c>
      <c r="D356" vm="1039">
        <f ca="1"/>
        <v>7574428</v>
      </c>
      <c r="E356">
        <f t="shared" ca="1" si="105"/>
        <v>1270837529.8399999</v>
      </c>
      <c r="F356">
        <f ca="1">SUM($E$2:E356)/SUM($D$2:D356)</f>
        <v>165.31560142855935</v>
      </c>
      <c r="G356">
        <f ca="1">_xlfn.STDEV.P($C$2:C356)</f>
        <v>6.3015317631660004</v>
      </c>
      <c r="H356">
        <f t="shared" ca="1" si="106"/>
        <v>171.61713319172534</v>
      </c>
      <c r="I356">
        <f t="shared" ca="1" si="107"/>
        <v>159.01406966539335</v>
      </c>
      <c r="J356">
        <f t="shared" ca="1" si="116"/>
        <v>163.25500000000002</v>
      </c>
      <c r="K356">
        <f t="shared" ca="1" si="117"/>
        <v>4.0420949492741212</v>
      </c>
      <c r="L356">
        <f t="shared" ca="1" si="118"/>
        <v>171.33918989854826</v>
      </c>
      <c r="M356">
        <f t="shared" ca="1" si="119"/>
        <v>155.17081010145179</v>
      </c>
      <c r="N356">
        <f t="shared" ca="1" si="108"/>
        <v>-2.1099999999999852</v>
      </c>
      <c r="O356">
        <f t="shared" ca="1" si="109"/>
        <v>0</v>
      </c>
      <c r="P356">
        <f t="shared" ca="1" si="110"/>
        <v>2.1099999999999852</v>
      </c>
      <c r="Q356">
        <f t="shared" ca="1" si="114"/>
        <v>0.85740401915296827</v>
      </c>
      <c r="R356">
        <f t="shared" ca="1" si="115"/>
        <v>0.62650939446111586</v>
      </c>
      <c r="S356">
        <f t="shared" ca="1" si="112"/>
        <v>1.3685413606454433</v>
      </c>
      <c r="T356">
        <f t="shared" ca="1" si="113"/>
        <v>57.779922419108892</v>
      </c>
      <c r="U356">
        <f>70</f>
        <v>70</v>
      </c>
      <c r="V356">
        <f>30</f>
        <v>30</v>
      </c>
      <c r="W356">
        <f t="shared" ca="1" si="111"/>
        <v>166.19286077954399</v>
      </c>
      <c r="X356">
        <f t="shared" ca="1" si="121"/>
        <v>164.80311997504228</v>
      </c>
      <c r="Y356">
        <f t="shared" ca="1" si="120"/>
        <v>1.3392184035208743</v>
      </c>
      <c r="Z356">
        <f t="shared" ca="1" si="101"/>
        <v>0.68193724677127388</v>
      </c>
      <c r="AA356">
        <f t="shared" ca="1" si="102"/>
        <v>0.65728115674960041</v>
      </c>
      <c r="AB356">
        <f t="shared" ca="1" si="103"/>
        <v>166.12129999999996</v>
      </c>
    </row>
    <row r="357" spans="1:28" x14ac:dyDescent="0.25">
      <c r="A357" s="20">
        <f t="shared" ca="1" si="104"/>
        <v>45810</v>
      </c>
      <c r="B357" vm="1040">
        <f ca="1"/>
        <v>45811</v>
      </c>
      <c r="C357" vm="268">
        <f ca="1"/>
        <v>166.85</v>
      </c>
      <c r="D357" vm="1041">
        <f ca="1"/>
        <v>6223447</v>
      </c>
      <c r="E357">
        <f t="shared" ca="1" si="105"/>
        <v>1038382131.9499999</v>
      </c>
      <c r="F357">
        <f ca="1">SUM($E$2:E357)/SUM($D$2:D357)</f>
        <v>165.31937204607814</v>
      </c>
      <c r="G357">
        <f ca="1">_xlfn.STDEV.P($C$2:C357)</f>
        <v>6.2931108354693359</v>
      </c>
      <c r="H357">
        <f t="shared" ca="1" si="106"/>
        <v>171.61248288154749</v>
      </c>
      <c r="I357">
        <f t="shared" ca="1" si="107"/>
        <v>159.02626121060879</v>
      </c>
      <c r="J357">
        <f t="shared" ca="1" si="116"/>
        <v>163.65600000000001</v>
      </c>
      <c r="K357">
        <f t="shared" ca="1" si="117"/>
        <v>3.9773005921101809</v>
      </c>
      <c r="L357">
        <f t="shared" ca="1" si="118"/>
        <v>171.61060118422037</v>
      </c>
      <c r="M357">
        <f t="shared" ca="1" si="119"/>
        <v>155.70139881577964</v>
      </c>
      <c r="N357">
        <f t="shared" ca="1" si="108"/>
        <v>-0.93000000000000682</v>
      </c>
      <c r="O357">
        <f t="shared" ca="1" si="109"/>
        <v>0</v>
      </c>
      <c r="P357">
        <f t="shared" ca="1" si="110"/>
        <v>0.93000000000000682</v>
      </c>
      <c r="Q357">
        <f t="shared" ca="1" si="114"/>
        <v>0.79616087492775622</v>
      </c>
      <c r="R357">
        <f t="shared" ca="1" si="115"/>
        <v>0.64818729485675086</v>
      </c>
      <c r="S357">
        <f t="shared" ca="1" si="112"/>
        <v>1.228288306859991</v>
      </c>
      <c r="T357">
        <f t="shared" ca="1" si="113"/>
        <v>55.122503810597223</v>
      </c>
      <c r="U357">
        <f>70</f>
        <v>70</v>
      </c>
      <c r="V357">
        <f>30</f>
        <v>30</v>
      </c>
      <c r="W357">
        <f t="shared" ca="1" si="111"/>
        <v>166.29395912115262</v>
      </c>
      <c r="X357">
        <f t="shared" ca="1" si="121"/>
        <v>164.95474071763175</v>
      </c>
      <c r="Y357">
        <f t="shared" ca="1" si="120"/>
        <v>1.2125787058461697</v>
      </c>
      <c r="Z357">
        <f t="shared" ca="1" si="101"/>
        <v>0.78806553858625306</v>
      </c>
      <c r="AA357">
        <f t="shared" ca="1" si="102"/>
        <v>0.42451316725991661</v>
      </c>
      <c r="AB357">
        <f t="shared" ca="1" si="103"/>
        <v>166.17679999999993</v>
      </c>
    </row>
    <row r="358" spans="1:28" x14ac:dyDescent="0.25">
      <c r="A358" s="20">
        <f t="shared" ca="1" si="104"/>
        <v>45810</v>
      </c>
      <c r="B358" vm="1042">
        <f ca="1"/>
        <v>45812</v>
      </c>
      <c r="C358" vm="1043">
        <f ca="1"/>
        <v>165.95</v>
      </c>
      <c r="D358" vm="1044">
        <f ca="1"/>
        <v>4939333</v>
      </c>
      <c r="E358">
        <f t="shared" ca="1" si="105"/>
        <v>819682311.3499999</v>
      </c>
      <c r="F358">
        <f ca="1">SUM($E$2:E358)/SUM($D$2:D358)</f>
        <v>165.32059959447915</v>
      </c>
      <c r="G358">
        <f ca="1">_xlfn.STDEV.P($C$2:C358)</f>
        <v>6.2843453028468268</v>
      </c>
      <c r="H358">
        <f t="shared" ca="1" si="106"/>
        <v>171.60494489732596</v>
      </c>
      <c r="I358">
        <f t="shared" ca="1" si="107"/>
        <v>159.03625429163233</v>
      </c>
      <c r="J358">
        <f t="shared" ca="1" si="116"/>
        <v>163.99100000000001</v>
      </c>
      <c r="K358">
        <f t="shared" ca="1" si="117"/>
        <v>3.8673027456246278</v>
      </c>
      <c r="L358">
        <f t="shared" ca="1" si="118"/>
        <v>171.72560549124927</v>
      </c>
      <c r="M358">
        <f t="shared" ca="1" si="119"/>
        <v>156.25639450875076</v>
      </c>
      <c r="N358">
        <f t="shared" ca="1" si="108"/>
        <v>-0.90000000000000568</v>
      </c>
      <c r="O358">
        <f t="shared" ca="1" si="109"/>
        <v>0</v>
      </c>
      <c r="P358">
        <f t="shared" ca="1" si="110"/>
        <v>0.90000000000000568</v>
      </c>
      <c r="Q358">
        <f t="shared" ca="1" si="114"/>
        <v>0.7392922410043451</v>
      </c>
      <c r="R358">
        <f t="shared" ca="1" si="115"/>
        <v>0.66617391665269765</v>
      </c>
      <c r="S358">
        <f t="shared" ca="1" si="112"/>
        <v>1.1097586118637648</v>
      </c>
      <c r="T358">
        <f t="shared" ca="1" si="113"/>
        <v>52.601212556890665</v>
      </c>
      <c r="U358">
        <f>70</f>
        <v>70</v>
      </c>
      <c r="V358">
        <f>30</f>
        <v>30</v>
      </c>
      <c r="W358">
        <f t="shared" ca="1" si="111"/>
        <v>166.24104233328299</v>
      </c>
      <c r="X358">
        <f t="shared" ca="1" si="121"/>
        <v>165.02846362743682</v>
      </c>
      <c r="Y358">
        <f t="shared" ca="1" si="120"/>
        <v>0.84825895745893831</v>
      </c>
      <c r="Z358">
        <f t="shared" ref="Z358:Z421" ca="1" si="122">Y358*(2/(9+1)) + Z357*(1-(2/(9+1)))</f>
        <v>0.80010422236079015</v>
      </c>
      <c r="AA358">
        <f t="shared" ref="AA358:AA421" ca="1" si="123">Y358-Z358</f>
        <v>4.815473509814816E-2</v>
      </c>
      <c r="AB358">
        <f t="shared" ref="AB358:AB421" ca="1" si="124">AVERAGE(C259:C358)</f>
        <v>166.21529999999998</v>
      </c>
    </row>
    <row r="359" spans="1:28" x14ac:dyDescent="0.25">
      <c r="A359" s="20">
        <f t="shared" ca="1" si="104"/>
        <v>45810</v>
      </c>
      <c r="B359" vm="1045">
        <f ca="1"/>
        <v>45813</v>
      </c>
      <c r="C359" vm="1046">
        <f ca="1"/>
        <v>162.80000000000001</v>
      </c>
      <c r="D359" vm="1047">
        <f ca="1"/>
        <v>10352288</v>
      </c>
      <c r="E359">
        <f t="shared" ca="1" si="105"/>
        <v>1685352486.4000001</v>
      </c>
      <c r="F359">
        <f ca="1">SUM($E$2:E359)/SUM($D$2:D359)</f>
        <v>165.31035796404908</v>
      </c>
      <c r="G359">
        <f ca="1">_xlfn.STDEV.P($C$2:C359)</f>
        <v>6.2771275921541747</v>
      </c>
      <c r="H359">
        <f t="shared" ca="1" si="106"/>
        <v>171.58748555620326</v>
      </c>
      <c r="I359">
        <f t="shared" ca="1" si="107"/>
        <v>159.03323037189489</v>
      </c>
      <c r="J359">
        <f t="shared" ca="1" si="116"/>
        <v>164.16650000000001</v>
      </c>
      <c r="K359">
        <f t="shared" ca="1" si="117"/>
        <v>3.7195617667733512</v>
      </c>
      <c r="L359">
        <f t="shared" ca="1" si="118"/>
        <v>171.60562353354672</v>
      </c>
      <c r="M359">
        <f t="shared" ca="1" si="119"/>
        <v>156.72737646645331</v>
      </c>
      <c r="N359">
        <f t="shared" ca="1" si="108"/>
        <v>-3.1499999999999773</v>
      </c>
      <c r="O359">
        <f t="shared" ca="1" si="109"/>
        <v>0</v>
      </c>
      <c r="P359">
        <f t="shared" ca="1" si="110"/>
        <v>3.1499999999999773</v>
      </c>
      <c r="Q359">
        <f t="shared" ca="1" si="114"/>
        <v>0.68648565236117765</v>
      </c>
      <c r="R359">
        <f t="shared" ca="1" si="115"/>
        <v>0.84359006546321769</v>
      </c>
      <c r="S359">
        <f t="shared" ca="1" si="112"/>
        <v>0.81376687619504673</v>
      </c>
      <c r="T359">
        <f t="shared" ca="1" si="113"/>
        <v>44.866122922157544</v>
      </c>
      <c r="U359">
        <f>70</f>
        <v>70</v>
      </c>
      <c r="V359">
        <f>30</f>
        <v>30</v>
      </c>
      <c r="W359">
        <f t="shared" ca="1" si="111"/>
        <v>165.71165120508562</v>
      </c>
      <c r="X359">
        <f t="shared" ca="1" si="121"/>
        <v>164.86339224762668</v>
      </c>
      <c r="Y359">
        <f t="shared" ca="1" si="120"/>
        <v>0.65047842573147818</v>
      </c>
      <c r="Z359">
        <f t="shared" ca="1" si="122"/>
        <v>0.77017906303492778</v>
      </c>
      <c r="AA359">
        <f t="shared" ca="1" si="123"/>
        <v>-0.1197006373034496</v>
      </c>
      <c r="AB359">
        <f t="shared" ca="1" si="124"/>
        <v>166.25769999999997</v>
      </c>
    </row>
    <row r="360" spans="1:28" x14ac:dyDescent="0.25">
      <c r="A360" s="20">
        <f t="shared" ca="1" si="104"/>
        <v>45810</v>
      </c>
      <c r="B360" vm="1048">
        <f ca="1"/>
        <v>45814</v>
      </c>
      <c r="C360" vm="1049">
        <f ca="1"/>
        <v>164.02</v>
      </c>
      <c r="D360" vm="1050">
        <f ca="1"/>
        <v>5697877</v>
      </c>
      <c r="E360">
        <f t="shared" ca="1" si="105"/>
        <v>934565785.54000008</v>
      </c>
      <c r="F360">
        <f ca="1">SUM($E$2:E360)/SUM($D$2:D360)</f>
        <v>165.30747869655525</v>
      </c>
      <c r="G360">
        <f ca="1">_xlfn.STDEV.P($C$2:C360)</f>
        <v>6.2688311811191237</v>
      </c>
      <c r="H360">
        <f t="shared" ca="1" si="106"/>
        <v>171.57630987767436</v>
      </c>
      <c r="I360">
        <f t="shared" ca="1" si="107"/>
        <v>159.03864751543614</v>
      </c>
      <c r="J360">
        <f t="shared" ca="1" si="116"/>
        <v>164.435</v>
      </c>
      <c r="K360">
        <f t="shared" ca="1" si="117"/>
        <v>3.4869342589609831</v>
      </c>
      <c r="L360">
        <f t="shared" ca="1" si="118"/>
        <v>171.40886851792197</v>
      </c>
      <c r="M360">
        <f t="shared" ca="1" si="119"/>
        <v>157.46113148207803</v>
      </c>
      <c r="N360">
        <f t="shared" ca="1" si="108"/>
        <v>1.2199999999999989</v>
      </c>
      <c r="O360">
        <f t="shared" ca="1" si="109"/>
        <v>1.2199999999999989</v>
      </c>
      <c r="P360">
        <f t="shared" ca="1" si="110"/>
        <v>0</v>
      </c>
      <c r="Q360">
        <f t="shared" ca="1" si="114"/>
        <v>0.72459382004966488</v>
      </c>
      <c r="R360">
        <f t="shared" ca="1" si="115"/>
        <v>0.78333363221584495</v>
      </c>
      <c r="S360">
        <f t="shared" ca="1" si="112"/>
        <v>0.92501303435673943</v>
      </c>
      <c r="T360">
        <f t="shared" ca="1" si="113"/>
        <v>48.05229979473053</v>
      </c>
      <c r="U360">
        <f>70</f>
        <v>70</v>
      </c>
      <c r="V360">
        <f>30</f>
        <v>30</v>
      </c>
      <c r="W360">
        <f t="shared" ca="1" si="111"/>
        <v>165.45139717353396</v>
      </c>
      <c r="X360">
        <f t="shared" ca="1" si="121"/>
        <v>164.80091874780248</v>
      </c>
      <c r="Y360">
        <f t="shared" ca="1" si="120"/>
        <v>0.37164207266036442</v>
      </c>
      <c r="Z360">
        <f t="shared" ca="1" si="122"/>
        <v>0.69047166496001511</v>
      </c>
      <c r="AA360">
        <f t="shared" ca="1" si="123"/>
        <v>-0.31882959229965069</v>
      </c>
      <c r="AB360">
        <f t="shared" ca="1" si="124"/>
        <v>166.30949999999996</v>
      </c>
    </row>
    <row r="361" spans="1:28" x14ac:dyDescent="0.25">
      <c r="A361" s="20">
        <f t="shared" ca="1" si="104"/>
        <v>45817</v>
      </c>
      <c r="B361" vm="1051">
        <f ca="1"/>
        <v>45817</v>
      </c>
      <c r="C361" vm="1052">
        <f ca="1"/>
        <v>162.56</v>
      </c>
      <c r="D361" vm="1053">
        <f ca="1"/>
        <v>6544199</v>
      </c>
      <c r="E361">
        <f t="shared" ca="1" si="105"/>
        <v>1063824989.4400001</v>
      </c>
      <c r="F361">
        <f ca="1">SUM($E$2:E361)/SUM($D$2:D361)</f>
        <v>165.30045544892914</v>
      </c>
      <c r="G361">
        <f ca="1">_xlfn.STDEV.P($C$2:C361)</f>
        <v>6.261959187794087</v>
      </c>
      <c r="H361">
        <f t="shared" ca="1" si="106"/>
        <v>171.56241463672322</v>
      </c>
      <c r="I361">
        <f t="shared" ca="1" si="107"/>
        <v>159.03849626113507</v>
      </c>
      <c r="J361">
        <f t="shared" ca="1" si="116"/>
        <v>164.68</v>
      </c>
      <c r="K361">
        <f t="shared" ca="1" si="117"/>
        <v>3.1408178619756431</v>
      </c>
      <c r="L361">
        <f t="shared" ca="1" si="118"/>
        <v>170.9616357239513</v>
      </c>
      <c r="M361">
        <f t="shared" ca="1" si="119"/>
        <v>158.39836427604871</v>
      </c>
      <c r="N361">
        <f t="shared" ca="1" si="108"/>
        <v>-1.460000000000008</v>
      </c>
      <c r="O361">
        <f t="shared" ca="1" si="109"/>
        <v>0</v>
      </c>
      <c r="P361">
        <f t="shared" ca="1" si="110"/>
        <v>1.460000000000008</v>
      </c>
      <c r="Q361">
        <f t="shared" ca="1" si="114"/>
        <v>0.67283711861754603</v>
      </c>
      <c r="R361">
        <f t="shared" ca="1" si="115"/>
        <v>0.83166694420042808</v>
      </c>
      <c r="S361">
        <f t="shared" ca="1" si="112"/>
        <v>0.80902231753892484</v>
      </c>
      <c r="T361">
        <f t="shared" ca="1" si="113"/>
        <v>44.72152221093409</v>
      </c>
      <c r="U361">
        <f>70</f>
        <v>70</v>
      </c>
      <c r="V361">
        <f>30</f>
        <v>30</v>
      </c>
      <c r="W361">
        <f t="shared" ca="1" si="111"/>
        <v>165.00656683914414</v>
      </c>
      <c r="X361">
        <f t="shared" ca="1" si="121"/>
        <v>164.63492476648378</v>
      </c>
      <c r="Y361">
        <f t="shared" ca="1" si="120"/>
        <v>0.17128148751731942</v>
      </c>
      <c r="Z361">
        <f t="shared" ca="1" si="122"/>
        <v>0.58663362947147601</v>
      </c>
      <c r="AA361">
        <f t="shared" ca="1" si="123"/>
        <v>-0.4153521419541566</v>
      </c>
      <c r="AB361">
        <f t="shared" ca="1" si="124"/>
        <v>166.33769999999996</v>
      </c>
    </row>
    <row r="362" spans="1:28" x14ac:dyDescent="0.25">
      <c r="A362" s="20">
        <f t="shared" ca="1" si="104"/>
        <v>45817</v>
      </c>
      <c r="B362" vm="1054">
        <f ca="1"/>
        <v>45818</v>
      </c>
      <c r="C362" vm="1055">
        <f ca="1"/>
        <v>162.84</v>
      </c>
      <c r="D362" vm="1056">
        <f ca="1"/>
        <v>7680015</v>
      </c>
      <c r="E362">
        <f t="shared" ca="1" si="105"/>
        <v>1250613642.6000001</v>
      </c>
      <c r="F362">
        <f ca="1">SUM($E$2:E362)/SUM($D$2:D362)</f>
        <v>165.29309636379324</v>
      </c>
      <c r="G362">
        <f ca="1">_xlfn.STDEV.P($C$2:C362)</f>
        <v>6.2547691918410617</v>
      </c>
      <c r="H362">
        <f t="shared" ca="1" si="106"/>
        <v>171.5478655556343</v>
      </c>
      <c r="I362">
        <f t="shared" ca="1" si="107"/>
        <v>159.03832717195218</v>
      </c>
      <c r="J362">
        <f t="shared" ca="1" si="116"/>
        <v>164.77699999999999</v>
      </c>
      <c r="K362">
        <f t="shared" ca="1" si="117"/>
        <v>3.0464735437274961</v>
      </c>
      <c r="L362">
        <f t="shared" ca="1" si="118"/>
        <v>170.86994708745499</v>
      </c>
      <c r="M362">
        <f t="shared" ca="1" si="119"/>
        <v>158.68405291254498</v>
      </c>
      <c r="N362">
        <f t="shared" ca="1" si="108"/>
        <v>0.28000000000000114</v>
      </c>
      <c r="O362">
        <f t="shared" ca="1" si="109"/>
        <v>0.28000000000000114</v>
      </c>
      <c r="P362">
        <f t="shared" ca="1" si="110"/>
        <v>0</v>
      </c>
      <c r="Q362">
        <f t="shared" ca="1" si="114"/>
        <v>0.64477732443057856</v>
      </c>
      <c r="R362">
        <f t="shared" ca="1" si="115"/>
        <v>0.772262162471826</v>
      </c>
      <c r="S362">
        <f t="shared" ca="1" si="112"/>
        <v>0.83492025864222186</v>
      </c>
      <c r="T362">
        <f t="shared" ca="1" si="113"/>
        <v>45.501718928103948</v>
      </c>
      <c r="U362">
        <f>70</f>
        <v>70</v>
      </c>
      <c r="V362">
        <f>30</f>
        <v>30</v>
      </c>
      <c r="W362">
        <f t="shared" ca="1" si="111"/>
        <v>164.67324886389119</v>
      </c>
      <c r="X362">
        <f t="shared" ca="1" si="121"/>
        <v>164.50196737637387</v>
      </c>
      <c r="Y362">
        <f t="shared" ca="1" si="120"/>
        <v>-4.5881722922558765E-2</v>
      </c>
      <c r="Z362">
        <f t="shared" ca="1" si="122"/>
        <v>0.46013055899266908</v>
      </c>
      <c r="AA362">
        <f t="shared" ca="1" si="123"/>
        <v>-0.50601228191522785</v>
      </c>
      <c r="AB362">
        <f t="shared" ca="1" si="124"/>
        <v>166.36959999999996</v>
      </c>
    </row>
    <row r="363" spans="1:28" x14ac:dyDescent="0.25">
      <c r="A363" s="20">
        <f t="shared" ca="1" si="104"/>
        <v>45817</v>
      </c>
      <c r="B363" vm="1057">
        <f ca="1"/>
        <v>45819</v>
      </c>
      <c r="C363" vm="1058">
        <f ca="1"/>
        <v>162.11000000000001</v>
      </c>
      <c r="D363" vm="1059">
        <f ca="1"/>
        <v>5960052</v>
      </c>
      <c r="E363">
        <f t="shared" ca="1" si="105"/>
        <v>966184029.72000003</v>
      </c>
      <c r="F363">
        <f ca="1">SUM($E$2:E363)/SUM($D$2:D363)</f>
        <v>165.28572514656338</v>
      </c>
      <c r="G363">
        <f ca="1">_xlfn.STDEV.P($C$2:C363)</f>
        <v>6.2485534176473587</v>
      </c>
      <c r="H363">
        <f t="shared" ca="1" si="106"/>
        <v>171.53427856421075</v>
      </c>
      <c r="I363">
        <f t="shared" ca="1" si="107"/>
        <v>159.03717172891601</v>
      </c>
      <c r="J363">
        <f t="shared" ca="1" si="116"/>
        <v>164.946</v>
      </c>
      <c r="K363">
        <f t="shared" ca="1" si="117"/>
        <v>2.7750247035410576</v>
      </c>
      <c r="L363">
        <f t="shared" ca="1" si="118"/>
        <v>170.49604940708213</v>
      </c>
      <c r="M363">
        <f t="shared" ca="1" si="119"/>
        <v>159.39595059291787</v>
      </c>
      <c r="N363">
        <f t="shared" ca="1" si="108"/>
        <v>-0.72999999999998977</v>
      </c>
      <c r="O363">
        <f t="shared" ca="1" si="109"/>
        <v>0</v>
      </c>
      <c r="P363">
        <f t="shared" ca="1" si="110"/>
        <v>0.72999999999998977</v>
      </c>
      <c r="Q363">
        <f t="shared" ca="1" si="114"/>
        <v>0.59872180125696584</v>
      </c>
      <c r="R363">
        <f t="shared" ca="1" si="115"/>
        <v>0.7692434365809806</v>
      </c>
      <c r="S363">
        <f t="shared" ca="1" si="112"/>
        <v>0.77832552451545889</v>
      </c>
      <c r="T363">
        <f t="shared" ca="1" si="113"/>
        <v>43.767325710939765</v>
      </c>
      <c r="U363">
        <f>70</f>
        <v>70</v>
      </c>
      <c r="V363">
        <f>30</f>
        <v>30</v>
      </c>
      <c r="W363">
        <f t="shared" ca="1" si="111"/>
        <v>164.27890288483101</v>
      </c>
      <c r="X363">
        <f t="shared" ca="1" si="121"/>
        <v>164.32478460775357</v>
      </c>
      <c r="Y363">
        <f t="shared" ca="1" si="120"/>
        <v>-0.13014484537066551</v>
      </c>
      <c r="Z363">
        <f t="shared" ca="1" si="122"/>
        <v>0.34207547812000216</v>
      </c>
      <c r="AA363">
        <f t="shared" ca="1" si="123"/>
        <v>-0.47222032349066767</v>
      </c>
      <c r="AB363">
        <f t="shared" ca="1" si="124"/>
        <v>166.38569999999996</v>
      </c>
    </row>
    <row r="364" spans="1:28" x14ac:dyDescent="0.25">
      <c r="A364" s="20">
        <f t="shared" ca="1" si="104"/>
        <v>45817</v>
      </c>
      <c r="B364" vm="1060">
        <f ca="1"/>
        <v>45820</v>
      </c>
      <c r="C364" vm="1061">
        <f ca="1"/>
        <v>163.18</v>
      </c>
      <c r="D364" vm="1062">
        <f ca="1"/>
        <v>6509891</v>
      </c>
      <c r="E364">
        <f t="shared" ca="1" si="105"/>
        <v>1062284013.38</v>
      </c>
      <c r="F364">
        <f ca="1">SUM($E$2:E364)/SUM($D$2:D364)</f>
        <v>165.28041241749668</v>
      </c>
      <c r="G364">
        <f ca="1">_xlfn.STDEV.P($C$2:C364)</f>
        <v>6.2410453722836898</v>
      </c>
      <c r="H364">
        <f t="shared" ca="1" si="106"/>
        <v>171.52145778978036</v>
      </c>
      <c r="I364">
        <f t="shared" ca="1" si="107"/>
        <v>159.039367045213</v>
      </c>
      <c r="J364">
        <f t="shared" ca="1" si="116"/>
        <v>165.20400000000001</v>
      </c>
      <c r="K364">
        <f t="shared" ca="1" si="117"/>
        <v>2.295676485551867</v>
      </c>
      <c r="L364">
        <f t="shared" ca="1" si="118"/>
        <v>169.79535297110374</v>
      </c>
      <c r="M364">
        <f t="shared" ca="1" si="119"/>
        <v>160.61264702889628</v>
      </c>
      <c r="N364">
        <f t="shared" ca="1" si="108"/>
        <v>1.0699999999999932</v>
      </c>
      <c r="O364">
        <f t="shared" ca="1" si="109"/>
        <v>1.0699999999999932</v>
      </c>
      <c r="P364">
        <f t="shared" ca="1" si="110"/>
        <v>0</v>
      </c>
      <c r="Q364">
        <f t="shared" ca="1" si="114"/>
        <v>0.63238452973861059</v>
      </c>
      <c r="R364">
        <f t="shared" ca="1" si="115"/>
        <v>0.71429747682519629</v>
      </c>
      <c r="S364">
        <f t="shared" ca="1" si="112"/>
        <v>0.88532376251605949</v>
      </c>
      <c r="T364">
        <f t="shared" ca="1" si="113"/>
        <v>46.958712350527549</v>
      </c>
      <c r="U364">
        <f>70</f>
        <v>70</v>
      </c>
      <c r="V364">
        <f>30</f>
        <v>30</v>
      </c>
      <c r="W364">
        <f t="shared" ca="1" si="111"/>
        <v>164.10984090254931</v>
      </c>
      <c r="X364">
        <f t="shared" ca="1" si="121"/>
        <v>164.23998574791997</v>
      </c>
      <c r="Y364">
        <f t="shared" ca="1" si="120"/>
        <v>-0.42601886044684534</v>
      </c>
      <c r="Z364">
        <f t="shared" ca="1" si="122"/>
        <v>0.18845661040663264</v>
      </c>
      <c r="AA364">
        <f t="shared" ca="1" si="123"/>
        <v>-0.61447547085347798</v>
      </c>
      <c r="AB364">
        <f t="shared" ca="1" si="124"/>
        <v>166.40619999999996</v>
      </c>
    </row>
    <row r="365" spans="1:28" x14ac:dyDescent="0.25">
      <c r="A365" s="20">
        <f t="shared" ca="1" si="104"/>
        <v>45817</v>
      </c>
      <c r="B365" vm="1063">
        <f ca="1"/>
        <v>45821</v>
      </c>
      <c r="C365" vm="1064">
        <f ca="1"/>
        <v>160.28</v>
      </c>
      <c r="D365" vm="1065">
        <f ca="1"/>
        <v>7104547</v>
      </c>
      <c r="E365">
        <f t="shared" ca="1" si="105"/>
        <v>1138716793.1600001</v>
      </c>
      <c r="F365">
        <f ca="1">SUM($E$2:E365)/SUM($D$2:D365)</f>
        <v>165.26668179218331</v>
      </c>
      <c r="G365">
        <f ca="1">_xlfn.STDEV.P($C$2:C365)</f>
        <v>6.2382574525227819</v>
      </c>
      <c r="H365">
        <f t="shared" ca="1" si="106"/>
        <v>171.50493924470609</v>
      </c>
      <c r="I365">
        <f t="shared" ca="1" si="107"/>
        <v>159.02842433966052</v>
      </c>
      <c r="J365">
        <f t="shared" ca="1" si="116"/>
        <v>165.09750000000003</v>
      </c>
      <c r="K365">
        <f t="shared" ca="1" si="117"/>
        <v>2.4745544521877241</v>
      </c>
      <c r="L365">
        <f t="shared" ca="1" si="118"/>
        <v>170.04660890437546</v>
      </c>
      <c r="M365">
        <f t="shared" ca="1" si="119"/>
        <v>160.14839109562459</v>
      </c>
      <c r="N365">
        <f t="shared" ca="1" si="108"/>
        <v>-2.9000000000000057</v>
      </c>
      <c r="O365">
        <f t="shared" ca="1" si="109"/>
        <v>0</v>
      </c>
      <c r="P365">
        <f t="shared" ca="1" si="110"/>
        <v>2.9000000000000057</v>
      </c>
      <c r="Q365">
        <f t="shared" ca="1" si="114"/>
        <v>0.58721420618585274</v>
      </c>
      <c r="R365">
        <f t="shared" ca="1" si="115"/>
        <v>0.87041908562339698</v>
      </c>
      <c r="S365">
        <f t="shared" ca="1" si="112"/>
        <v>0.67463388140815872</v>
      </c>
      <c r="T365">
        <f t="shared" ca="1" si="113"/>
        <v>40.285455161152932</v>
      </c>
      <c r="U365">
        <f>70</f>
        <v>70</v>
      </c>
      <c r="V365">
        <f>30</f>
        <v>30</v>
      </c>
      <c r="W365">
        <f t="shared" ca="1" si="111"/>
        <v>163.52063460984942</v>
      </c>
      <c r="X365">
        <f t="shared" ca="1" si="121"/>
        <v>163.94665347029627</v>
      </c>
      <c r="Y365">
        <f t="shared" ca="1" si="120"/>
        <v>-0.60511082256698501</v>
      </c>
      <c r="Z365">
        <f t="shared" ca="1" si="122"/>
        <v>2.9743123811909106E-2</v>
      </c>
      <c r="AA365">
        <f t="shared" ca="1" si="123"/>
        <v>-0.63485394637889414</v>
      </c>
      <c r="AB365">
        <f t="shared" ca="1" si="124"/>
        <v>166.39179999999996</v>
      </c>
    </row>
    <row r="366" spans="1:28" x14ac:dyDescent="0.25">
      <c r="A366" s="20">
        <f t="shared" ca="1" si="104"/>
        <v>45824</v>
      </c>
      <c r="B366" vm="1066">
        <f ca="1"/>
        <v>45824</v>
      </c>
      <c r="C366" vm="1067">
        <f ca="1"/>
        <v>160.88</v>
      </c>
      <c r="D366" vm="1068">
        <f ca="1"/>
        <v>6331961</v>
      </c>
      <c r="E366">
        <f t="shared" ca="1" si="105"/>
        <v>1018685885.6799999</v>
      </c>
      <c r="F366">
        <f ca="1">SUM($E$2:E366)/SUM($D$2:D366)</f>
        <v>165.25597249637974</v>
      </c>
      <c r="G366">
        <f ca="1">_xlfn.STDEV.P($C$2:C366)</f>
        <v>6.2341845983500628</v>
      </c>
      <c r="H366">
        <f t="shared" ca="1" si="106"/>
        <v>171.4901570947298</v>
      </c>
      <c r="I366">
        <f t="shared" ca="1" si="107"/>
        <v>159.02178789802969</v>
      </c>
      <c r="J366">
        <f t="shared" ca="1" si="116"/>
        <v>164.97750000000002</v>
      </c>
      <c r="K366">
        <f t="shared" ca="1" si="117"/>
        <v>2.6211786721967143</v>
      </c>
      <c r="L366">
        <f t="shared" ca="1" si="118"/>
        <v>170.21985734439346</v>
      </c>
      <c r="M366">
        <f t="shared" ca="1" si="119"/>
        <v>159.73514265560658</v>
      </c>
      <c r="N366">
        <f t="shared" ca="1" si="108"/>
        <v>0.59999999999999432</v>
      </c>
      <c r="O366">
        <f t="shared" ca="1" si="109"/>
        <v>0.59999999999999432</v>
      </c>
      <c r="P366">
        <f t="shared" ca="1" si="110"/>
        <v>0</v>
      </c>
      <c r="Q366">
        <f t="shared" ca="1" si="114"/>
        <v>0.58812747717257707</v>
      </c>
      <c r="R366">
        <f t="shared" ca="1" si="115"/>
        <v>0.80824629379315438</v>
      </c>
      <c r="S366">
        <f t="shared" ca="1" si="112"/>
        <v>0.72765873680961179</v>
      </c>
      <c r="T366">
        <f t="shared" ca="1" si="113"/>
        <v>42.118198536902369</v>
      </c>
      <c r="U366">
        <f>70</f>
        <v>70</v>
      </c>
      <c r="V366">
        <f>30</f>
        <v>30</v>
      </c>
      <c r="W366">
        <f t="shared" ca="1" si="111"/>
        <v>163.11438313141105</v>
      </c>
      <c r="X366">
        <f t="shared" ca="1" si="121"/>
        <v>163.71949395397803</v>
      </c>
      <c r="Y366">
        <f t="shared" ca="1" si="120"/>
        <v>-0.92679129633555135</v>
      </c>
      <c r="Z366">
        <f t="shared" ca="1" si="122"/>
        <v>-0.16156376021758298</v>
      </c>
      <c r="AA366">
        <f t="shared" ca="1" si="123"/>
        <v>-0.76522753611796834</v>
      </c>
      <c r="AB366">
        <f t="shared" ca="1" si="124"/>
        <v>166.35319999999999</v>
      </c>
    </row>
    <row r="367" spans="1:28" x14ac:dyDescent="0.25">
      <c r="A367" s="20">
        <f t="shared" ca="1" si="104"/>
        <v>45824</v>
      </c>
      <c r="B367" vm="1069">
        <f ca="1"/>
        <v>45825</v>
      </c>
      <c r="C367" vm="1070">
        <f ca="1"/>
        <v>158.52000000000001</v>
      </c>
      <c r="D367" vm="1071">
        <f ca="1"/>
        <v>6809747</v>
      </c>
      <c r="E367">
        <f t="shared" ca="1" si="105"/>
        <v>1079481094.4400001</v>
      </c>
      <c r="F367">
        <f ca="1">SUM($E$2:E367)/SUM($D$2:D367)</f>
        <v>165.23833328871893</v>
      </c>
      <c r="G367">
        <f ca="1">_xlfn.STDEV.P($C$2:C367)</f>
        <v>6.2359747153402401</v>
      </c>
      <c r="H367">
        <f t="shared" ca="1" si="106"/>
        <v>171.47430800405917</v>
      </c>
      <c r="I367">
        <f t="shared" ca="1" si="107"/>
        <v>159.0023585733787</v>
      </c>
      <c r="J367">
        <f t="shared" ca="1" si="116"/>
        <v>164.66500000000002</v>
      </c>
      <c r="K367">
        <f t="shared" ca="1" si="117"/>
        <v>2.993361954303833</v>
      </c>
      <c r="L367">
        <f t="shared" ca="1" si="118"/>
        <v>170.65172390860769</v>
      </c>
      <c r="M367">
        <f t="shared" ca="1" si="119"/>
        <v>158.67827609139235</v>
      </c>
      <c r="N367">
        <f t="shared" ca="1" si="108"/>
        <v>-2.3599999999999852</v>
      </c>
      <c r="O367">
        <f t="shared" ca="1" si="109"/>
        <v>0</v>
      </c>
      <c r="P367">
        <f t="shared" ca="1" si="110"/>
        <v>2.3599999999999852</v>
      </c>
      <c r="Q367">
        <f t="shared" ca="1" si="114"/>
        <v>0.54611837166025012</v>
      </c>
      <c r="R367">
        <f t="shared" ca="1" si="115"/>
        <v>0.91908584423649942</v>
      </c>
      <c r="S367">
        <f t="shared" ca="1" si="112"/>
        <v>0.59419734846848848</v>
      </c>
      <c r="T367">
        <f t="shared" ca="1" si="113"/>
        <v>37.272508892284968</v>
      </c>
      <c r="U367">
        <f>70</f>
        <v>70</v>
      </c>
      <c r="V367">
        <f>30</f>
        <v>30</v>
      </c>
      <c r="W367">
        <f t="shared" ca="1" si="111"/>
        <v>162.4075549573478</v>
      </c>
      <c r="X367">
        <f t="shared" ca="1" si="121"/>
        <v>163.33434625368335</v>
      </c>
      <c r="Y367">
        <f t="shared" ca="1" si="120"/>
        <v>-1.2081444732615125</v>
      </c>
      <c r="Z367">
        <f t="shared" ca="1" si="122"/>
        <v>-0.37087990282636896</v>
      </c>
      <c r="AA367">
        <f t="shared" ca="1" si="123"/>
        <v>-0.83726457043514357</v>
      </c>
      <c r="AB367">
        <f t="shared" ca="1" si="124"/>
        <v>166.27689999999998</v>
      </c>
    </row>
    <row r="368" spans="1:28" x14ac:dyDescent="0.25">
      <c r="A368" s="20">
        <f t="shared" ca="1" si="104"/>
        <v>45824</v>
      </c>
      <c r="B368" vm="1072">
        <f ca="1"/>
        <v>45826</v>
      </c>
      <c r="C368" vm="1004">
        <f ca="1"/>
        <v>158.02000000000001</v>
      </c>
      <c r="D368" vm="1073">
        <f ca="1"/>
        <v>7211225</v>
      </c>
      <c r="E368">
        <f t="shared" ca="1" si="105"/>
        <v>1139517774.5</v>
      </c>
      <c r="F368">
        <f ca="1">SUM($E$2:E368)/SUM($D$2:D368)</f>
        <v>165.21837188323946</v>
      </c>
      <c r="G368">
        <f ca="1">_xlfn.STDEV.P($C$2:C368)</f>
        <v>6.2392446523251133</v>
      </c>
      <c r="H368">
        <f t="shared" ca="1" si="106"/>
        <v>171.45761653556457</v>
      </c>
      <c r="I368">
        <f t="shared" ca="1" si="107"/>
        <v>158.97912723091434</v>
      </c>
      <c r="J368">
        <f t="shared" ca="1" si="116"/>
        <v>164.28400000000002</v>
      </c>
      <c r="K368">
        <f t="shared" ca="1" si="117"/>
        <v>3.3288711536938034</v>
      </c>
      <c r="L368">
        <f t="shared" ca="1" si="118"/>
        <v>170.94174230738761</v>
      </c>
      <c r="M368">
        <f t="shared" ca="1" si="119"/>
        <v>157.62625769261243</v>
      </c>
      <c r="N368">
        <f t="shared" ca="1" si="108"/>
        <v>-0.5</v>
      </c>
      <c r="O368">
        <f t="shared" ca="1" si="109"/>
        <v>0</v>
      </c>
      <c r="P368">
        <f t="shared" ca="1" si="110"/>
        <v>0.5</v>
      </c>
      <c r="Q368">
        <f t="shared" ca="1" si="114"/>
        <v>0.50710991654166082</v>
      </c>
      <c r="R368">
        <f t="shared" ca="1" si="115"/>
        <v>0.88915114107674942</v>
      </c>
      <c r="S368">
        <f t="shared" ca="1" si="112"/>
        <v>0.57033038941788672</v>
      </c>
      <c r="T368">
        <f t="shared" ca="1" si="113"/>
        <v>36.319133429577526</v>
      </c>
      <c r="U368">
        <f>70</f>
        <v>70</v>
      </c>
      <c r="V368">
        <f>30</f>
        <v>30</v>
      </c>
      <c r="W368">
        <f t="shared" ca="1" si="111"/>
        <v>161.73254650237121</v>
      </c>
      <c r="X368">
        <f t="shared" ca="1" si="121"/>
        <v>162.94069097563272</v>
      </c>
      <c r="Y368">
        <f t="shared" ca="1" si="120"/>
        <v>-1.3302514412432629</v>
      </c>
      <c r="Z368">
        <f t="shared" ca="1" si="122"/>
        <v>-0.56275421050974772</v>
      </c>
      <c r="AA368">
        <f t="shared" ca="1" si="123"/>
        <v>-0.76749723073351517</v>
      </c>
      <c r="AB368">
        <f t="shared" ca="1" si="124"/>
        <v>166.2159</v>
      </c>
    </row>
    <row r="369" spans="1:28" x14ac:dyDescent="0.25">
      <c r="A369" s="20">
        <f t="shared" ca="1" si="104"/>
        <v>45824</v>
      </c>
      <c r="B369" vm="1074">
        <f ca="1"/>
        <v>45828</v>
      </c>
      <c r="C369" vm="1075">
        <f ca="1"/>
        <v>159.08000000000001</v>
      </c>
      <c r="D369" vm="1076">
        <f ca="1"/>
        <v>16173371</v>
      </c>
      <c r="E369">
        <f t="shared" ca="1" si="105"/>
        <v>2572859858.6800003</v>
      </c>
      <c r="F369">
        <f ca="1">SUM($E$2:E369)/SUM($D$2:D369)</f>
        <v>165.18053515093192</v>
      </c>
      <c r="G369">
        <f ca="1">_xlfn.STDEV.P($C$2:C369)</f>
        <v>6.2393019781655115</v>
      </c>
      <c r="H369">
        <f t="shared" ca="1" si="106"/>
        <v>171.41983712909743</v>
      </c>
      <c r="I369">
        <f t="shared" ca="1" si="107"/>
        <v>158.9412331727664</v>
      </c>
      <c r="J369">
        <f t="shared" ca="1" si="116"/>
        <v>163.9665</v>
      </c>
      <c r="K369">
        <f t="shared" ca="1" si="117"/>
        <v>3.5116232189087309</v>
      </c>
      <c r="L369">
        <f t="shared" ca="1" si="118"/>
        <v>170.98974643781744</v>
      </c>
      <c r="M369">
        <f t="shared" ca="1" si="119"/>
        <v>156.94325356218255</v>
      </c>
      <c r="N369">
        <f t="shared" ca="1" si="108"/>
        <v>1.0600000000000023</v>
      </c>
      <c r="O369">
        <f t="shared" ca="1" si="109"/>
        <v>1.0600000000000023</v>
      </c>
      <c r="P369">
        <f t="shared" ca="1" si="110"/>
        <v>0</v>
      </c>
      <c r="Q369">
        <f t="shared" ca="1" si="114"/>
        <v>0.5466020653601138</v>
      </c>
      <c r="R369">
        <f t="shared" ca="1" si="115"/>
        <v>0.82564034528555297</v>
      </c>
      <c r="S369">
        <f t="shared" ca="1" si="112"/>
        <v>0.6620341029617054</v>
      </c>
      <c r="T369">
        <f t="shared" ca="1" si="113"/>
        <v>39.832762864611283</v>
      </c>
      <c r="U369">
        <f>70</f>
        <v>70</v>
      </c>
      <c r="V369">
        <f>30</f>
        <v>30</v>
      </c>
      <c r="W369">
        <f t="shared" ca="1" si="111"/>
        <v>161.32446242508334</v>
      </c>
      <c r="X369">
        <f t="shared" ca="1" si="121"/>
        <v>162.6547138663266</v>
      </c>
      <c r="Y369">
        <f t="shared" ca="1" si="120"/>
        <v>-1.2552041775110752</v>
      </c>
      <c r="Z369">
        <f t="shared" ca="1" si="122"/>
        <v>-0.7012442039100133</v>
      </c>
      <c r="AA369">
        <f t="shared" ca="1" si="123"/>
        <v>-0.55395997360106186</v>
      </c>
      <c r="AB369">
        <f t="shared" ca="1" si="124"/>
        <v>166.11010000000002</v>
      </c>
    </row>
    <row r="370" spans="1:28" x14ac:dyDescent="0.25">
      <c r="A370" s="20">
        <f t="shared" ca="1" si="104"/>
        <v>45831</v>
      </c>
      <c r="B370" vm="1077">
        <f ca="1"/>
        <v>45831</v>
      </c>
      <c r="C370" vm="109">
        <f ca="1"/>
        <v>161.03</v>
      </c>
      <c r="D370" vm="1078">
        <f ca="1"/>
        <v>6588223</v>
      </c>
      <c r="E370">
        <f t="shared" ca="1" si="105"/>
        <v>1060901549.6900001</v>
      </c>
      <c r="F370">
        <f ca="1">SUM($E$2:E370)/SUM($D$2:D370)</f>
        <v>165.17013970402814</v>
      </c>
      <c r="G370">
        <f ca="1">_xlfn.STDEV.P($C$2:C370)</f>
        <v>6.2348540584917371</v>
      </c>
      <c r="H370">
        <f t="shared" ca="1" si="106"/>
        <v>171.40499376251989</v>
      </c>
      <c r="I370">
        <f t="shared" ca="1" si="107"/>
        <v>158.9352856455364</v>
      </c>
      <c r="J370">
        <f t="shared" ca="1" si="116"/>
        <v>163.76650000000001</v>
      </c>
      <c r="K370">
        <f t="shared" ca="1" si="117"/>
        <v>3.5614194021337489</v>
      </c>
      <c r="L370">
        <f t="shared" ca="1" si="118"/>
        <v>170.88933880426751</v>
      </c>
      <c r="M370">
        <f t="shared" ca="1" si="119"/>
        <v>156.64366119573251</v>
      </c>
      <c r="N370">
        <f t="shared" ca="1" si="108"/>
        <v>1.9499999999999886</v>
      </c>
      <c r="O370">
        <f t="shared" ca="1" si="109"/>
        <v>1.9499999999999886</v>
      </c>
      <c r="P370">
        <f t="shared" ca="1" si="110"/>
        <v>0</v>
      </c>
      <c r="Q370">
        <f t="shared" ca="1" si="114"/>
        <v>0.64684477497724768</v>
      </c>
      <c r="R370">
        <f t="shared" ca="1" si="115"/>
        <v>0.76666603490801344</v>
      </c>
      <c r="S370">
        <f t="shared" ca="1" si="112"/>
        <v>0.84371127130323154</v>
      </c>
      <c r="T370">
        <f t="shared" ca="1" si="113"/>
        <v>45.761572564822053</v>
      </c>
      <c r="U370">
        <f>70</f>
        <v>70</v>
      </c>
      <c r="V370">
        <f>30</f>
        <v>30</v>
      </c>
      <c r="W370">
        <f t="shared" ca="1" si="111"/>
        <v>161.27916051353208</v>
      </c>
      <c r="X370">
        <f t="shared" ca="1" si="121"/>
        <v>162.53436469104315</v>
      </c>
      <c r="Y370">
        <f t="shared" ca="1" si="120"/>
        <v>-1.2355494360968464</v>
      </c>
      <c r="Z370">
        <f t="shared" ca="1" si="122"/>
        <v>-0.80810525034738001</v>
      </c>
      <c r="AA370">
        <f t="shared" ca="1" si="123"/>
        <v>-0.42744418574946641</v>
      </c>
      <c r="AB370">
        <f t="shared" ca="1" si="124"/>
        <v>166.05849999999998</v>
      </c>
    </row>
    <row r="371" spans="1:28" x14ac:dyDescent="0.25">
      <c r="A371" s="20">
        <f t="shared" ca="1" si="104"/>
        <v>45831</v>
      </c>
      <c r="B371" vm="1079">
        <f ca="1"/>
        <v>45832</v>
      </c>
      <c r="C371" vm="1080">
        <f ca="1"/>
        <v>160.36000000000001</v>
      </c>
      <c r="D371" vm="1081">
        <f ca="1"/>
        <v>7470052</v>
      </c>
      <c r="E371">
        <f t="shared" ca="1" si="105"/>
        <v>1197897538.72</v>
      </c>
      <c r="F371">
        <f ca="1">SUM($E$2:E371)/SUM($D$2:D371)</f>
        <v>165.15651834274348</v>
      </c>
      <c r="G371">
        <f ca="1">_xlfn.STDEV.P($C$2:C371)</f>
        <v>6.2317458711527776</v>
      </c>
      <c r="H371">
        <f t="shared" ca="1" si="106"/>
        <v>171.38826421389626</v>
      </c>
      <c r="I371">
        <f t="shared" ca="1" si="107"/>
        <v>158.9247724715907</v>
      </c>
      <c r="J371">
        <f t="shared" ca="1" si="116"/>
        <v>163.4915</v>
      </c>
      <c r="K371">
        <f t="shared" ca="1" si="117"/>
        <v>3.6033570239576909</v>
      </c>
      <c r="L371">
        <f t="shared" ca="1" si="118"/>
        <v>170.69821404791537</v>
      </c>
      <c r="M371">
        <f t="shared" ca="1" si="119"/>
        <v>156.28478595208463</v>
      </c>
      <c r="N371">
        <f t="shared" ca="1" si="108"/>
        <v>-0.66999999999998749</v>
      </c>
      <c r="O371">
        <f t="shared" ca="1" si="109"/>
        <v>0</v>
      </c>
      <c r="P371">
        <f t="shared" ca="1" si="110"/>
        <v>0.66999999999998749</v>
      </c>
      <c r="Q371">
        <f t="shared" ca="1" si="114"/>
        <v>0.60064157676458707</v>
      </c>
      <c r="R371">
        <f t="shared" ca="1" si="115"/>
        <v>0.75976131812886882</v>
      </c>
      <c r="S371">
        <f t="shared" ca="1" si="112"/>
        <v>0.79056614548874382</v>
      </c>
      <c r="T371">
        <f t="shared" ca="1" si="113"/>
        <v>44.151742033129693</v>
      </c>
      <c r="U371">
        <f>70</f>
        <v>70</v>
      </c>
      <c r="V371">
        <f>30</f>
        <v>30</v>
      </c>
      <c r="W371">
        <f t="shared" ca="1" si="111"/>
        <v>161.13775120375792</v>
      </c>
      <c r="X371">
        <f t="shared" ca="1" si="121"/>
        <v>162.37330063985476</v>
      </c>
      <c r="Y371">
        <f t="shared" ca="1" si="120"/>
        <v>-1.3169532775974062</v>
      </c>
      <c r="Z371">
        <f t="shared" ca="1" si="122"/>
        <v>-0.90987485579738536</v>
      </c>
      <c r="AA371">
        <f t="shared" ca="1" si="123"/>
        <v>-0.40707842180002085</v>
      </c>
      <c r="AB371">
        <f t="shared" ca="1" si="124"/>
        <v>165.99980000000002</v>
      </c>
    </row>
    <row r="372" spans="1:28" x14ac:dyDescent="0.25">
      <c r="A372" s="20">
        <f t="shared" ca="1" si="104"/>
        <v>45831</v>
      </c>
      <c r="B372" vm="1082">
        <f ca="1"/>
        <v>45833</v>
      </c>
      <c r="C372" vm="1083">
        <f ca="1"/>
        <v>158.97</v>
      </c>
      <c r="D372" vm="1084">
        <f ca="1"/>
        <v>5933715</v>
      </c>
      <c r="E372">
        <f t="shared" ca="1" si="105"/>
        <v>943282673.54999995</v>
      </c>
      <c r="F372">
        <f ca="1">SUM($E$2:E372)/SUM($D$2:D372)</f>
        <v>165.14263364653988</v>
      </c>
      <c r="G372">
        <f ca="1">_xlfn.STDEV.P($C$2:C372)</f>
        <v>6.2320078177549796</v>
      </c>
      <c r="H372">
        <f t="shared" ca="1" si="106"/>
        <v>171.37464146429485</v>
      </c>
      <c r="I372">
        <f t="shared" ca="1" si="107"/>
        <v>158.9106258287849</v>
      </c>
      <c r="J372">
        <f t="shared" ca="1" si="116"/>
        <v>163.05199999999999</v>
      </c>
      <c r="K372">
        <f t="shared" ca="1" si="117"/>
        <v>3.5913647896908989</v>
      </c>
      <c r="L372">
        <f t="shared" ca="1" si="118"/>
        <v>170.23472957938179</v>
      </c>
      <c r="M372">
        <f t="shared" ca="1" si="119"/>
        <v>155.86927042061819</v>
      </c>
      <c r="N372">
        <f t="shared" ca="1" si="108"/>
        <v>-1.3900000000000148</v>
      </c>
      <c r="O372">
        <f t="shared" ca="1" si="109"/>
        <v>0</v>
      </c>
      <c r="P372">
        <f t="shared" ca="1" si="110"/>
        <v>1.3900000000000148</v>
      </c>
      <c r="Q372">
        <f t="shared" ca="1" si="114"/>
        <v>0.557738606995688</v>
      </c>
      <c r="R372">
        <f t="shared" ca="1" si="115"/>
        <v>0.80477836683395065</v>
      </c>
      <c r="S372">
        <f t="shared" ca="1" si="112"/>
        <v>0.69303379660895603</v>
      </c>
      <c r="T372">
        <f t="shared" ca="1" si="113"/>
        <v>40.93443367740565</v>
      </c>
      <c r="U372">
        <f>70</f>
        <v>70</v>
      </c>
      <c r="V372">
        <f>30</f>
        <v>30</v>
      </c>
      <c r="W372">
        <f t="shared" ca="1" si="111"/>
        <v>160.8042510185644</v>
      </c>
      <c r="X372">
        <f t="shared" ca="1" si="121"/>
        <v>162.12120429616181</v>
      </c>
      <c r="Y372">
        <f t="shared" ca="1" si="120"/>
        <v>-1.3928457086580011</v>
      </c>
      <c r="Z372">
        <f t="shared" ca="1" si="122"/>
        <v>-1.0064690263695086</v>
      </c>
      <c r="AA372">
        <f t="shared" ca="1" si="123"/>
        <v>-0.38637668228849242</v>
      </c>
      <c r="AB372">
        <f t="shared" ca="1" si="124"/>
        <v>165.91540000000003</v>
      </c>
    </row>
    <row r="373" spans="1:28" x14ac:dyDescent="0.25">
      <c r="A373" s="20">
        <f t="shared" ca="1" si="104"/>
        <v>45831</v>
      </c>
      <c r="B373" vm="1085">
        <f ca="1"/>
        <v>45834</v>
      </c>
      <c r="C373" vm="1086">
        <f ca="1"/>
        <v>158.63</v>
      </c>
      <c r="D373" vm="1087">
        <f ca="1"/>
        <v>7410446</v>
      </c>
      <c r="E373">
        <f t="shared" ca="1" si="105"/>
        <v>1175519048.98</v>
      </c>
      <c r="F373">
        <f ca="1">SUM($E$2:E373)/SUM($D$2:D373)</f>
        <v>165.12443040181509</v>
      </c>
      <c r="G373">
        <f ca="1">_xlfn.STDEV.P($C$2:C373)</f>
        <v>6.2331710125451067</v>
      </c>
      <c r="H373">
        <f t="shared" ca="1" si="106"/>
        <v>171.3576014143602</v>
      </c>
      <c r="I373">
        <f t="shared" ca="1" si="107"/>
        <v>158.89125938926998</v>
      </c>
      <c r="J373">
        <f t="shared" ca="1" si="116"/>
        <v>162.6155</v>
      </c>
      <c r="K373">
        <f t="shared" ca="1" si="117"/>
        <v>3.5706751167634474</v>
      </c>
      <c r="L373">
        <f t="shared" ca="1" si="118"/>
        <v>169.7568502335269</v>
      </c>
      <c r="M373">
        <f t="shared" ca="1" si="119"/>
        <v>155.47414976647309</v>
      </c>
      <c r="N373">
        <f t="shared" ca="1" si="108"/>
        <v>-0.34000000000000341</v>
      </c>
      <c r="O373">
        <f t="shared" ca="1" si="109"/>
        <v>0</v>
      </c>
      <c r="P373">
        <f t="shared" ca="1" si="110"/>
        <v>0.34000000000000341</v>
      </c>
      <c r="Q373">
        <f t="shared" ca="1" si="114"/>
        <v>0.51790013506742461</v>
      </c>
      <c r="R373">
        <f t="shared" ca="1" si="115"/>
        <v>0.77157991206009735</v>
      </c>
      <c r="S373">
        <f t="shared" ca="1" si="112"/>
        <v>0.67122034538800435</v>
      </c>
      <c r="T373">
        <f t="shared" ca="1" si="113"/>
        <v>40.163485757000423</v>
      </c>
      <c r="U373">
        <f>70</f>
        <v>70</v>
      </c>
      <c r="V373">
        <f>30</f>
        <v>30</v>
      </c>
      <c r="W373">
        <f t="shared" ca="1" si="111"/>
        <v>160.4697508618622</v>
      </c>
      <c r="X373">
        <f t="shared" ca="1" si="121"/>
        <v>161.8625965705202</v>
      </c>
      <c r="Y373">
        <f t="shared" ca="1" si="120"/>
        <v>-1.3383130468546938</v>
      </c>
      <c r="Z373">
        <f t="shared" ca="1" si="122"/>
        <v>-1.0728378304665456</v>
      </c>
      <c r="AA373">
        <f t="shared" ca="1" si="123"/>
        <v>-0.26547521638814819</v>
      </c>
      <c r="AB373">
        <f t="shared" ca="1" si="124"/>
        <v>165.84180000000003</v>
      </c>
    </row>
    <row r="374" spans="1:28" x14ac:dyDescent="0.25">
      <c r="A374" s="20">
        <f t="shared" ca="1" si="104"/>
        <v>45831</v>
      </c>
      <c r="B374" vm="1088">
        <f ca="1"/>
        <v>45835</v>
      </c>
      <c r="C374" vm="1089">
        <f ca="1"/>
        <v>159.86000000000001</v>
      </c>
      <c r="D374" vm="1090">
        <f ca="1"/>
        <v>19256955</v>
      </c>
      <c r="E374">
        <f t="shared" ca="1" si="105"/>
        <v>3078416826.3000002</v>
      </c>
      <c r="F374">
        <f ca="1">SUM($E$2:E374)/SUM($D$2:D374)</f>
        <v>165.08646886417435</v>
      </c>
      <c r="G374">
        <f ca="1">_xlfn.STDEV.P($C$2:C374)</f>
        <v>6.2310966798106771</v>
      </c>
      <c r="H374">
        <f t="shared" ca="1" si="106"/>
        <v>171.31756554398504</v>
      </c>
      <c r="I374">
        <f t="shared" ca="1" si="107"/>
        <v>158.85537218436366</v>
      </c>
      <c r="J374">
        <f t="shared" ca="1" si="116"/>
        <v>162.18049999999999</v>
      </c>
      <c r="K374">
        <f t="shared" ca="1" si="117"/>
        <v>3.330211744492813</v>
      </c>
      <c r="L374">
        <f t="shared" ca="1" si="118"/>
        <v>168.84092348898562</v>
      </c>
      <c r="M374">
        <f t="shared" ca="1" si="119"/>
        <v>155.52007651101437</v>
      </c>
      <c r="N374">
        <f t="shared" ca="1" si="108"/>
        <v>1.2300000000000182</v>
      </c>
      <c r="O374">
        <f t="shared" ca="1" si="109"/>
        <v>1.2300000000000182</v>
      </c>
      <c r="P374">
        <f t="shared" ca="1" si="110"/>
        <v>0</v>
      </c>
      <c r="Q374">
        <f t="shared" ca="1" si="114"/>
        <v>0.56876441113403842</v>
      </c>
      <c r="R374">
        <f t="shared" ca="1" si="115"/>
        <v>0.71646706119866188</v>
      </c>
      <c r="S374">
        <f t="shared" ca="1" si="112"/>
        <v>0.79384586108185584</v>
      </c>
      <c r="T374">
        <f t="shared" ca="1" si="113"/>
        <v>44.253850250159893</v>
      </c>
      <c r="U374">
        <f>70</f>
        <v>70</v>
      </c>
      <c r="V374">
        <f>30</f>
        <v>30</v>
      </c>
      <c r="W374">
        <f t="shared" ca="1" si="111"/>
        <v>160.37594303696031</v>
      </c>
      <c r="X374">
        <f t="shared" ca="1" si="121"/>
        <v>161.714256083815</v>
      </c>
      <c r="Y374">
        <f t="shared" ca="1" si="120"/>
        <v>-1.3234135192668646</v>
      </c>
      <c r="Z374">
        <f t="shared" ca="1" si="122"/>
        <v>-1.1229529682266095</v>
      </c>
      <c r="AA374">
        <f t="shared" ca="1" si="123"/>
        <v>-0.20046055104025506</v>
      </c>
      <c r="AB374">
        <f t="shared" ca="1" si="124"/>
        <v>165.75280000000004</v>
      </c>
    </row>
    <row r="375" spans="1:28" x14ac:dyDescent="0.25">
      <c r="A375" s="20">
        <f t="shared" ca="1" si="104"/>
        <v>45838</v>
      </c>
      <c r="B375" vm="1091">
        <f ca="1"/>
        <v>45838</v>
      </c>
      <c r="C375" vm="130">
        <f ca="1"/>
        <v>159.32</v>
      </c>
      <c r="D375" vm="1092">
        <f ca="1"/>
        <v>11238201</v>
      </c>
      <c r="E375">
        <f t="shared" ca="1" si="105"/>
        <v>1790470183.3199999</v>
      </c>
      <c r="F375">
        <f ca="1">SUM($E$2:E375)/SUM($D$2:D375)</f>
        <v>165.06230381112553</v>
      </c>
      <c r="G375">
        <f ca="1">_xlfn.STDEV.P($C$2:C375)</f>
        <v>6.2303092181151083</v>
      </c>
      <c r="H375">
        <f t="shared" ca="1" si="106"/>
        <v>171.29261302924064</v>
      </c>
      <c r="I375">
        <f t="shared" ca="1" si="107"/>
        <v>158.83199459301042</v>
      </c>
      <c r="J375">
        <f t="shared" ca="1" si="116"/>
        <v>161.65200000000002</v>
      </c>
      <c r="K375">
        <f t="shared" ca="1" si="117"/>
        <v>2.8458253820751453</v>
      </c>
      <c r="L375">
        <f t="shared" ca="1" si="118"/>
        <v>167.34365076415031</v>
      </c>
      <c r="M375">
        <f t="shared" ca="1" si="119"/>
        <v>155.96034923584972</v>
      </c>
      <c r="N375">
        <f t="shared" ca="1" si="108"/>
        <v>-0.54000000000002046</v>
      </c>
      <c r="O375">
        <f t="shared" ca="1" si="109"/>
        <v>0</v>
      </c>
      <c r="P375">
        <f t="shared" ca="1" si="110"/>
        <v>0.54000000000002046</v>
      </c>
      <c r="Q375">
        <f t="shared" ca="1" si="114"/>
        <v>0.52813838176732142</v>
      </c>
      <c r="R375">
        <f t="shared" ca="1" si="115"/>
        <v>0.70386227111304467</v>
      </c>
      <c r="S375">
        <f t="shared" ca="1" si="112"/>
        <v>0.75034336040224991</v>
      </c>
      <c r="T375">
        <f t="shared" ca="1" si="113"/>
        <v>42.868352425995546</v>
      </c>
      <c r="U375">
        <f>70</f>
        <v>70</v>
      </c>
      <c r="V375">
        <f>30</f>
        <v>30</v>
      </c>
      <c r="W375">
        <f t="shared" ca="1" si="111"/>
        <v>160.21349026204334</v>
      </c>
      <c r="X375">
        <f t="shared" ca="1" si="121"/>
        <v>161.5369037813102</v>
      </c>
      <c r="Y375">
        <f t="shared" ca="1" si="120"/>
        <v>-1.1450915131023862</v>
      </c>
      <c r="Z375">
        <f t="shared" ca="1" si="122"/>
        <v>-1.1273806772017649</v>
      </c>
      <c r="AA375">
        <f t="shared" ca="1" si="123"/>
        <v>-1.771083590062128E-2</v>
      </c>
      <c r="AB375">
        <f t="shared" ca="1" si="124"/>
        <v>165.66470000000001</v>
      </c>
    </row>
    <row r="376" spans="1:28" x14ac:dyDescent="0.25">
      <c r="A376" s="20">
        <f t="shared" ca="1" si="104"/>
        <v>45838</v>
      </c>
      <c r="B376" vm="1093">
        <f ca="1"/>
        <v>45839</v>
      </c>
      <c r="C376" vm="1094">
        <f ca="1"/>
        <v>161.22</v>
      </c>
      <c r="D376" vm="1095">
        <f ca="1"/>
        <v>10664891</v>
      </c>
      <c r="E376">
        <f t="shared" ca="1" si="105"/>
        <v>1719393727.02</v>
      </c>
      <c r="F376">
        <f ca="1">SUM($E$2:E376)/SUM($D$2:D376)</f>
        <v>165.04708413407997</v>
      </c>
      <c r="G376">
        <f ca="1">_xlfn.STDEV.P($C$2:C376)</f>
        <v>6.2254518114805659</v>
      </c>
      <c r="H376">
        <f t="shared" ca="1" si="106"/>
        <v>171.27253594556052</v>
      </c>
      <c r="I376">
        <f t="shared" ca="1" si="107"/>
        <v>158.82163232259941</v>
      </c>
      <c r="J376">
        <f t="shared" ca="1" si="116"/>
        <v>161.32400000000001</v>
      </c>
      <c r="K376">
        <f t="shared" ca="1" si="117"/>
        <v>2.4533358600292074</v>
      </c>
      <c r="L376">
        <f t="shared" ca="1" si="118"/>
        <v>166.23067172005844</v>
      </c>
      <c r="M376">
        <f t="shared" ca="1" si="119"/>
        <v>156.41732827994159</v>
      </c>
      <c r="N376">
        <f t="shared" ca="1" si="108"/>
        <v>1.9000000000000057</v>
      </c>
      <c r="O376">
        <f t="shared" ca="1" si="109"/>
        <v>1.9000000000000057</v>
      </c>
      <c r="P376">
        <f t="shared" ca="1" si="110"/>
        <v>0</v>
      </c>
      <c r="Q376">
        <f t="shared" ca="1" si="114"/>
        <v>0.62612849735537035</v>
      </c>
      <c r="R376">
        <f t="shared" ca="1" si="115"/>
        <v>0.65358639460497003</v>
      </c>
      <c r="S376">
        <f t="shared" ca="1" si="112"/>
        <v>0.95798887878289551</v>
      </c>
      <c r="T376">
        <f t="shared" ca="1" si="113"/>
        <v>48.927186929600467</v>
      </c>
      <c r="U376">
        <f>70</f>
        <v>70</v>
      </c>
      <c r="V376">
        <f>30</f>
        <v>30</v>
      </c>
      <c r="W376">
        <f t="shared" ca="1" si="111"/>
        <v>160.36833791403669</v>
      </c>
      <c r="X376">
        <f t="shared" ca="1" si="121"/>
        <v>161.51342942713907</v>
      </c>
      <c r="Y376">
        <f t="shared" ca="1" si="120"/>
        <v>-0.99392650527437354</v>
      </c>
      <c r="Z376">
        <f t="shared" ca="1" si="122"/>
        <v>-1.1006898428162868</v>
      </c>
      <c r="AA376">
        <f t="shared" ca="1" si="123"/>
        <v>0.10676333754191325</v>
      </c>
      <c r="AB376">
        <f t="shared" ca="1" si="124"/>
        <v>165.58680000000007</v>
      </c>
    </row>
    <row r="377" spans="1:28" x14ac:dyDescent="0.25">
      <c r="A377" s="20">
        <f t="shared" ca="1" si="104"/>
        <v>45838</v>
      </c>
      <c r="B377" vm="1096">
        <f ca="1"/>
        <v>45840</v>
      </c>
      <c r="C377" vm="1097">
        <f ca="1"/>
        <v>161.19999999999999</v>
      </c>
      <c r="D377" vm="1098">
        <f ca="1"/>
        <v>8848744</v>
      </c>
      <c r="E377">
        <f t="shared" ca="1" si="105"/>
        <v>1426417532.8</v>
      </c>
      <c r="F377">
        <f ca="1">SUM($E$2:E377)/SUM($D$2:D377)</f>
        <v>165.03448195509387</v>
      </c>
      <c r="G377">
        <f ca="1">_xlfn.STDEV.P($C$2:C377)</f>
        <v>6.2206324286830332</v>
      </c>
      <c r="H377">
        <f t="shared" ca="1" si="106"/>
        <v>171.25511438377691</v>
      </c>
      <c r="I377">
        <f t="shared" ca="1" si="107"/>
        <v>158.81384952641082</v>
      </c>
      <c r="J377">
        <f t="shared" ca="1" si="116"/>
        <v>161.04149999999998</v>
      </c>
      <c r="K377">
        <f t="shared" ca="1" si="117"/>
        <v>2.0804965879884478</v>
      </c>
      <c r="L377">
        <f t="shared" ca="1" si="118"/>
        <v>165.20249317597688</v>
      </c>
      <c r="M377">
        <f t="shared" ca="1" si="119"/>
        <v>156.88050682402309</v>
      </c>
      <c r="N377">
        <f t="shared" ca="1" si="108"/>
        <v>-2.0000000000010232E-2</v>
      </c>
      <c r="O377">
        <f t="shared" ca="1" si="109"/>
        <v>0</v>
      </c>
      <c r="P377">
        <f t="shared" ca="1" si="110"/>
        <v>2.0000000000010232E-2</v>
      </c>
      <c r="Q377">
        <f t="shared" ca="1" si="114"/>
        <v>0.58140503325855819</v>
      </c>
      <c r="R377">
        <f t="shared" ca="1" si="115"/>
        <v>0.6083302235617587</v>
      </c>
      <c r="S377">
        <f t="shared" ca="1" si="112"/>
        <v>0.95573918694101012</v>
      </c>
      <c r="T377">
        <f t="shared" ca="1" si="113"/>
        <v>48.868437740713816</v>
      </c>
      <c r="U377">
        <f>70</f>
        <v>70</v>
      </c>
      <c r="V377">
        <f>30</f>
        <v>30</v>
      </c>
      <c r="W377">
        <f t="shared" ca="1" si="111"/>
        <v>160.49628592726182</v>
      </c>
      <c r="X377">
        <f t="shared" ca="1" si="121"/>
        <v>161.4902124325362</v>
      </c>
      <c r="Y377">
        <f t="shared" ca="1" si="120"/>
        <v>-0.89368125406696208</v>
      </c>
      <c r="Z377">
        <f t="shared" ca="1" si="122"/>
        <v>-1.0592881250664219</v>
      </c>
      <c r="AA377">
        <f t="shared" ca="1" si="123"/>
        <v>0.16560687099945981</v>
      </c>
      <c r="AB377">
        <f t="shared" ca="1" si="124"/>
        <v>165.51000000000008</v>
      </c>
    </row>
    <row r="378" spans="1:28" x14ac:dyDescent="0.25">
      <c r="A378" s="20">
        <f t="shared" ca="1" si="104"/>
        <v>45838</v>
      </c>
      <c r="B378" vm="1099">
        <f ca="1"/>
        <v>45841</v>
      </c>
      <c r="C378" vm="1100">
        <f ca="1"/>
        <v>160.83000000000001</v>
      </c>
      <c r="D378" vm="1101">
        <f ca="1"/>
        <v>6999589</v>
      </c>
      <c r="E378">
        <f t="shared" ca="1" si="105"/>
        <v>1125743898.8700001</v>
      </c>
      <c r="F378">
        <f ca="1">SUM($E$2:E378)/SUM($D$2:D378)</f>
        <v>165.0236153605538</v>
      </c>
      <c r="G378">
        <f ca="1">_xlfn.STDEV.P($C$2:C378)</f>
        <v>6.2164786955458915</v>
      </c>
      <c r="H378">
        <f t="shared" ca="1" si="106"/>
        <v>171.24009405609971</v>
      </c>
      <c r="I378">
        <f t="shared" ca="1" si="107"/>
        <v>158.8071366650079</v>
      </c>
      <c r="J378">
        <f t="shared" ca="1" si="116"/>
        <v>160.78549999999998</v>
      </c>
      <c r="K378">
        <f t="shared" ca="1" si="117"/>
        <v>1.7302493735692681</v>
      </c>
      <c r="L378">
        <f t="shared" ca="1" si="118"/>
        <v>164.24599874713851</v>
      </c>
      <c r="M378">
        <f t="shared" ca="1" si="119"/>
        <v>157.32500125286145</v>
      </c>
      <c r="N378">
        <f t="shared" ca="1" si="108"/>
        <v>-0.36999999999997613</v>
      </c>
      <c r="O378">
        <f t="shared" ca="1" si="109"/>
        <v>0</v>
      </c>
      <c r="P378">
        <f t="shared" ca="1" si="110"/>
        <v>0.36999999999997613</v>
      </c>
      <c r="Q378">
        <f t="shared" ca="1" si="114"/>
        <v>0.53987610231151828</v>
      </c>
      <c r="R378">
        <f t="shared" ca="1" si="115"/>
        <v>0.59130663616448853</v>
      </c>
      <c r="S378">
        <f t="shared" ca="1" si="112"/>
        <v>0.91302222788065679</v>
      </c>
      <c r="T378">
        <f t="shared" ca="1" si="113"/>
        <v>47.726692067355074</v>
      </c>
      <c r="U378">
        <f>70</f>
        <v>70</v>
      </c>
      <c r="V378">
        <f>30</f>
        <v>30</v>
      </c>
      <c r="W378">
        <f t="shared" ca="1" si="111"/>
        <v>160.54762655383692</v>
      </c>
      <c r="X378">
        <f t="shared" ca="1" si="121"/>
        <v>161.44130780790388</v>
      </c>
      <c r="Y378">
        <f t="shared" ca="1" si="120"/>
        <v>-0.83128191190652956</v>
      </c>
      <c r="Z378">
        <f t="shared" ca="1" si="122"/>
        <v>-1.0136868824344436</v>
      </c>
      <c r="AA378">
        <f t="shared" ca="1" si="123"/>
        <v>0.18240497052791405</v>
      </c>
      <c r="AB378">
        <f t="shared" ca="1" si="124"/>
        <v>165.43860000000004</v>
      </c>
    </row>
    <row r="379" spans="1:28" x14ac:dyDescent="0.25">
      <c r="A379" s="20">
        <f t="shared" ca="1" si="104"/>
        <v>45845</v>
      </c>
      <c r="B379" vm="1102">
        <f ca="1"/>
        <v>45845</v>
      </c>
      <c r="C379" vm="770">
        <f ca="1"/>
        <v>160.5</v>
      </c>
      <c r="D379" vm="1103">
        <f ca="1"/>
        <v>7225695</v>
      </c>
      <c r="E379">
        <f t="shared" ca="1" si="105"/>
        <v>1159724047.5</v>
      </c>
      <c r="F379">
        <f ca="1">SUM($E$2:E379)/SUM($D$2:D379)</f>
        <v>165.0115784075428</v>
      </c>
      <c r="G379">
        <f ca="1">_xlfn.STDEV.P($C$2:C379)</f>
        <v>6.2129592749160283</v>
      </c>
      <c r="H379">
        <f t="shared" ca="1" si="106"/>
        <v>171.22453768245882</v>
      </c>
      <c r="I379">
        <f t="shared" ca="1" si="107"/>
        <v>158.79861913262678</v>
      </c>
      <c r="J379">
        <f t="shared" ca="1" si="116"/>
        <v>160.67049999999998</v>
      </c>
      <c r="K379">
        <f t="shared" ca="1" si="117"/>
        <v>1.6644944704339706</v>
      </c>
      <c r="L379">
        <f t="shared" ca="1" si="118"/>
        <v>163.99948894086791</v>
      </c>
      <c r="M379">
        <f t="shared" ca="1" si="119"/>
        <v>157.34151105913205</v>
      </c>
      <c r="N379">
        <f t="shared" ca="1" si="108"/>
        <v>-0.33000000000001251</v>
      </c>
      <c r="O379">
        <f t="shared" ca="1" si="109"/>
        <v>0</v>
      </c>
      <c r="P379">
        <f t="shared" ca="1" si="110"/>
        <v>0.33000000000001251</v>
      </c>
      <c r="Q379">
        <f t="shared" ca="1" si="114"/>
        <v>0.50131352357498127</v>
      </c>
      <c r="R379">
        <f t="shared" ca="1" si="115"/>
        <v>0.57264187643845454</v>
      </c>
      <c r="S379">
        <f t="shared" ca="1" si="112"/>
        <v>0.87543985901432864</v>
      </c>
      <c r="T379">
        <f t="shared" ca="1" si="113"/>
        <v>46.67917527754966</v>
      </c>
      <c r="U379">
        <f>70</f>
        <v>70</v>
      </c>
      <c r="V379">
        <f>30</f>
        <v>30</v>
      </c>
      <c r="W379">
        <f t="shared" ca="1" si="111"/>
        <v>160.54029939170817</v>
      </c>
      <c r="X379">
        <f t="shared" ca="1" si="121"/>
        <v>161.3715813036147</v>
      </c>
      <c r="Y379">
        <f t="shared" ca="1" si="120"/>
        <v>-0.98112536848279319</v>
      </c>
      <c r="Z379">
        <f t="shared" ca="1" si="122"/>
        <v>-1.0071745796441136</v>
      </c>
      <c r="AA379">
        <f t="shared" ca="1" si="123"/>
        <v>2.6049211161320418E-2</v>
      </c>
      <c r="AB379">
        <f t="shared" ca="1" si="124"/>
        <v>165.36830000000006</v>
      </c>
    </row>
    <row r="380" spans="1:28" x14ac:dyDescent="0.25">
      <c r="A380" s="20">
        <f t="shared" ca="1" si="104"/>
        <v>45845</v>
      </c>
      <c r="B380" vm="1104">
        <f ca="1"/>
        <v>45846</v>
      </c>
      <c r="C380" vm="1105">
        <f ca="1"/>
        <v>157.88999999999999</v>
      </c>
      <c r="D380" vm="1106">
        <f ca="1"/>
        <v>12034764</v>
      </c>
      <c r="E380">
        <f t="shared" ca="1" si="105"/>
        <v>1900168887.9599998</v>
      </c>
      <c r="F380">
        <f ca="1">SUM($E$2:E380)/SUM($D$2:D380)</f>
        <v>164.98015562677799</v>
      </c>
      <c r="G380">
        <f ca="1">_xlfn.STDEV.P($C$2:C380)</f>
        <v>6.2160657394471333</v>
      </c>
      <c r="H380">
        <f t="shared" ca="1" si="106"/>
        <v>171.19622136622513</v>
      </c>
      <c r="I380">
        <f t="shared" ca="1" si="107"/>
        <v>158.76408988733084</v>
      </c>
      <c r="J380">
        <f t="shared" ca="1" si="116"/>
        <v>160.36399999999998</v>
      </c>
      <c r="K380">
        <f t="shared" ca="1" si="117"/>
        <v>1.5773642238674128</v>
      </c>
      <c r="L380">
        <f t="shared" ca="1" si="118"/>
        <v>163.51872844773482</v>
      </c>
      <c r="M380">
        <f t="shared" ca="1" si="119"/>
        <v>157.20927155226514</v>
      </c>
      <c r="N380">
        <f t="shared" ca="1" si="108"/>
        <v>-2.6100000000000136</v>
      </c>
      <c r="O380">
        <f t="shared" ca="1" si="109"/>
        <v>0</v>
      </c>
      <c r="P380">
        <f t="shared" ca="1" si="110"/>
        <v>2.6100000000000136</v>
      </c>
      <c r="Q380">
        <f t="shared" ca="1" si="114"/>
        <v>0.4655054147481969</v>
      </c>
      <c r="R380">
        <f t="shared" ca="1" si="115"/>
        <v>0.71816745669285165</v>
      </c>
      <c r="S380">
        <f t="shared" ca="1" si="112"/>
        <v>0.64818505824789252</v>
      </c>
      <c r="T380">
        <f t="shared" ca="1" si="113"/>
        <v>39.327201457398687</v>
      </c>
      <c r="U380">
        <f>70</f>
        <v>70</v>
      </c>
      <c r="V380">
        <f>30</f>
        <v>30</v>
      </c>
      <c r="W380">
        <f t="shared" ca="1" si="111"/>
        <v>160.13256102375306</v>
      </c>
      <c r="X380">
        <f t="shared" ca="1" si="121"/>
        <v>161.11368639223585</v>
      </c>
      <c r="Y380">
        <f t="shared" ca="1" si="120"/>
        <v>-1.1168588416581144</v>
      </c>
      <c r="Z380">
        <f t="shared" ca="1" si="122"/>
        <v>-1.0291114320469139</v>
      </c>
      <c r="AA380">
        <f t="shared" ca="1" si="123"/>
        <v>-8.7747409611200533E-2</v>
      </c>
      <c r="AB380">
        <f t="shared" ca="1" si="124"/>
        <v>165.25290000000004</v>
      </c>
    </row>
    <row r="381" spans="1:28" x14ac:dyDescent="0.25">
      <c r="A381" s="20">
        <f t="shared" ca="1" si="104"/>
        <v>45845</v>
      </c>
      <c r="B381" vm="1107">
        <f ca="1"/>
        <v>45847</v>
      </c>
      <c r="C381" vm="1108">
        <f ca="1"/>
        <v>157.52000000000001</v>
      </c>
      <c r="D381" vm="1109">
        <f ca="1"/>
        <v>18770894</v>
      </c>
      <c r="E381">
        <f t="shared" ca="1" si="105"/>
        <v>2956791222.8800001</v>
      </c>
      <c r="F381">
        <f ca="1">SUM($E$2:E381)/SUM($D$2:D381)</f>
        <v>164.92916562380853</v>
      </c>
      <c r="G381">
        <f ca="1">_xlfn.STDEV.P($C$2:C381)</f>
        <v>6.2202616209976673</v>
      </c>
      <c r="H381">
        <f t="shared" ca="1" si="106"/>
        <v>171.14942724480619</v>
      </c>
      <c r="I381">
        <f t="shared" ca="1" si="107"/>
        <v>158.70890400281087</v>
      </c>
      <c r="J381">
        <f t="shared" ca="1" si="116"/>
        <v>160.11199999999999</v>
      </c>
      <c r="K381">
        <f t="shared" ca="1" si="117"/>
        <v>1.6103173927096357</v>
      </c>
      <c r="L381">
        <f t="shared" ca="1" si="118"/>
        <v>163.33263478541926</v>
      </c>
      <c r="M381">
        <f t="shared" ca="1" si="119"/>
        <v>156.89136521458073</v>
      </c>
      <c r="N381">
        <f t="shared" ca="1" si="108"/>
        <v>-0.36999999999997613</v>
      </c>
      <c r="O381">
        <f t="shared" ca="1" si="109"/>
        <v>0</v>
      </c>
      <c r="P381">
        <f t="shared" ca="1" si="110"/>
        <v>0.36999999999997613</v>
      </c>
      <c r="Q381">
        <f t="shared" ca="1" si="114"/>
        <v>0.43225502798046855</v>
      </c>
      <c r="R381">
        <f t="shared" ca="1" si="115"/>
        <v>0.69329835264336048</v>
      </c>
      <c r="S381">
        <f t="shared" ca="1" si="112"/>
        <v>0.62347620808905169</v>
      </c>
      <c r="T381">
        <f t="shared" ca="1" si="113"/>
        <v>38.403778569870639</v>
      </c>
      <c r="U381">
        <f>70</f>
        <v>70</v>
      </c>
      <c r="V381">
        <f>30</f>
        <v>30</v>
      </c>
      <c r="W381">
        <f t="shared" ca="1" si="111"/>
        <v>159.73062855856026</v>
      </c>
      <c r="X381">
        <f t="shared" ca="1" si="121"/>
        <v>160.84748740021837</v>
      </c>
      <c r="Y381">
        <f t="shared" ca="1" si="120"/>
        <v>-1.1330960774318726</v>
      </c>
      <c r="Z381">
        <f t="shared" ca="1" si="122"/>
        <v>-1.0499083611239057</v>
      </c>
      <c r="AA381">
        <f t="shared" ca="1" si="123"/>
        <v>-8.3187716307966841E-2</v>
      </c>
      <c r="AB381">
        <f t="shared" ca="1" si="124"/>
        <v>165.13230000000004</v>
      </c>
    </row>
    <row r="382" spans="1:28" x14ac:dyDescent="0.25">
      <c r="A382" s="20">
        <f t="shared" ca="1" si="104"/>
        <v>45845</v>
      </c>
      <c r="B382" vm="1110">
        <f ca="1"/>
        <v>45848</v>
      </c>
      <c r="C382" vm="1111">
        <f ca="1"/>
        <v>158.49</v>
      </c>
      <c r="D382" vm="1112">
        <f ca="1"/>
        <v>7201748</v>
      </c>
      <c r="E382">
        <f t="shared" ca="1" si="105"/>
        <v>1141405040.52</v>
      </c>
      <c r="F382">
        <f ca="1">SUM($E$2:E382)/SUM($D$2:D382)</f>
        <v>164.91232406333347</v>
      </c>
      <c r="G382">
        <f ca="1">_xlfn.STDEV.P($C$2:C382)</f>
        <v>6.2214498434750993</v>
      </c>
      <c r="H382">
        <f t="shared" ca="1" si="106"/>
        <v>171.13377390680859</v>
      </c>
      <c r="I382">
        <f t="shared" ca="1" si="107"/>
        <v>158.69087421985836</v>
      </c>
      <c r="J382">
        <f t="shared" ca="1" si="116"/>
        <v>159.89449999999997</v>
      </c>
      <c r="K382">
        <f t="shared" ca="1" si="117"/>
        <v>1.5133110265764589</v>
      </c>
      <c r="L382">
        <f t="shared" ca="1" si="118"/>
        <v>162.92112205315289</v>
      </c>
      <c r="M382">
        <f t="shared" ca="1" si="119"/>
        <v>156.86787794684705</v>
      </c>
      <c r="N382">
        <f t="shared" ca="1" si="108"/>
        <v>0.96999999999999886</v>
      </c>
      <c r="O382">
        <f t="shared" ca="1" si="109"/>
        <v>0.96999999999999886</v>
      </c>
      <c r="P382">
        <f t="shared" ca="1" si="110"/>
        <v>0</v>
      </c>
      <c r="Q382">
        <f t="shared" ca="1" si="114"/>
        <v>0.47066538312472073</v>
      </c>
      <c r="R382">
        <f t="shared" ca="1" si="115"/>
        <v>0.6437770417402634</v>
      </c>
      <c r="S382">
        <f t="shared" ca="1" si="112"/>
        <v>0.731099981217743</v>
      </c>
      <c r="T382">
        <f t="shared" ca="1" si="113"/>
        <v>42.233261460926734</v>
      </c>
      <c r="U382">
        <f>70</f>
        <v>70</v>
      </c>
      <c r="V382">
        <f>30</f>
        <v>30</v>
      </c>
      <c r="W382">
        <f t="shared" ca="1" si="111"/>
        <v>159.53976262647404</v>
      </c>
      <c r="X382">
        <f t="shared" ca="1" si="121"/>
        <v>160.67285870390592</v>
      </c>
      <c r="Y382">
        <f t="shared" ca="1" si="120"/>
        <v>-1.2477765775117575</v>
      </c>
      <c r="Z382">
        <f t="shared" ca="1" si="122"/>
        <v>-1.0894820044014761</v>
      </c>
      <c r="AA382">
        <f t="shared" ca="1" si="123"/>
        <v>-0.15829457311028139</v>
      </c>
      <c r="AB382">
        <f t="shared" ca="1" si="124"/>
        <v>165.00700000000003</v>
      </c>
    </row>
    <row r="383" spans="1:28" x14ac:dyDescent="0.25">
      <c r="A383" s="20">
        <f t="shared" ca="1" si="104"/>
        <v>45845</v>
      </c>
      <c r="B383" vm="1113">
        <f ca="1"/>
        <v>45849</v>
      </c>
      <c r="C383" vm="1114">
        <f ca="1"/>
        <v>157.05000000000001</v>
      </c>
      <c r="D383" vm="1115">
        <f ca="1"/>
        <v>8053808</v>
      </c>
      <c r="E383">
        <f t="shared" ca="1" si="105"/>
        <v>1264850546.4000001</v>
      </c>
      <c r="F383">
        <f ca="1">SUM($E$2:E383)/SUM($D$2:D383)</f>
        <v>164.88939435153287</v>
      </c>
      <c r="G383">
        <f ca="1">_xlfn.STDEV.P($C$2:C383)</f>
        <v>6.2270335980187586</v>
      </c>
      <c r="H383">
        <f t="shared" ca="1" si="106"/>
        <v>171.11642794955162</v>
      </c>
      <c r="I383">
        <f t="shared" ca="1" si="107"/>
        <v>158.66236075351412</v>
      </c>
      <c r="J383">
        <f t="shared" ca="1" si="116"/>
        <v>159.64150000000001</v>
      </c>
      <c r="K383">
        <f t="shared" ca="1" si="117"/>
        <v>1.5460417200062864</v>
      </c>
      <c r="L383">
        <f t="shared" ca="1" si="118"/>
        <v>162.73358344001258</v>
      </c>
      <c r="M383">
        <f t="shared" ca="1" si="119"/>
        <v>156.54941655998743</v>
      </c>
      <c r="N383">
        <f t="shared" ca="1" si="108"/>
        <v>-1.4399999999999977</v>
      </c>
      <c r="O383">
        <f t="shared" ca="1" si="109"/>
        <v>0</v>
      </c>
      <c r="P383">
        <f t="shared" ca="1" si="110"/>
        <v>1.4399999999999977</v>
      </c>
      <c r="Q383">
        <f t="shared" ca="1" si="114"/>
        <v>0.43704642718724068</v>
      </c>
      <c r="R383">
        <f t="shared" ca="1" si="115"/>
        <v>0.70065011018738732</v>
      </c>
      <c r="S383">
        <f t="shared" ca="1" si="112"/>
        <v>0.62377272312189258</v>
      </c>
      <c r="T383">
        <f t="shared" ca="1" si="113"/>
        <v>38.41502657604795</v>
      </c>
      <c r="U383">
        <f>70</f>
        <v>70</v>
      </c>
      <c r="V383">
        <f>30</f>
        <v>30</v>
      </c>
      <c r="W383">
        <f t="shared" ca="1" si="111"/>
        <v>159.15672222240113</v>
      </c>
      <c r="X383">
        <f t="shared" ca="1" si="121"/>
        <v>160.40449879991289</v>
      </c>
      <c r="Y383">
        <f t="shared" ca="1" si="120"/>
        <v>-1.585856438514412</v>
      </c>
      <c r="Z383">
        <f t="shared" ca="1" si="122"/>
        <v>-1.1887568912240634</v>
      </c>
      <c r="AA383">
        <f t="shared" ca="1" si="123"/>
        <v>-0.39709954729034869</v>
      </c>
      <c r="AB383">
        <f t="shared" ca="1" si="124"/>
        <v>164.94860000000006</v>
      </c>
    </row>
    <row r="384" spans="1:28" x14ac:dyDescent="0.25">
      <c r="A384" s="20">
        <f t="shared" ca="1" si="104"/>
        <v>45852</v>
      </c>
      <c r="B384" vm="1116">
        <f ca="1"/>
        <v>45852</v>
      </c>
      <c r="C384" vm="1117">
        <f ca="1"/>
        <v>153.76</v>
      </c>
      <c r="D384" vm="1118">
        <f ca="1"/>
        <v>11491688</v>
      </c>
      <c r="E384">
        <f t="shared" ca="1" si="105"/>
        <v>1766961946.8799999</v>
      </c>
      <c r="F384">
        <f ca="1">SUM($E$2:E384)/SUM($D$2:D384)</f>
        <v>164.84327340020931</v>
      </c>
      <c r="G384">
        <f ca="1">_xlfn.STDEV.P($C$2:C384)</f>
        <v>6.2458493727463944</v>
      </c>
      <c r="H384">
        <f t="shared" ca="1" si="106"/>
        <v>171.0891227729557</v>
      </c>
      <c r="I384">
        <f t="shared" ca="1" si="107"/>
        <v>158.59742402746292</v>
      </c>
      <c r="J384">
        <f t="shared" ca="1" si="116"/>
        <v>159.1705</v>
      </c>
      <c r="K384">
        <f t="shared" ca="1" si="117"/>
        <v>1.8216374213154616</v>
      </c>
      <c r="L384">
        <f t="shared" ca="1" si="118"/>
        <v>162.81377484263092</v>
      </c>
      <c r="M384">
        <f t="shared" ca="1" si="119"/>
        <v>155.52722515736909</v>
      </c>
      <c r="N384">
        <f t="shared" ca="1" si="108"/>
        <v>-3.2900000000000205</v>
      </c>
      <c r="O384">
        <f t="shared" ca="1" si="109"/>
        <v>0</v>
      </c>
      <c r="P384">
        <f t="shared" ca="1" si="110"/>
        <v>3.2900000000000205</v>
      </c>
      <c r="Q384">
        <f t="shared" ca="1" si="114"/>
        <v>0.4058288252452949</v>
      </c>
      <c r="R384">
        <f t="shared" ca="1" si="115"/>
        <v>0.88560367374543258</v>
      </c>
      <c r="S384">
        <f t="shared" ca="1" si="112"/>
        <v>0.45825106340056881</v>
      </c>
      <c r="T384">
        <f t="shared" ca="1" si="113"/>
        <v>31.424702844512254</v>
      </c>
      <c r="U384">
        <f>70</f>
        <v>70</v>
      </c>
      <c r="V384">
        <f>30</f>
        <v>30</v>
      </c>
      <c r="W384">
        <f t="shared" ca="1" si="111"/>
        <v>158.32645726510864</v>
      </c>
      <c r="X384">
        <f t="shared" ca="1" si="121"/>
        <v>159.91231370362306</v>
      </c>
      <c r="Y384">
        <f t="shared" ca="1" si="120"/>
        <v>-1.9188152305989092</v>
      </c>
      <c r="Z384">
        <f t="shared" ca="1" si="122"/>
        <v>-1.3347685590990326</v>
      </c>
      <c r="AA384">
        <f t="shared" ca="1" si="123"/>
        <v>-0.58404667149987666</v>
      </c>
      <c r="AB384">
        <f t="shared" ca="1" si="124"/>
        <v>164.83190000000002</v>
      </c>
    </row>
    <row r="385" spans="1:28" x14ac:dyDescent="0.25">
      <c r="A385" s="20">
        <f t="shared" ca="1" si="104"/>
        <v>45852</v>
      </c>
      <c r="B385" vm="1119">
        <f ca="1"/>
        <v>45853</v>
      </c>
      <c r="C385" vm="1120">
        <f ca="1"/>
        <v>152.68</v>
      </c>
      <c r="D385" vm="1121">
        <f ca="1"/>
        <v>9142615</v>
      </c>
      <c r="E385">
        <f t="shared" ca="1" si="105"/>
        <v>1395894458.2</v>
      </c>
      <c r="F385">
        <f ca="1">SUM($E$2:E385)/SUM($D$2:D385)</f>
        <v>164.80330338582442</v>
      </c>
      <c r="G385">
        <f ca="1">_xlfn.STDEV.P($C$2:C385)</f>
        <v>6.2696840407892207</v>
      </c>
      <c r="H385">
        <f t="shared" ca="1" si="106"/>
        <v>171.07298742661365</v>
      </c>
      <c r="I385">
        <f t="shared" ca="1" si="107"/>
        <v>158.53361934503519</v>
      </c>
      <c r="J385">
        <f t="shared" ca="1" si="116"/>
        <v>158.79050000000001</v>
      </c>
      <c r="K385">
        <f t="shared" ca="1" si="117"/>
        <v>2.3062443267652371</v>
      </c>
      <c r="L385">
        <f t="shared" ca="1" si="118"/>
        <v>163.40298865353049</v>
      </c>
      <c r="M385">
        <f t="shared" ca="1" si="119"/>
        <v>154.17801134646953</v>
      </c>
      <c r="N385">
        <f t="shared" ca="1" si="108"/>
        <v>-1.0799999999999841</v>
      </c>
      <c r="O385">
        <f t="shared" ca="1" si="109"/>
        <v>0</v>
      </c>
      <c r="P385">
        <f t="shared" ca="1" si="110"/>
        <v>1.0799999999999841</v>
      </c>
      <c r="Q385">
        <f t="shared" ca="1" si="114"/>
        <v>0.37684105201348811</v>
      </c>
      <c r="R385">
        <f t="shared" ca="1" si="115"/>
        <v>0.89948912562075767</v>
      </c>
      <c r="S385">
        <f t="shared" ca="1" si="112"/>
        <v>0.41895009209079836</v>
      </c>
      <c r="T385">
        <f t="shared" ca="1" si="113"/>
        <v>29.525357828017945</v>
      </c>
      <c r="U385">
        <f>70</f>
        <v>70</v>
      </c>
      <c r="V385">
        <f>30</f>
        <v>30</v>
      </c>
      <c r="W385">
        <f t="shared" ca="1" si="111"/>
        <v>157.45777153201502</v>
      </c>
      <c r="X385">
        <f t="shared" ca="1" si="121"/>
        <v>159.37658676261393</v>
      </c>
      <c r="Y385">
        <f t="shared" ca="1" si="120"/>
        <v>-2.0740528570970298</v>
      </c>
      <c r="Z385">
        <f t="shared" ca="1" si="122"/>
        <v>-1.4826254186986321</v>
      </c>
      <c r="AA385">
        <f t="shared" ca="1" si="123"/>
        <v>-0.59142743839839773</v>
      </c>
      <c r="AB385">
        <f t="shared" ca="1" si="124"/>
        <v>164.69380000000004</v>
      </c>
    </row>
    <row r="386" spans="1:28" x14ac:dyDescent="0.25">
      <c r="A386" s="20">
        <f t="shared" ca="1" si="104"/>
        <v>45852</v>
      </c>
      <c r="B386" vm="1122">
        <f ca="1"/>
        <v>45854</v>
      </c>
      <c r="C386" vm="1123">
        <f ca="1"/>
        <v>153.72999999999999</v>
      </c>
      <c r="D386" vm="1124">
        <f ca="1"/>
        <v>8478997</v>
      </c>
      <c r="E386">
        <f t="shared" ca="1" si="105"/>
        <v>1303476208.8099999</v>
      </c>
      <c r="F386">
        <f ca="1">SUM($E$2:E386)/SUM($D$2:D386)</f>
        <v>164.76965892741671</v>
      </c>
      <c r="G386">
        <f ca="1">_xlfn.STDEV.P($C$2:C386)</f>
        <v>6.2880161709798132</v>
      </c>
      <c r="H386">
        <f t="shared" ca="1" si="106"/>
        <v>171.05767509839652</v>
      </c>
      <c r="I386">
        <f t="shared" ca="1" si="107"/>
        <v>158.48164275643691</v>
      </c>
      <c r="J386">
        <f t="shared" ca="1" si="116"/>
        <v>158.43299999999999</v>
      </c>
      <c r="K386">
        <f t="shared" ca="1" si="117"/>
        <v>2.5104310806166983</v>
      </c>
      <c r="L386">
        <f t="shared" ca="1" si="118"/>
        <v>163.45386216123339</v>
      </c>
      <c r="M386">
        <f t="shared" ca="1" si="119"/>
        <v>153.4121378387666</v>
      </c>
      <c r="N386">
        <f t="shared" ca="1" si="108"/>
        <v>1.0499999999999829</v>
      </c>
      <c r="O386">
        <f t="shared" ca="1" si="109"/>
        <v>1.0499999999999829</v>
      </c>
      <c r="P386">
        <f t="shared" ca="1" si="110"/>
        <v>0</v>
      </c>
      <c r="Q386">
        <f t="shared" ca="1" si="114"/>
        <v>0.42492383401252348</v>
      </c>
      <c r="R386">
        <f t="shared" ca="1" si="115"/>
        <v>0.83523990236213208</v>
      </c>
      <c r="S386">
        <f t="shared" ca="1" si="112"/>
        <v>0.50874465265704072</v>
      </c>
      <c r="T386">
        <f t="shared" ca="1" si="113"/>
        <v>33.719731948086363</v>
      </c>
      <c r="U386">
        <f>70</f>
        <v>70</v>
      </c>
      <c r="V386">
        <f>30</f>
        <v>30</v>
      </c>
      <c r="W386">
        <f t="shared" ca="1" si="111"/>
        <v>156.88426821939734</v>
      </c>
      <c r="X386">
        <f t="shared" ca="1" si="121"/>
        <v>158.95832107649437</v>
      </c>
      <c r="Y386">
        <f t="shared" ca="1" si="120"/>
        <v>-2.0212726173779458</v>
      </c>
      <c r="Z386">
        <f t="shared" ca="1" si="122"/>
        <v>-1.5903548584344949</v>
      </c>
      <c r="AA386">
        <f t="shared" ca="1" si="123"/>
        <v>-0.43091775894345097</v>
      </c>
      <c r="AB386">
        <f t="shared" ca="1" si="124"/>
        <v>164.55900000000005</v>
      </c>
    </row>
    <row r="387" spans="1:28" x14ac:dyDescent="0.25">
      <c r="A387" s="20">
        <f t="shared" ref="A387:A450" ca="1" si="125">B387 - WEEKDAY(B387, 2) + 1</f>
        <v>45852</v>
      </c>
      <c r="B387" vm="1125">
        <f ca="1"/>
        <v>45855</v>
      </c>
      <c r="C387" vm="49">
        <f ca="1"/>
        <v>155.62</v>
      </c>
      <c r="D387" vm="1126">
        <f ca="1"/>
        <v>8319996</v>
      </c>
      <c r="E387">
        <f t="shared" ref="E387:E450" ca="1" si="126">C387*D387</f>
        <v>1294757777.52</v>
      </c>
      <c r="F387">
        <f ca="1">SUM($E$2:E387)/SUM($D$2:D387)</f>
        <v>164.7424615504859</v>
      </c>
      <c r="G387">
        <f ca="1">_xlfn.STDEV.P($C$2:C387)</f>
        <v>6.2980426484032366</v>
      </c>
      <c r="H387">
        <f t="shared" ref="H387:H450" ca="1" si="127">F387 + G387</f>
        <v>171.04050419888912</v>
      </c>
      <c r="I387">
        <f t="shared" ref="I387:I450" ca="1" si="128">F387 - G387</f>
        <v>158.44441890208267</v>
      </c>
      <c r="J387">
        <f t="shared" ca="1" si="116"/>
        <v>158.28800000000001</v>
      </c>
      <c r="K387">
        <f t="shared" ca="1" si="117"/>
        <v>2.58770290330816</v>
      </c>
      <c r="L387">
        <f t="shared" ca="1" si="118"/>
        <v>163.46340580661632</v>
      </c>
      <c r="M387">
        <f t="shared" ca="1" si="119"/>
        <v>153.1125941933837</v>
      </c>
      <c r="N387">
        <f t="shared" ca="1" si="108"/>
        <v>1.8900000000000148</v>
      </c>
      <c r="O387">
        <f t="shared" ca="1" si="109"/>
        <v>1.8900000000000148</v>
      </c>
      <c r="P387">
        <f t="shared" ca="1" si="110"/>
        <v>0</v>
      </c>
      <c r="Q387">
        <f t="shared" ca="1" si="114"/>
        <v>0.5295721315830586</v>
      </c>
      <c r="R387">
        <f t="shared" ca="1" si="115"/>
        <v>0.77557990933626553</v>
      </c>
      <c r="S387">
        <f t="shared" ca="1" si="112"/>
        <v>0.68280795467776079</v>
      </c>
      <c r="T387">
        <f t="shared" ca="1" si="113"/>
        <v>40.575512659049146</v>
      </c>
      <c r="U387">
        <f>70</f>
        <v>70</v>
      </c>
      <c r="V387">
        <f>30</f>
        <v>30</v>
      </c>
      <c r="W387">
        <f t="shared" ca="1" si="111"/>
        <v>156.68976541641314</v>
      </c>
      <c r="X387">
        <f t="shared" ca="1" si="121"/>
        <v>158.71103803379108</v>
      </c>
      <c r="Y387">
        <f t="shared" ca="1" si="120"/>
        <v>-1.998367613411375</v>
      </c>
      <c r="Z387">
        <f t="shared" ca="1" si="122"/>
        <v>-1.671957409429871</v>
      </c>
      <c r="AA387">
        <f t="shared" ca="1" si="123"/>
        <v>-0.326410203981504</v>
      </c>
      <c r="AB387">
        <f t="shared" ca="1" si="124"/>
        <v>164.41290000000004</v>
      </c>
    </row>
    <row r="388" spans="1:28" x14ac:dyDescent="0.25">
      <c r="A388" s="20">
        <f t="shared" ca="1" si="125"/>
        <v>45852</v>
      </c>
      <c r="B388" vm="1127">
        <f ca="1"/>
        <v>45856</v>
      </c>
      <c r="C388" vm="1128">
        <f ca="1"/>
        <v>155.1</v>
      </c>
      <c r="D388" vm="1129">
        <f ca="1"/>
        <v>7337252</v>
      </c>
      <c r="E388">
        <f t="shared" ca="1" si="126"/>
        <v>1138007785.2</v>
      </c>
      <c r="F388">
        <f ca="1">SUM($E$2:E388)/SUM($D$2:D388)</f>
        <v>164.71725093892471</v>
      </c>
      <c r="G388">
        <f ca="1">_xlfn.STDEV.P($C$2:C388)</f>
        <v>6.3099563128666425</v>
      </c>
      <c r="H388">
        <f t="shared" ca="1" si="127"/>
        <v>171.02720725179134</v>
      </c>
      <c r="I388">
        <f t="shared" ca="1" si="128"/>
        <v>158.40729462605807</v>
      </c>
      <c r="J388">
        <f t="shared" ca="1" si="116"/>
        <v>158.142</v>
      </c>
      <c r="K388">
        <f t="shared" ca="1" si="117"/>
        <v>2.6841946748757977</v>
      </c>
      <c r="L388">
        <f t="shared" ca="1" si="118"/>
        <v>163.51038934975159</v>
      </c>
      <c r="M388">
        <f t="shared" ca="1" si="119"/>
        <v>152.7736106502484</v>
      </c>
      <c r="N388">
        <f t="shared" ref="N388:N451" ca="1" si="129">C388-C387</f>
        <v>-0.52000000000001023</v>
      </c>
      <c r="O388">
        <f t="shared" ref="O388:O451" ca="1" si="130">MAX(N388,0)</f>
        <v>0</v>
      </c>
      <c r="P388">
        <f t="shared" ref="P388:P451" ca="1" si="131">MAX(-N388,0)</f>
        <v>0.52000000000001023</v>
      </c>
      <c r="Q388">
        <f t="shared" ca="1" si="114"/>
        <v>0.49174555075569731</v>
      </c>
      <c r="R388">
        <f t="shared" ca="1" si="115"/>
        <v>0.75732420152653301</v>
      </c>
      <c r="S388">
        <f t="shared" ca="1" si="112"/>
        <v>0.64931973620345063</v>
      </c>
      <c r="T388">
        <f t="shared" ca="1" si="113"/>
        <v>39.368942355477536</v>
      </c>
      <c r="U388">
        <f>70</f>
        <v>70</v>
      </c>
      <c r="V388">
        <f>30</f>
        <v>30</v>
      </c>
      <c r="W388">
        <f t="shared" ca="1" si="111"/>
        <v>156.44518612158035</v>
      </c>
      <c r="X388">
        <f t="shared" ca="1" si="121"/>
        <v>158.44355373499172</v>
      </c>
      <c r="Y388">
        <f t="shared" ca="1" si="120"/>
        <v>-1.9632327229713553</v>
      </c>
      <c r="Z388">
        <f t="shared" ca="1" si="122"/>
        <v>-1.730212472138168</v>
      </c>
      <c r="AA388">
        <f t="shared" ca="1" si="123"/>
        <v>-0.23302025083318734</v>
      </c>
      <c r="AB388">
        <f t="shared" ca="1" si="124"/>
        <v>164.25850000000005</v>
      </c>
    </row>
    <row r="389" spans="1:28" x14ac:dyDescent="0.25">
      <c r="A389" s="20">
        <f t="shared" ca="1" si="125"/>
        <v>45859</v>
      </c>
      <c r="B389" vm="1130">
        <f ca="1"/>
        <v>45859</v>
      </c>
      <c r="C389" vm="1131">
        <f ca="1"/>
        <v>155.03</v>
      </c>
      <c r="D389" vm="1132">
        <f ca="1"/>
        <v>6328370</v>
      </c>
      <c r="E389">
        <f t="shared" ca="1" si="126"/>
        <v>981087201.10000002</v>
      </c>
      <c r="F389">
        <f ca="1">SUM($E$2:E389)/SUM($D$2:D389)</f>
        <v>164.69545496926105</v>
      </c>
      <c r="G389">
        <f ca="1">_xlfn.STDEV.P($C$2:C389)</f>
        <v>6.3219656515273215</v>
      </c>
      <c r="H389">
        <f t="shared" ca="1" si="127"/>
        <v>171.01742062078836</v>
      </c>
      <c r="I389">
        <f t="shared" ca="1" si="128"/>
        <v>158.37348931773374</v>
      </c>
      <c r="J389">
        <f t="shared" ca="1" si="116"/>
        <v>157.93950000000001</v>
      </c>
      <c r="K389">
        <f t="shared" ca="1" si="117"/>
        <v>2.761365937739015</v>
      </c>
      <c r="L389">
        <f t="shared" ca="1" si="118"/>
        <v>163.46223187547804</v>
      </c>
      <c r="M389">
        <f t="shared" ca="1" si="119"/>
        <v>152.41676812452198</v>
      </c>
      <c r="N389">
        <f t="shared" ca="1" si="129"/>
        <v>-6.9999999999993179E-2</v>
      </c>
      <c r="O389">
        <f t="shared" ca="1" si="130"/>
        <v>0</v>
      </c>
      <c r="P389">
        <f t="shared" ca="1" si="131"/>
        <v>6.9999999999993179E-2</v>
      </c>
      <c r="Q389">
        <f t="shared" ca="1" si="114"/>
        <v>0.4566208685588618</v>
      </c>
      <c r="R389">
        <f t="shared" ca="1" si="115"/>
        <v>0.70822961570320875</v>
      </c>
      <c r="S389">
        <f t="shared" ca="1" si="112"/>
        <v>0.64473563154440816</v>
      </c>
      <c r="T389">
        <f t="shared" ca="1" si="113"/>
        <v>39.199955249890273</v>
      </c>
      <c r="U389">
        <f>70</f>
        <v>70</v>
      </c>
      <c r="V389">
        <f>30</f>
        <v>30</v>
      </c>
      <c r="W389">
        <f t="shared" ca="1" si="111"/>
        <v>156.22746517979874</v>
      </c>
      <c r="X389">
        <f t="shared" ca="1" si="121"/>
        <v>158.1906979027701</v>
      </c>
      <c r="Y389">
        <f t="shared" ca="1" si="120"/>
        <v>-1.6508822222224069</v>
      </c>
      <c r="Z389">
        <f t="shared" ca="1" si="122"/>
        <v>-1.714346422155016</v>
      </c>
      <c r="AA389">
        <f t="shared" ca="1" si="123"/>
        <v>6.34641999326091E-2</v>
      </c>
      <c r="AB389">
        <f t="shared" ca="1" si="124"/>
        <v>164.08230000000006</v>
      </c>
    </row>
    <row r="390" spans="1:28" x14ac:dyDescent="0.25">
      <c r="A390" s="20">
        <f t="shared" ca="1" si="125"/>
        <v>45859</v>
      </c>
      <c r="B390" vm="1133">
        <f ca="1"/>
        <v>45860</v>
      </c>
      <c r="C390" vm="1134">
        <f ca="1"/>
        <v>158.32</v>
      </c>
      <c r="D390" vm="1135">
        <f ca="1"/>
        <v>8186970</v>
      </c>
      <c r="E390">
        <f t="shared" ca="1" si="126"/>
        <v>1296161090.3999999</v>
      </c>
      <c r="F390">
        <f ca="1">SUM($E$2:E390)/SUM($D$2:D390)</f>
        <v>164.67695138462443</v>
      </c>
      <c r="G390">
        <f ca="1">_xlfn.STDEV.P($C$2:C390)</f>
        <v>6.3227557912191417</v>
      </c>
      <c r="H390">
        <f t="shared" ca="1" si="127"/>
        <v>170.99970717584358</v>
      </c>
      <c r="I390">
        <f t="shared" ca="1" si="128"/>
        <v>158.35419559340528</v>
      </c>
      <c r="J390">
        <f t="shared" ca="1" si="116"/>
        <v>157.80400000000003</v>
      </c>
      <c r="K390">
        <f t="shared" ca="1" si="117"/>
        <v>2.6665972797990305</v>
      </c>
      <c r="L390">
        <f t="shared" ca="1" si="118"/>
        <v>163.1371945595981</v>
      </c>
      <c r="M390">
        <f t="shared" ca="1" si="119"/>
        <v>152.47080544040196</v>
      </c>
      <c r="N390">
        <f t="shared" ca="1" si="129"/>
        <v>3.289999999999992</v>
      </c>
      <c r="O390">
        <f t="shared" ca="1" si="130"/>
        <v>3.289999999999992</v>
      </c>
      <c r="P390">
        <f t="shared" ca="1" si="131"/>
        <v>0</v>
      </c>
      <c r="Q390">
        <f t="shared" ca="1" si="114"/>
        <v>0.65900509223322834</v>
      </c>
      <c r="R390">
        <f t="shared" ca="1" si="115"/>
        <v>0.65764178601012246</v>
      </c>
      <c r="S390">
        <f t="shared" ca="1" si="112"/>
        <v>1.0020730225057275</v>
      </c>
      <c r="T390">
        <f t="shared" ca="1" si="113"/>
        <v>50.051771900485747</v>
      </c>
      <c r="U390">
        <f>70</f>
        <v>70</v>
      </c>
      <c r="V390">
        <f>30</f>
        <v>30</v>
      </c>
      <c r="W390">
        <f t="shared" ca="1" si="111"/>
        <v>156.54939361367585</v>
      </c>
      <c r="X390">
        <f t="shared" ca="1" si="121"/>
        <v>158.20027583589825</v>
      </c>
      <c r="Y390">
        <f t="shared" ca="1" si="120"/>
        <v>-1.3905405795020158</v>
      </c>
      <c r="Z390">
        <f t="shared" ca="1" si="122"/>
        <v>-1.6495852536244162</v>
      </c>
      <c r="AA390">
        <f t="shared" ca="1" si="123"/>
        <v>0.2590446741224004</v>
      </c>
      <c r="AB390">
        <f t="shared" ca="1" si="124"/>
        <v>163.95250000000007</v>
      </c>
    </row>
    <row r="391" spans="1:28" x14ac:dyDescent="0.25">
      <c r="A391" s="20">
        <f t="shared" ca="1" si="125"/>
        <v>45859</v>
      </c>
      <c r="B391" vm="1136">
        <f ca="1"/>
        <v>45861</v>
      </c>
      <c r="C391" vm="1137">
        <f ca="1"/>
        <v>158.28</v>
      </c>
      <c r="D391" vm="1138">
        <f ca="1"/>
        <v>4804795</v>
      </c>
      <c r="E391">
        <f t="shared" ca="1" si="126"/>
        <v>760502952.60000002</v>
      </c>
      <c r="F391">
        <f ca="1">SUM($E$2:E391)/SUM($D$2:D391)</f>
        <v>164.66607385464044</v>
      </c>
      <c r="G391">
        <f ca="1">_xlfn.STDEV.P($C$2:C391)</f>
        <v>6.3236035044422092</v>
      </c>
      <c r="H391">
        <f t="shared" ca="1" si="127"/>
        <v>170.98967735908266</v>
      </c>
      <c r="I391">
        <f t="shared" ca="1" si="128"/>
        <v>158.34247035019823</v>
      </c>
      <c r="J391">
        <f t="shared" ca="1" si="116"/>
        <v>157.69999999999999</v>
      </c>
      <c r="K391">
        <f t="shared" ca="1" si="117"/>
        <v>2.6014287572307979</v>
      </c>
      <c r="L391">
        <f t="shared" ca="1" si="118"/>
        <v>162.90285751446157</v>
      </c>
      <c r="M391">
        <f t="shared" ca="1" si="119"/>
        <v>152.4971424855384</v>
      </c>
      <c r="N391">
        <f t="shared" ca="1" si="129"/>
        <v>-3.9999999999992042E-2</v>
      </c>
      <c r="O391">
        <f t="shared" ca="1" si="130"/>
        <v>0</v>
      </c>
      <c r="P391">
        <f t="shared" ca="1" si="131"/>
        <v>3.9999999999992042E-2</v>
      </c>
      <c r="Q391">
        <f t="shared" ca="1" si="114"/>
        <v>0.61193329993085488</v>
      </c>
      <c r="R391">
        <f t="shared" ca="1" si="115"/>
        <v>0.61352451558082743</v>
      </c>
      <c r="S391">
        <f t="shared" ca="1" si="112"/>
        <v>0.99740643509825166</v>
      </c>
      <c r="T391">
        <f t="shared" ca="1" si="113"/>
        <v>49.935076686042102</v>
      </c>
      <c r="U391">
        <f>70</f>
        <v>70</v>
      </c>
      <c r="V391">
        <f>30</f>
        <v>30</v>
      </c>
      <c r="W391">
        <f t="shared" ca="1" si="111"/>
        <v>156.8156407500334</v>
      </c>
      <c r="X391">
        <f t="shared" ca="1" si="121"/>
        <v>158.20618132953541</v>
      </c>
      <c r="Y391">
        <f t="shared" ca="1" si="120"/>
        <v>-1.1284433884304406</v>
      </c>
      <c r="Z391">
        <f t="shared" ca="1" si="122"/>
        <v>-1.5453568805856213</v>
      </c>
      <c r="AA391">
        <f t="shared" ca="1" si="123"/>
        <v>0.4169134921551807</v>
      </c>
      <c r="AB391">
        <f t="shared" ca="1" si="124"/>
        <v>163.81560000000007</v>
      </c>
    </row>
    <row r="392" spans="1:28" x14ac:dyDescent="0.25">
      <c r="A392" s="20">
        <f t="shared" ca="1" si="125"/>
        <v>45859</v>
      </c>
      <c r="B392" vm="1139">
        <f ca="1"/>
        <v>45862</v>
      </c>
      <c r="C392" vm="1140">
        <f ca="1"/>
        <v>158.81</v>
      </c>
      <c r="D392" vm="1141">
        <f ca="1"/>
        <v>7027392</v>
      </c>
      <c r="E392">
        <f t="shared" ca="1" si="126"/>
        <v>1116020123.52</v>
      </c>
      <c r="F392">
        <f ca="1">SUM($E$2:E392)/SUM($D$2:D392)</f>
        <v>164.65154590419777</v>
      </c>
      <c r="G392">
        <f ca="1">_xlfn.STDEV.P($C$2:C392)</f>
        <v>6.3230388204803347</v>
      </c>
      <c r="H392">
        <f t="shared" ca="1" si="127"/>
        <v>170.9745847246781</v>
      </c>
      <c r="I392">
        <f t="shared" ca="1" si="128"/>
        <v>158.32850708371745</v>
      </c>
      <c r="J392">
        <f t="shared" ca="1" si="116"/>
        <v>157.69200000000001</v>
      </c>
      <c r="K392">
        <f t="shared" ca="1" si="117"/>
        <v>2.5975607991466076</v>
      </c>
      <c r="L392">
        <f t="shared" ca="1" si="118"/>
        <v>162.88712159829322</v>
      </c>
      <c r="M392">
        <f t="shared" ca="1" si="119"/>
        <v>152.49687840170679</v>
      </c>
      <c r="N392">
        <f t="shared" ca="1" si="129"/>
        <v>0.53000000000000114</v>
      </c>
      <c r="O392">
        <f t="shared" ca="1" si="130"/>
        <v>0.53000000000000114</v>
      </c>
      <c r="P392">
        <f t="shared" ca="1" si="131"/>
        <v>0</v>
      </c>
      <c r="Q392">
        <f t="shared" ca="1" si="114"/>
        <v>0.60608092136436531</v>
      </c>
      <c r="R392">
        <f t="shared" ca="1" si="115"/>
        <v>0.56970133589648264</v>
      </c>
      <c r="S392">
        <f t="shared" ca="1" si="112"/>
        <v>1.0638572935951356</v>
      </c>
      <c r="T392">
        <f t="shared" ca="1" si="113"/>
        <v>51.547037525155126</v>
      </c>
      <c r="U392">
        <f>70</f>
        <v>70</v>
      </c>
      <c r="V392">
        <f>30</f>
        <v>30</v>
      </c>
      <c r="W392">
        <f t="shared" ca="1" si="111"/>
        <v>157.12246525002826</v>
      </c>
      <c r="X392">
        <f t="shared" ca="1" si="121"/>
        <v>158.2509086384587</v>
      </c>
      <c r="Y392">
        <f t="shared" ca="1" si="120"/>
        <v>-0.9509205932783118</v>
      </c>
      <c r="Z392">
        <f t="shared" ca="1" si="122"/>
        <v>-1.4264696231241594</v>
      </c>
      <c r="AA392">
        <f t="shared" ca="1" si="123"/>
        <v>0.47554902984584757</v>
      </c>
      <c r="AB392">
        <f t="shared" ca="1" si="124"/>
        <v>163.66530000000006</v>
      </c>
    </row>
    <row r="393" spans="1:28" x14ac:dyDescent="0.25">
      <c r="A393" s="20">
        <f t="shared" ca="1" si="125"/>
        <v>45859</v>
      </c>
      <c r="B393" vm="1142">
        <f ca="1"/>
        <v>45863</v>
      </c>
      <c r="C393" vm="1143">
        <f ca="1"/>
        <v>158.30000000000001</v>
      </c>
      <c r="D393" vm="1144">
        <f ca="1"/>
        <v>5800248</v>
      </c>
      <c r="E393">
        <f t="shared" ca="1" si="126"/>
        <v>918179258.4000001</v>
      </c>
      <c r="F393">
        <f ca="1">SUM($E$2:E393)/SUM($D$2:D393)</f>
        <v>164.63856690318821</v>
      </c>
      <c r="G393">
        <f ca="1">_xlfn.STDEV.P($C$2:C393)</f>
        <v>6.3237410900848348</v>
      </c>
      <c r="H393">
        <f t="shared" ca="1" si="127"/>
        <v>170.96230799327304</v>
      </c>
      <c r="I393">
        <f t="shared" ca="1" si="128"/>
        <v>158.31482581310337</v>
      </c>
      <c r="J393">
        <f t="shared" ca="1" si="116"/>
        <v>157.6755</v>
      </c>
      <c r="K393">
        <f t="shared" ca="1" si="117"/>
        <v>2.5923317587393067</v>
      </c>
      <c r="L393">
        <f t="shared" ca="1" si="118"/>
        <v>162.86016351747861</v>
      </c>
      <c r="M393">
        <f t="shared" ca="1" si="119"/>
        <v>152.49083648252139</v>
      </c>
      <c r="N393">
        <f t="shared" ca="1" si="129"/>
        <v>-0.50999999999999091</v>
      </c>
      <c r="O393">
        <f t="shared" ca="1" si="130"/>
        <v>0</v>
      </c>
      <c r="P393">
        <f t="shared" ca="1" si="131"/>
        <v>0.50999999999999091</v>
      </c>
      <c r="Q393">
        <f t="shared" ca="1" si="114"/>
        <v>0.56278942698119638</v>
      </c>
      <c r="R393">
        <f t="shared" ca="1" si="115"/>
        <v>0.56543695476101896</v>
      </c>
      <c r="S393">
        <f t="shared" ca="1" si="112"/>
        <v>0.99531773125627854</v>
      </c>
      <c r="T393">
        <f t="shared" ca="1" si="113"/>
        <v>49.882668592816714</v>
      </c>
      <c r="U393">
        <f>70</f>
        <v>70</v>
      </c>
      <c r="V393">
        <f>30</f>
        <v>30</v>
      </c>
      <c r="W393">
        <f t="shared" ca="1" si="111"/>
        <v>157.3036244423316</v>
      </c>
      <c r="X393">
        <f t="shared" ca="1" si="121"/>
        <v>158.25454503560991</v>
      </c>
      <c r="Y393">
        <f t="shared" ca="1" si="120"/>
        <v>-0.89592785527275964</v>
      </c>
      <c r="Z393">
        <f t="shared" ca="1" si="122"/>
        <v>-1.3203612695538796</v>
      </c>
      <c r="AA393">
        <f t="shared" ca="1" si="123"/>
        <v>0.42443341428111991</v>
      </c>
      <c r="AB393">
        <f t="shared" ca="1" si="124"/>
        <v>163.49240000000006</v>
      </c>
    </row>
    <row r="394" spans="1:28" x14ac:dyDescent="0.25">
      <c r="A394" s="20">
        <f t="shared" ca="1" si="125"/>
        <v>45866</v>
      </c>
      <c r="B394" vm="1145">
        <f ca="1"/>
        <v>45866</v>
      </c>
      <c r="C394" vm="85">
        <f ca="1"/>
        <v>157.11000000000001</v>
      </c>
      <c r="D394" vm="1146">
        <f ca="1"/>
        <v>7885026</v>
      </c>
      <c r="E394">
        <f t="shared" ca="1" si="126"/>
        <v>1238816434.8600001</v>
      </c>
      <c r="F394">
        <f ca="1">SUM($E$2:E394)/SUM($D$2:D394)</f>
        <v>164.61771114672422</v>
      </c>
      <c r="G394">
        <f ca="1">_xlfn.STDEV.P($C$2:C394)</f>
        <v>6.3278227836973127</v>
      </c>
      <c r="H394">
        <f t="shared" ca="1" si="127"/>
        <v>170.94553393042153</v>
      </c>
      <c r="I394">
        <f t="shared" ca="1" si="128"/>
        <v>158.2898883630269</v>
      </c>
      <c r="J394">
        <f t="shared" ca="1" si="116"/>
        <v>157.53800000000004</v>
      </c>
      <c r="K394">
        <f t="shared" ca="1" si="117"/>
        <v>2.5428239585568111</v>
      </c>
      <c r="L394">
        <f t="shared" ca="1" si="118"/>
        <v>162.62364791711366</v>
      </c>
      <c r="M394">
        <f t="shared" ca="1" si="119"/>
        <v>152.45235208288642</v>
      </c>
      <c r="N394">
        <f t="shared" ca="1" si="129"/>
        <v>-1.1899999999999977</v>
      </c>
      <c r="O394">
        <f t="shared" ca="1" si="130"/>
        <v>0</v>
      </c>
      <c r="P394">
        <f t="shared" ca="1" si="131"/>
        <v>1.1899999999999977</v>
      </c>
      <c r="Q394">
        <f t="shared" ca="1" si="114"/>
        <v>0.52259018219682518</v>
      </c>
      <c r="R394">
        <f t="shared" ca="1" si="115"/>
        <v>0.61004860084951751</v>
      </c>
      <c r="S394">
        <f t="shared" ca="1" si="112"/>
        <v>0.85663696543045431</v>
      </c>
      <c r="T394">
        <f t="shared" ca="1" si="113"/>
        <v>46.13917429096572</v>
      </c>
      <c r="U394">
        <f>70</f>
        <v>70</v>
      </c>
      <c r="V394">
        <f>30</f>
        <v>30</v>
      </c>
      <c r="W394">
        <f t="shared" ca="1" si="111"/>
        <v>157.27383606658827</v>
      </c>
      <c r="X394">
        <f t="shared" ca="1" si="121"/>
        <v>158.16976392186103</v>
      </c>
      <c r="Y394">
        <f t="shared" ca="1" si="120"/>
        <v>-0.88251841261572395</v>
      </c>
      <c r="Z394">
        <f t="shared" ca="1" si="122"/>
        <v>-1.2327926981662485</v>
      </c>
      <c r="AA394">
        <f t="shared" ca="1" si="123"/>
        <v>0.35027428555052453</v>
      </c>
      <c r="AB394">
        <f t="shared" ca="1" si="124"/>
        <v>163.33170000000004</v>
      </c>
    </row>
    <row r="395" spans="1:28" x14ac:dyDescent="0.25">
      <c r="A395" s="20">
        <f t="shared" ca="1" si="125"/>
        <v>45866</v>
      </c>
      <c r="B395" vm="1147">
        <f ca="1"/>
        <v>45867</v>
      </c>
      <c r="C395" vm="1148">
        <f ca="1"/>
        <v>156.61000000000001</v>
      </c>
      <c r="D395" vm="1149">
        <f ca="1"/>
        <v>11466058</v>
      </c>
      <c r="E395">
        <f t="shared" ca="1" si="126"/>
        <v>1795699343.3800001</v>
      </c>
      <c r="F395">
        <f ca="1">SUM($E$2:E395)/SUM($D$2:D395)</f>
        <v>164.58558289671387</v>
      </c>
      <c r="G395">
        <f ca="1">_xlfn.STDEV.P($C$2:C395)</f>
        <v>6.3334197997092883</v>
      </c>
      <c r="H395">
        <f t="shared" ca="1" si="127"/>
        <v>170.91900269642315</v>
      </c>
      <c r="I395">
        <f t="shared" ca="1" si="128"/>
        <v>158.2521630970046</v>
      </c>
      <c r="J395">
        <f t="shared" ca="1" si="116"/>
        <v>157.40250000000006</v>
      </c>
      <c r="K395">
        <f t="shared" ca="1" si="117"/>
        <v>2.5149194294931414</v>
      </c>
      <c r="L395">
        <f t="shared" ca="1" si="118"/>
        <v>162.43233885898636</v>
      </c>
      <c r="M395">
        <f t="shared" ca="1" si="119"/>
        <v>152.37266114101377</v>
      </c>
      <c r="N395">
        <f t="shared" ca="1" si="129"/>
        <v>-0.5</v>
      </c>
      <c r="O395">
        <f t="shared" ca="1" si="130"/>
        <v>0</v>
      </c>
      <c r="P395">
        <f t="shared" ca="1" si="131"/>
        <v>0.5</v>
      </c>
      <c r="Q395">
        <f t="shared" ca="1" si="114"/>
        <v>0.48526231203990911</v>
      </c>
      <c r="R395">
        <f t="shared" ca="1" si="115"/>
        <v>0.60218798650312344</v>
      </c>
      <c r="S395">
        <f t="shared" ca="1" si="112"/>
        <v>0.80583193772729333</v>
      </c>
      <c r="T395">
        <f t="shared" ca="1" si="113"/>
        <v>44.623861218307106</v>
      </c>
      <c r="U395">
        <f>70</f>
        <v>70</v>
      </c>
      <c r="V395">
        <f>30</f>
        <v>30</v>
      </c>
      <c r="W395">
        <f t="shared" ca="1" si="111"/>
        <v>157.17170744095932</v>
      </c>
      <c r="X395">
        <f t="shared" ca="1" si="121"/>
        <v>158.05422585357505</v>
      </c>
      <c r="Y395">
        <f t="shared" ca="1" si="120"/>
        <v>-1.1595051066865381</v>
      </c>
      <c r="Z395">
        <f t="shared" ca="1" si="122"/>
        <v>-1.2181351798703064</v>
      </c>
      <c r="AA395">
        <f t="shared" ca="1" si="123"/>
        <v>5.8630073183768339E-2</v>
      </c>
      <c r="AB395">
        <f t="shared" ca="1" si="124"/>
        <v>163.15170000000006</v>
      </c>
    </row>
    <row r="396" spans="1:28" x14ac:dyDescent="0.25">
      <c r="A396" s="20">
        <f t="shared" ca="1" si="125"/>
        <v>45866</v>
      </c>
      <c r="B396" vm="1150">
        <f ca="1"/>
        <v>45868</v>
      </c>
      <c r="C396" vm="1151">
        <f ca="1"/>
        <v>152.88</v>
      </c>
      <c r="D396" vm="1152">
        <f ca="1"/>
        <v>8162888</v>
      </c>
      <c r="E396">
        <f t="shared" ca="1" si="126"/>
        <v>1247942317.4400001</v>
      </c>
      <c r="F396">
        <f ca="1">SUM($E$2:E396)/SUM($D$2:D396)</f>
        <v>164.55224311899377</v>
      </c>
      <c r="G396">
        <f ca="1">_xlfn.STDEV.P($C$2:C396)</f>
        <v>6.3539026469044018</v>
      </c>
      <c r="H396">
        <f t="shared" ca="1" si="127"/>
        <v>170.90614576589817</v>
      </c>
      <c r="I396">
        <f t="shared" ca="1" si="128"/>
        <v>158.19834047208937</v>
      </c>
      <c r="J396">
        <f t="shared" ca="1" si="116"/>
        <v>156.98550000000003</v>
      </c>
      <c r="K396">
        <f t="shared" ca="1" si="117"/>
        <v>2.5399284594152207</v>
      </c>
      <c r="L396">
        <f t="shared" ca="1" si="118"/>
        <v>162.06535691883047</v>
      </c>
      <c r="M396">
        <f t="shared" ca="1" si="119"/>
        <v>151.90564308116959</v>
      </c>
      <c r="N396">
        <f t="shared" ca="1" si="129"/>
        <v>-3.7300000000000182</v>
      </c>
      <c r="O396">
        <f t="shared" ca="1" si="130"/>
        <v>0</v>
      </c>
      <c r="P396">
        <f t="shared" ca="1" si="131"/>
        <v>3.7300000000000182</v>
      </c>
      <c r="Q396">
        <f t="shared" ca="1" si="114"/>
        <v>0.45060071832277276</v>
      </c>
      <c r="R396">
        <f t="shared" ca="1" si="115"/>
        <v>0.82560313032433019</v>
      </c>
      <c r="S396">
        <f t="shared" ca="1" si="112"/>
        <v>0.54578368440264835</v>
      </c>
      <c r="T396">
        <f t="shared" ca="1" si="113"/>
        <v>35.307895270841911</v>
      </c>
      <c r="U396">
        <f>70</f>
        <v>70</v>
      </c>
      <c r="V396">
        <f>30</f>
        <v>30</v>
      </c>
      <c r="W396">
        <f t="shared" ca="1" si="111"/>
        <v>156.51144475773481</v>
      </c>
      <c r="X396">
        <f t="shared" ca="1" si="121"/>
        <v>157.67094986442135</v>
      </c>
      <c r="Y396">
        <f t="shared" ca="1" si="120"/>
        <v>-1.555554452677228</v>
      </c>
      <c r="Z396">
        <f t="shared" ca="1" si="122"/>
        <v>-1.2856190344316909</v>
      </c>
      <c r="AA396">
        <f t="shared" ca="1" si="123"/>
        <v>-0.26993541824553713</v>
      </c>
      <c r="AB396">
        <f t="shared" ca="1" si="124"/>
        <v>162.93390000000005</v>
      </c>
    </row>
    <row r="397" spans="1:28" x14ac:dyDescent="0.25">
      <c r="A397" s="20">
        <f t="shared" ca="1" si="125"/>
        <v>45866</v>
      </c>
      <c r="B397" vm="1153">
        <f ca="1"/>
        <v>45869</v>
      </c>
      <c r="C397" vm="1154">
        <f ca="1"/>
        <v>150.47</v>
      </c>
      <c r="D397" vm="1155">
        <f ca="1"/>
        <v>11845443</v>
      </c>
      <c r="E397">
        <f t="shared" ca="1" si="126"/>
        <v>1782383808.21</v>
      </c>
      <c r="F397">
        <f ca="1">SUM($E$2:E397)/SUM($D$2:D397)</f>
        <v>164.49427920890099</v>
      </c>
      <c r="G397">
        <f ca="1">_xlfn.STDEV.P($C$2:C397)</f>
        <v>6.386574065165366</v>
      </c>
      <c r="H397">
        <f t="shared" ca="1" si="127"/>
        <v>170.88085327406637</v>
      </c>
      <c r="I397">
        <f t="shared" ca="1" si="128"/>
        <v>158.10770514373561</v>
      </c>
      <c r="J397">
        <f t="shared" ca="1" si="116"/>
        <v>156.44900000000001</v>
      </c>
      <c r="K397">
        <f t="shared" ca="1" si="117"/>
        <v>2.7290501528631026</v>
      </c>
      <c r="L397">
        <f t="shared" ca="1" si="118"/>
        <v>161.9071003057262</v>
      </c>
      <c r="M397">
        <f t="shared" ca="1" si="119"/>
        <v>150.99089969427382</v>
      </c>
      <c r="N397">
        <f t="shared" ca="1" si="129"/>
        <v>-2.4099999999999966</v>
      </c>
      <c r="O397">
        <f t="shared" ca="1" si="130"/>
        <v>0</v>
      </c>
      <c r="P397">
        <f t="shared" ca="1" si="131"/>
        <v>2.4099999999999966</v>
      </c>
      <c r="Q397">
        <f t="shared" ca="1" si="114"/>
        <v>0.41841495272828899</v>
      </c>
      <c r="R397">
        <f t="shared" ca="1" si="115"/>
        <v>0.9387743353011635</v>
      </c>
      <c r="S397">
        <f t="shared" ca="1" si="112"/>
        <v>0.44570344223786157</v>
      </c>
      <c r="T397">
        <f t="shared" ca="1" si="113"/>
        <v>30.829520717467446</v>
      </c>
      <c r="U397">
        <f>70</f>
        <v>70</v>
      </c>
      <c r="V397">
        <f>30</f>
        <v>30</v>
      </c>
      <c r="W397">
        <f t="shared" ca="1" si="111"/>
        <v>155.58199171808329</v>
      </c>
      <c r="X397">
        <f t="shared" ca="1" si="121"/>
        <v>157.13754617076052</v>
      </c>
      <c r="Y397">
        <f t="shared" ca="1" si="120"/>
        <v>-1.833763433693548</v>
      </c>
      <c r="Z397">
        <f t="shared" ca="1" si="122"/>
        <v>-1.3952479142840624</v>
      </c>
      <c r="AA397">
        <f t="shared" ca="1" si="123"/>
        <v>-0.43851551940948563</v>
      </c>
      <c r="AB397">
        <f t="shared" ca="1" si="124"/>
        <v>162.67910000000003</v>
      </c>
    </row>
    <row r="398" spans="1:28" x14ac:dyDescent="0.25">
      <c r="A398" s="20">
        <f t="shared" ca="1" si="125"/>
        <v>45866</v>
      </c>
      <c r="B398" vm="1156">
        <f ca="1"/>
        <v>45870</v>
      </c>
      <c r="C398" vm="1157">
        <f ca="1"/>
        <v>150.65</v>
      </c>
      <c r="D398" vm="1158">
        <f ca="1"/>
        <v>8594220</v>
      </c>
      <c r="E398">
        <f t="shared" ca="1" si="126"/>
        <v>1294719243</v>
      </c>
      <c r="F398">
        <f ca="1">SUM($E$2:E398)/SUM($D$2:D398)</f>
        <v>164.45305841784548</v>
      </c>
      <c r="G398">
        <f ca="1">_xlfn.STDEV.P($C$2:C398)</f>
        <v>6.41771121922985</v>
      </c>
      <c r="H398">
        <f t="shared" ca="1" si="127"/>
        <v>170.87076963707534</v>
      </c>
      <c r="I398">
        <f t="shared" ca="1" si="128"/>
        <v>158.03534719861563</v>
      </c>
      <c r="J398">
        <f t="shared" ca="1" si="116"/>
        <v>155.94000000000003</v>
      </c>
      <c r="K398">
        <f t="shared" ca="1" si="117"/>
        <v>2.8168683619262476</v>
      </c>
      <c r="L398">
        <f t="shared" ca="1" si="118"/>
        <v>161.57373672385253</v>
      </c>
      <c r="M398">
        <f t="shared" ca="1" si="119"/>
        <v>150.30626327614752</v>
      </c>
      <c r="N398">
        <f t="shared" ca="1" si="129"/>
        <v>0.18000000000000682</v>
      </c>
      <c r="O398">
        <f t="shared" ca="1" si="130"/>
        <v>0.18000000000000682</v>
      </c>
      <c r="P398">
        <f t="shared" ca="1" si="131"/>
        <v>0</v>
      </c>
      <c r="Q398">
        <f t="shared" ca="1" si="114"/>
        <v>0.40138531324769744</v>
      </c>
      <c r="R398">
        <f t="shared" ca="1" si="115"/>
        <v>0.87171902563679471</v>
      </c>
      <c r="S398">
        <f t="shared" ca="1" si="112"/>
        <v>0.46045262457646102</v>
      </c>
      <c r="T398">
        <f t="shared" ca="1" si="113"/>
        <v>31.528076763872761</v>
      </c>
      <c r="U398">
        <f>70</f>
        <v>70</v>
      </c>
      <c r="V398">
        <f>30</f>
        <v>30</v>
      </c>
      <c r="W398">
        <f t="shared" ca="1" si="111"/>
        <v>154.8232237614551</v>
      </c>
      <c r="X398">
        <f t="shared" ca="1" si="121"/>
        <v>156.65698719514864</v>
      </c>
      <c r="Y398">
        <f t="shared" ca="1" si="120"/>
        <v>-2.0220609153024327</v>
      </c>
      <c r="Z398">
        <f t="shared" ca="1" si="122"/>
        <v>-1.5206105144877364</v>
      </c>
      <c r="AA398">
        <f t="shared" ca="1" si="123"/>
        <v>-0.50145040081469627</v>
      </c>
      <c r="AB398">
        <f t="shared" ca="1" si="124"/>
        <v>162.42300000000003</v>
      </c>
    </row>
    <row r="399" spans="1:28" x14ac:dyDescent="0.25">
      <c r="A399" s="20">
        <f t="shared" ca="1" si="125"/>
        <v>45873</v>
      </c>
      <c r="B399" vm="1159">
        <f ca="1"/>
        <v>45873</v>
      </c>
      <c r="C399" vm="1160">
        <f ca="1"/>
        <v>150.76</v>
      </c>
      <c r="D399" vm="1161">
        <f ca="1"/>
        <v>7679361</v>
      </c>
      <c r="E399">
        <f t="shared" ca="1" si="126"/>
        <v>1157740464.3599999</v>
      </c>
      <c r="F399">
        <f ca="1">SUM($E$2:E399)/SUM($D$2:D399)</f>
        <v>164.41672459111541</v>
      </c>
      <c r="G399">
        <f ca="1">_xlfn.STDEV.P($C$2:C399)</f>
        <v>6.4477476778656033</v>
      </c>
      <c r="H399">
        <f t="shared" ca="1" si="127"/>
        <v>170.86447226898102</v>
      </c>
      <c r="I399">
        <f t="shared" ca="1" si="128"/>
        <v>157.9689769132498</v>
      </c>
      <c r="J399">
        <f t="shared" ca="1" si="116"/>
        <v>155.45300000000003</v>
      </c>
      <c r="K399">
        <f t="shared" ca="1" si="117"/>
        <v>2.8289445679300735</v>
      </c>
      <c r="L399">
        <f t="shared" ca="1" si="118"/>
        <v>161.11088913586019</v>
      </c>
      <c r="M399">
        <f t="shared" ca="1" si="119"/>
        <v>149.79511086413987</v>
      </c>
      <c r="N399">
        <f t="shared" ca="1" si="129"/>
        <v>0.10999999999998522</v>
      </c>
      <c r="O399">
        <f t="shared" ca="1" si="130"/>
        <v>0.10999999999998522</v>
      </c>
      <c r="P399">
        <f t="shared" ca="1" si="131"/>
        <v>0</v>
      </c>
      <c r="Q399">
        <f t="shared" ca="1" si="114"/>
        <v>0.38057207658714659</v>
      </c>
      <c r="R399">
        <f t="shared" ca="1" si="115"/>
        <v>0.80945338094845221</v>
      </c>
      <c r="S399">
        <f t="shared" ca="1" si="112"/>
        <v>0.47015935141468296</v>
      </c>
      <c r="T399">
        <f t="shared" ca="1" si="113"/>
        <v>31.980162624022014</v>
      </c>
      <c r="U399">
        <f>70</f>
        <v>70</v>
      </c>
      <c r="V399">
        <f>30</f>
        <v>30</v>
      </c>
      <c r="W399">
        <f t="shared" ref="W399:W462" ca="1" si="132">C399*(2/(12+1)) + W398*(1-(2/(12+1)))</f>
        <v>154.19811241353892</v>
      </c>
      <c r="X399">
        <f t="shared" ca="1" si="121"/>
        <v>156.22017332884135</v>
      </c>
      <c r="Y399">
        <f t="shared" ca="1" si="120"/>
        <v>-2.1664870229412543</v>
      </c>
      <c r="Z399">
        <f t="shared" ca="1" si="122"/>
        <v>-1.6497858161784402</v>
      </c>
      <c r="AA399">
        <f t="shared" ca="1" si="123"/>
        <v>-0.51670120676281406</v>
      </c>
      <c r="AB399">
        <f t="shared" ca="1" si="124"/>
        <v>162.19940000000003</v>
      </c>
    </row>
    <row r="400" spans="1:28" x14ac:dyDescent="0.25">
      <c r="A400" s="20">
        <f t="shared" ca="1" si="125"/>
        <v>45873</v>
      </c>
      <c r="B400" vm="1162">
        <f ca="1"/>
        <v>45874</v>
      </c>
      <c r="C400" vm="23">
        <f ca="1"/>
        <v>150.51</v>
      </c>
      <c r="D400" vm="1163">
        <f ca="1"/>
        <v>6670065</v>
      </c>
      <c r="E400">
        <f t="shared" ca="1" si="126"/>
        <v>1003911483.15</v>
      </c>
      <c r="F400">
        <f ca="1">SUM($E$2:E400)/SUM($D$2:D400)</f>
        <v>164.38474736806171</v>
      </c>
      <c r="G400">
        <f ca="1">_xlfn.STDEV.P($C$2:C400)</f>
        <v>6.4786638506458472</v>
      </c>
      <c r="H400">
        <f t="shared" ca="1" si="127"/>
        <v>170.86341121870757</v>
      </c>
      <c r="I400">
        <f t="shared" ca="1" si="128"/>
        <v>157.90608351741585</v>
      </c>
      <c r="J400">
        <f t="shared" ca="1" si="116"/>
        <v>155.084</v>
      </c>
      <c r="K400">
        <f t="shared" ca="1" si="117"/>
        <v>2.9720335055134828</v>
      </c>
      <c r="L400">
        <f t="shared" ca="1" si="118"/>
        <v>161.02806701102696</v>
      </c>
      <c r="M400">
        <f t="shared" ca="1" si="119"/>
        <v>149.13993298897304</v>
      </c>
      <c r="N400">
        <f t="shared" ca="1" si="129"/>
        <v>-0.25</v>
      </c>
      <c r="O400">
        <f t="shared" ca="1" si="130"/>
        <v>0</v>
      </c>
      <c r="P400">
        <f t="shared" ca="1" si="131"/>
        <v>0.25</v>
      </c>
      <c r="Q400">
        <f t="shared" ca="1" si="114"/>
        <v>0.35338835683092185</v>
      </c>
      <c r="R400">
        <f t="shared" ca="1" si="115"/>
        <v>0.76949242516641991</v>
      </c>
      <c r="S400">
        <f t="shared" ref="S400:S463" ca="1" si="133">IF(R400=0,NA(),Q400/R400)</f>
        <v>0.45924864920469327</v>
      </c>
      <c r="T400">
        <f t="shared" ref="T400:T463" ca="1" si="134">100-(100/(1+S400))</f>
        <v>31.471582958462136</v>
      </c>
      <c r="U400">
        <f>70</f>
        <v>70</v>
      </c>
      <c r="V400">
        <f>30</f>
        <v>30</v>
      </c>
      <c r="W400">
        <f t="shared" ca="1" si="132"/>
        <v>153.63071050376368</v>
      </c>
      <c r="X400">
        <f t="shared" ca="1" si="121"/>
        <v>155.79719752670493</v>
      </c>
      <c r="Y400">
        <f t="shared" ca="1" si="120"/>
        <v>-2.0674876825108015</v>
      </c>
      <c r="Z400">
        <f t="shared" ca="1" si="122"/>
        <v>-1.7333261894449126</v>
      </c>
      <c r="AA400">
        <f t="shared" ca="1" si="123"/>
        <v>-0.33416149306588894</v>
      </c>
      <c r="AB400">
        <f t="shared" ca="1" si="124"/>
        <v>162.02080000000001</v>
      </c>
    </row>
    <row r="401" spans="1:28" x14ac:dyDescent="0.25">
      <c r="A401" s="20">
        <f t="shared" ca="1" si="125"/>
        <v>45873</v>
      </c>
      <c r="B401" vm="1164">
        <f ca="1"/>
        <v>45875</v>
      </c>
      <c r="C401" vm="1165">
        <f ca="1"/>
        <v>152.86000000000001</v>
      </c>
      <c r="D401" vm="1166">
        <f ca="1"/>
        <v>7376213</v>
      </c>
      <c r="E401">
        <f t="shared" ca="1" si="126"/>
        <v>1127527919.1800001</v>
      </c>
      <c r="F401">
        <f ca="1">SUM($E$2:E401)/SUM($D$2:D401)</f>
        <v>164.35551609370251</v>
      </c>
      <c r="G401">
        <f ca="1">_xlfn.STDEV.P($C$2:C401)</f>
        <v>6.4973848188617387</v>
      </c>
      <c r="H401">
        <f t="shared" ca="1" si="127"/>
        <v>170.85290091256425</v>
      </c>
      <c r="I401">
        <f t="shared" ca="1" si="128"/>
        <v>157.85813127484076</v>
      </c>
      <c r="J401">
        <f t="shared" ca="1" si="116"/>
        <v>154.851</v>
      </c>
      <c r="K401">
        <f t="shared" ca="1" si="117"/>
        <v>2.9536149127182436</v>
      </c>
      <c r="L401">
        <f t="shared" ca="1" si="118"/>
        <v>160.75822982543647</v>
      </c>
      <c r="M401">
        <f t="shared" ca="1" si="119"/>
        <v>148.94377017456353</v>
      </c>
      <c r="N401">
        <f t="shared" ca="1" si="129"/>
        <v>2.3500000000000227</v>
      </c>
      <c r="O401">
        <f t="shared" ca="1" si="130"/>
        <v>2.3500000000000227</v>
      </c>
      <c r="P401">
        <f t="shared" ca="1" si="131"/>
        <v>0</v>
      </c>
      <c r="Q401">
        <f t="shared" ref="Q401:Q464" ca="1" si="135">(Q400*13+O401)/14</f>
        <v>0.49600347420014329</v>
      </c>
      <c r="R401">
        <f t="shared" ref="R401:R464" ca="1" si="136">(R400*13+P401)/14</f>
        <v>0.71452868051167562</v>
      </c>
      <c r="S401">
        <f t="shared" ca="1" si="133"/>
        <v>0.69416874049751798</v>
      </c>
      <c r="T401">
        <f t="shared" ca="1" si="134"/>
        <v>40.974002406257647</v>
      </c>
      <c r="U401">
        <f>70</f>
        <v>70</v>
      </c>
      <c r="V401">
        <f>30</f>
        <v>30</v>
      </c>
      <c r="W401">
        <f t="shared" ca="1" si="132"/>
        <v>153.51213965703081</v>
      </c>
      <c r="X401">
        <f t="shared" ca="1" si="121"/>
        <v>155.57962733954162</v>
      </c>
      <c r="Y401">
        <f t="shared" ca="1" si="120"/>
        <v>-1.9161065732560303</v>
      </c>
      <c r="Z401">
        <f t="shared" ca="1" si="122"/>
        <v>-1.7698822662071361</v>
      </c>
      <c r="AA401">
        <f t="shared" ca="1" si="123"/>
        <v>-0.14622430704889422</v>
      </c>
      <c r="AB401">
        <f t="shared" ca="1" si="124"/>
        <v>161.86350000000002</v>
      </c>
    </row>
    <row r="402" spans="1:28" x14ac:dyDescent="0.25">
      <c r="A402" s="20">
        <f t="shared" ca="1" si="125"/>
        <v>45873</v>
      </c>
      <c r="B402" vm="1167">
        <f ca="1"/>
        <v>45876</v>
      </c>
      <c r="C402" vm="1168">
        <f ca="1"/>
        <v>153.49</v>
      </c>
      <c r="D402" vm="1169">
        <f ca="1"/>
        <v>6719044</v>
      </c>
      <c r="E402">
        <f t="shared" ca="1" si="126"/>
        <v>1031306063.5600001</v>
      </c>
      <c r="F402">
        <f ca="1">SUM($E$2:E402)/SUM($D$2:D402)</f>
        <v>164.33047008734903</v>
      </c>
      <c r="G402">
        <f ca="1">_xlfn.STDEV.P($C$2:C402)</f>
        <v>6.5130678707673617</v>
      </c>
      <c r="H402">
        <f t="shared" ca="1" si="127"/>
        <v>170.8435379581164</v>
      </c>
      <c r="I402">
        <f t="shared" ca="1" si="128"/>
        <v>157.81740221658166</v>
      </c>
      <c r="J402">
        <f t="shared" ca="1" si="116"/>
        <v>154.60100000000003</v>
      </c>
      <c r="K402">
        <f t="shared" ca="1" si="117"/>
        <v>2.8387634446598149</v>
      </c>
      <c r="L402">
        <f t="shared" ca="1" si="118"/>
        <v>160.27852688931966</v>
      </c>
      <c r="M402">
        <f t="shared" ca="1" si="119"/>
        <v>148.92347311068039</v>
      </c>
      <c r="N402">
        <f t="shared" ca="1" si="129"/>
        <v>0.62999999999999545</v>
      </c>
      <c r="O402">
        <f t="shared" ca="1" si="130"/>
        <v>0.62999999999999545</v>
      </c>
      <c r="P402">
        <f t="shared" ca="1" si="131"/>
        <v>0</v>
      </c>
      <c r="Q402">
        <f t="shared" ca="1" si="135"/>
        <v>0.50557465461441842</v>
      </c>
      <c r="R402">
        <f t="shared" ca="1" si="136"/>
        <v>0.66349091761798451</v>
      </c>
      <c r="S402">
        <f t="shared" ca="1" si="133"/>
        <v>0.76199182413754019</v>
      </c>
      <c r="T402">
        <f t="shared" ca="1" si="134"/>
        <v>43.246047665999804</v>
      </c>
      <c r="U402">
        <f>70</f>
        <v>70</v>
      </c>
      <c r="V402">
        <f>30</f>
        <v>30</v>
      </c>
      <c r="W402">
        <f t="shared" ca="1" si="132"/>
        <v>153.50873355594916</v>
      </c>
      <c r="X402">
        <f t="shared" ca="1" si="121"/>
        <v>155.42484012920519</v>
      </c>
      <c r="Y402">
        <f t="shared" ca="1" si="120"/>
        <v>-1.7740717261389705</v>
      </c>
      <c r="Z402">
        <f t="shared" ca="1" si="122"/>
        <v>-1.770720158193503</v>
      </c>
      <c r="AA402">
        <f t="shared" ca="1" si="123"/>
        <v>-3.3515679454674263E-3</v>
      </c>
      <c r="AB402">
        <f t="shared" ca="1" si="124"/>
        <v>161.71870000000001</v>
      </c>
    </row>
    <row r="403" spans="1:28" x14ac:dyDescent="0.25">
      <c r="A403" s="20">
        <f t="shared" ca="1" si="125"/>
        <v>45873</v>
      </c>
      <c r="B403" vm="1170">
        <f ca="1"/>
        <v>45877</v>
      </c>
      <c r="C403" vm="1171">
        <f ca="1"/>
        <v>153.51</v>
      </c>
      <c r="D403" vm="1172">
        <f ca="1"/>
        <v>5811281</v>
      </c>
      <c r="E403">
        <f t="shared" ca="1" si="126"/>
        <v>892089746.30999994</v>
      </c>
      <c r="F403">
        <f ca="1">SUM($E$2:E403)/SUM($D$2:D403)</f>
        <v>164.30894060091788</v>
      </c>
      <c r="G403">
        <f ca="1">_xlfn.STDEV.P($C$2:C403)</f>
        <v>6.5284334583677985</v>
      </c>
      <c r="H403">
        <f t="shared" ca="1" si="127"/>
        <v>170.83737405928568</v>
      </c>
      <c r="I403">
        <f t="shared" ca="1" si="128"/>
        <v>157.78050714255008</v>
      </c>
      <c r="J403">
        <f t="shared" ca="1" si="116"/>
        <v>154.42400000000004</v>
      </c>
      <c r="K403">
        <f t="shared" ca="1" si="117"/>
        <v>2.7879352858154283</v>
      </c>
      <c r="L403">
        <f t="shared" ca="1" si="118"/>
        <v>159.99987057163088</v>
      </c>
      <c r="M403">
        <f t="shared" ca="1" si="119"/>
        <v>148.84812942836919</v>
      </c>
      <c r="N403">
        <f t="shared" ca="1" si="129"/>
        <v>1.999999999998181E-2</v>
      </c>
      <c r="O403">
        <f t="shared" ca="1" si="130"/>
        <v>1.999999999998181E-2</v>
      </c>
      <c r="P403">
        <f t="shared" ca="1" si="131"/>
        <v>0</v>
      </c>
      <c r="Q403">
        <f t="shared" ca="1" si="135"/>
        <v>0.47089075071338726</v>
      </c>
      <c r="R403">
        <f t="shared" ca="1" si="136"/>
        <v>0.61609870921669985</v>
      </c>
      <c r="S403">
        <f t="shared" ca="1" si="133"/>
        <v>0.76431056203976122</v>
      </c>
      <c r="T403">
        <f t="shared" ca="1" si="134"/>
        <v>43.320636314511638</v>
      </c>
      <c r="U403">
        <f>70</f>
        <v>70</v>
      </c>
      <c r="V403">
        <f>30</f>
        <v>30</v>
      </c>
      <c r="W403">
        <f t="shared" ca="1" si="132"/>
        <v>153.50892839349547</v>
      </c>
      <c r="X403">
        <f t="shared" ca="1" si="121"/>
        <v>155.28300011963444</v>
      </c>
      <c r="Y403">
        <f t="shared" ca="1" si="120"/>
        <v>-1.5253085641396922</v>
      </c>
      <c r="Z403">
        <f t="shared" ca="1" si="122"/>
        <v>-1.721637839382741</v>
      </c>
      <c r="AA403">
        <f t="shared" ca="1" si="123"/>
        <v>0.19632927524304877</v>
      </c>
      <c r="AB403">
        <f t="shared" ca="1" si="124"/>
        <v>161.55620000000002</v>
      </c>
    </row>
    <row r="404" spans="1:28" x14ac:dyDescent="0.25">
      <c r="A404" s="20">
        <f t="shared" ca="1" si="125"/>
        <v>45880</v>
      </c>
      <c r="B404" vm="1173">
        <f ca="1"/>
        <v>45880</v>
      </c>
      <c r="C404" vm="1174">
        <f ca="1"/>
        <v>154.97999999999999</v>
      </c>
      <c r="D404" vm="1175">
        <f ca="1"/>
        <v>7331707</v>
      </c>
      <c r="E404">
        <f t="shared" ca="1" si="126"/>
        <v>1136267950.8599999</v>
      </c>
      <c r="F404">
        <f ca="1">SUM($E$2:E404)/SUM($D$2:D404)</f>
        <v>164.28558106217704</v>
      </c>
      <c r="G404">
        <f ca="1">_xlfn.STDEV.P($C$2:C404)</f>
        <v>6.5378187270478731</v>
      </c>
      <c r="H404">
        <f t="shared" ca="1" si="127"/>
        <v>170.82339978922491</v>
      </c>
      <c r="I404">
        <f t="shared" ca="1" si="128"/>
        <v>157.74776233512918</v>
      </c>
      <c r="J404">
        <f t="shared" ca="1" si="116"/>
        <v>154.48500000000007</v>
      </c>
      <c r="K404">
        <f t="shared" ca="1" si="117"/>
        <v>2.7859884384087774</v>
      </c>
      <c r="L404">
        <f t="shared" ca="1" si="118"/>
        <v>160.05697687681763</v>
      </c>
      <c r="M404">
        <f t="shared" ca="1" si="119"/>
        <v>148.91302312318251</v>
      </c>
      <c r="N404">
        <f t="shared" ca="1" si="129"/>
        <v>1.4699999999999989</v>
      </c>
      <c r="O404">
        <f t="shared" ca="1" si="130"/>
        <v>1.4699999999999989</v>
      </c>
      <c r="P404">
        <f t="shared" ca="1" si="131"/>
        <v>0</v>
      </c>
      <c r="Q404">
        <f t="shared" ca="1" si="135"/>
        <v>0.54225569709100241</v>
      </c>
      <c r="R404">
        <f t="shared" ca="1" si="136"/>
        <v>0.57209165855836408</v>
      </c>
      <c r="S404">
        <f t="shared" ca="1" si="133"/>
        <v>0.9478475852234125</v>
      </c>
      <c r="T404">
        <f t="shared" ca="1" si="134"/>
        <v>48.661280914065827</v>
      </c>
      <c r="U404">
        <f>70</f>
        <v>70</v>
      </c>
      <c r="V404">
        <f>30</f>
        <v>30</v>
      </c>
      <c r="W404">
        <f t="shared" ca="1" si="132"/>
        <v>153.73524710218848</v>
      </c>
      <c r="X404">
        <f t="shared" ca="1" si="121"/>
        <v>155.26055566632817</v>
      </c>
      <c r="Y404">
        <f t="shared" ca="1" si="120"/>
        <v>-1.3042512883380937</v>
      </c>
      <c r="Z404">
        <f t="shared" ca="1" si="122"/>
        <v>-1.6381605291738117</v>
      </c>
      <c r="AA404">
        <f t="shared" ca="1" si="123"/>
        <v>0.33390924083571805</v>
      </c>
      <c r="AB404">
        <f t="shared" ca="1" si="124"/>
        <v>161.4289</v>
      </c>
    </row>
    <row r="405" spans="1:28" x14ac:dyDescent="0.25">
      <c r="A405" s="20">
        <f t="shared" ca="1" si="125"/>
        <v>45880</v>
      </c>
      <c r="B405" vm="1176">
        <f ca="1"/>
        <v>45881</v>
      </c>
      <c r="C405" vm="1177">
        <f ca="1"/>
        <v>155.09</v>
      </c>
      <c r="D405" vm="1178">
        <f ca="1"/>
        <v>6938336</v>
      </c>
      <c r="E405">
        <f t="shared" ca="1" si="126"/>
        <v>1076066530.24</v>
      </c>
      <c r="F405">
        <f ca="1">SUM($E$2:E405)/SUM($D$2:D405)</f>
        <v>164.26384236888191</v>
      </c>
      <c r="G405">
        <f ca="1">_xlfn.STDEV.P($C$2:C405)</f>
        <v>6.5466628159006008</v>
      </c>
      <c r="H405">
        <f t="shared" ca="1" si="127"/>
        <v>170.8105051847825</v>
      </c>
      <c r="I405">
        <f t="shared" ca="1" si="128"/>
        <v>157.71717955298132</v>
      </c>
      <c r="J405">
        <f t="shared" ca="1" si="116"/>
        <v>154.60550000000006</v>
      </c>
      <c r="K405">
        <f t="shared" ca="1" si="117"/>
        <v>2.7557642458939373</v>
      </c>
      <c r="L405">
        <f t="shared" ca="1" si="118"/>
        <v>160.11702849178795</v>
      </c>
      <c r="M405">
        <f t="shared" ca="1" si="119"/>
        <v>149.09397150821218</v>
      </c>
      <c r="N405">
        <f t="shared" ca="1" si="129"/>
        <v>0.11000000000001364</v>
      </c>
      <c r="O405">
        <f t="shared" ca="1" si="130"/>
        <v>0.11000000000001364</v>
      </c>
      <c r="P405">
        <f t="shared" ca="1" si="131"/>
        <v>0</v>
      </c>
      <c r="Q405">
        <f t="shared" ca="1" si="135"/>
        <v>0.51138029015593178</v>
      </c>
      <c r="R405">
        <f t="shared" ca="1" si="136"/>
        <v>0.53122796866133803</v>
      </c>
      <c r="S405">
        <f t="shared" ca="1" si="133"/>
        <v>0.96263811456422144</v>
      </c>
      <c r="T405">
        <f t="shared" ca="1" si="134"/>
        <v>49.048171816329102</v>
      </c>
      <c r="U405">
        <f>70</f>
        <v>70</v>
      </c>
      <c r="V405">
        <f>30</f>
        <v>30</v>
      </c>
      <c r="W405">
        <f t="shared" ca="1" si="132"/>
        <v>153.94367062492873</v>
      </c>
      <c r="X405">
        <f t="shared" ca="1" si="121"/>
        <v>155.24792191326682</v>
      </c>
      <c r="Y405">
        <f t="shared" ca="1" si="120"/>
        <v>-1.0906679379141906</v>
      </c>
      <c r="Z405">
        <f t="shared" ca="1" si="122"/>
        <v>-1.5286620109218876</v>
      </c>
      <c r="AA405">
        <f t="shared" ca="1" si="123"/>
        <v>0.43799407300769699</v>
      </c>
      <c r="AB405">
        <f t="shared" ca="1" si="124"/>
        <v>161.29410000000004</v>
      </c>
    </row>
    <row r="406" spans="1:28" x14ac:dyDescent="0.25">
      <c r="A406" s="20">
        <f t="shared" ca="1" si="125"/>
        <v>45880</v>
      </c>
      <c r="B406" vm="1179">
        <f ca="1"/>
        <v>45882</v>
      </c>
      <c r="C406" vm="1180">
        <f ca="1"/>
        <v>155.41</v>
      </c>
      <c r="D406" vm="1181">
        <f ca="1"/>
        <v>5812356</v>
      </c>
      <c r="E406">
        <f t="shared" ca="1" si="126"/>
        <v>903298245.96000004</v>
      </c>
      <c r="F406">
        <f ca="1">SUM($E$2:E406)/SUM($D$2:D406)</f>
        <v>164.24634294705521</v>
      </c>
      <c r="G406">
        <f ca="1">_xlfn.STDEV.P($C$2:C406)</f>
        <v>6.55425128528685</v>
      </c>
      <c r="H406">
        <f t="shared" ca="1" si="127"/>
        <v>170.80059423234206</v>
      </c>
      <c r="I406">
        <f t="shared" ca="1" si="128"/>
        <v>157.69209166176836</v>
      </c>
      <c r="J406">
        <f t="shared" ref="J406:J469" ca="1" si="137">AVERAGE(C387:C406)</f>
        <v>154.68950000000001</v>
      </c>
      <c r="K406">
        <f t="shared" ref="K406:K469" ca="1" si="138">_xlfn.STDEV.S(C387:C406)</f>
        <v>2.7532764691889349</v>
      </c>
      <c r="L406">
        <f t="shared" ref="L406:L469" ca="1" si="139">J406 + 2*K406</f>
        <v>160.19605293837787</v>
      </c>
      <c r="M406">
        <f t="shared" ref="M406:M469" ca="1" si="140">J406-2*K406</f>
        <v>149.18294706162214</v>
      </c>
      <c r="N406">
        <f t="shared" ca="1" si="129"/>
        <v>0.31999999999999318</v>
      </c>
      <c r="O406">
        <f t="shared" ca="1" si="130"/>
        <v>0.31999999999999318</v>
      </c>
      <c r="P406">
        <f t="shared" ca="1" si="131"/>
        <v>0</v>
      </c>
      <c r="Q406">
        <f t="shared" ca="1" si="135"/>
        <v>0.49771026943050761</v>
      </c>
      <c r="R406">
        <f t="shared" ca="1" si="136"/>
        <v>0.49328311375695671</v>
      </c>
      <c r="S406">
        <f t="shared" ca="1" si="133"/>
        <v>1.008974877813742</v>
      </c>
      <c r="T406">
        <f t="shared" ca="1" si="134"/>
        <v>50.223369587963909</v>
      </c>
      <c r="U406">
        <f>70</f>
        <v>70</v>
      </c>
      <c r="V406">
        <f>30</f>
        <v>30</v>
      </c>
      <c r="W406">
        <f t="shared" ca="1" si="132"/>
        <v>154.16925975955508</v>
      </c>
      <c r="X406">
        <f t="shared" ca="1" si="121"/>
        <v>155.25992769746927</v>
      </c>
      <c r="Y406">
        <f t="shared" ca="1" si="120"/>
        <v>-1.0441206640731195</v>
      </c>
      <c r="Z406">
        <f t="shared" ca="1" si="122"/>
        <v>-1.431753741552134</v>
      </c>
      <c r="AA406">
        <f t="shared" ca="1" si="123"/>
        <v>0.38763307747901443</v>
      </c>
      <c r="AB406">
        <f t="shared" ca="1" si="124"/>
        <v>161.17270000000002</v>
      </c>
    </row>
    <row r="407" spans="1:28" x14ac:dyDescent="0.25">
      <c r="A407" s="20">
        <f t="shared" ca="1" si="125"/>
        <v>45880</v>
      </c>
      <c r="B407" vm="1182">
        <f ca="1"/>
        <v>45883</v>
      </c>
      <c r="C407" vm="1183">
        <f ca="1"/>
        <v>153.74</v>
      </c>
      <c r="D407" vm="1184">
        <f ca="1"/>
        <v>6343715</v>
      </c>
      <c r="E407">
        <f t="shared" ca="1" si="126"/>
        <v>975282744.10000002</v>
      </c>
      <c r="F407">
        <f ca="1">SUM($E$2:E407)/SUM($D$2:D407)</f>
        <v>164.22372781602215</v>
      </c>
      <c r="G407">
        <f ca="1">_xlfn.STDEV.P($C$2:C407)</f>
        <v>6.5679300936731728</v>
      </c>
      <c r="H407">
        <f t="shared" ca="1" si="127"/>
        <v>170.79165790969532</v>
      </c>
      <c r="I407">
        <f t="shared" ca="1" si="128"/>
        <v>157.65579772234898</v>
      </c>
      <c r="J407">
        <f t="shared" ca="1" si="137"/>
        <v>154.59550000000004</v>
      </c>
      <c r="K407">
        <f t="shared" ca="1" si="138"/>
        <v>2.7519284625799969</v>
      </c>
      <c r="L407">
        <f t="shared" ca="1" si="139"/>
        <v>160.09935692516004</v>
      </c>
      <c r="M407">
        <f t="shared" ca="1" si="140"/>
        <v>149.09164307484005</v>
      </c>
      <c r="N407">
        <f t="shared" ca="1" si="129"/>
        <v>-1.6699999999999875</v>
      </c>
      <c r="O407">
        <f t="shared" ca="1" si="130"/>
        <v>0</v>
      </c>
      <c r="P407">
        <f t="shared" ca="1" si="131"/>
        <v>1.6699999999999875</v>
      </c>
      <c r="Q407">
        <f t="shared" ca="1" si="135"/>
        <v>0.46215953589975711</v>
      </c>
      <c r="R407">
        <f t="shared" ca="1" si="136"/>
        <v>0.57733431991717321</v>
      </c>
      <c r="S407">
        <f t="shared" ca="1" si="133"/>
        <v>0.80050591131679205</v>
      </c>
      <c r="T407">
        <f t="shared" ca="1" si="134"/>
        <v>44.460054603838849</v>
      </c>
      <c r="U407">
        <f>70</f>
        <v>70</v>
      </c>
      <c r="V407">
        <f>30</f>
        <v>30</v>
      </c>
      <c r="W407">
        <f t="shared" ca="1" si="132"/>
        <v>154.1032197965466</v>
      </c>
      <c r="X407">
        <f t="shared" ca="1" si="121"/>
        <v>155.14734046061972</v>
      </c>
      <c r="Y407">
        <f t="shared" ca="1" si="120"/>
        <v>-0.94629450178649677</v>
      </c>
      <c r="Z407">
        <f t="shared" ca="1" si="122"/>
        <v>-1.3346618935990064</v>
      </c>
      <c r="AA407">
        <f t="shared" ca="1" si="123"/>
        <v>0.38836739181250968</v>
      </c>
      <c r="AB407">
        <f t="shared" ca="1" si="124"/>
        <v>161.04320000000001</v>
      </c>
    </row>
    <row r="408" spans="1:28" x14ac:dyDescent="0.25">
      <c r="A408" s="20">
        <f t="shared" ca="1" si="125"/>
        <v>45880</v>
      </c>
      <c r="B408" vm="1185">
        <f ca="1"/>
        <v>45884</v>
      </c>
      <c r="C408" vm="1186">
        <f ca="1"/>
        <v>154.36000000000001</v>
      </c>
      <c r="D408" vm="1187">
        <f ca="1"/>
        <v>7121700</v>
      </c>
      <c r="E408">
        <f t="shared" ca="1" si="126"/>
        <v>1099305612</v>
      </c>
      <c r="F408">
        <f ca="1">SUM($E$2:E408)/SUM($D$2:D408)</f>
        <v>164.1999495370269</v>
      </c>
      <c r="G408">
        <f ca="1">_xlfn.STDEV.P($C$2:C408)</f>
        <v>6.5789964079753824</v>
      </c>
      <c r="H408">
        <f t="shared" ca="1" si="127"/>
        <v>170.77894594500228</v>
      </c>
      <c r="I408">
        <f t="shared" ca="1" si="128"/>
        <v>157.62095312905151</v>
      </c>
      <c r="J408">
        <f t="shared" ca="1" si="137"/>
        <v>154.55850000000004</v>
      </c>
      <c r="K408">
        <f t="shared" ca="1" si="138"/>
        <v>2.749762238525554</v>
      </c>
      <c r="L408">
        <f t="shared" ca="1" si="139"/>
        <v>160.05802447705113</v>
      </c>
      <c r="M408">
        <f t="shared" ca="1" si="140"/>
        <v>149.05897552294894</v>
      </c>
      <c r="N408">
        <f t="shared" ca="1" si="129"/>
        <v>0.62000000000000455</v>
      </c>
      <c r="O408">
        <f t="shared" ca="1" si="130"/>
        <v>0.62000000000000455</v>
      </c>
      <c r="P408">
        <f t="shared" ca="1" si="131"/>
        <v>0</v>
      </c>
      <c r="Q408">
        <f t="shared" ca="1" si="135"/>
        <v>0.47343385476406047</v>
      </c>
      <c r="R408">
        <f t="shared" ca="1" si="136"/>
        <v>0.53609615420880374</v>
      </c>
      <c r="S408">
        <f t="shared" ca="1" si="133"/>
        <v>0.88311369340594637</v>
      </c>
      <c r="T408">
        <f t="shared" ca="1" si="134"/>
        <v>46.896461774895705</v>
      </c>
      <c r="U408">
        <f>70</f>
        <v>70</v>
      </c>
      <c r="V408">
        <f>30</f>
        <v>30</v>
      </c>
      <c r="W408">
        <f t="shared" ca="1" si="132"/>
        <v>154.14272444323174</v>
      </c>
      <c r="X408">
        <f t="shared" ca="1" si="121"/>
        <v>155.08901894501824</v>
      </c>
      <c r="Y408">
        <f t="shared" ca="1" si="120"/>
        <v>-0.75037606122819511</v>
      </c>
      <c r="Z408">
        <f t="shared" ca="1" si="122"/>
        <v>-1.2178047271248442</v>
      </c>
      <c r="AA408">
        <f t="shared" ca="1" si="123"/>
        <v>0.46742866589664911</v>
      </c>
      <c r="AB408">
        <f t="shared" ca="1" si="124"/>
        <v>160.93030000000002</v>
      </c>
    </row>
    <row r="409" spans="1:28" x14ac:dyDescent="0.25">
      <c r="A409" s="20">
        <f t="shared" ca="1" si="125"/>
        <v>45887</v>
      </c>
      <c r="B409" vm="1188">
        <f ca="1"/>
        <v>45887</v>
      </c>
      <c r="C409" vm="1189">
        <f ca="1"/>
        <v>155.72</v>
      </c>
      <c r="D409" vm="1190">
        <f ca="1"/>
        <v>8274726</v>
      </c>
      <c r="E409">
        <f t="shared" ca="1" si="126"/>
        <v>1288540332.72</v>
      </c>
      <c r="F409">
        <f ca="1">SUM($E$2:E409)/SUM($D$2:D409)</f>
        <v>164.17626375077785</v>
      </c>
      <c r="G409">
        <f ca="1">_xlfn.STDEV.P($C$2:C409)</f>
        <v>6.5851395744866341</v>
      </c>
      <c r="H409">
        <f t="shared" ca="1" si="127"/>
        <v>170.7614033252645</v>
      </c>
      <c r="I409">
        <f t="shared" ca="1" si="128"/>
        <v>157.5911241762912</v>
      </c>
      <c r="J409">
        <f t="shared" ca="1" si="137"/>
        <v>154.59299999999999</v>
      </c>
      <c r="K409">
        <f t="shared" ca="1" si="138"/>
        <v>2.7602976574809368</v>
      </c>
      <c r="L409">
        <f t="shared" ca="1" si="139"/>
        <v>160.11359531496186</v>
      </c>
      <c r="M409">
        <f t="shared" ca="1" si="140"/>
        <v>149.07240468503812</v>
      </c>
      <c r="N409">
        <f t="shared" ca="1" si="129"/>
        <v>1.3599999999999852</v>
      </c>
      <c r="O409">
        <f t="shared" ca="1" si="130"/>
        <v>1.3599999999999852</v>
      </c>
      <c r="P409">
        <f t="shared" ca="1" si="131"/>
        <v>0</v>
      </c>
      <c r="Q409">
        <f t="shared" ca="1" si="135"/>
        <v>0.53676000799519796</v>
      </c>
      <c r="R409">
        <f t="shared" ca="1" si="136"/>
        <v>0.49780357176531781</v>
      </c>
      <c r="S409">
        <f t="shared" ca="1" si="133"/>
        <v>1.0782566426587346</v>
      </c>
      <c r="T409">
        <f t="shared" ca="1" si="134"/>
        <v>51.88274732418563</v>
      </c>
      <c r="U409">
        <f>70</f>
        <v>70</v>
      </c>
      <c r="V409">
        <f>30</f>
        <v>30</v>
      </c>
      <c r="W409">
        <f t="shared" ca="1" si="132"/>
        <v>154.3853822211961</v>
      </c>
      <c r="X409">
        <f t="shared" ca="1" si="121"/>
        <v>155.13575828242429</v>
      </c>
      <c r="Y409">
        <f t="shared" ca="1" si="120"/>
        <v>-0.37453823958020394</v>
      </c>
      <c r="Z409">
        <f t="shared" ca="1" si="122"/>
        <v>-1.0491514296159163</v>
      </c>
      <c r="AA409">
        <f t="shared" ca="1" si="123"/>
        <v>0.67461319003571241</v>
      </c>
      <c r="AB409">
        <f t="shared" ca="1" si="124"/>
        <v>160.85900000000001</v>
      </c>
    </row>
    <row r="410" spans="1:28" x14ac:dyDescent="0.25">
      <c r="A410" s="20">
        <f t="shared" ca="1" si="125"/>
        <v>45887</v>
      </c>
      <c r="B410" vm="1191">
        <f ca="1"/>
        <v>45888</v>
      </c>
      <c r="C410" vm="1192">
        <f ca="1"/>
        <v>158.4</v>
      </c>
      <c r="D410" vm="1193">
        <f ca="1"/>
        <v>7868129</v>
      </c>
      <c r="E410">
        <f t="shared" ca="1" si="126"/>
        <v>1246311633.6000001</v>
      </c>
      <c r="F410">
        <f ca="1">SUM($E$2:E410)/SUM($D$2:D410)</f>
        <v>164.1609631850975</v>
      </c>
      <c r="G410">
        <f ca="1">_xlfn.STDEV.P($C$2:C410)</f>
        <v>6.5838519452122499</v>
      </c>
      <c r="H410">
        <f t="shared" ca="1" si="127"/>
        <v>170.74481513030975</v>
      </c>
      <c r="I410">
        <f t="shared" ca="1" si="128"/>
        <v>157.57711123988526</v>
      </c>
      <c r="J410">
        <f t="shared" ca="1" si="137"/>
        <v>154.59700000000001</v>
      </c>
      <c r="K410">
        <f t="shared" ca="1" si="138"/>
        <v>2.7660347830518419</v>
      </c>
      <c r="L410">
        <f t="shared" ca="1" si="139"/>
        <v>160.12906956610368</v>
      </c>
      <c r="M410">
        <f t="shared" ca="1" si="140"/>
        <v>149.06493043389634</v>
      </c>
      <c r="N410">
        <f t="shared" ca="1" si="129"/>
        <v>2.6800000000000068</v>
      </c>
      <c r="O410">
        <f t="shared" ca="1" si="130"/>
        <v>2.6800000000000068</v>
      </c>
      <c r="P410">
        <f t="shared" ca="1" si="131"/>
        <v>0</v>
      </c>
      <c r="Q410">
        <f t="shared" ca="1" si="135"/>
        <v>0.68984857885268436</v>
      </c>
      <c r="R410">
        <f t="shared" ca="1" si="136"/>
        <v>0.46224617378208083</v>
      </c>
      <c r="S410">
        <f t="shared" ca="1" si="133"/>
        <v>1.4923835349644308</v>
      </c>
      <c r="T410">
        <f t="shared" ca="1" si="134"/>
        <v>59.877764157422462</v>
      </c>
      <c r="U410">
        <f>70</f>
        <v>70</v>
      </c>
      <c r="V410">
        <f>30</f>
        <v>30</v>
      </c>
      <c r="W410">
        <f t="shared" ca="1" si="132"/>
        <v>155.00301572562745</v>
      </c>
      <c r="X410">
        <f t="shared" ca="1" si="121"/>
        <v>155.37755396520765</v>
      </c>
      <c r="Y410">
        <f t="shared" ca="1" si="120"/>
        <v>1.2736842788768854E-2</v>
      </c>
      <c r="Z410">
        <f t="shared" ca="1" si="122"/>
        <v>-0.83677377513497941</v>
      </c>
      <c r="AA410">
        <f t="shared" ca="1" si="123"/>
        <v>0.84951061792374827</v>
      </c>
      <c r="AB410">
        <f t="shared" ca="1" si="124"/>
        <v>160.77720000000002</v>
      </c>
    </row>
    <row r="411" spans="1:28" x14ac:dyDescent="0.25">
      <c r="A411" s="20">
        <f t="shared" ca="1" si="125"/>
        <v>45887</v>
      </c>
      <c r="B411" vm="1194">
        <f ca="1"/>
        <v>45889</v>
      </c>
      <c r="C411" vm="1195">
        <f ca="1"/>
        <v>159.51</v>
      </c>
      <c r="D411" vm="1196">
        <f ca="1"/>
        <v>7840355</v>
      </c>
      <c r="E411">
        <f t="shared" ca="1" si="126"/>
        <v>1250615026.05</v>
      </c>
      <c r="F411">
        <f ca="1">SUM($E$2:E411)/SUM($D$2:D411)</f>
        <v>164.14871919945972</v>
      </c>
      <c r="G411">
        <f ca="1">_xlfn.STDEV.P($C$2:C411)</f>
        <v>6.5802914561460435</v>
      </c>
      <c r="H411">
        <f t="shared" ca="1" si="127"/>
        <v>170.72901065560578</v>
      </c>
      <c r="I411">
        <f t="shared" ca="1" si="128"/>
        <v>157.56842774331366</v>
      </c>
      <c r="J411">
        <f t="shared" ca="1" si="137"/>
        <v>154.6585</v>
      </c>
      <c r="K411">
        <f t="shared" ca="1" si="138"/>
        <v>2.8641656725825082</v>
      </c>
      <c r="L411">
        <f t="shared" ca="1" si="139"/>
        <v>160.38683134516501</v>
      </c>
      <c r="M411">
        <f t="shared" ca="1" si="140"/>
        <v>148.930168654835</v>
      </c>
      <c r="N411">
        <f t="shared" ca="1" si="129"/>
        <v>1.1099999999999852</v>
      </c>
      <c r="O411">
        <f t="shared" ca="1" si="130"/>
        <v>1.1099999999999852</v>
      </c>
      <c r="P411">
        <f t="shared" ca="1" si="131"/>
        <v>0</v>
      </c>
      <c r="Q411">
        <f t="shared" ca="1" si="135"/>
        <v>0.71985939464892013</v>
      </c>
      <c r="R411">
        <f t="shared" ca="1" si="136"/>
        <v>0.42922858994050361</v>
      </c>
      <c r="S411">
        <f t="shared" ca="1" si="133"/>
        <v>1.6771002946208722</v>
      </c>
      <c r="T411">
        <f t="shared" ca="1" si="134"/>
        <v>62.64615106093293</v>
      </c>
      <c r="U411">
        <f>70</f>
        <v>70</v>
      </c>
      <c r="V411">
        <f>30</f>
        <v>30</v>
      </c>
      <c r="W411">
        <f t="shared" ca="1" si="132"/>
        <v>155.69639792168476</v>
      </c>
      <c r="X411">
        <f t="shared" ca="1" si="121"/>
        <v>155.68366107889599</v>
      </c>
      <c r="Y411">
        <f t="shared" ca="1" si="120"/>
        <v>0.25379011994064626</v>
      </c>
      <c r="Z411">
        <f t="shared" ca="1" si="122"/>
        <v>-0.61866099611985437</v>
      </c>
      <c r="AA411">
        <f t="shared" ca="1" si="123"/>
        <v>0.87245111606050063</v>
      </c>
      <c r="AB411">
        <f t="shared" ca="1" si="124"/>
        <v>160.68520000000001</v>
      </c>
    </row>
    <row r="412" spans="1:28" x14ac:dyDescent="0.25">
      <c r="A412" s="20">
        <f t="shared" ca="1" si="125"/>
        <v>45887</v>
      </c>
      <c r="B412" vm="1197">
        <f ca="1"/>
        <v>45890</v>
      </c>
      <c r="C412" vm="1001">
        <f ca="1"/>
        <v>158.72999999999999</v>
      </c>
      <c r="D412" vm="1198">
        <f ca="1"/>
        <v>6417695</v>
      </c>
      <c r="E412">
        <f t="shared" ca="1" si="126"/>
        <v>1018680727.3499999</v>
      </c>
      <c r="F412">
        <f ca="1">SUM($E$2:E412)/SUM($D$2:D412)</f>
        <v>164.13706761316436</v>
      </c>
      <c r="G412">
        <f ca="1">_xlfn.STDEV.P($C$2:C412)</f>
        <v>6.5782490728571679</v>
      </c>
      <c r="H412">
        <f t="shared" ca="1" si="127"/>
        <v>170.71531668602154</v>
      </c>
      <c r="I412">
        <f t="shared" ca="1" si="128"/>
        <v>157.55881854030719</v>
      </c>
      <c r="J412">
        <f t="shared" ca="1" si="137"/>
        <v>154.65449999999998</v>
      </c>
      <c r="K412">
        <f t="shared" ca="1" si="138"/>
        <v>2.8581121391575954</v>
      </c>
      <c r="L412">
        <f t="shared" ca="1" si="139"/>
        <v>160.37072427831518</v>
      </c>
      <c r="M412">
        <f t="shared" ca="1" si="140"/>
        <v>148.93827572168479</v>
      </c>
      <c r="N412">
        <f t="shared" ca="1" si="129"/>
        <v>-0.78000000000000114</v>
      </c>
      <c r="O412">
        <f t="shared" ca="1" si="130"/>
        <v>0</v>
      </c>
      <c r="P412">
        <f t="shared" ca="1" si="131"/>
        <v>0.78000000000000114</v>
      </c>
      <c r="Q412">
        <f t="shared" ca="1" si="135"/>
        <v>0.66844086645971157</v>
      </c>
      <c r="R412">
        <f t="shared" ca="1" si="136"/>
        <v>0.45428369065903912</v>
      </c>
      <c r="S412">
        <f t="shared" ca="1" si="133"/>
        <v>1.4714172667964154</v>
      </c>
      <c r="T412">
        <f t="shared" ca="1" si="134"/>
        <v>59.537387173139969</v>
      </c>
      <c r="U412">
        <f>70</f>
        <v>70</v>
      </c>
      <c r="V412">
        <f>30</f>
        <v>30</v>
      </c>
      <c r="W412">
        <f t="shared" ca="1" si="132"/>
        <v>156.16310593373325</v>
      </c>
      <c r="X412">
        <f t="shared" ca="1" si="121"/>
        <v>155.9093158137926</v>
      </c>
      <c r="Y412">
        <f t="shared" ref="Y412:Y475" ca="1" si="141">W413-X413</f>
        <v>0.43497100523129006</v>
      </c>
      <c r="Z412">
        <f t="shared" ca="1" si="122"/>
        <v>-0.40793459584962555</v>
      </c>
      <c r="AA412">
        <f t="shared" ca="1" si="123"/>
        <v>0.84290560108091561</v>
      </c>
      <c r="AB412">
        <f t="shared" ca="1" si="124"/>
        <v>160.59220000000002</v>
      </c>
    </row>
    <row r="413" spans="1:28" x14ac:dyDescent="0.25">
      <c r="A413" s="20">
        <f t="shared" ca="1" si="125"/>
        <v>45887</v>
      </c>
      <c r="B413" vm="1199">
        <f ca="1"/>
        <v>45891</v>
      </c>
      <c r="C413" vm="1200">
        <f ca="1"/>
        <v>158.66999999999999</v>
      </c>
      <c r="D413" vm="1201">
        <f ca="1"/>
        <v>5797325</v>
      </c>
      <c r="E413">
        <f t="shared" ca="1" si="126"/>
        <v>919861557.74999988</v>
      </c>
      <c r="F413">
        <f ca="1">SUM($E$2:E413)/SUM($D$2:D413)</f>
        <v>164.12646900889061</v>
      </c>
      <c r="G413">
        <f ca="1">_xlfn.STDEV.P($C$2:C413)</f>
        <v>6.5763130526520195</v>
      </c>
      <c r="H413">
        <f t="shared" ca="1" si="127"/>
        <v>170.70278206154262</v>
      </c>
      <c r="I413">
        <f t="shared" ca="1" si="128"/>
        <v>157.5501559562386</v>
      </c>
      <c r="J413">
        <f t="shared" ca="1" si="137"/>
        <v>154.67299999999997</v>
      </c>
      <c r="K413">
        <f t="shared" ca="1" si="138"/>
        <v>2.8840306225106116</v>
      </c>
      <c r="L413">
        <f t="shared" ca="1" si="139"/>
        <v>160.44106124502119</v>
      </c>
      <c r="M413">
        <f t="shared" ca="1" si="140"/>
        <v>148.90493875497876</v>
      </c>
      <c r="N413">
        <f t="shared" ca="1" si="129"/>
        <v>-6.0000000000002274E-2</v>
      </c>
      <c r="O413">
        <f t="shared" ca="1" si="130"/>
        <v>0</v>
      </c>
      <c r="P413">
        <f t="shared" ca="1" si="131"/>
        <v>6.0000000000002274E-2</v>
      </c>
      <c r="Q413">
        <f t="shared" ca="1" si="135"/>
        <v>0.62069509028401793</v>
      </c>
      <c r="R413">
        <f t="shared" ca="1" si="136"/>
        <v>0.42612056989767932</v>
      </c>
      <c r="S413">
        <f t="shared" ca="1" si="133"/>
        <v>1.4566184646590989</v>
      </c>
      <c r="T413">
        <f t="shared" ca="1" si="134"/>
        <v>59.293638210980049</v>
      </c>
      <c r="U413">
        <f>70</f>
        <v>70</v>
      </c>
      <c r="V413">
        <f>30</f>
        <v>30</v>
      </c>
      <c r="W413">
        <f t="shared" ca="1" si="132"/>
        <v>156.54878194392813</v>
      </c>
      <c r="X413">
        <f t="shared" ref="X413:X476" ca="1" si="142">C413*(2/(26+1)) + X412*(1-(2/(26+1)))</f>
        <v>156.11381093869684</v>
      </c>
      <c r="Y413">
        <f t="shared" ca="1" si="141"/>
        <v>0.3709392657270314</v>
      </c>
      <c r="Z413">
        <f t="shared" ca="1" si="122"/>
        <v>-0.25215982353429417</v>
      </c>
      <c r="AA413">
        <f t="shared" ca="1" si="123"/>
        <v>0.62309908926132551</v>
      </c>
      <c r="AB413">
        <f t="shared" ca="1" si="124"/>
        <v>160.47470000000004</v>
      </c>
    </row>
    <row r="414" spans="1:28" x14ac:dyDescent="0.25">
      <c r="A414" s="20">
        <f t="shared" ca="1" si="125"/>
        <v>45894</v>
      </c>
      <c r="B414" vm="1202">
        <f ca="1"/>
        <v>45894</v>
      </c>
      <c r="C414" vm="190">
        <f ca="1"/>
        <v>156.15</v>
      </c>
      <c r="D414" vm="1203">
        <f ca="1"/>
        <v>4692505</v>
      </c>
      <c r="E414">
        <f t="shared" ca="1" si="126"/>
        <v>732734655.75</v>
      </c>
      <c r="F414">
        <f ca="1">SUM($E$2:E414)/SUM($D$2:D414)</f>
        <v>164.11397214440035</v>
      </c>
      <c r="G414">
        <f ca="1">_xlfn.STDEV.P($C$2:C414)</f>
        <v>6.5808145334233128</v>
      </c>
      <c r="H414">
        <f t="shared" ca="1" si="127"/>
        <v>170.69478667782366</v>
      </c>
      <c r="I414">
        <f t="shared" ca="1" si="128"/>
        <v>157.53315761097704</v>
      </c>
      <c r="J414">
        <f t="shared" ca="1" si="137"/>
        <v>154.625</v>
      </c>
      <c r="K414">
        <f t="shared" ca="1" si="138"/>
        <v>2.849113435513063</v>
      </c>
      <c r="L414">
        <f t="shared" ca="1" si="139"/>
        <v>160.32322687102612</v>
      </c>
      <c r="M414">
        <f t="shared" ca="1" si="140"/>
        <v>148.92677312897388</v>
      </c>
      <c r="N414">
        <f t="shared" ca="1" si="129"/>
        <v>-2.5199999999999818</v>
      </c>
      <c r="O414">
        <f t="shared" ca="1" si="130"/>
        <v>0</v>
      </c>
      <c r="P414">
        <f t="shared" ca="1" si="131"/>
        <v>2.5199999999999818</v>
      </c>
      <c r="Q414">
        <f t="shared" ca="1" si="135"/>
        <v>0.57635972669230229</v>
      </c>
      <c r="R414">
        <f t="shared" ca="1" si="136"/>
        <v>0.57568338633355809</v>
      </c>
      <c r="S414">
        <f t="shared" ca="1" si="133"/>
        <v>1.0011748477979392</v>
      </c>
      <c r="T414">
        <f t="shared" ca="1" si="134"/>
        <v>50.0293539517357</v>
      </c>
      <c r="U414">
        <f>70</f>
        <v>70</v>
      </c>
      <c r="V414">
        <f>30</f>
        <v>30</v>
      </c>
      <c r="W414">
        <f t="shared" ca="1" si="132"/>
        <v>156.4874308756315</v>
      </c>
      <c r="X414">
        <f t="shared" ca="1" si="142"/>
        <v>156.11649160990447</v>
      </c>
      <c r="Y414">
        <f t="shared" ca="1" si="141"/>
        <v>0.30218574599314252</v>
      </c>
      <c r="Z414">
        <f t="shared" ca="1" si="122"/>
        <v>-0.14129070962880685</v>
      </c>
      <c r="AA414">
        <f t="shared" ca="1" si="123"/>
        <v>0.44347645562194937</v>
      </c>
      <c r="AB414">
        <f t="shared" ca="1" si="124"/>
        <v>160.3306</v>
      </c>
    </row>
    <row r="415" spans="1:28" x14ac:dyDescent="0.25">
      <c r="A415" s="20">
        <f t="shared" ca="1" si="125"/>
        <v>45894</v>
      </c>
      <c r="B415" vm="1204">
        <f ca="1"/>
        <v>45895</v>
      </c>
      <c r="C415" vm="1205">
        <f ca="1"/>
        <v>155.97</v>
      </c>
      <c r="D415" vm="1206">
        <f ca="1"/>
        <v>6337977</v>
      </c>
      <c r="E415">
        <f t="shared" ca="1" si="126"/>
        <v>988534272.68999994</v>
      </c>
      <c r="F415">
        <f ca="1">SUM($E$2:E415)/SUM($D$2:D415)</f>
        <v>164.09677507147373</v>
      </c>
      <c r="G415">
        <f ca="1">_xlfn.STDEV.P($C$2:C415)</f>
        <v>6.5857784393155727</v>
      </c>
      <c r="H415">
        <f t="shared" ca="1" si="127"/>
        <v>170.68255351078929</v>
      </c>
      <c r="I415">
        <f t="shared" ca="1" si="128"/>
        <v>157.51099663215817</v>
      </c>
      <c r="J415">
        <f t="shared" ca="1" si="137"/>
        <v>154.59300000000002</v>
      </c>
      <c r="K415">
        <f t="shared" ca="1" si="138"/>
        <v>2.8291696754757512</v>
      </c>
      <c r="L415">
        <f t="shared" ca="1" si="139"/>
        <v>160.25133935095153</v>
      </c>
      <c r="M415">
        <f t="shared" ca="1" si="140"/>
        <v>148.93466064904851</v>
      </c>
      <c r="N415">
        <f t="shared" ca="1" si="129"/>
        <v>-0.18000000000000682</v>
      </c>
      <c r="O415">
        <f t="shared" ca="1" si="130"/>
        <v>0</v>
      </c>
      <c r="P415">
        <f t="shared" ca="1" si="131"/>
        <v>0.18000000000000682</v>
      </c>
      <c r="Q415">
        <f t="shared" ca="1" si="135"/>
        <v>0.53519117478570932</v>
      </c>
      <c r="R415">
        <f t="shared" ca="1" si="136"/>
        <v>0.54742028730973302</v>
      </c>
      <c r="S415">
        <f t="shared" ca="1" si="133"/>
        <v>0.97766046891662894</v>
      </c>
      <c r="T415">
        <f t="shared" ca="1" si="134"/>
        <v>49.435203073669946</v>
      </c>
      <c r="U415">
        <f>70</f>
        <v>70</v>
      </c>
      <c r="V415">
        <f>30</f>
        <v>30</v>
      </c>
      <c r="W415">
        <f t="shared" ca="1" si="132"/>
        <v>156.40782612553434</v>
      </c>
      <c r="X415">
        <f t="shared" ca="1" si="142"/>
        <v>156.1056403795412</v>
      </c>
      <c r="Y415">
        <f t="shared" ca="1" si="141"/>
        <v>0.32384967502224526</v>
      </c>
      <c r="Z415">
        <f t="shared" ca="1" si="122"/>
        <v>-4.826263269859643E-2</v>
      </c>
      <c r="AA415">
        <f t="shared" ca="1" si="123"/>
        <v>0.3721123077208417</v>
      </c>
      <c r="AB415">
        <f t="shared" ca="1" si="124"/>
        <v>160.1953</v>
      </c>
    </row>
    <row r="416" spans="1:28" x14ac:dyDescent="0.25">
      <c r="A416" s="20">
        <f t="shared" ca="1" si="125"/>
        <v>45894</v>
      </c>
      <c r="B416" vm="1207">
        <f ca="1"/>
        <v>45896</v>
      </c>
      <c r="C416" vm="219">
        <f ca="1"/>
        <v>156.96</v>
      </c>
      <c r="D416" vm="1208">
        <f ca="1"/>
        <v>4551219</v>
      </c>
      <c r="E416">
        <f t="shared" ca="1" si="126"/>
        <v>714359334.24000001</v>
      </c>
      <c r="F416">
        <f ca="1">SUM($E$2:E416)/SUM($D$2:D416)</f>
        <v>164.08596970999045</v>
      </c>
      <c r="G416">
        <f ca="1">_xlfn.STDEV.P($C$2:C416)</f>
        <v>6.5878055678677265</v>
      </c>
      <c r="H416">
        <f t="shared" ca="1" si="127"/>
        <v>170.67377527785817</v>
      </c>
      <c r="I416">
        <f t="shared" ca="1" si="128"/>
        <v>157.49816414212273</v>
      </c>
      <c r="J416">
        <f t="shared" ca="1" si="137"/>
        <v>154.797</v>
      </c>
      <c r="K416">
        <f t="shared" ca="1" si="138"/>
        <v>2.8461961688504429</v>
      </c>
      <c r="L416">
        <f t="shared" ca="1" si="139"/>
        <v>160.48939233770088</v>
      </c>
      <c r="M416">
        <f t="shared" ca="1" si="140"/>
        <v>149.10460766229912</v>
      </c>
      <c r="N416">
        <f t="shared" ca="1" si="129"/>
        <v>0.99000000000000909</v>
      </c>
      <c r="O416">
        <f t="shared" ca="1" si="130"/>
        <v>0.99000000000000909</v>
      </c>
      <c r="P416">
        <f t="shared" ca="1" si="131"/>
        <v>0</v>
      </c>
      <c r="Q416">
        <f t="shared" ca="1" si="135"/>
        <v>0.56767751944387357</v>
      </c>
      <c r="R416">
        <f t="shared" ca="1" si="136"/>
        <v>0.50831883821618062</v>
      </c>
      <c r="S416">
        <f t="shared" ca="1" si="133"/>
        <v>1.1167745060088616</v>
      </c>
      <c r="T416">
        <f t="shared" ca="1" si="134"/>
        <v>52.758312368118936</v>
      </c>
      <c r="U416">
        <f>70</f>
        <v>70</v>
      </c>
      <c r="V416">
        <f>30</f>
        <v>30</v>
      </c>
      <c r="W416">
        <f t="shared" ca="1" si="132"/>
        <v>156.49277595237521</v>
      </c>
      <c r="X416">
        <f t="shared" ca="1" si="142"/>
        <v>156.16892627735297</v>
      </c>
      <c r="Y416">
        <f t="shared" ca="1" si="141"/>
        <v>0.232630819702905</v>
      </c>
      <c r="Z416">
        <f t="shared" ca="1" si="122"/>
        <v>7.9160577817038585E-3</v>
      </c>
      <c r="AA416">
        <f t="shared" ca="1" si="123"/>
        <v>0.22471476192120116</v>
      </c>
      <c r="AB416">
        <f t="shared" ca="1" si="124"/>
        <v>160.041</v>
      </c>
    </row>
    <row r="417" spans="1:28" x14ac:dyDescent="0.25">
      <c r="A417" s="20">
        <f t="shared" ca="1" si="125"/>
        <v>45894</v>
      </c>
      <c r="B417" vm="1209">
        <f ca="1"/>
        <v>45897</v>
      </c>
      <c r="C417" vm="1210">
        <f ca="1"/>
        <v>155.65</v>
      </c>
      <c r="D417" vm="1211">
        <f ca="1"/>
        <v>5857727</v>
      </c>
      <c r="E417">
        <f t="shared" ca="1" si="126"/>
        <v>911755207.55000007</v>
      </c>
      <c r="F417">
        <f ca="1">SUM($E$2:E417)/SUM($D$2:D417)</f>
        <v>164.06956274609195</v>
      </c>
      <c r="G417">
        <f ca="1">_xlfn.STDEV.P($C$2:C417)</f>
        <v>6.5935993567423239</v>
      </c>
      <c r="H417">
        <f t="shared" ca="1" si="127"/>
        <v>170.66316210283426</v>
      </c>
      <c r="I417">
        <f t="shared" ca="1" si="128"/>
        <v>157.47596338934963</v>
      </c>
      <c r="J417">
        <f t="shared" ca="1" si="137"/>
        <v>155.05600000000001</v>
      </c>
      <c r="K417">
        <f t="shared" ca="1" si="138"/>
        <v>2.6614092032921981</v>
      </c>
      <c r="L417">
        <f t="shared" ca="1" si="139"/>
        <v>160.3788184065844</v>
      </c>
      <c r="M417">
        <f t="shared" ca="1" si="140"/>
        <v>149.73318159341562</v>
      </c>
      <c r="N417">
        <f t="shared" ca="1" si="129"/>
        <v>-1.3100000000000023</v>
      </c>
      <c r="O417">
        <f t="shared" ca="1" si="130"/>
        <v>0</v>
      </c>
      <c r="P417">
        <f t="shared" ca="1" si="131"/>
        <v>1.3100000000000023</v>
      </c>
      <c r="Q417">
        <f t="shared" ca="1" si="135"/>
        <v>0.52712912519788258</v>
      </c>
      <c r="R417">
        <f t="shared" ca="1" si="136"/>
        <v>0.56558177834359646</v>
      </c>
      <c r="S417">
        <f t="shared" ca="1" si="133"/>
        <v>0.93201221358593078</v>
      </c>
      <c r="T417">
        <f t="shared" ca="1" si="134"/>
        <v>48.240492841194836</v>
      </c>
      <c r="U417">
        <f>70</f>
        <v>70</v>
      </c>
      <c r="V417">
        <f>30</f>
        <v>30</v>
      </c>
      <c r="W417">
        <f t="shared" ca="1" si="132"/>
        <v>156.36311811354824</v>
      </c>
      <c r="X417">
        <f t="shared" ca="1" si="142"/>
        <v>156.13048729384533</v>
      </c>
      <c r="Y417">
        <f t="shared" ca="1" si="141"/>
        <v>0.26939518297459131</v>
      </c>
      <c r="Z417">
        <f t="shared" ca="1" si="122"/>
        <v>6.0211882820281351E-2</v>
      </c>
      <c r="AA417">
        <f t="shared" ca="1" si="123"/>
        <v>0.20918330015430997</v>
      </c>
      <c r="AB417">
        <f t="shared" ca="1" si="124"/>
        <v>159.96</v>
      </c>
    </row>
    <row r="418" spans="1:28" x14ac:dyDescent="0.25">
      <c r="A418" s="20">
        <f t="shared" ca="1" si="125"/>
        <v>45894</v>
      </c>
      <c r="B418" vm="1212">
        <f ca="1"/>
        <v>45898</v>
      </c>
      <c r="C418" vm="1213">
        <f ca="1"/>
        <v>157.04</v>
      </c>
      <c r="D418" vm="1214">
        <f ca="1"/>
        <v>5318179</v>
      </c>
      <c r="E418">
        <f t="shared" ca="1" si="126"/>
        <v>835166830.15999997</v>
      </c>
      <c r="F418">
        <f ca="1">SUM($E$2:E418)/SUM($D$2:D418)</f>
        <v>164.05717223643518</v>
      </c>
      <c r="G418">
        <f ca="1">_xlfn.STDEV.P($C$2:C418)</f>
        <v>6.5952802791512246</v>
      </c>
      <c r="H418">
        <f t="shared" ca="1" si="127"/>
        <v>170.65245251558639</v>
      </c>
      <c r="I418">
        <f t="shared" ca="1" si="128"/>
        <v>157.46189195728397</v>
      </c>
      <c r="J418">
        <f t="shared" ca="1" si="137"/>
        <v>155.37550000000002</v>
      </c>
      <c r="K418">
        <f t="shared" ca="1" si="138"/>
        <v>2.4821541472129223</v>
      </c>
      <c r="L418">
        <f t="shared" ca="1" si="139"/>
        <v>160.33980829442586</v>
      </c>
      <c r="M418">
        <f t="shared" ca="1" si="140"/>
        <v>150.41119170557417</v>
      </c>
      <c r="N418">
        <f t="shared" ca="1" si="129"/>
        <v>1.3899999999999864</v>
      </c>
      <c r="O418">
        <f t="shared" ca="1" si="130"/>
        <v>1.3899999999999864</v>
      </c>
      <c r="P418">
        <f t="shared" ca="1" si="131"/>
        <v>0</v>
      </c>
      <c r="Q418">
        <f t="shared" ca="1" si="135"/>
        <v>0.58876275911231857</v>
      </c>
      <c r="R418">
        <f t="shared" ca="1" si="136"/>
        <v>0.52518307989048241</v>
      </c>
      <c r="S418">
        <f t="shared" ca="1" si="133"/>
        <v>1.1210619337452656</v>
      </c>
      <c r="T418">
        <f t="shared" ca="1" si="134"/>
        <v>52.853804780973569</v>
      </c>
      <c r="U418">
        <f>70</f>
        <v>70</v>
      </c>
      <c r="V418">
        <f>30</f>
        <v>30</v>
      </c>
      <c r="W418">
        <f t="shared" ca="1" si="132"/>
        <v>156.46725378838696</v>
      </c>
      <c r="X418">
        <f t="shared" ca="1" si="142"/>
        <v>156.19785860541236</v>
      </c>
      <c r="Y418">
        <f t="shared" ca="1" si="141"/>
        <v>0.37091261650115825</v>
      </c>
      <c r="Z418">
        <f t="shared" ca="1" si="122"/>
        <v>0.12235202955645674</v>
      </c>
      <c r="AA418">
        <f t="shared" ca="1" si="123"/>
        <v>0.24856058694470151</v>
      </c>
      <c r="AB418">
        <f t="shared" ca="1" si="124"/>
        <v>159.9281</v>
      </c>
    </row>
    <row r="419" spans="1:28" x14ac:dyDescent="0.25">
      <c r="A419" s="20">
        <f t="shared" ca="1" si="125"/>
        <v>45901</v>
      </c>
      <c r="B419" vm="1215">
        <f ca="1"/>
        <v>45902</v>
      </c>
      <c r="C419" vm="1216">
        <f ca="1"/>
        <v>157.99</v>
      </c>
      <c r="D419" vm="1217">
        <f ca="1"/>
        <v>6432837</v>
      </c>
      <c r="E419">
        <f t="shared" ca="1" si="126"/>
        <v>1016323917.6300001</v>
      </c>
      <c r="F419">
        <f ca="1">SUM($E$2:E419)/SUM($D$2:D419)</f>
        <v>164.04426415131726</v>
      </c>
      <c r="G419">
        <f ca="1">_xlfn.STDEV.P($C$2:C419)</f>
        <v>6.594577343021828</v>
      </c>
      <c r="H419">
        <f t="shared" ca="1" si="127"/>
        <v>170.63884149433909</v>
      </c>
      <c r="I419">
        <f t="shared" ca="1" si="128"/>
        <v>157.44968680829544</v>
      </c>
      <c r="J419">
        <f t="shared" ca="1" si="137"/>
        <v>155.73700000000002</v>
      </c>
      <c r="K419">
        <f t="shared" ca="1" si="138"/>
        <v>2.2939258465507719</v>
      </c>
      <c r="L419">
        <f t="shared" ca="1" si="139"/>
        <v>160.32485169310158</v>
      </c>
      <c r="M419">
        <f t="shared" ca="1" si="140"/>
        <v>151.14914830689847</v>
      </c>
      <c r="N419">
        <f t="shared" ca="1" si="129"/>
        <v>0.95000000000001705</v>
      </c>
      <c r="O419">
        <f t="shared" ca="1" si="130"/>
        <v>0.95000000000001705</v>
      </c>
      <c r="P419">
        <f t="shared" ca="1" si="131"/>
        <v>0</v>
      </c>
      <c r="Q419">
        <f t="shared" ca="1" si="135"/>
        <v>0.61456541917572571</v>
      </c>
      <c r="R419">
        <f t="shared" ca="1" si="136"/>
        <v>0.48767000275544792</v>
      </c>
      <c r="S419">
        <f t="shared" ca="1" si="133"/>
        <v>1.260207549579202</v>
      </c>
      <c r="T419">
        <f t="shared" ca="1" si="134"/>
        <v>55.756275560349458</v>
      </c>
      <c r="U419">
        <f>70</f>
        <v>70</v>
      </c>
      <c r="V419">
        <f>30</f>
        <v>30</v>
      </c>
      <c r="W419">
        <f t="shared" ca="1" si="132"/>
        <v>156.70152243632742</v>
      </c>
      <c r="X419">
        <f t="shared" ca="1" si="142"/>
        <v>156.33060981982626</v>
      </c>
      <c r="Y419">
        <f t="shared" ca="1" si="141"/>
        <v>0.46058111722422268</v>
      </c>
      <c r="Z419">
        <f t="shared" ca="1" si="122"/>
        <v>0.18999784709000994</v>
      </c>
      <c r="AA419">
        <f t="shared" ca="1" si="123"/>
        <v>0.27058327013421274</v>
      </c>
      <c r="AB419">
        <f t="shared" ca="1" si="124"/>
        <v>159.92410000000001</v>
      </c>
    </row>
    <row r="420" spans="1:28" x14ac:dyDescent="0.25">
      <c r="A420" s="20">
        <f t="shared" ca="1" si="125"/>
        <v>45901</v>
      </c>
      <c r="B420" vm="1218">
        <f ca="1"/>
        <v>45903</v>
      </c>
      <c r="C420" vm="1219">
        <f ca="1"/>
        <v>158.16999999999999</v>
      </c>
      <c r="D420" vm="1220">
        <f ca="1"/>
        <v>6592451</v>
      </c>
      <c r="E420">
        <f t="shared" ca="1" si="126"/>
        <v>1042727974.67</v>
      </c>
      <c r="F420">
        <f ca="1">SUM($E$2:E420)/SUM($D$2:D420)</f>
        <v>164.03148425111573</v>
      </c>
      <c r="G420">
        <f ca="1">_xlfn.STDEV.P($C$2:C420)</f>
        <v>6.5934406670505981</v>
      </c>
      <c r="H420">
        <f t="shared" ca="1" si="127"/>
        <v>170.62492491816633</v>
      </c>
      <c r="I420">
        <f t="shared" ca="1" si="128"/>
        <v>157.43804358406513</v>
      </c>
      <c r="J420">
        <f t="shared" ca="1" si="137"/>
        <v>156.12000000000003</v>
      </c>
      <c r="K420">
        <f t="shared" ca="1" si="138"/>
        <v>1.9953102911313618</v>
      </c>
      <c r="L420">
        <f t="shared" ca="1" si="139"/>
        <v>160.11062058226275</v>
      </c>
      <c r="M420">
        <f t="shared" ca="1" si="140"/>
        <v>152.12937941773731</v>
      </c>
      <c r="N420">
        <f t="shared" ca="1" si="129"/>
        <v>0.1799999999999784</v>
      </c>
      <c r="O420">
        <f t="shared" ca="1" si="130"/>
        <v>0.1799999999999784</v>
      </c>
      <c r="P420">
        <f t="shared" ca="1" si="131"/>
        <v>0</v>
      </c>
      <c r="Q420">
        <f t="shared" ca="1" si="135"/>
        <v>0.58352503209174367</v>
      </c>
      <c r="R420">
        <f t="shared" ca="1" si="136"/>
        <v>0.45283643113005878</v>
      </c>
      <c r="S420">
        <f t="shared" ca="1" si="133"/>
        <v>1.2886000153202115</v>
      </c>
      <c r="T420">
        <f t="shared" ca="1" si="134"/>
        <v>56.305165022028362</v>
      </c>
      <c r="U420">
        <f>70</f>
        <v>70</v>
      </c>
      <c r="V420">
        <f>30</f>
        <v>30</v>
      </c>
      <c r="W420">
        <f t="shared" ca="1" si="132"/>
        <v>156.9274420615078</v>
      </c>
      <c r="X420">
        <f t="shared" ca="1" si="142"/>
        <v>156.46686094428358</v>
      </c>
      <c r="Y420">
        <f t="shared" ca="1" si="141"/>
        <v>0.60695294978819447</v>
      </c>
      <c r="Z420">
        <f t="shared" ca="1" si="122"/>
        <v>0.27338886762964687</v>
      </c>
      <c r="AA420">
        <f t="shared" ca="1" si="123"/>
        <v>0.3335640821585476</v>
      </c>
      <c r="AB420">
        <f t="shared" ca="1" si="124"/>
        <v>159.8826</v>
      </c>
    </row>
    <row r="421" spans="1:28" x14ac:dyDescent="0.25">
      <c r="A421" s="20">
        <f t="shared" ca="1" si="125"/>
        <v>45901</v>
      </c>
      <c r="B421" vm="1221">
        <f ca="1"/>
        <v>45904</v>
      </c>
      <c r="C421" vm="1222">
        <f ca="1"/>
        <v>159.19</v>
      </c>
      <c r="D421" vm="1223">
        <f ca="1"/>
        <v>6935245</v>
      </c>
      <c r="E421">
        <f t="shared" ca="1" si="126"/>
        <v>1104021651.55</v>
      </c>
      <c r="F421">
        <f ca="1">SUM($E$2:E421)/SUM($D$2:D421)</f>
        <v>164.02042884814122</v>
      </c>
      <c r="G421">
        <f ca="1">_xlfn.STDEV.P($C$2:C421)</f>
        <v>6.5902252152528975</v>
      </c>
      <c r="H421">
        <f t="shared" ca="1" si="127"/>
        <v>170.61065406339412</v>
      </c>
      <c r="I421">
        <f t="shared" ca="1" si="128"/>
        <v>157.43020363288832</v>
      </c>
      <c r="J421">
        <f t="shared" ca="1" si="137"/>
        <v>156.4365</v>
      </c>
      <c r="K421">
        <f t="shared" ca="1" si="138"/>
        <v>1.9525672035068378</v>
      </c>
      <c r="L421">
        <f t="shared" ca="1" si="139"/>
        <v>160.34163440701366</v>
      </c>
      <c r="M421">
        <f t="shared" ca="1" si="140"/>
        <v>152.53136559298633</v>
      </c>
      <c r="N421">
        <f t="shared" ca="1" si="129"/>
        <v>1.0200000000000102</v>
      </c>
      <c r="O421">
        <f t="shared" ca="1" si="130"/>
        <v>1.0200000000000102</v>
      </c>
      <c r="P421">
        <f t="shared" ca="1" si="131"/>
        <v>0</v>
      </c>
      <c r="Q421">
        <f t="shared" ca="1" si="135"/>
        <v>0.61470181551376268</v>
      </c>
      <c r="R421">
        <f t="shared" ca="1" si="136"/>
        <v>0.42049097176362604</v>
      </c>
      <c r="S421">
        <f t="shared" ca="1" si="133"/>
        <v>1.461866857534601</v>
      </c>
      <c r="T421">
        <f t="shared" ca="1" si="134"/>
        <v>59.380419093767131</v>
      </c>
      <c r="U421">
        <f>70</f>
        <v>70</v>
      </c>
      <c r="V421">
        <f>30</f>
        <v>30</v>
      </c>
      <c r="W421">
        <f t="shared" ca="1" si="132"/>
        <v>157.2755278981989</v>
      </c>
      <c r="X421">
        <f t="shared" ca="1" si="142"/>
        <v>156.66857494841071</v>
      </c>
      <c r="Y421">
        <f t="shared" ca="1" si="141"/>
        <v>0.78092571946322664</v>
      </c>
      <c r="Z421">
        <f t="shared" ca="1" si="122"/>
        <v>0.37489623799636285</v>
      </c>
      <c r="AA421">
        <f t="shared" ca="1" si="123"/>
        <v>0.4060294814668638</v>
      </c>
      <c r="AB421">
        <f t="shared" ca="1" si="124"/>
        <v>159.8389</v>
      </c>
    </row>
    <row r="422" spans="1:28" x14ac:dyDescent="0.25">
      <c r="A422" s="20">
        <f t="shared" ca="1" si="125"/>
        <v>45901</v>
      </c>
      <c r="B422" vm="1224">
        <f ca="1"/>
        <v>45905</v>
      </c>
      <c r="C422" vm="1225">
        <f ca="1"/>
        <v>160.02000000000001</v>
      </c>
      <c r="D422" vm="1226">
        <f ca="1"/>
        <v>6436150</v>
      </c>
      <c r="E422">
        <f t="shared" ca="1" si="126"/>
        <v>1029912723.0000001</v>
      </c>
      <c r="F422">
        <f ca="1">SUM($E$2:E422)/SUM($D$2:D422)</f>
        <v>164.01196929164794</v>
      </c>
      <c r="G422">
        <f ca="1">_xlfn.STDEV.P($C$2:C422)</f>
        <v>6.5856142686156343</v>
      </c>
      <c r="H422">
        <f t="shared" ca="1" si="127"/>
        <v>170.59758356026359</v>
      </c>
      <c r="I422">
        <f t="shared" ca="1" si="128"/>
        <v>157.4263550230323</v>
      </c>
      <c r="J422">
        <f t="shared" ca="1" si="137"/>
        <v>156.76300000000001</v>
      </c>
      <c r="K422">
        <f t="shared" ca="1" si="138"/>
        <v>1.9797051880466801</v>
      </c>
      <c r="L422">
        <f t="shared" ca="1" si="139"/>
        <v>160.72241037609336</v>
      </c>
      <c r="M422">
        <f t="shared" ca="1" si="140"/>
        <v>152.80358962390665</v>
      </c>
      <c r="N422">
        <f t="shared" ca="1" si="129"/>
        <v>0.83000000000001251</v>
      </c>
      <c r="O422">
        <f t="shared" ca="1" si="130"/>
        <v>0.83000000000001251</v>
      </c>
      <c r="P422">
        <f t="shared" ca="1" si="131"/>
        <v>0</v>
      </c>
      <c r="Q422">
        <f t="shared" ca="1" si="135"/>
        <v>0.6300802572627805</v>
      </c>
      <c r="R422">
        <f t="shared" ca="1" si="136"/>
        <v>0.39045590235193844</v>
      </c>
      <c r="S422">
        <f t="shared" ca="1" si="133"/>
        <v>1.6137040148898967</v>
      </c>
      <c r="T422">
        <f t="shared" ca="1" si="134"/>
        <v>61.740120751885314</v>
      </c>
      <c r="U422">
        <f>70</f>
        <v>70</v>
      </c>
      <c r="V422">
        <f>30</f>
        <v>30</v>
      </c>
      <c r="W422">
        <f t="shared" ca="1" si="132"/>
        <v>157.69775437539906</v>
      </c>
      <c r="X422">
        <f t="shared" ca="1" si="142"/>
        <v>156.91682865593583</v>
      </c>
      <c r="Y422">
        <f t="shared" ca="1" si="141"/>
        <v>0.82775993251956947</v>
      </c>
      <c r="Z422">
        <f t="shared" ref="Z422:Z485" ca="1" si="143">Y422*(2/(9+1)) + Z421*(1-(2/(9+1)))</f>
        <v>0.46546897690100419</v>
      </c>
      <c r="AA422">
        <f t="shared" ref="AA422:AA485" ca="1" si="144">Y422-Z422</f>
        <v>0.36229095561856528</v>
      </c>
      <c r="AB422">
        <f t="shared" ref="AB422:AB485" ca="1" si="145">AVERAGE(C323:C422)</f>
        <v>159.77000000000001</v>
      </c>
    </row>
    <row r="423" spans="1:28" x14ac:dyDescent="0.25">
      <c r="A423" s="20">
        <f t="shared" ca="1" si="125"/>
        <v>45908</v>
      </c>
      <c r="B423" vm="1227">
        <f ca="1"/>
        <v>45908</v>
      </c>
      <c r="C423" vm="1228">
        <f ca="1"/>
        <v>159.01</v>
      </c>
      <c r="D423" vm="1229">
        <f ca="1"/>
        <v>7178356</v>
      </c>
      <c r="E423">
        <f t="shared" ca="1" si="126"/>
        <v>1141430387.5599999</v>
      </c>
      <c r="F423">
        <f ca="1">SUM($E$2:E423)/SUM($D$2:D423)</f>
        <v>164.00019979703771</v>
      </c>
      <c r="G423">
        <f ca="1">_xlfn.STDEV.P($C$2:C423)</f>
        <v>6.5827209524055181</v>
      </c>
      <c r="H423">
        <f t="shared" ca="1" si="127"/>
        <v>170.58292074944322</v>
      </c>
      <c r="I423">
        <f t="shared" ca="1" si="128"/>
        <v>157.4174788446322</v>
      </c>
      <c r="J423">
        <f t="shared" ca="1" si="137"/>
        <v>157.03800000000001</v>
      </c>
      <c r="K423">
        <f t="shared" ca="1" si="138"/>
        <v>1.8837241948080541</v>
      </c>
      <c r="L423">
        <f t="shared" ca="1" si="139"/>
        <v>160.80544838961612</v>
      </c>
      <c r="M423">
        <f t="shared" ca="1" si="140"/>
        <v>153.2705516103839</v>
      </c>
      <c r="N423">
        <f t="shared" ca="1" si="129"/>
        <v>-1.0100000000000193</v>
      </c>
      <c r="O423">
        <f t="shared" ca="1" si="130"/>
        <v>0</v>
      </c>
      <c r="P423">
        <f t="shared" ca="1" si="131"/>
        <v>1.0100000000000193</v>
      </c>
      <c r="Q423">
        <f t="shared" ca="1" si="135"/>
        <v>0.58507452460115328</v>
      </c>
      <c r="R423">
        <f t="shared" ca="1" si="136"/>
        <v>0.43470905218394418</v>
      </c>
      <c r="S423">
        <f t="shared" ca="1" si="133"/>
        <v>1.3458991057623133</v>
      </c>
      <c r="T423">
        <f t="shared" ca="1" si="134"/>
        <v>57.372420768494891</v>
      </c>
      <c r="U423">
        <f>70</f>
        <v>70</v>
      </c>
      <c r="V423">
        <f>30</f>
        <v>30</v>
      </c>
      <c r="W423">
        <f t="shared" ca="1" si="132"/>
        <v>157.89963831764535</v>
      </c>
      <c r="X423">
        <f t="shared" ca="1" si="142"/>
        <v>157.07187838512579</v>
      </c>
      <c r="Y423">
        <f t="shared" ca="1" si="141"/>
        <v>0.89091767856064052</v>
      </c>
      <c r="Z423">
        <f t="shared" ca="1" si="143"/>
        <v>0.55055871723293148</v>
      </c>
      <c r="AA423">
        <f t="shared" ca="1" si="144"/>
        <v>0.34035896132770904</v>
      </c>
      <c r="AB423">
        <f t="shared" ca="1" si="145"/>
        <v>159.6688</v>
      </c>
    </row>
    <row r="424" spans="1:28" x14ac:dyDescent="0.25">
      <c r="A424" s="20">
        <f t="shared" ca="1" si="125"/>
        <v>45908</v>
      </c>
      <c r="B424" vm="1230">
        <f ca="1"/>
        <v>45909</v>
      </c>
      <c r="C424" vm="1231">
        <f ca="1"/>
        <v>159.46</v>
      </c>
      <c r="D424" vm="1232">
        <f ca="1"/>
        <v>4984936</v>
      </c>
      <c r="E424">
        <f t="shared" ca="1" si="126"/>
        <v>794897894.56000006</v>
      </c>
      <c r="F424">
        <f ca="1">SUM($E$2:E424)/SUM($D$2:D424)</f>
        <v>163.99279322424715</v>
      </c>
      <c r="G424">
        <f ca="1">_xlfn.STDEV.P($C$2:C424)</f>
        <v>6.5790114608757913</v>
      </c>
      <c r="H424">
        <f t="shared" ca="1" si="127"/>
        <v>170.57180468512294</v>
      </c>
      <c r="I424">
        <f t="shared" ca="1" si="128"/>
        <v>157.41378176337136</v>
      </c>
      <c r="J424">
        <f t="shared" ca="1" si="137"/>
        <v>157.26200000000003</v>
      </c>
      <c r="K424">
        <f t="shared" ca="1" si="138"/>
        <v>1.8924659490783555</v>
      </c>
      <c r="L424">
        <f t="shared" ca="1" si="139"/>
        <v>161.04693189815674</v>
      </c>
      <c r="M424">
        <f t="shared" ca="1" si="140"/>
        <v>153.47706810184332</v>
      </c>
      <c r="N424">
        <f t="shared" ca="1" si="129"/>
        <v>0.45000000000001705</v>
      </c>
      <c r="O424">
        <f t="shared" ca="1" si="130"/>
        <v>0.45000000000001705</v>
      </c>
      <c r="P424">
        <f t="shared" ca="1" si="131"/>
        <v>0</v>
      </c>
      <c r="Q424">
        <f t="shared" ca="1" si="135"/>
        <v>0.57542634427250072</v>
      </c>
      <c r="R424">
        <f t="shared" ca="1" si="136"/>
        <v>0.40365840559937677</v>
      </c>
      <c r="S424">
        <f t="shared" ca="1" si="133"/>
        <v>1.4255279619857597</v>
      </c>
      <c r="T424">
        <f t="shared" ca="1" si="134"/>
        <v>58.771862634751557</v>
      </c>
      <c r="U424">
        <f>70</f>
        <v>70</v>
      </c>
      <c r="V424">
        <f>30</f>
        <v>30</v>
      </c>
      <c r="W424">
        <f t="shared" ca="1" si="132"/>
        <v>158.13969396108453</v>
      </c>
      <c r="X424">
        <f t="shared" ca="1" si="142"/>
        <v>157.24877628252389</v>
      </c>
      <c r="Y424">
        <f t="shared" ca="1" si="141"/>
        <v>0.7619282467858568</v>
      </c>
      <c r="Z424">
        <f t="shared" ca="1" si="143"/>
        <v>0.59283262314351659</v>
      </c>
      <c r="AA424">
        <f t="shared" ca="1" si="144"/>
        <v>0.16909562364234021</v>
      </c>
      <c r="AB424">
        <f t="shared" ca="1" si="145"/>
        <v>159.5787</v>
      </c>
    </row>
    <row r="425" spans="1:28" x14ac:dyDescent="0.25">
      <c r="A425" s="20">
        <f t="shared" ca="1" si="125"/>
        <v>45908</v>
      </c>
      <c r="B425" vm="1233">
        <f ca="1"/>
        <v>45910</v>
      </c>
      <c r="C425" vm="1234">
        <f ca="1"/>
        <v>157.35</v>
      </c>
      <c r="D425" vm="1235">
        <f ca="1"/>
        <v>6205463</v>
      </c>
      <c r="E425">
        <f t="shared" ca="1" si="126"/>
        <v>976429603.04999995</v>
      </c>
      <c r="F425">
        <f ca="1">SUM($E$2:E425)/SUM($D$2:D425)</f>
        <v>163.97933069630147</v>
      </c>
      <c r="G425">
        <f ca="1">_xlfn.STDEV.P($C$2:C425)</f>
        <v>6.5796848733554754</v>
      </c>
      <c r="H425">
        <f t="shared" ca="1" si="127"/>
        <v>170.55901556965694</v>
      </c>
      <c r="I425">
        <f t="shared" ca="1" si="128"/>
        <v>157.39964582294601</v>
      </c>
      <c r="J425">
        <f t="shared" ca="1" si="137"/>
        <v>157.37500000000003</v>
      </c>
      <c r="K425">
        <f t="shared" ca="1" si="138"/>
        <v>1.8221141566872228</v>
      </c>
      <c r="L425">
        <f t="shared" ca="1" si="139"/>
        <v>161.01922831337447</v>
      </c>
      <c r="M425">
        <f t="shared" ca="1" si="140"/>
        <v>153.73077168662559</v>
      </c>
      <c r="N425">
        <f t="shared" ca="1" si="129"/>
        <v>-2.1100000000000136</v>
      </c>
      <c r="O425">
        <f t="shared" ca="1" si="130"/>
        <v>0</v>
      </c>
      <c r="P425">
        <f t="shared" ca="1" si="131"/>
        <v>2.1100000000000136</v>
      </c>
      <c r="Q425">
        <f t="shared" ca="1" si="135"/>
        <v>0.53432446253875066</v>
      </c>
      <c r="R425">
        <f t="shared" ca="1" si="136"/>
        <v>0.52553994805656512</v>
      </c>
      <c r="S425">
        <f t="shared" ca="1" si="133"/>
        <v>1.0167152173962617</v>
      </c>
      <c r="T425">
        <f t="shared" ca="1" si="134"/>
        <v>50.414416900613318</v>
      </c>
      <c r="U425">
        <f>70</f>
        <v>70</v>
      </c>
      <c r="V425">
        <f>30</f>
        <v>30</v>
      </c>
      <c r="W425">
        <f t="shared" ca="1" si="132"/>
        <v>158.01820258245613</v>
      </c>
      <c r="X425">
        <f t="shared" ca="1" si="142"/>
        <v>157.25627433567027</v>
      </c>
      <c r="Y425">
        <f t="shared" ca="1" si="141"/>
        <v>0.75429346979095158</v>
      </c>
      <c r="Z425">
        <f t="shared" ca="1" si="143"/>
        <v>0.62512479247300357</v>
      </c>
      <c r="AA425">
        <f t="shared" ca="1" si="144"/>
        <v>0.12916867731794801</v>
      </c>
      <c r="AB425">
        <f t="shared" ca="1" si="145"/>
        <v>159.48830000000001</v>
      </c>
    </row>
    <row r="426" spans="1:28" x14ac:dyDescent="0.25">
      <c r="A426" s="20">
        <f t="shared" ca="1" si="125"/>
        <v>45908</v>
      </c>
      <c r="B426" vm="1236">
        <f ca="1"/>
        <v>45911</v>
      </c>
      <c r="C426" vm="1086">
        <f ca="1"/>
        <v>158.63</v>
      </c>
      <c r="D426" vm="1237">
        <f ca="1"/>
        <v>5819875</v>
      </c>
      <c r="E426">
        <f t="shared" ca="1" si="126"/>
        <v>923206771.25</v>
      </c>
      <c r="F426">
        <f ca="1">SUM($E$2:E426)/SUM($D$2:D426)</f>
        <v>163.96918247069036</v>
      </c>
      <c r="G426">
        <f ca="1">_xlfn.STDEV.P($C$2:C426)</f>
        <v>6.5774790366453182</v>
      </c>
      <c r="H426">
        <f t="shared" ca="1" si="127"/>
        <v>170.54666150733567</v>
      </c>
      <c r="I426">
        <f t="shared" ca="1" si="128"/>
        <v>157.39170343404504</v>
      </c>
      <c r="J426">
        <f t="shared" ca="1" si="137"/>
        <v>157.53600000000003</v>
      </c>
      <c r="K426">
        <f t="shared" ca="1" si="138"/>
        <v>1.7811480626417953</v>
      </c>
      <c r="L426">
        <f t="shared" ca="1" si="139"/>
        <v>161.09829612528361</v>
      </c>
      <c r="M426">
        <f t="shared" ca="1" si="140"/>
        <v>153.97370387471645</v>
      </c>
      <c r="N426">
        <f t="shared" ca="1" si="129"/>
        <v>1.2800000000000011</v>
      </c>
      <c r="O426">
        <f t="shared" ca="1" si="130"/>
        <v>1.2800000000000011</v>
      </c>
      <c r="P426">
        <f t="shared" ca="1" si="131"/>
        <v>0</v>
      </c>
      <c r="Q426">
        <f t="shared" ca="1" si="135"/>
        <v>0.58758700092883998</v>
      </c>
      <c r="R426">
        <f t="shared" ca="1" si="136"/>
        <v>0.48800138033823909</v>
      </c>
      <c r="S426">
        <f t="shared" ca="1" si="133"/>
        <v>1.2040683174329896</v>
      </c>
      <c r="T426">
        <f t="shared" ca="1" si="134"/>
        <v>54.629355538095609</v>
      </c>
      <c r="U426">
        <f>70</f>
        <v>70</v>
      </c>
      <c r="V426">
        <f>30</f>
        <v>30</v>
      </c>
      <c r="W426">
        <f t="shared" ca="1" si="132"/>
        <v>158.11232526207826</v>
      </c>
      <c r="X426">
        <f t="shared" ca="1" si="142"/>
        <v>157.35803179228731</v>
      </c>
      <c r="Y426">
        <f t="shared" ca="1" si="141"/>
        <v>0.68148225169193211</v>
      </c>
      <c r="Z426">
        <f t="shared" ca="1" si="143"/>
        <v>0.6363962843167893</v>
      </c>
      <c r="AA426">
        <f t="shared" ca="1" si="144"/>
        <v>4.508596737514281E-2</v>
      </c>
      <c r="AB426">
        <f t="shared" ca="1" si="145"/>
        <v>159.3683</v>
      </c>
    </row>
    <row r="427" spans="1:28" x14ac:dyDescent="0.25">
      <c r="A427" s="20">
        <f t="shared" ca="1" si="125"/>
        <v>45908</v>
      </c>
      <c r="B427" vm="1238">
        <f ca="1"/>
        <v>45912</v>
      </c>
      <c r="C427" vm="1239">
        <f ca="1"/>
        <v>157.9</v>
      </c>
      <c r="D427" vm="1240">
        <f ca="1"/>
        <v>5957021</v>
      </c>
      <c r="E427">
        <f t="shared" ca="1" si="126"/>
        <v>940613615.89999998</v>
      </c>
      <c r="F427">
        <f ca="1">SUM($E$2:E427)/SUM($D$2:D427)</f>
        <v>163.95742012775315</v>
      </c>
      <c r="G427">
        <f ca="1">_xlfn.STDEV.P($C$2:C427)</f>
        <v>6.5767965471772678</v>
      </c>
      <c r="H427">
        <f t="shared" ca="1" si="127"/>
        <v>170.53421667493043</v>
      </c>
      <c r="I427">
        <f t="shared" ca="1" si="128"/>
        <v>157.38062358057587</v>
      </c>
      <c r="J427">
        <f t="shared" ca="1" si="137"/>
        <v>157.744</v>
      </c>
      <c r="K427">
        <f t="shared" ca="1" si="138"/>
        <v>1.5412722017865603</v>
      </c>
      <c r="L427">
        <f t="shared" ca="1" si="139"/>
        <v>160.82654440357311</v>
      </c>
      <c r="M427">
        <f t="shared" ca="1" si="140"/>
        <v>154.66145559642689</v>
      </c>
      <c r="N427">
        <f t="shared" ca="1" si="129"/>
        <v>-0.72999999999998977</v>
      </c>
      <c r="O427">
        <f t="shared" ca="1" si="130"/>
        <v>0</v>
      </c>
      <c r="P427">
        <f t="shared" ca="1" si="131"/>
        <v>0.72999999999998977</v>
      </c>
      <c r="Q427">
        <f t="shared" ca="1" si="135"/>
        <v>0.54561650086249425</v>
      </c>
      <c r="R427">
        <f t="shared" ca="1" si="136"/>
        <v>0.50528699602836413</v>
      </c>
      <c r="S427">
        <f t="shared" ca="1" si="133"/>
        <v>1.0798150460057876</v>
      </c>
      <c r="T427">
        <f t="shared" ca="1" si="134"/>
        <v>51.91880153379671</v>
      </c>
      <c r="U427">
        <f>70</f>
        <v>70</v>
      </c>
      <c r="V427">
        <f>30</f>
        <v>30</v>
      </c>
      <c r="W427">
        <f t="shared" ca="1" si="132"/>
        <v>158.07965983714314</v>
      </c>
      <c r="X427">
        <f t="shared" ca="1" si="142"/>
        <v>157.39817758545121</v>
      </c>
      <c r="Y427">
        <f t="shared" ca="1" si="141"/>
        <v>0.53131412068339046</v>
      </c>
      <c r="Z427">
        <f t="shared" ca="1" si="143"/>
        <v>0.61537985159010955</v>
      </c>
      <c r="AA427">
        <f t="shared" ca="1" si="144"/>
        <v>-8.4065730906719094E-2</v>
      </c>
      <c r="AB427">
        <f t="shared" ca="1" si="145"/>
        <v>159.28979999999999</v>
      </c>
    </row>
    <row r="428" spans="1:28" x14ac:dyDescent="0.25">
      <c r="A428" s="20">
        <f t="shared" ca="1" si="125"/>
        <v>45915</v>
      </c>
      <c r="B428" vm="1241">
        <f ca="1"/>
        <v>45915</v>
      </c>
      <c r="C428" vm="1242">
        <f ca="1"/>
        <v>156.83000000000001</v>
      </c>
      <c r="D428" vm="1243">
        <f ca="1"/>
        <v>5994966</v>
      </c>
      <c r="E428">
        <f t="shared" ca="1" si="126"/>
        <v>940190517.78000009</v>
      </c>
      <c r="F428">
        <f ca="1">SUM($E$2:E428)/SUM($D$2:D428)</f>
        <v>163.94354594608797</v>
      </c>
      <c r="G428">
        <f ca="1">_xlfn.STDEV.P($C$2:C428)</f>
        <v>6.5786718024020665</v>
      </c>
      <c r="H428">
        <f t="shared" ca="1" si="127"/>
        <v>170.52221774849002</v>
      </c>
      <c r="I428">
        <f t="shared" ca="1" si="128"/>
        <v>157.36487414368591</v>
      </c>
      <c r="J428">
        <f t="shared" ca="1" si="137"/>
        <v>157.86750000000001</v>
      </c>
      <c r="K428">
        <f t="shared" ca="1" si="138"/>
        <v>1.3419109508458431</v>
      </c>
      <c r="L428">
        <f t="shared" ca="1" si="139"/>
        <v>160.55132190169169</v>
      </c>
      <c r="M428">
        <f t="shared" ca="1" si="140"/>
        <v>155.18367809830832</v>
      </c>
      <c r="N428">
        <f t="shared" ca="1" si="129"/>
        <v>-1.0699999999999932</v>
      </c>
      <c r="O428">
        <f t="shared" ca="1" si="130"/>
        <v>0</v>
      </c>
      <c r="P428">
        <f t="shared" ca="1" si="131"/>
        <v>1.0699999999999932</v>
      </c>
      <c r="Q428">
        <f t="shared" ca="1" si="135"/>
        <v>0.50664389365803042</v>
      </c>
      <c r="R428">
        <f t="shared" ca="1" si="136"/>
        <v>0.54562363916919476</v>
      </c>
      <c r="S428">
        <f t="shared" ca="1" si="133"/>
        <v>0.9285592802201208</v>
      </c>
      <c r="T428">
        <f t="shared" ca="1" si="134"/>
        <v>48.147821523751006</v>
      </c>
      <c r="U428">
        <f>70</f>
        <v>70</v>
      </c>
      <c r="V428">
        <f>30</f>
        <v>30</v>
      </c>
      <c r="W428">
        <f t="shared" ca="1" si="132"/>
        <v>157.88740447758266</v>
      </c>
      <c r="X428">
        <f t="shared" ca="1" si="142"/>
        <v>157.35609035689927</v>
      </c>
      <c r="Y428">
        <f t="shared" ca="1" si="141"/>
        <v>0.50492810213617645</v>
      </c>
      <c r="Z428">
        <f t="shared" ca="1" si="143"/>
        <v>0.59328950169932293</v>
      </c>
      <c r="AA428">
        <f t="shared" ca="1" si="144"/>
        <v>-8.8361399563146481E-2</v>
      </c>
      <c r="AB428">
        <f t="shared" ca="1" si="145"/>
        <v>159.17929999999998</v>
      </c>
    </row>
    <row r="429" spans="1:28" x14ac:dyDescent="0.25">
      <c r="A429" s="20">
        <f t="shared" ca="1" si="125"/>
        <v>45915</v>
      </c>
      <c r="B429" vm="1244">
        <f ca="1"/>
        <v>45916</v>
      </c>
      <c r="C429" vm="1245">
        <f ca="1"/>
        <v>158.05000000000001</v>
      </c>
      <c r="D429" vm="1246">
        <f ca="1"/>
        <v>6559608</v>
      </c>
      <c r="E429">
        <f t="shared" ca="1" si="126"/>
        <v>1036746044.4000001</v>
      </c>
      <c r="F429">
        <f ca="1">SUM($E$2:E429)/SUM($D$2:D429)</f>
        <v>163.93101976116756</v>
      </c>
      <c r="G429">
        <f ca="1">_xlfn.STDEV.P($C$2:C429)</f>
        <v>6.5775903699944145</v>
      </c>
      <c r="H429">
        <f t="shared" ca="1" si="127"/>
        <v>170.50861013116199</v>
      </c>
      <c r="I429">
        <f t="shared" ca="1" si="128"/>
        <v>157.35342939117314</v>
      </c>
      <c r="J429">
        <f t="shared" ca="1" si="137"/>
        <v>157.98400000000001</v>
      </c>
      <c r="K429">
        <f t="shared" ca="1" si="138"/>
        <v>1.2431682784004134</v>
      </c>
      <c r="L429">
        <f t="shared" ca="1" si="139"/>
        <v>160.47033655680085</v>
      </c>
      <c r="M429">
        <f t="shared" ca="1" si="140"/>
        <v>155.49766344319917</v>
      </c>
      <c r="N429">
        <f t="shared" ca="1" si="129"/>
        <v>1.2199999999999989</v>
      </c>
      <c r="O429">
        <f t="shared" ca="1" si="130"/>
        <v>1.2199999999999989</v>
      </c>
      <c r="P429">
        <f t="shared" ca="1" si="131"/>
        <v>0</v>
      </c>
      <c r="Q429">
        <f t="shared" ca="1" si="135"/>
        <v>0.55759790125388531</v>
      </c>
      <c r="R429">
        <f t="shared" ca="1" si="136"/>
        <v>0.50665052208568084</v>
      </c>
      <c r="S429">
        <f t="shared" ca="1" si="133"/>
        <v>1.1005572420185696</v>
      </c>
      <c r="T429">
        <f t="shared" ca="1" si="134"/>
        <v>52.39358490230758</v>
      </c>
      <c r="U429">
        <f>70</f>
        <v>70</v>
      </c>
      <c r="V429">
        <f>30</f>
        <v>30</v>
      </c>
      <c r="W429">
        <f t="shared" ca="1" si="132"/>
        <v>157.9124191733392</v>
      </c>
      <c r="X429">
        <f t="shared" ca="1" si="142"/>
        <v>157.40749107120303</v>
      </c>
      <c r="Y429">
        <f t="shared" ca="1" si="141"/>
        <v>0.66038147105632561</v>
      </c>
      <c r="Z429">
        <f t="shared" ca="1" si="143"/>
        <v>0.60670789557072347</v>
      </c>
      <c r="AA429">
        <f t="shared" ca="1" si="144"/>
        <v>5.3673575485602143E-2</v>
      </c>
      <c r="AB429">
        <f t="shared" ca="1" si="145"/>
        <v>159.10249999999999</v>
      </c>
    </row>
    <row r="430" spans="1:28" x14ac:dyDescent="0.25">
      <c r="A430" s="20">
        <f t="shared" ca="1" si="125"/>
        <v>45915</v>
      </c>
      <c r="B430" vm="1247">
        <f ca="1"/>
        <v>45917</v>
      </c>
      <c r="C430" vm="1248">
        <f ca="1"/>
        <v>160.33000000000001</v>
      </c>
      <c r="D430" vm="1249">
        <f ca="1"/>
        <v>6764169</v>
      </c>
      <c r="E430">
        <f t="shared" ca="1" si="126"/>
        <v>1084499215.77</v>
      </c>
      <c r="F430">
        <f ca="1">SUM($E$2:E430)/SUM($D$2:D430)</f>
        <v>163.92314470942034</v>
      </c>
      <c r="G430">
        <f ca="1">_xlfn.STDEV.P($C$2:C430)</f>
        <v>6.5724899603031588</v>
      </c>
      <c r="H430">
        <f t="shared" ca="1" si="127"/>
        <v>170.4956346697235</v>
      </c>
      <c r="I430">
        <f t="shared" ca="1" si="128"/>
        <v>157.35065474911718</v>
      </c>
      <c r="J430">
        <f t="shared" ca="1" si="137"/>
        <v>158.08050000000003</v>
      </c>
      <c r="K430">
        <f t="shared" ca="1" si="138"/>
        <v>1.3476743125219746</v>
      </c>
      <c r="L430">
        <f t="shared" ca="1" si="139"/>
        <v>160.77584862504398</v>
      </c>
      <c r="M430">
        <f t="shared" ca="1" si="140"/>
        <v>155.38515137495608</v>
      </c>
      <c r="N430">
        <f t="shared" ca="1" si="129"/>
        <v>2.2800000000000011</v>
      </c>
      <c r="O430">
        <f t="shared" ca="1" si="130"/>
        <v>2.2800000000000011</v>
      </c>
      <c r="P430">
        <f t="shared" ca="1" si="131"/>
        <v>0</v>
      </c>
      <c r="Q430">
        <f t="shared" ca="1" si="135"/>
        <v>0.68062662259289364</v>
      </c>
      <c r="R430">
        <f t="shared" ca="1" si="136"/>
        <v>0.47046119907956074</v>
      </c>
      <c r="S430">
        <f t="shared" ca="1" si="133"/>
        <v>1.4467221184754735</v>
      </c>
      <c r="T430">
        <f t="shared" ca="1" si="134"/>
        <v>59.128991704906419</v>
      </c>
      <c r="U430">
        <f>70</f>
        <v>70</v>
      </c>
      <c r="V430">
        <f>30</f>
        <v>30</v>
      </c>
      <c r="W430">
        <f t="shared" ca="1" si="132"/>
        <v>158.2843546851332</v>
      </c>
      <c r="X430">
        <f t="shared" ca="1" si="142"/>
        <v>157.62397321407687</v>
      </c>
      <c r="Y430">
        <f t="shared" ca="1" si="141"/>
        <v>0.53453574618112043</v>
      </c>
      <c r="Z430">
        <f t="shared" ca="1" si="143"/>
        <v>0.59227346569280293</v>
      </c>
      <c r="AA430">
        <f t="shared" ca="1" si="144"/>
        <v>-5.7737719511682495E-2</v>
      </c>
      <c r="AB430">
        <f t="shared" ca="1" si="145"/>
        <v>159.11049999999997</v>
      </c>
    </row>
    <row r="431" spans="1:28" x14ac:dyDescent="0.25">
      <c r="A431" s="20">
        <f t="shared" ca="1" si="125"/>
        <v>45915</v>
      </c>
      <c r="B431" vm="1250">
        <f ca="1"/>
        <v>45918</v>
      </c>
      <c r="C431" vm="1251">
        <f ca="1"/>
        <v>157.32</v>
      </c>
      <c r="D431" vm="1252">
        <f ca="1"/>
        <v>7651487</v>
      </c>
      <c r="E431">
        <f t="shared" ca="1" si="126"/>
        <v>1203731934.8399999</v>
      </c>
      <c r="F431">
        <f ca="1">SUM($E$2:E431)/SUM($D$2:D431)</f>
        <v>163.90685035705695</v>
      </c>
      <c r="G431">
        <f ca="1">_xlfn.STDEV.P($C$2:C431)</f>
        <v>6.573038734274391</v>
      </c>
      <c r="H431">
        <f t="shared" ca="1" si="127"/>
        <v>170.47988909133136</v>
      </c>
      <c r="I431">
        <f t="shared" ca="1" si="128"/>
        <v>157.33381162278255</v>
      </c>
      <c r="J431">
        <f t="shared" ca="1" si="137"/>
        <v>157.97100000000003</v>
      </c>
      <c r="K431">
        <f t="shared" ca="1" si="138"/>
        <v>1.3139610664743937</v>
      </c>
      <c r="L431">
        <f t="shared" ca="1" si="139"/>
        <v>160.59892213294881</v>
      </c>
      <c r="M431">
        <f t="shared" ca="1" si="140"/>
        <v>155.34307786705125</v>
      </c>
      <c r="N431">
        <f t="shared" ca="1" si="129"/>
        <v>-3.0100000000000193</v>
      </c>
      <c r="O431">
        <f t="shared" ca="1" si="130"/>
        <v>0</v>
      </c>
      <c r="P431">
        <f t="shared" ca="1" si="131"/>
        <v>3.0100000000000193</v>
      </c>
      <c r="Q431">
        <f t="shared" ca="1" si="135"/>
        <v>0.63201043526482981</v>
      </c>
      <c r="R431">
        <f t="shared" ca="1" si="136"/>
        <v>0.65185682771673636</v>
      </c>
      <c r="S431">
        <f t="shared" ca="1" si="133"/>
        <v>0.96955406216818707</v>
      </c>
      <c r="T431">
        <f t="shared" ca="1" si="134"/>
        <v>49.227085500808833</v>
      </c>
      <c r="U431">
        <f>70</f>
        <v>70</v>
      </c>
      <c r="V431">
        <f>30</f>
        <v>30</v>
      </c>
      <c r="W431">
        <f t="shared" ca="1" si="132"/>
        <v>158.13599242588194</v>
      </c>
      <c r="X431">
        <f t="shared" ca="1" si="142"/>
        <v>157.60145667970082</v>
      </c>
      <c r="Y431">
        <f t="shared" ca="1" si="141"/>
        <v>0.32773883072411536</v>
      </c>
      <c r="Z431">
        <f t="shared" ca="1" si="143"/>
        <v>0.53936653869906548</v>
      </c>
      <c r="AA431">
        <f t="shared" ca="1" si="144"/>
        <v>-0.21162770797495012</v>
      </c>
      <c r="AB431">
        <f t="shared" ca="1" si="145"/>
        <v>159.0735</v>
      </c>
    </row>
    <row r="432" spans="1:28" x14ac:dyDescent="0.25">
      <c r="A432" s="20">
        <f t="shared" ca="1" si="125"/>
        <v>45915</v>
      </c>
      <c r="B432" vm="1253">
        <f ca="1"/>
        <v>45919</v>
      </c>
      <c r="C432" vm="199">
        <f ca="1"/>
        <v>156.04</v>
      </c>
      <c r="D432" vm="1254">
        <f ca="1"/>
        <v>17224774</v>
      </c>
      <c r="E432">
        <f t="shared" ca="1" si="126"/>
        <v>2687753734.96</v>
      </c>
      <c r="F432">
        <f ca="1">SUM($E$2:E432)/SUM($D$2:D432)</f>
        <v>163.86339043122638</v>
      </c>
      <c r="G432">
        <f ca="1">_xlfn.STDEV.P($C$2:C432)</f>
        <v>6.5768980431020054</v>
      </c>
      <c r="H432">
        <f t="shared" ca="1" si="127"/>
        <v>170.44028847432838</v>
      </c>
      <c r="I432">
        <f t="shared" ca="1" si="128"/>
        <v>157.28649238812437</v>
      </c>
      <c r="J432">
        <f t="shared" ca="1" si="137"/>
        <v>157.83650000000003</v>
      </c>
      <c r="K432">
        <f t="shared" ca="1" si="138"/>
        <v>1.3687153985052065</v>
      </c>
      <c r="L432">
        <f t="shared" ca="1" si="139"/>
        <v>160.57393079701043</v>
      </c>
      <c r="M432">
        <f t="shared" ca="1" si="140"/>
        <v>155.09906920298963</v>
      </c>
      <c r="N432">
        <f t="shared" ca="1" si="129"/>
        <v>-1.2800000000000011</v>
      </c>
      <c r="O432">
        <f t="shared" ca="1" si="130"/>
        <v>0</v>
      </c>
      <c r="P432">
        <f t="shared" ca="1" si="131"/>
        <v>1.2800000000000011</v>
      </c>
      <c r="Q432">
        <f t="shared" ca="1" si="135"/>
        <v>0.58686683274591345</v>
      </c>
      <c r="R432">
        <f t="shared" ca="1" si="136"/>
        <v>0.69672419716554101</v>
      </c>
      <c r="S432">
        <f t="shared" ca="1" si="133"/>
        <v>0.84232302413701654</v>
      </c>
      <c r="T432">
        <f t="shared" ca="1" si="134"/>
        <v>45.720702238500145</v>
      </c>
      <c r="U432">
        <f>70</f>
        <v>70</v>
      </c>
      <c r="V432">
        <f>30</f>
        <v>30</v>
      </c>
      <c r="W432">
        <f t="shared" ca="1" si="132"/>
        <v>157.81353205266933</v>
      </c>
      <c r="X432">
        <f t="shared" ca="1" si="142"/>
        <v>157.48579322194522</v>
      </c>
      <c r="Y432">
        <f t="shared" ca="1" si="141"/>
        <v>-7.4939537006855517E-2</v>
      </c>
      <c r="Z432">
        <f t="shared" ca="1" si="143"/>
        <v>0.41650532355788128</v>
      </c>
      <c r="AA432">
        <f t="shared" ca="1" si="144"/>
        <v>-0.4914448605647368</v>
      </c>
      <c r="AB432">
        <f t="shared" ca="1" si="145"/>
        <v>159.0154</v>
      </c>
    </row>
    <row r="433" spans="1:28" x14ac:dyDescent="0.25">
      <c r="A433" s="20">
        <f t="shared" ca="1" si="125"/>
        <v>45922</v>
      </c>
      <c r="B433" vm="1255">
        <f ca="1"/>
        <v>45922</v>
      </c>
      <c r="C433" vm="1256">
        <f ca="1"/>
        <v>153.07</v>
      </c>
      <c r="D433" vm="1257">
        <f ca="1"/>
        <v>8712910</v>
      </c>
      <c r="E433">
        <f t="shared" ca="1" si="126"/>
        <v>1333685133.7</v>
      </c>
      <c r="F433">
        <f ca="1">SUM($E$2:E433)/SUM($D$2:D433)</f>
        <v>163.83331279179268</v>
      </c>
      <c r="G433">
        <f ca="1">_xlfn.STDEV.P($C$2:C433)</f>
        <v>6.5906231810105185</v>
      </c>
      <c r="H433">
        <f t="shared" ca="1" si="127"/>
        <v>170.42393597280321</v>
      </c>
      <c r="I433">
        <f t="shared" ca="1" si="128"/>
        <v>157.24268961078215</v>
      </c>
      <c r="J433">
        <f t="shared" ca="1" si="137"/>
        <v>157.55650000000003</v>
      </c>
      <c r="K433">
        <f t="shared" ca="1" si="138"/>
        <v>1.7175725679911746</v>
      </c>
      <c r="L433">
        <f t="shared" ca="1" si="139"/>
        <v>160.99164513598237</v>
      </c>
      <c r="M433">
        <f t="shared" ca="1" si="140"/>
        <v>154.12135486401769</v>
      </c>
      <c r="N433">
        <f t="shared" ca="1" si="129"/>
        <v>-2.9699999999999989</v>
      </c>
      <c r="O433">
        <f t="shared" ca="1" si="130"/>
        <v>0</v>
      </c>
      <c r="P433">
        <f t="shared" ca="1" si="131"/>
        <v>2.9699999999999989</v>
      </c>
      <c r="Q433">
        <f t="shared" ca="1" si="135"/>
        <v>0.54494777326406252</v>
      </c>
      <c r="R433">
        <f t="shared" ca="1" si="136"/>
        <v>0.85910104022514511</v>
      </c>
      <c r="S433">
        <f t="shared" ca="1" si="133"/>
        <v>0.6343232608835484</v>
      </c>
      <c r="T433">
        <f t="shared" ca="1" si="134"/>
        <v>38.812594550029246</v>
      </c>
      <c r="U433">
        <f>70</f>
        <v>70</v>
      </c>
      <c r="V433">
        <f>30</f>
        <v>30</v>
      </c>
      <c r="W433">
        <f t="shared" ca="1" si="132"/>
        <v>157.08375789072019</v>
      </c>
      <c r="X433">
        <f t="shared" ca="1" si="142"/>
        <v>157.15869742772705</v>
      </c>
      <c r="Y433">
        <f t="shared" ca="1" si="141"/>
        <v>-0.43504436030599436</v>
      </c>
      <c r="Z433">
        <f t="shared" ca="1" si="143"/>
        <v>0.24619538678510616</v>
      </c>
      <c r="AA433">
        <f t="shared" ca="1" si="144"/>
        <v>-0.68123974709110047</v>
      </c>
      <c r="AB433">
        <f t="shared" ca="1" si="145"/>
        <v>158.92349999999999</v>
      </c>
    </row>
    <row r="434" spans="1:28" x14ac:dyDescent="0.25">
      <c r="A434" s="20">
        <f t="shared" ca="1" si="125"/>
        <v>45922</v>
      </c>
      <c r="B434" vm="1258">
        <f ca="1"/>
        <v>45923</v>
      </c>
      <c r="C434" vm="1259">
        <f ca="1"/>
        <v>152.5</v>
      </c>
      <c r="D434" vm="1260">
        <f ca="1"/>
        <v>8853418</v>
      </c>
      <c r="E434">
        <f t="shared" ca="1" si="126"/>
        <v>1350146245</v>
      </c>
      <c r="F434">
        <f ca="1">SUM($E$2:E434)/SUM($D$2:D434)</f>
        <v>163.80131187189346</v>
      </c>
      <c r="G434">
        <f ca="1">_xlfn.STDEV.P($C$2:C434)</f>
        <v>6.6064028931740912</v>
      </c>
      <c r="H434">
        <f t="shared" ca="1" si="127"/>
        <v>170.40771476506754</v>
      </c>
      <c r="I434">
        <f t="shared" ca="1" si="128"/>
        <v>157.19490897871938</v>
      </c>
      <c r="J434">
        <f t="shared" ca="1" si="137"/>
        <v>157.37400000000002</v>
      </c>
      <c r="K434">
        <f t="shared" ca="1" si="138"/>
        <v>2.0387674294972822</v>
      </c>
      <c r="L434">
        <f t="shared" ca="1" si="139"/>
        <v>161.45153485899459</v>
      </c>
      <c r="M434">
        <f t="shared" ca="1" si="140"/>
        <v>153.29646514100546</v>
      </c>
      <c r="N434">
        <f t="shared" ca="1" si="129"/>
        <v>-0.56999999999999318</v>
      </c>
      <c r="O434">
        <f t="shared" ca="1" si="130"/>
        <v>0</v>
      </c>
      <c r="P434">
        <f t="shared" ca="1" si="131"/>
        <v>0.56999999999999318</v>
      </c>
      <c r="Q434">
        <f t="shared" ca="1" si="135"/>
        <v>0.50602293231662954</v>
      </c>
      <c r="R434">
        <f t="shared" ca="1" si="136"/>
        <v>0.83845096592334856</v>
      </c>
      <c r="S434">
        <f t="shared" ca="1" si="133"/>
        <v>0.60352119907139601</v>
      </c>
      <c r="T434">
        <f t="shared" ca="1" si="134"/>
        <v>37.63724479731836</v>
      </c>
      <c r="U434">
        <f>70</f>
        <v>70</v>
      </c>
      <c r="V434">
        <f>30</f>
        <v>30</v>
      </c>
      <c r="W434">
        <f t="shared" ca="1" si="132"/>
        <v>156.37856436907092</v>
      </c>
      <c r="X434">
        <f t="shared" ca="1" si="142"/>
        <v>156.81360872937691</v>
      </c>
      <c r="Y434">
        <f t="shared" ca="1" si="141"/>
        <v>-0.71860176476761239</v>
      </c>
      <c r="Z434">
        <f t="shared" ca="1" si="143"/>
        <v>5.3235956474562474E-2</v>
      </c>
      <c r="AA434">
        <f t="shared" ca="1" si="144"/>
        <v>-0.77183772124217487</v>
      </c>
      <c r="AB434">
        <f t="shared" ca="1" si="145"/>
        <v>158.8228</v>
      </c>
    </row>
    <row r="435" spans="1:28" x14ac:dyDescent="0.25">
      <c r="A435" s="20">
        <f t="shared" ca="1" si="125"/>
        <v>45922</v>
      </c>
      <c r="B435" vm="1261">
        <f ca="1"/>
        <v>45924</v>
      </c>
      <c r="C435" vm="1262">
        <f ca="1"/>
        <v>152.41999999999999</v>
      </c>
      <c r="D435" vm="1263">
        <f ca="1"/>
        <v>6483264</v>
      </c>
      <c r="E435">
        <f t="shared" ca="1" si="126"/>
        <v>988179098.87999988</v>
      </c>
      <c r="F435">
        <f ca="1">SUM($E$2:E435)/SUM($D$2:D435)</f>
        <v>163.7778272493849</v>
      </c>
      <c r="G435">
        <f ca="1">_xlfn.STDEV.P($C$2:C435)</f>
        <v>6.6222871763146731</v>
      </c>
      <c r="H435">
        <f t="shared" ca="1" si="127"/>
        <v>170.40011442569957</v>
      </c>
      <c r="I435">
        <f t="shared" ca="1" si="128"/>
        <v>157.15554007307023</v>
      </c>
      <c r="J435">
        <f t="shared" ca="1" si="137"/>
        <v>157.19650000000001</v>
      </c>
      <c r="K435">
        <f t="shared" ca="1" si="138"/>
        <v>2.3046366878876832</v>
      </c>
      <c r="L435">
        <f t="shared" ca="1" si="139"/>
        <v>161.80577337577537</v>
      </c>
      <c r="M435">
        <f t="shared" ca="1" si="140"/>
        <v>152.58722662422466</v>
      </c>
      <c r="N435">
        <f t="shared" ca="1" si="129"/>
        <v>-8.0000000000012506E-2</v>
      </c>
      <c r="O435">
        <f t="shared" ca="1" si="130"/>
        <v>0</v>
      </c>
      <c r="P435">
        <f t="shared" ca="1" si="131"/>
        <v>8.0000000000012506E-2</v>
      </c>
      <c r="Q435">
        <f t="shared" ca="1" si="135"/>
        <v>0.46987843715115601</v>
      </c>
      <c r="R435">
        <f t="shared" ca="1" si="136"/>
        <v>0.7842758969288246</v>
      </c>
      <c r="S435">
        <f t="shared" ca="1" si="133"/>
        <v>0.5991239039618208</v>
      </c>
      <c r="T435">
        <f t="shared" ca="1" si="134"/>
        <v>37.465758749368611</v>
      </c>
      <c r="U435">
        <f>70</f>
        <v>70</v>
      </c>
      <c r="V435">
        <f>30</f>
        <v>30</v>
      </c>
      <c r="W435">
        <f t="shared" ca="1" si="132"/>
        <v>155.76955446613692</v>
      </c>
      <c r="X435">
        <f t="shared" ca="1" si="142"/>
        <v>156.48815623090454</v>
      </c>
      <c r="Y435">
        <f t="shared" ca="1" si="141"/>
        <v>-0.95411139202650475</v>
      </c>
      <c r="Z435">
        <f t="shared" ca="1" si="143"/>
        <v>-0.14823351322565098</v>
      </c>
      <c r="AA435">
        <f t="shared" ca="1" si="144"/>
        <v>-0.80587787880085382</v>
      </c>
      <c r="AB435">
        <f t="shared" ca="1" si="145"/>
        <v>158.74719999999999</v>
      </c>
    </row>
    <row r="436" spans="1:28" x14ac:dyDescent="0.25">
      <c r="A436" s="20">
        <f t="shared" ca="1" si="125"/>
        <v>45922</v>
      </c>
      <c r="B436" vm="1264">
        <f ca="1"/>
        <v>45925</v>
      </c>
      <c r="C436" vm="1265">
        <f ca="1"/>
        <v>152.15</v>
      </c>
      <c r="D436" vm="1266">
        <f ca="1"/>
        <v>7511415</v>
      </c>
      <c r="E436">
        <f t="shared" ca="1" si="126"/>
        <v>1142861792.25</v>
      </c>
      <c r="F436">
        <f ca="1">SUM($E$2:E436)/SUM($D$2:D436)</f>
        <v>163.75009527015587</v>
      </c>
      <c r="G436">
        <f ca="1">_xlfn.STDEV.P($C$2:C436)</f>
        <v>6.6390478898809455</v>
      </c>
      <c r="H436">
        <f t="shared" ca="1" si="127"/>
        <v>170.38914316003681</v>
      </c>
      <c r="I436">
        <f t="shared" ca="1" si="128"/>
        <v>157.11104738027493</v>
      </c>
      <c r="J436">
        <f t="shared" ca="1" si="137"/>
        <v>156.95600000000002</v>
      </c>
      <c r="K436">
        <f t="shared" ca="1" si="138"/>
        <v>2.5666902710238402</v>
      </c>
      <c r="L436">
        <f t="shared" ca="1" si="139"/>
        <v>162.08938054204771</v>
      </c>
      <c r="M436">
        <f t="shared" ca="1" si="140"/>
        <v>151.82261945795233</v>
      </c>
      <c r="N436">
        <f t="shared" ca="1" si="129"/>
        <v>-0.26999999999998181</v>
      </c>
      <c r="O436">
        <f t="shared" ca="1" si="130"/>
        <v>0</v>
      </c>
      <c r="P436">
        <f t="shared" ca="1" si="131"/>
        <v>0.26999999999998181</v>
      </c>
      <c r="Q436">
        <f t="shared" ca="1" si="135"/>
        <v>0.43631569164035916</v>
      </c>
      <c r="R436">
        <f t="shared" ca="1" si="136"/>
        <v>0.74754190429105016</v>
      </c>
      <c r="S436">
        <f t="shared" ca="1" si="133"/>
        <v>0.58366720198000133</v>
      </c>
      <c r="T436">
        <f t="shared" ca="1" si="134"/>
        <v>36.855420207620867</v>
      </c>
      <c r="U436">
        <f>70</f>
        <v>70</v>
      </c>
      <c r="V436">
        <f>30</f>
        <v>30</v>
      </c>
      <c r="W436">
        <f t="shared" ca="1" si="132"/>
        <v>155.2126999328851</v>
      </c>
      <c r="X436">
        <f t="shared" ca="1" si="142"/>
        <v>156.16681132491161</v>
      </c>
      <c r="Y436">
        <f t="shared" ca="1" si="141"/>
        <v>-1.099834189542463</v>
      </c>
      <c r="Z436">
        <f t="shared" ca="1" si="143"/>
        <v>-0.33855364848901337</v>
      </c>
      <c r="AA436">
        <f t="shared" ca="1" si="144"/>
        <v>-0.76128054105344967</v>
      </c>
      <c r="AB436">
        <f t="shared" ca="1" si="145"/>
        <v>158.66349999999997</v>
      </c>
    </row>
    <row r="437" spans="1:28" x14ac:dyDescent="0.25">
      <c r="A437" s="20">
        <f t="shared" ca="1" si="125"/>
        <v>45922</v>
      </c>
      <c r="B437" vm="1267">
        <f ca="1"/>
        <v>45926</v>
      </c>
      <c r="C437" vm="1259">
        <f ca="1"/>
        <v>152.5</v>
      </c>
      <c r="D437" vm="1268">
        <f ca="1"/>
        <v>5721092</v>
      </c>
      <c r="E437">
        <f t="shared" ca="1" si="126"/>
        <v>872466530</v>
      </c>
      <c r="F437">
        <f ca="1">SUM($E$2:E437)/SUM($D$2:D437)</f>
        <v>163.72969633570557</v>
      </c>
      <c r="G437">
        <f ca="1">_xlfn.STDEV.P($C$2:C437)</f>
        <v>6.6541746741595285</v>
      </c>
      <c r="H437">
        <f t="shared" ca="1" si="127"/>
        <v>170.38387100986509</v>
      </c>
      <c r="I437">
        <f t="shared" ca="1" si="128"/>
        <v>157.07552166154605</v>
      </c>
      <c r="J437">
        <f t="shared" ca="1" si="137"/>
        <v>156.79850000000002</v>
      </c>
      <c r="K437">
        <f t="shared" ca="1" si="138"/>
        <v>2.7417268377122461</v>
      </c>
      <c r="L437">
        <f t="shared" ca="1" si="139"/>
        <v>162.28195367542452</v>
      </c>
      <c r="M437">
        <f t="shared" ca="1" si="140"/>
        <v>151.31504632457552</v>
      </c>
      <c r="N437">
        <f t="shared" ca="1" si="129"/>
        <v>0.34999999999999432</v>
      </c>
      <c r="O437">
        <f t="shared" ca="1" si="130"/>
        <v>0.34999999999999432</v>
      </c>
      <c r="P437">
        <f t="shared" ca="1" si="131"/>
        <v>0</v>
      </c>
      <c r="Q437">
        <f t="shared" ca="1" si="135"/>
        <v>0.43015028509461883</v>
      </c>
      <c r="R437">
        <f t="shared" ca="1" si="136"/>
        <v>0.69414605398454654</v>
      </c>
      <c r="S437">
        <f t="shared" ca="1" si="133"/>
        <v>0.61968267719086545</v>
      </c>
      <c r="T437">
        <f t="shared" ca="1" si="134"/>
        <v>38.259511317712345</v>
      </c>
      <c r="U437">
        <f>70</f>
        <v>70</v>
      </c>
      <c r="V437">
        <f>30</f>
        <v>30</v>
      </c>
      <c r="W437">
        <f t="shared" ca="1" si="132"/>
        <v>154.79536148167199</v>
      </c>
      <c r="X437">
        <f t="shared" ca="1" si="142"/>
        <v>155.89519567121445</v>
      </c>
      <c r="Y437">
        <f t="shared" ca="1" si="141"/>
        <v>-1.1193055073735536</v>
      </c>
      <c r="Z437">
        <f t="shared" ca="1" si="143"/>
        <v>-0.49470402026592142</v>
      </c>
      <c r="AA437">
        <f t="shared" ca="1" si="144"/>
        <v>-0.62460148710763219</v>
      </c>
      <c r="AB437">
        <f t="shared" ca="1" si="145"/>
        <v>158.60019999999997</v>
      </c>
    </row>
    <row r="438" spans="1:28" x14ac:dyDescent="0.25">
      <c r="A438" s="20">
        <f t="shared" ca="1" si="125"/>
        <v>45929</v>
      </c>
      <c r="B438" vm="1269">
        <f ca="1"/>
        <v>45929</v>
      </c>
      <c r="C438" vm="1270">
        <f ca="1"/>
        <v>153.53</v>
      </c>
      <c r="D438" vm="1271">
        <f ca="1"/>
        <v>8139711</v>
      </c>
      <c r="E438">
        <f t="shared" ca="1" si="126"/>
        <v>1249689829.8299999</v>
      </c>
      <c r="F438">
        <f ca="1">SUM($E$2:E438)/SUM($D$2:D438)</f>
        <v>163.70345115059925</v>
      </c>
      <c r="G438">
        <f ca="1">_xlfn.STDEV.P($C$2:C438)</f>
        <v>6.6652324991173</v>
      </c>
      <c r="H438">
        <f t="shared" ca="1" si="127"/>
        <v>170.36868364971656</v>
      </c>
      <c r="I438">
        <f t="shared" ca="1" si="128"/>
        <v>157.03821865148194</v>
      </c>
      <c r="J438">
        <f t="shared" ca="1" si="137"/>
        <v>156.62300000000002</v>
      </c>
      <c r="K438">
        <f t="shared" ca="1" si="138"/>
        <v>2.8361669834293517</v>
      </c>
      <c r="L438">
        <f t="shared" ca="1" si="139"/>
        <v>162.29533396685872</v>
      </c>
      <c r="M438">
        <f t="shared" ca="1" si="140"/>
        <v>150.95066603314132</v>
      </c>
      <c r="N438">
        <f t="shared" ca="1" si="129"/>
        <v>1.0300000000000011</v>
      </c>
      <c r="O438">
        <f t="shared" ca="1" si="130"/>
        <v>1.0300000000000011</v>
      </c>
      <c r="P438">
        <f t="shared" ca="1" si="131"/>
        <v>0</v>
      </c>
      <c r="Q438">
        <f t="shared" ca="1" si="135"/>
        <v>0.47299669330214617</v>
      </c>
      <c r="R438">
        <f t="shared" ca="1" si="136"/>
        <v>0.64456419298565037</v>
      </c>
      <c r="S438">
        <f t="shared" ca="1" si="133"/>
        <v>0.73382402939760616</v>
      </c>
      <c r="T438">
        <f t="shared" ca="1" si="134"/>
        <v>42.324020024832819</v>
      </c>
      <c r="U438">
        <f>70</f>
        <v>70</v>
      </c>
      <c r="V438">
        <f>30</f>
        <v>30</v>
      </c>
      <c r="W438">
        <f t="shared" ca="1" si="132"/>
        <v>154.60069048449168</v>
      </c>
      <c r="X438">
        <f t="shared" ca="1" si="142"/>
        <v>155.71999599186523</v>
      </c>
      <c r="Y438">
        <f t="shared" ca="1" si="141"/>
        <v>-1.1122325454762461</v>
      </c>
      <c r="Z438">
        <f t="shared" ca="1" si="143"/>
        <v>-0.61820972530798635</v>
      </c>
      <c r="AA438">
        <f t="shared" ca="1" si="144"/>
        <v>-0.49402282016825971</v>
      </c>
      <c r="AB438">
        <f t="shared" ca="1" si="145"/>
        <v>158.54299999999998</v>
      </c>
    </row>
    <row r="439" spans="1:28" x14ac:dyDescent="0.25">
      <c r="A439" s="20">
        <f t="shared" ca="1" si="125"/>
        <v>45929</v>
      </c>
      <c r="B439" vm="1272">
        <f ca="1"/>
        <v>45930</v>
      </c>
      <c r="C439" vm="1273">
        <f ca="1"/>
        <v>153.65</v>
      </c>
      <c r="D439" vm="1274">
        <f ca="1"/>
        <v>7762609</v>
      </c>
      <c r="E439">
        <f t="shared" ca="1" si="126"/>
        <v>1192724872.8500001</v>
      </c>
      <c r="F439">
        <f ca="1">SUM($E$2:E439)/SUM($D$2:D439)</f>
        <v>163.67884113575266</v>
      </c>
      <c r="G439">
        <f ca="1">_xlfn.STDEV.P($C$2:C439)</f>
        <v>6.6757129875326582</v>
      </c>
      <c r="H439">
        <f t="shared" ca="1" si="127"/>
        <v>170.35455412328531</v>
      </c>
      <c r="I439">
        <f t="shared" ca="1" si="128"/>
        <v>157.00312814822001</v>
      </c>
      <c r="J439">
        <f t="shared" ca="1" si="137"/>
        <v>156.40600000000001</v>
      </c>
      <c r="K439">
        <f t="shared" ca="1" si="138"/>
        <v>2.8915601325236193</v>
      </c>
      <c r="L439">
        <f t="shared" ca="1" si="139"/>
        <v>162.18912026504725</v>
      </c>
      <c r="M439">
        <f t="shared" ca="1" si="140"/>
        <v>150.62287973495276</v>
      </c>
      <c r="N439">
        <f t="shared" ca="1" si="129"/>
        <v>0.12000000000000455</v>
      </c>
      <c r="O439">
        <f t="shared" ca="1" si="130"/>
        <v>0.12000000000000455</v>
      </c>
      <c r="P439">
        <f t="shared" ca="1" si="131"/>
        <v>0</v>
      </c>
      <c r="Q439">
        <f t="shared" ca="1" si="135"/>
        <v>0.44778264378056459</v>
      </c>
      <c r="R439">
        <f t="shared" ca="1" si="136"/>
        <v>0.59852389348667534</v>
      </c>
      <c r="S439">
        <f t="shared" ca="1" si="133"/>
        <v>0.7481449757536428</v>
      </c>
      <c r="T439">
        <f t="shared" ca="1" si="134"/>
        <v>42.79650636132795</v>
      </c>
      <c r="U439">
        <f>70</f>
        <v>70</v>
      </c>
      <c r="V439">
        <f>30</f>
        <v>30</v>
      </c>
      <c r="W439">
        <f t="shared" ca="1" si="132"/>
        <v>154.45443040995451</v>
      </c>
      <c r="X439">
        <f t="shared" ca="1" si="142"/>
        <v>155.56666295543076</v>
      </c>
      <c r="Y439">
        <f t="shared" ca="1" si="141"/>
        <v>-1.1315089138418841</v>
      </c>
      <c r="Z439">
        <f t="shared" ca="1" si="143"/>
        <v>-0.7208695630147659</v>
      </c>
      <c r="AA439">
        <f t="shared" ca="1" si="144"/>
        <v>-0.41063935082711822</v>
      </c>
      <c r="AB439">
        <f t="shared" ca="1" si="145"/>
        <v>158.48659999999998</v>
      </c>
    </row>
    <row r="440" spans="1:28" x14ac:dyDescent="0.25">
      <c r="A440" s="20">
        <f t="shared" ca="1" si="125"/>
        <v>45929</v>
      </c>
      <c r="B440" vm="1275">
        <f ca="1"/>
        <v>45931</v>
      </c>
      <c r="C440" vm="1276">
        <f ca="1"/>
        <v>153.18</v>
      </c>
      <c r="D440" vm="1277">
        <f ca="1"/>
        <v>7566014</v>
      </c>
      <c r="E440">
        <f t="shared" ca="1" si="126"/>
        <v>1158962024.52</v>
      </c>
      <c r="F440">
        <f ca="1">SUM($E$2:E440)/SUM($D$2:D440)</f>
        <v>163.65385134966098</v>
      </c>
      <c r="G440">
        <f ca="1">_xlfn.STDEV.P($C$2:C440)</f>
        <v>6.6877251259743451</v>
      </c>
      <c r="H440">
        <f t="shared" ca="1" si="127"/>
        <v>170.34157647563532</v>
      </c>
      <c r="I440">
        <f t="shared" ca="1" si="128"/>
        <v>156.96612622368664</v>
      </c>
      <c r="J440">
        <f t="shared" ca="1" si="137"/>
        <v>156.15649999999999</v>
      </c>
      <c r="K440">
        <f t="shared" ca="1" si="138"/>
        <v>2.9461094327050539</v>
      </c>
      <c r="L440">
        <f t="shared" ca="1" si="139"/>
        <v>162.04871886541011</v>
      </c>
      <c r="M440">
        <f t="shared" ca="1" si="140"/>
        <v>150.26428113458988</v>
      </c>
      <c r="N440">
        <f t="shared" ca="1" si="129"/>
        <v>-0.46999999999999886</v>
      </c>
      <c r="O440">
        <f t="shared" ca="1" si="130"/>
        <v>0</v>
      </c>
      <c r="P440">
        <f t="shared" ca="1" si="131"/>
        <v>0.46999999999999886</v>
      </c>
      <c r="Q440">
        <f t="shared" ca="1" si="135"/>
        <v>0.41579816922480994</v>
      </c>
      <c r="R440">
        <f t="shared" ca="1" si="136"/>
        <v>0.58934361538048408</v>
      </c>
      <c r="S440">
        <f t="shared" ca="1" si="133"/>
        <v>0.70552757062849991</v>
      </c>
      <c r="T440">
        <f t="shared" ca="1" si="134"/>
        <v>41.367116121641331</v>
      </c>
      <c r="U440">
        <f>70</f>
        <v>70</v>
      </c>
      <c r="V440">
        <f>30</f>
        <v>30</v>
      </c>
      <c r="W440">
        <f t="shared" ca="1" si="132"/>
        <v>154.25836419303843</v>
      </c>
      <c r="X440">
        <f t="shared" ca="1" si="142"/>
        <v>155.38987310688032</v>
      </c>
      <c r="Y440">
        <f t="shared" ca="1" si="141"/>
        <v>-1.2238592433153599</v>
      </c>
      <c r="Z440">
        <f t="shared" ca="1" si="143"/>
        <v>-0.8214674990748847</v>
      </c>
      <c r="AA440">
        <f t="shared" ca="1" si="144"/>
        <v>-0.40239174424047519</v>
      </c>
      <c r="AB440">
        <f t="shared" ca="1" si="145"/>
        <v>158.43189999999996</v>
      </c>
    </row>
    <row r="441" spans="1:28" x14ac:dyDescent="0.25">
      <c r="A441" s="20">
        <f t="shared" ca="1" si="125"/>
        <v>45929</v>
      </c>
      <c r="B441" vm="1278">
        <f ca="1"/>
        <v>45932</v>
      </c>
      <c r="C441" vm="1279">
        <f ca="1"/>
        <v>152.05000000000001</v>
      </c>
      <c r="D441" vm="1280">
        <f ca="1"/>
        <v>6892089</v>
      </c>
      <c r="E441">
        <f t="shared" ca="1" si="126"/>
        <v>1047942132.45</v>
      </c>
      <c r="F441">
        <f ca="1">SUM($E$2:E441)/SUM($D$2:D441)</f>
        <v>163.62874599057304</v>
      </c>
      <c r="G441">
        <f ca="1">_xlfn.STDEV.P($C$2:C441)</f>
        <v>6.7038847051526265</v>
      </c>
      <c r="H441">
        <f t="shared" ca="1" si="127"/>
        <v>170.33263069572567</v>
      </c>
      <c r="I441">
        <f t="shared" ca="1" si="128"/>
        <v>156.92486128542041</v>
      </c>
      <c r="J441">
        <f t="shared" ca="1" si="137"/>
        <v>155.79950000000002</v>
      </c>
      <c r="K441">
        <f t="shared" ca="1" si="138"/>
        <v>2.9914254215393017</v>
      </c>
      <c r="L441">
        <f t="shared" ca="1" si="139"/>
        <v>161.78235084307863</v>
      </c>
      <c r="M441">
        <f t="shared" ca="1" si="140"/>
        <v>149.81664915692141</v>
      </c>
      <c r="N441">
        <f t="shared" ca="1" si="129"/>
        <v>-1.1299999999999955</v>
      </c>
      <c r="O441">
        <f t="shared" ca="1" si="130"/>
        <v>0</v>
      </c>
      <c r="P441">
        <f t="shared" ca="1" si="131"/>
        <v>1.1299999999999955</v>
      </c>
      <c r="Q441">
        <f t="shared" ca="1" si="135"/>
        <v>0.38609829999446638</v>
      </c>
      <c r="R441">
        <f t="shared" ca="1" si="136"/>
        <v>0.62796192856759192</v>
      </c>
      <c r="S441">
        <f t="shared" ca="1" si="133"/>
        <v>0.61484348402326416</v>
      </c>
      <c r="T441">
        <f t="shared" ca="1" si="134"/>
        <v>38.074493912650077</v>
      </c>
      <c r="U441">
        <f>70</f>
        <v>70</v>
      </c>
      <c r="V441">
        <f>30</f>
        <v>30</v>
      </c>
      <c r="W441">
        <f t="shared" ca="1" si="132"/>
        <v>153.91861585564791</v>
      </c>
      <c r="X441">
        <f t="shared" ca="1" si="142"/>
        <v>155.14247509896327</v>
      </c>
      <c r="Y441">
        <f t="shared" ca="1" si="141"/>
        <v>-1.2647165186200198</v>
      </c>
      <c r="Z441">
        <f t="shared" ca="1" si="143"/>
        <v>-0.9101173029839118</v>
      </c>
      <c r="AA441">
        <f t="shared" ca="1" si="144"/>
        <v>-0.35459921563610797</v>
      </c>
      <c r="AB441">
        <f t="shared" ca="1" si="145"/>
        <v>158.37579999999997</v>
      </c>
    </row>
    <row r="442" spans="1:28" x14ac:dyDescent="0.25">
      <c r="A442" s="20">
        <f t="shared" ca="1" si="125"/>
        <v>45929</v>
      </c>
      <c r="B442" vm="1281">
        <f ca="1"/>
        <v>45933</v>
      </c>
      <c r="C442" vm="1282">
        <f ca="1"/>
        <v>152.27000000000001</v>
      </c>
      <c r="D442" vm="1283">
        <f ca="1"/>
        <v>5212584</v>
      </c>
      <c r="E442">
        <f t="shared" ca="1" si="126"/>
        <v>793720165.68000007</v>
      </c>
      <c r="F442">
        <f ca="1">SUM($E$2:E442)/SUM($D$2:D442)</f>
        <v>163.61018988660283</v>
      </c>
      <c r="G442">
        <f ca="1">_xlfn.STDEV.P($C$2:C442)</f>
        <v>6.718958185088705</v>
      </c>
      <c r="H442">
        <f t="shared" ca="1" si="127"/>
        <v>170.32914807169152</v>
      </c>
      <c r="I442">
        <f t="shared" ca="1" si="128"/>
        <v>156.89123170151413</v>
      </c>
      <c r="J442">
        <f t="shared" ca="1" si="137"/>
        <v>155.41200000000001</v>
      </c>
      <c r="K442">
        <f t="shared" ca="1" si="138"/>
        <v>2.9169695882794819</v>
      </c>
      <c r="L442">
        <f t="shared" ca="1" si="139"/>
        <v>161.24593917655898</v>
      </c>
      <c r="M442">
        <f t="shared" ca="1" si="140"/>
        <v>149.57806082344104</v>
      </c>
      <c r="N442">
        <f t="shared" ca="1" si="129"/>
        <v>0.21999999999999886</v>
      </c>
      <c r="O442">
        <f t="shared" ca="1" si="130"/>
        <v>0.21999999999999886</v>
      </c>
      <c r="P442">
        <f t="shared" ca="1" si="131"/>
        <v>0</v>
      </c>
      <c r="Q442">
        <f t="shared" ca="1" si="135"/>
        <v>0.37423413570914726</v>
      </c>
      <c r="R442">
        <f t="shared" ca="1" si="136"/>
        <v>0.58310750509847831</v>
      </c>
      <c r="S442">
        <f t="shared" ca="1" si="133"/>
        <v>0.6417926924914894</v>
      </c>
      <c r="T442">
        <f t="shared" ca="1" si="134"/>
        <v>39.090970219726223</v>
      </c>
      <c r="U442">
        <f>70</f>
        <v>70</v>
      </c>
      <c r="V442">
        <f>30</f>
        <v>30</v>
      </c>
      <c r="W442">
        <f t="shared" ca="1" si="132"/>
        <v>153.6649826470867</v>
      </c>
      <c r="X442">
        <f t="shared" ca="1" si="142"/>
        <v>154.92969916570672</v>
      </c>
      <c r="Y442">
        <f t="shared" ca="1" si="141"/>
        <v>-1.4306905489172266</v>
      </c>
      <c r="Z442">
        <f t="shared" ca="1" si="143"/>
        <v>-1.0142319521705749</v>
      </c>
      <c r="AA442">
        <f t="shared" ca="1" si="144"/>
        <v>-0.41645859674665164</v>
      </c>
      <c r="AB442">
        <f t="shared" ca="1" si="145"/>
        <v>158.28949999999998</v>
      </c>
    </row>
    <row r="443" spans="1:28" x14ac:dyDescent="0.25">
      <c r="A443" s="20">
        <f t="shared" ca="1" si="125"/>
        <v>45936</v>
      </c>
      <c r="B443" vm="1284">
        <f ca="1"/>
        <v>45936</v>
      </c>
      <c r="C443" vm="1285">
        <f ca="1"/>
        <v>150.41</v>
      </c>
      <c r="D443" vm="1286">
        <f ca="1"/>
        <v>6736960</v>
      </c>
      <c r="E443">
        <f t="shared" ca="1" si="126"/>
        <v>1013306153.6</v>
      </c>
      <c r="F443">
        <f ca="1">SUM($E$2:E443)/SUM($D$2:D443)</f>
        <v>163.58237793312108</v>
      </c>
      <c r="G443">
        <f ca="1">_xlfn.STDEV.P($C$2:C443)</f>
        <v>6.7416173581123848</v>
      </c>
      <c r="H443">
        <f t="shared" ca="1" si="127"/>
        <v>170.32399529123347</v>
      </c>
      <c r="I443">
        <f t="shared" ca="1" si="128"/>
        <v>156.84076057500869</v>
      </c>
      <c r="J443">
        <f t="shared" ca="1" si="137"/>
        <v>154.98200000000003</v>
      </c>
      <c r="K443">
        <f t="shared" ca="1" si="138"/>
        <v>2.9915839845877827</v>
      </c>
      <c r="L443">
        <f t="shared" ca="1" si="139"/>
        <v>160.96516796917558</v>
      </c>
      <c r="M443">
        <f t="shared" ca="1" si="140"/>
        <v>148.99883203082447</v>
      </c>
      <c r="N443">
        <f t="shared" ca="1" si="129"/>
        <v>-1.8600000000000136</v>
      </c>
      <c r="O443">
        <f t="shared" ca="1" si="130"/>
        <v>0</v>
      </c>
      <c r="P443">
        <f t="shared" ca="1" si="131"/>
        <v>1.8600000000000136</v>
      </c>
      <c r="Q443">
        <f t="shared" ca="1" si="135"/>
        <v>0.34750312601563677</v>
      </c>
      <c r="R443">
        <f t="shared" ca="1" si="136"/>
        <v>0.67431411187715951</v>
      </c>
      <c r="S443">
        <f t="shared" ca="1" si="133"/>
        <v>0.5153431018197967</v>
      </c>
      <c r="T443">
        <f t="shared" ca="1" si="134"/>
        <v>34.008344460136712</v>
      </c>
      <c r="U443">
        <f>70</f>
        <v>70</v>
      </c>
      <c r="V443">
        <f>30</f>
        <v>30</v>
      </c>
      <c r="W443">
        <f t="shared" ca="1" si="132"/>
        <v>153.16421608599643</v>
      </c>
      <c r="X443">
        <f t="shared" ca="1" si="142"/>
        <v>154.59490663491366</v>
      </c>
      <c r="Y443">
        <f t="shared" ca="1" si="141"/>
        <v>-1.3745084866267803</v>
      </c>
      <c r="Z443">
        <f t="shared" ca="1" si="143"/>
        <v>-1.086287259061816</v>
      </c>
      <c r="AA443">
        <f t="shared" ca="1" si="144"/>
        <v>-0.28822122756496427</v>
      </c>
      <c r="AB443">
        <f t="shared" ca="1" si="145"/>
        <v>158.20629999999994</v>
      </c>
    </row>
    <row r="444" spans="1:28" x14ac:dyDescent="0.25">
      <c r="A444" s="20">
        <f t="shared" ca="1" si="125"/>
        <v>45936</v>
      </c>
      <c r="B444" vm="1287">
        <f ca="1"/>
        <v>45937</v>
      </c>
      <c r="C444" vm="1288">
        <f ca="1"/>
        <v>152.54</v>
      </c>
      <c r="D444" vm="1289">
        <f ca="1"/>
        <v>6844361</v>
      </c>
      <c r="E444">
        <f t="shared" ca="1" si="126"/>
        <v>1044038826.9399999</v>
      </c>
      <c r="F444">
        <f ca="1">SUM($E$2:E444)/SUM($D$2:D444)</f>
        <v>163.55879193620717</v>
      </c>
      <c r="G444">
        <f ca="1">_xlfn.STDEV.P($C$2:C444)</f>
        <v>6.7552094059313044</v>
      </c>
      <c r="H444">
        <f t="shared" ca="1" si="127"/>
        <v>170.31400134213848</v>
      </c>
      <c r="I444">
        <f t="shared" ca="1" si="128"/>
        <v>156.80358253027586</v>
      </c>
      <c r="J444">
        <f t="shared" ca="1" si="137"/>
        <v>154.63600000000002</v>
      </c>
      <c r="K444">
        <f t="shared" ca="1" si="138"/>
        <v>2.8428903009363382</v>
      </c>
      <c r="L444">
        <f t="shared" ca="1" si="139"/>
        <v>160.32178060187269</v>
      </c>
      <c r="M444">
        <f t="shared" ca="1" si="140"/>
        <v>148.95021939812736</v>
      </c>
      <c r="N444">
        <f t="shared" ca="1" si="129"/>
        <v>2.1299999999999955</v>
      </c>
      <c r="O444">
        <f t="shared" ca="1" si="130"/>
        <v>2.1299999999999955</v>
      </c>
      <c r="P444">
        <f t="shared" ca="1" si="131"/>
        <v>0</v>
      </c>
      <c r="Q444">
        <f t="shared" ca="1" si="135"/>
        <v>0.47482433130023383</v>
      </c>
      <c r="R444">
        <f t="shared" ca="1" si="136"/>
        <v>0.62614881817164814</v>
      </c>
      <c r="S444">
        <f t="shared" ca="1" si="133"/>
        <v>0.75832504593192207</v>
      </c>
      <c r="T444">
        <f t="shared" ca="1" si="134"/>
        <v>43.127694033955223</v>
      </c>
      <c r="U444">
        <f>70</f>
        <v>70</v>
      </c>
      <c r="V444">
        <f>30</f>
        <v>30</v>
      </c>
      <c r="W444">
        <f t="shared" ca="1" si="132"/>
        <v>153.06818284199699</v>
      </c>
      <c r="X444">
        <f t="shared" ca="1" si="142"/>
        <v>154.44269132862377</v>
      </c>
      <c r="Y444">
        <f t="shared" ca="1" si="141"/>
        <v>-1.4624056345573422</v>
      </c>
      <c r="Z444">
        <f t="shared" ca="1" si="143"/>
        <v>-1.1615109341609213</v>
      </c>
      <c r="AA444">
        <f t="shared" ca="1" si="144"/>
        <v>-0.30089470039642086</v>
      </c>
      <c r="AB444">
        <f t="shared" ca="1" si="145"/>
        <v>158.15149999999997</v>
      </c>
    </row>
    <row r="445" spans="1:28" x14ac:dyDescent="0.25">
      <c r="A445" s="20">
        <f t="shared" ca="1" si="125"/>
        <v>45936</v>
      </c>
      <c r="B445" vm="1290">
        <f ca="1"/>
        <v>45938</v>
      </c>
      <c r="C445" vm="1291">
        <f ca="1"/>
        <v>150.69</v>
      </c>
      <c r="D445" vm="1292">
        <f ca="1"/>
        <v>5254728</v>
      </c>
      <c r="E445">
        <f t="shared" ca="1" si="126"/>
        <v>791834962.31999993</v>
      </c>
      <c r="F445">
        <f ca="1">SUM($E$2:E445)/SUM($D$2:D445)</f>
        <v>163.53772336231461</v>
      </c>
      <c r="G445">
        <f ca="1">_xlfn.STDEV.P($C$2:C445)</f>
        <v>6.7760883331590671</v>
      </c>
      <c r="H445">
        <f t="shared" ca="1" si="127"/>
        <v>170.31381169547367</v>
      </c>
      <c r="I445">
        <f t="shared" ca="1" si="128"/>
        <v>156.76163502915554</v>
      </c>
      <c r="J445">
        <f t="shared" ca="1" si="137"/>
        <v>154.303</v>
      </c>
      <c r="K445">
        <f t="shared" ca="1" si="138"/>
        <v>2.8977833633749515</v>
      </c>
      <c r="L445">
        <f t="shared" ca="1" si="139"/>
        <v>160.09856672674991</v>
      </c>
      <c r="M445">
        <f t="shared" ca="1" si="140"/>
        <v>148.50743327325009</v>
      </c>
      <c r="N445">
        <f t="shared" ca="1" si="129"/>
        <v>-1.8499999999999943</v>
      </c>
      <c r="O445">
        <f t="shared" ca="1" si="130"/>
        <v>0</v>
      </c>
      <c r="P445">
        <f t="shared" ca="1" si="131"/>
        <v>1.8499999999999943</v>
      </c>
      <c r="Q445">
        <f t="shared" ca="1" si="135"/>
        <v>0.44090830763593136</v>
      </c>
      <c r="R445">
        <f t="shared" ca="1" si="136"/>
        <v>0.71356675973081563</v>
      </c>
      <c r="S445">
        <f t="shared" ca="1" si="133"/>
        <v>0.61789356303852871</v>
      </c>
      <c r="T445">
        <f t="shared" ca="1" si="134"/>
        <v>38.191236874573939</v>
      </c>
      <c r="U445">
        <f>70</f>
        <v>70</v>
      </c>
      <c r="V445">
        <f>30</f>
        <v>30</v>
      </c>
      <c r="W445">
        <f t="shared" ca="1" si="132"/>
        <v>152.70230855861283</v>
      </c>
      <c r="X445">
        <f t="shared" ca="1" si="142"/>
        <v>154.16471419317017</v>
      </c>
      <c r="Y445">
        <f t="shared" ca="1" si="141"/>
        <v>-1.5233802588954006</v>
      </c>
      <c r="Z445">
        <f t="shared" ca="1" si="143"/>
        <v>-1.2338847991078172</v>
      </c>
      <c r="AA445">
        <f t="shared" ca="1" si="144"/>
        <v>-0.2894954597875834</v>
      </c>
      <c r="AB445">
        <f t="shared" ca="1" si="145"/>
        <v>158.03429999999997</v>
      </c>
    </row>
    <row r="446" spans="1:28" x14ac:dyDescent="0.25">
      <c r="A446" s="20">
        <f t="shared" ca="1" si="125"/>
        <v>45936</v>
      </c>
      <c r="B446" vm="1293">
        <f ca="1"/>
        <v>45939</v>
      </c>
      <c r="C446" vm="1294">
        <f ca="1"/>
        <v>150.58000000000001</v>
      </c>
      <c r="D446" vm="1295">
        <f ca="1"/>
        <v>6134461</v>
      </c>
      <c r="E446">
        <f t="shared" ca="1" si="126"/>
        <v>923727137.38000011</v>
      </c>
      <c r="F446">
        <f ca="1">SUM($E$2:E446)/SUM($D$2:D446)</f>
        <v>163.51300481358987</v>
      </c>
      <c r="G446">
        <f ca="1">_xlfn.STDEV.P($C$2:C446)</f>
        <v>6.7971586797285681</v>
      </c>
      <c r="H446">
        <f t="shared" ca="1" si="127"/>
        <v>170.31016349331844</v>
      </c>
      <c r="I446">
        <f t="shared" ca="1" si="128"/>
        <v>156.71584613386131</v>
      </c>
      <c r="J446">
        <f t="shared" ca="1" si="137"/>
        <v>153.90050000000002</v>
      </c>
      <c r="K446">
        <f t="shared" ca="1" si="138"/>
        <v>2.8232446339553903</v>
      </c>
      <c r="L446">
        <f t="shared" ca="1" si="139"/>
        <v>159.54698926791082</v>
      </c>
      <c r="M446">
        <f t="shared" ca="1" si="140"/>
        <v>148.25401073208923</v>
      </c>
      <c r="N446">
        <f t="shared" ca="1" si="129"/>
        <v>-0.10999999999998522</v>
      </c>
      <c r="O446">
        <f t="shared" ca="1" si="130"/>
        <v>0</v>
      </c>
      <c r="P446">
        <f t="shared" ca="1" si="131"/>
        <v>0.10999999999998522</v>
      </c>
      <c r="Q446">
        <f t="shared" ca="1" si="135"/>
        <v>0.40941485709050773</v>
      </c>
      <c r="R446">
        <f t="shared" ca="1" si="136"/>
        <v>0.67045484832147051</v>
      </c>
      <c r="S446">
        <f t="shared" ca="1" si="133"/>
        <v>0.61065239235051516</v>
      </c>
      <c r="T446">
        <f t="shared" ca="1" si="134"/>
        <v>37.913357050266818</v>
      </c>
      <c r="U446">
        <f>70</f>
        <v>70</v>
      </c>
      <c r="V446">
        <f>30</f>
        <v>30</v>
      </c>
      <c r="W446">
        <f t="shared" ca="1" si="132"/>
        <v>152.37579954959548</v>
      </c>
      <c r="X446">
        <f t="shared" ca="1" si="142"/>
        <v>153.89917980849089</v>
      </c>
      <c r="Y446">
        <f t="shared" ca="1" si="141"/>
        <v>-1.6247890926771618</v>
      </c>
      <c r="Z446">
        <f t="shared" ca="1" si="143"/>
        <v>-1.312065657821686</v>
      </c>
      <c r="AA446">
        <f t="shared" ca="1" si="144"/>
        <v>-0.31272343485547571</v>
      </c>
      <c r="AB446">
        <f t="shared" ca="1" si="145"/>
        <v>157.90729999999999</v>
      </c>
    </row>
    <row r="447" spans="1:28" x14ac:dyDescent="0.25">
      <c r="A447" s="20">
        <f t="shared" ca="1" si="125"/>
        <v>45936</v>
      </c>
      <c r="B447" vm="1296">
        <f ca="1"/>
        <v>45940</v>
      </c>
      <c r="C447" vm="1297">
        <f ca="1"/>
        <v>149.69</v>
      </c>
      <c r="D447" vm="1298">
        <f ca="1"/>
        <v>7374046</v>
      </c>
      <c r="E447">
        <f t="shared" ca="1" si="126"/>
        <v>1103820945.74</v>
      </c>
      <c r="F447">
        <f ca="1">SUM($E$2:E447)/SUM($D$2:D447)</f>
        <v>163.48137974946698</v>
      </c>
      <c r="G447">
        <f ca="1">_xlfn.STDEV.P($C$2:C447)</f>
        <v>6.8219097190968467</v>
      </c>
      <c r="H447">
        <f t="shared" ca="1" si="127"/>
        <v>170.30328946856383</v>
      </c>
      <c r="I447">
        <f t="shared" ca="1" si="128"/>
        <v>156.65947003037013</v>
      </c>
      <c r="J447">
        <f t="shared" ca="1" si="137"/>
        <v>153.49</v>
      </c>
      <c r="K447">
        <f t="shared" ca="1" si="138"/>
        <v>2.8079361216306018</v>
      </c>
      <c r="L447">
        <f t="shared" ca="1" si="139"/>
        <v>159.10587224326122</v>
      </c>
      <c r="M447">
        <f t="shared" ca="1" si="140"/>
        <v>147.8741277567388</v>
      </c>
      <c r="N447">
        <f t="shared" ca="1" si="129"/>
        <v>-0.89000000000001478</v>
      </c>
      <c r="O447">
        <f t="shared" ca="1" si="130"/>
        <v>0</v>
      </c>
      <c r="P447">
        <f t="shared" ca="1" si="131"/>
        <v>0.89000000000001478</v>
      </c>
      <c r="Q447">
        <f t="shared" ca="1" si="135"/>
        <v>0.3801709387269</v>
      </c>
      <c r="R447">
        <f t="shared" ca="1" si="136"/>
        <v>0.68613664486993797</v>
      </c>
      <c r="S447">
        <f t="shared" ca="1" si="133"/>
        <v>0.55407467531334675</v>
      </c>
      <c r="T447">
        <f t="shared" ca="1" si="134"/>
        <v>35.65302775438569</v>
      </c>
      <c r="U447">
        <f>70</f>
        <v>70</v>
      </c>
      <c r="V447">
        <f>30</f>
        <v>30</v>
      </c>
      <c r="W447">
        <f t="shared" ca="1" si="132"/>
        <v>151.96259961888848</v>
      </c>
      <c r="X447">
        <f t="shared" ca="1" si="142"/>
        <v>153.58738871156564</v>
      </c>
      <c r="Y447">
        <f t="shared" ca="1" si="141"/>
        <v>-1.8612229186579725</v>
      </c>
      <c r="Z447">
        <f t="shared" ca="1" si="143"/>
        <v>-1.4218971099889433</v>
      </c>
      <c r="AA447">
        <f t="shared" ca="1" si="144"/>
        <v>-0.43932580866902926</v>
      </c>
      <c r="AB447">
        <f t="shared" ca="1" si="145"/>
        <v>157.75649999999999</v>
      </c>
    </row>
    <row r="448" spans="1:28" x14ac:dyDescent="0.25">
      <c r="A448" s="20">
        <f t="shared" ca="1" si="125"/>
        <v>45943</v>
      </c>
      <c r="B448" vm="1299">
        <f ca="1"/>
        <v>45943</v>
      </c>
      <c r="C448" vm="1300">
        <f ca="1"/>
        <v>147.49</v>
      </c>
      <c r="D448" vm="1301">
        <f ca="1"/>
        <v>7511103</v>
      </c>
      <c r="E448">
        <f t="shared" ca="1" si="126"/>
        <v>1107812581.47</v>
      </c>
      <c r="F448">
        <f ca="1">SUM($E$2:E448)/SUM($D$2:D448)</f>
        <v>163.44420039257861</v>
      </c>
      <c r="G448">
        <f ca="1">_xlfn.STDEV.P($C$2:C448)</f>
        <v>6.8571423410219658</v>
      </c>
      <c r="H448">
        <f t="shared" ca="1" si="127"/>
        <v>170.30134273360056</v>
      </c>
      <c r="I448">
        <f t="shared" ca="1" si="128"/>
        <v>156.58705805155665</v>
      </c>
      <c r="J448">
        <f t="shared" ca="1" si="137"/>
        <v>153.023</v>
      </c>
      <c r="K448">
        <f t="shared" ca="1" si="138"/>
        <v>2.9937498049664812</v>
      </c>
      <c r="L448">
        <f t="shared" ca="1" si="139"/>
        <v>159.01049960993296</v>
      </c>
      <c r="M448">
        <f t="shared" ca="1" si="140"/>
        <v>147.03550039006703</v>
      </c>
      <c r="N448">
        <f t="shared" ca="1" si="129"/>
        <v>-2.1999999999999886</v>
      </c>
      <c r="O448">
        <f t="shared" ca="1" si="130"/>
        <v>0</v>
      </c>
      <c r="P448">
        <f t="shared" ca="1" si="131"/>
        <v>2.1999999999999886</v>
      </c>
      <c r="Q448">
        <f t="shared" ca="1" si="135"/>
        <v>0.35301587167497855</v>
      </c>
      <c r="R448">
        <f t="shared" ca="1" si="136"/>
        <v>0.79426974166494158</v>
      </c>
      <c r="S448">
        <f t="shared" ca="1" si="133"/>
        <v>0.44445338045358451</v>
      </c>
      <c r="T448">
        <f t="shared" ca="1" si="134"/>
        <v>30.769659060510349</v>
      </c>
      <c r="U448">
        <f>70</f>
        <v>70</v>
      </c>
      <c r="V448">
        <f>30</f>
        <v>30</v>
      </c>
      <c r="W448">
        <f t="shared" ca="1" si="132"/>
        <v>151.27450736982871</v>
      </c>
      <c r="X448">
        <f t="shared" ca="1" si="142"/>
        <v>153.13573028848668</v>
      </c>
      <c r="Y448">
        <f t="shared" ca="1" si="141"/>
        <v>-1.8920332048975581</v>
      </c>
      <c r="Z448">
        <f t="shared" ca="1" si="143"/>
        <v>-1.5159243289706663</v>
      </c>
      <c r="AA448">
        <f t="shared" ca="1" si="144"/>
        <v>-0.37610887592689179</v>
      </c>
      <c r="AB448">
        <f t="shared" ca="1" si="145"/>
        <v>157.57499999999999</v>
      </c>
    </row>
    <row r="449" spans="1:28" x14ac:dyDescent="0.25">
      <c r="A449" s="20">
        <f t="shared" ca="1" si="125"/>
        <v>45943</v>
      </c>
      <c r="B449" vm="1302">
        <f ca="1"/>
        <v>45944</v>
      </c>
      <c r="C449" vm="1303">
        <f ca="1"/>
        <v>149.16</v>
      </c>
      <c r="D449" vm="1304">
        <f ca="1"/>
        <v>8585346</v>
      </c>
      <c r="E449">
        <f t="shared" ca="1" si="126"/>
        <v>1280590209.3599999</v>
      </c>
      <c r="F449">
        <f ca="1">SUM($E$2:E449)/SUM($D$2:D449)</f>
        <v>163.40634102476594</v>
      </c>
      <c r="G449">
        <f ca="1">_xlfn.STDEV.P($C$2:C449)</f>
        <v>6.883569918394711</v>
      </c>
      <c r="H449">
        <f t="shared" ca="1" si="127"/>
        <v>170.28991094316063</v>
      </c>
      <c r="I449">
        <f t="shared" ca="1" si="128"/>
        <v>156.52277110637124</v>
      </c>
      <c r="J449">
        <f t="shared" ca="1" si="137"/>
        <v>152.57849999999999</v>
      </c>
      <c r="K449">
        <f t="shared" ca="1" si="138"/>
        <v>2.8652974035039214</v>
      </c>
      <c r="L449">
        <f t="shared" ca="1" si="139"/>
        <v>158.30909480700782</v>
      </c>
      <c r="M449">
        <f t="shared" ca="1" si="140"/>
        <v>146.84790519299216</v>
      </c>
      <c r="N449">
        <f t="shared" ca="1" si="129"/>
        <v>1.6699999999999875</v>
      </c>
      <c r="O449">
        <f t="shared" ca="1" si="130"/>
        <v>1.6699999999999875</v>
      </c>
      <c r="P449">
        <f t="shared" ca="1" si="131"/>
        <v>0</v>
      </c>
      <c r="Q449">
        <f t="shared" ca="1" si="135"/>
        <v>0.44708616655533634</v>
      </c>
      <c r="R449">
        <f t="shared" ca="1" si="136"/>
        <v>0.73753618868887438</v>
      </c>
      <c r="S449">
        <f t="shared" ca="1" si="133"/>
        <v>0.60618878559725453</v>
      </c>
      <c r="T449">
        <f t="shared" ca="1" si="134"/>
        <v>37.740817955707854</v>
      </c>
      <c r="U449">
        <f>70</f>
        <v>70</v>
      </c>
      <c r="V449">
        <f>30</f>
        <v>30</v>
      </c>
      <c r="W449">
        <f t="shared" ca="1" si="132"/>
        <v>150.94919854370121</v>
      </c>
      <c r="X449">
        <f t="shared" ca="1" si="142"/>
        <v>152.84123174859877</v>
      </c>
      <c r="Y449">
        <f t="shared" ca="1" si="141"/>
        <v>-2.0334141048870151</v>
      </c>
      <c r="Z449">
        <f t="shared" ca="1" si="143"/>
        <v>-1.6194222841539361</v>
      </c>
      <c r="AA449">
        <f t="shared" ca="1" si="144"/>
        <v>-0.41399182073307905</v>
      </c>
      <c r="AB449">
        <f t="shared" ca="1" si="145"/>
        <v>157.41229999999999</v>
      </c>
    </row>
    <row r="450" spans="1:28" x14ac:dyDescent="0.25">
      <c r="A450" s="20">
        <f t="shared" ca="1" si="125"/>
        <v>45943</v>
      </c>
      <c r="B450" vm="1305">
        <f ca="1"/>
        <v>45945</v>
      </c>
      <c r="C450" vm="11">
        <f ca="1"/>
        <v>147.41999999999999</v>
      </c>
      <c r="D450" vm="1306">
        <f ca="1"/>
        <v>10003073</v>
      </c>
      <c r="E450">
        <f t="shared" ca="1" si="126"/>
        <v>1474653021.6599998</v>
      </c>
      <c r="F450">
        <f ca="1">SUM($E$2:E450)/SUM($D$2:D450)</f>
        <v>163.35712539475426</v>
      </c>
      <c r="G450">
        <f ca="1">_xlfn.STDEV.P($C$2:C450)</f>
        <v>6.9182050218536579</v>
      </c>
      <c r="H450">
        <f t="shared" ca="1" si="127"/>
        <v>170.27533041660791</v>
      </c>
      <c r="I450">
        <f t="shared" ca="1" si="128"/>
        <v>156.43892037290061</v>
      </c>
      <c r="J450">
        <f t="shared" ca="1" si="137"/>
        <v>151.93299999999999</v>
      </c>
      <c r="K450">
        <f t="shared" ca="1" si="138"/>
        <v>2.4514187084646557</v>
      </c>
      <c r="L450">
        <f t="shared" ca="1" si="139"/>
        <v>156.83583741692931</v>
      </c>
      <c r="M450">
        <f t="shared" ca="1" si="140"/>
        <v>147.03016258307068</v>
      </c>
      <c r="N450">
        <f t="shared" ca="1" si="129"/>
        <v>-1.7400000000000091</v>
      </c>
      <c r="O450">
        <f t="shared" ca="1" si="130"/>
        <v>0</v>
      </c>
      <c r="P450">
        <f t="shared" ca="1" si="131"/>
        <v>1.7400000000000091</v>
      </c>
      <c r="Q450">
        <f t="shared" ca="1" si="135"/>
        <v>0.41515144037281232</v>
      </c>
      <c r="R450">
        <f t="shared" ca="1" si="136"/>
        <v>0.80914074663966973</v>
      </c>
      <c r="S450">
        <f t="shared" ca="1" si="133"/>
        <v>0.51307691782538478</v>
      </c>
      <c r="T450">
        <f t="shared" ca="1" si="134"/>
        <v>33.909506633858783</v>
      </c>
      <c r="U450">
        <f>70</f>
        <v>70</v>
      </c>
      <c r="V450">
        <f>30</f>
        <v>30</v>
      </c>
      <c r="W450">
        <f t="shared" ca="1" si="132"/>
        <v>150.40624492159333</v>
      </c>
      <c r="X450">
        <f t="shared" ca="1" si="142"/>
        <v>152.43965902648034</v>
      </c>
      <c r="Y450">
        <f t="shared" ca="1" si="141"/>
        <v>-1.9471066720595331</v>
      </c>
      <c r="Z450">
        <f t="shared" ca="1" si="143"/>
        <v>-1.6849591617350557</v>
      </c>
      <c r="AA450">
        <f t="shared" ca="1" si="144"/>
        <v>-0.26214751032447747</v>
      </c>
      <c r="AB450">
        <f t="shared" ca="1" si="145"/>
        <v>157.2362</v>
      </c>
    </row>
    <row r="451" spans="1:28" x14ac:dyDescent="0.25">
      <c r="A451" s="20">
        <f t="shared" ref="A451:A514" ca="1" si="146">B451 - WEEKDAY(B451, 2) + 1</f>
        <v>45943</v>
      </c>
      <c r="B451" vm="1307">
        <f ca="1"/>
        <v>45946</v>
      </c>
      <c r="C451" vm="1308">
        <f ca="1"/>
        <v>149.6</v>
      </c>
      <c r="D451" vm="1309">
        <f ca="1"/>
        <v>8809673</v>
      </c>
      <c r="E451">
        <f t="shared" ref="E451:E514" ca="1" si="147">C451*D451</f>
        <v>1317927080.8</v>
      </c>
      <c r="F451">
        <f ca="1">SUM($E$2:E451)/SUM($D$2:D451)</f>
        <v>163.31992632280725</v>
      </c>
      <c r="G451">
        <f ca="1">_xlfn.STDEV.P($C$2:C451)</f>
        <v>6.9418370072381972</v>
      </c>
      <c r="H451">
        <f t="shared" ref="H451:H514" ca="1" si="148">F451 + G451</f>
        <v>170.26176333004545</v>
      </c>
      <c r="I451">
        <f t="shared" ref="I451:I514" ca="1" si="149">F451 - G451</f>
        <v>156.37808931556904</v>
      </c>
      <c r="J451">
        <f t="shared" ca="1" si="137"/>
        <v>151.547</v>
      </c>
      <c r="K451">
        <f t="shared" ca="1" si="138"/>
        <v>2.1474932755240594</v>
      </c>
      <c r="L451">
        <f t="shared" ca="1" si="139"/>
        <v>155.84198655104811</v>
      </c>
      <c r="M451">
        <f t="shared" ca="1" si="140"/>
        <v>147.25201344895189</v>
      </c>
      <c r="N451">
        <f t="shared" ca="1" si="129"/>
        <v>2.1800000000000068</v>
      </c>
      <c r="O451">
        <f t="shared" ca="1" si="130"/>
        <v>2.1800000000000068</v>
      </c>
      <c r="P451">
        <f t="shared" ca="1" si="131"/>
        <v>0</v>
      </c>
      <c r="Q451">
        <f t="shared" ca="1" si="135"/>
        <v>0.54121205177475473</v>
      </c>
      <c r="R451">
        <f t="shared" ca="1" si="136"/>
        <v>0.75134497902255049</v>
      </c>
      <c r="S451">
        <f t="shared" ca="1" si="133"/>
        <v>0.72032430758881938</v>
      </c>
      <c r="T451">
        <f t="shared" ca="1" si="134"/>
        <v>41.871425312731596</v>
      </c>
      <c r="U451">
        <f>70</f>
        <v>70</v>
      </c>
      <c r="V451">
        <f>30</f>
        <v>30</v>
      </c>
      <c r="W451">
        <f t="shared" ca="1" si="132"/>
        <v>150.2822072413482</v>
      </c>
      <c r="X451">
        <f t="shared" ca="1" si="142"/>
        <v>152.22931391340774</v>
      </c>
      <c r="Y451">
        <f t="shared" ca="1" si="141"/>
        <v>-1.7137078950914315</v>
      </c>
      <c r="Z451">
        <f t="shared" ca="1" si="143"/>
        <v>-1.6907089084063309</v>
      </c>
      <c r="AA451">
        <f t="shared" ca="1" si="144"/>
        <v>-2.2998986685100586E-2</v>
      </c>
      <c r="AB451">
        <f t="shared" ca="1" si="145"/>
        <v>157.07359999999997</v>
      </c>
    </row>
    <row r="452" spans="1:28" x14ac:dyDescent="0.25">
      <c r="A452" s="20">
        <f t="shared" ca="1" si="146"/>
        <v>45943</v>
      </c>
      <c r="B452" vm="1310">
        <f ca="1"/>
        <v>45947</v>
      </c>
      <c r="C452" vm="1311">
        <f ca="1"/>
        <v>151.4</v>
      </c>
      <c r="D452" vm="1312">
        <f ca="1"/>
        <v>8612894</v>
      </c>
      <c r="E452">
        <f t="shared" ca="1" si="147"/>
        <v>1303992151.6000001</v>
      </c>
      <c r="F452">
        <f ca="1">SUM($E$2:E452)/SUM($D$2:D452)</f>
        <v>163.28849803558361</v>
      </c>
      <c r="G452">
        <f ca="1">_xlfn.STDEV.P($C$2:C452)</f>
        <v>6.9576769899877817</v>
      </c>
      <c r="H452">
        <f t="shared" ca="1" si="148"/>
        <v>170.2461750255714</v>
      </c>
      <c r="I452">
        <f t="shared" ca="1" si="149"/>
        <v>156.33082104559583</v>
      </c>
      <c r="J452">
        <f t="shared" ca="1" si="137"/>
        <v>151.315</v>
      </c>
      <c r="K452">
        <f t="shared" ca="1" si="138"/>
        <v>1.8691526366103368</v>
      </c>
      <c r="L452">
        <f t="shared" ca="1" si="139"/>
        <v>155.05330527322067</v>
      </c>
      <c r="M452">
        <f t="shared" ca="1" si="140"/>
        <v>147.57669472677932</v>
      </c>
      <c r="N452">
        <f t="shared" ref="N452:N514" ca="1" si="150">C452-C451</f>
        <v>1.8000000000000114</v>
      </c>
      <c r="O452">
        <f t="shared" ref="O452:O514" ca="1" si="151">MAX(N452,0)</f>
        <v>1.8000000000000114</v>
      </c>
      <c r="P452">
        <f t="shared" ref="P452:P514" ca="1" si="152">MAX(-N452,0)</f>
        <v>0</v>
      </c>
      <c r="Q452">
        <f t="shared" ca="1" si="135"/>
        <v>0.63112547664798746</v>
      </c>
      <c r="R452">
        <f t="shared" ca="1" si="136"/>
        <v>0.69767748052093981</v>
      </c>
      <c r="S452">
        <f t="shared" ca="1" si="133"/>
        <v>0.90460921309476772</v>
      </c>
      <c r="T452">
        <f t="shared" ca="1" si="134"/>
        <v>47.495791098525842</v>
      </c>
      <c r="U452">
        <f>70</f>
        <v>70</v>
      </c>
      <c r="V452">
        <f>30</f>
        <v>30</v>
      </c>
      <c r="W452">
        <f t="shared" ca="1" si="132"/>
        <v>150.45417535806388</v>
      </c>
      <c r="X452">
        <f t="shared" ca="1" si="142"/>
        <v>152.16788325315531</v>
      </c>
      <c r="Y452">
        <f t="shared" ca="1" si="141"/>
        <v>-1.4666438060698113</v>
      </c>
      <c r="Z452">
        <f t="shared" ca="1" si="143"/>
        <v>-1.6458958879390271</v>
      </c>
      <c r="AA452">
        <f t="shared" ca="1" si="144"/>
        <v>0.17925208186921582</v>
      </c>
      <c r="AB452">
        <f t="shared" ca="1" si="145"/>
        <v>156.90999999999997</v>
      </c>
    </row>
    <row r="453" spans="1:28" x14ac:dyDescent="0.25">
      <c r="A453" s="20">
        <f t="shared" ca="1" si="146"/>
        <v>45950</v>
      </c>
      <c r="B453" vm="1313">
        <f ca="1"/>
        <v>45950</v>
      </c>
      <c r="C453" vm="1314">
        <f ca="1"/>
        <v>151.96</v>
      </c>
      <c r="D453" vm="1315">
        <f ca="1"/>
        <v>5601287</v>
      </c>
      <c r="E453">
        <f t="shared" ca="1" si="147"/>
        <v>851171572.5200001</v>
      </c>
      <c r="F453">
        <f ca="1">SUM($E$2:E453)/SUM($D$2:D453)</f>
        <v>163.26910641271064</v>
      </c>
      <c r="G453">
        <f ca="1">_xlfn.STDEV.P($C$2:C453)</f>
        <v>6.9712064362852164</v>
      </c>
      <c r="H453">
        <f t="shared" ca="1" si="148"/>
        <v>170.24031284899587</v>
      </c>
      <c r="I453">
        <f t="shared" ca="1" si="149"/>
        <v>156.29789997642541</v>
      </c>
      <c r="J453">
        <f t="shared" ca="1" si="137"/>
        <v>151.25949999999997</v>
      </c>
      <c r="K453">
        <f t="shared" ca="1" si="138"/>
        <v>1.8303766509138313</v>
      </c>
      <c r="L453">
        <f t="shared" ca="1" si="139"/>
        <v>154.92025330182764</v>
      </c>
      <c r="M453">
        <f t="shared" ca="1" si="140"/>
        <v>147.59874669817231</v>
      </c>
      <c r="N453">
        <f t="shared" ca="1" si="150"/>
        <v>0.56000000000000227</v>
      </c>
      <c r="O453">
        <f t="shared" ca="1" si="151"/>
        <v>0.56000000000000227</v>
      </c>
      <c r="P453">
        <f t="shared" ca="1" si="152"/>
        <v>0</v>
      </c>
      <c r="Q453">
        <f t="shared" ca="1" si="135"/>
        <v>0.62604508545884563</v>
      </c>
      <c r="R453">
        <f t="shared" ca="1" si="136"/>
        <v>0.64784337476944409</v>
      </c>
      <c r="S453">
        <f t="shared" ca="1" si="133"/>
        <v>0.96635253186257242</v>
      </c>
      <c r="T453">
        <f t="shared" ca="1" si="134"/>
        <v>49.144419233270547</v>
      </c>
      <c r="U453">
        <f>70</f>
        <v>70</v>
      </c>
      <c r="V453">
        <f>30</f>
        <v>30</v>
      </c>
      <c r="W453">
        <f t="shared" ca="1" si="132"/>
        <v>150.6858406875925</v>
      </c>
      <c r="X453">
        <f t="shared" ca="1" si="142"/>
        <v>152.15248449366231</v>
      </c>
      <c r="Y453">
        <f t="shared" ca="1" si="141"/>
        <v>-1.2834836929495168</v>
      </c>
      <c r="Z453">
        <f t="shared" ca="1" si="143"/>
        <v>-1.5734134489411251</v>
      </c>
      <c r="AA453">
        <f t="shared" ca="1" si="144"/>
        <v>0.28992975599160831</v>
      </c>
      <c r="AB453">
        <f t="shared" ca="1" si="145"/>
        <v>156.75599999999997</v>
      </c>
    </row>
    <row r="454" spans="1:28" x14ac:dyDescent="0.25">
      <c r="A454" s="20">
        <f t="shared" ca="1" si="146"/>
        <v>45950</v>
      </c>
      <c r="B454" vm="1316">
        <f ca="1"/>
        <v>45951</v>
      </c>
      <c r="C454" vm="1317">
        <f ca="1"/>
        <v>151.62</v>
      </c>
      <c r="D454" vm="1318">
        <f ca="1"/>
        <v>6013379</v>
      </c>
      <c r="E454">
        <f t="shared" ca="1" si="147"/>
        <v>911748523.98000002</v>
      </c>
      <c r="F454">
        <f ca="1">SUM($E$2:E454)/SUM($D$2:D454)</f>
        <v>163.24773821864176</v>
      </c>
      <c r="G454">
        <f ca="1">_xlfn.STDEV.P($C$2:C454)</f>
        <v>6.9858129290390858</v>
      </c>
      <c r="H454">
        <f t="shared" ca="1" si="148"/>
        <v>170.23355114768086</v>
      </c>
      <c r="I454">
        <f t="shared" ca="1" si="149"/>
        <v>156.26192528960266</v>
      </c>
      <c r="J454">
        <f t="shared" ca="1" si="137"/>
        <v>151.21549999999999</v>
      </c>
      <c r="K454">
        <f t="shared" ca="1" si="138"/>
        <v>1.8094444480354523</v>
      </c>
      <c r="L454">
        <f t="shared" ca="1" si="139"/>
        <v>154.83438889607089</v>
      </c>
      <c r="M454">
        <f t="shared" ca="1" si="140"/>
        <v>147.59661110392909</v>
      </c>
      <c r="N454">
        <f t="shared" ca="1" si="150"/>
        <v>-0.34000000000000341</v>
      </c>
      <c r="O454">
        <f t="shared" ca="1" si="151"/>
        <v>0</v>
      </c>
      <c r="P454">
        <f t="shared" ca="1" si="152"/>
        <v>0.34000000000000341</v>
      </c>
      <c r="Q454">
        <f t="shared" ca="1" si="135"/>
        <v>0.58132757935464241</v>
      </c>
      <c r="R454">
        <f t="shared" ca="1" si="136"/>
        <v>0.62585456228591263</v>
      </c>
      <c r="S454">
        <f t="shared" ca="1" si="133"/>
        <v>0.92885410506773824</v>
      </c>
      <c r="T454">
        <f t="shared" ca="1" si="134"/>
        <v>48.155747115726953</v>
      </c>
      <c r="U454">
        <f>70</f>
        <v>70</v>
      </c>
      <c r="V454">
        <f>30</f>
        <v>30</v>
      </c>
      <c r="W454">
        <f t="shared" ca="1" si="132"/>
        <v>150.82955750488597</v>
      </c>
      <c r="X454">
        <f t="shared" ca="1" si="142"/>
        <v>152.11304119783549</v>
      </c>
      <c r="Y454">
        <f t="shared" ca="1" si="141"/>
        <v>-1.0790877787618172</v>
      </c>
      <c r="Z454">
        <f t="shared" ca="1" si="143"/>
        <v>-1.4745483149052636</v>
      </c>
      <c r="AA454">
        <f t="shared" ca="1" si="144"/>
        <v>0.39546053614344645</v>
      </c>
      <c r="AB454">
        <f t="shared" ca="1" si="145"/>
        <v>156.58659999999998</v>
      </c>
    </row>
    <row r="455" spans="1:28" x14ac:dyDescent="0.25">
      <c r="A455" s="20">
        <f t="shared" ca="1" si="146"/>
        <v>45950</v>
      </c>
      <c r="B455" vm="1319">
        <f ca="1"/>
        <v>45952</v>
      </c>
      <c r="C455" vm="1320">
        <f ca="1"/>
        <v>152.19999999999999</v>
      </c>
      <c r="D455" vm="1321">
        <f ca="1"/>
        <v>6394378</v>
      </c>
      <c r="E455">
        <f t="shared" ca="1" si="147"/>
        <v>973224331.5999999</v>
      </c>
      <c r="F455">
        <f ca="1">SUM($E$2:E455)/SUM($D$2:D455)</f>
        <v>163.22623111009131</v>
      </c>
      <c r="G455">
        <f ca="1">_xlfn.STDEV.P($C$2:C455)</f>
        <v>6.9981201139136227</v>
      </c>
      <c r="H455">
        <f t="shared" ca="1" si="148"/>
        <v>170.22435122400492</v>
      </c>
      <c r="I455">
        <f t="shared" ca="1" si="149"/>
        <v>156.22811099617769</v>
      </c>
      <c r="J455">
        <f t="shared" ca="1" si="137"/>
        <v>151.2045</v>
      </c>
      <c r="K455">
        <f t="shared" ca="1" si="138"/>
        <v>1.8023916129176247</v>
      </c>
      <c r="L455">
        <f t="shared" ca="1" si="139"/>
        <v>154.80928322583526</v>
      </c>
      <c r="M455">
        <f t="shared" ca="1" si="140"/>
        <v>147.59971677416473</v>
      </c>
      <c r="N455">
        <f t="shared" ca="1" si="150"/>
        <v>0.57999999999998408</v>
      </c>
      <c r="O455">
        <f t="shared" ca="1" si="151"/>
        <v>0.57999999999998408</v>
      </c>
      <c r="P455">
        <f t="shared" ca="1" si="152"/>
        <v>0</v>
      </c>
      <c r="Q455">
        <f t="shared" ca="1" si="135"/>
        <v>0.58123275225788107</v>
      </c>
      <c r="R455">
        <f t="shared" ca="1" si="136"/>
        <v>0.58115066497977608</v>
      </c>
      <c r="S455">
        <f t="shared" ca="1" si="133"/>
        <v>1.0001412495641002</v>
      </c>
      <c r="T455">
        <f t="shared" ca="1" si="134"/>
        <v>50.003530989727125</v>
      </c>
      <c r="U455">
        <f>70</f>
        <v>70</v>
      </c>
      <c r="V455">
        <f>30</f>
        <v>30</v>
      </c>
      <c r="W455">
        <f t="shared" ca="1" si="132"/>
        <v>151.04039481182659</v>
      </c>
      <c r="X455">
        <f t="shared" ca="1" si="142"/>
        <v>152.1194825905884</v>
      </c>
      <c r="Y455">
        <f t="shared" ca="1" si="141"/>
        <v>-0.90585351233258393</v>
      </c>
      <c r="Z455">
        <f t="shared" ca="1" si="143"/>
        <v>-1.3608093543907278</v>
      </c>
      <c r="AA455">
        <f t="shared" ca="1" si="144"/>
        <v>0.45495584205814388</v>
      </c>
      <c r="AB455">
        <f t="shared" ca="1" si="145"/>
        <v>156.40969999999999</v>
      </c>
    </row>
    <row r="456" spans="1:28" x14ac:dyDescent="0.25">
      <c r="A456" s="20">
        <f t="shared" ca="1" si="146"/>
        <v>45950</v>
      </c>
      <c r="B456" vm="1322">
        <f ca="1"/>
        <v>45953</v>
      </c>
      <c r="C456" vm="1323">
        <f ca="1"/>
        <v>152.21</v>
      </c>
      <c r="D456" vm="1324">
        <f ca="1"/>
        <v>8205353</v>
      </c>
      <c r="E456">
        <f t="shared" ca="1" si="147"/>
        <v>1248936780.1300001</v>
      </c>
      <c r="F456">
        <f ca="1">SUM($E$2:E456)/SUM($D$2:D456)</f>
        <v>163.19878017760922</v>
      </c>
      <c r="G456">
        <f ca="1">_xlfn.STDEV.P($C$2:C456)</f>
        <v>7.0102290839661396</v>
      </c>
      <c r="H456">
        <f t="shared" ca="1" si="148"/>
        <v>170.20900926157537</v>
      </c>
      <c r="I456">
        <f t="shared" ca="1" si="149"/>
        <v>156.18855109364307</v>
      </c>
      <c r="J456">
        <f t="shared" ca="1" si="137"/>
        <v>151.20749999999998</v>
      </c>
      <c r="K456">
        <f t="shared" ca="1" si="138"/>
        <v>1.8040973103641516</v>
      </c>
      <c r="L456">
        <f t="shared" ca="1" si="139"/>
        <v>154.81569462072829</v>
      </c>
      <c r="M456">
        <f t="shared" ca="1" si="140"/>
        <v>147.59930537927167</v>
      </c>
      <c r="N456">
        <f t="shared" ca="1" si="150"/>
        <v>1.0000000000019327E-2</v>
      </c>
      <c r="O456">
        <f t="shared" ca="1" si="151"/>
        <v>1.0000000000019327E-2</v>
      </c>
      <c r="P456">
        <f t="shared" ca="1" si="152"/>
        <v>0</v>
      </c>
      <c r="Q456">
        <f t="shared" ca="1" si="135"/>
        <v>0.54043041281089088</v>
      </c>
      <c r="R456">
        <f t="shared" ca="1" si="136"/>
        <v>0.53963990319550637</v>
      </c>
      <c r="S456">
        <f t="shared" ca="1" si="133"/>
        <v>1.0014648835467939</v>
      </c>
      <c r="T456">
        <f t="shared" ca="1" si="134"/>
        <v>50.036595284754583</v>
      </c>
      <c r="U456">
        <f>70</f>
        <v>70</v>
      </c>
      <c r="V456">
        <f>30</f>
        <v>30</v>
      </c>
      <c r="W456">
        <f t="shared" ca="1" si="132"/>
        <v>151.22033407154558</v>
      </c>
      <c r="X456">
        <f t="shared" ca="1" si="142"/>
        <v>152.12618758387816</v>
      </c>
      <c r="Y456">
        <f t="shared" ca="1" si="141"/>
        <v>-0.73746936043124833</v>
      </c>
      <c r="Z456">
        <f t="shared" ca="1" si="143"/>
        <v>-1.2361413555988321</v>
      </c>
      <c r="AA456">
        <f t="shared" ca="1" si="144"/>
        <v>0.49867199516758376</v>
      </c>
      <c r="AB456">
        <f t="shared" ca="1" si="145"/>
        <v>156.25399999999996</v>
      </c>
    </row>
    <row r="457" spans="1:28" x14ac:dyDescent="0.25">
      <c r="A457" s="20">
        <f t="shared" ca="1" si="146"/>
        <v>45950</v>
      </c>
      <c r="B457" vm="1325">
        <f ca="1"/>
        <v>45954</v>
      </c>
      <c r="C457" vm="1326">
        <f ca="1"/>
        <v>152.49</v>
      </c>
      <c r="D457" vm="1327">
        <f ca="1"/>
        <v>11968491</v>
      </c>
      <c r="E457">
        <f t="shared" ca="1" si="147"/>
        <v>1825075192.5900002</v>
      </c>
      <c r="F457">
        <f ca="1">SUM($E$2:E457)/SUM($D$2:D457)</f>
        <v>163.15999814784607</v>
      </c>
      <c r="G457">
        <f ca="1">_xlfn.STDEV.P($C$2:C457)</f>
        <v>7.0212110488004447</v>
      </c>
      <c r="H457">
        <f t="shared" ca="1" si="148"/>
        <v>170.18120919664651</v>
      </c>
      <c r="I457">
        <f t="shared" ca="1" si="149"/>
        <v>156.13878709904563</v>
      </c>
      <c r="J457">
        <f t="shared" ca="1" si="137"/>
        <v>151.20700000000002</v>
      </c>
      <c r="K457">
        <f t="shared" ca="1" si="138"/>
        <v>1.803721591307089</v>
      </c>
      <c r="L457">
        <f t="shared" ca="1" si="139"/>
        <v>154.81444318261421</v>
      </c>
      <c r="M457">
        <f t="shared" ca="1" si="140"/>
        <v>147.59955681738583</v>
      </c>
      <c r="N457">
        <f t="shared" ca="1" si="150"/>
        <v>0.28000000000000114</v>
      </c>
      <c r="O457">
        <f t="shared" ca="1" si="151"/>
        <v>0.28000000000000114</v>
      </c>
      <c r="P457">
        <f t="shared" ca="1" si="152"/>
        <v>0</v>
      </c>
      <c r="Q457">
        <f t="shared" ca="1" si="135"/>
        <v>0.52182824046725584</v>
      </c>
      <c r="R457">
        <f t="shared" ca="1" si="136"/>
        <v>0.50109419582439874</v>
      </c>
      <c r="S457">
        <f t="shared" ca="1" si="133"/>
        <v>1.0413775390248645</v>
      </c>
      <c r="T457">
        <f t="shared" ca="1" si="134"/>
        <v>51.013471007539103</v>
      </c>
      <c r="U457">
        <f>70</f>
        <v>70</v>
      </c>
      <c r="V457">
        <f>30</f>
        <v>30</v>
      </c>
      <c r="W457">
        <f t="shared" ca="1" si="132"/>
        <v>151.41566729130778</v>
      </c>
      <c r="X457">
        <f t="shared" ca="1" si="142"/>
        <v>152.15313665173903</v>
      </c>
      <c r="Y457">
        <f t="shared" ca="1" si="141"/>
        <v>-0.65696930568881839</v>
      </c>
      <c r="Z457">
        <f t="shared" ca="1" si="143"/>
        <v>-1.1203069456168293</v>
      </c>
      <c r="AA457">
        <f t="shared" ca="1" si="144"/>
        <v>0.46333763992801091</v>
      </c>
      <c r="AB457">
        <f t="shared" ca="1" si="145"/>
        <v>156.11039999999997</v>
      </c>
    </row>
    <row r="458" spans="1:28" x14ac:dyDescent="0.25">
      <c r="A458" s="20">
        <f t="shared" ca="1" si="146"/>
        <v>45957</v>
      </c>
      <c r="B458" vm="1328">
        <f ca="1"/>
        <v>45957</v>
      </c>
      <c r="C458" vm="1329">
        <f ca="1"/>
        <v>151.74</v>
      </c>
      <c r="D458" vm="1330">
        <f ca="1"/>
        <v>7775323</v>
      </c>
      <c r="E458">
        <f t="shared" ca="1" si="147"/>
        <v>1179827512.02</v>
      </c>
      <c r="F458">
        <f ca="1">SUM($E$2:E458)/SUM($D$2:D458)</f>
        <v>163.13319319576172</v>
      </c>
      <c r="G458">
        <f ca="1">_xlfn.STDEV.P($C$2:C458)</f>
        <v>7.0346753223488392</v>
      </c>
      <c r="H458">
        <f t="shared" ca="1" si="148"/>
        <v>170.16786851811057</v>
      </c>
      <c r="I458">
        <f t="shared" ca="1" si="149"/>
        <v>156.09851787341287</v>
      </c>
      <c r="J458">
        <f t="shared" ca="1" si="137"/>
        <v>151.11749999999998</v>
      </c>
      <c r="K458">
        <f t="shared" ca="1" si="138"/>
        <v>1.7250839033752012</v>
      </c>
      <c r="L458">
        <f t="shared" ca="1" si="139"/>
        <v>154.56766780675039</v>
      </c>
      <c r="M458">
        <f t="shared" ca="1" si="140"/>
        <v>147.66733219324956</v>
      </c>
      <c r="N458">
        <f t="shared" ca="1" si="150"/>
        <v>-0.75</v>
      </c>
      <c r="O458">
        <f t="shared" ca="1" si="151"/>
        <v>0</v>
      </c>
      <c r="P458">
        <f t="shared" ca="1" si="152"/>
        <v>0.75</v>
      </c>
      <c r="Q458">
        <f t="shared" ca="1" si="135"/>
        <v>0.48455479471959473</v>
      </c>
      <c r="R458">
        <f t="shared" ca="1" si="136"/>
        <v>0.51887318183694175</v>
      </c>
      <c r="S458">
        <f t="shared" ca="1" si="133"/>
        <v>0.933859778615169</v>
      </c>
      <c r="T458">
        <f t="shared" ca="1" si="134"/>
        <v>48.289942680534111</v>
      </c>
      <c r="U458">
        <f>70</f>
        <v>70</v>
      </c>
      <c r="V458">
        <f>30</f>
        <v>30</v>
      </c>
      <c r="W458">
        <f t="shared" ca="1" si="132"/>
        <v>151.46556463110659</v>
      </c>
      <c r="X458">
        <f t="shared" ca="1" si="142"/>
        <v>152.12253393679541</v>
      </c>
      <c r="Y458">
        <f t="shared" ca="1" si="141"/>
        <v>-0.61592830205086102</v>
      </c>
      <c r="Z458">
        <f t="shared" ca="1" si="143"/>
        <v>-1.0194312169036357</v>
      </c>
      <c r="AA458">
        <f t="shared" ca="1" si="144"/>
        <v>0.40350291485277467</v>
      </c>
      <c r="AB458">
        <f t="shared" ca="1" si="145"/>
        <v>155.96829999999997</v>
      </c>
    </row>
    <row r="459" spans="1:28" x14ac:dyDescent="0.25">
      <c r="A459" s="20">
        <f t="shared" ca="1" si="146"/>
        <v>45957</v>
      </c>
      <c r="B459" vm="1331">
        <f ca="1"/>
        <v>45958</v>
      </c>
      <c r="C459" vm="1332">
        <f ca="1"/>
        <v>151.37</v>
      </c>
      <c r="D459" vm="1333">
        <f ca="1"/>
        <v>5819257</v>
      </c>
      <c r="E459">
        <f t="shared" ca="1" si="147"/>
        <v>880860932.09000003</v>
      </c>
      <c r="F459">
        <f ca="1">SUM($E$2:E459)/SUM($D$2:D459)</f>
        <v>163.1125650081228</v>
      </c>
      <c r="G459">
        <f ca="1">_xlfn.STDEV.P($C$2:C459)</f>
        <v>7.0493157268811331</v>
      </c>
      <c r="H459">
        <f t="shared" ca="1" si="148"/>
        <v>170.16188073500393</v>
      </c>
      <c r="I459">
        <f t="shared" ca="1" si="149"/>
        <v>156.06324928124167</v>
      </c>
      <c r="J459">
        <f t="shared" ca="1" si="137"/>
        <v>151.00349999999997</v>
      </c>
      <c r="K459">
        <f t="shared" ca="1" si="138"/>
        <v>1.6211213630336934</v>
      </c>
      <c r="L459">
        <f t="shared" ca="1" si="139"/>
        <v>154.24574272606736</v>
      </c>
      <c r="M459">
        <f t="shared" ca="1" si="140"/>
        <v>147.76125727393259</v>
      </c>
      <c r="N459">
        <f t="shared" ca="1" si="150"/>
        <v>-0.37000000000000455</v>
      </c>
      <c r="O459">
        <f t="shared" ca="1" si="151"/>
        <v>0</v>
      </c>
      <c r="P459">
        <f t="shared" ca="1" si="152"/>
        <v>0.37000000000000455</v>
      </c>
      <c r="Q459">
        <f t="shared" ca="1" si="135"/>
        <v>0.44994373795390935</v>
      </c>
      <c r="R459">
        <f t="shared" ca="1" si="136"/>
        <v>0.50823938313430339</v>
      </c>
      <c r="S459">
        <f t="shared" ca="1" si="133"/>
        <v>0.88529884319297369</v>
      </c>
      <c r="T459">
        <f t="shared" ca="1" si="134"/>
        <v>46.958011266458783</v>
      </c>
      <c r="U459">
        <f>70</f>
        <v>70</v>
      </c>
      <c r="V459">
        <f>30</f>
        <v>30</v>
      </c>
      <c r="W459">
        <f t="shared" ca="1" si="132"/>
        <v>151.45086238016711</v>
      </c>
      <c r="X459">
        <f t="shared" ca="1" si="142"/>
        <v>152.06679068221797</v>
      </c>
      <c r="Y459">
        <f t="shared" ca="1" si="141"/>
        <v>-0.78416195102911956</v>
      </c>
      <c r="Z459">
        <f t="shared" ca="1" si="143"/>
        <v>-0.97237736372873251</v>
      </c>
      <c r="AA459">
        <f t="shared" ca="1" si="144"/>
        <v>0.18821541269961295</v>
      </c>
      <c r="AB459">
        <f t="shared" ca="1" si="145"/>
        <v>155.85399999999998</v>
      </c>
    </row>
    <row r="460" spans="1:28" x14ac:dyDescent="0.25">
      <c r="A460" s="20">
        <f t="shared" ca="1" si="146"/>
        <v>45957</v>
      </c>
      <c r="B460" vm="1334">
        <f ca="1"/>
        <v>45959</v>
      </c>
      <c r="C460" vm="1335">
        <f ca="1"/>
        <v>148.77000000000001</v>
      </c>
      <c r="D460" vm="1336">
        <f ca="1"/>
        <v>7405466</v>
      </c>
      <c r="E460">
        <f t="shared" ca="1" si="147"/>
        <v>1101711176.8200002</v>
      </c>
      <c r="F460">
        <f ca="1">SUM($E$2:E460)/SUM($D$2:D460)</f>
        <v>163.08062908871702</v>
      </c>
      <c r="G460">
        <f ca="1">_xlfn.STDEV.P($C$2:C460)</f>
        <v>7.0743866197990872</v>
      </c>
      <c r="H460">
        <f t="shared" ca="1" si="148"/>
        <v>170.15501570851612</v>
      </c>
      <c r="I460">
        <f t="shared" ca="1" si="149"/>
        <v>156.00624246891792</v>
      </c>
      <c r="J460">
        <f t="shared" ca="1" si="137"/>
        <v>150.78299999999996</v>
      </c>
      <c r="K460">
        <f t="shared" ca="1" si="138"/>
        <v>1.6093741836993352</v>
      </c>
      <c r="L460">
        <f t="shared" ca="1" si="139"/>
        <v>154.00174836739862</v>
      </c>
      <c r="M460">
        <f t="shared" ca="1" si="140"/>
        <v>147.5642516326013</v>
      </c>
      <c r="N460">
        <f t="shared" ca="1" si="150"/>
        <v>-2.5999999999999943</v>
      </c>
      <c r="O460">
        <f t="shared" ca="1" si="151"/>
        <v>0</v>
      </c>
      <c r="P460">
        <f t="shared" ca="1" si="152"/>
        <v>2.5999999999999943</v>
      </c>
      <c r="Q460">
        <f t="shared" ca="1" si="135"/>
        <v>0.41780489952863009</v>
      </c>
      <c r="R460">
        <f t="shared" ca="1" si="136"/>
        <v>0.6576508557675671</v>
      </c>
      <c r="S460">
        <f t="shared" ca="1" si="133"/>
        <v>0.63529895211798293</v>
      </c>
      <c r="T460">
        <f t="shared" ca="1" si="134"/>
        <v>38.849101645614432</v>
      </c>
      <c r="U460">
        <f>70</f>
        <v>70</v>
      </c>
      <c r="V460">
        <f>30</f>
        <v>30</v>
      </c>
      <c r="W460">
        <f t="shared" ca="1" si="132"/>
        <v>151.03842201398754</v>
      </c>
      <c r="X460">
        <f t="shared" ca="1" si="142"/>
        <v>151.82258396501666</v>
      </c>
      <c r="Y460">
        <f t="shared" ca="1" si="141"/>
        <v>-0.84241723782369604</v>
      </c>
      <c r="Z460">
        <f t="shared" ca="1" si="143"/>
        <v>-0.94638533854772522</v>
      </c>
      <c r="AA460">
        <f t="shared" ca="1" si="144"/>
        <v>0.10396810072402918</v>
      </c>
      <c r="AB460">
        <f t="shared" ca="1" si="145"/>
        <v>155.70149999999998</v>
      </c>
    </row>
    <row r="461" spans="1:28" x14ac:dyDescent="0.25">
      <c r="A461" s="20">
        <f t="shared" ca="1" si="146"/>
        <v>45957</v>
      </c>
      <c r="B461" vm="1337">
        <f ca="1"/>
        <v>45960</v>
      </c>
      <c r="C461" vm="1338">
        <f ca="1"/>
        <v>149.58000000000001</v>
      </c>
      <c r="D461" vm="1339">
        <f ca="1"/>
        <v>6760702</v>
      </c>
      <c r="E461">
        <f t="shared" ca="1" si="147"/>
        <v>1011265805.1600001</v>
      </c>
      <c r="F461">
        <f ca="1">SUM($E$2:E461)/SUM($D$2:D461)</f>
        <v>163.05324085210816</v>
      </c>
      <c r="G461">
        <f ca="1">_xlfn.STDEV.P($C$2:C461)</f>
        <v>7.095617017709154</v>
      </c>
      <c r="H461">
        <f t="shared" ca="1" si="148"/>
        <v>170.14885786981731</v>
      </c>
      <c r="I461">
        <f t="shared" ca="1" si="149"/>
        <v>155.95762383439902</v>
      </c>
      <c r="J461">
        <f t="shared" ca="1" si="137"/>
        <v>150.65950000000001</v>
      </c>
      <c r="K461">
        <f t="shared" ca="1" si="138"/>
        <v>1.6017834632552237</v>
      </c>
      <c r="L461">
        <f t="shared" ca="1" si="139"/>
        <v>153.86306692651044</v>
      </c>
      <c r="M461">
        <f t="shared" ca="1" si="140"/>
        <v>147.45593307348958</v>
      </c>
      <c r="N461">
        <f t="shared" ca="1" si="150"/>
        <v>0.81000000000000227</v>
      </c>
      <c r="O461">
        <f t="shared" ca="1" si="151"/>
        <v>0.81000000000000227</v>
      </c>
      <c r="P461">
        <f t="shared" ca="1" si="152"/>
        <v>0</v>
      </c>
      <c r="Q461">
        <f t="shared" ca="1" si="135"/>
        <v>0.44581883527658522</v>
      </c>
      <c r="R461">
        <f t="shared" ca="1" si="136"/>
        <v>0.61067579464131228</v>
      </c>
      <c r="S461">
        <f t="shared" ca="1" si="133"/>
        <v>0.73004176551396183</v>
      </c>
      <c r="T461">
        <f t="shared" ca="1" si="134"/>
        <v>42.197927244668605</v>
      </c>
      <c r="U461">
        <f>70</f>
        <v>70</v>
      </c>
      <c r="V461">
        <f>30</f>
        <v>30</v>
      </c>
      <c r="W461">
        <f t="shared" ca="1" si="132"/>
        <v>150.814049396451</v>
      </c>
      <c r="X461">
        <f t="shared" ca="1" si="142"/>
        <v>151.65646663427469</v>
      </c>
      <c r="Y461">
        <f t="shared" ca="1" si="141"/>
        <v>-0.81543870482428815</v>
      </c>
      <c r="Z461">
        <f t="shared" ca="1" si="143"/>
        <v>-0.92019601180303789</v>
      </c>
      <c r="AA461">
        <f t="shared" ca="1" si="144"/>
        <v>0.10475730697874974</v>
      </c>
      <c r="AB461">
        <f t="shared" ca="1" si="145"/>
        <v>155.57169999999999</v>
      </c>
    </row>
    <row r="462" spans="1:28" x14ac:dyDescent="0.25">
      <c r="A462" s="20">
        <f t="shared" ca="1" si="146"/>
        <v>45957</v>
      </c>
      <c r="B462" vm="1340">
        <f ca="1"/>
        <v>45961</v>
      </c>
      <c r="C462" vm="1341">
        <f ca="1"/>
        <v>150.37</v>
      </c>
      <c r="D462" vm="1342">
        <f ca="1"/>
        <v>7930334</v>
      </c>
      <c r="E462">
        <f t="shared" ca="1" si="147"/>
        <v>1192484323.5799999</v>
      </c>
      <c r="F462">
        <f ca="1">SUM($E$2:E462)/SUM($D$2:D462)</f>
        <v>163.02313105998698</v>
      </c>
      <c r="G462">
        <f ca="1">_xlfn.STDEV.P($C$2:C462)</f>
        <v>7.1133672880495382</v>
      </c>
      <c r="H462">
        <f t="shared" ca="1" si="148"/>
        <v>170.13649834803653</v>
      </c>
      <c r="I462">
        <f t="shared" ca="1" si="149"/>
        <v>155.90976377193743</v>
      </c>
      <c r="J462">
        <f t="shared" ca="1" si="137"/>
        <v>150.56449999999998</v>
      </c>
      <c r="K462">
        <f t="shared" ca="1" si="138"/>
        <v>1.5569554467478823</v>
      </c>
      <c r="L462">
        <f t="shared" ca="1" si="139"/>
        <v>153.67841089349574</v>
      </c>
      <c r="M462">
        <f t="shared" ca="1" si="140"/>
        <v>147.45058910650422</v>
      </c>
      <c r="N462">
        <f t="shared" ca="1" si="150"/>
        <v>0.78999999999999204</v>
      </c>
      <c r="O462">
        <f t="shared" ca="1" si="151"/>
        <v>0.78999999999999204</v>
      </c>
      <c r="P462">
        <f t="shared" ca="1" si="152"/>
        <v>0</v>
      </c>
      <c r="Q462">
        <f t="shared" ca="1" si="135"/>
        <v>0.47040320418539999</v>
      </c>
      <c r="R462">
        <f t="shared" ca="1" si="136"/>
        <v>0.56705609502407561</v>
      </c>
      <c r="S462">
        <f t="shared" ca="1" si="133"/>
        <v>0.82955321054335551</v>
      </c>
      <c r="T462">
        <f t="shared" ca="1" si="134"/>
        <v>45.341846619316854</v>
      </c>
      <c r="U462">
        <f>70</f>
        <v>70</v>
      </c>
      <c r="V462">
        <f>30</f>
        <v>30</v>
      </c>
      <c r="W462">
        <f t="shared" ca="1" si="132"/>
        <v>150.74573410468932</v>
      </c>
      <c r="X462">
        <f t="shared" ca="1" si="142"/>
        <v>151.56117280951361</v>
      </c>
      <c r="Y462">
        <f t="shared" ca="1" si="141"/>
        <v>-0.97247331623702848</v>
      </c>
      <c r="Z462">
        <f t="shared" ca="1" si="143"/>
        <v>-0.93065147268983606</v>
      </c>
      <c r="AA462">
        <f t="shared" ca="1" si="144"/>
        <v>-4.1821843547192428E-2</v>
      </c>
      <c r="AB462">
        <f t="shared" ca="1" si="145"/>
        <v>155.447</v>
      </c>
    </row>
    <row r="463" spans="1:28" x14ac:dyDescent="0.25">
      <c r="A463" s="20">
        <f t="shared" ca="1" si="146"/>
        <v>45964</v>
      </c>
      <c r="B463" vm="1343">
        <f ca="1"/>
        <v>45964</v>
      </c>
      <c r="C463" vm="1344">
        <f ca="1"/>
        <v>148.02000000000001</v>
      </c>
      <c r="D463" vm="1345">
        <f ca="1"/>
        <v>8946383</v>
      </c>
      <c r="E463">
        <f t="shared" ca="1" si="147"/>
        <v>1324243611.6600001</v>
      </c>
      <c r="F463">
        <f ca="1">SUM($E$2:E463)/SUM($D$2:D463)</f>
        <v>162.98305787317494</v>
      </c>
      <c r="G463">
        <f ca="1">_xlfn.STDEV.P($C$2:C463)</f>
        <v>7.1408942987511939</v>
      </c>
      <c r="H463">
        <f t="shared" ca="1" si="148"/>
        <v>170.12395217192613</v>
      </c>
      <c r="I463">
        <f t="shared" ca="1" si="149"/>
        <v>155.84216357442375</v>
      </c>
      <c r="J463">
        <f t="shared" ca="1" si="137"/>
        <v>150.44499999999999</v>
      </c>
      <c r="K463">
        <f t="shared" ca="1" si="138"/>
        <v>1.6578854636332137</v>
      </c>
      <c r="L463">
        <f t="shared" ca="1" si="139"/>
        <v>153.76077092726641</v>
      </c>
      <c r="M463">
        <f t="shared" ca="1" si="140"/>
        <v>147.12922907273358</v>
      </c>
      <c r="N463">
        <f t="shared" ca="1" si="150"/>
        <v>-2.3499999999999943</v>
      </c>
      <c r="O463">
        <f t="shared" ca="1" si="151"/>
        <v>0</v>
      </c>
      <c r="P463">
        <f t="shared" ca="1" si="152"/>
        <v>2.3499999999999943</v>
      </c>
      <c r="Q463">
        <f t="shared" ca="1" si="135"/>
        <v>0.43680297531501427</v>
      </c>
      <c r="R463">
        <f t="shared" ca="1" si="136"/>
        <v>0.69440923109378416</v>
      </c>
      <c r="S463">
        <f t="shared" ca="1" si="133"/>
        <v>0.62902818072708111</v>
      </c>
      <c r="T463">
        <f t="shared" ca="1" si="134"/>
        <v>38.613707741159409</v>
      </c>
      <c r="U463">
        <f>70</f>
        <v>70</v>
      </c>
      <c r="V463">
        <f>30</f>
        <v>30</v>
      </c>
      <c r="W463">
        <f t="shared" ref="W463:W514" ca="1" si="153">C463*(2/(12+1)) + W462*(1-(2/(12+1)))</f>
        <v>150.32639039627557</v>
      </c>
      <c r="X463">
        <f t="shared" ca="1" si="142"/>
        <v>151.2988637125126</v>
      </c>
      <c r="Y463">
        <f t="shared" ca="1" si="141"/>
        <v>-1.1522300822585407</v>
      </c>
      <c r="Z463">
        <f t="shared" ca="1" si="143"/>
        <v>-0.97496719460357706</v>
      </c>
      <c r="AA463">
        <f t="shared" ca="1" si="144"/>
        <v>-0.17726288765496367</v>
      </c>
      <c r="AB463">
        <f t="shared" ca="1" si="145"/>
        <v>155.30610000000001</v>
      </c>
    </row>
    <row r="464" spans="1:28" x14ac:dyDescent="0.25">
      <c r="A464" s="20">
        <f t="shared" ca="1" si="146"/>
        <v>45964</v>
      </c>
      <c r="B464" vm="1346">
        <f ca="1"/>
        <v>45965</v>
      </c>
      <c r="C464" vm="1347">
        <f ca="1"/>
        <v>147.16999999999999</v>
      </c>
      <c r="D464" vm="1348">
        <f ca="1"/>
        <v>9295449</v>
      </c>
      <c r="E464">
        <f t="shared" ca="1" si="147"/>
        <v>1368011229.3299999</v>
      </c>
      <c r="F464">
        <f ca="1">SUM($E$2:E464)/SUM($D$2:D464)</f>
        <v>162.93929486792695</v>
      </c>
      <c r="G464">
        <f ca="1">_xlfn.STDEV.P($C$2:C464)</f>
        <v>7.1720413642614673</v>
      </c>
      <c r="H464">
        <f t="shared" ca="1" si="148"/>
        <v>170.11133623218842</v>
      </c>
      <c r="I464">
        <f t="shared" ca="1" si="149"/>
        <v>155.76725350366547</v>
      </c>
      <c r="J464">
        <f t="shared" ca="1" si="137"/>
        <v>150.17649999999998</v>
      </c>
      <c r="K464">
        <f t="shared" ca="1" si="138"/>
        <v>1.7338405044111902</v>
      </c>
      <c r="L464">
        <f t="shared" ca="1" si="139"/>
        <v>153.64418100882236</v>
      </c>
      <c r="M464">
        <f t="shared" ca="1" si="140"/>
        <v>146.70881899117759</v>
      </c>
      <c r="N464">
        <f t="shared" ca="1" si="150"/>
        <v>-0.85000000000002274</v>
      </c>
      <c r="O464">
        <f t="shared" ca="1" si="151"/>
        <v>0</v>
      </c>
      <c r="P464">
        <f t="shared" ca="1" si="152"/>
        <v>0.85000000000002274</v>
      </c>
      <c r="Q464">
        <f t="shared" ca="1" si="135"/>
        <v>0.40560276279251323</v>
      </c>
      <c r="R464">
        <f t="shared" ca="1" si="136"/>
        <v>0.70552285744422971</v>
      </c>
      <c r="S464">
        <f t="shared" ref="S464:S514" ca="1" si="154">IF(R464=0,NA(),Q464/R464)</f>
        <v>0.57489670038730867</v>
      </c>
      <c r="T464">
        <f t="shared" ref="T464:T514" ca="1" si="155">100-(100/(1+S464))</f>
        <v>36.503771977293901</v>
      </c>
      <c r="U464">
        <f>70</f>
        <v>70</v>
      </c>
      <c r="V464">
        <f>30</f>
        <v>30</v>
      </c>
      <c r="W464">
        <f t="shared" ca="1" si="153"/>
        <v>149.84079187377165</v>
      </c>
      <c r="X464">
        <f t="shared" ca="1" si="142"/>
        <v>150.99302195603019</v>
      </c>
      <c r="Y464">
        <f t="shared" ca="1" si="141"/>
        <v>-1.3900197982895577</v>
      </c>
      <c r="Z464">
        <f t="shared" ca="1" si="143"/>
        <v>-1.0579777153407732</v>
      </c>
      <c r="AA464">
        <f t="shared" ca="1" si="144"/>
        <v>-0.33204208294878446</v>
      </c>
      <c r="AB464">
        <f t="shared" ca="1" si="145"/>
        <v>155.14600000000002</v>
      </c>
    </row>
    <row r="465" spans="1:28" x14ac:dyDescent="0.25">
      <c r="A465" s="20">
        <f t="shared" ca="1" si="146"/>
        <v>45964</v>
      </c>
      <c r="B465" vm="1349">
        <f ca="1"/>
        <v>45966</v>
      </c>
      <c r="C465" vm="1350">
        <f ca="1"/>
        <v>145.79</v>
      </c>
      <c r="D465" vm="1351">
        <f ca="1"/>
        <v>11199878</v>
      </c>
      <c r="E465">
        <f t="shared" ca="1" si="147"/>
        <v>1632830213.6199999</v>
      </c>
      <c r="F465">
        <f ca="1">SUM($E$2:E465)/SUM($D$2:D465)</f>
        <v>162.88230013706095</v>
      </c>
      <c r="G465">
        <f ca="1">_xlfn.STDEV.P($C$2:C465)</f>
        <v>7.2096386774288304</v>
      </c>
      <c r="H465">
        <f t="shared" ca="1" si="148"/>
        <v>170.09193881448979</v>
      </c>
      <c r="I465">
        <f t="shared" ca="1" si="149"/>
        <v>155.67266145963211</v>
      </c>
      <c r="J465">
        <f t="shared" ca="1" si="137"/>
        <v>149.9315</v>
      </c>
      <c r="K465">
        <f t="shared" ca="1" si="138"/>
        <v>1.9854080185191185</v>
      </c>
      <c r="L465">
        <f t="shared" ca="1" si="139"/>
        <v>153.90231603703825</v>
      </c>
      <c r="M465">
        <f t="shared" ca="1" si="140"/>
        <v>145.96068396296175</v>
      </c>
      <c r="N465">
        <f t="shared" ca="1" si="150"/>
        <v>-1.3799999999999955</v>
      </c>
      <c r="O465">
        <f t="shared" ca="1" si="151"/>
        <v>0</v>
      </c>
      <c r="P465">
        <f t="shared" ca="1" si="152"/>
        <v>1.3799999999999955</v>
      </c>
      <c r="Q465">
        <f t="shared" ref="Q465:Q514" ca="1" si="156">(Q464*13+O465)/14</f>
        <v>0.37663113687876226</v>
      </c>
      <c r="R465">
        <f t="shared" ref="R465:R514" ca="1" si="157">(R464*13+P465)/14</f>
        <v>0.75369979619821303</v>
      </c>
      <c r="S465">
        <f t="shared" ca="1" si="154"/>
        <v>0.49970975019305069</v>
      </c>
      <c r="T465">
        <f t="shared" ca="1" si="155"/>
        <v>33.320430845283596</v>
      </c>
      <c r="U465">
        <f>70</f>
        <v>70</v>
      </c>
      <c r="V465">
        <f>30</f>
        <v>30</v>
      </c>
      <c r="W465">
        <f t="shared" ca="1" si="153"/>
        <v>149.21759312396063</v>
      </c>
      <c r="X465">
        <f t="shared" ca="1" si="142"/>
        <v>150.60761292225018</v>
      </c>
      <c r="Y465">
        <f t="shared" ca="1" si="141"/>
        <v>-1.5333590937749761</v>
      </c>
      <c r="Z465">
        <f t="shared" ca="1" si="143"/>
        <v>-1.1530539910276139</v>
      </c>
      <c r="AA465">
        <f t="shared" ca="1" si="144"/>
        <v>-0.38030510274736229</v>
      </c>
      <c r="AB465">
        <f t="shared" ca="1" si="145"/>
        <v>155.00110000000004</v>
      </c>
    </row>
    <row r="466" spans="1:28" x14ac:dyDescent="0.25">
      <c r="A466" s="20">
        <f t="shared" ca="1" si="146"/>
        <v>45964</v>
      </c>
      <c r="B466" vm="1352">
        <f ca="1"/>
        <v>45967</v>
      </c>
      <c r="C466" vm="1353">
        <f ca="1"/>
        <v>146.13</v>
      </c>
      <c r="D466" vm="1354">
        <f ca="1"/>
        <v>10024549</v>
      </c>
      <c r="E466">
        <f t="shared" ca="1" si="147"/>
        <v>1464887345.3699999</v>
      </c>
      <c r="F466">
        <f ca="1">SUM($E$2:E466)/SUM($D$2:D466)</f>
        <v>162.83261523166792</v>
      </c>
      <c r="G466">
        <f ca="1">_xlfn.STDEV.P($C$2:C466)</f>
        <v>7.2449557200096111</v>
      </c>
      <c r="H466">
        <f t="shared" ca="1" si="148"/>
        <v>170.07757095167753</v>
      </c>
      <c r="I466">
        <f t="shared" ca="1" si="149"/>
        <v>155.5876595116583</v>
      </c>
      <c r="J466">
        <f t="shared" ca="1" si="137"/>
        <v>149.709</v>
      </c>
      <c r="K466">
        <f t="shared" ca="1" si="138"/>
        <v>2.1513249283565781</v>
      </c>
      <c r="L466">
        <f t="shared" ca="1" si="139"/>
        <v>154.01164985671315</v>
      </c>
      <c r="M466">
        <f t="shared" ca="1" si="140"/>
        <v>145.40635014328686</v>
      </c>
      <c r="N466">
        <f t="shared" ca="1" si="150"/>
        <v>0.34000000000000341</v>
      </c>
      <c r="O466">
        <f t="shared" ca="1" si="151"/>
        <v>0.34000000000000341</v>
      </c>
      <c r="P466">
        <f t="shared" ca="1" si="152"/>
        <v>0</v>
      </c>
      <c r="Q466">
        <f t="shared" ca="1" si="156"/>
        <v>0.37401462710170807</v>
      </c>
      <c r="R466">
        <f t="shared" ca="1" si="157"/>
        <v>0.69986409646976921</v>
      </c>
      <c r="S466">
        <f t="shared" ca="1" si="154"/>
        <v>0.53441036479553672</v>
      </c>
      <c r="T466">
        <f t="shared" ca="1" si="155"/>
        <v>34.828386007855727</v>
      </c>
      <c r="U466">
        <f>70</f>
        <v>70</v>
      </c>
      <c r="V466">
        <f>30</f>
        <v>30</v>
      </c>
      <c r="W466">
        <f t="shared" ca="1" si="153"/>
        <v>148.74257879719744</v>
      </c>
      <c r="X466">
        <f t="shared" ca="1" si="142"/>
        <v>150.27593789097241</v>
      </c>
      <c r="Y466">
        <f t="shared" ca="1" si="141"/>
        <v>-1.5603815150951448</v>
      </c>
      <c r="Z466">
        <f t="shared" ca="1" si="143"/>
        <v>-1.2345194958411201</v>
      </c>
      <c r="AA466">
        <f t="shared" ca="1" si="144"/>
        <v>-0.32586201925402469</v>
      </c>
      <c r="AB466">
        <f t="shared" ca="1" si="145"/>
        <v>154.8536</v>
      </c>
    </row>
    <row r="467" spans="1:28" x14ac:dyDescent="0.25">
      <c r="A467" s="20">
        <f t="shared" ca="1" si="146"/>
        <v>45964</v>
      </c>
      <c r="B467" vm="1355">
        <f ca="1"/>
        <v>45968</v>
      </c>
      <c r="C467" vm="1356">
        <f ca="1"/>
        <v>146.97999999999999</v>
      </c>
      <c r="D467" vm="1357">
        <f ca="1"/>
        <v>8500097</v>
      </c>
      <c r="E467">
        <f t="shared" ca="1" si="147"/>
        <v>1249344257.0599999</v>
      </c>
      <c r="F467">
        <f ca="1">SUM($E$2:E467)/SUM($D$2:D467)</f>
        <v>162.79284856650548</v>
      </c>
      <c r="G467">
        <f ca="1">_xlfn.STDEV.P($C$2:C467)</f>
        <v>7.2756245264072392</v>
      </c>
      <c r="H467">
        <f t="shared" ca="1" si="148"/>
        <v>170.06847309291271</v>
      </c>
      <c r="I467">
        <f t="shared" ca="1" si="149"/>
        <v>155.51722404009826</v>
      </c>
      <c r="J467">
        <f t="shared" ca="1" si="137"/>
        <v>149.57350000000002</v>
      </c>
      <c r="K467">
        <f t="shared" ca="1" si="138"/>
        <v>2.2362522101427738</v>
      </c>
      <c r="L467">
        <f t="shared" ca="1" si="139"/>
        <v>154.04600442028558</v>
      </c>
      <c r="M467">
        <f t="shared" ca="1" si="140"/>
        <v>145.10099557971446</v>
      </c>
      <c r="N467">
        <f t="shared" ca="1" si="150"/>
        <v>0.84999999999999432</v>
      </c>
      <c r="O467">
        <f t="shared" ca="1" si="151"/>
        <v>0.84999999999999432</v>
      </c>
      <c r="P467">
        <f t="shared" ca="1" si="152"/>
        <v>0</v>
      </c>
      <c r="Q467">
        <f t="shared" ca="1" si="156"/>
        <v>0.40801358230872847</v>
      </c>
      <c r="R467">
        <f t="shared" ca="1" si="157"/>
        <v>0.64987380386478566</v>
      </c>
      <c r="S467">
        <f t="shared" ca="1" si="154"/>
        <v>0.62783509641761281</v>
      </c>
      <c r="T467">
        <f t="shared" ca="1" si="155"/>
        <v>38.56871606953883</v>
      </c>
      <c r="U467">
        <f>70</f>
        <v>70</v>
      </c>
      <c r="V467">
        <f>30</f>
        <v>30</v>
      </c>
      <c r="W467">
        <f t="shared" ca="1" si="153"/>
        <v>148.47141282839783</v>
      </c>
      <c r="X467">
        <f t="shared" ca="1" si="142"/>
        <v>150.03179434349298</v>
      </c>
      <c r="Y467">
        <f t="shared" ca="1" si="141"/>
        <v>-1.681833480344892</v>
      </c>
      <c r="Z467">
        <f t="shared" ca="1" si="143"/>
        <v>-1.3239822927418745</v>
      </c>
      <c r="AA467">
        <f t="shared" ca="1" si="144"/>
        <v>-0.35785118760301748</v>
      </c>
      <c r="AB467">
        <f t="shared" ca="1" si="145"/>
        <v>154.73820000000001</v>
      </c>
    </row>
    <row r="468" spans="1:28" x14ac:dyDescent="0.25">
      <c r="A468" s="20">
        <f t="shared" ca="1" si="146"/>
        <v>45971</v>
      </c>
      <c r="B468" vm="1358">
        <f ca="1"/>
        <v>45971</v>
      </c>
      <c r="C468" vm="1359">
        <f ca="1"/>
        <v>145.5</v>
      </c>
      <c r="D468" vm="1360">
        <f ca="1"/>
        <v>10208085</v>
      </c>
      <c r="E468">
        <f t="shared" ca="1" si="147"/>
        <v>1485276367.5</v>
      </c>
      <c r="F468">
        <f ca="1">SUM($E$2:E468)/SUM($D$2:D468)</f>
        <v>162.74090894173543</v>
      </c>
      <c r="G468">
        <f ca="1">_xlfn.STDEV.P($C$2:C468)</f>
        <v>7.3131598109063738</v>
      </c>
      <c r="H468">
        <f t="shared" ca="1" si="148"/>
        <v>170.0540687526418</v>
      </c>
      <c r="I468">
        <f t="shared" ca="1" si="149"/>
        <v>155.42774913082906</v>
      </c>
      <c r="J468">
        <f t="shared" ca="1" si="137"/>
        <v>149.47399999999999</v>
      </c>
      <c r="K468">
        <f t="shared" ca="1" si="138"/>
        <v>2.3738718096015785</v>
      </c>
      <c r="L468">
        <f t="shared" ca="1" si="139"/>
        <v>154.22174361920315</v>
      </c>
      <c r="M468">
        <f t="shared" ca="1" si="140"/>
        <v>144.72625638079683</v>
      </c>
      <c r="N468">
        <f t="shared" ca="1" si="150"/>
        <v>-1.4799999999999898</v>
      </c>
      <c r="O468">
        <f t="shared" ca="1" si="151"/>
        <v>0</v>
      </c>
      <c r="P468">
        <f t="shared" ca="1" si="152"/>
        <v>1.4799999999999898</v>
      </c>
      <c r="Q468">
        <f t="shared" ca="1" si="156"/>
        <v>0.37886975500096215</v>
      </c>
      <c r="R468">
        <f t="shared" ca="1" si="157"/>
        <v>0.70916853216015741</v>
      </c>
      <c r="S468">
        <f t="shared" ca="1" si="154"/>
        <v>0.53424501767853239</v>
      </c>
      <c r="T468">
        <f t="shared" ca="1" si="155"/>
        <v>34.821362397962943</v>
      </c>
      <c r="U468">
        <f>70</f>
        <v>70</v>
      </c>
      <c r="V468">
        <f>30</f>
        <v>30</v>
      </c>
      <c r="W468">
        <f t="shared" ca="1" si="153"/>
        <v>148.01427239325972</v>
      </c>
      <c r="X468">
        <f t="shared" ca="1" si="142"/>
        <v>149.69610587360461</v>
      </c>
      <c r="Y468">
        <f t="shared" ca="1" si="141"/>
        <v>-1.5153148379583001</v>
      </c>
      <c r="Z468">
        <f t="shared" ca="1" si="143"/>
        <v>-1.3622488017851597</v>
      </c>
      <c r="AA468">
        <f t="shared" ca="1" si="144"/>
        <v>-0.15306603617314041</v>
      </c>
      <c r="AB468">
        <f t="shared" ca="1" si="145"/>
        <v>154.613</v>
      </c>
    </row>
    <row r="469" spans="1:28" x14ac:dyDescent="0.25">
      <c r="A469" s="20">
        <f t="shared" ca="1" si="146"/>
        <v>45971</v>
      </c>
      <c r="B469" vm="1361">
        <f ca="1"/>
        <v>45972</v>
      </c>
      <c r="C469" vm="1362">
        <f ca="1"/>
        <v>148.54</v>
      </c>
      <c r="D469" vm="1363">
        <f ca="1"/>
        <v>7332540</v>
      </c>
      <c r="E469">
        <f t="shared" ca="1" si="147"/>
        <v>1089175491.5999999</v>
      </c>
      <c r="F469">
        <f ca="1">SUM($E$2:E469)/SUM($D$2:D469)</f>
        <v>162.71033702892964</v>
      </c>
      <c r="G469">
        <f ca="1">_xlfn.STDEV.P($C$2:C469)</f>
        <v>7.3360026414941055</v>
      </c>
      <c r="H469">
        <f t="shared" ca="1" si="148"/>
        <v>170.04633967042375</v>
      </c>
      <c r="I469">
        <f t="shared" ca="1" si="149"/>
        <v>155.37433438743554</v>
      </c>
      <c r="J469">
        <f t="shared" ca="1" si="137"/>
        <v>149.44300000000001</v>
      </c>
      <c r="K469">
        <f t="shared" ca="1" si="138"/>
        <v>2.3822216521558235</v>
      </c>
      <c r="L469">
        <f t="shared" ca="1" si="139"/>
        <v>154.20744330431165</v>
      </c>
      <c r="M469">
        <f t="shared" ca="1" si="140"/>
        <v>144.67855669568837</v>
      </c>
      <c r="N469">
        <f t="shared" ca="1" si="150"/>
        <v>3.039999999999992</v>
      </c>
      <c r="O469">
        <f t="shared" ca="1" si="151"/>
        <v>3.039999999999992</v>
      </c>
      <c r="P469">
        <f t="shared" ca="1" si="152"/>
        <v>0</v>
      </c>
      <c r="Q469">
        <f t="shared" ca="1" si="156"/>
        <v>0.5689504867866072</v>
      </c>
      <c r="R469">
        <f t="shared" ca="1" si="157"/>
        <v>0.65851363700586052</v>
      </c>
      <c r="S469">
        <f t="shared" ca="1" si="154"/>
        <v>0.86399195827366559</v>
      </c>
      <c r="T469">
        <f t="shared" ca="1" si="155"/>
        <v>46.35169987931981</v>
      </c>
      <c r="U469">
        <f>70</f>
        <v>70</v>
      </c>
      <c r="V469">
        <f>30</f>
        <v>30</v>
      </c>
      <c r="W469">
        <f t="shared" ca="1" si="153"/>
        <v>148.09515356352745</v>
      </c>
      <c r="X469">
        <f t="shared" ca="1" si="142"/>
        <v>149.61046840148575</v>
      </c>
      <c r="Y469">
        <f t="shared" ca="1" si="141"/>
        <v>-1.4098621712684576</v>
      </c>
      <c r="Z469">
        <f t="shared" ca="1" si="143"/>
        <v>-1.3717714756818193</v>
      </c>
      <c r="AA469">
        <f t="shared" ca="1" si="144"/>
        <v>-3.8090695586638246E-2</v>
      </c>
      <c r="AB469">
        <f t="shared" ca="1" si="145"/>
        <v>154.5076</v>
      </c>
    </row>
    <row r="470" spans="1:28" x14ac:dyDescent="0.25">
      <c r="A470" s="20">
        <f t="shared" ca="1" si="146"/>
        <v>45971</v>
      </c>
      <c r="B470" vm="1364">
        <f ca="1"/>
        <v>45973</v>
      </c>
      <c r="C470" vm="1365">
        <f ca="1"/>
        <v>148.01</v>
      </c>
      <c r="D470" vm="1366">
        <f ca="1"/>
        <v>7851052</v>
      </c>
      <c r="E470">
        <f t="shared" ca="1" si="147"/>
        <v>1162034206.52</v>
      </c>
      <c r="F470">
        <f ca="1">SUM($E$2:E470)/SUM($D$2:D470)</f>
        <v>162.67652998040552</v>
      </c>
      <c r="G470">
        <f ca="1">_xlfn.STDEV.P($C$2:C470)</f>
        <v>7.3608068846368271</v>
      </c>
      <c r="H470">
        <f t="shared" ca="1" si="148"/>
        <v>170.03733686504233</v>
      </c>
      <c r="I470">
        <f t="shared" ca="1" si="149"/>
        <v>155.3157230957687</v>
      </c>
      <c r="J470">
        <f t="shared" ref="J470:J514" ca="1" si="158">AVERAGE(C451:C470)</f>
        <v>149.4725</v>
      </c>
      <c r="K470">
        <f t="shared" ref="K470:K514" ca="1" si="159">_xlfn.STDEV.S(C451:C470)</f>
        <v>2.359395272656025</v>
      </c>
      <c r="L470">
        <f t="shared" ref="L470:L514" ca="1" si="160">J470 + 2*K470</f>
        <v>154.19129054531206</v>
      </c>
      <c r="M470">
        <f t="shared" ref="M470:M514" ca="1" si="161">J470-2*K470</f>
        <v>144.75370945468794</v>
      </c>
      <c r="N470">
        <f t="shared" ca="1" si="150"/>
        <v>-0.53000000000000114</v>
      </c>
      <c r="O470">
        <f t="shared" ca="1" si="151"/>
        <v>0</v>
      </c>
      <c r="P470">
        <f t="shared" ca="1" si="152"/>
        <v>0.53000000000000114</v>
      </c>
      <c r="Q470">
        <f t="shared" ca="1" si="156"/>
        <v>0.52831116630184949</v>
      </c>
      <c r="R470">
        <f t="shared" ca="1" si="157"/>
        <v>0.64933409150544197</v>
      </c>
      <c r="S470">
        <f t="shared" ca="1" si="154"/>
        <v>0.81361994266617343</v>
      </c>
      <c r="T470">
        <f t="shared" ca="1" si="155"/>
        <v>44.861656156586143</v>
      </c>
      <c r="U470">
        <f>70</f>
        <v>70</v>
      </c>
      <c r="V470">
        <f>30</f>
        <v>30</v>
      </c>
      <c r="W470">
        <f t="shared" ca="1" si="153"/>
        <v>148.08205301529244</v>
      </c>
      <c r="X470">
        <f t="shared" ca="1" si="142"/>
        <v>149.4919151865609</v>
      </c>
      <c r="Y470">
        <f t="shared" ca="1" si="141"/>
        <v>-1.3151643592319999</v>
      </c>
      <c r="Z470">
        <f t="shared" ca="1" si="143"/>
        <v>-1.3604500523918555</v>
      </c>
      <c r="AA470">
        <f t="shared" ca="1" si="144"/>
        <v>4.5285693159855533E-2</v>
      </c>
      <c r="AB470">
        <f t="shared" ca="1" si="145"/>
        <v>154.37739999999999</v>
      </c>
    </row>
    <row r="471" spans="1:28" x14ac:dyDescent="0.25">
      <c r="A471" s="20">
        <f t="shared" ca="1" si="146"/>
        <v>45971</v>
      </c>
      <c r="B471" vm="1367">
        <f ca="1"/>
        <v>45974</v>
      </c>
      <c r="C471" vm="1368">
        <f ca="1"/>
        <v>147.96</v>
      </c>
      <c r="D471" vm="1369">
        <f ca="1"/>
        <v>7566789</v>
      </c>
      <c r="E471">
        <f t="shared" ca="1" si="147"/>
        <v>1119582100.4400001</v>
      </c>
      <c r="F471">
        <f ca="1">SUM($E$2:E471)/SUM($D$2:D471)</f>
        <v>162.64398323137445</v>
      </c>
      <c r="G471">
        <f ca="1">_xlfn.STDEV.P($C$2:C471)</f>
        <v>7.3855006527524099</v>
      </c>
      <c r="H471">
        <f t="shared" ca="1" si="148"/>
        <v>170.02948388412685</v>
      </c>
      <c r="I471">
        <f t="shared" ca="1" si="149"/>
        <v>155.25848257862205</v>
      </c>
      <c r="J471">
        <f t="shared" ca="1" si="158"/>
        <v>149.39050000000003</v>
      </c>
      <c r="K471">
        <f t="shared" ca="1" si="159"/>
        <v>2.3831104729566794</v>
      </c>
      <c r="L471">
        <f t="shared" ca="1" si="160"/>
        <v>154.15672094591338</v>
      </c>
      <c r="M471">
        <f t="shared" ca="1" si="161"/>
        <v>144.62427905408668</v>
      </c>
      <c r="N471">
        <f t="shared" ca="1" si="150"/>
        <v>-4.9999999999982947E-2</v>
      </c>
      <c r="O471">
        <f t="shared" ca="1" si="151"/>
        <v>0</v>
      </c>
      <c r="P471">
        <f t="shared" ca="1" si="152"/>
        <v>4.9999999999982947E-2</v>
      </c>
      <c r="Q471">
        <f t="shared" ca="1" si="156"/>
        <v>0.49057465442314596</v>
      </c>
      <c r="R471">
        <f t="shared" ca="1" si="157"/>
        <v>0.60652451354076631</v>
      </c>
      <c r="S471">
        <f t="shared" ca="1" si="154"/>
        <v>0.80882906374100405</v>
      </c>
      <c r="T471">
        <f t="shared" ca="1" si="155"/>
        <v>44.715616304184714</v>
      </c>
      <c r="U471">
        <f>70</f>
        <v>70</v>
      </c>
      <c r="V471">
        <f>30</f>
        <v>30</v>
      </c>
      <c r="W471">
        <f t="shared" ca="1" si="153"/>
        <v>148.06327562832439</v>
      </c>
      <c r="X471">
        <f t="shared" ca="1" si="142"/>
        <v>149.37843998755639</v>
      </c>
      <c r="Y471">
        <f t="shared" ca="1" si="141"/>
        <v>-1.2491171918617852</v>
      </c>
      <c r="Z471">
        <f t="shared" ca="1" si="143"/>
        <v>-1.3381834802858414</v>
      </c>
      <c r="AA471">
        <f t="shared" ca="1" si="144"/>
        <v>8.9066288424056284E-2</v>
      </c>
      <c r="AB471">
        <f t="shared" ca="1" si="145"/>
        <v>154.2534</v>
      </c>
    </row>
    <row r="472" spans="1:28" x14ac:dyDescent="0.25">
      <c r="A472" s="20">
        <f t="shared" ca="1" si="146"/>
        <v>45971</v>
      </c>
      <c r="B472" vm="1370">
        <f ca="1"/>
        <v>45975</v>
      </c>
      <c r="C472" vm="1371">
        <f ca="1"/>
        <v>147.66999999999999</v>
      </c>
      <c r="D472" vm="1372">
        <f ca="1"/>
        <v>9151066</v>
      </c>
      <c r="E472">
        <f t="shared" ca="1" si="147"/>
        <v>1351337916.2199998</v>
      </c>
      <c r="F472">
        <f ca="1">SUM($E$2:E472)/SUM($D$2:D472)</f>
        <v>162.60404033264305</v>
      </c>
      <c r="G472">
        <f ca="1">_xlfn.STDEV.P($C$2:C472)</f>
        <v>7.411125974051628</v>
      </c>
      <c r="H472">
        <f t="shared" ca="1" si="148"/>
        <v>170.01516630669468</v>
      </c>
      <c r="I472">
        <f t="shared" ca="1" si="149"/>
        <v>155.19291435859142</v>
      </c>
      <c r="J472">
        <f t="shared" ca="1" si="158"/>
        <v>149.20400000000001</v>
      </c>
      <c r="K472">
        <f t="shared" ca="1" si="159"/>
        <v>2.3634439634611759</v>
      </c>
      <c r="L472">
        <f t="shared" ca="1" si="160"/>
        <v>153.93088792692237</v>
      </c>
      <c r="M472">
        <f t="shared" ca="1" si="161"/>
        <v>144.47711207307765</v>
      </c>
      <c r="N472">
        <f t="shared" ca="1" si="150"/>
        <v>-0.29000000000002046</v>
      </c>
      <c r="O472">
        <f t="shared" ca="1" si="151"/>
        <v>0</v>
      </c>
      <c r="P472">
        <f t="shared" ca="1" si="152"/>
        <v>0.29000000000002046</v>
      </c>
      <c r="Q472">
        <f t="shared" ca="1" si="156"/>
        <v>0.45553360767863549</v>
      </c>
      <c r="R472">
        <f t="shared" ca="1" si="157"/>
        <v>0.58391561971642736</v>
      </c>
      <c r="S472">
        <f t="shared" ca="1" si="154"/>
        <v>0.78013602016651096</v>
      </c>
      <c r="T472">
        <f t="shared" ca="1" si="155"/>
        <v>43.824517414884859</v>
      </c>
      <c r="U472">
        <f>70</f>
        <v>70</v>
      </c>
      <c r="V472">
        <f>30</f>
        <v>30</v>
      </c>
      <c r="W472">
        <f t="shared" ca="1" si="153"/>
        <v>148.00277168550525</v>
      </c>
      <c r="X472">
        <f t="shared" ca="1" si="142"/>
        <v>149.25188887736704</v>
      </c>
      <c r="Y472">
        <f t="shared" ca="1" si="141"/>
        <v>-1.3307142294849825</v>
      </c>
      <c r="Z472">
        <f t="shared" ca="1" si="143"/>
        <v>-1.3366896301256697</v>
      </c>
      <c r="AA472">
        <f t="shared" ca="1" si="144"/>
        <v>5.9754006406871341E-3</v>
      </c>
      <c r="AB472">
        <f t="shared" ca="1" si="145"/>
        <v>154.1404</v>
      </c>
    </row>
    <row r="473" spans="1:28" x14ac:dyDescent="0.25">
      <c r="A473" s="20">
        <f t="shared" ca="1" si="146"/>
        <v>45978</v>
      </c>
      <c r="B473" vm="1373">
        <f ca="1"/>
        <v>45978</v>
      </c>
      <c r="C473" vm="1374">
        <f ca="1"/>
        <v>145.82</v>
      </c>
      <c r="D473" vm="1375">
        <f ca="1"/>
        <v>9902310</v>
      </c>
      <c r="E473">
        <f t="shared" ca="1" si="147"/>
        <v>1443954844.2</v>
      </c>
      <c r="F473">
        <f ca="1">SUM($E$2:E473)/SUM($D$2:D473)</f>
        <v>162.55573313886904</v>
      </c>
      <c r="G473">
        <f ca="1">_xlfn.STDEV.P($C$2:C473)</f>
        <v>7.4449179625319397</v>
      </c>
      <c r="H473">
        <f t="shared" ca="1" si="148"/>
        <v>170.00065110140099</v>
      </c>
      <c r="I473">
        <f t="shared" ca="1" si="149"/>
        <v>155.1108151763371</v>
      </c>
      <c r="J473">
        <f t="shared" ca="1" si="158"/>
        <v>148.89699999999999</v>
      </c>
      <c r="K473">
        <f t="shared" ca="1" si="159"/>
        <v>2.3852884631908986</v>
      </c>
      <c r="L473">
        <f t="shared" ca="1" si="160"/>
        <v>153.6675769263818</v>
      </c>
      <c r="M473">
        <f t="shared" ca="1" si="161"/>
        <v>144.12642307361818</v>
      </c>
      <c r="N473">
        <f t="shared" ca="1" si="150"/>
        <v>-1.8499999999999943</v>
      </c>
      <c r="O473">
        <f t="shared" ca="1" si="151"/>
        <v>0</v>
      </c>
      <c r="P473">
        <f t="shared" ca="1" si="152"/>
        <v>1.8499999999999943</v>
      </c>
      <c r="Q473">
        <f t="shared" ca="1" si="156"/>
        <v>0.42299549284444726</v>
      </c>
      <c r="R473">
        <f t="shared" ca="1" si="157"/>
        <v>0.6743502183081107</v>
      </c>
      <c r="S473">
        <f t="shared" ca="1" si="154"/>
        <v>0.62726381835496137</v>
      </c>
      <c r="T473">
        <f t="shared" ca="1" si="155"/>
        <v>38.54714959428501</v>
      </c>
      <c r="U473">
        <f>70</f>
        <v>70</v>
      </c>
      <c r="V473">
        <f>30</f>
        <v>30</v>
      </c>
      <c r="W473">
        <f t="shared" ca="1" si="153"/>
        <v>147.66696065696598</v>
      </c>
      <c r="X473">
        <f t="shared" ca="1" si="142"/>
        <v>148.99767488645097</v>
      </c>
      <c r="Y473">
        <f t="shared" ca="1" si="141"/>
        <v>-1.2861453646087568</v>
      </c>
      <c r="Z473">
        <f t="shared" ca="1" si="143"/>
        <v>-1.3265807770222873</v>
      </c>
      <c r="AA473">
        <f t="shared" ca="1" si="144"/>
        <v>4.0435412413530436E-2</v>
      </c>
      <c r="AB473">
        <f t="shared" ca="1" si="145"/>
        <v>154.01230000000001</v>
      </c>
    </row>
    <row r="474" spans="1:28" x14ac:dyDescent="0.25">
      <c r="A474" s="20">
        <f t="shared" ca="1" si="146"/>
        <v>45978</v>
      </c>
      <c r="B474" vm="1376">
        <f ca="1"/>
        <v>45979</v>
      </c>
      <c r="C474" vm="1377">
        <f ca="1"/>
        <v>146.99</v>
      </c>
      <c r="D474" vm="1378">
        <f ca="1"/>
        <v>10735177</v>
      </c>
      <c r="E474">
        <f t="shared" ca="1" si="147"/>
        <v>1577963667.23</v>
      </c>
      <c r="F474">
        <f ca="1">SUM($E$2:E474)/SUM($D$2:D474)</f>
        <v>162.50731539221874</v>
      </c>
      <c r="G474">
        <f ca="1">_xlfn.STDEV.P($C$2:C474)</f>
        <v>7.4727989389611631</v>
      </c>
      <c r="H474">
        <f t="shared" ca="1" si="148"/>
        <v>169.98011433117992</v>
      </c>
      <c r="I474">
        <f t="shared" ca="1" si="149"/>
        <v>155.03451645325757</v>
      </c>
      <c r="J474">
        <f t="shared" ca="1" si="158"/>
        <v>148.66550000000001</v>
      </c>
      <c r="K474">
        <f t="shared" ca="1" si="159"/>
        <v>2.3311674847820951</v>
      </c>
      <c r="L474">
        <f t="shared" ca="1" si="160"/>
        <v>153.32783496956421</v>
      </c>
      <c r="M474">
        <f t="shared" ca="1" si="161"/>
        <v>144.00316503043581</v>
      </c>
      <c r="N474">
        <f t="shared" ca="1" si="150"/>
        <v>1.1700000000000159</v>
      </c>
      <c r="O474">
        <f t="shared" ca="1" si="151"/>
        <v>1.1700000000000159</v>
      </c>
      <c r="P474">
        <f t="shared" ca="1" si="152"/>
        <v>0</v>
      </c>
      <c r="Q474">
        <f t="shared" ca="1" si="156"/>
        <v>0.47635295764127361</v>
      </c>
      <c r="R474">
        <f t="shared" ca="1" si="157"/>
        <v>0.62618234557181707</v>
      </c>
      <c r="S474">
        <f t="shared" ca="1" si="154"/>
        <v>0.76072562730314242</v>
      </c>
      <c r="T474">
        <f t="shared" ca="1" si="155"/>
        <v>43.205233995959155</v>
      </c>
      <c r="U474">
        <f>70</f>
        <v>70</v>
      </c>
      <c r="V474">
        <f>30</f>
        <v>30</v>
      </c>
      <c r="W474">
        <f t="shared" ca="1" si="153"/>
        <v>147.5628128635866</v>
      </c>
      <c r="X474">
        <f t="shared" ca="1" si="142"/>
        <v>148.84895822819536</v>
      </c>
      <c r="Y474">
        <f t="shared" ca="1" si="141"/>
        <v>-1.2365698110492076</v>
      </c>
      <c r="Z474">
        <f t="shared" ca="1" si="143"/>
        <v>-1.3085785838276713</v>
      </c>
      <c r="AA474">
        <f t="shared" ca="1" si="144"/>
        <v>7.2008772778463737E-2</v>
      </c>
      <c r="AB474">
        <f t="shared" ca="1" si="145"/>
        <v>153.88360000000003</v>
      </c>
    </row>
    <row r="475" spans="1:28" x14ac:dyDescent="0.25">
      <c r="A475" s="20">
        <f t="shared" ca="1" si="146"/>
        <v>45978</v>
      </c>
      <c r="B475" vm="1379">
        <f ca="1"/>
        <v>45980</v>
      </c>
      <c r="C475" vm="1377">
        <f ca="1"/>
        <v>146.99</v>
      </c>
      <c r="D475" vm="1380">
        <f ca="1"/>
        <v>6367038</v>
      </c>
      <c r="E475">
        <f t="shared" ca="1" si="147"/>
        <v>935890915.62</v>
      </c>
      <c r="F475">
        <f ca="1">SUM($E$2:E475)/SUM($D$2:D475)</f>
        <v>162.47874084622762</v>
      </c>
      <c r="G475">
        <f ca="1">_xlfn.STDEV.P($C$2:C475)</f>
        <v>7.5003096554020354</v>
      </c>
      <c r="H475">
        <f t="shared" ca="1" si="148"/>
        <v>169.97905050162967</v>
      </c>
      <c r="I475">
        <f t="shared" ca="1" si="149"/>
        <v>154.97843119082557</v>
      </c>
      <c r="J475">
        <f t="shared" ca="1" si="158"/>
        <v>148.40500000000003</v>
      </c>
      <c r="K475">
        <f t="shared" ca="1" si="159"/>
        <v>2.2029872064038338</v>
      </c>
      <c r="L475">
        <f t="shared" ca="1" si="160"/>
        <v>152.8109744128077</v>
      </c>
      <c r="M475">
        <f t="shared" ca="1" si="161"/>
        <v>143.99902558719236</v>
      </c>
      <c r="N475">
        <f t="shared" ca="1" si="150"/>
        <v>0</v>
      </c>
      <c r="O475">
        <f t="shared" ca="1" si="151"/>
        <v>0</v>
      </c>
      <c r="P475">
        <f t="shared" ca="1" si="152"/>
        <v>0</v>
      </c>
      <c r="Q475">
        <f t="shared" ca="1" si="156"/>
        <v>0.44232774638118266</v>
      </c>
      <c r="R475">
        <f t="shared" ca="1" si="157"/>
        <v>0.58145503517383013</v>
      </c>
      <c r="S475">
        <f t="shared" ca="1" si="154"/>
        <v>0.76072562730314242</v>
      </c>
      <c r="T475">
        <f t="shared" ca="1" si="155"/>
        <v>43.205233995959155</v>
      </c>
      <c r="U475">
        <f>70</f>
        <v>70</v>
      </c>
      <c r="V475">
        <f>30</f>
        <v>30</v>
      </c>
      <c r="W475">
        <f t="shared" ca="1" si="153"/>
        <v>147.47468780765021</v>
      </c>
      <c r="X475">
        <f t="shared" ca="1" si="142"/>
        <v>148.71125761869942</v>
      </c>
      <c r="Y475">
        <f t="shared" ca="1" si="141"/>
        <v>-1.0879101059977359</v>
      </c>
      <c r="Z475">
        <f t="shared" ca="1" si="143"/>
        <v>-1.2644448882616843</v>
      </c>
      <c r="AA475">
        <f t="shared" ca="1" si="144"/>
        <v>0.17653478226394848</v>
      </c>
      <c r="AB475">
        <f t="shared" ca="1" si="145"/>
        <v>153.76030000000003</v>
      </c>
    </row>
    <row r="476" spans="1:28" x14ac:dyDescent="0.25">
      <c r="A476" s="20">
        <f t="shared" ca="1" si="146"/>
        <v>45978</v>
      </c>
      <c r="B476" vm="1381">
        <f ca="1"/>
        <v>45981</v>
      </c>
      <c r="C476" vm="1382">
        <f ca="1"/>
        <v>148.19</v>
      </c>
      <c r="D476" vm="1383">
        <f ca="1"/>
        <v>9021325</v>
      </c>
      <c r="E476">
        <f t="shared" ca="1" si="147"/>
        <v>1336870151.75</v>
      </c>
      <c r="F476">
        <f ca="1">SUM($E$2:E476)/SUM($D$2:D476)</f>
        <v>162.44155668896224</v>
      </c>
      <c r="G476">
        <f ca="1">_xlfn.STDEV.P($C$2:C476)</f>
        <v>7.5223546962930499</v>
      </c>
      <c r="H476">
        <f t="shared" ca="1" si="148"/>
        <v>169.9639113852553</v>
      </c>
      <c r="I476">
        <f t="shared" ca="1" si="149"/>
        <v>154.91920199266917</v>
      </c>
      <c r="J476">
        <f t="shared" ca="1" si="158"/>
        <v>148.20400000000001</v>
      </c>
      <c r="K476">
        <f t="shared" ca="1" si="159"/>
        <v>2.0127237371545257</v>
      </c>
      <c r="L476">
        <f t="shared" ca="1" si="160"/>
        <v>152.22944747430907</v>
      </c>
      <c r="M476">
        <f t="shared" ca="1" si="161"/>
        <v>144.17855252569095</v>
      </c>
      <c r="N476">
        <f t="shared" ca="1" si="150"/>
        <v>1.1999999999999886</v>
      </c>
      <c r="O476">
        <f t="shared" ca="1" si="151"/>
        <v>1.1999999999999886</v>
      </c>
      <c r="P476">
        <f t="shared" ca="1" si="152"/>
        <v>0</v>
      </c>
      <c r="Q476">
        <f t="shared" ca="1" si="156"/>
        <v>0.49644719306824026</v>
      </c>
      <c r="R476">
        <f t="shared" ca="1" si="157"/>
        <v>0.53992253266141366</v>
      </c>
      <c r="S476">
        <f t="shared" ca="1" si="154"/>
        <v>0.91947856041704257</v>
      </c>
      <c r="T476">
        <f t="shared" ca="1" si="155"/>
        <v>47.902517870127639</v>
      </c>
      <c r="U476">
        <f>70</f>
        <v>70</v>
      </c>
      <c r="V476">
        <f>30</f>
        <v>30</v>
      </c>
      <c r="W476">
        <f t="shared" ca="1" si="153"/>
        <v>147.58473583724248</v>
      </c>
      <c r="X476">
        <f t="shared" ca="1" si="142"/>
        <v>148.67264594324021</v>
      </c>
      <c r="Y476">
        <f t="shared" ref="Y476:Y514" ca="1" si="162">W477-X477</f>
        <v>-0.74126321336768797</v>
      </c>
      <c r="Z476">
        <f t="shared" ca="1" si="143"/>
        <v>-1.159808553282885</v>
      </c>
      <c r="AA476">
        <f t="shared" ca="1" si="144"/>
        <v>0.41854533991519705</v>
      </c>
      <c r="AB476">
        <f t="shared" ca="1" si="145"/>
        <v>153.63000000000002</v>
      </c>
    </row>
    <row r="477" spans="1:28" x14ac:dyDescent="0.25">
      <c r="A477" s="20">
        <f t="shared" ca="1" si="146"/>
        <v>45978</v>
      </c>
      <c r="B477" vm="1384">
        <f ca="1"/>
        <v>45982</v>
      </c>
      <c r="C477" vm="1385">
        <f ca="1"/>
        <v>150.91999999999999</v>
      </c>
      <c r="D477" vm="1386">
        <f ca="1"/>
        <v>12017986</v>
      </c>
      <c r="E477">
        <f t="shared" ca="1" si="147"/>
        <v>1813754447.1199999</v>
      </c>
      <c r="F477">
        <f ca="1">SUM($E$2:E477)/SUM($D$2:D477)</f>
        <v>162.40175206613276</v>
      </c>
      <c r="G477">
        <f ca="1">_xlfn.STDEV.P($C$2:C477)</f>
        <v>7.5340721270835314</v>
      </c>
      <c r="H477">
        <f t="shared" ca="1" si="148"/>
        <v>169.93582419321629</v>
      </c>
      <c r="I477">
        <f t="shared" ca="1" si="149"/>
        <v>154.86767993904922</v>
      </c>
      <c r="J477">
        <f t="shared" ca="1" si="158"/>
        <v>148.12549999999999</v>
      </c>
      <c r="K477">
        <f t="shared" ca="1" si="159"/>
        <v>1.8617153239333963</v>
      </c>
      <c r="L477">
        <f t="shared" ca="1" si="160"/>
        <v>151.84893064786678</v>
      </c>
      <c r="M477">
        <f t="shared" ca="1" si="161"/>
        <v>144.4020693521332</v>
      </c>
      <c r="N477">
        <f t="shared" ca="1" si="150"/>
        <v>2.7299999999999898</v>
      </c>
      <c r="O477">
        <f t="shared" ca="1" si="151"/>
        <v>2.7299999999999898</v>
      </c>
      <c r="P477">
        <f t="shared" ca="1" si="152"/>
        <v>0</v>
      </c>
      <c r="Q477">
        <f t="shared" ca="1" si="156"/>
        <v>0.65598667927765086</v>
      </c>
      <c r="R477">
        <f t="shared" ca="1" si="157"/>
        <v>0.50135663747131265</v>
      </c>
      <c r="S477">
        <f t="shared" ca="1" si="154"/>
        <v>1.3084232465460996</v>
      </c>
      <c r="T477">
        <f t="shared" ca="1" si="155"/>
        <v>56.680387728021003</v>
      </c>
      <c r="U477">
        <f>70</f>
        <v>70</v>
      </c>
      <c r="V477">
        <f>30</f>
        <v>30</v>
      </c>
      <c r="W477">
        <f t="shared" ca="1" si="153"/>
        <v>148.09785340074362</v>
      </c>
      <c r="X477">
        <f t="shared" ref="X477:X514" ca="1" si="163">C477*(2/(26+1)) + X476*(1-(2/(26+1)))</f>
        <v>148.8391166141113</v>
      </c>
      <c r="Y477">
        <f t="shared" ca="1" si="162"/>
        <v>-0.77552831784990417</v>
      </c>
      <c r="Z477">
        <f t="shared" ca="1" si="143"/>
        <v>-1.0829525061962888</v>
      </c>
      <c r="AA477">
        <f t="shared" ca="1" si="144"/>
        <v>0.30742418834638463</v>
      </c>
      <c r="AB477">
        <f t="shared" ca="1" si="145"/>
        <v>153.52720000000002</v>
      </c>
    </row>
    <row r="478" spans="1:28" x14ac:dyDescent="0.25">
      <c r="A478" s="20">
        <f t="shared" ca="1" si="146"/>
        <v>45985</v>
      </c>
      <c r="B478" vm="1387">
        <f ca="1"/>
        <v>45985</v>
      </c>
      <c r="C478" vm="1356">
        <f ca="1"/>
        <v>146.97999999999999</v>
      </c>
      <c r="D478" vm="1388">
        <f ca="1"/>
        <v>13846906</v>
      </c>
      <c r="E478">
        <f t="shared" ca="1" si="147"/>
        <v>2035218243.8799999</v>
      </c>
      <c r="F478">
        <f ca="1">SUM($E$2:E478)/SUM($D$2:D478)</f>
        <v>162.34060835167105</v>
      </c>
      <c r="G478">
        <f ca="1">_xlfn.STDEV.P($C$2:C478)</f>
        <v>7.5607148525730841</v>
      </c>
      <c r="H478">
        <f t="shared" ca="1" si="148"/>
        <v>169.90132320424414</v>
      </c>
      <c r="I478">
        <f t="shared" ca="1" si="149"/>
        <v>154.77989349909797</v>
      </c>
      <c r="J478">
        <f t="shared" ca="1" si="158"/>
        <v>147.88749999999999</v>
      </c>
      <c r="K478">
        <f t="shared" ca="1" si="159"/>
        <v>1.6696733843857974</v>
      </c>
      <c r="L478">
        <f t="shared" ca="1" si="160"/>
        <v>151.22684676877159</v>
      </c>
      <c r="M478">
        <f t="shared" ca="1" si="161"/>
        <v>144.54815323122838</v>
      </c>
      <c r="N478">
        <f t="shared" ca="1" si="150"/>
        <v>-3.9399999999999977</v>
      </c>
      <c r="O478">
        <f t="shared" ca="1" si="151"/>
        <v>0</v>
      </c>
      <c r="P478">
        <f t="shared" ca="1" si="152"/>
        <v>3.9399999999999977</v>
      </c>
      <c r="Q478">
        <f t="shared" ca="1" si="156"/>
        <v>0.60913048790067581</v>
      </c>
      <c r="R478">
        <f t="shared" ca="1" si="157"/>
        <v>0.74697402050907591</v>
      </c>
      <c r="S478">
        <f t="shared" ca="1" si="154"/>
        <v>0.8154640873393999</v>
      </c>
      <c r="T478">
        <f t="shared" ca="1" si="155"/>
        <v>44.917665572469645</v>
      </c>
      <c r="U478">
        <f>70</f>
        <v>70</v>
      </c>
      <c r="V478">
        <f>30</f>
        <v>30</v>
      </c>
      <c r="W478">
        <f t="shared" ca="1" si="153"/>
        <v>147.92587595447537</v>
      </c>
      <c r="X478">
        <f t="shared" ca="1" si="163"/>
        <v>148.70140427232528</v>
      </c>
      <c r="Y478">
        <f t="shared" ca="1" si="162"/>
        <v>-0.67308042742601515</v>
      </c>
      <c r="Z478">
        <f t="shared" ca="1" si="143"/>
        <v>-1.0009780904422341</v>
      </c>
      <c r="AA478">
        <f t="shared" ca="1" si="144"/>
        <v>0.32789766301621892</v>
      </c>
      <c r="AB478">
        <f t="shared" ca="1" si="145"/>
        <v>153.38870000000003</v>
      </c>
    </row>
    <row r="479" spans="1:28" x14ac:dyDescent="0.25">
      <c r="A479" s="20">
        <f t="shared" ca="1" si="146"/>
        <v>45985</v>
      </c>
      <c r="B479" vm="1389">
        <f ca="1"/>
        <v>45986</v>
      </c>
      <c r="C479" vm="1390">
        <f ca="1"/>
        <v>148.49</v>
      </c>
      <c r="D479" vm="1391">
        <f ca="1"/>
        <v>10477661</v>
      </c>
      <c r="E479">
        <f t="shared" ca="1" si="147"/>
        <v>1555827881.8900001</v>
      </c>
      <c r="F479">
        <f ca="1">SUM($E$2:E479)/SUM($D$2:D479)</f>
        <v>162.29918000598448</v>
      </c>
      <c r="G479">
        <f ca="1">_xlfn.STDEV.P($C$2:C479)</f>
        <v>7.5807766181214093</v>
      </c>
      <c r="H479">
        <f t="shared" ca="1" si="148"/>
        <v>169.87995662410589</v>
      </c>
      <c r="I479">
        <f t="shared" ca="1" si="149"/>
        <v>154.71840338786308</v>
      </c>
      <c r="J479">
        <f t="shared" ca="1" si="158"/>
        <v>147.74349999999998</v>
      </c>
      <c r="K479">
        <f t="shared" ca="1" si="159"/>
        <v>1.4651900361745807</v>
      </c>
      <c r="L479">
        <f t="shared" ca="1" si="160"/>
        <v>150.67388007234914</v>
      </c>
      <c r="M479">
        <f t="shared" ca="1" si="161"/>
        <v>144.81311992765083</v>
      </c>
      <c r="N479">
        <f t="shared" ca="1" si="150"/>
        <v>1.5100000000000193</v>
      </c>
      <c r="O479">
        <f t="shared" ca="1" si="151"/>
        <v>1.5100000000000193</v>
      </c>
      <c r="P479">
        <f t="shared" ca="1" si="152"/>
        <v>0</v>
      </c>
      <c r="Q479">
        <f t="shared" ca="1" si="156"/>
        <v>0.67347831019348603</v>
      </c>
      <c r="R479">
        <f t="shared" ca="1" si="157"/>
        <v>0.69361873332985624</v>
      </c>
      <c r="S479">
        <f t="shared" ca="1" si="154"/>
        <v>0.9709632653090523</v>
      </c>
      <c r="T479">
        <f t="shared" ca="1" si="155"/>
        <v>49.263387217762414</v>
      </c>
      <c r="U479">
        <f>70</f>
        <v>70</v>
      </c>
      <c r="V479">
        <f>30</f>
        <v>30</v>
      </c>
      <c r="W479">
        <f t="shared" ca="1" si="153"/>
        <v>148.01266426917147</v>
      </c>
      <c r="X479">
        <f t="shared" ca="1" si="163"/>
        <v>148.68574469659748</v>
      </c>
      <c r="Y479">
        <f t="shared" ca="1" si="162"/>
        <v>-0.60428985313461681</v>
      </c>
      <c r="Z479">
        <f t="shared" ca="1" si="143"/>
        <v>-0.92164044298071068</v>
      </c>
      <c r="AA479">
        <f t="shared" ca="1" si="144"/>
        <v>0.31735058984609388</v>
      </c>
      <c r="AB479">
        <f t="shared" ca="1" si="145"/>
        <v>153.26860000000002</v>
      </c>
    </row>
    <row r="480" spans="1:28" x14ac:dyDescent="0.25">
      <c r="A480" s="20">
        <f t="shared" ca="1" si="146"/>
        <v>45985</v>
      </c>
      <c r="B480" vm="1392">
        <f ca="1"/>
        <v>45987</v>
      </c>
      <c r="C480" vm="1393">
        <f ca="1"/>
        <v>148.25</v>
      </c>
      <c r="D480" vm="1394">
        <f ca="1"/>
        <v>9238450</v>
      </c>
      <c r="E480">
        <f t="shared" ca="1" si="147"/>
        <v>1369600212.5</v>
      </c>
      <c r="F480">
        <f ca="1">SUM($E$2:E480)/SUM($D$2:D480)</f>
        <v>162.26222522596021</v>
      </c>
      <c r="G480">
        <f ca="1">_xlfn.STDEV.P($C$2:C480)</f>
        <v>7.6015286228462848</v>
      </c>
      <c r="H480">
        <f t="shared" ca="1" si="148"/>
        <v>169.86375384880648</v>
      </c>
      <c r="I480">
        <f t="shared" ca="1" si="149"/>
        <v>154.66069660311393</v>
      </c>
      <c r="J480">
        <f t="shared" ca="1" si="158"/>
        <v>147.71749999999997</v>
      </c>
      <c r="K480">
        <f t="shared" ca="1" si="159"/>
        <v>1.4505566082315489</v>
      </c>
      <c r="L480">
        <f t="shared" ca="1" si="160"/>
        <v>150.61861321646307</v>
      </c>
      <c r="M480">
        <f t="shared" ca="1" si="161"/>
        <v>144.81638678353687</v>
      </c>
      <c r="N480">
        <f t="shared" ca="1" si="150"/>
        <v>-0.24000000000000909</v>
      </c>
      <c r="O480">
        <f t="shared" ca="1" si="151"/>
        <v>0</v>
      </c>
      <c r="P480">
        <f t="shared" ca="1" si="152"/>
        <v>0.24000000000000909</v>
      </c>
      <c r="Q480">
        <f t="shared" ca="1" si="156"/>
        <v>0.62537271660823701</v>
      </c>
      <c r="R480">
        <f t="shared" ca="1" si="157"/>
        <v>0.66121739523486711</v>
      </c>
      <c r="S480">
        <f t="shared" ca="1" si="154"/>
        <v>0.9457898735197402</v>
      </c>
      <c r="T480">
        <f t="shared" ca="1" si="155"/>
        <v>48.606989191947044</v>
      </c>
      <c r="U480">
        <f>70</f>
        <v>70</v>
      </c>
      <c r="V480">
        <f>30</f>
        <v>30</v>
      </c>
      <c r="W480">
        <f t="shared" ca="1" si="153"/>
        <v>148.0491774585297</v>
      </c>
      <c r="X480">
        <f t="shared" ca="1" si="163"/>
        <v>148.65346731166431</v>
      </c>
      <c r="Y480">
        <f t="shared" ca="1" si="162"/>
        <v>-0.55068709717258457</v>
      </c>
      <c r="Z480">
        <f t="shared" ca="1" si="143"/>
        <v>-0.84744977381908548</v>
      </c>
      <c r="AA480">
        <f t="shared" ca="1" si="144"/>
        <v>0.29676267664650091</v>
      </c>
      <c r="AB480">
        <f t="shared" ca="1" si="145"/>
        <v>153.17220000000003</v>
      </c>
    </row>
    <row r="481" spans="1:28" x14ac:dyDescent="0.25">
      <c r="A481" s="20">
        <f t="shared" ca="1" si="146"/>
        <v>45985</v>
      </c>
      <c r="B481" vm="1395">
        <f ca="1"/>
        <v>45989</v>
      </c>
      <c r="C481" vm="1396">
        <f ca="1"/>
        <v>148.16</v>
      </c>
      <c r="D481" vm="1397">
        <f ca="1"/>
        <v>4707161</v>
      </c>
      <c r="E481">
        <f t="shared" ca="1" si="147"/>
        <v>697412973.75999999</v>
      </c>
      <c r="F481">
        <f ca="1">SUM($E$2:E481)/SUM($D$2:D481)</f>
        <v>162.2433502865583</v>
      </c>
      <c r="G481">
        <f ca="1">_xlfn.STDEV.P($C$2:C481)</f>
        <v>7.6223744500326385</v>
      </c>
      <c r="H481">
        <f t="shared" ca="1" si="148"/>
        <v>169.86572473659095</v>
      </c>
      <c r="I481">
        <f t="shared" ca="1" si="149"/>
        <v>154.62097583652564</v>
      </c>
      <c r="J481">
        <f t="shared" ca="1" si="158"/>
        <v>147.6465</v>
      </c>
      <c r="K481">
        <f t="shared" ca="1" si="159"/>
        <v>1.3879984642794483</v>
      </c>
      <c r="L481">
        <f t="shared" ca="1" si="160"/>
        <v>150.4224969285589</v>
      </c>
      <c r="M481">
        <f t="shared" ca="1" si="161"/>
        <v>144.87050307144111</v>
      </c>
      <c r="N481">
        <f t="shared" ca="1" si="150"/>
        <v>-9.0000000000003411E-2</v>
      </c>
      <c r="O481">
        <f t="shared" ca="1" si="151"/>
        <v>0</v>
      </c>
      <c r="P481">
        <f t="shared" ca="1" si="152"/>
        <v>9.0000000000003411E-2</v>
      </c>
      <c r="Q481">
        <f t="shared" ca="1" si="156"/>
        <v>0.58070323685050584</v>
      </c>
      <c r="R481">
        <f t="shared" ca="1" si="157"/>
        <v>0.62041615271809114</v>
      </c>
      <c r="S481">
        <f t="shared" ca="1" si="154"/>
        <v>0.93598987438737702</v>
      </c>
      <c r="T481">
        <f t="shared" ca="1" si="155"/>
        <v>48.346837283101017</v>
      </c>
      <c r="U481">
        <f>70</f>
        <v>70</v>
      </c>
      <c r="V481">
        <f>30</f>
        <v>30</v>
      </c>
      <c r="W481">
        <f t="shared" ca="1" si="153"/>
        <v>148.06622708029437</v>
      </c>
      <c r="X481">
        <f t="shared" ca="1" si="163"/>
        <v>148.61691417746695</v>
      </c>
      <c r="Y481">
        <f t="shared" ca="1" si="162"/>
        <v>-0.55985089694968337</v>
      </c>
      <c r="Z481">
        <f t="shared" ca="1" si="143"/>
        <v>-0.78992999844520517</v>
      </c>
      <c r="AA481">
        <f t="shared" ca="1" si="144"/>
        <v>0.2300791014955218</v>
      </c>
      <c r="AB481">
        <f t="shared" ca="1" si="145"/>
        <v>153.07859999999999</v>
      </c>
    </row>
    <row r="482" spans="1:28" x14ac:dyDescent="0.25">
      <c r="A482" s="20">
        <f t="shared" ca="1" si="146"/>
        <v>45992</v>
      </c>
      <c r="B482" vm="1398">
        <f ca="1"/>
        <v>45992</v>
      </c>
      <c r="C482" vm="1399">
        <f ca="1"/>
        <v>147.44</v>
      </c>
      <c r="D482" vm="1400">
        <f ca="1"/>
        <v>8240689</v>
      </c>
      <c r="E482">
        <f t="shared" ca="1" si="147"/>
        <v>1215007186.1600001</v>
      </c>
      <c r="F482">
        <f ca="1">SUM($E$2:E482)/SUM($D$2:D482)</f>
        <v>162.20874471913308</v>
      </c>
      <c r="G482">
        <f ca="1">_xlfn.STDEV.P($C$2:C482)</f>
        <v>7.6458581505244156</v>
      </c>
      <c r="H482">
        <f t="shared" ca="1" si="148"/>
        <v>169.8546028696575</v>
      </c>
      <c r="I482">
        <f t="shared" ca="1" si="149"/>
        <v>154.56288656860866</v>
      </c>
      <c r="J482">
        <f t="shared" ca="1" si="158"/>
        <v>147.50000000000003</v>
      </c>
      <c r="K482">
        <f t="shared" ca="1" si="159"/>
        <v>1.2311782974045633</v>
      </c>
      <c r="L482">
        <f t="shared" ca="1" si="160"/>
        <v>149.96235659480917</v>
      </c>
      <c r="M482">
        <f t="shared" ca="1" si="161"/>
        <v>145.03764340519089</v>
      </c>
      <c r="N482">
        <f t="shared" ca="1" si="150"/>
        <v>-0.71999999999999886</v>
      </c>
      <c r="O482">
        <f t="shared" ca="1" si="151"/>
        <v>0</v>
      </c>
      <c r="P482">
        <f t="shared" ca="1" si="152"/>
        <v>0.71999999999999886</v>
      </c>
      <c r="Q482">
        <f t="shared" ca="1" si="156"/>
        <v>0.53922443421832689</v>
      </c>
      <c r="R482">
        <f t="shared" ca="1" si="157"/>
        <v>0.6275292846667988</v>
      </c>
      <c r="S482">
        <f t="shared" ca="1" si="154"/>
        <v>0.85928170588029307</v>
      </c>
      <c r="T482">
        <f t="shared" ca="1" si="155"/>
        <v>46.215788772764732</v>
      </c>
      <c r="U482">
        <f>70</f>
        <v>70</v>
      </c>
      <c r="V482">
        <f>30</f>
        <v>30</v>
      </c>
      <c r="W482">
        <f t="shared" ca="1" si="153"/>
        <v>147.96988445255676</v>
      </c>
      <c r="X482">
        <f t="shared" ca="1" si="163"/>
        <v>148.52973534950644</v>
      </c>
      <c r="Y482">
        <f t="shared" ca="1" si="162"/>
        <v>-0.68669033099780563</v>
      </c>
      <c r="Z482">
        <f t="shared" ca="1" si="143"/>
        <v>-0.76928206495572526</v>
      </c>
      <c r="AA482">
        <f t="shared" ca="1" si="144"/>
        <v>8.2591733957919633E-2</v>
      </c>
      <c r="AB482">
        <f t="shared" ca="1" si="145"/>
        <v>152.96810000000002</v>
      </c>
    </row>
    <row r="483" spans="1:28" x14ac:dyDescent="0.25">
      <c r="A483" s="20">
        <f t="shared" ca="1" si="146"/>
        <v>45992</v>
      </c>
      <c r="B483" vm="1401">
        <f ca="1"/>
        <v>45993</v>
      </c>
      <c r="C483" vm="1402">
        <f ca="1"/>
        <v>145.86000000000001</v>
      </c>
      <c r="D483" vm="1403">
        <f ca="1"/>
        <v>16376769</v>
      </c>
      <c r="E483">
        <f t="shared" ca="1" si="147"/>
        <v>2388715526.3400002</v>
      </c>
      <c r="F483">
        <f ca="1">SUM($E$2:E483)/SUM($D$2:D483)</f>
        <v>162.13314465867336</v>
      </c>
      <c r="G483">
        <f ca="1">_xlfn.STDEV.P($C$2:C483)</f>
        <v>7.6758476087811625</v>
      </c>
      <c r="H483">
        <f t="shared" ca="1" si="148"/>
        <v>169.80899226745453</v>
      </c>
      <c r="I483">
        <f t="shared" ca="1" si="149"/>
        <v>154.45729704989219</v>
      </c>
      <c r="J483">
        <f t="shared" ca="1" si="158"/>
        <v>147.392</v>
      </c>
      <c r="K483">
        <f t="shared" ca="1" si="159"/>
        <v>1.2770467575827547</v>
      </c>
      <c r="L483">
        <f t="shared" ca="1" si="160"/>
        <v>149.9460935151655</v>
      </c>
      <c r="M483">
        <f t="shared" ca="1" si="161"/>
        <v>144.83790648483449</v>
      </c>
      <c r="N483">
        <f t="shared" ca="1" si="150"/>
        <v>-1.5799999999999841</v>
      </c>
      <c r="O483">
        <f t="shared" ca="1" si="151"/>
        <v>0</v>
      </c>
      <c r="P483">
        <f t="shared" ca="1" si="152"/>
        <v>1.5799999999999841</v>
      </c>
      <c r="Q483">
        <f t="shared" ca="1" si="156"/>
        <v>0.50070840320273213</v>
      </c>
      <c r="R483">
        <f t="shared" ca="1" si="157"/>
        <v>0.69556290719059777</v>
      </c>
      <c r="S483">
        <f t="shared" ca="1" si="154"/>
        <v>0.71986070278691316</v>
      </c>
      <c r="T483">
        <f t="shared" ca="1" si="155"/>
        <v>41.855756202838386</v>
      </c>
      <c r="U483">
        <f>70</f>
        <v>70</v>
      </c>
      <c r="V483">
        <f>30</f>
        <v>30</v>
      </c>
      <c r="W483">
        <f t="shared" ca="1" si="153"/>
        <v>147.64528684447112</v>
      </c>
      <c r="X483">
        <f t="shared" ca="1" si="163"/>
        <v>148.33197717546892</v>
      </c>
      <c r="Y483">
        <f t="shared" ca="1" si="162"/>
        <v>-0.71043415732043513</v>
      </c>
      <c r="Z483">
        <f t="shared" ca="1" si="143"/>
        <v>-0.75751248342866728</v>
      </c>
      <c r="AA483">
        <f t="shared" ca="1" si="144"/>
        <v>4.7078326108232149E-2</v>
      </c>
      <c r="AB483">
        <f t="shared" ca="1" si="145"/>
        <v>152.85620000000003</v>
      </c>
    </row>
    <row r="484" spans="1:28" x14ac:dyDescent="0.25">
      <c r="A484" s="20">
        <f t="shared" ca="1" si="146"/>
        <v>45992</v>
      </c>
      <c r="B484" vm="1404">
        <f ca="1"/>
        <v>45994</v>
      </c>
      <c r="C484" vm="1405">
        <f ca="1"/>
        <v>146.71</v>
      </c>
      <c r="D484" vm="1406">
        <f ca="1"/>
        <v>9125320</v>
      </c>
      <c r="E484">
        <f t="shared" ca="1" si="147"/>
        <v>1338775697.2</v>
      </c>
      <c r="F484">
        <f ca="1">SUM($E$2:E484)/SUM($D$2:D484)</f>
        <v>162.09350654755943</v>
      </c>
      <c r="G484">
        <f ca="1">_xlfn.STDEV.P($C$2:C484)</f>
        <v>7.701727794505941</v>
      </c>
      <c r="H484">
        <f t="shared" ca="1" si="148"/>
        <v>169.79523434206536</v>
      </c>
      <c r="I484">
        <f t="shared" ca="1" si="149"/>
        <v>154.3917787530535</v>
      </c>
      <c r="J484">
        <f t="shared" ca="1" si="158"/>
        <v>147.369</v>
      </c>
      <c r="K484">
        <f t="shared" ca="1" si="159"/>
        <v>1.2853707226854192</v>
      </c>
      <c r="L484">
        <f t="shared" ca="1" si="160"/>
        <v>149.93974144537083</v>
      </c>
      <c r="M484">
        <f t="shared" ca="1" si="161"/>
        <v>144.79825855462917</v>
      </c>
      <c r="N484">
        <f t="shared" ca="1" si="150"/>
        <v>0.84999999999999432</v>
      </c>
      <c r="O484">
        <f t="shared" ca="1" si="151"/>
        <v>0.84999999999999432</v>
      </c>
      <c r="P484">
        <f t="shared" ca="1" si="152"/>
        <v>0</v>
      </c>
      <c r="Q484">
        <f t="shared" ca="1" si="156"/>
        <v>0.52565780297396514</v>
      </c>
      <c r="R484">
        <f t="shared" ca="1" si="157"/>
        <v>0.64587984239126939</v>
      </c>
      <c r="S484">
        <f t="shared" ca="1" si="154"/>
        <v>0.813863149882181</v>
      </c>
      <c r="T484">
        <f t="shared" ca="1" si="155"/>
        <v>44.869049240845165</v>
      </c>
      <c r="U484">
        <f>70</f>
        <v>70</v>
      </c>
      <c r="V484">
        <f>30</f>
        <v>30</v>
      </c>
      <c r="W484">
        <f t="shared" ca="1" si="153"/>
        <v>147.50139656070633</v>
      </c>
      <c r="X484">
        <f t="shared" ca="1" si="163"/>
        <v>148.21183071802676</v>
      </c>
      <c r="Y484">
        <f t="shared" ca="1" si="162"/>
        <v>-0.82863306219064725</v>
      </c>
      <c r="Z484">
        <f t="shared" ca="1" si="143"/>
        <v>-0.7717365991810633</v>
      </c>
      <c r="AA484">
        <f t="shared" ca="1" si="144"/>
        <v>-5.6896463009583953E-2</v>
      </c>
      <c r="AB484">
        <f t="shared" ca="1" si="145"/>
        <v>152.78570000000002</v>
      </c>
    </row>
    <row r="485" spans="1:28" x14ac:dyDescent="0.25">
      <c r="A485" s="20">
        <f t="shared" ca="1" si="146"/>
        <v>45992</v>
      </c>
      <c r="B485" vm="1407">
        <f ca="1"/>
        <v>45995</v>
      </c>
      <c r="C485" vm="1408">
        <f ca="1"/>
        <v>145.36000000000001</v>
      </c>
      <c r="D485" vm="1409">
        <f ca="1"/>
        <v>10479267</v>
      </c>
      <c r="E485">
        <f t="shared" ca="1" si="147"/>
        <v>1523266251.1200001</v>
      </c>
      <c r="F485">
        <f ca="1">SUM($E$2:E485)/SUM($D$2:D485)</f>
        <v>162.04426520264516</v>
      </c>
      <c r="G485">
        <f ca="1">_xlfn.STDEV.P($C$2:C485)</f>
        <v>7.7332196075061024</v>
      </c>
      <c r="H485">
        <f t="shared" ca="1" si="148"/>
        <v>169.77748481015126</v>
      </c>
      <c r="I485">
        <f t="shared" ca="1" si="149"/>
        <v>154.31104559513906</v>
      </c>
      <c r="J485">
        <f t="shared" ca="1" si="158"/>
        <v>147.34750000000003</v>
      </c>
      <c r="K485">
        <f t="shared" ca="1" si="159"/>
        <v>1.3163940979253221</v>
      </c>
      <c r="L485">
        <f t="shared" ca="1" si="160"/>
        <v>149.98028819585068</v>
      </c>
      <c r="M485">
        <f t="shared" ca="1" si="161"/>
        <v>144.71471180414937</v>
      </c>
      <c r="N485">
        <f t="shared" ca="1" si="150"/>
        <v>-1.3499999999999943</v>
      </c>
      <c r="O485">
        <f t="shared" ca="1" si="151"/>
        <v>0</v>
      </c>
      <c r="P485">
        <f t="shared" ca="1" si="152"/>
        <v>1.3499999999999943</v>
      </c>
      <c r="Q485">
        <f t="shared" ca="1" si="156"/>
        <v>0.48811081704725334</v>
      </c>
      <c r="R485">
        <f t="shared" ca="1" si="157"/>
        <v>0.69617413936332118</v>
      </c>
      <c r="S485">
        <f t="shared" ca="1" si="154"/>
        <v>0.70113322148629365</v>
      </c>
      <c r="T485">
        <f t="shared" ca="1" si="155"/>
        <v>41.215656283151539</v>
      </c>
      <c r="U485">
        <f>70</f>
        <v>70</v>
      </c>
      <c r="V485">
        <f>30</f>
        <v>30</v>
      </c>
      <c r="W485">
        <f t="shared" ca="1" si="153"/>
        <v>147.17195093598227</v>
      </c>
      <c r="X485">
        <f t="shared" ca="1" si="163"/>
        <v>148.00058399817291</v>
      </c>
      <c r="Y485">
        <f t="shared" ca="1" si="162"/>
        <v>-1.0641606023346526</v>
      </c>
      <c r="Z485">
        <f t="shared" ca="1" si="143"/>
        <v>-0.83022139981178122</v>
      </c>
      <c r="AA485">
        <f t="shared" ca="1" si="144"/>
        <v>-0.23393920252287137</v>
      </c>
      <c r="AB485">
        <f t="shared" ca="1" si="145"/>
        <v>152.71250000000001</v>
      </c>
    </row>
    <row r="486" spans="1:28" x14ac:dyDescent="0.25">
      <c r="A486" s="20">
        <f t="shared" ca="1" si="146"/>
        <v>45992</v>
      </c>
      <c r="B486" vm="1410">
        <f ca="1"/>
        <v>45996</v>
      </c>
      <c r="C486" vm="1411">
        <f ca="1"/>
        <v>143.44999999999999</v>
      </c>
      <c r="D486" vm="1412">
        <f ca="1"/>
        <v>12791745</v>
      </c>
      <c r="E486">
        <f t="shared" ca="1" si="147"/>
        <v>1834975820.2499998</v>
      </c>
      <c r="F486">
        <f ca="1">SUM($E$2:E486)/SUM($D$2:D486)</f>
        <v>161.97771281421578</v>
      </c>
      <c r="G486">
        <f ca="1">_xlfn.STDEV.P($C$2:C486)</f>
        <v>7.7734497933315465</v>
      </c>
      <c r="H486">
        <f t="shared" ca="1" si="148"/>
        <v>169.75116260754731</v>
      </c>
      <c r="I486">
        <f t="shared" ca="1" si="149"/>
        <v>154.20426302088424</v>
      </c>
      <c r="J486">
        <f t="shared" ca="1" si="158"/>
        <v>147.21350000000001</v>
      </c>
      <c r="K486">
        <f t="shared" ca="1" si="159"/>
        <v>1.5606013517062465</v>
      </c>
      <c r="L486">
        <f t="shared" ca="1" si="160"/>
        <v>150.33470270341252</v>
      </c>
      <c r="M486">
        <f t="shared" ca="1" si="161"/>
        <v>144.0922972965875</v>
      </c>
      <c r="N486">
        <f t="shared" ca="1" si="150"/>
        <v>-1.910000000000025</v>
      </c>
      <c r="O486">
        <f t="shared" ca="1" si="151"/>
        <v>0</v>
      </c>
      <c r="P486">
        <f t="shared" ca="1" si="152"/>
        <v>1.910000000000025</v>
      </c>
      <c r="Q486">
        <f t="shared" ca="1" si="156"/>
        <v>0.45324575868673522</v>
      </c>
      <c r="R486">
        <f t="shared" ca="1" si="157"/>
        <v>0.78287598655165713</v>
      </c>
      <c r="S486">
        <f t="shared" ca="1" si="154"/>
        <v>0.57894962480986556</v>
      </c>
      <c r="T486">
        <f t="shared" ca="1" si="155"/>
        <v>36.666757172799713</v>
      </c>
      <c r="U486">
        <f>70</f>
        <v>70</v>
      </c>
      <c r="V486">
        <f>30</f>
        <v>30</v>
      </c>
      <c r="W486">
        <f t="shared" ca="1" si="153"/>
        <v>146.5993430996773</v>
      </c>
      <c r="X486">
        <f t="shared" ca="1" si="163"/>
        <v>147.66350370201195</v>
      </c>
      <c r="Y486">
        <f t="shared" ca="1" si="162"/>
        <v>-1.6441988676630217</v>
      </c>
      <c r="Z486">
        <f t="shared" ref="Z486:Z514" ca="1" si="164">Y486*(2/(9+1)) + Z485*(1-(2/(9+1)))</f>
        <v>-0.99301689338202936</v>
      </c>
      <c r="AA486">
        <f t="shared" ref="AA486:AA514" ca="1" si="165">Y486-Z486</f>
        <v>-0.65118197428099234</v>
      </c>
      <c r="AB486">
        <f t="shared" ref="AB486:AB514" ca="1" si="166">AVERAGE(C387:C486)</f>
        <v>152.60970000000003</v>
      </c>
    </row>
    <row r="487" spans="1:28" x14ac:dyDescent="0.25">
      <c r="A487" s="20">
        <f t="shared" ca="1" si="146"/>
        <v>45999</v>
      </c>
      <c r="B487" vm="1413">
        <f ca="1"/>
        <v>45999</v>
      </c>
      <c r="C487" vm="1414">
        <f ca="1"/>
        <v>138.34</v>
      </c>
      <c r="D487" vm="1415">
        <f ca="1"/>
        <v>17507504</v>
      </c>
      <c r="E487">
        <f t="shared" ca="1" si="147"/>
        <v>2421988103.3600001</v>
      </c>
      <c r="F487">
        <f ca="1">SUM($E$2:E487)/SUM($D$2:D487)</f>
        <v>161.86248369498077</v>
      </c>
      <c r="G487">
        <f ca="1">_xlfn.STDEV.P($C$2:C487)</f>
        <v>7.8420281612695888</v>
      </c>
      <c r="H487">
        <f t="shared" ca="1" si="148"/>
        <v>169.70451185625035</v>
      </c>
      <c r="I487">
        <f t="shared" ca="1" si="149"/>
        <v>154.02045553371119</v>
      </c>
      <c r="J487">
        <f t="shared" ca="1" si="158"/>
        <v>146.78150000000002</v>
      </c>
      <c r="K487">
        <f t="shared" ca="1" si="159"/>
        <v>2.5259292714188408</v>
      </c>
      <c r="L487">
        <f t="shared" ca="1" si="160"/>
        <v>151.83335854283771</v>
      </c>
      <c r="M487">
        <f t="shared" ca="1" si="161"/>
        <v>141.72964145716233</v>
      </c>
      <c r="N487">
        <f t="shared" ca="1" si="150"/>
        <v>-5.1099999999999852</v>
      </c>
      <c r="O487">
        <f t="shared" ca="1" si="151"/>
        <v>0</v>
      </c>
      <c r="P487">
        <f t="shared" ca="1" si="152"/>
        <v>5.1099999999999852</v>
      </c>
      <c r="Q487">
        <f t="shared" ca="1" si="156"/>
        <v>0.42087106163768268</v>
      </c>
      <c r="R487">
        <f t="shared" ca="1" si="157"/>
        <v>1.0919562732265378</v>
      </c>
      <c r="S487">
        <f t="shared" ca="1" si="154"/>
        <v>0.38542849375651561</v>
      </c>
      <c r="T487">
        <f t="shared" ca="1" si="155"/>
        <v>27.820165060373967</v>
      </c>
      <c r="U487">
        <f>70</f>
        <v>70</v>
      </c>
      <c r="V487">
        <f>30</f>
        <v>30</v>
      </c>
      <c r="W487">
        <f t="shared" ca="1" si="153"/>
        <v>145.32867493049619</v>
      </c>
      <c r="X487">
        <f t="shared" ca="1" si="163"/>
        <v>146.97287379815921</v>
      </c>
      <c r="Y487">
        <f t="shared" ca="1" si="162"/>
        <v>-1.9770015100979492</v>
      </c>
      <c r="Z487">
        <f t="shared" ca="1" si="164"/>
        <v>-1.1898138167252132</v>
      </c>
      <c r="AA487">
        <f t="shared" ca="1" si="165"/>
        <v>-0.78718769337273597</v>
      </c>
      <c r="AB487">
        <f t="shared" ca="1" si="166"/>
        <v>152.43690000000004</v>
      </c>
    </row>
    <row r="488" spans="1:28" x14ac:dyDescent="0.25">
      <c r="A488" s="20">
        <f t="shared" ca="1" si="146"/>
        <v>45999</v>
      </c>
      <c r="B488" vm="1416">
        <f ca="1"/>
        <v>46000</v>
      </c>
      <c r="C488" vm="1417">
        <f ca="1"/>
        <v>139.63</v>
      </c>
      <c r="D488" vm="1418">
        <f ca="1"/>
        <v>10375688</v>
      </c>
      <c r="E488">
        <f t="shared" ca="1" si="147"/>
        <v>1448757315.4400001</v>
      </c>
      <c r="F488">
        <f ca="1">SUM($E$2:E488)/SUM($D$2:D488)</f>
        <v>161.7984387924279</v>
      </c>
      <c r="G488">
        <f ca="1">_xlfn.STDEV.P($C$2:C488)</f>
        <v>7.9015893282314122</v>
      </c>
      <c r="H488">
        <f t="shared" ca="1" si="148"/>
        <v>169.70002812065931</v>
      </c>
      <c r="I488">
        <f t="shared" ca="1" si="149"/>
        <v>153.89684946419649</v>
      </c>
      <c r="J488">
        <f t="shared" ca="1" si="158"/>
        <v>146.48800000000003</v>
      </c>
      <c r="K488">
        <f t="shared" ca="1" si="159"/>
        <v>2.9824479525171395</v>
      </c>
      <c r="L488">
        <f t="shared" ca="1" si="160"/>
        <v>152.4528959050343</v>
      </c>
      <c r="M488">
        <f t="shared" ca="1" si="161"/>
        <v>140.52310409496576</v>
      </c>
      <c r="N488">
        <f t="shared" ca="1" si="150"/>
        <v>1.289999999999992</v>
      </c>
      <c r="O488">
        <f t="shared" ca="1" si="151"/>
        <v>1.289999999999992</v>
      </c>
      <c r="P488">
        <f t="shared" ca="1" si="152"/>
        <v>0</v>
      </c>
      <c r="Q488">
        <f t="shared" ca="1" si="156"/>
        <v>0.48295170009213334</v>
      </c>
      <c r="R488">
        <f t="shared" ca="1" si="157"/>
        <v>1.0139593965674993</v>
      </c>
      <c r="S488">
        <f t="shared" ca="1" si="154"/>
        <v>0.47630280041493084</v>
      </c>
      <c r="T488">
        <f t="shared" ca="1" si="155"/>
        <v>32.263218648712225</v>
      </c>
      <c r="U488">
        <f>70</f>
        <v>70</v>
      </c>
      <c r="V488">
        <f>30</f>
        <v>30</v>
      </c>
      <c r="W488">
        <f t="shared" ca="1" si="153"/>
        <v>144.45195571041984</v>
      </c>
      <c r="X488">
        <f t="shared" ca="1" si="163"/>
        <v>146.42895722051779</v>
      </c>
      <c r="Y488">
        <f t="shared" ca="1" si="162"/>
        <v>-2.2000576942267571</v>
      </c>
      <c r="Z488">
        <f t="shared" ca="1" si="164"/>
        <v>-1.3918625922255221</v>
      </c>
      <c r="AA488">
        <f t="shared" ca="1" si="165"/>
        <v>-0.80819510200123501</v>
      </c>
      <c r="AB488">
        <f t="shared" ca="1" si="166"/>
        <v>152.28220000000002</v>
      </c>
    </row>
    <row r="489" spans="1:28" x14ac:dyDescent="0.25">
      <c r="A489" s="20">
        <f t="shared" ca="1" si="146"/>
        <v>45999</v>
      </c>
      <c r="B489" vm="1419">
        <f ca="1"/>
        <v>46001</v>
      </c>
      <c r="C489" vm="1420">
        <f ca="1"/>
        <v>139.82</v>
      </c>
      <c r="D489" vm="1421">
        <f ca="1"/>
        <v>13650378</v>
      </c>
      <c r="E489">
        <f t="shared" ca="1" si="147"/>
        <v>1908595851.9599998</v>
      </c>
      <c r="F489">
        <f ca="1">SUM($E$2:E489)/SUM($D$2:D489)</f>
        <v>161.71545784451988</v>
      </c>
      <c r="G489">
        <f ca="1">_xlfn.STDEV.P($C$2:C489)</f>
        <v>7.9590847664458577</v>
      </c>
      <c r="H489">
        <f t="shared" ca="1" si="148"/>
        <v>169.67454261096574</v>
      </c>
      <c r="I489">
        <f t="shared" ca="1" si="149"/>
        <v>153.75637307807401</v>
      </c>
      <c r="J489">
        <f t="shared" ca="1" si="158"/>
        <v>146.05200000000005</v>
      </c>
      <c r="K489">
        <f t="shared" ca="1" si="159"/>
        <v>3.2883728178954534</v>
      </c>
      <c r="L489">
        <f t="shared" ca="1" si="160"/>
        <v>152.62874563579095</v>
      </c>
      <c r="M489">
        <f t="shared" ca="1" si="161"/>
        <v>139.47525436420915</v>
      </c>
      <c r="N489">
        <f t="shared" ca="1" si="150"/>
        <v>0.18999999999999773</v>
      </c>
      <c r="O489">
        <f t="shared" ca="1" si="151"/>
        <v>0.18999999999999773</v>
      </c>
      <c r="P489">
        <f t="shared" ca="1" si="152"/>
        <v>0</v>
      </c>
      <c r="Q489">
        <f t="shared" ca="1" si="156"/>
        <v>0.46202657865698082</v>
      </c>
      <c r="R489">
        <f t="shared" ca="1" si="157"/>
        <v>0.94153372538410651</v>
      </c>
      <c r="S489">
        <f t="shared" ca="1" si="154"/>
        <v>0.49071697189444091</v>
      </c>
      <c r="T489">
        <f t="shared" ca="1" si="155"/>
        <v>32.918185084511734</v>
      </c>
      <c r="U489">
        <f>70</f>
        <v>70</v>
      </c>
      <c r="V489">
        <f>30</f>
        <v>30</v>
      </c>
      <c r="W489">
        <f t="shared" ca="1" si="153"/>
        <v>143.73934713958602</v>
      </c>
      <c r="X489">
        <f t="shared" ca="1" si="163"/>
        <v>145.93940483381277</v>
      </c>
      <c r="Y489">
        <f t="shared" ca="1" si="162"/>
        <v>-2.2747591753051495</v>
      </c>
      <c r="Z489">
        <f t="shared" ca="1" si="164"/>
        <v>-1.5684419088414476</v>
      </c>
      <c r="AA489">
        <f t="shared" ca="1" si="165"/>
        <v>-0.70631726646370185</v>
      </c>
      <c r="AB489">
        <f t="shared" ca="1" si="166"/>
        <v>152.1301</v>
      </c>
    </row>
    <row r="490" spans="1:28" x14ac:dyDescent="0.25">
      <c r="A490" s="20">
        <f t="shared" ca="1" si="146"/>
        <v>45999</v>
      </c>
      <c r="B490" vm="1422">
        <f ca="1"/>
        <v>46002</v>
      </c>
      <c r="C490" vm="1423">
        <f ca="1"/>
        <v>140.76</v>
      </c>
      <c r="D490" vm="1424">
        <f ca="1"/>
        <v>11797981</v>
      </c>
      <c r="E490">
        <f t="shared" ca="1" si="147"/>
        <v>1660683805.5599999</v>
      </c>
      <c r="F490">
        <f ca="1">SUM($E$2:E490)/SUM($D$2:D490)</f>
        <v>161.64729827559347</v>
      </c>
      <c r="G490">
        <f ca="1">_xlfn.STDEV.P($C$2:C490)</f>
        <v>8.0103955032267908</v>
      </c>
      <c r="H490">
        <f t="shared" ca="1" si="148"/>
        <v>169.65769377882026</v>
      </c>
      <c r="I490">
        <f t="shared" ca="1" si="149"/>
        <v>153.63690277236668</v>
      </c>
      <c r="J490">
        <f t="shared" ca="1" si="158"/>
        <v>145.68950000000004</v>
      </c>
      <c r="K490">
        <f t="shared" ca="1" si="159"/>
        <v>3.4564805267177414</v>
      </c>
      <c r="L490">
        <f t="shared" ca="1" si="160"/>
        <v>152.60246105343552</v>
      </c>
      <c r="M490">
        <f t="shared" ca="1" si="161"/>
        <v>138.77653894656456</v>
      </c>
      <c r="N490">
        <f t="shared" ca="1" si="150"/>
        <v>0.93999999999999773</v>
      </c>
      <c r="O490">
        <f t="shared" ca="1" si="151"/>
        <v>0.93999999999999773</v>
      </c>
      <c r="P490">
        <f t="shared" ca="1" si="152"/>
        <v>0</v>
      </c>
      <c r="Q490">
        <f t="shared" ca="1" si="156"/>
        <v>0.49616753732433916</v>
      </c>
      <c r="R490">
        <f t="shared" ca="1" si="157"/>
        <v>0.87428131642809892</v>
      </c>
      <c r="S490">
        <f t="shared" ca="1" si="154"/>
        <v>0.56751474382575817</v>
      </c>
      <c r="T490">
        <f t="shared" ca="1" si="155"/>
        <v>36.204746785389219</v>
      </c>
      <c r="U490">
        <f>70</f>
        <v>70</v>
      </c>
      <c r="V490">
        <f>30</f>
        <v>30</v>
      </c>
      <c r="W490">
        <f t="shared" ca="1" si="153"/>
        <v>143.28098604118816</v>
      </c>
      <c r="X490">
        <f t="shared" ca="1" si="163"/>
        <v>145.55574521649331</v>
      </c>
      <c r="Y490">
        <f t="shared" ca="1" si="162"/>
        <v>-2.141436869308933</v>
      </c>
      <c r="Z490">
        <f t="shared" ca="1" si="164"/>
        <v>-1.683040900934945</v>
      </c>
      <c r="AA490">
        <f t="shared" ca="1" si="165"/>
        <v>-0.45839596837398799</v>
      </c>
      <c r="AB490">
        <f t="shared" ca="1" si="166"/>
        <v>151.95450000000002</v>
      </c>
    </row>
    <row r="491" spans="1:28" x14ac:dyDescent="0.25">
      <c r="A491" s="20">
        <f t="shared" ca="1" si="146"/>
        <v>45999</v>
      </c>
      <c r="B491" vm="1425">
        <f ca="1"/>
        <v>46003</v>
      </c>
      <c r="C491" vm="1426">
        <f ca="1"/>
        <v>142.84</v>
      </c>
      <c r="D491" vm="1427">
        <f ca="1"/>
        <v>10268768</v>
      </c>
      <c r="E491">
        <f t="shared" ca="1" si="147"/>
        <v>1466790821.1200001</v>
      </c>
      <c r="F491">
        <f ca="1">SUM($E$2:E491)/SUM($D$2:D491)</f>
        <v>161.59420506464855</v>
      </c>
      <c r="G491">
        <f ca="1">_xlfn.STDEV.P($C$2:C491)</f>
        <v>8.0501627540388228</v>
      </c>
      <c r="H491">
        <f t="shared" ca="1" si="148"/>
        <v>169.64436781868739</v>
      </c>
      <c r="I491">
        <f t="shared" ca="1" si="149"/>
        <v>153.54404231060971</v>
      </c>
      <c r="J491">
        <f t="shared" ca="1" si="158"/>
        <v>145.43350000000004</v>
      </c>
      <c r="K491">
        <f t="shared" ca="1" si="159"/>
        <v>3.4690485196345917</v>
      </c>
      <c r="L491">
        <f t="shared" ca="1" si="160"/>
        <v>152.37159703926923</v>
      </c>
      <c r="M491">
        <f t="shared" ca="1" si="161"/>
        <v>138.49540296073084</v>
      </c>
      <c r="N491">
        <f t="shared" ca="1" si="150"/>
        <v>2.0800000000000125</v>
      </c>
      <c r="O491">
        <f t="shared" ca="1" si="151"/>
        <v>2.0800000000000125</v>
      </c>
      <c r="P491">
        <f t="shared" ca="1" si="152"/>
        <v>0</v>
      </c>
      <c r="Q491">
        <f t="shared" ca="1" si="156"/>
        <v>0.60929842751545871</v>
      </c>
      <c r="R491">
        <f t="shared" ca="1" si="157"/>
        <v>0.81183265096894897</v>
      </c>
      <c r="S491">
        <f t="shared" ca="1" si="154"/>
        <v>0.75052220034294137</v>
      </c>
      <c r="T491">
        <f t="shared" ca="1" si="155"/>
        <v>42.874189210277258</v>
      </c>
      <c r="U491">
        <f>70</f>
        <v>70</v>
      </c>
      <c r="V491">
        <f>30</f>
        <v>30</v>
      </c>
      <c r="W491">
        <f t="shared" ca="1" si="153"/>
        <v>143.21314203485153</v>
      </c>
      <c r="X491">
        <f t="shared" ca="1" si="163"/>
        <v>145.35457890416046</v>
      </c>
      <c r="Y491">
        <f t="shared" ca="1" si="162"/>
        <v>-1.8299001695192203</v>
      </c>
      <c r="Z491">
        <f t="shared" ca="1" si="164"/>
        <v>-1.7124127546518002</v>
      </c>
      <c r="AA491">
        <f t="shared" ca="1" si="165"/>
        <v>-0.11748741486742009</v>
      </c>
      <c r="AB491">
        <f t="shared" ca="1" si="166"/>
        <v>151.80010000000001</v>
      </c>
    </row>
    <row r="492" spans="1:28" x14ac:dyDescent="0.25">
      <c r="A492" s="20">
        <f t="shared" ca="1" si="146"/>
        <v>46006</v>
      </c>
      <c r="B492" vm="1428">
        <f ca="1"/>
        <v>46006</v>
      </c>
      <c r="C492" vm="1429">
        <f ca="1"/>
        <v>145.13</v>
      </c>
      <c r="D492" vm="1430">
        <f ca="1"/>
        <v>13877674</v>
      </c>
      <c r="E492">
        <f t="shared" ca="1" si="147"/>
        <v>2014066827.6199999</v>
      </c>
      <c r="F492">
        <f ca="1">SUM($E$2:E492)/SUM($D$2:D492)</f>
        <v>161.53163048491635</v>
      </c>
      <c r="G492">
        <f ca="1">_xlfn.STDEV.P($C$2:C492)</f>
        <v>8.0788701133894012</v>
      </c>
      <c r="H492">
        <f t="shared" ca="1" si="148"/>
        <v>169.61050059830575</v>
      </c>
      <c r="I492">
        <f t="shared" ca="1" si="149"/>
        <v>153.45276037152695</v>
      </c>
      <c r="J492">
        <f t="shared" ca="1" si="158"/>
        <v>145.30650000000006</v>
      </c>
      <c r="K492">
        <f t="shared" ca="1" si="159"/>
        <v>3.4291264423894812</v>
      </c>
      <c r="L492">
        <f t="shared" ca="1" si="160"/>
        <v>152.16475288477901</v>
      </c>
      <c r="M492">
        <f t="shared" ca="1" si="161"/>
        <v>138.44824711522111</v>
      </c>
      <c r="N492">
        <f t="shared" ca="1" si="150"/>
        <v>2.289999999999992</v>
      </c>
      <c r="O492">
        <f t="shared" ca="1" si="151"/>
        <v>2.289999999999992</v>
      </c>
      <c r="P492">
        <f t="shared" ca="1" si="152"/>
        <v>0</v>
      </c>
      <c r="Q492">
        <f t="shared" ca="1" si="156"/>
        <v>0.72934853983578252</v>
      </c>
      <c r="R492">
        <f t="shared" ca="1" si="157"/>
        <v>0.75384460447116697</v>
      </c>
      <c r="S492">
        <f t="shared" ca="1" si="154"/>
        <v>0.96750515359519118</v>
      </c>
      <c r="T492">
        <f t="shared" ca="1" si="155"/>
        <v>49.174211911327617</v>
      </c>
      <c r="U492">
        <f>70</f>
        <v>70</v>
      </c>
      <c r="V492">
        <f>30</f>
        <v>30</v>
      </c>
      <c r="W492">
        <f t="shared" ca="1" si="153"/>
        <v>143.508043260259</v>
      </c>
      <c r="X492">
        <f t="shared" ca="1" si="163"/>
        <v>145.33794342977822</v>
      </c>
      <c r="Y492">
        <f t="shared" ca="1" si="162"/>
        <v>-1.5585833800028297</v>
      </c>
      <c r="Z492">
        <f t="shared" ca="1" si="164"/>
        <v>-1.6816468797220061</v>
      </c>
      <c r="AA492">
        <f t="shared" ca="1" si="165"/>
        <v>0.12306349971917641</v>
      </c>
      <c r="AB492">
        <f t="shared" ca="1" si="166"/>
        <v>151.66329999999999</v>
      </c>
    </row>
    <row r="493" spans="1:28" x14ac:dyDescent="0.25">
      <c r="A493" s="20">
        <f t="shared" ca="1" si="146"/>
        <v>46006</v>
      </c>
      <c r="B493" vm="1431">
        <f ca="1"/>
        <v>46007</v>
      </c>
      <c r="C493" vm="1432">
        <f ca="1"/>
        <v>145.21</v>
      </c>
      <c r="D493" vm="1433">
        <f ca="1"/>
        <v>10251720</v>
      </c>
      <c r="E493">
        <f t="shared" ca="1" si="147"/>
        <v>1488652261.2</v>
      </c>
      <c r="F493">
        <f ca="1">SUM($E$2:E493)/SUM($D$2:D493)</f>
        <v>161.48593396272719</v>
      </c>
      <c r="G493">
        <f ca="1">_xlfn.STDEV.P($C$2:C493)</f>
        <v>8.1068699059595648</v>
      </c>
      <c r="H493">
        <f t="shared" ca="1" si="148"/>
        <v>169.59280386868676</v>
      </c>
      <c r="I493">
        <f t="shared" ca="1" si="149"/>
        <v>153.37906405676762</v>
      </c>
      <c r="J493">
        <f t="shared" ca="1" si="158"/>
        <v>145.27600000000001</v>
      </c>
      <c r="K493">
        <f t="shared" ca="1" si="159"/>
        <v>3.4270309383826092</v>
      </c>
      <c r="L493">
        <f t="shared" ca="1" si="160"/>
        <v>152.13006187676524</v>
      </c>
      <c r="M493">
        <f t="shared" ca="1" si="161"/>
        <v>138.42193812323478</v>
      </c>
      <c r="N493">
        <f t="shared" ca="1" si="150"/>
        <v>8.0000000000012506E-2</v>
      </c>
      <c r="O493">
        <f t="shared" ca="1" si="151"/>
        <v>8.0000000000012506E-2</v>
      </c>
      <c r="P493">
        <f t="shared" ca="1" si="152"/>
        <v>0</v>
      </c>
      <c r="Q493">
        <f t="shared" ca="1" si="156"/>
        <v>0.68296650127608471</v>
      </c>
      <c r="R493">
        <f t="shared" ca="1" si="157"/>
        <v>0.6999985612946551</v>
      </c>
      <c r="S493">
        <f t="shared" ca="1" si="154"/>
        <v>0.97566843567925421</v>
      </c>
      <c r="T493">
        <f t="shared" ca="1" si="155"/>
        <v>49.38421943982771</v>
      </c>
      <c r="U493">
        <f>70</f>
        <v>70</v>
      </c>
      <c r="V493">
        <f>30</f>
        <v>30</v>
      </c>
      <c r="W493">
        <f t="shared" ca="1" si="153"/>
        <v>143.76988275868069</v>
      </c>
      <c r="X493">
        <f t="shared" ca="1" si="163"/>
        <v>145.32846613868352</v>
      </c>
      <c r="Y493">
        <f t="shared" ca="1" si="162"/>
        <v>-1.120844204398793</v>
      </c>
      <c r="Z493">
        <f t="shared" ca="1" si="164"/>
        <v>-1.5694863446573637</v>
      </c>
      <c r="AA493">
        <f t="shared" ca="1" si="165"/>
        <v>0.44864214025857074</v>
      </c>
      <c r="AB493">
        <f t="shared" ca="1" si="166"/>
        <v>151.5324</v>
      </c>
    </row>
    <row r="494" spans="1:28" x14ac:dyDescent="0.25">
      <c r="A494" s="20">
        <f t="shared" ca="1" si="146"/>
        <v>46006</v>
      </c>
      <c r="B494" vm="1434">
        <f ca="1"/>
        <v>46008</v>
      </c>
      <c r="C494" vm="1435">
        <f ca="1"/>
        <v>147.81</v>
      </c>
      <c r="D494" vm="1436">
        <f ca="1"/>
        <v>9833261</v>
      </c>
      <c r="E494">
        <f t="shared" ca="1" si="147"/>
        <v>1453454308.4100001</v>
      </c>
      <c r="F494">
        <f ca="1">SUM($E$2:E494)/SUM($D$2:D494)</f>
        <v>161.44930600444025</v>
      </c>
      <c r="G494">
        <f ca="1">_xlfn.STDEV.P($C$2:C494)</f>
        <v>8.1243757251112427</v>
      </c>
      <c r="H494">
        <f t="shared" ca="1" si="148"/>
        <v>169.57368172955148</v>
      </c>
      <c r="I494">
        <f t="shared" ca="1" si="149"/>
        <v>153.32493027932901</v>
      </c>
      <c r="J494">
        <f t="shared" ca="1" si="158"/>
        <v>145.31700000000004</v>
      </c>
      <c r="K494">
        <f t="shared" ca="1" si="159"/>
        <v>3.4534195105416137</v>
      </c>
      <c r="L494">
        <f t="shared" ca="1" si="160"/>
        <v>152.22383902108325</v>
      </c>
      <c r="M494">
        <f t="shared" ca="1" si="161"/>
        <v>138.41016097891682</v>
      </c>
      <c r="N494">
        <f t="shared" ca="1" si="150"/>
        <v>2.5999999999999943</v>
      </c>
      <c r="O494">
        <f t="shared" ca="1" si="151"/>
        <v>2.5999999999999943</v>
      </c>
      <c r="P494">
        <f t="shared" ca="1" si="152"/>
        <v>0</v>
      </c>
      <c r="Q494">
        <f t="shared" ca="1" si="156"/>
        <v>0.81989746547064968</v>
      </c>
      <c r="R494">
        <f t="shared" ca="1" si="157"/>
        <v>0.64999866405932261</v>
      </c>
      <c r="S494">
        <f t="shared" ca="1" si="154"/>
        <v>1.2613833086214177</v>
      </c>
      <c r="T494">
        <f t="shared" ca="1" si="155"/>
        <v>55.779279161230782</v>
      </c>
      <c r="U494">
        <f>70</f>
        <v>70</v>
      </c>
      <c r="V494">
        <f>30</f>
        <v>30</v>
      </c>
      <c r="W494">
        <f t="shared" ca="1" si="153"/>
        <v>144.39143925734521</v>
      </c>
      <c r="X494">
        <f t="shared" ca="1" si="163"/>
        <v>145.512283461744</v>
      </c>
      <c r="Y494">
        <f t="shared" ca="1" si="162"/>
        <v>-0.94779107018592867</v>
      </c>
      <c r="Z494">
        <f t="shared" ca="1" si="164"/>
        <v>-1.4451472897630766</v>
      </c>
      <c r="AA494">
        <f t="shared" ca="1" si="165"/>
        <v>0.49735621957714793</v>
      </c>
      <c r="AB494">
        <f t="shared" ca="1" si="166"/>
        <v>151.43939999999998</v>
      </c>
    </row>
    <row r="495" spans="1:28" x14ac:dyDescent="0.25">
      <c r="A495" s="20">
        <f t="shared" ca="1" si="146"/>
        <v>46006</v>
      </c>
      <c r="B495" vm="1437">
        <f ca="1"/>
        <v>46009</v>
      </c>
      <c r="C495" vm="1438">
        <f ca="1"/>
        <v>145.52000000000001</v>
      </c>
      <c r="D495" vm="1439">
        <f ca="1"/>
        <v>12239860</v>
      </c>
      <c r="E495">
        <f t="shared" ca="1" si="147"/>
        <v>1781144427.2</v>
      </c>
      <c r="F495">
        <f ca="1">SUM($E$2:E495)/SUM($D$2:D495)</f>
        <v>161.39637793803686</v>
      </c>
      <c r="G495">
        <f ca="1">_xlfn.STDEV.P($C$2:C495)</f>
        <v>8.1504588342249491</v>
      </c>
      <c r="H495">
        <f t="shared" ca="1" si="148"/>
        <v>169.54683677226183</v>
      </c>
      <c r="I495">
        <f t="shared" ca="1" si="149"/>
        <v>153.2459191038119</v>
      </c>
      <c r="J495">
        <f t="shared" ca="1" si="158"/>
        <v>145.24350000000001</v>
      </c>
      <c r="K495">
        <f t="shared" ca="1" si="159"/>
        <v>3.4315122874539399</v>
      </c>
      <c r="L495">
        <f t="shared" ca="1" si="160"/>
        <v>152.10652457490789</v>
      </c>
      <c r="M495">
        <f t="shared" ca="1" si="161"/>
        <v>138.38047542509213</v>
      </c>
      <c r="N495">
        <f t="shared" ca="1" si="150"/>
        <v>-2.289999999999992</v>
      </c>
      <c r="O495">
        <f t="shared" ca="1" si="151"/>
        <v>0</v>
      </c>
      <c r="P495">
        <f t="shared" ca="1" si="152"/>
        <v>2.289999999999992</v>
      </c>
      <c r="Q495">
        <f t="shared" ca="1" si="156"/>
        <v>0.76133336079417469</v>
      </c>
      <c r="R495">
        <f t="shared" ca="1" si="157"/>
        <v>0.76714161662651326</v>
      </c>
      <c r="S495">
        <f t="shared" ca="1" si="154"/>
        <v>0.99242870454886778</v>
      </c>
      <c r="T495">
        <f t="shared" ca="1" si="155"/>
        <v>49.809998334348265</v>
      </c>
      <c r="U495">
        <f>70</f>
        <v>70</v>
      </c>
      <c r="V495">
        <f>30</f>
        <v>30</v>
      </c>
      <c r="W495">
        <f t="shared" ca="1" si="153"/>
        <v>144.56506398698443</v>
      </c>
      <c r="X495">
        <f t="shared" ca="1" si="163"/>
        <v>145.51285505717036</v>
      </c>
      <c r="Y495">
        <f t="shared" ca="1" si="162"/>
        <v>-0.88596549699713023</v>
      </c>
      <c r="Z495">
        <f t="shared" ca="1" si="164"/>
        <v>-1.3333109312098874</v>
      </c>
      <c r="AA495">
        <f t="shared" ca="1" si="165"/>
        <v>0.44734543421275719</v>
      </c>
      <c r="AB495">
        <f t="shared" ca="1" si="166"/>
        <v>151.32849999999999</v>
      </c>
    </row>
    <row r="496" spans="1:28" x14ac:dyDescent="0.25">
      <c r="A496" s="20">
        <f t="shared" ca="1" si="146"/>
        <v>46006</v>
      </c>
      <c r="B496" vm="1440">
        <f ca="1"/>
        <v>46010</v>
      </c>
      <c r="C496" vm="1441">
        <f ca="1"/>
        <v>144.46</v>
      </c>
      <c r="D496" vm="1442">
        <f ca="1"/>
        <v>19345622</v>
      </c>
      <c r="E496">
        <f t="shared" ca="1" si="147"/>
        <v>2794668554.1200004</v>
      </c>
      <c r="F496">
        <f ca="1">SUM($E$2:E496)/SUM($D$2:D496)</f>
        <v>161.30789874272037</v>
      </c>
      <c r="G496">
        <f ca="1">_xlfn.STDEV.P($C$2:C496)</f>
        <v>8.1806891932379155</v>
      </c>
      <c r="H496">
        <f t="shared" ca="1" si="148"/>
        <v>169.48858793595829</v>
      </c>
      <c r="I496">
        <f t="shared" ca="1" si="149"/>
        <v>153.12720954948244</v>
      </c>
      <c r="J496">
        <f t="shared" ca="1" si="158"/>
        <v>145.05700000000002</v>
      </c>
      <c r="K496">
        <f t="shared" ca="1" si="159"/>
        <v>3.3636338432681625</v>
      </c>
      <c r="L496">
        <f t="shared" ca="1" si="160"/>
        <v>151.78426768653634</v>
      </c>
      <c r="M496">
        <f t="shared" ca="1" si="161"/>
        <v>138.32973231346369</v>
      </c>
      <c r="N496">
        <f t="shared" ca="1" si="150"/>
        <v>-1.0600000000000023</v>
      </c>
      <c r="O496">
        <f t="shared" ca="1" si="151"/>
        <v>0</v>
      </c>
      <c r="P496">
        <f t="shared" ca="1" si="152"/>
        <v>1.0600000000000023</v>
      </c>
      <c r="Q496">
        <f t="shared" ca="1" si="156"/>
        <v>0.70695240645173363</v>
      </c>
      <c r="R496">
        <f t="shared" ca="1" si="157"/>
        <v>0.78806007258176247</v>
      </c>
      <c r="S496">
        <f t="shared" ca="1" si="154"/>
        <v>0.89707933576140697</v>
      </c>
      <c r="T496">
        <f t="shared" ca="1" si="155"/>
        <v>47.287391668380458</v>
      </c>
      <c r="U496">
        <f>70</f>
        <v>70</v>
      </c>
      <c r="V496">
        <f>30</f>
        <v>30</v>
      </c>
      <c r="W496">
        <f t="shared" ca="1" si="153"/>
        <v>144.54890029667914</v>
      </c>
      <c r="X496">
        <f t="shared" ca="1" si="163"/>
        <v>145.43486579367627</v>
      </c>
      <c r="Y496">
        <f t="shared" ca="1" si="162"/>
        <v>-0.96862676590049546</v>
      </c>
      <c r="Z496">
        <f t="shared" ca="1" si="164"/>
        <v>-1.2603740981480092</v>
      </c>
      <c r="AA496">
        <f t="shared" ca="1" si="165"/>
        <v>0.2917473322475137</v>
      </c>
      <c r="AB496">
        <f t="shared" ca="1" si="166"/>
        <v>151.24429999999998</v>
      </c>
    </row>
    <row r="497" spans="1:28" x14ac:dyDescent="0.25">
      <c r="A497" s="20">
        <f t="shared" ca="1" si="146"/>
        <v>46013</v>
      </c>
      <c r="B497" vm="1443">
        <f ca="1"/>
        <v>46013</v>
      </c>
      <c r="C497" vm="1444">
        <f ca="1"/>
        <v>142.69</v>
      </c>
      <c r="D497" vm="1445">
        <f ca="1"/>
        <v>11731360</v>
      </c>
      <c r="E497">
        <f t="shared" ca="1" si="147"/>
        <v>1673947758.3999999</v>
      </c>
      <c r="F497">
        <f ca="1">SUM($E$2:E497)/SUM($D$2:D497)</f>
        <v>161.24910335176654</v>
      </c>
      <c r="G497">
        <f ca="1">_xlfn.STDEV.P($C$2:C497)</f>
        <v>8.2185523825566946</v>
      </c>
      <c r="H497">
        <f t="shared" ca="1" si="148"/>
        <v>169.46765573432322</v>
      </c>
      <c r="I497">
        <f t="shared" ca="1" si="149"/>
        <v>153.03055096920986</v>
      </c>
      <c r="J497">
        <f t="shared" ca="1" si="158"/>
        <v>144.6455</v>
      </c>
      <c r="K497">
        <f t="shared" ca="1" si="159"/>
        <v>3.1018491513764421</v>
      </c>
      <c r="L497">
        <f t="shared" ca="1" si="160"/>
        <v>150.84919830275288</v>
      </c>
      <c r="M497">
        <f t="shared" ca="1" si="161"/>
        <v>138.44180169724712</v>
      </c>
      <c r="N497">
        <f t="shared" ca="1" si="150"/>
        <v>-1.7700000000000102</v>
      </c>
      <c r="O497">
        <f t="shared" ca="1" si="151"/>
        <v>0</v>
      </c>
      <c r="P497">
        <f t="shared" ca="1" si="152"/>
        <v>1.7700000000000102</v>
      </c>
      <c r="Q497">
        <f t="shared" ca="1" si="156"/>
        <v>0.65645580599089548</v>
      </c>
      <c r="R497">
        <f t="shared" ca="1" si="157"/>
        <v>0.85819863882592295</v>
      </c>
      <c r="S497">
        <f t="shared" ca="1" si="154"/>
        <v>0.76492291678413049</v>
      </c>
      <c r="T497">
        <f t="shared" ca="1" si="155"/>
        <v>43.340301693056261</v>
      </c>
      <c r="U497">
        <f>70</f>
        <v>70</v>
      </c>
      <c r="V497">
        <f>30</f>
        <v>30</v>
      </c>
      <c r="W497">
        <f t="shared" ca="1" si="153"/>
        <v>144.26291563565158</v>
      </c>
      <c r="X497">
        <f t="shared" ca="1" si="163"/>
        <v>145.23154240155208</v>
      </c>
      <c r="Y497">
        <f t="shared" ca="1" si="162"/>
        <v>-0.98326306756669624</v>
      </c>
      <c r="Z497">
        <f t="shared" ca="1" si="164"/>
        <v>-1.2049518920317466</v>
      </c>
      <c r="AA497">
        <f t="shared" ca="1" si="165"/>
        <v>0.22168882446505034</v>
      </c>
      <c r="AB497">
        <f t="shared" ca="1" si="166"/>
        <v>151.16649999999998</v>
      </c>
    </row>
    <row r="498" spans="1:28" x14ac:dyDescent="0.25">
      <c r="A498" s="20">
        <f t="shared" ca="1" si="146"/>
        <v>46013</v>
      </c>
      <c r="B498" vm="1446">
        <f ca="1"/>
        <v>46014</v>
      </c>
      <c r="C498" vm="1447">
        <f ca="1"/>
        <v>143.18</v>
      </c>
      <c r="D498" vm="1448">
        <f ca="1"/>
        <v>9541563</v>
      </c>
      <c r="E498">
        <f t="shared" ca="1" si="147"/>
        <v>1366160990.3400002</v>
      </c>
      <c r="F498">
        <f ca="1">SUM($E$2:E498)/SUM($D$2:D498)</f>
        <v>161.20281131232878</v>
      </c>
      <c r="G498">
        <f ca="1">_xlfn.STDEV.P($C$2:C498)</f>
        <v>8.2536303852494175</v>
      </c>
      <c r="H498">
        <f t="shared" ca="1" si="148"/>
        <v>169.45644169757819</v>
      </c>
      <c r="I498">
        <f t="shared" ca="1" si="149"/>
        <v>152.94918092707937</v>
      </c>
      <c r="J498">
        <f t="shared" ca="1" si="158"/>
        <v>144.45549999999997</v>
      </c>
      <c r="K498">
        <f t="shared" ca="1" si="159"/>
        <v>3.0675182408414057</v>
      </c>
      <c r="L498">
        <f t="shared" ca="1" si="160"/>
        <v>150.59053648168279</v>
      </c>
      <c r="M498">
        <f t="shared" ca="1" si="161"/>
        <v>138.32046351831715</v>
      </c>
      <c r="N498">
        <f t="shared" ca="1" si="150"/>
        <v>0.49000000000000909</v>
      </c>
      <c r="O498">
        <f t="shared" ca="1" si="151"/>
        <v>0.49000000000000909</v>
      </c>
      <c r="P498">
        <f t="shared" ca="1" si="152"/>
        <v>0</v>
      </c>
      <c r="Q498">
        <f t="shared" ca="1" si="156"/>
        <v>0.64456610556297511</v>
      </c>
      <c r="R498">
        <f t="shared" ca="1" si="157"/>
        <v>0.79689873605264272</v>
      </c>
      <c r="S498">
        <f t="shared" ca="1" si="154"/>
        <v>0.80884317718430343</v>
      </c>
      <c r="T498">
        <f t="shared" ca="1" si="155"/>
        <v>44.716047658889458</v>
      </c>
      <c r="U498">
        <f>70</f>
        <v>70</v>
      </c>
      <c r="V498">
        <f>30</f>
        <v>30</v>
      </c>
      <c r="W498">
        <f t="shared" ca="1" si="153"/>
        <v>144.09631323016671</v>
      </c>
      <c r="X498">
        <f t="shared" ca="1" si="163"/>
        <v>145.07957629773341</v>
      </c>
      <c r="Y498">
        <f t="shared" ca="1" si="162"/>
        <v>-0.87902355385710962</v>
      </c>
      <c r="Z498">
        <f t="shared" ca="1" si="164"/>
        <v>-1.1397662243968192</v>
      </c>
      <c r="AA498">
        <f t="shared" ca="1" si="165"/>
        <v>0.26074267053970956</v>
      </c>
      <c r="AB498">
        <f t="shared" ca="1" si="166"/>
        <v>151.09179999999998</v>
      </c>
    </row>
    <row r="499" spans="1:28" x14ac:dyDescent="0.25">
      <c r="A499" s="20">
        <f t="shared" ca="1" si="146"/>
        <v>46013</v>
      </c>
      <c r="B499" vm="1449">
        <f ca="1"/>
        <v>46015</v>
      </c>
      <c r="C499" vm="1450">
        <f ca="1"/>
        <v>144.49</v>
      </c>
      <c r="D499" vm="1451">
        <f ca="1"/>
        <v>3259209</v>
      </c>
      <c r="E499">
        <f t="shared" ca="1" si="147"/>
        <v>470923108.41000003</v>
      </c>
      <c r="F499">
        <f ca="1">SUM($E$2:E499)/SUM($D$2:D499)</f>
        <v>161.18819856004325</v>
      </c>
      <c r="G499">
        <f ca="1">_xlfn.STDEV.P($C$2:C499)</f>
        <v>8.2824933535788681</v>
      </c>
      <c r="H499">
        <f t="shared" ca="1" si="148"/>
        <v>169.47069191362212</v>
      </c>
      <c r="I499">
        <f t="shared" ca="1" si="149"/>
        <v>152.90570520646438</v>
      </c>
      <c r="J499">
        <f t="shared" ca="1" si="158"/>
        <v>144.25549999999998</v>
      </c>
      <c r="K499">
        <f t="shared" ca="1" si="159"/>
        <v>2.9173500502664202</v>
      </c>
      <c r="L499">
        <f t="shared" ca="1" si="160"/>
        <v>150.09020010053283</v>
      </c>
      <c r="M499">
        <f t="shared" ca="1" si="161"/>
        <v>138.42079989946714</v>
      </c>
      <c r="N499">
        <f t="shared" ca="1" si="150"/>
        <v>1.3100000000000023</v>
      </c>
      <c r="O499">
        <f t="shared" ca="1" si="151"/>
        <v>1.3100000000000023</v>
      </c>
      <c r="P499">
        <f t="shared" ca="1" si="152"/>
        <v>0</v>
      </c>
      <c r="Q499">
        <f t="shared" ca="1" si="156"/>
        <v>0.69209709802276276</v>
      </c>
      <c r="R499">
        <f t="shared" ca="1" si="157"/>
        <v>0.73997739776316818</v>
      </c>
      <c r="S499">
        <f t="shared" ca="1" si="154"/>
        <v>0.93529491591886482</v>
      </c>
      <c r="T499">
        <f t="shared" ca="1" si="155"/>
        <v>48.328288790796165</v>
      </c>
      <c r="U499">
        <f>70</f>
        <v>70</v>
      </c>
      <c r="V499">
        <f>30</f>
        <v>30</v>
      </c>
      <c r="W499">
        <f t="shared" ca="1" si="153"/>
        <v>144.15688042552569</v>
      </c>
      <c r="X499">
        <f t="shared" ca="1" si="163"/>
        <v>145.03590397938279</v>
      </c>
      <c r="Y499">
        <f t="shared" ca="1" si="162"/>
        <v>-0.76739403680420537</v>
      </c>
      <c r="Z499">
        <f t="shared" ca="1" si="164"/>
        <v>-1.0652917868782965</v>
      </c>
      <c r="AA499">
        <f t="shared" ca="1" si="165"/>
        <v>0.29789775007409114</v>
      </c>
      <c r="AB499">
        <f t="shared" ca="1" si="166"/>
        <v>151.02909999999997</v>
      </c>
    </row>
    <row r="500" spans="1:28" x14ac:dyDescent="0.25">
      <c r="A500" s="20">
        <f t="shared" ca="1" si="146"/>
        <v>46013</v>
      </c>
      <c r="B500" vm="1452">
        <f ca="1"/>
        <v>46017</v>
      </c>
      <c r="C500" vm="1453">
        <f ca="1"/>
        <v>144.74</v>
      </c>
      <c r="D500" vm="1454">
        <f ca="1"/>
        <v>4711505</v>
      </c>
      <c r="E500">
        <f t="shared" ca="1" si="147"/>
        <v>681943233.70000005</v>
      </c>
      <c r="F500">
        <f ca="1">SUM($E$2:E500)/SUM($D$2:D500)</f>
        <v>161.16743510041772</v>
      </c>
      <c r="G500">
        <f ca="1">_xlfn.STDEV.P($C$2:C500)</f>
        <v>8.3099496858446713</v>
      </c>
      <c r="H500">
        <f t="shared" ca="1" si="148"/>
        <v>169.47738478626241</v>
      </c>
      <c r="I500">
        <f t="shared" ca="1" si="149"/>
        <v>152.85748541457303</v>
      </c>
      <c r="J500">
        <f t="shared" ca="1" si="158"/>
        <v>144.07999999999998</v>
      </c>
      <c r="K500">
        <f t="shared" ca="1" si="159"/>
        <v>2.7660574260507573</v>
      </c>
      <c r="L500">
        <f t="shared" ca="1" si="160"/>
        <v>149.61211485210151</v>
      </c>
      <c r="M500">
        <f t="shared" ca="1" si="161"/>
        <v>138.54788514789846</v>
      </c>
      <c r="N500">
        <f t="shared" ca="1" si="150"/>
        <v>0.25</v>
      </c>
      <c r="O500">
        <f t="shared" ca="1" si="151"/>
        <v>0.25</v>
      </c>
      <c r="P500">
        <f t="shared" ca="1" si="152"/>
        <v>0</v>
      </c>
      <c r="Q500">
        <f t="shared" ca="1" si="156"/>
        <v>0.66051873387827975</v>
      </c>
      <c r="R500">
        <f t="shared" ca="1" si="157"/>
        <v>0.6871218693515132</v>
      </c>
      <c r="S500">
        <f t="shared" ca="1" si="154"/>
        <v>0.96128323568228036</v>
      </c>
      <c r="T500">
        <f t="shared" ca="1" si="155"/>
        <v>49.012973658946024</v>
      </c>
      <c r="U500">
        <f>70</f>
        <v>70</v>
      </c>
      <c r="V500">
        <f>30</f>
        <v>30</v>
      </c>
      <c r="W500">
        <f t="shared" ca="1" si="153"/>
        <v>144.24659112929098</v>
      </c>
      <c r="X500">
        <f t="shared" ca="1" si="163"/>
        <v>145.01398516609518</v>
      </c>
      <c r="Y500">
        <f t="shared" ca="1" si="162"/>
        <v>-0.68475103584475505</v>
      </c>
      <c r="Z500">
        <f t="shared" ca="1" si="164"/>
        <v>-0.98918363667158826</v>
      </c>
      <c r="AA500">
        <f t="shared" ca="1" si="165"/>
        <v>0.30443260082683321</v>
      </c>
      <c r="AB500">
        <f t="shared" ca="1" si="166"/>
        <v>150.97139999999999</v>
      </c>
    </row>
    <row r="501" spans="1:28" x14ac:dyDescent="0.25">
      <c r="A501" s="20">
        <f t="shared" ca="1" si="146"/>
        <v>46020</v>
      </c>
      <c r="B501" vm="1455">
        <f ca="1"/>
        <v>46020</v>
      </c>
      <c r="C501" vm="1456">
        <f ca="1"/>
        <v>144.57</v>
      </c>
      <c r="D501" vm="1457">
        <f ca="1"/>
        <v>7662127</v>
      </c>
      <c r="E501">
        <f t="shared" ca="1" si="147"/>
        <v>1107713700.3899999</v>
      </c>
      <c r="F501">
        <f ca="1">SUM($E$2:E501)/SUM($D$2:D501)</f>
        <v>161.13343177508671</v>
      </c>
      <c r="G501">
        <f ca="1">_xlfn.STDEV.P($C$2:C501)</f>
        <v>8.3377672095111883</v>
      </c>
      <c r="H501">
        <f t="shared" ca="1" si="148"/>
        <v>169.47119898459789</v>
      </c>
      <c r="I501">
        <f t="shared" ca="1" si="149"/>
        <v>152.79566456557552</v>
      </c>
      <c r="J501">
        <f t="shared" ca="1" si="158"/>
        <v>143.90049999999999</v>
      </c>
      <c r="K501">
        <f t="shared" ca="1" si="159"/>
        <v>2.5987820527883354</v>
      </c>
      <c r="L501">
        <f t="shared" ca="1" si="160"/>
        <v>149.09806410557667</v>
      </c>
      <c r="M501">
        <f t="shared" ca="1" si="161"/>
        <v>138.70293589442332</v>
      </c>
      <c r="N501">
        <f t="shared" ca="1" si="150"/>
        <v>-0.17000000000001592</v>
      </c>
      <c r="O501">
        <f t="shared" ca="1" si="151"/>
        <v>0</v>
      </c>
      <c r="P501">
        <f t="shared" ca="1" si="152"/>
        <v>0.17000000000001592</v>
      </c>
      <c r="Q501">
        <f t="shared" ca="1" si="156"/>
        <v>0.61333882431554543</v>
      </c>
      <c r="R501">
        <f t="shared" ca="1" si="157"/>
        <v>0.65018459296926334</v>
      </c>
      <c r="S501">
        <f t="shared" ca="1" si="154"/>
        <v>0.94333029565426851</v>
      </c>
      <c r="T501">
        <f t="shared" ca="1" si="155"/>
        <v>48.541943578184885</v>
      </c>
      <c r="U501">
        <f>70</f>
        <v>70</v>
      </c>
      <c r="V501">
        <f>30</f>
        <v>30</v>
      </c>
      <c r="W501">
        <f t="shared" ca="1" si="153"/>
        <v>144.29634634016929</v>
      </c>
      <c r="X501">
        <f t="shared" ca="1" si="163"/>
        <v>144.98109737601405</v>
      </c>
      <c r="Y501">
        <f t="shared" ca="1" si="162"/>
        <v>-0.65368029679282813</v>
      </c>
      <c r="Z501">
        <f t="shared" ca="1" si="164"/>
        <v>-0.92208296869583628</v>
      </c>
      <c r="AA501">
        <f t="shared" ca="1" si="165"/>
        <v>0.26840267190300815</v>
      </c>
      <c r="AB501">
        <f t="shared" ca="1" si="166"/>
        <v>150.88849999999999</v>
      </c>
    </row>
    <row r="502" spans="1:28" x14ac:dyDescent="0.25">
      <c r="A502" s="20">
        <f t="shared" ca="1" si="146"/>
        <v>46020</v>
      </c>
      <c r="B502" vm="1458">
        <f ca="1"/>
        <v>46021</v>
      </c>
      <c r="C502" vm="1459">
        <f ca="1"/>
        <v>144.05000000000001</v>
      </c>
      <c r="D502" vm="1460">
        <f ca="1"/>
        <v>6006432</v>
      </c>
      <c r="E502">
        <f t="shared" ca="1" si="147"/>
        <v>865226529.60000002</v>
      </c>
      <c r="F502">
        <f ca="1">SUM($E$2:E502)/SUM($D$2:D502)</f>
        <v>161.10603964365328</v>
      </c>
      <c r="G502">
        <f ca="1">_xlfn.STDEV.P($C$2:C502)</f>
        <v>8.3674152624064941</v>
      </c>
      <c r="H502">
        <f t="shared" ca="1" si="148"/>
        <v>169.47345490605977</v>
      </c>
      <c r="I502">
        <f t="shared" ca="1" si="149"/>
        <v>152.73862438124678</v>
      </c>
      <c r="J502">
        <f t="shared" ca="1" si="158"/>
        <v>143.73100000000002</v>
      </c>
      <c r="K502">
        <f t="shared" ca="1" si="159"/>
        <v>2.4627688739132236</v>
      </c>
      <c r="L502">
        <f t="shared" ca="1" si="160"/>
        <v>148.65653774782646</v>
      </c>
      <c r="M502">
        <f t="shared" ca="1" si="161"/>
        <v>138.80546225217358</v>
      </c>
      <c r="N502">
        <f t="shared" ca="1" si="150"/>
        <v>-0.51999999999998181</v>
      </c>
      <c r="O502">
        <f t="shared" ca="1" si="151"/>
        <v>0</v>
      </c>
      <c r="P502">
        <f t="shared" ca="1" si="152"/>
        <v>0.51999999999998181</v>
      </c>
      <c r="Q502">
        <f t="shared" ca="1" si="156"/>
        <v>0.56952890829300651</v>
      </c>
      <c r="R502">
        <f t="shared" ca="1" si="157"/>
        <v>0.64088569347145763</v>
      </c>
      <c r="S502">
        <f t="shared" ca="1" si="154"/>
        <v>0.88865910738007592</v>
      </c>
      <c r="T502">
        <f t="shared" ca="1" si="155"/>
        <v>47.052382502886545</v>
      </c>
      <c r="U502">
        <f>70</f>
        <v>70</v>
      </c>
      <c r="V502">
        <f>30</f>
        <v>30</v>
      </c>
      <c r="W502">
        <f t="shared" ca="1" si="153"/>
        <v>144.25844690322018</v>
      </c>
      <c r="X502">
        <f t="shared" ca="1" si="163"/>
        <v>144.912127200013</v>
      </c>
      <c r="Y502">
        <f t="shared" ca="1" si="162"/>
        <v>-0.68091911609067779</v>
      </c>
      <c r="Z502">
        <f t="shared" ca="1" si="164"/>
        <v>-0.87385019817480469</v>
      </c>
      <c r="AA502">
        <f t="shared" ca="1" si="165"/>
        <v>0.1929310820841269</v>
      </c>
      <c r="AB502">
        <f t="shared" ca="1" si="166"/>
        <v>150.79409999999996</v>
      </c>
    </row>
    <row r="503" spans="1:28" x14ac:dyDescent="0.25">
      <c r="A503" s="20">
        <f t="shared" ca="1" si="146"/>
        <v>46020</v>
      </c>
      <c r="B503" vm="1461">
        <f ca="1"/>
        <v>46022</v>
      </c>
      <c r="C503" vm="1462">
        <f ca="1"/>
        <v>143.31</v>
      </c>
      <c r="D503" vm="1463">
        <f ca="1"/>
        <v>5293220</v>
      </c>
      <c r="E503">
        <f t="shared" ca="1" si="147"/>
        <v>758571358.20000005</v>
      </c>
      <c r="F503">
        <f ca="1">SUM($E$2:E503)/SUM($D$2:D503)</f>
        <v>161.08092863185701</v>
      </c>
      <c r="G503">
        <f ca="1">_xlfn.STDEV.P($C$2:C503)</f>
        <v>8.3998748196483319</v>
      </c>
      <c r="H503">
        <f t="shared" ca="1" si="148"/>
        <v>169.48080345150532</v>
      </c>
      <c r="I503">
        <f t="shared" ca="1" si="149"/>
        <v>152.68105381220869</v>
      </c>
      <c r="J503">
        <f t="shared" ca="1" si="158"/>
        <v>143.6035</v>
      </c>
      <c r="K503">
        <f t="shared" ca="1" si="159"/>
        <v>2.4122369504804402</v>
      </c>
      <c r="L503">
        <f t="shared" ca="1" si="160"/>
        <v>148.42797390096086</v>
      </c>
      <c r="M503">
        <f t="shared" ca="1" si="161"/>
        <v>138.77902609903913</v>
      </c>
      <c r="N503">
        <f t="shared" ca="1" si="150"/>
        <v>-0.74000000000000909</v>
      </c>
      <c r="O503">
        <f t="shared" ca="1" si="151"/>
        <v>0</v>
      </c>
      <c r="P503">
        <f t="shared" ca="1" si="152"/>
        <v>0.74000000000000909</v>
      </c>
      <c r="Q503">
        <f t="shared" ca="1" si="156"/>
        <v>0.52884827198636319</v>
      </c>
      <c r="R503">
        <f t="shared" ca="1" si="157"/>
        <v>0.6479652867949256</v>
      </c>
      <c r="S503">
        <f t="shared" ca="1" si="154"/>
        <v>0.81616759842528153</v>
      </c>
      <c r="T503">
        <f t="shared" ca="1" si="155"/>
        <v>44.939002277815341</v>
      </c>
      <c r="U503">
        <f>70</f>
        <v>70</v>
      </c>
      <c r="V503">
        <f>30</f>
        <v>30</v>
      </c>
      <c r="W503">
        <f t="shared" ca="1" si="153"/>
        <v>144.11253199503247</v>
      </c>
      <c r="X503">
        <f t="shared" ca="1" si="163"/>
        <v>144.79345111112315</v>
      </c>
      <c r="Y503">
        <f t="shared" ca="1" si="162"/>
        <v>-0.81575387062784444</v>
      </c>
      <c r="Z503">
        <f t="shared" ca="1" si="164"/>
        <v>-0.86223093266541273</v>
      </c>
      <c r="AA503">
        <f t="shared" ca="1" si="165"/>
        <v>4.6477062037568295E-2</v>
      </c>
      <c r="AB503">
        <f t="shared" ca="1" si="166"/>
        <v>150.69209999999995</v>
      </c>
    </row>
    <row r="504" spans="1:28" x14ac:dyDescent="0.25">
      <c r="A504" s="20">
        <f t="shared" ca="1" si="146"/>
        <v>46020</v>
      </c>
      <c r="B504" vm="1464">
        <f ca="1"/>
        <v>46024</v>
      </c>
      <c r="C504" vm="1465">
        <f ca="1"/>
        <v>141.79</v>
      </c>
      <c r="D504" vm="1466">
        <f ca="1"/>
        <v>8946091</v>
      </c>
      <c r="E504">
        <f t="shared" ca="1" si="147"/>
        <v>1268466242.8899999</v>
      </c>
      <c r="F504">
        <f ca="1">SUM($E$2:E504)/SUM($D$2:D504)</f>
        <v>161.03503283963263</v>
      </c>
      <c r="G504">
        <f ca="1">_xlfn.STDEV.P($C$2:C504)</f>
        <v>8.4388090428759099</v>
      </c>
      <c r="H504">
        <f t="shared" ca="1" si="148"/>
        <v>169.47384188250854</v>
      </c>
      <c r="I504">
        <f t="shared" ca="1" si="149"/>
        <v>152.59622379675673</v>
      </c>
      <c r="J504">
        <f t="shared" ca="1" si="158"/>
        <v>143.35750000000002</v>
      </c>
      <c r="K504">
        <f t="shared" ca="1" si="159"/>
        <v>2.328168186635831</v>
      </c>
      <c r="L504">
        <f t="shared" ca="1" si="160"/>
        <v>148.01383637327169</v>
      </c>
      <c r="M504">
        <f t="shared" ca="1" si="161"/>
        <v>138.70116362672834</v>
      </c>
      <c r="N504">
        <f t="shared" ca="1" si="150"/>
        <v>-1.5200000000000102</v>
      </c>
      <c r="O504">
        <f t="shared" ca="1" si="151"/>
        <v>0</v>
      </c>
      <c r="P504">
        <f t="shared" ca="1" si="152"/>
        <v>1.5200000000000102</v>
      </c>
      <c r="Q504">
        <f t="shared" ca="1" si="156"/>
        <v>0.49107339541590866</v>
      </c>
      <c r="R504">
        <f t="shared" ca="1" si="157"/>
        <v>0.71025348059528881</v>
      </c>
      <c r="S504">
        <f t="shared" ca="1" si="154"/>
        <v>0.69140582740167988</v>
      </c>
      <c r="T504">
        <f t="shared" ca="1" si="155"/>
        <v>40.877583380672775</v>
      </c>
      <c r="U504">
        <f>70</f>
        <v>70</v>
      </c>
      <c r="V504">
        <f>30</f>
        <v>30</v>
      </c>
      <c r="W504">
        <f t="shared" ca="1" si="153"/>
        <v>143.75521938041209</v>
      </c>
      <c r="X504">
        <f t="shared" ca="1" si="163"/>
        <v>144.57097325103993</v>
      </c>
      <c r="Y504">
        <f t="shared" ca="1" si="162"/>
        <v>-1.0253736484489764</v>
      </c>
      <c r="Z504">
        <f t="shared" ca="1" si="164"/>
        <v>-0.89485947582212555</v>
      </c>
      <c r="AA504">
        <f t="shared" ca="1" si="165"/>
        <v>-0.13051417262685083</v>
      </c>
      <c r="AB504">
        <f t="shared" ca="1" si="166"/>
        <v>150.56019999999998</v>
      </c>
    </row>
    <row r="505" spans="1:28" x14ac:dyDescent="0.25">
      <c r="A505" s="20">
        <f t="shared" ca="1" si="146"/>
        <v>46027</v>
      </c>
      <c r="B505" vm="1467">
        <f ca="1"/>
        <v>46027</v>
      </c>
      <c r="C505" vm="1468">
        <f ca="1"/>
        <v>140.37</v>
      </c>
      <c r="D505" vm="1469">
        <f ca="1"/>
        <v>12297334</v>
      </c>
      <c r="E505">
        <f t="shared" ca="1" si="147"/>
        <v>1726176773.5800002</v>
      </c>
      <c r="F505">
        <f ca="1">SUM($E$2:E505)/SUM($D$2:D505)</f>
        <v>160.96767075702553</v>
      </c>
      <c r="G505">
        <f ca="1">_xlfn.STDEV.P($C$2:C505)</f>
        <v>8.4840878738129177</v>
      </c>
      <c r="H505">
        <f t="shared" ca="1" si="148"/>
        <v>169.45175863083844</v>
      </c>
      <c r="I505">
        <f t="shared" ca="1" si="149"/>
        <v>152.48358288321262</v>
      </c>
      <c r="J505">
        <f t="shared" ca="1" si="158"/>
        <v>143.108</v>
      </c>
      <c r="K505">
        <f t="shared" ca="1" si="159"/>
        <v>2.369289478214716</v>
      </c>
      <c r="L505">
        <f t="shared" ca="1" si="160"/>
        <v>147.84657895642943</v>
      </c>
      <c r="M505">
        <f t="shared" ca="1" si="161"/>
        <v>138.36942104357058</v>
      </c>
      <c r="N505">
        <f t="shared" ca="1" si="150"/>
        <v>-1.4199999999999875</v>
      </c>
      <c r="O505">
        <f t="shared" ca="1" si="151"/>
        <v>0</v>
      </c>
      <c r="P505">
        <f t="shared" ca="1" si="152"/>
        <v>1.4199999999999875</v>
      </c>
      <c r="Q505">
        <f t="shared" ca="1" si="156"/>
        <v>0.45599672431477234</v>
      </c>
      <c r="R505">
        <f t="shared" ca="1" si="157"/>
        <v>0.76094966055276725</v>
      </c>
      <c r="S505">
        <f t="shared" ca="1" si="154"/>
        <v>0.59924689891250926</v>
      </c>
      <c r="T505">
        <f t="shared" ca="1" si="155"/>
        <v>37.470568135539189</v>
      </c>
      <c r="U505">
        <f>70</f>
        <v>70</v>
      </c>
      <c r="V505">
        <f>30</f>
        <v>30</v>
      </c>
      <c r="W505">
        <f t="shared" ca="1" si="153"/>
        <v>143.23441639881023</v>
      </c>
      <c r="X505">
        <f t="shared" ca="1" si="163"/>
        <v>144.2597900472592</v>
      </c>
      <c r="Y505">
        <f t="shared" ca="1" si="162"/>
        <v>-1.214615655021646</v>
      </c>
      <c r="Z505">
        <f t="shared" ca="1" si="164"/>
        <v>-0.95881071166202969</v>
      </c>
      <c r="AA505">
        <f t="shared" ca="1" si="165"/>
        <v>-0.25580494335961634</v>
      </c>
      <c r="AB505">
        <f t="shared" ca="1" si="166"/>
        <v>150.41299999999998</v>
      </c>
    </row>
    <row r="506" spans="1:28" x14ac:dyDescent="0.25">
      <c r="A506" s="20">
        <f t="shared" ca="1" si="146"/>
        <v>46027</v>
      </c>
      <c r="B506" vm="1470">
        <f ca="1"/>
        <v>46028</v>
      </c>
      <c r="C506" vm="1471">
        <f ca="1"/>
        <v>139.91</v>
      </c>
      <c r="D506" vm="1472">
        <f ca="1"/>
        <v>10421756</v>
      </c>
      <c r="E506">
        <f t="shared" ca="1" si="147"/>
        <v>1458107881.96</v>
      </c>
      <c r="F506">
        <f ca="1">SUM($E$2:E506)/SUM($D$2:D506)</f>
        <v>160.90965825918079</v>
      </c>
      <c r="G506">
        <f ca="1">_xlfn.STDEV.P($C$2:C506)</f>
        <v>8.5310397443738495</v>
      </c>
      <c r="H506">
        <f t="shared" ca="1" si="148"/>
        <v>169.44069800355464</v>
      </c>
      <c r="I506">
        <f t="shared" ca="1" si="149"/>
        <v>152.37861851480693</v>
      </c>
      <c r="J506">
        <f t="shared" ca="1" si="158"/>
        <v>142.93099999999998</v>
      </c>
      <c r="K506">
        <f t="shared" ca="1" si="159"/>
        <v>2.4723819752576586</v>
      </c>
      <c r="L506">
        <f t="shared" ca="1" si="160"/>
        <v>147.87576395051531</v>
      </c>
      <c r="M506">
        <f t="shared" ca="1" si="161"/>
        <v>137.98623604948466</v>
      </c>
      <c r="N506">
        <f t="shared" ca="1" si="150"/>
        <v>-0.46000000000000796</v>
      </c>
      <c r="O506">
        <f t="shared" ca="1" si="151"/>
        <v>0</v>
      </c>
      <c r="P506">
        <f t="shared" ca="1" si="152"/>
        <v>0.46000000000000796</v>
      </c>
      <c r="Q506">
        <f t="shared" ca="1" si="156"/>
        <v>0.42342552972086001</v>
      </c>
      <c r="R506">
        <f t="shared" ca="1" si="157"/>
        <v>0.73945325622757019</v>
      </c>
      <c r="S506">
        <f t="shared" ca="1" si="154"/>
        <v>0.5726197378330955</v>
      </c>
      <c r="T506">
        <f t="shared" ca="1" si="155"/>
        <v>36.411837143930626</v>
      </c>
      <c r="U506">
        <f>70</f>
        <v>70</v>
      </c>
      <c r="V506">
        <f>30</f>
        <v>30</v>
      </c>
      <c r="W506">
        <f t="shared" ca="1" si="153"/>
        <v>142.72296772207019</v>
      </c>
      <c r="X506">
        <f t="shared" ca="1" si="163"/>
        <v>143.93758337709184</v>
      </c>
      <c r="Y506">
        <f t="shared" ca="1" si="162"/>
        <v>-1.4982141997151075</v>
      </c>
      <c r="Z506">
        <f t="shared" ca="1" si="164"/>
        <v>-1.0666914092726454</v>
      </c>
      <c r="AA506">
        <f t="shared" ca="1" si="165"/>
        <v>-0.43152279044246211</v>
      </c>
      <c r="AB506">
        <f t="shared" ca="1" si="166"/>
        <v>150.25799999999998</v>
      </c>
    </row>
    <row r="507" spans="1:28" x14ac:dyDescent="0.25">
      <c r="A507" s="20">
        <f t="shared" ca="1" si="146"/>
        <v>46027</v>
      </c>
      <c r="B507" vm="1473">
        <f ca="1"/>
        <v>46029</v>
      </c>
      <c r="C507" vm="1474">
        <f ca="1"/>
        <v>138.04</v>
      </c>
      <c r="D507" vm="1475">
        <f ca="1"/>
        <v>14369142</v>
      </c>
      <c r="E507">
        <f t="shared" ca="1" si="147"/>
        <v>1983516361.6799998</v>
      </c>
      <c r="F507">
        <f ca="1">SUM($E$2:E507)/SUM($D$2:D507)</f>
        <v>160.82311876669309</v>
      </c>
      <c r="G507">
        <f ca="1">_xlfn.STDEV.P($C$2:C507)</f>
        <v>8.5870973084835001</v>
      </c>
      <c r="H507">
        <f t="shared" ca="1" si="148"/>
        <v>169.41021607517658</v>
      </c>
      <c r="I507">
        <f t="shared" ca="1" si="149"/>
        <v>152.23602145820959</v>
      </c>
      <c r="J507">
        <f t="shared" ca="1" si="158"/>
        <v>142.916</v>
      </c>
      <c r="K507">
        <f t="shared" ca="1" si="159"/>
        <v>2.5024291356494772</v>
      </c>
      <c r="L507">
        <f t="shared" ca="1" si="160"/>
        <v>147.92085827129895</v>
      </c>
      <c r="M507">
        <f t="shared" ca="1" si="161"/>
        <v>137.91114172870104</v>
      </c>
      <c r="N507">
        <f t="shared" ca="1" si="150"/>
        <v>-1.8700000000000045</v>
      </c>
      <c r="O507">
        <f t="shared" ca="1" si="151"/>
        <v>0</v>
      </c>
      <c r="P507">
        <f t="shared" ca="1" si="152"/>
        <v>1.8700000000000045</v>
      </c>
      <c r="Q507">
        <f t="shared" ca="1" si="156"/>
        <v>0.39318084902651285</v>
      </c>
      <c r="R507">
        <f t="shared" ca="1" si="157"/>
        <v>0.82020659506845839</v>
      </c>
      <c r="S507">
        <f t="shared" ca="1" si="154"/>
        <v>0.47936806579041963</v>
      </c>
      <c r="T507">
        <f t="shared" ca="1" si="155"/>
        <v>32.403569934727187</v>
      </c>
      <c r="U507">
        <f>70</f>
        <v>70</v>
      </c>
      <c r="V507">
        <f>30</f>
        <v>30</v>
      </c>
      <c r="W507">
        <f t="shared" ca="1" si="153"/>
        <v>142.00251114944399</v>
      </c>
      <c r="X507">
        <f t="shared" ca="1" si="163"/>
        <v>143.5007253491591</v>
      </c>
      <c r="Y507">
        <f t="shared" ca="1" si="162"/>
        <v>-1.4249285672132146</v>
      </c>
      <c r="Z507">
        <f t="shared" ca="1" si="164"/>
        <v>-1.1383388408607593</v>
      </c>
      <c r="AA507">
        <f t="shared" ca="1" si="165"/>
        <v>-0.28658972635245528</v>
      </c>
      <c r="AB507">
        <f t="shared" ca="1" si="166"/>
        <v>150.101</v>
      </c>
    </row>
    <row r="508" spans="1:28" x14ac:dyDescent="0.25">
      <c r="A508" s="20">
        <f t="shared" ca="1" si="146"/>
        <v>46027</v>
      </c>
      <c r="B508" vm="1476">
        <f ca="1"/>
        <v>46030</v>
      </c>
      <c r="C508" vm="1477">
        <f ca="1"/>
        <v>141.53</v>
      </c>
      <c r="D508" vm="1478">
        <f ca="1"/>
        <v>9297080</v>
      </c>
      <c r="E508">
        <f t="shared" ca="1" si="147"/>
        <v>1315815732.4000001</v>
      </c>
      <c r="F508">
        <f ca="1">SUM($E$2:E508)/SUM($D$2:D508)</f>
        <v>160.77599816359646</v>
      </c>
      <c r="G508">
        <f ca="1">_xlfn.STDEV.P($C$2:C508)</f>
        <v>8.6249256287408862</v>
      </c>
      <c r="H508">
        <f t="shared" ca="1" si="148"/>
        <v>169.40092379233735</v>
      </c>
      <c r="I508">
        <f t="shared" ca="1" si="149"/>
        <v>152.15107253485556</v>
      </c>
      <c r="J508">
        <f t="shared" ca="1" si="158"/>
        <v>143.011</v>
      </c>
      <c r="K508">
        <f t="shared" ca="1" si="159"/>
        <v>2.4052965677744162</v>
      </c>
      <c r="L508">
        <f t="shared" ca="1" si="160"/>
        <v>147.82159313554882</v>
      </c>
      <c r="M508">
        <f t="shared" ca="1" si="161"/>
        <v>138.20040686445117</v>
      </c>
      <c r="N508">
        <f t="shared" ca="1" si="150"/>
        <v>3.4900000000000091</v>
      </c>
      <c r="O508">
        <f t="shared" ca="1" si="151"/>
        <v>3.4900000000000091</v>
      </c>
      <c r="P508">
        <f t="shared" ca="1" si="152"/>
        <v>0</v>
      </c>
      <c r="Q508">
        <f t="shared" ca="1" si="156"/>
        <v>0.61438221695319117</v>
      </c>
      <c r="R508">
        <f t="shared" ca="1" si="157"/>
        <v>0.76162040970642564</v>
      </c>
      <c r="S508">
        <f t="shared" ca="1" si="154"/>
        <v>0.80667772176695085</v>
      </c>
      <c r="T508">
        <f t="shared" ca="1" si="155"/>
        <v>44.649785185706008</v>
      </c>
      <c r="U508">
        <f>70</f>
        <v>70</v>
      </c>
      <c r="V508">
        <f>30</f>
        <v>30</v>
      </c>
      <c r="W508">
        <f t="shared" ca="1" si="153"/>
        <v>141.9298171264526</v>
      </c>
      <c r="X508">
        <f t="shared" ca="1" si="163"/>
        <v>143.35474569366582</v>
      </c>
      <c r="Y508">
        <f t="shared" ca="1" si="162"/>
        <v>-1.3241500395583046</v>
      </c>
      <c r="Z508">
        <f t="shared" ca="1" si="164"/>
        <v>-1.1755010806002684</v>
      </c>
      <c r="AA508">
        <f t="shared" ca="1" si="165"/>
        <v>-0.1486489589580362</v>
      </c>
      <c r="AB508">
        <f t="shared" ca="1" si="166"/>
        <v>149.97269999999997</v>
      </c>
    </row>
    <row r="509" spans="1:28" x14ac:dyDescent="0.25">
      <c r="A509" s="20">
        <f t="shared" ca="1" si="146"/>
        <v>46027</v>
      </c>
      <c r="B509" vm="1479">
        <f ca="1"/>
        <v>46031</v>
      </c>
      <c r="C509" vm="1480">
        <f ca="1"/>
        <v>141.87</v>
      </c>
      <c r="D509" vm="1481">
        <f ca="1"/>
        <v>9528476</v>
      </c>
      <c r="E509">
        <f t="shared" ca="1" si="147"/>
        <v>1351804890.1200001</v>
      </c>
      <c r="F509">
        <f ca="1">SUM($E$2:E509)/SUM($D$2:D509)</f>
        <v>160.72879195203336</v>
      </c>
      <c r="G509">
        <f ca="1">_xlfn.STDEV.P($C$2:C509)</f>
        <v>8.6607249856393107</v>
      </c>
      <c r="H509">
        <f t="shared" ca="1" si="148"/>
        <v>169.38951693767268</v>
      </c>
      <c r="I509">
        <f t="shared" ca="1" si="149"/>
        <v>152.06806696639404</v>
      </c>
      <c r="J509">
        <f t="shared" ca="1" si="158"/>
        <v>143.11349999999999</v>
      </c>
      <c r="K509">
        <f t="shared" ca="1" si="159"/>
        <v>2.3036910314582268</v>
      </c>
      <c r="L509">
        <f t="shared" ca="1" si="160"/>
        <v>147.72088206291644</v>
      </c>
      <c r="M509">
        <f t="shared" ca="1" si="161"/>
        <v>138.50611793708353</v>
      </c>
      <c r="N509">
        <f t="shared" ca="1" si="150"/>
        <v>0.34000000000000341</v>
      </c>
      <c r="O509">
        <f t="shared" ca="1" si="151"/>
        <v>0.34000000000000341</v>
      </c>
      <c r="P509">
        <f t="shared" ca="1" si="152"/>
        <v>0</v>
      </c>
      <c r="Q509">
        <f t="shared" ca="1" si="156"/>
        <v>0.59478348717082064</v>
      </c>
      <c r="R509">
        <f t="shared" ca="1" si="157"/>
        <v>0.7072189518702523</v>
      </c>
      <c r="S509">
        <f t="shared" ca="1" si="154"/>
        <v>0.84101746085551832</v>
      </c>
      <c r="T509">
        <f t="shared" ca="1" si="155"/>
        <v>45.682209904989094</v>
      </c>
      <c r="U509">
        <f>70</f>
        <v>70</v>
      </c>
      <c r="V509">
        <f>30</f>
        <v>30</v>
      </c>
      <c r="W509">
        <f t="shared" ca="1" si="153"/>
        <v>141.92061449161375</v>
      </c>
      <c r="X509">
        <f t="shared" ca="1" si="163"/>
        <v>143.24476453117205</v>
      </c>
      <c r="Y509">
        <f t="shared" ca="1" si="162"/>
        <v>-1.1032648678678925</v>
      </c>
      <c r="Z509">
        <f t="shared" ca="1" si="164"/>
        <v>-1.1610538380537934</v>
      </c>
      <c r="AA509">
        <f t="shared" ca="1" si="165"/>
        <v>5.7788970185900901E-2</v>
      </c>
      <c r="AB509">
        <f t="shared" ca="1" si="166"/>
        <v>149.83419999999998</v>
      </c>
    </row>
    <row r="510" spans="1:28" x14ac:dyDescent="0.25">
      <c r="A510" s="20">
        <f t="shared" ca="1" si="146"/>
        <v>46034</v>
      </c>
      <c r="B510" vm="1482">
        <f ca="1"/>
        <v>46034</v>
      </c>
      <c r="C510" vm="1483">
        <f ca="1"/>
        <v>143.46</v>
      </c>
      <c r="D510" vm="1484">
        <f ca="1"/>
        <v>12812014</v>
      </c>
      <c r="E510">
        <f t="shared" ca="1" si="147"/>
        <v>1838011528.4400001</v>
      </c>
      <c r="F510">
        <f ca="1">SUM($E$2:E510)/SUM($D$2:D510)</f>
        <v>160.67100898628323</v>
      </c>
      <c r="G510">
        <f ca="1">_xlfn.STDEV.P($C$2:C510)</f>
        <v>8.6892853139427846</v>
      </c>
      <c r="H510">
        <f t="shared" ca="1" si="148"/>
        <v>169.360294300226</v>
      </c>
      <c r="I510">
        <f t="shared" ca="1" si="149"/>
        <v>151.98172367234045</v>
      </c>
      <c r="J510">
        <f t="shared" ca="1" si="158"/>
        <v>143.24849999999998</v>
      </c>
      <c r="K510">
        <f t="shared" ca="1" si="159"/>
        <v>2.2366499267290032</v>
      </c>
      <c r="L510">
        <f t="shared" ca="1" si="160"/>
        <v>147.72179985345798</v>
      </c>
      <c r="M510">
        <f t="shared" ca="1" si="161"/>
        <v>138.77520014654198</v>
      </c>
      <c r="N510">
        <f t="shared" ca="1" si="150"/>
        <v>1.5900000000000034</v>
      </c>
      <c r="O510">
        <f t="shared" ca="1" si="151"/>
        <v>1.5900000000000034</v>
      </c>
      <c r="P510">
        <f t="shared" ca="1" si="152"/>
        <v>0</v>
      </c>
      <c r="Q510">
        <f t="shared" ca="1" si="156"/>
        <v>0.66587038094433371</v>
      </c>
      <c r="R510">
        <f t="shared" ca="1" si="157"/>
        <v>0.6567033124509486</v>
      </c>
      <c r="S510">
        <f t="shared" ca="1" si="154"/>
        <v>1.0139592237766728</v>
      </c>
      <c r="T510">
        <f t="shared" ca="1" si="155"/>
        <v>50.346561728059605</v>
      </c>
      <c r="U510">
        <f>70</f>
        <v>70</v>
      </c>
      <c r="V510">
        <f>30</f>
        <v>30</v>
      </c>
      <c r="W510">
        <f t="shared" ca="1" si="153"/>
        <v>142.15744303136549</v>
      </c>
      <c r="X510">
        <f t="shared" ca="1" si="163"/>
        <v>143.26070789923338</v>
      </c>
      <c r="Y510">
        <f t="shared" ca="1" si="162"/>
        <v>-0.85541164369030298</v>
      </c>
      <c r="Z510">
        <f t="shared" ca="1" si="164"/>
        <v>-1.0999253991810953</v>
      </c>
      <c r="AA510">
        <f t="shared" ca="1" si="165"/>
        <v>0.24451375549079235</v>
      </c>
      <c r="AB510">
        <f t="shared" ca="1" si="166"/>
        <v>149.68479999999997</v>
      </c>
    </row>
    <row r="511" spans="1:28" x14ac:dyDescent="0.25">
      <c r="A511" s="20">
        <f t="shared" ca="1" si="146"/>
        <v>46034</v>
      </c>
      <c r="B511" vm="1485">
        <f ca="1"/>
        <v>46035</v>
      </c>
      <c r="C511" vm="1486">
        <f ca="1"/>
        <v>144.24</v>
      </c>
      <c r="D511" vm="1487">
        <f ca="1"/>
        <v>15549150</v>
      </c>
      <c r="E511">
        <f t="shared" ca="1" si="147"/>
        <v>2242809396</v>
      </c>
      <c r="F511">
        <f ca="1">SUM($E$2:E511)/SUM($D$2:D511)</f>
        <v>160.60455343297374</v>
      </c>
      <c r="G511">
        <f ca="1">_xlfn.STDEV.P($C$2:C511)</f>
        <v>8.7143997347948847</v>
      </c>
      <c r="H511">
        <f t="shared" ca="1" si="148"/>
        <v>169.31895316776863</v>
      </c>
      <c r="I511">
        <f t="shared" ca="1" si="149"/>
        <v>151.89015369817886</v>
      </c>
      <c r="J511">
        <f t="shared" ca="1" si="158"/>
        <v>143.3185</v>
      </c>
      <c r="K511">
        <f t="shared" ca="1" si="159"/>
        <v>2.2450841620609361</v>
      </c>
      <c r="L511">
        <f t="shared" ca="1" si="160"/>
        <v>147.80866832412187</v>
      </c>
      <c r="M511">
        <f t="shared" ca="1" si="161"/>
        <v>138.82833167587813</v>
      </c>
      <c r="N511">
        <f t="shared" ca="1" si="150"/>
        <v>0.78000000000000114</v>
      </c>
      <c r="O511">
        <f t="shared" ca="1" si="151"/>
        <v>0.78000000000000114</v>
      </c>
      <c r="P511">
        <f t="shared" ca="1" si="152"/>
        <v>0</v>
      </c>
      <c r="Q511">
        <f t="shared" ca="1" si="156"/>
        <v>0.67402249659116709</v>
      </c>
      <c r="R511">
        <f t="shared" ca="1" si="157"/>
        <v>0.60979593299016666</v>
      </c>
      <c r="S511">
        <f t="shared" ca="1" si="154"/>
        <v>1.1053246834331316</v>
      </c>
      <c r="T511">
        <f t="shared" ca="1" si="155"/>
        <v>52.501388129392467</v>
      </c>
      <c r="U511">
        <f>70</f>
        <v>70</v>
      </c>
      <c r="V511">
        <f>30</f>
        <v>30</v>
      </c>
      <c r="W511">
        <f t="shared" ca="1" si="153"/>
        <v>142.47783641115541</v>
      </c>
      <c r="X511">
        <f t="shared" ca="1" si="163"/>
        <v>143.33324805484571</v>
      </c>
      <c r="Y511">
        <f t="shared" ca="1" si="162"/>
        <v>-0.48315727553188026</v>
      </c>
      <c r="Z511">
        <f t="shared" ca="1" si="164"/>
        <v>-0.97657177445125232</v>
      </c>
      <c r="AA511">
        <f t="shared" ca="1" si="165"/>
        <v>0.49341449891937206</v>
      </c>
      <c r="AB511">
        <f t="shared" ca="1" si="166"/>
        <v>149.53209999999999</v>
      </c>
    </row>
    <row r="512" spans="1:28" x14ac:dyDescent="0.25">
      <c r="A512" s="20">
        <f t="shared" ca="1" si="146"/>
        <v>46034</v>
      </c>
      <c r="B512" vm="1488">
        <f ca="1"/>
        <v>46036</v>
      </c>
      <c r="C512" vm="1489">
        <f ca="1"/>
        <v>146.35</v>
      </c>
      <c r="D512" vm="1490">
        <f ca="1"/>
        <v>13474983</v>
      </c>
      <c r="E512">
        <f t="shared" ca="1" si="147"/>
        <v>1972063762.05</v>
      </c>
      <c r="F512">
        <f ca="1">SUM($E$2:E512)/SUM($D$2:D512)</f>
        <v>160.55476566104807</v>
      </c>
      <c r="G512">
        <f ca="1">_xlfn.STDEV.P($C$2:C512)</f>
        <v>8.7315693881539485</v>
      </c>
      <c r="H512">
        <f t="shared" ca="1" si="148"/>
        <v>169.28633504920202</v>
      </c>
      <c r="I512">
        <f t="shared" ca="1" si="149"/>
        <v>151.82319627289411</v>
      </c>
      <c r="J512">
        <f t="shared" ca="1" si="158"/>
        <v>143.37950000000004</v>
      </c>
      <c r="K512">
        <f t="shared" ca="1" si="159"/>
        <v>2.3124570550777714</v>
      </c>
      <c r="L512">
        <f t="shared" ca="1" si="160"/>
        <v>148.00441411015558</v>
      </c>
      <c r="M512">
        <f t="shared" ca="1" si="161"/>
        <v>138.75458588984449</v>
      </c>
      <c r="N512">
        <f t="shared" ca="1" si="150"/>
        <v>2.1099999999999852</v>
      </c>
      <c r="O512">
        <f t="shared" ca="1" si="151"/>
        <v>2.1099999999999852</v>
      </c>
      <c r="P512">
        <f t="shared" ca="1" si="152"/>
        <v>0</v>
      </c>
      <c r="Q512">
        <f t="shared" ca="1" si="156"/>
        <v>0.7765923182632255</v>
      </c>
      <c r="R512">
        <f t="shared" ca="1" si="157"/>
        <v>0.56623908063372619</v>
      </c>
      <c r="S512">
        <f t="shared" ca="1" si="154"/>
        <v>1.3714919100851801</v>
      </c>
      <c r="T512">
        <f t="shared" ca="1" si="155"/>
        <v>57.832451557294938</v>
      </c>
      <c r="U512">
        <f>70</f>
        <v>70</v>
      </c>
      <c r="V512">
        <f>30</f>
        <v>30</v>
      </c>
      <c r="W512">
        <f t="shared" ca="1" si="153"/>
        <v>143.07355388636228</v>
      </c>
      <c r="X512">
        <f t="shared" ca="1" si="163"/>
        <v>143.55671116189416</v>
      </c>
      <c r="Y512">
        <f t="shared" ca="1" si="162"/>
        <v>-0.32320690417665787</v>
      </c>
      <c r="Z512">
        <f t="shared" ca="1" si="164"/>
        <v>-0.84589880039633347</v>
      </c>
      <c r="AA512">
        <f t="shared" ca="1" si="165"/>
        <v>0.5226918962196756</v>
      </c>
      <c r="AB512">
        <f t="shared" ca="1" si="166"/>
        <v>149.4083</v>
      </c>
    </row>
    <row r="513" spans="1:28" x14ac:dyDescent="0.25">
      <c r="A513" s="20">
        <f t="shared" ca="1" si="146"/>
        <v>46034</v>
      </c>
      <c r="B513" vm="1491">
        <f ca="1"/>
        <v>46037</v>
      </c>
      <c r="C513" vm="1492">
        <f ca="1"/>
        <v>144.63</v>
      </c>
      <c r="D513" vm="1493">
        <f ca="1"/>
        <v>10102757</v>
      </c>
      <c r="E513">
        <f t="shared" ca="1" si="147"/>
        <v>1461161744.9099998</v>
      </c>
      <c r="F513">
        <f ca="1">SUM($E$2:E513)/SUM($D$2:D513)</f>
        <v>160.5131728743265</v>
      </c>
      <c r="G513">
        <f ca="1">_xlfn.STDEV.P($C$2:C513)</f>
        <v>8.75465998311223</v>
      </c>
      <c r="H513">
        <f t="shared" ca="1" si="148"/>
        <v>169.26783285743872</v>
      </c>
      <c r="I513">
        <f t="shared" ca="1" si="149"/>
        <v>151.75851289121428</v>
      </c>
      <c r="J513">
        <f t="shared" ca="1" si="158"/>
        <v>143.35049999999998</v>
      </c>
      <c r="K513">
        <f t="shared" ca="1" si="159"/>
        <v>2.2918378628240035</v>
      </c>
      <c r="L513">
        <f t="shared" ca="1" si="160"/>
        <v>147.934175725648</v>
      </c>
      <c r="M513">
        <f t="shared" ca="1" si="161"/>
        <v>138.76682427435196</v>
      </c>
      <c r="N513">
        <f t="shared" ca="1" si="150"/>
        <v>-1.7199999999999989</v>
      </c>
      <c r="O513">
        <f t="shared" ca="1" si="151"/>
        <v>0</v>
      </c>
      <c r="P513">
        <f t="shared" ca="1" si="152"/>
        <v>1.7199999999999989</v>
      </c>
      <c r="Q513">
        <f t="shared" ca="1" si="156"/>
        <v>0.72112143838728093</v>
      </c>
      <c r="R513">
        <f t="shared" ca="1" si="157"/>
        <v>0.64865057487417421</v>
      </c>
      <c r="S513">
        <f t="shared" ca="1" si="154"/>
        <v>1.1117255828026742</v>
      </c>
      <c r="T513">
        <f t="shared" ca="1" si="155"/>
        <v>52.64536225048694</v>
      </c>
      <c r="U513">
        <f>70</f>
        <v>70</v>
      </c>
      <c r="V513">
        <f>30</f>
        <v>30</v>
      </c>
      <c r="W513">
        <f t="shared" ca="1" si="153"/>
        <v>143.31300713461422</v>
      </c>
      <c r="X513">
        <f t="shared" ca="1" si="163"/>
        <v>143.63621403879088</v>
      </c>
      <c r="Y513">
        <f t="shared" ca="1" si="162"/>
        <v>-0.2021836000757844</v>
      </c>
      <c r="Z513">
        <f t="shared" ca="1" si="164"/>
        <v>-0.71715576033222372</v>
      </c>
      <c r="AA513">
        <f t="shared" ca="1" si="165"/>
        <v>0.51497216025643933</v>
      </c>
      <c r="AB513">
        <f t="shared" ca="1" si="166"/>
        <v>149.2679</v>
      </c>
    </row>
    <row r="514" spans="1:28" x14ac:dyDescent="0.25">
      <c r="A514" s="20">
        <f t="shared" ca="1" si="146"/>
        <v>46034</v>
      </c>
      <c r="B514" vm="1494">
        <f ca="1"/>
        <v>46038</v>
      </c>
      <c r="C514" vm="1495">
        <f ca="1"/>
        <v>144.53</v>
      </c>
      <c r="D514" vm="1496">
        <f ca="1"/>
        <v>11729334</v>
      </c>
      <c r="E514">
        <f t="shared" ca="1" si="147"/>
        <v>1695240643.02</v>
      </c>
      <c r="F514">
        <f ca="1">SUM($E$2:E514)/SUM($D$2:D514)</f>
        <v>160.46485292452704</v>
      </c>
      <c r="G514">
        <f ca="1">_xlfn.STDEV.P($C$2:C514)</f>
        <v>8.7778512565327116</v>
      </c>
      <c r="H514">
        <f t="shared" ca="1" si="148"/>
        <v>169.24270418105974</v>
      </c>
      <c r="I514">
        <f t="shared" ca="1" si="149"/>
        <v>151.68700166799434</v>
      </c>
      <c r="J514">
        <f t="shared" ca="1" si="158"/>
        <v>143.18650000000002</v>
      </c>
      <c r="K514">
        <f t="shared" ca="1" si="159"/>
        <v>2.0617322175399293</v>
      </c>
      <c r="L514">
        <f t="shared" ca="1" si="160"/>
        <v>147.30996443507988</v>
      </c>
      <c r="M514">
        <f t="shared" ca="1" si="161"/>
        <v>139.06303556492017</v>
      </c>
      <c r="N514">
        <f t="shared" ca="1" si="150"/>
        <v>-9.9999999999994316E-2</v>
      </c>
      <c r="O514">
        <f t="shared" ca="1" si="151"/>
        <v>0</v>
      </c>
      <c r="P514">
        <f t="shared" ca="1" si="152"/>
        <v>9.9999999999994316E-2</v>
      </c>
      <c r="Q514">
        <f t="shared" ca="1" si="156"/>
        <v>0.66961276421676086</v>
      </c>
      <c r="R514">
        <f t="shared" ca="1" si="157"/>
        <v>0.60946124809744706</v>
      </c>
      <c r="S514">
        <f t="shared" ca="1" si="154"/>
        <v>1.0986962112965977</v>
      </c>
      <c r="T514">
        <f t="shared" ca="1" si="155"/>
        <v>52.351369644766784</v>
      </c>
      <c r="U514">
        <f>70</f>
        <v>70</v>
      </c>
      <c r="V514">
        <f>30</f>
        <v>30</v>
      </c>
      <c r="W514">
        <f t="shared" ca="1" si="153"/>
        <v>143.50023680621206</v>
      </c>
      <c r="X514">
        <f t="shared" ca="1" si="163"/>
        <v>143.70242040628784</v>
      </c>
      <c r="Y514">
        <f t="shared" ca="1" si="162"/>
        <v>9.1976351571048554E-2</v>
      </c>
      <c r="Z514">
        <f t="shared" ca="1" si="164"/>
        <v>-0.55532933795156925</v>
      </c>
      <c r="AA514">
        <f t="shared" ca="1" si="165"/>
        <v>0.6473056895226178</v>
      </c>
      <c r="AB514">
        <f t="shared" ca="1" si="166"/>
        <v>149.15170000000001</v>
      </c>
    </row>
    <row r="515" spans="1:28" x14ac:dyDescent="0.25">
      <c r="A515" s="20">
        <f t="shared" ref="A515:A523" ca="1" si="167">B515 - WEEKDAY(B515, 2) + 1</f>
        <v>46041</v>
      </c>
      <c r="B515" vm="1497">
        <f ca="1"/>
        <v>46042</v>
      </c>
      <c r="C515" vm="1498">
        <f ca="1"/>
        <v>147</v>
      </c>
      <c r="D515" vm="1499">
        <f ca="1"/>
        <v>12901430</v>
      </c>
      <c r="E515">
        <f t="shared" ref="E515:E523" ca="1" si="168">C515*D515</f>
        <v>1896510210</v>
      </c>
      <c r="F515">
        <f ca="1">SUM($E$2:E515)/SUM($D$2:D515)</f>
        <v>160.42022693753086</v>
      </c>
      <c r="G515">
        <f ca="1">_xlfn.STDEV.P($C$2:C515)</f>
        <v>8.7922429757190415</v>
      </c>
      <c r="H515">
        <f t="shared" ref="H515:H523" ca="1" si="169">F515 + G515</f>
        <v>169.21246991324989</v>
      </c>
      <c r="I515">
        <f t="shared" ref="I515:I523" ca="1" si="170">F515 - G515</f>
        <v>151.62798396181182</v>
      </c>
      <c r="J515">
        <f t="shared" ref="J515:J523" ca="1" si="171">AVERAGE(C496:C515)</f>
        <v>143.26050000000001</v>
      </c>
      <c r="K515">
        <f t="shared" ref="K515:K523" ca="1" si="172">_xlfn.STDEV.S(C496:C515)</f>
        <v>2.1734291968417598</v>
      </c>
      <c r="L515">
        <f t="shared" ref="L515:L523" ca="1" si="173">J515 + 2*K515</f>
        <v>147.60735839368354</v>
      </c>
      <c r="M515">
        <f t="shared" ref="M515:M523" ca="1" si="174">J515-2*K515</f>
        <v>138.91364160631647</v>
      </c>
      <c r="N515">
        <f t="shared" ref="N515:N523" ca="1" si="175">C515-C514</f>
        <v>2.4699999999999989</v>
      </c>
      <c r="O515">
        <f t="shared" ref="O515:O523" ca="1" si="176">MAX(N515,0)</f>
        <v>2.4699999999999989</v>
      </c>
      <c r="P515">
        <f t="shared" ref="P515:P523" ca="1" si="177">MAX(-N515,0)</f>
        <v>0</v>
      </c>
      <c r="Q515">
        <f t="shared" ref="Q515:Q523" ca="1" si="178">(Q514*13+O515)/14</f>
        <v>0.79821185248699222</v>
      </c>
      <c r="R515">
        <f t="shared" ref="R515:R523" ca="1" si="179">(R514*13+P515)/14</f>
        <v>0.56592830180477227</v>
      </c>
      <c r="S515">
        <f t="shared" ref="S515:S523" ca="1" si="180">IF(R515=0,NA(),Q515/R515)</f>
        <v>1.4104469593435365</v>
      </c>
      <c r="T515">
        <f t="shared" ref="T515:T523" ca="1" si="181">100-(100/(1+S515))</f>
        <v>58.513918087940795</v>
      </c>
      <c r="U515">
        <f>70</f>
        <v>70</v>
      </c>
      <c r="V515">
        <f>30</f>
        <v>30</v>
      </c>
      <c r="W515">
        <f t="shared" ref="W515:W523" ca="1" si="182">C515*(2/(12+1)) + W514*(1-(2/(12+1)))</f>
        <v>144.03866191294867</v>
      </c>
      <c r="X515">
        <f t="shared" ref="X515:X523" ca="1" si="183">C515*(2/(26+1)) + X514*(1-(2/(26+1)))</f>
        <v>143.94668556137762</v>
      </c>
      <c r="Y515">
        <f t="shared" ref="Y515:Y523" ca="1" si="184">W516-X516</f>
        <v>0.24640963161832019</v>
      </c>
      <c r="Z515">
        <f t="shared" ref="Z515:Z523" ca="1" si="185">Y515*(2/(9+1)) + Z514*(1-(2/(9+1)))</f>
        <v>-0.39498154403759134</v>
      </c>
      <c r="AA515">
        <f t="shared" ref="AA515:AA523" ca="1" si="186">Y515-Z515</f>
        <v>0.64139117565591153</v>
      </c>
      <c r="AB515">
        <f t="shared" ref="AB515:AB523" ca="1" si="187">AVERAGE(C416:C515)</f>
        <v>149.06199999999998</v>
      </c>
    </row>
    <row r="516" spans="1:28" x14ac:dyDescent="0.25">
      <c r="A516" s="20">
        <f t="shared" ca="1" si="167"/>
        <v>46041</v>
      </c>
      <c r="B516" vm="1500">
        <f ca="1"/>
        <v>46043</v>
      </c>
      <c r="C516" vm="1501">
        <f ca="1"/>
        <v>146.06</v>
      </c>
      <c r="D516" vm="1502">
        <f ca="1"/>
        <v>14126814</v>
      </c>
      <c r="E516">
        <f t="shared" ca="1" si="168"/>
        <v>2063362452.8399999</v>
      </c>
      <c r="F516">
        <f ca="1">SUM($E$2:E516)/SUM($D$2:D516)</f>
        <v>160.368301438587</v>
      </c>
      <c r="G516">
        <f ca="1">_xlfn.STDEV.P($C$2:C516)</f>
        <v>8.8095369292764438</v>
      </c>
      <c r="H516">
        <f t="shared" ca="1" si="169"/>
        <v>169.17783836786344</v>
      </c>
      <c r="I516">
        <f t="shared" ca="1" si="170"/>
        <v>151.55876450931055</v>
      </c>
      <c r="J516">
        <f t="shared" ca="1" si="171"/>
        <v>143.34049999999999</v>
      </c>
      <c r="K516">
        <f t="shared" ca="1" si="172"/>
        <v>2.2480692885931686</v>
      </c>
      <c r="L516">
        <f t="shared" ca="1" si="173"/>
        <v>147.83663857718633</v>
      </c>
      <c r="M516">
        <f t="shared" ca="1" si="174"/>
        <v>138.84436142281365</v>
      </c>
      <c r="N516">
        <f t="shared" ca="1" si="175"/>
        <v>-0.93999999999999773</v>
      </c>
      <c r="O516">
        <f t="shared" ca="1" si="176"/>
        <v>0</v>
      </c>
      <c r="P516">
        <f t="shared" ca="1" si="177"/>
        <v>0.93999999999999773</v>
      </c>
      <c r="Q516">
        <f t="shared" ca="1" si="178"/>
        <v>0.74119672016649285</v>
      </c>
      <c r="R516">
        <f t="shared" ca="1" si="179"/>
        <v>0.59264770881871698</v>
      </c>
      <c r="S516">
        <f t="shared" ca="1" si="180"/>
        <v>1.2506531437434698</v>
      </c>
      <c r="T516">
        <f t="shared" ca="1" si="181"/>
        <v>55.568453416295036</v>
      </c>
      <c r="U516">
        <f>70</f>
        <v>70</v>
      </c>
      <c r="V516">
        <f>30</f>
        <v>30</v>
      </c>
      <c r="W516">
        <f t="shared" ca="1" si="182"/>
        <v>144.34963700326426</v>
      </c>
      <c r="X516">
        <f t="shared" ca="1" si="183"/>
        <v>144.10322737164594</v>
      </c>
      <c r="Y516">
        <f t="shared" ca="1" si="184"/>
        <v>0.67331422844600297</v>
      </c>
      <c r="Z516">
        <f t="shared" ca="1" si="185"/>
        <v>-0.18132238954087251</v>
      </c>
      <c r="AA516">
        <f t="shared" ca="1" si="186"/>
        <v>0.85463661798687551</v>
      </c>
      <c r="AB516">
        <f t="shared" ca="1" si="187"/>
        <v>148.95299999999997</v>
      </c>
    </row>
    <row r="517" spans="1:28" x14ac:dyDescent="0.25">
      <c r="A517" s="20">
        <f t="shared" ca="1" si="167"/>
        <v>46041</v>
      </c>
      <c r="B517" vm="1503">
        <f ca="1"/>
        <v>46044</v>
      </c>
      <c r="C517" vm="1504">
        <f ca="1"/>
        <v>149.93</v>
      </c>
      <c r="D517" vm="1505">
        <f ca="1"/>
        <v>18501854</v>
      </c>
      <c r="E517">
        <f t="shared" ca="1" si="168"/>
        <v>2773982970.2200003</v>
      </c>
      <c r="F517">
        <f ca="1">SUM($E$2:E517)/SUM($D$2:D517)</f>
        <v>160.31910106858268</v>
      </c>
      <c r="G517">
        <f ca="1">_xlfn.STDEV.P($C$2:C517)</f>
        <v>8.815302154624316</v>
      </c>
      <c r="H517">
        <f t="shared" ca="1" si="169"/>
        <v>169.13440322320699</v>
      </c>
      <c r="I517">
        <f t="shared" ca="1" si="170"/>
        <v>151.50379891395838</v>
      </c>
      <c r="J517">
        <f t="shared" ca="1" si="171"/>
        <v>143.70250000000001</v>
      </c>
      <c r="K517">
        <f t="shared" ca="1" si="172"/>
        <v>2.6793555293449933</v>
      </c>
      <c r="L517">
        <f t="shared" ca="1" si="173"/>
        <v>149.06121105868999</v>
      </c>
      <c r="M517">
        <f t="shared" ca="1" si="174"/>
        <v>138.34378894131004</v>
      </c>
      <c r="N517">
        <f t="shared" ca="1" si="175"/>
        <v>3.8700000000000045</v>
      </c>
      <c r="O517">
        <f t="shared" ca="1" si="176"/>
        <v>3.8700000000000045</v>
      </c>
      <c r="P517">
        <f t="shared" ca="1" si="177"/>
        <v>0</v>
      </c>
      <c r="Q517">
        <f t="shared" ca="1" si="178"/>
        <v>0.96468266872602937</v>
      </c>
      <c r="R517">
        <f t="shared" ca="1" si="179"/>
        <v>0.55031572961738007</v>
      </c>
      <c r="S517">
        <f t="shared" ca="1" si="180"/>
        <v>1.752962193896852</v>
      </c>
      <c r="T517">
        <f t="shared" ca="1" si="181"/>
        <v>63.675490995955613</v>
      </c>
      <c r="U517">
        <f>70</f>
        <v>70</v>
      </c>
      <c r="V517">
        <f>30</f>
        <v>30</v>
      </c>
      <c r="W517">
        <f t="shared" ca="1" si="182"/>
        <v>145.20815438737745</v>
      </c>
      <c r="X517">
        <f t="shared" ca="1" si="183"/>
        <v>144.53484015893144</v>
      </c>
      <c r="Y517">
        <f t="shared" ca="1" si="184"/>
        <v>1.0176604028443705</v>
      </c>
      <c r="Z517">
        <f t="shared" ca="1" si="185"/>
        <v>5.8474168936176102E-2</v>
      </c>
      <c r="AA517">
        <f t="shared" ca="1" si="186"/>
        <v>0.95918623390819446</v>
      </c>
      <c r="AB517">
        <f t="shared" ca="1" si="187"/>
        <v>148.89579999999998</v>
      </c>
    </row>
    <row r="518" spans="1:28" x14ac:dyDescent="0.25">
      <c r="A518" s="20">
        <f t="shared" ca="1" si="167"/>
        <v>46041</v>
      </c>
      <c r="B518" vm="1506">
        <f ca="1"/>
        <v>46045</v>
      </c>
      <c r="C518" vm="1507">
        <f ca="1"/>
        <v>150.15</v>
      </c>
      <c r="D518" vm="1508">
        <f ca="1"/>
        <v>14562626</v>
      </c>
      <c r="E518">
        <f t="shared" ca="1" si="168"/>
        <v>2186578293.9000001</v>
      </c>
      <c r="F518">
        <f ca="1">SUM($E$2:E518)/SUM($D$2:D518)</f>
        <v>160.28151409713772</v>
      </c>
      <c r="G518">
        <f ca="1">_xlfn.STDEV.P($C$2:C518)</f>
        <v>8.8204429397500448</v>
      </c>
      <c r="H518">
        <f t="shared" ca="1" si="169"/>
        <v>169.10195703688777</v>
      </c>
      <c r="I518">
        <f t="shared" ca="1" si="170"/>
        <v>151.46107115738766</v>
      </c>
      <c r="J518">
        <f t="shared" ca="1" si="171"/>
        <v>144.05099999999999</v>
      </c>
      <c r="K518">
        <f t="shared" ca="1" si="172"/>
        <v>3.0372094186327674</v>
      </c>
      <c r="L518">
        <f t="shared" ca="1" si="173"/>
        <v>150.12541883726553</v>
      </c>
      <c r="M518">
        <f t="shared" ca="1" si="174"/>
        <v>137.97658116273445</v>
      </c>
      <c r="N518">
        <f t="shared" ca="1" si="175"/>
        <v>0.21999999999999886</v>
      </c>
      <c r="O518">
        <f t="shared" ca="1" si="176"/>
        <v>0.21999999999999886</v>
      </c>
      <c r="P518">
        <f t="shared" ca="1" si="177"/>
        <v>0</v>
      </c>
      <c r="Q518">
        <f t="shared" ca="1" si="178"/>
        <v>0.91149104953131288</v>
      </c>
      <c r="R518">
        <f t="shared" ca="1" si="179"/>
        <v>0.51100746321613866</v>
      </c>
      <c r="S518">
        <f t="shared" ca="1" si="180"/>
        <v>1.7837137716045126</v>
      </c>
      <c r="T518">
        <f t="shared" ca="1" si="181"/>
        <v>64.076766433367638</v>
      </c>
      <c r="U518">
        <f>70</f>
        <v>70</v>
      </c>
      <c r="V518">
        <f>30</f>
        <v>30</v>
      </c>
      <c r="W518">
        <f t="shared" ca="1" si="182"/>
        <v>145.96843832778092</v>
      </c>
      <c r="X518">
        <f t="shared" ca="1" si="183"/>
        <v>144.95077792493655</v>
      </c>
      <c r="Y518">
        <f t="shared" ca="1" si="184"/>
        <v>1.223200449420375</v>
      </c>
      <c r="Z518">
        <f t="shared" ca="1" si="185"/>
        <v>0.29141942503301588</v>
      </c>
      <c r="AA518">
        <f t="shared" ca="1" si="186"/>
        <v>0.9317810243873591</v>
      </c>
      <c r="AB518">
        <f t="shared" ca="1" si="187"/>
        <v>148.82689999999997</v>
      </c>
    </row>
    <row r="519" spans="1:28" x14ac:dyDescent="0.25">
      <c r="A519" s="20">
        <f t="shared" ca="1" si="167"/>
        <v>46048</v>
      </c>
      <c r="B519" vm="1509">
        <f ca="1"/>
        <v>46048</v>
      </c>
      <c r="C519" vm="1510">
        <f ca="1"/>
        <v>149.49</v>
      </c>
      <c r="D519" vm="1511">
        <f ca="1"/>
        <v>12655663</v>
      </c>
      <c r="E519">
        <f t="shared" ca="1" si="168"/>
        <v>1891895061.8700001</v>
      </c>
      <c r="F519">
        <f ca="1">SUM($E$2:E519)/SUM($D$2:D519)</f>
        <v>160.24696079467338</v>
      </c>
      <c r="G519">
        <f ca="1">_xlfn.STDEV.P($C$2:C519)</f>
        <v>8.8271624115141396</v>
      </c>
      <c r="H519">
        <f t="shared" ca="1" si="169"/>
        <v>169.07412320618752</v>
      </c>
      <c r="I519">
        <f t="shared" ca="1" si="170"/>
        <v>151.41979838315925</v>
      </c>
      <c r="J519">
        <f t="shared" ca="1" si="171"/>
        <v>144.30099999999999</v>
      </c>
      <c r="K519">
        <f t="shared" ca="1" si="172"/>
        <v>3.2719556360394839</v>
      </c>
      <c r="L519">
        <f t="shared" ca="1" si="173"/>
        <v>150.84491127207895</v>
      </c>
      <c r="M519">
        <f t="shared" ca="1" si="174"/>
        <v>137.75708872792103</v>
      </c>
      <c r="N519">
        <f t="shared" ca="1" si="175"/>
        <v>-0.65999999999999659</v>
      </c>
      <c r="O519">
        <f t="shared" ca="1" si="176"/>
        <v>0</v>
      </c>
      <c r="P519">
        <f t="shared" ca="1" si="177"/>
        <v>0.65999999999999659</v>
      </c>
      <c r="Q519">
        <f t="shared" ca="1" si="178"/>
        <v>0.84638454599336199</v>
      </c>
      <c r="R519">
        <f t="shared" ca="1" si="179"/>
        <v>0.52164978727212852</v>
      </c>
      <c r="S519">
        <f t="shared" ca="1" si="180"/>
        <v>1.6225148876593511</v>
      </c>
      <c r="T519">
        <f t="shared" ca="1" si="181"/>
        <v>61.86866260681095</v>
      </c>
      <c r="U519">
        <f>70</f>
        <v>70</v>
      </c>
      <c r="V519">
        <f>30</f>
        <v>30</v>
      </c>
      <c r="W519">
        <f t="shared" ca="1" si="182"/>
        <v>146.51021704658385</v>
      </c>
      <c r="X519">
        <f t="shared" ca="1" si="183"/>
        <v>145.28701659716347</v>
      </c>
      <c r="Y519">
        <f t="shared" ca="1" si="184"/>
        <v>1.2785586004480649</v>
      </c>
      <c r="Z519">
        <f t="shared" ca="1" si="185"/>
        <v>0.48884726011602575</v>
      </c>
      <c r="AA519">
        <f t="shared" ca="1" si="186"/>
        <v>0.78971134033203916</v>
      </c>
      <c r="AB519">
        <f t="shared" ca="1" si="187"/>
        <v>148.74189999999999</v>
      </c>
    </row>
    <row r="520" spans="1:28" x14ac:dyDescent="0.25">
      <c r="A520" s="20">
        <f t="shared" ca="1" si="167"/>
        <v>46048</v>
      </c>
      <c r="B520" vm="1512">
        <f ca="1"/>
        <v>46049</v>
      </c>
      <c r="C520" vm="1513">
        <f ca="1"/>
        <v>148.34</v>
      </c>
      <c r="D520" vm="1514">
        <f ca="1"/>
        <v>9546000</v>
      </c>
      <c r="E520">
        <f t="shared" ca="1" si="168"/>
        <v>1416053640</v>
      </c>
      <c r="F520">
        <f ca="1">SUM($E$2:E520)/SUM($D$2:D520)</f>
        <v>160.21827301012601</v>
      </c>
      <c r="G520">
        <f ca="1">_xlfn.STDEV.P($C$2:C520)</f>
        <v>8.836886921166867</v>
      </c>
      <c r="H520">
        <f t="shared" ca="1" si="169"/>
        <v>169.05515993129288</v>
      </c>
      <c r="I520">
        <f t="shared" ca="1" si="170"/>
        <v>151.38138608895915</v>
      </c>
      <c r="J520">
        <f t="shared" ca="1" si="171"/>
        <v>144.48099999999999</v>
      </c>
      <c r="K520">
        <f t="shared" ca="1" si="172"/>
        <v>3.3941201479834775</v>
      </c>
      <c r="L520">
        <f t="shared" ca="1" si="173"/>
        <v>151.26924029596694</v>
      </c>
      <c r="M520">
        <f t="shared" ca="1" si="174"/>
        <v>137.69275970403305</v>
      </c>
      <c r="N520">
        <f t="shared" ca="1" si="175"/>
        <v>-1.1500000000000057</v>
      </c>
      <c r="O520">
        <f t="shared" ca="1" si="176"/>
        <v>0</v>
      </c>
      <c r="P520">
        <f t="shared" ca="1" si="177"/>
        <v>1.1500000000000057</v>
      </c>
      <c r="Q520">
        <f t="shared" ca="1" si="178"/>
        <v>0.78592850699383621</v>
      </c>
      <c r="R520">
        <f t="shared" ca="1" si="179"/>
        <v>0.56653194532411977</v>
      </c>
      <c r="S520">
        <f t="shared" ca="1" si="180"/>
        <v>1.3872624720997808</v>
      </c>
      <c r="T520">
        <f t="shared" ca="1" si="181"/>
        <v>58.111015789544787</v>
      </c>
      <c r="U520">
        <f>70</f>
        <v>70</v>
      </c>
      <c r="V520">
        <f>30</f>
        <v>30</v>
      </c>
      <c r="W520">
        <f t="shared" ca="1" si="182"/>
        <v>146.79172211634017</v>
      </c>
      <c r="X520">
        <f t="shared" ca="1" si="183"/>
        <v>145.5131635158921</v>
      </c>
      <c r="Y520">
        <f t="shared" ca="1" si="184"/>
        <v>1.2275878230429953</v>
      </c>
      <c r="Z520">
        <f t="shared" ca="1" si="185"/>
        <v>0.63659537270141975</v>
      </c>
      <c r="AA520">
        <f t="shared" ca="1" si="186"/>
        <v>0.59099245034157555</v>
      </c>
      <c r="AB520">
        <f t="shared" ca="1" si="187"/>
        <v>148.64359999999999</v>
      </c>
    </row>
    <row r="521" spans="1:28" x14ac:dyDescent="0.25">
      <c r="A521" s="20">
        <f t="shared" ca="1" si="167"/>
        <v>46048</v>
      </c>
      <c r="B521" vm="1515">
        <f ca="1"/>
        <v>46050</v>
      </c>
      <c r="C521" vm="1516">
        <f ca="1"/>
        <v>147.34</v>
      </c>
      <c r="D521" vm="1517">
        <f ca="1"/>
        <v>7465812</v>
      </c>
      <c r="E521">
        <f t="shared" ca="1" si="168"/>
        <v>1100012740.0799999</v>
      </c>
      <c r="F521">
        <f ca="1">SUM($E$2:E521)/SUM($D$2:D521)</f>
        <v>160.19405202740492</v>
      </c>
      <c r="G521">
        <f ca="1">_xlfn.STDEV.P($C$2:C521)</f>
        <v>8.8494032485054994</v>
      </c>
      <c r="H521">
        <f t="shared" ca="1" si="169"/>
        <v>169.04345527591042</v>
      </c>
      <c r="I521">
        <f t="shared" ca="1" si="170"/>
        <v>151.34464877889943</v>
      </c>
      <c r="J521">
        <f t="shared" ca="1" si="171"/>
        <v>144.61950000000002</v>
      </c>
      <c r="K521">
        <f t="shared" ca="1" si="172"/>
        <v>3.4539321222721178</v>
      </c>
      <c r="L521">
        <f t="shared" ca="1" si="173"/>
        <v>151.52736424454426</v>
      </c>
      <c r="M521">
        <f t="shared" ca="1" si="174"/>
        <v>137.71163575545577</v>
      </c>
      <c r="N521">
        <f t="shared" ca="1" si="175"/>
        <v>-1</v>
      </c>
      <c r="O521">
        <f t="shared" ca="1" si="176"/>
        <v>0</v>
      </c>
      <c r="P521">
        <f t="shared" ca="1" si="177"/>
        <v>1</v>
      </c>
      <c r="Q521">
        <f t="shared" ca="1" si="178"/>
        <v>0.72979075649427649</v>
      </c>
      <c r="R521">
        <f t="shared" ca="1" si="179"/>
        <v>0.59749394922953969</v>
      </c>
      <c r="S521">
        <f t="shared" ca="1" si="180"/>
        <v>1.2214194929259647</v>
      </c>
      <c r="T521">
        <f t="shared" ca="1" si="181"/>
        <v>54.983738857767925</v>
      </c>
      <c r="U521">
        <f>70</f>
        <v>70</v>
      </c>
      <c r="V521">
        <f>30</f>
        <v>30</v>
      </c>
      <c r="W521">
        <f t="shared" ca="1" si="182"/>
        <v>146.87607255998014</v>
      </c>
      <c r="X521">
        <f t="shared" ca="1" si="183"/>
        <v>145.64848473693715</v>
      </c>
      <c r="Y521">
        <f t="shared" ca="1" si="184"/>
        <v>1.3778803726767137</v>
      </c>
      <c r="Z521">
        <f t="shared" ca="1" si="185"/>
        <v>0.78485237269647867</v>
      </c>
      <c r="AA521">
        <f t="shared" ca="1" si="186"/>
        <v>0.59302799998023503</v>
      </c>
      <c r="AB521">
        <f t="shared" ca="1" si="187"/>
        <v>148.52509999999998</v>
      </c>
    </row>
    <row r="522" spans="1:28" x14ac:dyDescent="0.25">
      <c r="A522" s="20">
        <f t="shared" ca="1" si="167"/>
        <v>46048</v>
      </c>
      <c r="B522" vm="1518">
        <f ca="1"/>
        <v>46051</v>
      </c>
      <c r="C522" vm="1519">
        <f ca="1"/>
        <v>149.9</v>
      </c>
      <c r="D522" vm="1520">
        <f ca="1"/>
        <v>11035563</v>
      </c>
      <c r="E522">
        <f t="shared" ca="1" si="168"/>
        <v>1654230893.7</v>
      </c>
      <c r="F522">
        <f ca="1">SUM($E$2:E522)/SUM($D$2:D522)</f>
        <v>160.16551345439566</v>
      </c>
      <c r="G522">
        <f ca="1">_xlfn.STDEV.P($C$2:C522)</f>
        <v>8.8547944153845997</v>
      </c>
      <c r="H522">
        <f t="shared" ca="1" si="169"/>
        <v>169.02030786978025</v>
      </c>
      <c r="I522">
        <f t="shared" ca="1" si="170"/>
        <v>151.31071903901108</v>
      </c>
      <c r="J522">
        <f t="shared" ca="1" si="171"/>
        <v>144.91200000000001</v>
      </c>
      <c r="K522">
        <f t="shared" ca="1" si="172"/>
        <v>3.6455561989907688</v>
      </c>
      <c r="L522">
        <f t="shared" ca="1" si="173"/>
        <v>152.20311239798156</v>
      </c>
      <c r="M522">
        <f t="shared" ca="1" si="174"/>
        <v>137.62088760201846</v>
      </c>
      <c r="N522">
        <f t="shared" ca="1" si="175"/>
        <v>2.5600000000000023</v>
      </c>
      <c r="O522">
        <f t="shared" ca="1" si="176"/>
        <v>2.5600000000000023</v>
      </c>
      <c r="P522">
        <f t="shared" ca="1" si="177"/>
        <v>0</v>
      </c>
      <c r="Q522">
        <f t="shared" ca="1" si="178"/>
        <v>0.86051998817325692</v>
      </c>
      <c r="R522">
        <f t="shared" ca="1" si="179"/>
        <v>0.55481580999885827</v>
      </c>
      <c r="S522">
        <f t="shared" ca="1" si="180"/>
        <v>1.5510012019575068</v>
      </c>
      <c r="T522">
        <f t="shared" ca="1" si="181"/>
        <v>60.799704867537834</v>
      </c>
      <c r="U522">
        <f>70</f>
        <v>70</v>
      </c>
      <c r="V522">
        <f>30</f>
        <v>30</v>
      </c>
      <c r="W522">
        <f t="shared" ca="1" si="182"/>
        <v>147.34129216613704</v>
      </c>
      <c r="X522">
        <f t="shared" ca="1" si="183"/>
        <v>145.96341179346032</v>
      </c>
      <c r="Y522">
        <f t="shared" ca="1" si="184"/>
        <v>1.6291023944959875</v>
      </c>
      <c r="Z522">
        <f t="shared" ca="1" si="185"/>
        <v>0.9537023770563805</v>
      </c>
      <c r="AA522">
        <f t="shared" ca="1" si="186"/>
        <v>0.67540001743960698</v>
      </c>
      <c r="AB522">
        <f t="shared" ca="1" si="187"/>
        <v>148.42389999999997</v>
      </c>
    </row>
    <row r="523" spans="1:28" x14ac:dyDescent="0.25">
      <c r="A523" s="20">
        <f t="shared" ca="1" si="167"/>
        <v>46048</v>
      </c>
      <c r="B523" vm="1521">
        <f ca="1"/>
        <v>46052</v>
      </c>
      <c r="C523" vm="1522">
        <f ca="1"/>
        <v>151.77000000000001</v>
      </c>
      <c r="D523" vm="1523">
        <f ca="1"/>
        <v>12651426</v>
      </c>
      <c r="E523">
        <f t="shared" ca="1" si="168"/>
        <v>1920106924.0200002</v>
      </c>
      <c r="F523">
        <f ca="1">SUM($E$2:E523)/SUM($D$2:D523)</f>
        <v>160.13891477802881</v>
      </c>
      <c r="G523">
        <f ca="1">_xlfn.STDEV.P($C$2:C523)</f>
        <v>8.8559229757115592</v>
      </c>
      <c r="H523">
        <f t="shared" ca="1" si="169"/>
        <v>168.99483775374037</v>
      </c>
      <c r="I523">
        <f t="shared" ca="1" si="170"/>
        <v>151.28299180231724</v>
      </c>
      <c r="J523">
        <f t="shared" ca="1" si="171"/>
        <v>145.33500000000004</v>
      </c>
      <c r="K523">
        <f t="shared" ca="1" si="172"/>
        <v>3.9296357136642182</v>
      </c>
      <c r="L523">
        <f t="shared" ca="1" si="173"/>
        <v>153.19427142732846</v>
      </c>
      <c r="M523">
        <f t="shared" ca="1" si="174"/>
        <v>137.47572857267161</v>
      </c>
      <c r="N523">
        <f t="shared" ca="1" si="175"/>
        <v>1.8700000000000045</v>
      </c>
      <c r="O523">
        <f t="shared" ca="1" si="176"/>
        <v>1.8700000000000045</v>
      </c>
      <c r="P523">
        <f t="shared" ca="1" si="177"/>
        <v>0</v>
      </c>
      <c r="Q523">
        <f t="shared" ca="1" si="178"/>
        <v>0.93262570330373884</v>
      </c>
      <c r="R523">
        <f t="shared" ca="1" si="179"/>
        <v>0.51518610928465414</v>
      </c>
      <c r="S523">
        <f t="shared" ca="1" si="180"/>
        <v>1.8102695055165747</v>
      </c>
      <c r="T523">
        <f t="shared" ca="1" si="181"/>
        <v>64.416224207785262</v>
      </c>
      <c r="U523">
        <f>70</f>
        <v>70</v>
      </c>
      <c r="V523">
        <f>30</f>
        <v>30</v>
      </c>
      <c r="W523">
        <f t="shared" ca="1" si="182"/>
        <v>148.02263183288517</v>
      </c>
      <c r="X523">
        <f t="shared" ca="1" si="183"/>
        <v>146.39352943838918</v>
      </c>
      <c r="Y523">
        <f t="shared" si="184"/>
        <v>0</v>
      </c>
      <c r="Z523">
        <f t="shared" ca="1" si="185"/>
        <v>0.76296190164510447</v>
      </c>
      <c r="AA523">
        <f t="shared" ca="1" si="186"/>
        <v>-0.76296190164510447</v>
      </c>
      <c r="AB523">
        <f t="shared" ca="1" si="187"/>
        <v>148.35149999999999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5C45-F96F-4332-BD51-BCEF2E2A40CE}">
  <dimension ref="A1:D120"/>
  <sheetViews>
    <sheetView workbookViewId="0">
      <selection activeCell="N13" sqref="N13"/>
    </sheetView>
  </sheetViews>
  <sheetFormatPr defaultRowHeight="15" x14ac:dyDescent="0.25"/>
  <cols>
    <col min="1" max="2" width="10.42578125" bestFit="1" customWidth="1"/>
    <col min="3" max="3" width="13.5703125" bestFit="1" customWidth="1"/>
    <col min="4" max="4" width="15.5703125" bestFit="1" customWidth="1"/>
  </cols>
  <sheetData>
    <row r="1" spans="1:4" x14ac:dyDescent="0.25">
      <c r="A1" t="s">
        <v>45</v>
      </c>
      <c r="B1" t="s">
        <v>46</v>
      </c>
      <c r="C1" t="s">
        <v>47</v>
      </c>
      <c r="D1" t="s">
        <v>48</v>
      </c>
    </row>
    <row r="2" spans="1:4" x14ac:dyDescent="0.25">
      <c r="A2" s="25">
        <v>45292</v>
      </c>
      <c r="B2">
        <v>148.16249999999999</v>
      </c>
    </row>
    <row r="3" spans="1:4" x14ac:dyDescent="0.25">
      <c r="A3" s="25">
        <v>45299</v>
      </c>
      <c r="B3">
        <v>149.80799999999999</v>
      </c>
    </row>
    <row r="4" spans="1:4" x14ac:dyDescent="0.25">
      <c r="A4" s="25">
        <v>45306</v>
      </c>
      <c r="B4">
        <v>148.85999999999999</v>
      </c>
    </row>
    <row r="5" spans="1:4" x14ac:dyDescent="0.25">
      <c r="A5" s="25">
        <v>45313</v>
      </c>
      <c r="B5">
        <v>153.14400000000001</v>
      </c>
    </row>
    <row r="6" spans="1:4" x14ac:dyDescent="0.25">
      <c r="A6" s="25">
        <v>45320</v>
      </c>
      <c r="B6">
        <v>157.61199999999999</v>
      </c>
    </row>
    <row r="7" spans="1:4" x14ac:dyDescent="0.25">
      <c r="A7" s="25">
        <v>45327</v>
      </c>
      <c r="B7">
        <v>158.47</v>
      </c>
    </row>
    <row r="8" spans="1:4" x14ac:dyDescent="0.25">
      <c r="A8" s="25">
        <v>45334</v>
      </c>
      <c r="B8">
        <v>156.70599999999999</v>
      </c>
    </row>
    <row r="9" spans="1:4" x14ac:dyDescent="0.25">
      <c r="A9" s="25">
        <v>45341</v>
      </c>
      <c r="B9">
        <v>160.125</v>
      </c>
    </row>
    <row r="10" spans="1:4" x14ac:dyDescent="0.25">
      <c r="A10" s="25">
        <v>45348</v>
      </c>
      <c r="B10">
        <v>159.47200000000001</v>
      </c>
    </row>
    <row r="11" spans="1:4" x14ac:dyDescent="0.25">
      <c r="A11" s="25">
        <v>45355</v>
      </c>
      <c r="B11">
        <v>159.88399999999999</v>
      </c>
    </row>
    <row r="12" spans="1:4" x14ac:dyDescent="0.25">
      <c r="A12" s="25">
        <v>45362</v>
      </c>
      <c r="B12">
        <v>161.732</v>
      </c>
    </row>
    <row r="13" spans="1:4" x14ac:dyDescent="0.25">
      <c r="A13" s="25">
        <v>45369</v>
      </c>
      <c r="B13">
        <v>161.71</v>
      </c>
    </row>
    <row r="14" spans="1:4" x14ac:dyDescent="0.25">
      <c r="A14" s="25">
        <v>45376</v>
      </c>
      <c r="B14">
        <v>161.4</v>
      </c>
    </row>
    <row r="15" spans="1:4" x14ac:dyDescent="0.25">
      <c r="A15" s="25">
        <v>45383</v>
      </c>
      <c r="B15">
        <v>157.77000000000001</v>
      </c>
    </row>
    <row r="16" spans="1:4" x14ac:dyDescent="0.25">
      <c r="A16" s="25">
        <v>45390</v>
      </c>
      <c r="B16">
        <v>156.22200000000001</v>
      </c>
    </row>
    <row r="17" spans="1:2" x14ac:dyDescent="0.25">
      <c r="A17" s="25">
        <v>45397</v>
      </c>
      <c r="B17">
        <v>156.75799999999998</v>
      </c>
    </row>
    <row r="18" spans="1:2" x14ac:dyDescent="0.25">
      <c r="A18" s="25">
        <v>45404</v>
      </c>
      <c r="B18">
        <v>161.696</v>
      </c>
    </row>
    <row r="19" spans="1:2" x14ac:dyDescent="0.25">
      <c r="A19" s="25">
        <v>45411</v>
      </c>
      <c r="B19">
        <v>163.31200000000001</v>
      </c>
    </row>
    <row r="20" spans="1:2" x14ac:dyDescent="0.25">
      <c r="A20" s="25">
        <v>45418</v>
      </c>
      <c r="B20">
        <v>165.63200000000001</v>
      </c>
    </row>
    <row r="21" spans="1:2" x14ac:dyDescent="0.25">
      <c r="A21" s="25">
        <v>45425</v>
      </c>
      <c r="B21">
        <v>166.72800000000001</v>
      </c>
    </row>
    <row r="22" spans="1:2" x14ac:dyDescent="0.25">
      <c r="A22" s="25">
        <v>45432</v>
      </c>
      <c r="B22">
        <v>166.858</v>
      </c>
    </row>
    <row r="23" spans="1:2" x14ac:dyDescent="0.25">
      <c r="A23" s="25">
        <v>45439</v>
      </c>
      <c r="B23">
        <v>162.97</v>
      </c>
    </row>
    <row r="24" spans="1:2" x14ac:dyDescent="0.25">
      <c r="A24" s="25">
        <v>45446</v>
      </c>
      <c r="B24">
        <v>166.648</v>
      </c>
    </row>
    <row r="25" spans="1:2" x14ac:dyDescent="0.25">
      <c r="A25" s="25">
        <v>45453</v>
      </c>
      <c r="B25">
        <v>166.642</v>
      </c>
    </row>
    <row r="26" spans="1:2" x14ac:dyDescent="0.25">
      <c r="A26" s="25">
        <v>45460</v>
      </c>
      <c r="B26">
        <v>167.9975</v>
      </c>
    </row>
    <row r="27" spans="1:2" x14ac:dyDescent="0.25">
      <c r="A27" s="25">
        <v>45467</v>
      </c>
      <c r="B27">
        <v>166.858</v>
      </c>
    </row>
    <row r="28" spans="1:2" x14ac:dyDescent="0.25">
      <c r="A28" s="25">
        <v>45474</v>
      </c>
      <c r="B28">
        <v>163.91500000000002</v>
      </c>
    </row>
    <row r="29" spans="1:2" x14ac:dyDescent="0.25">
      <c r="A29" s="25">
        <v>45481</v>
      </c>
      <c r="B29">
        <v>166.226</v>
      </c>
    </row>
    <row r="30" spans="1:2" x14ac:dyDescent="0.25">
      <c r="A30" s="25">
        <v>45488</v>
      </c>
      <c r="B30">
        <v>167.47399999999999</v>
      </c>
    </row>
    <row r="31" spans="1:2" x14ac:dyDescent="0.25">
      <c r="A31" s="25">
        <v>45495</v>
      </c>
      <c r="B31">
        <v>167.77600000000001</v>
      </c>
    </row>
    <row r="32" spans="1:2" x14ac:dyDescent="0.25">
      <c r="A32" s="25">
        <v>45502</v>
      </c>
      <c r="B32">
        <v>165.63200000000001</v>
      </c>
    </row>
    <row r="33" spans="1:2" x14ac:dyDescent="0.25">
      <c r="A33" s="25">
        <v>45509</v>
      </c>
      <c r="B33">
        <v>169.51599999999999</v>
      </c>
    </row>
    <row r="34" spans="1:2" x14ac:dyDescent="0.25">
      <c r="A34" s="25">
        <v>45516</v>
      </c>
      <c r="B34">
        <v>167.74199999999999</v>
      </c>
    </row>
    <row r="35" spans="1:2" x14ac:dyDescent="0.25">
      <c r="A35" s="25">
        <v>45523</v>
      </c>
      <c r="B35">
        <v>169.66200000000001</v>
      </c>
    </row>
    <row r="36" spans="1:2" x14ac:dyDescent="0.25">
      <c r="A36" s="25">
        <v>45530</v>
      </c>
      <c r="B36">
        <v>170.04599999999999</v>
      </c>
    </row>
    <row r="37" spans="1:2" x14ac:dyDescent="0.25">
      <c r="A37" s="25">
        <v>45537</v>
      </c>
      <c r="B37">
        <v>175.37</v>
      </c>
    </row>
    <row r="38" spans="1:2" x14ac:dyDescent="0.25">
      <c r="A38" s="25">
        <v>45544</v>
      </c>
      <c r="B38">
        <v>175.06399999999999</v>
      </c>
    </row>
    <row r="39" spans="1:2" x14ac:dyDescent="0.25">
      <c r="A39" s="25">
        <v>45551</v>
      </c>
      <c r="B39">
        <v>174.56</v>
      </c>
    </row>
    <row r="40" spans="1:2" x14ac:dyDescent="0.25">
      <c r="A40" s="25">
        <v>45558</v>
      </c>
      <c r="B40">
        <v>173.20600000000002</v>
      </c>
    </row>
    <row r="41" spans="1:2" x14ac:dyDescent="0.25">
      <c r="A41" s="25">
        <v>45565</v>
      </c>
      <c r="B41">
        <v>171.43199999999999</v>
      </c>
    </row>
    <row r="42" spans="1:2" x14ac:dyDescent="0.25">
      <c r="A42" s="25">
        <v>45572</v>
      </c>
      <c r="B42">
        <v>168.91800000000001</v>
      </c>
    </row>
    <row r="43" spans="1:2" x14ac:dyDescent="0.25">
      <c r="A43" s="25">
        <v>45579</v>
      </c>
      <c r="B43">
        <v>172.404</v>
      </c>
    </row>
    <row r="44" spans="1:2" x14ac:dyDescent="0.25">
      <c r="A44" s="25">
        <v>45586</v>
      </c>
      <c r="B44">
        <v>169.33199999999999</v>
      </c>
    </row>
    <row r="45" spans="1:2" x14ac:dyDescent="0.25">
      <c r="A45" s="25">
        <v>45593</v>
      </c>
      <c r="B45">
        <v>166.58199999999999</v>
      </c>
    </row>
    <row r="46" spans="1:2" x14ac:dyDescent="0.25">
      <c r="A46" s="25">
        <v>45600</v>
      </c>
      <c r="B46">
        <v>164.602</v>
      </c>
    </row>
    <row r="47" spans="1:2" x14ac:dyDescent="0.25">
      <c r="A47" s="25">
        <v>45607</v>
      </c>
      <c r="B47">
        <v>167.01400000000001</v>
      </c>
    </row>
    <row r="48" spans="1:2" x14ac:dyDescent="0.25">
      <c r="A48" s="25">
        <v>45614</v>
      </c>
      <c r="B48">
        <v>172.286</v>
      </c>
    </row>
    <row r="49" spans="1:2" x14ac:dyDescent="0.25">
      <c r="A49" s="25">
        <v>45621</v>
      </c>
      <c r="B49">
        <v>178.82999999999998</v>
      </c>
    </row>
    <row r="50" spans="1:2" x14ac:dyDescent="0.25">
      <c r="A50" s="25">
        <v>45628</v>
      </c>
      <c r="B50">
        <v>176.01599999999999</v>
      </c>
    </row>
    <row r="51" spans="1:2" x14ac:dyDescent="0.25">
      <c r="A51" s="25">
        <v>45635</v>
      </c>
      <c r="B51">
        <v>171.12199999999999</v>
      </c>
    </row>
    <row r="52" spans="1:2" x14ac:dyDescent="0.25">
      <c r="A52" s="25">
        <v>45642</v>
      </c>
      <c r="B52">
        <v>169.56</v>
      </c>
    </row>
    <row r="53" spans="1:2" x14ac:dyDescent="0.25">
      <c r="A53" s="25">
        <v>45649</v>
      </c>
      <c r="B53">
        <v>169.185</v>
      </c>
    </row>
    <row r="54" spans="1:2" x14ac:dyDescent="0.25">
      <c r="A54" s="25">
        <v>45656</v>
      </c>
      <c r="B54">
        <v>166.46250000000001</v>
      </c>
    </row>
    <row r="55" spans="1:2" x14ac:dyDescent="0.25">
      <c r="A55" s="25">
        <v>45663</v>
      </c>
      <c r="B55">
        <v>160.63999999999999</v>
      </c>
    </row>
    <row r="56" spans="1:2" x14ac:dyDescent="0.25">
      <c r="A56" s="25">
        <v>45670</v>
      </c>
      <c r="B56">
        <v>159.97200000000001</v>
      </c>
    </row>
    <row r="57" spans="1:2" x14ac:dyDescent="0.25">
      <c r="A57" s="25">
        <v>45677</v>
      </c>
      <c r="B57">
        <v>164.1825</v>
      </c>
    </row>
    <row r="58" spans="1:2" x14ac:dyDescent="0.25">
      <c r="A58" s="25">
        <v>45684</v>
      </c>
      <c r="B58">
        <v>167.096</v>
      </c>
    </row>
    <row r="59" spans="1:2" x14ac:dyDescent="0.25">
      <c r="A59" s="25">
        <v>45691</v>
      </c>
      <c r="B59">
        <v>168.54999999999998</v>
      </c>
    </row>
    <row r="60" spans="1:2" x14ac:dyDescent="0.25">
      <c r="A60" s="25">
        <v>45698</v>
      </c>
      <c r="B60">
        <v>168.09</v>
      </c>
    </row>
    <row r="61" spans="1:2" x14ac:dyDescent="0.25">
      <c r="A61" s="25">
        <v>45705</v>
      </c>
      <c r="B61">
        <v>167.34</v>
      </c>
    </row>
    <row r="62" spans="1:2" x14ac:dyDescent="0.25">
      <c r="A62" s="25">
        <v>45712</v>
      </c>
      <c r="B62">
        <v>172.06</v>
      </c>
    </row>
    <row r="63" spans="1:2" x14ac:dyDescent="0.25">
      <c r="A63" s="25">
        <v>45719</v>
      </c>
      <c r="B63">
        <v>174.798</v>
      </c>
    </row>
    <row r="64" spans="1:2" x14ac:dyDescent="0.25">
      <c r="A64" s="25">
        <v>45726</v>
      </c>
      <c r="B64">
        <v>170.86199999999999</v>
      </c>
    </row>
    <row r="65" spans="1:2" x14ac:dyDescent="0.25">
      <c r="A65" s="25">
        <v>45733</v>
      </c>
      <c r="B65">
        <v>168.05600000000001</v>
      </c>
    </row>
    <row r="66" spans="1:2" x14ac:dyDescent="0.25">
      <c r="A66" s="25">
        <v>45740</v>
      </c>
      <c r="B66">
        <v>166.364</v>
      </c>
    </row>
    <row r="67" spans="1:2" x14ac:dyDescent="0.25">
      <c r="A67" s="25">
        <v>45747</v>
      </c>
      <c r="B67">
        <v>169.32399999999998</v>
      </c>
    </row>
    <row r="68" spans="1:2" x14ac:dyDescent="0.25">
      <c r="A68" s="25">
        <v>45754</v>
      </c>
      <c r="B68">
        <v>162.28199999999998</v>
      </c>
    </row>
    <row r="69" spans="1:2" x14ac:dyDescent="0.25">
      <c r="A69" s="25">
        <v>45761</v>
      </c>
      <c r="B69">
        <v>168.655</v>
      </c>
    </row>
    <row r="70" spans="1:2" x14ac:dyDescent="0.25">
      <c r="A70" s="25">
        <v>45768</v>
      </c>
      <c r="B70">
        <v>163.982</v>
      </c>
    </row>
    <row r="71" spans="1:2" x14ac:dyDescent="0.25">
      <c r="A71" s="25">
        <v>45775</v>
      </c>
      <c r="B71">
        <v>161.43600000000001</v>
      </c>
    </row>
    <row r="72" spans="1:2" x14ac:dyDescent="0.25">
      <c r="A72" s="25">
        <v>45782</v>
      </c>
      <c r="B72">
        <v>158.73599999999999</v>
      </c>
    </row>
    <row r="73" spans="1:2" x14ac:dyDescent="0.25">
      <c r="A73" s="25">
        <v>45789</v>
      </c>
      <c r="B73">
        <v>160.66800000000001</v>
      </c>
    </row>
    <row r="74" spans="1:2" x14ac:dyDescent="0.25">
      <c r="A74" s="25">
        <v>45796</v>
      </c>
      <c r="B74">
        <v>165.346</v>
      </c>
    </row>
    <row r="75" spans="1:2" x14ac:dyDescent="0.25">
      <c r="A75" s="25">
        <v>45803</v>
      </c>
      <c r="B75">
        <v>168.39249999999998</v>
      </c>
    </row>
    <row r="76" spans="1:2" x14ac:dyDescent="0.25">
      <c r="A76" s="25">
        <v>45810</v>
      </c>
      <c r="B76">
        <v>165.48</v>
      </c>
    </row>
    <row r="77" spans="1:2" x14ac:dyDescent="0.25">
      <c r="A77" s="25">
        <v>45817</v>
      </c>
      <c r="B77">
        <v>162.19400000000002</v>
      </c>
    </row>
    <row r="78" spans="1:2" x14ac:dyDescent="0.25">
      <c r="A78" s="25">
        <v>45824</v>
      </c>
      <c r="B78">
        <v>159.125</v>
      </c>
    </row>
    <row r="79" spans="1:2" x14ac:dyDescent="0.25">
      <c r="A79" s="25">
        <v>45831</v>
      </c>
      <c r="B79">
        <v>159.77000000000001</v>
      </c>
    </row>
    <row r="80" spans="1:2" x14ac:dyDescent="0.25">
      <c r="A80" s="25">
        <v>45838</v>
      </c>
      <c r="B80">
        <v>160.64249999999998</v>
      </c>
    </row>
    <row r="81" spans="1:2" x14ac:dyDescent="0.25">
      <c r="A81" s="25">
        <v>45845</v>
      </c>
      <c r="B81">
        <v>158.29</v>
      </c>
    </row>
    <row r="82" spans="1:2" x14ac:dyDescent="0.25">
      <c r="A82" s="25">
        <v>45852</v>
      </c>
      <c r="B82">
        <v>154.178</v>
      </c>
    </row>
    <row r="83" spans="1:2" x14ac:dyDescent="0.25">
      <c r="A83" s="25">
        <v>45859</v>
      </c>
      <c r="B83">
        <v>157.74799999999999</v>
      </c>
    </row>
    <row r="84" spans="1:2" x14ac:dyDescent="0.25">
      <c r="A84" s="25">
        <v>45866</v>
      </c>
      <c r="B84">
        <v>153.54400000000001</v>
      </c>
    </row>
    <row r="85" spans="1:2" x14ac:dyDescent="0.25">
      <c r="A85" s="25">
        <v>45873</v>
      </c>
      <c r="B85">
        <v>152.226</v>
      </c>
    </row>
    <row r="86" spans="1:2" x14ac:dyDescent="0.25">
      <c r="A86" s="25">
        <v>45880</v>
      </c>
      <c r="B86">
        <v>154.71600000000001</v>
      </c>
    </row>
    <row r="87" spans="1:2" x14ac:dyDescent="0.25">
      <c r="A87" s="25">
        <v>45887</v>
      </c>
      <c r="B87">
        <v>158.20599999999999</v>
      </c>
    </row>
    <row r="88" spans="1:2" x14ac:dyDescent="0.25">
      <c r="A88" s="25">
        <v>45894</v>
      </c>
      <c r="B88">
        <v>156.35400000000001</v>
      </c>
    </row>
    <row r="89" spans="1:2" x14ac:dyDescent="0.25">
      <c r="A89" s="25">
        <v>45901</v>
      </c>
      <c r="B89">
        <v>158.8425</v>
      </c>
    </row>
    <row r="90" spans="1:2" x14ac:dyDescent="0.25">
      <c r="A90" s="25">
        <v>45908</v>
      </c>
      <c r="B90">
        <v>158.47</v>
      </c>
    </row>
    <row r="91" spans="1:2" x14ac:dyDescent="0.25">
      <c r="A91" s="25">
        <v>45915</v>
      </c>
      <c r="B91">
        <v>157.714</v>
      </c>
    </row>
    <row r="92" spans="1:2" x14ac:dyDescent="0.25">
      <c r="A92" s="25">
        <v>45922</v>
      </c>
      <c r="B92">
        <v>152.52799999999999</v>
      </c>
    </row>
    <row r="93" spans="1:2" x14ac:dyDescent="0.25">
      <c r="A93" s="25">
        <v>45929</v>
      </c>
      <c r="B93">
        <v>152.93600000000001</v>
      </c>
    </row>
    <row r="94" spans="1:2" x14ac:dyDescent="0.25">
      <c r="A94" s="25">
        <v>45936</v>
      </c>
      <c r="B94">
        <v>150.78200000000001</v>
      </c>
    </row>
    <row r="95" spans="1:2" x14ac:dyDescent="0.25">
      <c r="A95" s="25">
        <v>45943</v>
      </c>
      <c r="B95">
        <v>149.01400000000001</v>
      </c>
    </row>
    <row r="96" spans="1:2" x14ac:dyDescent="0.25">
      <c r="A96" s="25">
        <v>45950</v>
      </c>
      <c r="B96">
        <v>152.096</v>
      </c>
    </row>
    <row r="97" spans="1:4" x14ac:dyDescent="0.25">
      <c r="A97" s="25">
        <v>45957</v>
      </c>
      <c r="B97">
        <v>150.36600000000001</v>
      </c>
    </row>
    <row r="98" spans="1:4" x14ac:dyDescent="0.25">
      <c r="A98" s="25">
        <v>45964</v>
      </c>
      <c r="B98">
        <v>146.81799999999998</v>
      </c>
    </row>
    <row r="99" spans="1:4" x14ac:dyDescent="0.25">
      <c r="A99" s="25">
        <v>45971</v>
      </c>
      <c r="B99">
        <v>147.536</v>
      </c>
    </row>
    <row r="100" spans="1:4" x14ac:dyDescent="0.25">
      <c r="A100" s="25">
        <v>45978</v>
      </c>
      <c r="B100">
        <v>147.78200000000001</v>
      </c>
    </row>
    <row r="101" spans="1:4" x14ac:dyDescent="0.25">
      <c r="A101" s="25">
        <v>45985</v>
      </c>
      <c r="B101">
        <v>147.97</v>
      </c>
    </row>
    <row r="102" spans="1:4" x14ac:dyDescent="0.25">
      <c r="A102" s="25">
        <v>45992</v>
      </c>
      <c r="B102">
        <v>145.76400000000001</v>
      </c>
    </row>
    <row r="103" spans="1:4" x14ac:dyDescent="0.25">
      <c r="A103" s="25">
        <v>45999</v>
      </c>
      <c r="B103">
        <v>140.27799999999999</v>
      </c>
    </row>
    <row r="104" spans="1:4" x14ac:dyDescent="0.25">
      <c r="A104" s="25">
        <v>46006</v>
      </c>
      <c r="B104">
        <v>145.626</v>
      </c>
    </row>
    <row r="105" spans="1:4" x14ac:dyDescent="0.25">
      <c r="A105" s="25">
        <v>46013</v>
      </c>
      <c r="B105">
        <v>143.77500000000001</v>
      </c>
    </row>
    <row r="106" spans="1:4" x14ac:dyDescent="0.25">
      <c r="A106" s="25">
        <v>46020</v>
      </c>
      <c r="B106">
        <v>143.43</v>
      </c>
    </row>
    <row r="107" spans="1:4" x14ac:dyDescent="0.25">
      <c r="A107" s="25">
        <v>46027</v>
      </c>
      <c r="B107">
        <v>140.34399999999999</v>
      </c>
      <c r="C107">
        <f>_xlfn.FORECAST.ETS(Forecast[[#This Row],[Week]],B2:B106,A2:A106,1,1,1)</f>
        <v>143.36135617696297</v>
      </c>
      <c r="D107">
        <v>146.37728142784701</v>
      </c>
    </row>
    <row r="108" spans="1:4" x14ac:dyDescent="0.25">
      <c r="A108" s="25">
        <v>46034</v>
      </c>
      <c r="B108">
        <v>144.642</v>
      </c>
      <c r="C108">
        <f>_xlfn.FORECAST.ETS(Forecast[[#This Row],[Week]],B3:B107,A3:A107,1,1,1)</f>
        <v>139.48468797173075</v>
      </c>
      <c r="D108">
        <v>144.98440301876499</v>
      </c>
    </row>
    <row r="109" spans="1:4" x14ac:dyDescent="0.25">
      <c r="A109" s="25">
        <v>46041</v>
      </c>
      <c r="B109">
        <v>148.285</v>
      </c>
      <c r="C109">
        <f>_xlfn.FORECAST.ETS(Forecast[[#This Row],[Week]],B4:B108,A4:A108,1,1,1)</f>
        <v>143.42158129313302</v>
      </c>
      <c r="D109">
        <v>147.50924164403199</v>
      </c>
    </row>
    <row r="110" spans="1:4" x14ac:dyDescent="0.25">
      <c r="A110" s="25">
        <v>46048</v>
      </c>
      <c r="B110">
        <v>149.36799999999999</v>
      </c>
      <c r="C110">
        <f>_xlfn.FORECAST.ETS(Forecast[[#This Row],[Week]],B5:B109,A5:A109,1,1,1)</f>
        <v>148.80917071629275</v>
      </c>
      <c r="D110">
        <v>147.03643738552501</v>
      </c>
    </row>
    <row r="111" spans="1:4" x14ac:dyDescent="0.25">
      <c r="A111" s="25">
        <v>46055</v>
      </c>
      <c r="C111">
        <f>_xlfn.FORECAST.ETS(Forecast[[#This Row],[Week]],B6:B110,A6:A110,1,1,1)</f>
        <v>147.06762368031531</v>
      </c>
      <c r="D111">
        <v>147.28093599710499</v>
      </c>
    </row>
    <row r="112" spans="1:4" x14ac:dyDescent="0.25">
      <c r="A112" s="25">
        <v>46062</v>
      </c>
      <c r="C112">
        <f>_xlfn.FORECAST.ETS(Forecast[[#This Row],[Week]],B7:B111,A7:A111,1,1,1)</f>
        <v>147.08462255657651</v>
      </c>
      <c r="D112">
        <v>149.68021411946</v>
      </c>
    </row>
    <row r="113" spans="1:4" x14ac:dyDescent="0.25">
      <c r="A113" s="25">
        <v>46069</v>
      </c>
      <c r="C113">
        <f>_xlfn.FORECAST.ETS(Forecast[[#This Row],[Week]],B8:B112,A8:A112,1,1,1)</f>
        <v>146.90415105863769</v>
      </c>
      <c r="D113">
        <v>149.72084557049899</v>
      </c>
    </row>
    <row r="114" spans="1:4" x14ac:dyDescent="0.25">
      <c r="A114" s="25">
        <v>46076</v>
      </c>
      <c r="C114">
        <f>_xlfn.FORECAST.ETS(Forecast[[#This Row],[Week]],B9:B113,A9:A113,1,1,1)</f>
        <v>146.66927386340939</v>
      </c>
      <c r="D114">
        <v>148.50927153910399</v>
      </c>
    </row>
    <row r="115" spans="1:4" x14ac:dyDescent="0.25">
      <c r="A115" s="25">
        <v>46083</v>
      </c>
      <c r="C115">
        <f>_xlfn.FORECAST.ETS(Forecast[[#This Row],[Week]],B10:B114,A10:A114,1,1,1)</f>
        <v>146.45687315780475</v>
      </c>
      <c r="D115">
        <v>145.38519946040901</v>
      </c>
    </row>
    <row r="116" spans="1:4" x14ac:dyDescent="0.25">
      <c r="A116" s="25">
        <v>46090</v>
      </c>
      <c r="C116">
        <f>_xlfn.FORECAST.ETS(Forecast[[#This Row],[Week]],B11:B115,A11:A115,1,1,1)</f>
        <v>146.21856058336598</v>
      </c>
      <c r="D116">
        <v>143.77131808981301</v>
      </c>
    </row>
    <row r="117" spans="1:4" x14ac:dyDescent="0.25">
      <c r="A117" s="25">
        <v>46097</v>
      </c>
      <c r="C117">
        <f>_xlfn.FORECAST.ETS(Forecast[[#This Row],[Week]],B12:B116,A12:A116,1,1,1)</f>
        <v>144.05394443348703</v>
      </c>
      <c r="D117">
        <v>144.664065472522</v>
      </c>
    </row>
    <row r="118" spans="1:4" x14ac:dyDescent="0.25">
      <c r="A118" s="25">
        <v>46104</v>
      </c>
      <c r="C118">
        <f>_xlfn.FORECAST.ETS(Forecast[[#This Row],[Week]],B13:B117,A13:A117,1,1,1)</f>
        <v>145.68877730130708</v>
      </c>
      <c r="D118">
        <v>147.59923453294701</v>
      </c>
    </row>
    <row r="119" spans="1:4" x14ac:dyDescent="0.25">
      <c r="A119" s="25">
        <v>46111</v>
      </c>
      <c r="C119">
        <f>_xlfn.FORECAST.ETS(Forecast[[#This Row],[Week]],B14:B118,A14:A118,1,1,1)</f>
        <v>145.42168664871775</v>
      </c>
      <c r="D119">
        <v>151.316004731015</v>
      </c>
    </row>
    <row r="120" spans="1:4" x14ac:dyDescent="0.25">
      <c r="A120" s="25">
        <v>46118</v>
      </c>
      <c r="C120">
        <f>_xlfn.FORECAST.ETS(Forecast[[#This Row],[Week]],B15:B119,A15:A119,1,1,1)</f>
        <v>145.19923538668652</v>
      </c>
      <c r="D120">
        <v>152.26023563816199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E33AD-87E5-4482-B5EE-D877F9568BB0}">
  <dimension ref="A1:B523"/>
  <sheetViews>
    <sheetView workbookViewId="0">
      <selection sqref="A1:B523"/>
    </sheetView>
  </sheetViews>
  <sheetFormatPr defaultRowHeight="15" x14ac:dyDescent="0.25"/>
  <cols>
    <col min="1" max="1" width="15.5703125" style="20" bestFit="1" customWidth="1"/>
  </cols>
  <sheetData>
    <row r="1" spans="1:2" x14ac:dyDescent="0.25">
      <c r="A1" s="20" t="s">
        <v>45</v>
      </c>
      <c r="B1" t="s">
        <v>43</v>
      </c>
    </row>
    <row r="2" spans="1:2" x14ac:dyDescent="0.25">
      <c r="A2" s="20">
        <v>45292</v>
      </c>
      <c r="B2" vm="2">
        <v>148.74</v>
      </c>
    </row>
    <row r="3" spans="1:2" x14ac:dyDescent="0.25">
      <c r="A3" s="20">
        <v>45292</v>
      </c>
      <c r="B3" vm="5">
        <v>147.84</v>
      </c>
    </row>
    <row r="4" spans="1:2" x14ac:dyDescent="0.25">
      <c r="A4" s="20">
        <v>45292</v>
      </c>
      <c r="B4" vm="8">
        <v>148.65</v>
      </c>
    </row>
    <row r="5" spans="1:2" x14ac:dyDescent="0.25">
      <c r="A5" s="20">
        <v>45292</v>
      </c>
      <c r="B5" vm="11">
        <v>147.41999999999999</v>
      </c>
    </row>
    <row r="6" spans="1:2" x14ac:dyDescent="0.25">
      <c r="A6" s="20">
        <v>45299</v>
      </c>
      <c r="B6" vm="14">
        <v>148.69</v>
      </c>
    </row>
    <row r="7" spans="1:2" x14ac:dyDescent="0.25">
      <c r="A7" s="20">
        <v>45299</v>
      </c>
      <c r="B7" vm="17">
        <v>149.30000000000001</v>
      </c>
    </row>
    <row r="8" spans="1:2" x14ac:dyDescent="0.25">
      <c r="A8" s="20">
        <v>45299</v>
      </c>
      <c r="B8" vm="20">
        <v>149.94</v>
      </c>
    </row>
    <row r="9" spans="1:2" x14ac:dyDescent="0.25">
      <c r="A9" s="20">
        <v>45299</v>
      </c>
      <c r="B9" vm="23">
        <v>150.51</v>
      </c>
    </row>
    <row r="10" spans="1:2" x14ac:dyDescent="0.25">
      <c r="A10" s="20">
        <v>45299</v>
      </c>
      <c r="B10" vm="26">
        <v>150.6</v>
      </c>
    </row>
    <row r="11" spans="1:2" x14ac:dyDescent="0.25">
      <c r="A11" s="20">
        <v>45306</v>
      </c>
      <c r="B11" vm="29">
        <v>149.79</v>
      </c>
    </row>
    <row r="12" spans="1:2" x14ac:dyDescent="0.25">
      <c r="A12" s="20">
        <v>45306</v>
      </c>
      <c r="B12" vm="20">
        <v>149.94</v>
      </c>
    </row>
    <row r="13" spans="1:2" x14ac:dyDescent="0.25">
      <c r="A13" s="20">
        <v>45306</v>
      </c>
      <c r="B13" vm="34">
        <v>148.13999999999999</v>
      </c>
    </row>
    <row r="14" spans="1:2" x14ac:dyDescent="0.25">
      <c r="A14" s="20">
        <v>45306</v>
      </c>
      <c r="B14" vm="37">
        <v>147.57</v>
      </c>
    </row>
    <row r="15" spans="1:2" x14ac:dyDescent="0.25">
      <c r="A15" s="20">
        <v>45313</v>
      </c>
      <c r="B15" vm="40">
        <v>147.86000000000001</v>
      </c>
    </row>
    <row r="16" spans="1:2" x14ac:dyDescent="0.25">
      <c r="A16" s="20">
        <v>45313</v>
      </c>
      <c r="B16" vm="43">
        <v>153.97999999999999</v>
      </c>
    </row>
    <row r="17" spans="1:2" x14ac:dyDescent="0.25">
      <c r="A17" s="20">
        <v>45313</v>
      </c>
      <c r="B17" vm="46">
        <v>152.12</v>
      </c>
    </row>
    <row r="18" spans="1:2" x14ac:dyDescent="0.25">
      <c r="A18" s="20">
        <v>45313</v>
      </c>
      <c r="B18" vm="49">
        <v>155.62</v>
      </c>
    </row>
    <row r="19" spans="1:2" x14ac:dyDescent="0.25">
      <c r="A19" s="20">
        <v>45313</v>
      </c>
      <c r="B19" vm="52">
        <v>156.13999999999999</v>
      </c>
    </row>
    <row r="20" spans="1:2" x14ac:dyDescent="0.25">
      <c r="A20" s="20">
        <v>45320</v>
      </c>
      <c r="B20" vm="55">
        <v>156.16</v>
      </c>
    </row>
    <row r="21" spans="1:2" x14ac:dyDescent="0.25">
      <c r="A21" s="20">
        <v>45320</v>
      </c>
      <c r="B21" vm="58">
        <v>157.49</v>
      </c>
    </row>
    <row r="22" spans="1:2" x14ac:dyDescent="0.25">
      <c r="A22" s="20">
        <v>45320</v>
      </c>
      <c r="B22" vm="61">
        <v>157.13999999999999</v>
      </c>
    </row>
    <row r="23" spans="1:2" x14ac:dyDescent="0.25">
      <c r="A23" s="20">
        <v>45320</v>
      </c>
      <c r="B23" vm="64">
        <v>159.18</v>
      </c>
    </row>
    <row r="24" spans="1:2" x14ac:dyDescent="0.25">
      <c r="A24" s="20">
        <v>45320</v>
      </c>
      <c r="B24" vm="67">
        <v>158.09</v>
      </c>
    </row>
    <row r="25" spans="1:2" x14ac:dyDescent="0.25">
      <c r="A25" s="20">
        <v>45327</v>
      </c>
      <c r="B25" vm="70">
        <v>158.21</v>
      </c>
    </row>
    <row r="26" spans="1:2" x14ac:dyDescent="0.25">
      <c r="A26" s="20">
        <v>45327</v>
      </c>
      <c r="B26" vm="73">
        <v>158.96</v>
      </c>
    </row>
    <row r="27" spans="1:2" x14ac:dyDescent="0.25">
      <c r="A27" s="20">
        <v>45327</v>
      </c>
      <c r="B27" vm="76">
        <v>159.12</v>
      </c>
    </row>
    <row r="28" spans="1:2" x14ac:dyDescent="0.25">
      <c r="A28" s="20">
        <v>45327</v>
      </c>
      <c r="B28" vm="79">
        <v>158.63999999999999</v>
      </c>
    </row>
    <row r="29" spans="1:2" x14ac:dyDescent="0.25">
      <c r="A29" s="20">
        <v>45327</v>
      </c>
      <c r="B29" vm="82">
        <v>157.41999999999999</v>
      </c>
    </row>
    <row r="30" spans="1:2" x14ac:dyDescent="0.25">
      <c r="A30" s="20">
        <v>45334</v>
      </c>
      <c r="B30" vm="85">
        <v>157.11000000000001</v>
      </c>
    </row>
    <row r="31" spans="1:2" x14ac:dyDescent="0.25">
      <c r="A31" s="20">
        <v>45334</v>
      </c>
      <c r="B31" vm="88">
        <v>156.27000000000001</v>
      </c>
    </row>
    <row r="32" spans="1:2" x14ac:dyDescent="0.25">
      <c r="A32" s="20">
        <v>45334</v>
      </c>
      <c r="B32" vm="91">
        <v>155.63</v>
      </c>
    </row>
    <row r="33" spans="1:2" x14ac:dyDescent="0.25">
      <c r="A33" s="20">
        <v>45334</v>
      </c>
      <c r="B33" vm="94">
        <v>157.01</v>
      </c>
    </row>
    <row r="34" spans="1:2" x14ac:dyDescent="0.25">
      <c r="A34" s="20">
        <v>45334</v>
      </c>
      <c r="B34" vm="97">
        <v>157.51</v>
      </c>
    </row>
    <row r="35" spans="1:2" x14ac:dyDescent="0.25">
      <c r="A35" s="20">
        <v>45341</v>
      </c>
      <c r="B35" vm="100">
        <v>158.51</v>
      </c>
    </row>
    <row r="36" spans="1:2" x14ac:dyDescent="0.25">
      <c r="A36" s="20">
        <v>45341</v>
      </c>
      <c r="B36" vm="103">
        <v>160.4</v>
      </c>
    </row>
    <row r="37" spans="1:2" x14ac:dyDescent="0.25">
      <c r="A37" s="20">
        <v>45341</v>
      </c>
      <c r="B37" vm="106">
        <v>160.56</v>
      </c>
    </row>
    <row r="38" spans="1:2" x14ac:dyDescent="0.25">
      <c r="A38" s="20">
        <v>45341</v>
      </c>
      <c r="B38" vm="109">
        <v>161.03</v>
      </c>
    </row>
    <row r="39" spans="1:2" x14ac:dyDescent="0.25">
      <c r="A39" s="20">
        <v>45348</v>
      </c>
      <c r="B39" vm="112">
        <v>160.22</v>
      </c>
    </row>
    <row r="40" spans="1:2" x14ac:dyDescent="0.25">
      <c r="A40" s="20">
        <v>45348</v>
      </c>
      <c r="B40" vm="115">
        <v>159.30000000000001</v>
      </c>
    </row>
    <row r="41" spans="1:2" x14ac:dyDescent="0.25">
      <c r="A41" s="20">
        <v>45348</v>
      </c>
      <c r="B41" vm="118">
        <v>160.05000000000001</v>
      </c>
    </row>
    <row r="42" spans="1:2" x14ac:dyDescent="0.25">
      <c r="A42" s="20">
        <v>45348</v>
      </c>
      <c r="B42" vm="121">
        <v>158.94</v>
      </c>
    </row>
    <row r="43" spans="1:2" x14ac:dyDescent="0.25">
      <c r="A43" s="20">
        <v>45348</v>
      </c>
      <c r="B43" vm="124">
        <v>158.85</v>
      </c>
    </row>
    <row r="44" spans="1:2" x14ac:dyDescent="0.25">
      <c r="A44" s="20">
        <v>45355</v>
      </c>
      <c r="B44" vm="127">
        <v>159.56</v>
      </c>
    </row>
    <row r="45" spans="1:2" x14ac:dyDescent="0.25">
      <c r="A45" s="20">
        <v>45355</v>
      </c>
      <c r="B45" vm="130">
        <v>159.32</v>
      </c>
    </row>
    <row r="46" spans="1:2" x14ac:dyDescent="0.25">
      <c r="A46" s="20">
        <v>45355</v>
      </c>
      <c r="B46" vm="133">
        <v>159.57</v>
      </c>
    </row>
    <row r="47" spans="1:2" x14ac:dyDescent="0.25">
      <c r="A47" s="20">
        <v>45355</v>
      </c>
      <c r="B47" vm="136">
        <v>160.62</v>
      </c>
    </row>
    <row r="48" spans="1:2" x14ac:dyDescent="0.25">
      <c r="A48" s="20">
        <v>45355</v>
      </c>
      <c r="B48" vm="139">
        <v>160.35</v>
      </c>
    </row>
    <row r="49" spans="1:2" x14ac:dyDescent="0.25">
      <c r="A49" s="20">
        <v>45362</v>
      </c>
      <c r="B49" vm="142">
        <v>161.55000000000001</v>
      </c>
    </row>
    <row r="50" spans="1:2" x14ac:dyDescent="0.25">
      <c r="A50" s="20">
        <v>45362</v>
      </c>
      <c r="B50" vm="145">
        <v>161.93</v>
      </c>
    </row>
    <row r="51" spans="1:2" x14ac:dyDescent="0.25">
      <c r="A51" s="20">
        <v>45362</v>
      </c>
      <c r="B51" vm="148">
        <v>162.30000000000001</v>
      </c>
    </row>
    <row r="52" spans="1:2" x14ac:dyDescent="0.25">
      <c r="A52" s="20">
        <v>45362</v>
      </c>
      <c r="B52" vm="151">
        <v>161.5</v>
      </c>
    </row>
    <row r="53" spans="1:2" x14ac:dyDescent="0.25">
      <c r="A53" s="20">
        <v>45362</v>
      </c>
      <c r="B53" vm="154">
        <v>161.38</v>
      </c>
    </row>
    <row r="54" spans="1:2" x14ac:dyDescent="0.25">
      <c r="A54" s="20">
        <v>45369</v>
      </c>
      <c r="B54" vm="157">
        <v>161.21</v>
      </c>
    </row>
    <row r="55" spans="1:2" x14ac:dyDescent="0.25">
      <c r="A55" s="20">
        <v>45369</v>
      </c>
      <c r="B55" vm="160">
        <v>161.83000000000001</v>
      </c>
    </row>
    <row r="56" spans="1:2" x14ac:dyDescent="0.25">
      <c r="A56" s="20">
        <v>45369</v>
      </c>
      <c r="B56" vm="163">
        <v>161.99</v>
      </c>
    </row>
    <row r="57" spans="1:2" x14ac:dyDescent="0.25">
      <c r="A57" s="20">
        <v>45369</v>
      </c>
      <c r="B57" vm="166">
        <v>161.86000000000001</v>
      </c>
    </row>
    <row r="58" spans="1:2" x14ac:dyDescent="0.25">
      <c r="A58" s="20">
        <v>45369</v>
      </c>
      <c r="B58" vm="169">
        <v>161.66</v>
      </c>
    </row>
    <row r="59" spans="1:2" x14ac:dyDescent="0.25">
      <c r="A59" s="20">
        <v>45376</v>
      </c>
      <c r="B59" vm="172">
        <v>160.19</v>
      </c>
    </row>
    <row r="60" spans="1:2" x14ac:dyDescent="0.25">
      <c r="A60" s="20">
        <v>45376</v>
      </c>
      <c r="B60" vm="175">
        <v>160.55000000000001</v>
      </c>
    </row>
    <row r="61" spans="1:2" x14ac:dyDescent="0.25">
      <c r="A61" s="20">
        <v>45376</v>
      </c>
      <c r="B61" vm="178">
        <v>162.61000000000001</v>
      </c>
    </row>
    <row r="62" spans="1:2" x14ac:dyDescent="0.25">
      <c r="A62" s="20">
        <v>45376</v>
      </c>
      <c r="B62" vm="181">
        <v>162.25</v>
      </c>
    </row>
    <row r="63" spans="1:2" x14ac:dyDescent="0.25">
      <c r="A63" s="20">
        <v>45383</v>
      </c>
      <c r="B63" vm="184">
        <v>160.58000000000001</v>
      </c>
    </row>
    <row r="64" spans="1:2" x14ac:dyDescent="0.25">
      <c r="A64" s="20">
        <v>45383</v>
      </c>
      <c r="B64" vm="187">
        <v>160.57</v>
      </c>
    </row>
    <row r="65" spans="1:2" x14ac:dyDescent="0.25">
      <c r="A65" s="20">
        <v>45383</v>
      </c>
      <c r="B65" vm="190">
        <v>156.15</v>
      </c>
    </row>
    <row r="66" spans="1:2" x14ac:dyDescent="0.25">
      <c r="A66" s="20">
        <v>45383</v>
      </c>
      <c r="B66" vm="193">
        <v>155.44999999999999</v>
      </c>
    </row>
    <row r="67" spans="1:2" x14ac:dyDescent="0.25">
      <c r="A67" s="20">
        <v>45383</v>
      </c>
      <c r="B67" vm="196">
        <v>156.1</v>
      </c>
    </row>
    <row r="68" spans="1:2" x14ac:dyDescent="0.25">
      <c r="A68" s="20">
        <v>45390</v>
      </c>
      <c r="B68" vm="199">
        <v>156.04</v>
      </c>
    </row>
    <row r="69" spans="1:2" x14ac:dyDescent="0.25">
      <c r="A69" s="20">
        <v>45390</v>
      </c>
      <c r="B69" vm="202">
        <v>156.66</v>
      </c>
    </row>
    <row r="70" spans="1:2" x14ac:dyDescent="0.25">
      <c r="A70" s="20">
        <v>45390</v>
      </c>
      <c r="B70" vm="205">
        <v>157.24</v>
      </c>
    </row>
    <row r="71" spans="1:2" x14ac:dyDescent="0.25">
      <c r="A71" s="20">
        <v>45390</v>
      </c>
      <c r="B71" vm="208">
        <v>155.84</v>
      </c>
    </row>
    <row r="72" spans="1:2" x14ac:dyDescent="0.25">
      <c r="A72" s="20">
        <v>45390</v>
      </c>
      <c r="B72" vm="211">
        <v>155.33000000000001</v>
      </c>
    </row>
    <row r="73" spans="1:2" x14ac:dyDescent="0.25">
      <c r="A73" s="20">
        <v>45397</v>
      </c>
      <c r="B73" vm="193">
        <v>155.44999999999999</v>
      </c>
    </row>
    <row r="74" spans="1:2" x14ac:dyDescent="0.25">
      <c r="A74" s="20">
        <v>45397</v>
      </c>
      <c r="B74" vm="216">
        <v>155.94999999999999</v>
      </c>
    </row>
    <row r="75" spans="1:2" x14ac:dyDescent="0.25">
      <c r="A75" s="20">
        <v>45397</v>
      </c>
      <c r="B75" vm="219">
        <v>156.96</v>
      </c>
    </row>
    <row r="76" spans="1:2" x14ac:dyDescent="0.25">
      <c r="A76" s="20">
        <v>45397</v>
      </c>
      <c r="B76" vm="222">
        <v>157.29</v>
      </c>
    </row>
    <row r="77" spans="1:2" x14ac:dyDescent="0.25">
      <c r="A77" s="20">
        <v>45397</v>
      </c>
      <c r="B77" vm="225">
        <v>158.13999999999999</v>
      </c>
    </row>
    <row r="78" spans="1:2" x14ac:dyDescent="0.25">
      <c r="A78" s="20">
        <v>45404</v>
      </c>
      <c r="B78" vm="228">
        <v>160.54</v>
      </c>
    </row>
    <row r="79" spans="1:2" x14ac:dyDescent="0.25">
      <c r="A79" s="20">
        <v>45404</v>
      </c>
      <c r="B79" vm="151">
        <v>161.5</v>
      </c>
    </row>
    <row r="80" spans="1:2" x14ac:dyDescent="0.25">
      <c r="A80" s="20">
        <v>45404</v>
      </c>
      <c r="B80" vm="233">
        <v>162.6</v>
      </c>
    </row>
    <row r="81" spans="1:2" x14ac:dyDescent="0.25">
      <c r="A81" s="20">
        <v>45404</v>
      </c>
      <c r="B81" vm="236">
        <v>162.55000000000001</v>
      </c>
    </row>
    <row r="82" spans="1:2" x14ac:dyDescent="0.25">
      <c r="A82" s="20">
        <v>45404</v>
      </c>
      <c r="B82" vm="239">
        <v>161.29</v>
      </c>
    </row>
    <row r="83" spans="1:2" x14ac:dyDescent="0.25">
      <c r="A83" s="20">
        <v>45411</v>
      </c>
      <c r="B83" vm="169">
        <v>161.66</v>
      </c>
    </row>
    <row r="84" spans="1:2" x14ac:dyDescent="0.25">
      <c r="A84" s="20">
        <v>45411</v>
      </c>
      <c r="B84" vm="244">
        <v>163.19999999999999</v>
      </c>
    </row>
    <row r="85" spans="1:2" x14ac:dyDescent="0.25">
      <c r="A85" s="20">
        <v>45411</v>
      </c>
      <c r="B85" vm="247">
        <v>163.4</v>
      </c>
    </row>
    <row r="86" spans="1:2" x14ac:dyDescent="0.25">
      <c r="A86" s="20">
        <v>45411</v>
      </c>
      <c r="B86" vm="250">
        <v>163.84</v>
      </c>
    </row>
    <row r="87" spans="1:2" x14ac:dyDescent="0.25">
      <c r="A87" s="20">
        <v>45411</v>
      </c>
      <c r="B87" vm="253">
        <v>164.46</v>
      </c>
    </row>
    <row r="88" spans="1:2" x14ac:dyDescent="0.25">
      <c r="A88" s="20">
        <v>45418</v>
      </c>
      <c r="B88" vm="256">
        <v>164.44</v>
      </c>
    </row>
    <row r="89" spans="1:2" x14ac:dyDescent="0.25">
      <c r="A89" s="20">
        <v>45418</v>
      </c>
      <c r="B89" vm="259">
        <v>165.76</v>
      </c>
    </row>
    <row r="90" spans="1:2" x14ac:dyDescent="0.25">
      <c r="A90" s="20">
        <v>45418</v>
      </c>
      <c r="B90" vm="262">
        <v>165.07</v>
      </c>
    </row>
    <row r="91" spans="1:2" x14ac:dyDescent="0.25">
      <c r="A91" s="20">
        <v>45418</v>
      </c>
      <c r="B91" vm="265">
        <v>166.04</v>
      </c>
    </row>
    <row r="92" spans="1:2" x14ac:dyDescent="0.25">
      <c r="A92" s="20">
        <v>45418</v>
      </c>
      <c r="B92" vm="268">
        <v>166.85</v>
      </c>
    </row>
    <row r="93" spans="1:2" x14ac:dyDescent="0.25">
      <c r="A93" s="20">
        <v>45425</v>
      </c>
      <c r="B93" vm="271">
        <v>165.87</v>
      </c>
    </row>
    <row r="94" spans="1:2" x14ac:dyDescent="0.25">
      <c r="A94" s="20">
        <v>45425</v>
      </c>
      <c r="B94" vm="259">
        <v>165.76</v>
      </c>
    </row>
    <row r="95" spans="1:2" x14ac:dyDescent="0.25">
      <c r="A95" s="20">
        <v>45425</v>
      </c>
      <c r="B95" vm="276">
        <v>166.51</v>
      </c>
    </row>
    <row r="96" spans="1:2" x14ac:dyDescent="0.25">
      <c r="A96" s="20">
        <v>45425</v>
      </c>
      <c r="B96" vm="279">
        <v>167.86</v>
      </c>
    </row>
    <row r="97" spans="1:2" x14ac:dyDescent="0.25">
      <c r="A97" s="20">
        <v>45425</v>
      </c>
      <c r="B97" vm="282">
        <v>167.64</v>
      </c>
    </row>
    <row r="98" spans="1:2" x14ac:dyDescent="0.25">
      <c r="A98" s="20">
        <v>45432</v>
      </c>
      <c r="B98" vm="285">
        <v>167.31</v>
      </c>
    </row>
    <row r="99" spans="1:2" x14ac:dyDescent="0.25">
      <c r="A99" s="20">
        <v>45432</v>
      </c>
      <c r="B99" vm="288">
        <v>168.35</v>
      </c>
    </row>
    <row r="100" spans="1:2" x14ac:dyDescent="0.25">
      <c r="A100" s="20">
        <v>45432</v>
      </c>
      <c r="B100" vm="291">
        <v>167.81</v>
      </c>
    </row>
    <row r="101" spans="1:2" x14ac:dyDescent="0.25">
      <c r="A101" s="20">
        <v>45432</v>
      </c>
      <c r="B101" vm="294">
        <v>165.49</v>
      </c>
    </row>
    <row r="102" spans="1:2" x14ac:dyDescent="0.25">
      <c r="A102" s="20">
        <v>45432</v>
      </c>
      <c r="B102" vm="297">
        <v>165.33</v>
      </c>
    </row>
    <row r="103" spans="1:2" x14ac:dyDescent="0.25">
      <c r="A103" s="20">
        <v>45439</v>
      </c>
      <c r="B103" vm="300">
        <v>163.11000000000001</v>
      </c>
    </row>
    <row r="104" spans="1:2" x14ac:dyDescent="0.25">
      <c r="A104" s="20">
        <v>45439</v>
      </c>
      <c r="B104" vm="303">
        <v>161.65</v>
      </c>
    </row>
    <row r="105" spans="1:2" x14ac:dyDescent="0.25">
      <c r="A105" s="20">
        <v>45439</v>
      </c>
      <c r="B105" vm="306">
        <v>162.58000000000001</v>
      </c>
    </row>
    <row r="106" spans="1:2" x14ac:dyDescent="0.25">
      <c r="A106" s="20">
        <v>45439</v>
      </c>
      <c r="B106" vm="309">
        <v>164.54</v>
      </c>
    </row>
    <row r="107" spans="1:2" x14ac:dyDescent="0.25">
      <c r="A107" s="20">
        <v>45446</v>
      </c>
      <c r="B107" vm="312">
        <v>164.65</v>
      </c>
    </row>
    <row r="108" spans="1:2" x14ac:dyDescent="0.25">
      <c r="A108" s="20">
        <v>45446</v>
      </c>
      <c r="B108" vm="315">
        <v>167.01</v>
      </c>
    </row>
    <row r="109" spans="1:2" x14ac:dyDescent="0.25">
      <c r="A109" s="20">
        <v>45446</v>
      </c>
      <c r="B109" vm="318">
        <v>166.05</v>
      </c>
    </row>
    <row r="110" spans="1:2" x14ac:dyDescent="0.25">
      <c r="A110" s="20">
        <v>45446</v>
      </c>
      <c r="B110" vm="321">
        <v>168.47</v>
      </c>
    </row>
    <row r="111" spans="1:2" x14ac:dyDescent="0.25">
      <c r="A111" s="20">
        <v>45446</v>
      </c>
      <c r="B111" vm="324">
        <v>167.06</v>
      </c>
    </row>
    <row r="112" spans="1:2" x14ac:dyDescent="0.25">
      <c r="A112" s="20">
        <v>45453</v>
      </c>
      <c r="B112" vm="327">
        <v>167.35</v>
      </c>
    </row>
    <row r="113" spans="1:2" x14ac:dyDescent="0.25">
      <c r="A113" s="20">
        <v>45453</v>
      </c>
      <c r="B113" vm="330">
        <v>167.48</v>
      </c>
    </row>
    <row r="114" spans="1:2" x14ac:dyDescent="0.25">
      <c r="A114" s="20">
        <v>45453</v>
      </c>
      <c r="B114" vm="333">
        <v>165.18</v>
      </c>
    </row>
    <row r="115" spans="1:2" x14ac:dyDescent="0.25">
      <c r="A115" s="20">
        <v>45453</v>
      </c>
      <c r="B115" vm="336">
        <v>166.41</v>
      </c>
    </row>
    <row r="116" spans="1:2" x14ac:dyDescent="0.25">
      <c r="A116" s="20">
        <v>45453</v>
      </c>
      <c r="B116" vm="339">
        <v>166.79</v>
      </c>
    </row>
    <row r="117" spans="1:2" x14ac:dyDescent="0.25">
      <c r="A117" s="20">
        <v>45460</v>
      </c>
      <c r="B117" vm="342">
        <v>167.5</v>
      </c>
    </row>
    <row r="118" spans="1:2" x14ac:dyDescent="0.25">
      <c r="A118" s="20">
        <v>45460</v>
      </c>
      <c r="B118" vm="345">
        <v>168.56</v>
      </c>
    </row>
    <row r="119" spans="1:2" x14ac:dyDescent="0.25">
      <c r="A119" s="20">
        <v>45460</v>
      </c>
      <c r="B119" vm="348">
        <v>167.67</v>
      </c>
    </row>
    <row r="120" spans="1:2" x14ac:dyDescent="0.25">
      <c r="A120" s="20">
        <v>45460</v>
      </c>
      <c r="B120" vm="351">
        <v>168.26</v>
      </c>
    </row>
    <row r="121" spans="1:2" x14ac:dyDescent="0.25">
      <c r="A121" s="20">
        <v>45467</v>
      </c>
      <c r="B121" vm="354">
        <v>168.45</v>
      </c>
    </row>
    <row r="122" spans="1:2" x14ac:dyDescent="0.25">
      <c r="A122" s="20">
        <v>45467</v>
      </c>
      <c r="B122" vm="268">
        <v>166.85</v>
      </c>
    </row>
    <row r="123" spans="1:2" x14ac:dyDescent="0.25">
      <c r="A123" s="20">
        <v>45467</v>
      </c>
      <c r="B123" vm="359">
        <v>167.45</v>
      </c>
    </row>
    <row r="124" spans="1:2" x14ac:dyDescent="0.25">
      <c r="A124" s="20">
        <v>45467</v>
      </c>
      <c r="B124" vm="362">
        <v>166.62</v>
      </c>
    </row>
    <row r="125" spans="1:2" x14ac:dyDescent="0.25">
      <c r="A125" s="20">
        <v>45467</v>
      </c>
      <c r="B125" vm="365">
        <v>164.92</v>
      </c>
    </row>
    <row r="126" spans="1:2" x14ac:dyDescent="0.25">
      <c r="A126" s="20">
        <v>45474</v>
      </c>
      <c r="B126" vm="368">
        <v>162.72</v>
      </c>
    </row>
    <row r="127" spans="1:2" x14ac:dyDescent="0.25">
      <c r="A127" s="20">
        <v>45474</v>
      </c>
      <c r="B127" vm="371">
        <v>163.9</v>
      </c>
    </row>
    <row r="128" spans="1:2" x14ac:dyDescent="0.25">
      <c r="A128" s="20">
        <v>45474</v>
      </c>
      <c r="B128" vm="374">
        <v>163.83000000000001</v>
      </c>
    </row>
    <row r="129" spans="1:2" x14ac:dyDescent="0.25">
      <c r="A129" s="20">
        <v>45474</v>
      </c>
      <c r="B129" vm="377">
        <v>165.21</v>
      </c>
    </row>
    <row r="130" spans="1:2" x14ac:dyDescent="0.25">
      <c r="A130" s="20">
        <v>45481</v>
      </c>
      <c r="B130" vm="380">
        <v>166.52</v>
      </c>
    </row>
    <row r="131" spans="1:2" x14ac:dyDescent="0.25">
      <c r="A131" s="20">
        <v>45481</v>
      </c>
      <c r="B131" vm="383">
        <v>165.66</v>
      </c>
    </row>
    <row r="132" spans="1:2" x14ac:dyDescent="0.25">
      <c r="A132" s="20">
        <v>45481</v>
      </c>
      <c r="B132" vm="386">
        <v>166.8</v>
      </c>
    </row>
    <row r="133" spans="1:2" x14ac:dyDescent="0.25">
      <c r="A133" s="20">
        <v>45481</v>
      </c>
      <c r="B133" vm="389">
        <v>165.54</v>
      </c>
    </row>
    <row r="134" spans="1:2" x14ac:dyDescent="0.25">
      <c r="A134" s="20">
        <v>45481</v>
      </c>
      <c r="B134" vm="392">
        <v>166.61</v>
      </c>
    </row>
    <row r="135" spans="1:2" x14ac:dyDescent="0.25">
      <c r="A135" s="20">
        <v>45488</v>
      </c>
      <c r="B135" vm="395">
        <v>164.58</v>
      </c>
    </row>
    <row r="136" spans="1:2" x14ac:dyDescent="0.25">
      <c r="A136" s="20">
        <v>45488</v>
      </c>
      <c r="B136" vm="398">
        <v>166.95</v>
      </c>
    </row>
    <row r="137" spans="1:2" x14ac:dyDescent="0.25">
      <c r="A137" s="20">
        <v>45488</v>
      </c>
      <c r="B137" vm="401">
        <v>169.44</v>
      </c>
    </row>
    <row r="138" spans="1:2" x14ac:dyDescent="0.25">
      <c r="A138" s="20">
        <v>45488</v>
      </c>
      <c r="B138" vm="404">
        <v>168.44</v>
      </c>
    </row>
    <row r="139" spans="1:2" x14ac:dyDescent="0.25">
      <c r="A139" s="20">
        <v>45488</v>
      </c>
      <c r="B139" vm="407">
        <v>167.96</v>
      </c>
    </row>
    <row r="140" spans="1:2" x14ac:dyDescent="0.25">
      <c r="A140" s="20">
        <v>45495</v>
      </c>
      <c r="B140" vm="410">
        <v>168.25</v>
      </c>
    </row>
    <row r="141" spans="1:2" x14ac:dyDescent="0.25">
      <c r="A141" s="20">
        <v>45495</v>
      </c>
      <c r="B141" vm="362">
        <v>166.62</v>
      </c>
    </row>
    <row r="142" spans="1:2" x14ac:dyDescent="0.25">
      <c r="A142" s="20">
        <v>45495</v>
      </c>
      <c r="B142" vm="415">
        <v>168</v>
      </c>
    </row>
    <row r="143" spans="1:2" x14ac:dyDescent="0.25">
      <c r="A143" s="20">
        <v>45495</v>
      </c>
      <c r="B143" vm="418">
        <v>166.9</v>
      </c>
    </row>
    <row r="144" spans="1:2" x14ac:dyDescent="0.25">
      <c r="A144" s="20">
        <v>45495</v>
      </c>
      <c r="B144" vm="421">
        <v>169.11</v>
      </c>
    </row>
    <row r="145" spans="1:2" x14ac:dyDescent="0.25">
      <c r="A145" s="20">
        <v>45502</v>
      </c>
      <c r="B145" vm="424">
        <v>169.93</v>
      </c>
    </row>
    <row r="146" spans="1:2" x14ac:dyDescent="0.25">
      <c r="A146" s="20">
        <v>45502</v>
      </c>
      <c r="B146" vm="427">
        <v>161.69999999999999</v>
      </c>
    </row>
    <row r="147" spans="1:2" x14ac:dyDescent="0.25">
      <c r="A147" s="20">
        <v>45502</v>
      </c>
      <c r="B147" vm="430">
        <v>160.76</v>
      </c>
    </row>
    <row r="148" spans="1:2" x14ac:dyDescent="0.25">
      <c r="A148" s="20">
        <v>45502</v>
      </c>
      <c r="B148" vm="433">
        <v>165.69</v>
      </c>
    </row>
    <row r="149" spans="1:2" x14ac:dyDescent="0.25">
      <c r="A149" s="20">
        <v>45502</v>
      </c>
      <c r="B149" vm="436">
        <v>170.08</v>
      </c>
    </row>
    <row r="150" spans="1:2" x14ac:dyDescent="0.25">
      <c r="A150" s="20">
        <v>45509</v>
      </c>
      <c r="B150" vm="439">
        <v>168.06</v>
      </c>
    </row>
    <row r="151" spans="1:2" x14ac:dyDescent="0.25">
      <c r="A151" s="20">
        <v>45509</v>
      </c>
      <c r="B151" vm="442">
        <v>168.09</v>
      </c>
    </row>
    <row r="152" spans="1:2" x14ac:dyDescent="0.25">
      <c r="A152" s="20">
        <v>45509</v>
      </c>
      <c r="B152" vm="445">
        <v>170.02</v>
      </c>
    </row>
    <row r="153" spans="1:2" x14ac:dyDescent="0.25">
      <c r="A153" s="20">
        <v>45509</v>
      </c>
      <c r="B153" vm="448">
        <v>170.87</v>
      </c>
    </row>
    <row r="154" spans="1:2" x14ac:dyDescent="0.25">
      <c r="A154" s="20">
        <v>45509</v>
      </c>
      <c r="B154" vm="451">
        <v>170.54</v>
      </c>
    </row>
    <row r="155" spans="1:2" x14ac:dyDescent="0.25">
      <c r="A155" s="20">
        <v>45516</v>
      </c>
      <c r="B155" vm="454">
        <v>166.81</v>
      </c>
    </row>
    <row r="156" spans="1:2" x14ac:dyDescent="0.25">
      <c r="A156" s="20">
        <v>45516</v>
      </c>
      <c r="B156" vm="457">
        <v>167.29</v>
      </c>
    </row>
    <row r="157" spans="1:2" x14ac:dyDescent="0.25">
      <c r="A157" s="20">
        <v>45516</v>
      </c>
      <c r="B157" vm="460">
        <v>168.8</v>
      </c>
    </row>
    <row r="158" spans="1:2" x14ac:dyDescent="0.25">
      <c r="A158" s="20">
        <v>45516</v>
      </c>
      <c r="B158" vm="463">
        <v>167.92</v>
      </c>
    </row>
    <row r="159" spans="1:2" x14ac:dyDescent="0.25">
      <c r="A159" s="20">
        <v>45516</v>
      </c>
      <c r="B159" vm="466">
        <v>167.89</v>
      </c>
    </row>
    <row r="160" spans="1:2" x14ac:dyDescent="0.25">
      <c r="A160" s="20">
        <v>45523</v>
      </c>
      <c r="B160" vm="469">
        <v>168.42</v>
      </c>
    </row>
    <row r="161" spans="1:2" x14ac:dyDescent="0.25">
      <c r="A161" s="20">
        <v>45523</v>
      </c>
      <c r="B161" vm="472">
        <v>170.41</v>
      </c>
    </row>
    <row r="162" spans="1:2" x14ac:dyDescent="0.25">
      <c r="A162" s="20">
        <v>45523</v>
      </c>
      <c r="B162" vm="475">
        <v>170.16</v>
      </c>
    </row>
    <row r="163" spans="1:2" x14ac:dyDescent="0.25">
      <c r="A163" s="20">
        <v>45523</v>
      </c>
      <c r="B163" vm="478">
        <v>170.15</v>
      </c>
    </row>
    <row r="164" spans="1:2" x14ac:dyDescent="0.25">
      <c r="A164" s="20">
        <v>45523</v>
      </c>
      <c r="B164" vm="481">
        <v>169.17</v>
      </c>
    </row>
    <row r="165" spans="1:2" x14ac:dyDescent="0.25">
      <c r="A165" s="20">
        <v>45530</v>
      </c>
      <c r="B165" vm="484">
        <v>170.35</v>
      </c>
    </row>
    <row r="166" spans="1:2" x14ac:dyDescent="0.25">
      <c r="A166" s="20">
        <v>45530</v>
      </c>
      <c r="B166" vm="487">
        <v>169.25</v>
      </c>
    </row>
    <row r="167" spans="1:2" x14ac:dyDescent="0.25">
      <c r="A167" s="20">
        <v>45530</v>
      </c>
      <c r="B167" vm="490">
        <v>169.06</v>
      </c>
    </row>
    <row r="168" spans="1:2" x14ac:dyDescent="0.25">
      <c r="A168" s="20">
        <v>45530</v>
      </c>
      <c r="B168" vm="493">
        <v>170.03</v>
      </c>
    </row>
    <row r="169" spans="1:2" x14ac:dyDescent="0.25">
      <c r="A169" s="20">
        <v>45530</v>
      </c>
      <c r="B169" vm="496">
        <v>171.54</v>
      </c>
    </row>
    <row r="170" spans="1:2" x14ac:dyDescent="0.25">
      <c r="A170" s="20">
        <v>45537</v>
      </c>
      <c r="B170" vm="499">
        <v>174.52</v>
      </c>
    </row>
    <row r="171" spans="1:2" x14ac:dyDescent="0.25">
      <c r="A171" s="20">
        <v>45537</v>
      </c>
      <c r="B171" vm="502">
        <v>175.9</v>
      </c>
    </row>
    <row r="172" spans="1:2" x14ac:dyDescent="0.25">
      <c r="A172" s="20">
        <v>45537</v>
      </c>
      <c r="B172" vm="505">
        <v>175.47</v>
      </c>
    </row>
    <row r="173" spans="1:2" x14ac:dyDescent="0.25">
      <c r="A173" s="20">
        <v>45537</v>
      </c>
      <c r="B173" vm="508">
        <v>175.59</v>
      </c>
    </row>
    <row r="174" spans="1:2" x14ac:dyDescent="0.25">
      <c r="A174" s="20">
        <v>45544</v>
      </c>
      <c r="B174" vm="511">
        <v>176.06</v>
      </c>
    </row>
    <row r="175" spans="1:2" x14ac:dyDescent="0.25">
      <c r="A175" s="20">
        <v>45544</v>
      </c>
      <c r="B175" vm="514">
        <v>177.79</v>
      </c>
    </row>
    <row r="176" spans="1:2" x14ac:dyDescent="0.25">
      <c r="A176" s="20">
        <v>45544</v>
      </c>
      <c r="B176" vm="517">
        <v>173.92</v>
      </c>
    </row>
    <row r="177" spans="1:2" x14ac:dyDescent="0.25">
      <c r="A177" s="20">
        <v>45544</v>
      </c>
      <c r="B177" vm="520">
        <v>173.47</v>
      </c>
    </row>
    <row r="178" spans="1:2" x14ac:dyDescent="0.25">
      <c r="A178" s="20">
        <v>45544</v>
      </c>
      <c r="B178" vm="523">
        <v>174.08</v>
      </c>
    </row>
    <row r="179" spans="1:2" x14ac:dyDescent="0.25">
      <c r="A179" s="20">
        <v>45551</v>
      </c>
      <c r="B179" vm="526">
        <v>177.24</v>
      </c>
    </row>
    <row r="180" spans="1:2" x14ac:dyDescent="0.25">
      <c r="A180" s="20">
        <v>45551</v>
      </c>
      <c r="B180" vm="529">
        <v>175.88</v>
      </c>
    </row>
    <row r="181" spans="1:2" x14ac:dyDescent="0.25">
      <c r="A181" s="20">
        <v>45551</v>
      </c>
      <c r="B181" vm="517">
        <v>173.92</v>
      </c>
    </row>
    <row r="182" spans="1:2" x14ac:dyDescent="0.25">
      <c r="A182" s="20">
        <v>45551</v>
      </c>
      <c r="B182" vm="496">
        <v>171.54</v>
      </c>
    </row>
    <row r="183" spans="1:2" x14ac:dyDescent="0.25">
      <c r="A183" s="20">
        <v>45551</v>
      </c>
      <c r="B183" vm="536">
        <v>174.22</v>
      </c>
    </row>
    <row r="184" spans="1:2" x14ac:dyDescent="0.25">
      <c r="A184" s="20">
        <v>45558</v>
      </c>
      <c r="B184" vm="539">
        <v>173.77</v>
      </c>
    </row>
    <row r="185" spans="1:2" x14ac:dyDescent="0.25">
      <c r="A185" s="20">
        <v>45558</v>
      </c>
      <c r="B185" vm="542">
        <v>173.24</v>
      </c>
    </row>
    <row r="186" spans="1:2" x14ac:dyDescent="0.25">
      <c r="A186" s="20">
        <v>45558</v>
      </c>
      <c r="B186" vm="545">
        <v>172.26</v>
      </c>
    </row>
    <row r="187" spans="1:2" x14ac:dyDescent="0.25">
      <c r="A187" s="20">
        <v>45558</v>
      </c>
      <c r="B187" vm="548">
        <v>173.21</v>
      </c>
    </row>
    <row r="188" spans="1:2" x14ac:dyDescent="0.25">
      <c r="A188" s="20">
        <v>45558</v>
      </c>
      <c r="B188" vm="551">
        <v>173.55</v>
      </c>
    </row>
    <row r="189" spans="1:2" x14ac:dyDescent="0.25">
      <c r="A189" s="20">
        <v>45565</v>
      </c>
      <c r="B189" vm="554">
        <v>173.2</v>
      </c>
    </row>
    <row r="190" spans="1:2" x14ac:dyDescent="0.25">
      <c r="A190" s="20">
        <v>45565</v>
      </c>
      <c r="B190" vm="557">
        <v>173.04</v>
      </c>
    </row>
    <row r="191" spans="1:2" x14ac:dyDescent="0.25">
      <c r="A191" s="20">
        <v>45565</v>
      </c>
      <c r="B191" vm="560">
        <v>171.92</v>
      </c>
    </row>
    <row r="192" spans="1:2" x14ac:dyDescent="0.25">
      <c r="A192" s="20">
        <v>45565</v>
      </c>
      <c r="B192" vm="563">
        <v>170.12</v>
      </c>
    </row>
    <row r="193" spans="1:2" x14ac:dyDescent="0.25">
      <c r="A193" s="20">
        <v>45565</v>
      </c>
      <c r="B193" vm="566">
        <v>168.88</v>
      </c>
    </row>
    <row r="194" spans="1:2" x14ac:dyDescent="0.25">
      <c r="A194" s="20">
        <v>45572</v>
      </c>
      <c r="B194" vm="569">
        <v>167.12</v>
      </c>
    </row>
    <row r="195" spans="1:2" x14ac:dyDescent="0.25">
      <c r="A195" s="20">
        <v>45572</v>
      </c>
      <c r="B195" vm="572">
        <v>168.16</v>
      </c>
    </row>
    <row r="196" spans="1:2" x14ac:dyDescent="0.25">
      <c r="A196" s="20">
        <v>45572</v>
      </c>
      <c r="B196" vm="575">
        <v>169.27</v>
      </c>
    </row>
    <row r="197" spans="1:2" x14ac:dyDescent="0.25">
      <c r="A197" s="20">
        <v>45572</v>
      </c>
      <c r="B197" vm="578">
        <v>168.95</v>
      </c>
    </row>
    <row r="198" spans="1:2" x14ac:dyDescent="0.25">
      <c r="A198" s="20">
        <v>45572</v>
      </c>
      <c r="B198" vm="581">
        <v>171.09</v>
      </c>
    </row>
    <row r="199" spans="1:2" x14ac:dyDescent="0.25">
      <c r="A199" s="20">
        <v>45579</v>
      </c>
      <c r="B199" vm="584">
        <v>172.51</v>
      </c>
    </row>
    <row r="200" spans="1:2" x14ac:dyDescent="0.25">
      <c r="A200" s="20">
        <v>45579</v>
      </c>
      <c r="B200" vm="587">
        <v>173.57</v>
      </c>
    </row>
    <row r="201" spans="1:2" x14ac:dyDescent="0.25">
      <c r="A201" s="20">
        <v>45579</v>
      </c>
      <c r="B201" vm="590">
        <v>172.38</v>
      </c>
    </row>
    <row r="202" spans="1:2" x14ac:dyDescent="0.25">
      <c r="A202" s="20">
        <v>45579</v>
      </c>
      <c r="B202" vm="593">
        <v>172.28</v>
      </c>
    </row>
    <row r="203" spans="1:2" x14ac:dyDescent="0.25">
      <c r="A203" s="20">
        <v>45579</v>
      </c>
      <c r="B203" vm="596">
        <v>171.28</v>
      </c>
    </row>
    <row r="204" spans="1:2" x14ac:dyDescent="0.25">
      <c r="A204" s="20">
        <v>45586</v>
      </c>
      <c r="B204" vm="599">
        <v>169.54</v>
      </c>
    </row>
    <row r="205" spans="1:2" x14ac:dyDescent="0.25">
      <c r="A205" s="20">
        <v>45586</v>
      </c>
      <c r="B205" vm="602">
        <v>169.7</v>
      </c>
    </row>
    <row r="206" spans="1:2" x14ac:dyDescent="0.25">
      <c r="A206" s="20">
        <v>45586</v>
      </c>
      <c r="B206" vm="605">
        <v>169.58</v>
      </c>
    </row>
    <row r="207" spans="1:2" x14ac:dyDescent="0.25">
      <c r="A207" s="20">
        <v>45586</v>
      </c>
      <c r="B207" vm="608">
        <v>169.62</v>
      </c>
    </row>
    <row r="208" spans="1:2" x14ac:dyDescent="0.25">
      <c r="A208" s="20">
        <v>45586</v>
      </c>
      <c r="B208" vm="611">
        <v>168.22</v>
      </c>
    </row>
    <row r="209" spans="1:2" x14ac:dyDescent="0.25">
      <c r="A209" s="20">
        <v>45593</v>
      </c>
      <c r="B209" vm="614">
        <v>169.3</v>
      </c>
    </row>
    <row r="210" spans="1:2" x14ac:dyDescent="0.25">
      <c r="A210" s="20">
        <v>45593</v>
      </c>
      <c r="B210" vm="617">
        <v>167.17</v>
      </c>
    </row>
    <row r="211" spans="1:2" x14ac:dyDescent="0.25">
      <c r="A211" s="20">
        <v>45593</v>
      </c>
      <c r="B211" vm="620">
        <v>166.16</v>
      </c>
    </row>
    <row r="212" spans="1:2" x14ac:dyDescent="0.25">
      <c r="A212" s="20">
        <v>45593</v>
      </c>
      <c r="B212" vm="333">
        <v>165.18</v>
      </c>
    </row>
    <row r="213" spans="1:2" x14ac:dyDescent="0.25">
      <c r="A213" s="20">
        <v>45593</v>
      </c>
      <c r="B213" vm="625">
        <v>165.1</v>
      </c>
    </row>
    <row r="214" spans="1:2" x14ac:dyDescent="0.25">
      <c r="A214" s="20">
        <v>45600</v>
      </c>
      <c r="B214" vm="628">
        <v>165.08</v>
      </c>
    </row>
    <row r="215" spans="1:2" x14ac:dyDescent="0.25">
      <c r="A215" s="20">
        <v>45600</v>
      </c>
      <c r="B215" vm="259">
        <v>165.76</v>
      </c>
    </row>
    <row r="216" spans="1:2" x14ac:dyDescent="0.25">
      <c r="A216" s="20">
        <v>45600</v>
      </c>
      <c r="B216" vm="633">
        <v>161.05000000000001</v>
      </c>
    </row>
    <row r="217" spans="1:2" x14ac:dyDescent="0.25">
      <c r="A217" s="20">
        <v>45600</v>
      </c>
      <c r="B217" vm="636">
        <v>163.41</v>
      </c>
    </row>
    <row r="218" spans="1:2" x14ac:dyDescent="0.25">
      <c r="A218" s="20">
        <v>45600</v>
      </c>
      <c r="B218" vm="639">
        <v>167.71</v>
      </c>
    </row>
    <row r="219" spans="1:2" x14ac:dyDescent="0.25">
      <c r="A219" s="20">
        <v>45607</v>
      </c>
      <c r="B219" vm="642">
        <v>166.03</v>
      </c>
    </row>
    <row r="220" spans="1:2" x14ac:dyDescent="0.25">
      <c r="A220" s="20">
        <v>45607</v>
      </c>
      <c r="B220" vm="645">
        <v>165.84</v>
      </c>
    </row>
    <row r="221" spans="1:2" x14ac:dyDescent="0.25">
      <c r="A221" s="20">
        <v>45607</v>
      </c>
      <c r="B221" vm="648">
        <v>166.58</v>
      </c>
    </row>
    <row r="222" spans="1:2" x14ac:dyDescent="0.25">
      <c r="A222" s="20">
        <v>45607</v>
      </c>
      <c r="B222" vm="651">
        <v>167.08</v>
      </c>
    </row>
    <row r="223" spans="1:2" x14ac:dyDescent="0.25">
      <c r="A223" s="20">
        <v>45607</v>
      </c>
      <c r="B223" vm="599">
        <v>169.54</v>
      </c>
    </row>
    <row r="224" spans="1:2" x14ac:dyDescent="0.25">
      <c r="A224" s="20">
        <v>45614</v>
      </c>
      <c r="B224" vm="656">
        <v>170.75</v>
      </c>
    </row>
    <row r="225" spans="1:2" x14ac:dyDescent="0.25">
      <c r="A225" s="20">
        <v>45614</v>
      </c>
      <c r="B225" vm="659">
        <v>170.76</v>
      </c>
    </row>
    <row r="226" spans="1:2" x14ac:dyDescent="0.25">
      <c r="A226" s="20">
        <v>45614</v>
      </c>
      <c r="B226" vm="662">
        <v>170.89</v>
      </c>
    </row>
    <row r="227" spans="1:2" x14ac:dyDescent="0.25">
      <c r="A227" s="20">
        <v>45614</v>
      </c>
      <c r="B227" vm="665">
        <v>172.75</v>
      </c>
    </row>
    <row r="228" spans="1:2" x14ac:dyDescent="0.25">
      <c r="A228" s="20">
        <v>45614</v>
      </c>
      <c r="B228" vm="668">
        <v>176.28</v>
      </c>
    </row>
    <row r="229" spans="1:2" x14ac:dyDescent="0.25">
      <c r="A229" s="20">
        <v>45621</v>
      </c>
      <c r="B229" vm="671">
        <v>177.39</v>
      </c>
    </row>
    <row r="230" spans="1:2" x14ac:dyDescent="0.25">
      <c r="A230" s="20">
        <v>45621</v>
      </c>
      <c r="B230" vm="674">
        <v>179.31</v>
      </c>
    </row>
    <row r="231" spans="1:2" x14ac:dyDescent="0.25">
      <c r="A231" s="20">
        <v>45621</v>
      </c>
      <c r="B231" vm="677">
        <v>179.36</v>
      </c>
    </row>
    <row r="232" spans="1:2" x14ac:dyDescent="0.25">
      <c r="A232" s="20">
        <v>45621</v>
      </c>
      <c r="B232" vm="680">
        <v>179.26</v>
      </c>
    </row>
    <row r="233" spans="1:2" x14ac:dyDescent="0.25">
      <c r="A233" s="20">
        <v>45628</v>
      </c>
      <c r="B233" vm="683">
        <v>179.7</v>
      </c>
    </row>
    <row r="234" spans="1:2" x14ac:dyDescent="0.25">
      <c r="A234" s="20">
        <v>45628</v>
      </c>
      <c r="B234" vm="686">
        <v>175.42</v>
      </c>
    </row>
    <row r="235" spans="1:2" x14ac:dyDescent="0.25">
      <c r="A235" s="20">
        <v>45628</v>
      </c>
      <c r="B235" vm="689">
        <v>175.11</v>
      </c>
    </row>
    <row r="236" spans="1:2" x14ac:dyDescent="0.25">
      <c r="A236" s="20">
        <v>45628</v>
      </c>
      <c r="B236" vm="692">
        <v>176.03</v>
      </c>
    </row>
    <row r="237" spans="1:2" x14ac:dyDescent="0.25">
      <c r="A237" s="20">
        <v>45628</v>
      </c>
      <c r="B237" vm="695">
        <v>173.82</v>
      </c>
    </row>
    <row r="238" spans="1:2" x14ac:dyDescent="0.25">
      <c r="A238" s="20">
        <v>45635</v>
      </c>
      <c r="B238" vm="698">
        <v>170.79</v>
      </c>
    </row>
    <row r="239" spans="1:2" x14ac:dyDescent="0.25">
      <c r="A239" s="20">
        <v>45635</v>
      </c>
      <c r="B239" vm="593">
        <v>172.28</v>
      </c>
    </row>
    <row r="240" spans="1:2" x14ac:dyDescent="0.25">
      <c r="A240" s="20">
        <v>45635</v>
      </c>
      <c r="B240" vm="703">
        <v>170.63</v>
      </c>
    </row>
    <row r="241" spans="1:2" x14ac:dyDescent="0.25">
      <c r="A241" s="20">
        <v>45635</v>
      </c>
      <c r="B241" vm="706">
        <v>170.85</v>
      </c>
    </row>
    <row r="242" spans="1:2" x14ac:dyDescent="0.25">
      <c r="A242" s="20">
        <v>45635</v>
      </c>
      <c r="B242" vm="709">
        <v>171.06</v>
      </c>
    </row>
    <row r="243" spans="1:2" x14ac:dyDescent="0.25">
      <c r="A243" s="20">
        <v>45642</v>
      </c>
      <c r="B243" vm="712">
        <v>171.14</v>
      </c>
    </row>
    <row r="244" spans="1:2" x14ac:dyDescent="0.25">
      <c r="A244" s="20">
        <v>45642</v>
      </c>
      <c r="B244" vm="715">
        <v>170.33</v>
      </c>
    </row>
    <row r="245" spans="1:2" x14ac:dyDescent="0.25">
      <c r="A245" s="20">
        <v>45642</v>
      </c>
      <c r="B245" vm="718">
        <v>169.08</v>
      </c>
    </row>
    <row r="246" spans="1:2" x14ac:dyDescent="0.25">
      <c r="A246" s="20">
        <v>45642</v>
      </c>
      <c r="B246" vm="721">
        <v>169.19</v>
      </c>
    </row>
    <row r="247" spans="1:2" x14ac:dyDescent="0.25">
      <c r="A247" s="20">
        <v>45642</v>
      </c>
      <c r="B247" vm="439">
        <v>168.06</v>
      </c>
    </row>
    <row r="248" spans="1:2" x14ac:dyDescent="0.25">
      <c r="A248" s="20">
        <v>45649</v>
      </c>
      <c r="B248" vm="726">
        <v>168.11</v>
      </c>
    </row>
    <row r="249" spans="1:2" x14ac:dyDescent="0.25">
      <c r="A249" s="20">
        <v>45649</v>
      </c>
      <c r="B249" vm="729">
        <v>168.94</v>
      </c>
    </row>
    <row r="250" spans="1:2" x14ac:dyDescent="0.25">
      <c r="A250" s="20">
        <v>45649</v>
      </c>
      <c r="B250" vm="475">
        <v>170.16</v>
      </c>
    </row>
    <row r="251" spans="1:2" x14ac:dyDescent="0.25">
      <c r="A251" s="20">
        <v>45649</v>
      </c>
      <c r="B251" vm="734">
        <v>169.53</v>
      </c>
    </row>
    <row r="252" spans="1:2" x14ac:dyDescent="0.25">
      <c r="A252" s="20">
        <v>45656</v>
      </c>
      <c r="B252" vm="737">
        <v>167.09</v>
      </c>
    </row>
    <row r="253" spans="1:2" x14ac:dyDescent="0.25">
      <c r="A253" s="20">
        <v>45656</v>
      </c>
      <c r="B253" vm="740">
        <v>167.65</v>
      </c>
    </row>
    <row r="254" spans="1:2" x14ac:dyDescent="0.25">
      <c r="A254" s="20">
        <v>45656</v>
      </c>
      <c r="B254" vm="743">
        <v>165.98</v>
      </c>
    </row>
    <row r="255" spans="1:2" x14ac:dyDescent="0.25">
      <c r="A255" s="20">
        <v>45656</v>
      </c>
      <c r="B255" vm="746">
        <v>165.13</v>
      </c>
    </row>
    <row r="256" spans="1:2" x14ac:dyDescent="0.25">
      <c r="A256" s="20">
        <v>45663</v>
      </c>
      <c r="B256" vm="749">
        <v>160.6</v>
      </c>
    </row>
    <row r="257" spans="1:2" x14ac:dyDescent="0.25">
      <c r="A257" s="20">
        <v>45663</v>
      </c>
      <c r="B257" vm="752">
        <v>161.30000000000001</v>
      </c>
    </row>
    <row r="258" spans="1:2" x14ac:dyDescent="0.25">
      <c r="A258" s="20">
        <v>45663</v>
      </c>
      <c r="B258" vm="755">
        <v>162.1</v>
      </c>
    </row>
    <row r="259" spans="1:2" x14ac:dyDescent="0.25">
      <c r="A259" s="20">
        <v>45663</v>
      </c>
      <c r="B259" vm="758">
        <v>158.56</v>
      </c>
    </row>
    <row r="260" spans="1:2" x14ac:dyDescent="0.25">
      <c r="A260" s="20">
        <v>45670</v>
      </c>
      <c r="B260" vm="761">
        <v>158.84</v>
      </c>
    </row>
    <row r="261" spans="1:2" x14ac:dyDescent="0.25">
      <c r="A261" s="20">
        <v>45670</v>
      </c>
      <c r="B261" vm="764">
        <v>159.74</v>
      </c>
    </row>
    <row r="262" spans="1:2" x14ac:dyDescent="0.25">
      <c r="A262" s="20">
        <v>45670</v>
      </c>
      <c r="B262" vm="767">
        <v>159.65</v>
      </c>
    </row>
    <row r="263" spans="1:2" x14ac:dyDescent="0.25">
      <c r="A263" s="20">
        <v>45670</v>
      </c>
      <c r="B263" vm="770">
        <v>160.5</v>
      </c>
    </row>
    <row r="264" spans="1:2" x14ac:dyDescent="0.25">
      <c r="A264" s="20">
        <v>45670</v>
      </c>
      <c r="B264" vm="773">
        <v>161.13</v>
      </c>
    </row>
    <row r="265" spans="1:2" x14ac:dyDescent="0.25">
      <c r="A265" s="20">
        <v>45677</v>
      </c>
      <c r="B265" vm="776">
        <v>161.72</v>
      </c>
    </row>
    <row r="266" spans="1:2" x14ac:dyDescent="0.25">
      <c r="A266" s="20">
        <v>45677</v>
      </c>
      <c r="B266" vm="779">
        <v>164.74</v>
      </c>
    </row>
    <row r="267" spans="1:2" x14ac:dyDescent="0.25">
      <c r="A267" s="20">
        <v>45677</v>
      </c>
      <c r="B267" vm="782">
        <v>166.15</v>
      </c>
    </row>
    <row r="268" spans="1:2" x14ac:dyDescent="0.25">
      <c r="A268" s="20">
        <v>45677</v>
      </c>
      <c r="B268" vm="785">
        <v>164.12</v>
      </c>
    </row>
    <row r="269" spans="1:2" x14ac:dyDescent="0.25">
      <c r="A269" s="20">
        <v>45684</v>
      </c>
      <c r="B269" vm="788">
        <v>169.66</v>
      </c>
    </row>
    <row r="270" spans="1:2" x14ac:dyDescent="0.25">
      <c r="A270" s="20">
        <v>45684</v>
      </c>
      <c r="B270" vm="791">
        <v>166.19</v>
      </c>
    </row>
    <row r="271" spans="1:2" x14ac:dyDescent="0.25">
      <c r="A271" s="20">
        <v>45684</v>
      </c>
      <c r="B271" vm="794">
        <v>166.23</v>
      </c>
    </row>
    <row r="272" spans="1:2" x14ac:dyDescent="0.25">
      <c r="A272" s="20">
        <v>45684</v>
      </c>
      <c r="B272" vm="797">
        <v>167.41</v>
      </c>
    </row>
    <row r="273" spans="1:2" x14ac:dyDescent="0.25">
      <c r="A273" s="20">
        <v>45684</v>
      </c>
      <c r="B273" vm="800">
        <v>165.99</v>
      </c>
    </row>
    <row r="274" spans="1:2" x14ac:dyDescent="0.25">
      <c r="A274" s="20">
        <v>45691</v>
      </c>
      <c r="B274" vm="803">
        <v>168.76</v>
      </c>
    </row>
    <row r="275" spans="1:2" x14ac:dyDescent="0.25">
      <c r="A275" s="20">
        <v>45691</v>
      </c>
      <c r="B275" vm="806">
        <v>168.13</v>
      </c>
    </row>
    <row r="276" spans="1:2" x14ac:dyDescent="0.25">
      <c r="A276" s="20">
        <v>45691</v>
      </c>
      <c r="B276" vm="809">
        <v>169.01</v>
      </c>
    </row>
    <row r="277" spans="1:2" x14ac:dyDescent="0.25">
      <c r="A277" s="20">
        <v>45691</v>
      </c>
      <c r="B277" vm="566">
        <v>168.88</v>
      </c>
    </row>
    <row r="278" spans="1:2" x14ac:dyDescent="0.25">
      <c r="A278" s="20">
        <v>45691</v>
      </c>
      <c r="B278" vm="814">
        <v>167.97</v>
      </c>
    </row>
    <row r="279" spans="1:2" x14ac:dyDescent="0.25">
      <c r="A279" s="20">
        <v>45698</v>
      </c>
      <c r="B279" vm="817">
        <v>167.53</v>
      </c>
    </row>
    <row r="280" spans="1:2" x14ac:dyDescent="0.25">
      <c r="A280" s="20">
        <v>45698</v>
      </c>
      <c r="B280" vm="820">
        <v>169.43</v>
      </c>
    </row>
    <row r="281" spans="1:2" x14ac:dyDescent="0.25">
      <c r="A281" s="20">
        <v>45698</v>
      </c>
      <c r="B281" vm="605">
        <v>169.58</v>
      </c>
    </row>
    <row r="282" spans="1:2" x14ac:dyDescent="0.25">
      <c r="A282" s="20">
        <v>45698</v>
      </c>
      <c r="B282" vm="825">
        <v>171.02</v>
      </c>
    </row>
    <row r="283" spans="1:2" x14ac:dyDescent="0.25">
      <c r="A283" s="20">
        <v>45698</v>
      </c>
      <c r="B283" vm="828">
        <v>162.88999999999999</v>
      </c>
    </row>
    <row r="284" spans="1:2" x14ac:dyDescent="0.25">
      <c r="A284" s="20">
        <v>45705</v>
      </c>
      <c r="B284" vm="831">
        <v>165.43</v>
      </c>
    </row>
    <row r="285" spans="1:2" x14ac:dyDescent="0.25">
      <c r="A285" s="20">
        <v>45705</v>
      </c>
      <c r="B285" vm="834">
        <v>166.49</v>
      </c>
    </row>
    <row r="286" spans="1:2" x14ac:dyDescent="0.25">
      <c r="A286" s="20">
        <v>45705</v>
      </c>
      <c r="B286" vm="837">
        <v>167.21</v>
      </c>
    </row>
    <row r="287" spans="1:2" x14ac:dyDescent="0.25">
      <c r="A287" s="20">
        <v>45705</v>
      </c>
      <c r="B287" vm="840">
        <v>170.23</v>
      </c>
    </row>
    <row r="288" spans="1:2" x14ac:dyDescent="0.25">
      <c r="A288" s="20">
        <v>45712</v>
      </c>
      <c r="B288" vm="451">
        <v>170.54</v>
      </c>
    </row>
    <row r="289" spans="1:2" x14ac:dyDescent="0.25">
      <c r="A289" s="20">
        <v>45712</v>
      </c>
      <c r="B289" vm="845">
        <v>172.65</v>
      </c>
    </row>
    <row r="290" spans="1:2" x14ac:dyDescent="0.25">
      <c r="A290" s="20">
        <v>45712</v>
      </c>
      <c r="B290" vm="848">
        <v>171.3</v>
      </c>
    </row>
    <row r="291" spans="1:2" x14ac:dyDescent="0.25">
      <c r="A291" s="20">
        <v>45712</v>
      </c>
      <c r="B291" vm="851">
        <v>171.97</v>
      </c>
    </row>
    <row r="292" spans="1:2" x14ac:dyDescent="0.25">
      <c r="A292" s="20">
        <v>45712</v>
      </c>
      <c r="B292" vm="854">
        <v>173.84</v>
      </c>
    </row>
    <row r="293" spans="1:2" x14ac:dyDescent="0.25">
      <c r="A293" s="20">
        <v>45719</v>
      </c>
      <c r="B293" vm="508">
        <v>175.59</v>
      </c>
    </row>
    <row r="294" spans="1:2" x14ac:dyDescent="0.25">
      <c r="A294" s="20">
        <v>45719</v>
      </c>
      <c r="B294" vm="859">
        <v>173.18</v>
      </c>
    </row>
    <row r="295" spans="1:2" x14ac:dyDescent="0.25">
      <c r="A295" s="20">
        <v>45719</v>
      </c>
      <c r="B295" vm="862">
        <v>174.61</v>
      </c>
    </row>
    <row r="296" spans="1:2" x14ac:dyDescent="0.25">
      <c r="A296" s="20">
        <v>45719</v>
      </c>
      <c r="B296" vm="865">
        <v>174.66</v>
      </c>
    </row>
    <row r="297" spans="1:2" x14ac:dyDescent="0.25">
      <c r="A297" s="20">
        <v>45719</v>
      </c>
      <c r="B297" vm="868">
        <v>175.95</v>
      </c>
    </row>
    <row r="298" spans="1:2" x14ac:dyDescent="0.25">
      <c r="A298" s="20">
        <v>45726</v>
      </c>
      <c r="B298" vm="871">
        <v>176.26</v>
      </c>
    </row>
    <row r="299" spans="1:2" x14ac:dyDescent="0.25">
      <c r="A299" s="20">
        <v>45726</v>
      </c>
      <c r="B299" vm="874">
        <v>173.12</v>
      </c>
    </row>
    <row r="300" spans="1:2" x14ac:dyDescent="0.25">
      <c r="A300" s="20">
        <v>45726</v>
      </c>
      <c r="B300" vm="877">
        <v>168.37</v>
      </c>
    </row>
    <row r="301" spans="1:2" x14ac:dyDescent="0.25">
      <c r="A301" s="20">
        <v>45726</v>
      </c>
      <c r="B301" vm="880">
        <v>168.59</v>
      </c>
    </row>
    <row r="302" spans="1:2" x14ac:dyDescent="0.25">
      <c r="A302" s="20">
        <v>45726</v>
      </c>
      <c r="B302" vm="814">
        <v>167.97</v>
      </c>
    </row>
    <row r="303" spans="1:2" x14ac:dyDescent="0.25">
      <c r="A303" s="20">
        <v>45733</v>
      </c>
      <c r="B303" vm="885">
        <v>169.76</v>
      </c>
    </row>
    <row r="304" spans="1:2" x14ac:dyDescent="0.25">
      <c r="A304" s="20">
        <v>45733</v>
      </c>
      <c r="B304" vm="639">
        <v>167.71</v>
      </c>
    </row>
    <row r="305" spans="1:2" x14ac:dyDescent="0.25">
      <c r="A305" s="20">
        <v>45733</v>
      </c>
      <c r="B305" vm="890">
        <v>168.57</v>
      </c>
    </row>
    <row r="306" spans="1:2" x14ac:dyDescent="0.25">
      <c r="A306" s="20">
        <v>45733</v>
      </c>
      <c r="B306" vm="893">
        <v>167.55</v>
      </c>
    </row>
    <row r="307" spans="1:2" x14ac:dyDescent="0.25">
      <c r="A307" s="20">
        <v>45733</v>
      </c>
      <c r="B307" vm="896">
        <v>166.69</v>
      </c>
    </row>
    <row r="308" spans="1:2" x14ac:dyDescent="0.25">
      <c r="A308" s="20">
        <v>45740</v>
      </c>
      <c r="B308" vm="899">
        <v>165.65</v>
      </c>
    </row>
    <row r="309" spans="1:2" x14ac:dyDescent="0.25">
      <c r="A309" s="20">
        <v>45740</v>
      </c>
      <c r="B309" vm="902">
        <v>162.85</v>
      </c>
    </row>
    <row r="310" spans="1:2" x14ac:dyDescent="0.25">
      <c r="A310" s="20">
        <v>45740</v>
      </c>
      <c r="B310" vm="648">
        <v>166.58</v>
      </c>
    </row>
    <row r="311" spans="1:2" x14ac:dyDescent="0.25">
      <c r="A311" s="20">
        <v>45740</v>
      </c>
      <c r="B311" vm="907">
        <v>168.71</v>
      </c>
    </row>
    <row r="312" spans="1:2" x14ac:dyDescent="0.25">
      <c r="A312" s="20">
        <v>45740</v>
      </c>
      <c r="B312" vm="910">
        <v>168.03</v>
      </c>
    </row>
    <row r="313" spans="1:2" x14ac:dyDescent="0.25">
      <c r="A313" s="20">
        <v>45747</v>
      </c>
      <c r="B313" vm="913">
        <v>170.42</v>
      </c>
    </row>
    <row r="314" spans="1:2" x14ac:dyDescent="0.25">
      <c r="A314" s="20">
        <v>45747</v>
      </c>
      <c r="B314" vm="916">
        <v>170.56</v>
      </c>
    </row>
    <row r="315" spans="1:2" x14ac:dyDescent="0.25">
      <c r="A315" s="20">
        <v>45747</v>
      </c>
      <c r="B315" vm="919">
        <v>169.5</v>
      </c>
    </row>
    <row r="316" spans="1:2" x14ac:dyDescent="0.25">
      <c r="A316" s="20">
        <v>45747</v>
      </c>
      <c r="B316" vm="922">
        <v>172.39</v>
      </c>
    </row>
    <row r="317" spans="1:2" x14ac:dyDescent="0.25">
      <c r="A317" s="20">
        <v>45747</v>
      </c>
      <c r="B317" vm="925">
        <v>163.75</v>
      </c>
    </row>
    <row r="318" spans="1:2" x14ac:dyDescent="0.25">
      <c r="A318" s="20">
        <v>45754</v>
      </c>
      <c r="B318" vm="928">
        <v>160.22999999999999</v>
      </c>
    </row>
    <row r="319" spans="1:2" x14ac:dyDescent="0.25">
      <c r="A319" s="20">
        <v>45754</v>
      </c>
      <c r="B319" vm="931">
        <v>158.38999999999999</v>
      </c>
    </row>
    <row r="320" spans="1:2" x14ac:dyDescent="0.25">
      <c r="A320" s="20">
        <v>45754</v>
      </c>
      <c r="B320" vm="934">
        <v>162.32</v>
      </c>
    </row>
    <row r="321" spans="1:2" x14ac:dyDescent="0.25">
      <c r="A321" s="20">
        <v>45754</v>
      </c>
      <c r="B321" vm="937">
        <v>163.56</v>
      </c>
    </row>
    <row r="322" spans="1:2" x14ac:dyDescent="0.25">
      <c r="A322" s="20">
        <v>45754</v>
      </c>
      <c r="B322" vm="940">
        <v>166.91</v>
      </c>
    </row>
    <row r="323" spans="1:2" x14ac:dyDescent="0.25">
      <c r="A323" s="20">
        <v>45761</v>
      </c>
      <c r="B323" vm="943">
        <v>169.13</v>
      </c>
    </row>
    <row r="324" spans="1:2" x14ac:dyDescent="0.25">
      <c r="A324" s="20">
        <v>45761</v>
      </c>
      <c r="B324" vm="321">
        <v>168.47</v>
      </c>
    </row>
    <row r="325" spans="1:2" x14ac:dyDescent="0.25">
      <c r="A325" s="20">
        <v>45761</v>
      </c>
      <c r="B325" vm="948">
        <v>166.39</v>
      </c>
    </row>
    <row r="326" spans="1:2" x14ac:dyDescent="0.25">
      <c r="A326" s="20">
        <v>45761</v>
      </c>
      <c r="B326" vm="703">
        <v>170.63</v>
      </c>
    </row>
    <row r="327" spans="1:2" x14ac:dyDescent="0.25">
      <c r="A327" s="20">
        <v>45768</v>
      </c>
      <c r="B327" vm="953">
        <v>165.75</v>
      </c>
    </row>
    <row r="328" spans="1:2" x14ac:dyDescent="0.25">
      <c r="A328" s="20">
        <v>45768</v>
      </c>
      <c r="B328" vm="956">
        <v>167.88</v>
      </c>
    </row>
    <row r="329" spans="1:2" x14ac:dyDescent="0.25">
      <c r="A329" s="20">
        <v>45768</v>
      </c>
      <c r="B329" vm="959">
        <v>165.73</v>
      </c>
    </row>
    <row r="330" spans="1:2" x14ac:dyDescent="0.25">
      <c r="A330" s="20">
        <v>45768</v>
      </c>
      <c r="B330" vm="962">
        <v>159.53</v>
      </c>
    </row>
    <row r="331" spans="1:2" x14ac:dyDescent="0.25">
      <c r="A331" s="20">
        <v>45768</v>
      </c>
      <c r="B331" vm="965">
        <v>161.02000000000001</v>
      </c>
    </row>
    <row r="332" spans="1:2" x14ac:dyDescent="0.25">
      <c r="A332" s="20">
        <v>45775</v>
      </c>
      <c r="B332" vm="968">
        <v>161.85</v>
      </c>
    </row>
    <row r="333" spans="1:2" x14ac:dyDescent="0.25">
      <c r="A333" s="20">
        <v>45775</v>
      </c>
      <c r="B333" vm="971">
        <v>162.26</v>
      </c>
    </row>
    <row r="334" spans="1:2" x14ac:dyDescent="0.25">
      <c r="A334" s="20">
        <v>45775</v>
      </c>
      <c r="B334" vm="974">
        <v>162.57</v>
      </c>
    </row>
    <row r="335" spans="1:2" x14ac:dyDescent="0.25">
      <c r="A335" s="20">
        <v>45775</v>
      </c>
      <c r="B335" vm="977">
        <v>159.97999999999999</v>
      </c>
    </row>
    <row r="336" spans="1:2" x14ac:dyDescent="0.25">
      <c r="A336" s="20">
        <v>45775</v>
      </c>
      <c r="B336" vm="980">
        <v>160.52000000000001</v>
      </c>
    </row>
    <row r="337" spans="1:2" x14ac:dyDescent="0.25">
      <c r="A337" s="20">
        <v>45782</v>
      </c>
      <c r="B337" vm="983">
        <v>158.83000000000001</v>
      </c>
    </row>
    <row r="338" spans="1:2" x14ac:dyDescent="0.25">
      <c r="A338" s="20">
        <v>45782</v>
      </c>
      <c r="B338" vm="986">
        <v>159.25</v>
      </c>
    </row>
    <row r="339" spans="1:2" x14ac:dyDescent="0.25">
      <c r="A339" s="20">
        <v>45782</v>
      </c>
      <c r="B339" vm="989">
        <v>159.29</v>
      </c>
    </row>
    <row r="340" spans="1:2" x14ac:dyDescent="0.25">
      <c r="A340" s="20">
        <v>45782</v>
      </c>
      <c r="B340" vm="992">
        <v>158.65</v>
      </c>
    </row>
    <row r="341" spans="1:2" x14ac:dyDescent="0.25">
      <c r="A341" s="20">
        <v>45782</v>
      </c>
      <c r="B341" vm="995">
        <v>157.66</v>
      </c>
    </row>
    <row r="342" spans="1:2" x14ac:dyDescent="0.25">
      <c r="A342" s="20">
        <v>45789</v>
      </c>
      <c r="B342" vm="998">
        <v>160.9</v>
      </c>
    </row>
    <row r="343" spans="1:2" x14ac:dyDescent="0.25">
      <c r="A343" s="20">
        <v>45789</v>
      </c>
      <c r="B343" vm="1001">
        <v>158.72999999999999</v>
      </c>
    </row>
    <row r="344" spans="1:2" x14ac:dyDescent="0.25">
      <c r="A344" s="20">
        <v>45789</v>
      </c>
      <c r="B344" vm="1004">
        <v>158.02000000000001</v>
      </c>
    </row>
    <row r="345" spans="1:2" x14ac:dyDescent="0.25">
      <c r="A345" s="20">
        <v>45789</v>
      </c>
      <c r="B345" vm="1007">
        <v>162.41</v>
      </c>
    </row>
    <row r="346" spans="1:2" x14ac:dyDescent="0.25">
      <c r="A346" s="20">
        <v>45789</v>
      </c>
      <c r="B346" vm="1010">
        <v>163.28</v>
      </c>
    </row>
    <row r="347" spans="1:2" x14ac:dyDescent="0.25">
      <c r="A347" s="20">
        <v>45796</v>
      </c>
      <c r="B347" vm="1013">
        <v>164.77</v>
      </c>
    </row>
    <row r="348" spans="1:2" x14ac:dyDescent="0.25">
      <c r="A348" s="20">
        <v>45796</v>
      </c>
      <c r="B348" vm="1016">
        <v>165.64</v>
      </c>
    </row>
    <row r="349" spans="1:2" x14ac:dyDescent="0.25">
      <c r="A349" s="20">
        <v>45796</v>
      </c>
      <c r="B349" vm="831">
        <v>165.43</v>
      </c>
    </row>
    <row r="350" spans="1:2" x14ac:dyDescent="0.25">
      <c r="A350" s="20">
        <v>45796</v>
      </c>
      <c r="B350" vm="1021">
        <v>165.03</v>
      </c>
    </row>
    <row r="351" spans="1:2" x14ac:dyDescent="0.25">
      <c r="A351" s="20">
        <v>45796</v>
      </c>
      <c r="B351" vm="1024">
        <v>165.86</v>
      </c>
    </row>
    <row r="352" spans="1:2" x14ac:dyDescent="0.25">
      <c r="A352" s="20">
        <v>45803</v>
      </c>
      <c r="B352" vm="1027">
        <v>167.76</v>
      </c>
    </row>
    <row r="353" spans="1:2" x14ac:dyDescent="0.25">
      <c r="A353" s="20">
        <v>45803</v>
      </c>
      <c r="B353" vm="1030">
        <v>167.36</v>
      </c>
    </row>
    <row r="354" spans="1:2" x14ac:dyDescent="0.25">
      <c r="A354" s="20">
        <v>45803</v>
      </c>
      <c r="B354" vm="345">
        <v>168.56</v>
      </c>
    </row>
    <row r="355" spans="1:2" x14ac:dyDescent="0.25">
      <c r="A355" s="20">
        <v>45803</v>
      </c>
      <c r="B355" vm="1035">
        <v>169.89</v>
      </c>
    </row>
    <row r="356" spans="1:2" x14ac:dyDescent="0.25">
      <c r="A356" s="20">
        <v>45810</v>
      </c>
      <c r="B356" vm="1038">
        <v>167.78</v>
      </c>
    </row>
    <row r="357" spans="1:2" x14ac:dyDescent="0.25">
      <c r="A357" s="20">
        <v>45810</v>
      </c>
      <c r="B357" vm="268">
        <v>166.85</v>
      </c>
    </row>
    <row r="358" spans="1:2" x14ac:dyDescent="0.25">
      <c r="A358" s="20">
        <v>45810</v>
      </c>
      <c r="B358" vm="1043">
        <v>165.95</v>
      </c>
    </row>
    <row r="359" spans="1:2" x14ac:dyDescent="0.25">
      <c r="A359" s="20">
        <v>45810</v>
      </c>
      <c r="B359" vm="1046">
        <v>162.80000000000001</v>
      </c>
    </row>
    <row r="360" spans="1:2" x14ac:dyDescent="0.25">
      <c r="A360" s="20">
        <v>45810</v>
      </c>
      <c r="B360" vm="1049">
        <v>164.02</v>
      </c>
    </row>
    <row r="361" spans="1:2" x14ac:dyDescent="0.25">
      <c r="A361" s="20">
        <v>45817</v>
      </c>
      <c r="B361" vm="1052">
        <v>162.56</v>
      </c>
    </row>
    <row r="362" spans="1:2" x14ac:dyDescent="0.25">
      <c r="A362" s="20">
        <v>45817</v>
      </c>
      <c r="B362" vm="1055">
        <v>162.84</v>
      </c>
    </row>
    <row r="363" spans="1:2" x14ac:dyDescent="0.25">
      <c r="A363" s="20">
        <v>45817</v>
      </c>
      <c r="B363" vm="1058">
        <v>162.11000000000001</v>
      </c>
    </row>
    <row r="364" spans="1:2" x14ac:dyDescent="0.25">
      <c r="A364" s="20">
        <v>45817</v>
      </c>
      <c r="B364" vm="1061">
        <v>163.18</v>
      </c>
    </row>
    <row r="365" spans="1:2" x14ac:dyDescent="0.25">
      <c r="A365" s="20">
        <v>45817</v>
      </c>
      <c r="B365" vm="1064">
        <v>160.28</v>
      </c>
    </row>
    <row r="366" spans="1:2" x14ac:dyDescent="0.25">
      <c r="A366" s="20">
        <v>45824</v>
      </c>
      <c r="B366" vm="1067">
        <v>160.88</v>
      </c>
    </row>
    <row r="367" spans="1:2" x14ac:dyDescent="0.25">
      <c r="A367" s="20">
        <v>45824</v>
      </c>
      <c r="B367" vm="1070">
        <v>158.52000000000001</v>
      </c>
    </row>
    <row r="368" spans="1:2" x14ac:dyDescent="0.25">
      <c r="A368" s="20">
        <v>45824</v>
      </c>
      <c r="B368" vm="1004">
        <v>158.02000000000001</v>
      </c>
    </row>
    <row r="369" spans="1:2" x14ac:dyDescent="0.25">
      <c r="A369" s="20">
        <v>45824</v>
      </c>
      <c r="B369" vm="1075">
        <v>159.08000000000001</v>
      </c>
    </row>
    <row r="370" spans="1:2" x14ac:dyDescent="0.25">
      <c r="A370" s="20">
        <v>45831</v>
      </c>
      <c r="B370" vm="109">
        <v>161.03</v>
      </c>
    </row>
    <row r="371" spans="1:2" x14ac:dyDescent="0.25">
      <c r="A371" s="20">
        <v>45831</v>
      </c>
      <c r="B371" vm="1080">
        <v>160.36000000000001</v>
      </c>
    </row>
    <row r="372" spans="1:2" x14ac:dyDescent="0.25">
      <c r="A372" s="20">
        <v>45831</v>
      </c>
      <c r="B372" vm="1083">
        <v>158.97</v>
      </c>
    </row>
    <row r="373" spans="1:2" x14ac:dyDescent="0.25">
      <c r="A373" s="20">
        <v>45831</v>
      </c>
      <c r="B373" vm="1086">
        <v>158.63</v>
      </c>
    </row>
    <row r="374" spans="1:2" x14ac:dyDescent="0.25">
      <c r="A374" s="20">
        <v>45831</v>
      </c>
      <c r="B374" vm="1089">
        <v>159.86000000000001</v>
      </c>
    </row>
    <row r="375" spans="1:2" x14ac:dyDescent="0.25">
      <c r="A375" s="20">
        <v>45838</v>
      </c>
      <c r="B375" vm="130">
        <v>159.32</v>
      </c>
    </row>
    <row r="376" spans="1:2" x14ac:dyDescent="0.25">
      <c r="A376" s="20">
        <v>45838</v>
      </c>
      <c r="B376" vm="1094">
        <v>161.22</v>
      </c>
    </row>
    <row r="377" spans="1:2" x14ac:dyDescent="0.25">
      <c r="A377" s="20">
        <v>45838</v>
      </c>
      <c r="B377" vm="1097">
        <v>161.19999999999999</v>
      </c>
    </row>
    <row r="378" spans="1:2" x14ac:dyDescent="0.25">
      <c r="A378" s="20">
        <v>45838</v>
      </c>
      <c r="B378" vm="1100">
        <v>160.83000000000001</v>
      </c>
    </row>
    <row r="379" spans="1:2" x14ac:dyDescent="0.25">
      <c r="A379" s="20">
        <v>45845</v>
      </c>
      <c r="B379" vm="770">
        <v>160.5</v>
      </c>
    </row>
    <row r="380" spans="1:2" x14ac:dyDescent="0.25">
      <c r="A380" s="20">
        <v>45845</v>
      </c>
      <c r="B380" vm="1105">
        <v>157.88999999999999</v>
      </c>
    </row>
    <row r="381" spans="1:2" x14ac:dyDescent="0.25">
      <c r="A381" s="20">
        <v>45845</v>
      </c>
      <c r="B381" vm="1108">
        <v>157.52000000000001</v>
      </c>
    </row>
    <row r="382" spans="1:2" x14ac:dyDescent="0.25">
      <c r="A382" s="20">
        <v>45845</v>
      </c>
      <c r="B382" vm="1111">
        <v>158.49</v>
      </c>
    </row>
    <row r="383" spans="1:2" x14ac:dyDescent="0.25">
      <c r="A383" s="20">
        <v>45845</v>
      </c>
      <c r="B383" vm="1114">
        <v>157.05000000000001</v>
      </c>
    </row>
    <row r="384" spans="1:2" x14ac:dyDescent="0.25">
      <c r="A384" s="20">
        <v>45852</v>
      </c>
      <c r="B384" vm="1117">
        <v>153.76</v>
      </c>
    </row>
    <row r="385" spans="1:2" x14ac:dyDescent="0.25">
      <c r="A385" s="20">
        <v>45852</v>
      </c>
      <c r="B385" vm="1120">
        <v>152.68</v>
      </c>
    </row>
    <row r="386" spans="1:2" x14ac:dyDescent="0.25">
      <c r="A386" s="20">
        <v>45852</v>
      </c>
      <c r="B386" vm="1123">
        <v>153.72999999999999</v>
      </c>
    </row>
    <row r="387" spans="1:2" x14ac:dyDescent="0.25">
      <c r="A387" s="20">
        <v>45852</v>
      </c>
      <c r="B387" vm="49">
        <v>155.62</v>
      </c>
    </row>
    <row r="388" spans="1:2" x14ac:dyDescent="0.25">
      <c r="A388" s="20">
        <v>45852</v>
      </c>
      <c r="B388" vm="1128">
        <v>155.1</v>
      </c>
    </row>
    <row r="389" spans="1:2" x14ac:dyDescent="0.25">
      <c r="A389" s="20">
        <v>45859</v>
      </c>
      <c r="B389" vm="1131">
        <v>155.03</v>
      </c>
    </row>
    <row r="390" spans="1:2" x14ac:dyDescent="0.25">
      <c r="A390" s="20">
        <v>45859</v>
      </c>
      <c r="B390" vm="1134">
        <v>158.32</v>
      </c>
    </row>
    <row r="391" spans="1:2" x14ac:dyDescent="0.25">
      <c r="A391" s="20">
        <v>45859</v>
      </c>
      <c r="B391" vm="1137">
        <v>158.28</v>
      </c>
    </row>
    <row r="392" spans="1:2" x14ac:dyDescent="0.25">
      <c r="A392" s="20">
        <v>45859</v>
      </c>
      <c r="B392" vm="1140">
        <v>158.81</v>
      </c>
    </row>
    <row r="393" spans="1:2" x14ac:dyDescent="0.25">
      <c r="A393" s="20">
        <v>45859</v>
      </c>
      <c r="B393" vm="1143">
        <v>158.30000000000001</v>
      </c>
    </row>
    <row r="394" spans="1:2" x14ac:dyDescent="0.25">
      <c r="A394" s="20">
        <v>45866</v>
      </c>
      <c r="B394" vm="85">
        <v>157.11000000000001</v>
      </c>
    </row>
    <row r="395" spans="1:2" x14ac:dyDescent="0.25">
      <c r="A395" s="20">
        <v>45866</v>
      </c>
      <c r="B395" vm="1148">
        <v>156.61000000000001</v>
      </c>
    </row>
    <row r="396" spans="1:2" x14ac:dyDescent="0.25">
      <c r="A396" s="20">
        <v>45866</v>
      </c>
      <c r="B396" vm="1151">
        <v>152.88</v>
      </c>
    </row>
    <row r="397" spans="1:2" x14ac:dyDescent="0.25">
      <c r="A397" s="20">
        <v>45866</v>
      </c>
      <c r="B397" vm="1154">
        <v>150.47</v>
      </c>
    </row>
    <row r="398" spans="1:2" x14ac:dyDescent="0.25">
      <c r="A398" s="20">
        <v>45866</v>
      </c>
      <c r="B398" vm="1157">
        <v>150.65</v>
      </c>
    </row>
    <row r="399" spans="1:2" x14ac:dyDescent="0.25">
      <c r="A399" s="20">
        <v>45873</v>
      </c>
      <c r="B399" vm="1160">
        <v>150.76</v>
      </c>
    </row>
    <row r="400" spans="1:2" x14ac:dyDescent="0.25">
      <c r="A400" s="20">
        <v>45873</v>
      </c>
      <c r="B400" vm="23">
        <v>150.51</v>
      </c>
    </row>
    <row r="401" spans="1:2" x14ac:dyDescent="0.25">
      <c r="A401" s="20">
        <v>45873</v>
      </c>
      <c r="B401" vm="1165">
        <v>152.86000000000001</v>
      </c>
    </row>
    <row r="402" spans="1:2" x14ac:dyDescent="0.25">
      <c r="A402" s="20">
        <v>45873</v>
      </c>
      <c r="B402" vm="1168">
        <v>153.49</v>
      </c>
    </row>
    <row r="403" spans="1:2" x14ac:dyDescent="0.25">
      <c r="A403" s="20">
        <v>45873</v>
      </c>
      <c r="B403" vm="1171">
        <v>153.51</v>
      </c>
    </row>
    <row r="404" spans="1:2" x14ac:dyDescent="0.25">
      <c r="A404" s="20">
        <v>45880</v>
      </c>
      <c r="B404" vm="1174">
        <v>154.97999999999999</v>
      </c>
    </row>
    <row r="405" spans="1:2" x14ac:dyDescent="0.25">
      <c r="A405" s="20">
        <v>45880</v>
      </c>
      <c r="B405" vm="1177">
        <v>155.09</v>
      </c>
    </row>
    <row r="406" spans="1:2" x14ac:dyDescent="0.25">
      <c r="A406" s="20">
        <v>45880</v>
      </c>
      <c r="B406" vm="1180">
        <v>155.41</v>
      </c>
    </row>
    <row r="407" spans="1:2" x14ac:dyDescent="0.25">
      <c r="A407" s="20">
        <v>45880</v>
      </c>
      <c r="B407" vm="1183">
        <v>153.74</v>
      </c>
    </row>
    <row r="408" spans="1:2" x14ac:dyDescent="0.25">
      <c r="A408" s="20">
        <v>45880</v>
      </c>
      <c r="B408" vm="1186">
        <v>154.36000000000001</v>
      </c>
    </row>
    <row r="409" spans="1:2" x14ac:dyDescent="0.25">
      <c r="A409" s="20">
        <v>45887</v>
      </c>
      <c r="B409" vm="1189">
        <v>155.72</v>
      </c>
    </row>
    <row r="410" spans="1:2" x14ac:dyDescent="0.25">
      <c r="A410" s="20">
        <v>45887</v>
      </c>
      <c r="B410" vm="1192">
        <v>158.4</v>
      </c>
    </row>
    <row r="411" spans="1:2" x14ac:dyDescent="0.25">
      <c r="A411" s="20">
        <v>45887</v>
      </c>
      <c r="B411" vm="1195">
        <v>159.51</v>
      </c>
    </row>
    <row r="412" spans="1:2" x14ac:dyDescent="0.25">
      <c r="A412" s="20">
        <v>45887</v>
      </c>
      <c r="B412" vm="1001">
        <v>158.72999999999999</v>
      </c>
    </row>
    <row r="413" spans="1:2" x14ac:dyDescent="0.25">
      <c r="A413" s="20">
        <v>45887</v>
      </c>
      <c r="B413" vm="1200">
        <v>158.66999999999999</v>
      </c>
    </row>
    <row r="414" spans="1:2" x14ac:dyDescent="0.25">
      <c r="A414" s="20">
        <v>45894</v>
      </c>
      <c r="B414" vm="190">
        <v>156.15</v>
      </c>
    </row>
    <row r="415" spans="1:2" x14ac:dyDescent="0.25">
      <c r="A415" s="20">
        <v>45894</v>
      </c>
      <c r="B415" vm="1205">
        <v>155.97</v>
      </c>
    </row>
    <row r="416" spans="1:2" x14ac:dyDescent="0.25">
      <c r="A416" s="20">
        <v>45894</v>
      </c>
      <c r="B416" vm="219">
        <v>156.96</v>
      </c>
    </row>
    <row r="417" spans="1:2" x14ac:dyDescent="0.25">
      <c r="A417" s="20">
        <v>45894</v>
      </c>
      <c r="B417" vm="1210">
        <v>155.65</v>
      </c>
    </row>
    <row r="418" spans="1:2" x14ac:dyDescent="0.25">
      <c r="A418" s="20">
        <v>45894</v>
      </c>
      <c r="B418" vm="1213">
        <v>157.04</v>
      </c>
    </row>
    <row r="419" spans="1:2" x14ac:dyDescent="0.25">
      <c r="A419" s="20">
        <v>45901</v>
      </c>
      <c r="B419" vm="1216">
        <v>157.99</v>
      </c>
    </row>
    <row r="420" spans="1:2" x14ac:dyDescent="0.25">
      <c r="A420" s="20">
        <v>45901</v>
      </c>
      <c r="B420" vm="1219">
        <v>158.16999999999999</v>
      </c>
    </row>
    <row r="421" spans="1:2" x14ac:dyDescent="0.25">
      <c r="A421" s="20">
        <v>45901</v>
      </c>
      <c r="B421" vm="1222">
        <v>159.19</v>
      </c>
    </row>
    <row r="422" spans="1:2" x14ac:dyDescent="0.25">
      <c r="A422" s="20">
        <v>45901</v>
      </c>
      <c r="B422" vm="1225">
        <v>160.02000000000001</v>
      </c>
    </row>
    <row r="423" spans="1:2" x14ac:dyDescent="0.25">
      <c r="A423" s="20">
        <v>45908</v>
      </c>
      <c r="B423" vm="1228">
        <v>159.01</v>
      </c>
    </row>
    <row r="424" spans="1:2" x14ac:dyDescent="0.25">
      <c r="A424" s="20">
        <v>45908</v>
      </c>
      <c r="B424" vm="1231">
        <v>159.46</v>
      </c>
    </row>
    <row r="425" spans="1:2" x14ac:dyDescent="0.25">
      <c r="A425" s="20">
        <v>45908</v>
      </c>
      <c r="B425" vm="1234">
        <v>157.35</v>
      </c>
    </row>
    <row r="426" spans="1:2" x14ac:dyDescent="0.25">
      <c r="A426" s="20">
        <v>45908</v>
      </c>
      <c r="B426" vm="1086">
        <v>158.63</v>
      </c>
    </row>
    <row r="427" spans="1:2" x14ac:dyDescent="0.25">
      <c r="A427" s="20">
        <v>45908</v>
      </c>
      <c r="B427" vm="1239">
        <v>157.9</v>
      </c>
    </row>
    <row r="428" spans="1:2" x14ac:dyDescent="0.25">
      <c r="A428" s="20">
        <v>45915</v>
      </c>
      <c r="B428" vm="1242">
        <v>156.83000000000001</v>
      </c>
    </row>
    <row r="429" spans="1:2" x14ac:dyDescent="0.25">
      <c r="A429" s="20">
        <v>45915</v>
      </c>
      <c r="B429" vm="1245">
        <v>158.05000000000001</v>
      </c>
    </row>
    <row r="430" spans="1:2" x14ac:dyDescent="0.25">
      <c r="A430" s="20">
        <v>45915</v>
      </c>
      <c r="B430" vm="1248">
        <v>160.33000000000001</v>
      </c>
    </row>
    <row r="431" spans="1:2" x14ac:dyDescent="0.25">
      <c r="A431" s="20">
        <v>45915</v>
      </c>
      <c r="B431" vm="1251">
        <v>157.32</v>
      </c>
    </row>
    <row r="432" spans="1:2" x14ac:dyDescent="0.25">
      <c r="A432" s="20">
        <v>45915</v>
      </c>
      <c r="B432" vm="199">
        <v>156.04</v>
      </c>
    </row>
    <row r="433" spans="1:2" x14ac:dyDescent="0.25">
      <c r="A433" s="20">
        <v>45922</v>
      </c>
      <c r="B433" vm="1256">
        <v>153.07</v>
      </c>
    </row>
    <row r="434" spans="1:2" x14ac:dyDescent="0.25">
      <c r="A434" s="20">
        <v>45922</v>
      </c>
      <c r="B434" vm="1259">
        <v>152.5</v>
      </c>
    </row>
    <row r="435" spans="1:2" x14ac:dyDescent="0.25">
      <c r="A435" s="20">
        <v>45922</v>
      </c>
      <c r="B435" vm="1262">
        <v>152.41999999999999</v>
      </c>
    </row>
    <row r="436" spans="1:2" x14ac:dyDescent="0.25">
      <c r="A436" s="20">
        <v>45922</v>
      </c>
      <c r="B436" vm="1265">
        <v>152.15</v>
      </c>
    </row>
    <row r="437" spans="1:2" x14ac:dyDescent="0.25">
      <c r="A437" s="20">
        <v>45922</v>
      </c>
      <c r="B437" vm="1259">
        <v>152.5</v>
      </c>
    </row>
    <row r="438" spans="1:2" x14ac:dyDescent="0.25">
      <c r="A438" s="20">
        <v>45929</v>
      </c>
      <c r="B438" vm="1270">
        <v>153.53</v>
      </c>
    </row>
    <row r="439" spans="1:2" x14ac:dyDescent="0.25">
      <c r="A439" s="20">
        <v>45929</v>
      </c>
      <c r="B439" vm="1273">
        <v>153.65</v>
      </c>
    </row>
    <row r="440" spans="1:2" x14ac:dyDescent="0.25">
      <c r="A440" s="20">
        <v>45929</v>
      </c>
      <c r="B440" vm="1276">
        <v>153.18</v>
      </c>
    </row>
    <row r="441" spans="1:2" x14ac:dyDescent="0.25">
      <c r="A441" s="20">
        <v>45929</v>
      </c>
      <c r="B441" vm="1279">
        <v>152.05000000000001</v>
      </c>
    </row>
    <row r="442" spans="1:2" x14ac:dyDescent="0.25">
      <c r="A442" s="20">
        <v>45929</v>
      </c>
      <c r="B442" vm="1282">
        <v>152.27000000000001</v>
      </c>
    </row>
    <row r="443" spans="1:2" x14ac:dyDescent="0.25">
      <c r="A443" s="20">
        <v>45936</v>
      </c>
      <c r="B443" vm="1285">
        <v>150.41</v>
      </c>
    </row>
    <row r="444" spans="1:2" x14ac:dyDescent="0.25">
      <c r="A444" s="20">
        <v>45936</v>
      </c>
      <c r="B444" vm="1288">
        <v>152.54</v>
      </c>
    </row>
    <row r="445" spans="1:2" x14ac:dyDescent="0.25">
      <c r="A445" s="20">
        <v>45936</v>
      </c>
      <c r="B445" vm="1291">
        <v>150.69</v>
      </c>
    </row>
    <row r="446" spans="1:2" x14ac:dyDescent="0.25">
      <c r="A446" s="20">
        <v>45936</v>
      </c>
      <c r="B446" vm="1294">
        <v>150.58000000000001</v>
      </c>
    </row>
    <row r="447" spans="1:2" x14ac:dyDescent="0.25">
      <c r="A447" s="20">
        <v>45936</v>
      </c>
      <c r="B447" vm="1297">
        <v>149.69</v>
      </c>
    </row>
    <row r="448" spans="1:2" x14ac:dyDescent="0.25">
      <c r="A448" s="20">
        <v>45943</v>
      </c>
      <c r="B448" vm="1300">
        <v>147.49</v>
      </c>
    </row>
    <row r="449" spans="1:2" x14ac:dyDescent="0.25">
      <c r="A449" s="20">
        <v>45943</v>
      </c>
      <c r="B449" vm="1303">
        <v>149.16</v>
      </c>
    </row>
    <row r="450" spans="1:2" x14ac:dyDescent="0.25">
      <c r="A450" s="20">
        <v>45943</v>
      </c>
      <c r="B450" vm="11">
        <v>147.41999999999999</v>
      </c>
    </row>
    <row r="451" spans="1:2" x14ac:dyDescent="0.25">
      <c r="A451" s="20">
        <v>45943</v>
      </c>
      <c r="B451" vm="1308">
        <v>149.6</v>
      </c>
    </row>
    <row r="452" spans="1:2" x14ac:dyDescent="0.25">
      <c r="A452" s="20">
        <v>45943</v>
      </c>
      <c r="B452" vm="1311">
        <v>151.4</v>
      </c>
    </row>
    <row r="453" spans="1:2" x14ac:dyDescent="0.25">
      <c r="A453" s="20">
        <v>45950</v>
      </c>
      <c r="B453" vm="1314">
        <v>151.96</v>
      </c>
    </row>
    <row r="454" spans="1:2" x14ac:dyDescent="0.25">
      <c r="A454" s="20">
        <v>45950</v>
      </c>
      <c r="B454" vm="1317">
        <v>151.62</v>
      </c>
    </row>
    <row r="455" spans="1:2" x14ac:dyDescent="0.25">
      <c r="A455" s="20">
        <v>45950</v>
      </c>
      <c r="B455" vm="1320">
        <v>152.19999999999999</v>
      </c>
    </row>
    <row r="456" spans="1:2" x14ac:dyDescent="0.25">
      <c r="A456" s="20">
        <v>45950</v>
      </c>
      <c r="B456" vm="1323">
        <v>152.21</v>
      </c>
    </row>
    <row r="457" spans="1:2" x14ac:dyDescent="0.25">
      <c r="A457" s="20">
        <v>45950</v>
      </c>
      <c r="B457" vm="1326">
        <v>152.49</v>
      </c>
    </row>
    <row r="458" spans="1:2" x14ac:dyDescent="0.25">
      <c r="A458" s="20">
        <v>45957</v>
      </c>
      <c r="B458" vm="1329">
        <v>151.74</v>
      </c>
    </row>
    <row r="459" spans="1:2" x14ac:dyDescent="0.25">
      <c r="A459" s="20">
        <v>45957</v>
      </c>
      <c r="B459" vm="1332">
        <v>151.37</v>
      </c>
    </row>
    <row r="460" spans="1:2" x14ac:dyDescent="0.25">
      <c r="A460" s="20">
        <v>45957</v>
      </c>
      <c r="B460" vm="1335">
        <v>148.77000000000001</v>
      </c>
    </row>
    <row r="461" spans="1:2" x14ac:dyDescent="0.25">
      <c r="A461" s="20">
        <v>45957</v>
      </c>
      <c r="B461" vm="1338">
        <v>149.58000000000001</v>
      </c>
    </row>
    <row r="462" spans="1:2" x14ac:dyDescent="0.25">
      <c r="A462" s="20">
        <v>45957</v>
      </c>
      <c r="B462" vm="1341">
        <v>150.37</v>
      </c>
    </row>
    <row r="463" spans="1:2" x14ac:dyDescent="0.25">
      <c r="A463" s="20">
        <v>45964</v>
      </c>
      <c r="B463" vm="1344">
        <v>148.02000000000001</v>
      </c>
    </row>
    <row r="464" spans="1:2" x14ac:dyDescent="0.25">
      <c r="A464" s="20">
        <v>45964</v>
      </c>
      <c r="B464" vm="1347">
        <v>147.16999999999999</v>
      </c>
    </row>
    <row r="465" spans="1:2" x14ac:dyDescent="0.25">
      <c r="A465" s="20">
        <v>45964</v>
      </c>
      <c r="B465" vm="1350">
        <v>145.79</v>
      </c>
    </row>
    <row r="466" spans="1:2" x14ac:dyDescent="0.25">
      <c r="A466" s="20">
        <v>45964</v>
      </c>
      <c r="B466" vm="1353">
        <v>146.13</v>
      </c>
    </row>
    <row r="467" spans="1:2" x14ac:dyDescent="0.25">
      <c r="A467" s="20">
        <v>45964</v>
      </c>
      <c r="B467" vm="1356">
        <v>146.97999999999999</v>
      </c>
    </row>
    <row r="468" spans="1:2" x14ac:dyDescent="0.25">
      <c r="A468" s="20">
        <v>45971</v>
      </c>
      <c r="B468" vm="1359">
        <v>145.5</v>
      </c>
    </row>
    <row r="469" spans="1:2" x14ac:dyDescent="0.25">
      <c r="A469" s="20">
        <v>45971</v>
      </c>
      <c r="B469" vm="1362">
        <v>148.54</v>
      </c>
    </row>
    <row r="470" spans="1:2" x14ac:dyDescent="0.25">
      <c r="A470" s="20">
        <v>45971</v>
      </c>
      <c r="B470" vm="1365">
        <v>148.01</v>
      </c>
    </row>
    <row r="471" spans="1:2" x14ac:dyDescent="0.25">
      <c r="A471" s="20">
        <v>45971</v>
      </c>
      <c r="B471" vm="1368">
        <v>147.96</v>
      </c>
    </row>
    <row r="472" spans="1:2" x14ac:dyDescent="0.25">
      <c r="A472" s="20">
        <v>45971</v>
      </c>
      <c r="B472" vm="1371">
        <v>147.66999999999999</v>
      </c>
    </row>
    <row r="473" spans="1:2" x14ac:dyDescent="0.25">
      <c r="A473" s="20">
        <v>45978</v>
      </c>
      <c r="B473" vm="1374">
        <v>145.82</v>
      </c>
    </row>
    <row r="474" spans="1:2" x14ac:dyDescent="0.25">
      <c r="A474" s="20">
        <v>45978</v>
      </c>
      <c r="B474" vm="1377">
        <v>146.99</v>
      </c>
    </row>
    <row r="475" spans="1:2" x14ac:dyDescent="0.25">
      <c r="A475" s="20">
        <v>45978</v>
      </c>
      <c r="B475" vm="1377">
        <v>146.99</v>
      </c>
    </row>
    <row r="476" spans="1:2" x14ac:dyDescent="0.25">
      <c r="A476" s="20">
        <v>45978</v>
      </c>
      <c r="B476" vm="1382">
        <v>148.19</v>
      </c>
    </row>
    <row r="477" spans="1:2" x14ac:dyDescent="0.25">
      <c r="A477" s="20">
        <v>45978</v>
      </c>
      <c r="B477" vm="1385">
        <v>150.91999999999999</v>
      </c>
    </row>
    <row r="478" spans="1:2" x14ac:dyDescent="0.25">
      <c r="A478" s="20">
        <v>45985</v>
      </c>
      <c r="B478" vm="1356">
        <v>146.97999999999999</v>
      </c>
    </row>
    <row r="479" spans="1:2" x14ac:dyDescent="0.25">
      <c r="A479" s="20">
        <v>45985</v>
      </c>
      <c r="B479" vm="1390">
        <v>148.49</v>
      </c>
    </row>
    <row r="480" spans="1:2" x14ac:dyDescent="0.25">
      <c r="A480" s="20">
        <v>45985</v>
      </c>
      <c r="B480" vm="1393">
        <v>148.25</v>
      </c>
    </row>
    <row r="481" spans="1:2" x14ac:dyDescent="0.25">
      <c r="A481" s="20">
        <v>45985</v>
      </c>
      <c r="B481" vm="1396">
        <v>148.16</v>
      </c>
    </row>
    <row r="482" spans="1:2" x14ac:dyDescent="0.25">
      <c r="A482" s="20">
        <v>45992</v>
      </c>
      <c r="B482" vm="1399">
        <v>147.44</v>
      </c>
    </row>
    <row r="483" spans="1:2" x14ac:dyDescent="0.25">
      <c r="A483" s="20">
        <v>45992</v>
      </c>
      <c r="B483" vm="1402">
        <v>145.86000000000001</v>
      </c>
    </row>
    <row r="484" spans="1:2" x14ac:dyDescent="0.25">
      <c r="A484" s="20">
        <v>45992</v>
      </c>
      <c r="B484" vm="1405">
        <v>146.71</v>
      </c>
    </row>
    <row r="485" spans="1:2" x14ac:dyDescent="0.25">
      <c r="A485" s="20">
        <v>45992</v>
      </c>
      <c r="B485" vm="1408">
        <v>145.36000000000001</v>
      </c>
    </row>
    <row r="486" spans="1:2" x14ac:dyDescent="0.25">
      <c r="A486" s="20">
        <v>45992</v>
      </c>
      <c r="B486" vm="1411">
        <v>143.44999999999999</v>
      </c>
    </row>
    <row r="487" spans="1:2" x14ac:dyDescent="0.25">
      <c r="A487" s="20">
        <v>45999</v>
      </c>
      <c r="B487" vm="1414">
        <v>138.34</v>
      </c>
    </row>
    <row r="488" spans="1:2" x14ac:dyDescent="0.25">
      <c r="A488" s="20">
        <v>45999</v>
      </c>
      <c r="B488" vm="1417">
        <v>139.63</v>
      </c>
    </row>
    <row r="489" spans="1:2" x14ac:dyDescent="0.25">
      <c r="A489" s="20">
        <v>45999</v>
      </c>
      <c r="B489" vm="1420">
        <v>139.82</v>
      </c>
    </row>
    <row r="490" spans="1:2" x14ac:dyDescent="0.25">
      <c r="A490" s="20">
        <v>45999</v>
      </c>
      <c r="B490" vm="1423">
        <v>140.76</v>
      </c>
    </row>
    <row r="491" spans="1:2" x14ac:dyDescent="0.25">
      <c r="A491" s="20">
        <v>45999</v>
      </c>
      <c r="B491" vm="1426">
        <v>142.84</v>
      </c>
    </row>
    <row r="492" spans="1:2" x14ac:dyDescent="0.25">
      <c r="A492" s="20">
        <v>46006</v>
      </c>
      <c r="B492" vm="1429">
        <v>145.13</v>
      </c>
    </row>
    <row r="493" spans="1:2" x14ac:dyDescent="0.25">
      <c r="A493" s="20">
        <v>46006</v>
      </c>
      <c r="B493" vm="1432">
        <v>145.21</v>
      </c>
    </row>
    <row r="494" spans="1:2" x14ac:dyDescent="0.25">
      <c r="A494" s="20">
        <v>46006</v>
      </c>
      <c r="B494" vm="1435">
        <v>147.81</v>
      </c>
    </row>
    <row r="495" spans="1:2" x14ac:dyDescent="0.25">
      <c r="A495" s="20">
        <v>46006</v>
      </c>
      <c r="B495" vm="1438">
        <v>145.52000000000001</v>
      </c>
    </row>
    <row r="496" spans="1:2" x14ac:dyDescent="0.25">
      <c r="A496" s="20">
        <v>46006</v>
      </c>
      <c r="B496" vm="1441">
        <v>144.46</v>
      </c>
    </row>
    <row r="497" spans="1:2" x14ac:dyDescent="0.25">
      <c r="A497" s="20">
        <v>46013</v>
      </c>
      <c r="B497" vm="1444">
        <v>142.69</v>
      </c>
    </row>
    <row r="498" spans="1:2" x14ac:dyDescent="0.25">
      <c r="A498" s="20">
        <v>46013</v>
      </c>
      <c r="B498" vm="1447">
        <v>143.18</v>
      </c>
    </row>
    <row r="499" spans="1:2" x14ac:dyDescent="0.25">
      <c r="A499" s="20">
        <v>46013</v>
      </c>
      <c r="B499" vm="1450">
        <v>144.49</v>
      </c>
    </row>
    <row r="500" spans="1:2" x14ac:dyDescent="0.25">
      <c r="A500" s="20">
        <v>46013</v>
      </c>
      <c r="B500" vm="1453">
        <v>144.74</v>
      </c>
    </row>
    <row r="501" spans="1:2" x14ac:dyDescent="0.25">
      <c r="A501" s="20">
        <v>46020</v>
      </c>
      <c r="B501" vm="1456">
        <v>144.57</v>
      </c>
    </row>
    <row r="502" spans="1:2" x14ac:dyDescent="0.25">
      <c r="A502" s="20">
        <v>46020</v>
      </c>
      <c r="B502" vm="1459">
        <v>144.05000000000001</v>
      </c>
    </row>
    <row r="503" spans="1:2" x14ac:dyDescent="0.25">
      <c r="A503" s="20">
        <v>46020</v>
      </c>
      <c r="B503" vm="1462">
        <v>143.31</v>
      </c>
    </row>
    <row r="504" spans="1:2" x14ac:dyDescent="0.25">
      <c r="A504" s="20">
        <v>46020</v>
      </c>
      <c r="B504" vm="1465">
        <v>141.79</v>
      </c>
    </row>
    <row r="505" spans="1:2" x14ac:dyDescent="0.25">
      <c r="A505" s="20">
        <v>46027</v>
      </c>
      <c r="B505" vm="1468">
        <v>140.37</v>
      </c>
    </row>
    <row r="506" spans="1:2" x14ac:dyDescent="0.25">
      <c r="A506" s="20">
        <v>46027</v>
      </c>
      <c r="B506" vm="1471">
        <v>139.91</v>
      </c>
    </row>
    <row r="507" spans="1:2" x14ac:dyDescent="0.25">
      <c r="A507" s="20">
        <v>46027</v>
      </c>
      <c r="B507" vm="1474">
        <v>138.04</v>
      </c>
    </row>
    <row r="508" spans="1:2" x14ac:dyDescent="0.25">
      <c r="A508" s="20">
        <v>46027</v>
      </c>
      <c r="B508" vm="1477">
        <v>141.53</v>
      </c>
    </row>
    <row r="509" spans="1:2" x14ac:dyDescent="0.25">
      <c r="A509" s="20">
        <v>46027</v>
      </c>
      <c r="B509" vm="1480">
        <v>141.87</v>
      </c>
    </row>
    <row r="510" spans="1:2" x14ac:dyDescent="0.25">
      <c r="A510" s="20">
        <v>46034</v>
      </c>
      <c r="B510" vm="1483">
        <v>143.46</v>
      </c>
    </row>
    <row r="511" spans="1:2" x14ac:dyDescent="0.25">
      <c r="A511" s="20">
        <v>46034</v>
      </c>
      <c r="B511" vm="1486">
        <v>144.24</v>
      </c>
    </row>
    <row r="512" spans="1:2" x14ac:dyDescent="0.25">
      <c r="A512" s="20">
        <v>46034</v>
      </c>
      <c r="B512" vm="1489">
        <v>146.35</v>
      </c>
    </row>
    <row r="513" spans="1:2" x14ac:dyDescent="0.25">
      <c r="A513" s="20">
        <v>46034</v>
      </c>
      <c r="B513" vm="1492">
        <v>144.63</v>
      </c>
    </row>
    <row r="514" spans="1:2" x14ac:dyDescent="0.25">
      <c r="A514" s="20">
        <v>46034</v>
      </c>
      <c r="B514" vm="1495">
        <v>144.53</v>
      </c>
    </row>
    <row r="515" spans="1:2" x14ac:dyDescent="0.25">
      <c r="A515" s="20">
        <v>46041</v>
      </c>
      <c r="B515" vm="1498">
        <v>147</v>
      </c>
    </row>
    <row r="516" spans="1:2" x14ac:dyDescent="0.25">
      <c r="A516" s="20">
        <v>46041</v>
      </c>
      <c r="B516" vm="1501">
        <v>146.06</v>
      </c>
    </row>
    <row r="517" spans="1:2" x14ac:dyDescent="0.25">
      <c r="A517" s="20">
        <v>46041</v>
      </c>
      <c r="B517" vm="1504">
        <v>149.93</v>
      </c>
    </row>
    <row r="518" spans="1:2" x14ac:dyDescent="0.25">
      <c r="A518" s="20">
        <v>46041</v>
      </c>
      <c r="B518" vm="1507">
        <v>150.15</v>
      </c>
    </row>
    <row r="519" spans="1:2" x14ac:dyDescent="0.25">
      <c r="A519" s="20">
        <v>46048</v>
      </c>
      <c r="B519" vm="1510">
        <v>149.49</v>
      </c>
    </row>
    <row r="520" spans="1:2" x14ac:dyDescent="0.25">
      <c r="A520" s="20">
        <v>46048</v>
      </c>
      <c r="B520" vm="1513">
        <v>148.34</v>
      </c>
    </row>
    <row r="521" spans="1:2" x14ac:dyDescent="0.25">
      <c r="A521" s="20">
        <v>46048</v>
      </c>
      <c r="B521" vm="1516">
        <v>147.34</v>
      </c>
    </row>
    <row r="522" spans="1:2" x14ac:dyDescent="0.25">
      <c r="A522" s="20">
        <v>46048</v>
      </c>
      <c r="B522" vm="1519">
        <v>149.9</v>
      </c>
    </row>
    <row r="523" spans="1:2" x14ac:dyDescent="0.25">
      <c r="A523" s="20">
        <v>46048</v>
      </c>
      <c r="B523" vm="1522">
        <v>151.77000000000001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A1"/>
  <sheetViews>
    <sheetView tabSelected="1" topLeftCell="A79" workbookViewId="0">
      <selection activeCell="I74" sqref="I74"/>
    </sheetView>
  </sheetViews>
  <sheetFormatPr defaultRowHeight="15" x14ac:dyDescent="0.25"/>
  <cols>
    <col min="1" max="16384" width="9.140625" style="2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4C35-70BE-41E7-92F0-6607B2127896}">
  <dimension ref="A1:B1000"/>
  <sheetViews>
    <sheetView workbookViewId="0">
      <selection activeCell="B2" sqref="B2"/>
    </sheetView>
  </sheetViews>
  <sheetFormatPr defaultRowHeight="15" x14ac:dyDescent="0.25"/>
  <cols>
    <col min="1" max="1" width="20.7109375" style="22" customWidth="1"/>
    <col min="2" max="2" width="9.140625" style="23"/>
  </cols>
  <sheetData>
    <row r="1" spans="1:2" ht="30.75" thickBot="1" x14ac:dyDescent="0.3">
      <c r="A1" s="24" t="s">
        <v>49</v>
      </c>
      <c r="B1" s="24" t="s">
        <v>50</v>
      </c>
    </row>
    <row r="2" spans="1:2" ht="15.75" thickBot="1" x14ac:dyDescent="0.3">
      <c r="A2" s="26">
        <v>36544</v>
      </c>
      <c r="B2" s="27">
        <v>0.16</v>
      </c>
    </row>
    <row r="3" spans="1:2" ht="15.75" thickBot="1" x14ac:dyDescent="0.3">
      <c r="A3" s="26">
        <v>36634</v>
      </c>
      <c r="B3" s="27">
        <v>0.16</v>
      </c>
    </row>
    <row r="4" spans="1:2" ht="15.75" thickBot="1" x14ac:dyDescent="0.3">
      <c r="A4" s="26">
        <v>36726</v>
      </c>
      <c r="B4" s="27">
        <v>0.18</v>
      </c>
    </row>
    <row r="5" spans="1:2" ht="15.75" thickBot="1" x14ac:dyDescent="0.3">
      <c r="A5" s="26">
        <v>36817</v>
      </c>
      <c r="B5" s="27">
        <v>0.18</v>
      </c>
    </row>
    <row r="6" spans="1:2" ht="15.75" thickBot="1" x14ac:dyDescent="0.3">
      <c r="A6" s="26">
        <v>36908</v>
      </c>
      <c r="B6" s="27">
        <v>0.18</v>
      </c>
    </row>
    <row r="7" spans="1:2" ht="15.75" thickBot="1" x14ac:dyDescent="0.3">
      <c r="A7" s="26">
        <v>36999</v>
      </c>
      <c r="B7" s="27">
        <v>0.18</v>
      </c>
    </row>
    <row r="8" spans="1:2" ht="15.75" thickBot="1" x14ac:dyDescent="0.3">
      <c r="A8" s="26">
        <v>37090</v>
      </c>
      <c r="B8" s="27">
        <v>0.19</v>
      </c>
    </row>
    <row r="9" spans="1:2" ht="15.75" thickBot="1" x14ac:dyDescent="0.3">
      <c r="A9" s="26">
        <v>37181</v>
      </c>
      <c r="B9" s="27">
        <v>0.19</v>
      </c>
    </row>
    <row r="10" spans="1:2" ht="15.75" thickBot="1" x14ac:dyDescent="0.3">
      <c r="A10" s="26">
        <v>37272</v>
      </c>
      <c r="B10" s="27">
        <v>0.19</v>
      </c>
    </row>
    <row r="11" spans="1:2" ht="15.75" thickBot="1" x14ac:dyDescent="0.3">
      <c r="A11" s="26">
        <v>37363</v>
      </c>
      <c r="B11" s="27">
        <v>0.19</v>
      </c>
    </row>
    <row r="12" spans="1:2" ht="15.75" thickBot="1" x14ac:dyDescent="0.3">
      <c r="A12" s="26">
        <v>37410</v>
      </c>
      <c r="B12" s="27">
        <v>0.35</v>
      </c>
    </row>
    <row r="13" spans="1:2" ht="15.75" thickBot="1" x14ac:dyDescent="0.3">
      <c r="A13" s="26">
        <v>37454</v>
      </c>
      <c r="B13" s="27">
        <v>0.21</v>
      </c>
    </row>
    <row r="14" spans="1:2" ht="15.75" thickBot="1" x14ac:dyDescent="0.3">
      <c r="A14" s="26">
        <v>37545</v>
      </c>
      <c r="B14" s="27">
        <v>0.21</v>
      </c>
    </row>
    <row r="15" spans="1:2" ht="15.75" thickBot="1" x14ac:dyDescent="0.3">
      <c r="A15" s="26">
        <v>37643</v>
      </c>
      <c r="B15" s="27">
        <v>0.21</v>
      </c>
    </row>
    <row r="16" spans="1:2" ht="15.75" thickBot="1" x14ac:dyDescent="0.3">
      <c r="A16" s="26">
        <v>37726</v>
      </c>
      <c r="B16" s="27">
        <v>0.21</v>
      </c>
    </row>
    <row r="17" spans="1:2" ht="15.75" thickBot="1" x14ac:dyDescent="0.3">
      <c r="A17" s="26">
        <v>37818</v>
      </c>
      <c r="B17" s="27">
        <v>0.23</v>
      </c>
    </row>
    <row r="18" spans="1:2" ht="15.75" thickBot="1" x14ac:dyDescent="0.3">
      <c r="A18" s="26">
        <v>37916</v>
      </c>
      <c r="B18" s="27">
        <v>0.23</v>
      </c>
    </row>
    <row r="19" spans="1:2" ht="15.75" thickBot="1" x14ac:dyDescent="0.3">
      <c r="A19" s="26">
        <v>38007</v>
      </c>
      <c r="B19" s="27">
        <v>0.23</v>
      </c>
    </row>
    <row r="20" spans="1:2" ht="15.75" thickBot="1" x14ac:dyDescent="0.3">
      <c r="A20" s="26">
        <v>38098</v>
      </c>
      <c r="B20" s="27">
        <v>0.25</v>
      </c>
    </row>
    <row r="21" spans="1:2" ht="15.75" thickBot="1" x14ac:dyDescent="0.3">
      <c r="A21" s="26">
        <v>38189</v>
      </c>
      <c r="B21" s="27">
        <v>0.25</v>
      </c>
    </row>
    <row r="22" spans="1:2" ht="15.75" thickBot="1" x14ac:dyDescent="0.3">
      <c r="A22" s="26">
        <v>38280</v>
      </c>
      <c r="B22" s="27">
        <v>0.25</v>
      </c>
    </row>
    <row r="23" spans="1:2" ht="15.75" thickBot="1" x14ac:dyDescent="0.3">
      <c r="A23" s="26">
        <v>38371</v>
      </c>
      <c r="B23" s="27">
        <v>0.25</v>
      </c>
    </row>
    <row r="24" spans="1:2" ht="15.75" thickBot="1" x14ac:dyDescent="0.3">
      <c r="A24" s="26">
        <v>38462</v>
      </c>
      <c r="B24" s="27">
        <v>0.28000000000000003</v>
      </c>
    </row>
    <row r="25" spans="1:2" ht="15.75" thickBot="1" x14ac:dyDescent="0.3">
      <c r="A25" s="26">
        <v>38553</v>
      </c>
      <c r="B25" s="27">
        <v>0.28000000000000003</v>
      </c>
    </row>
    <row r="26" spans="1:2" ht="15.75" thickBot="1" x14ac:dyDescent="0.3">
      <c r="A26" s="26">
        <v>38644</v>
      </c>
      <c r="B26" s="27">
        <v>0.28000000000000003</v>
      </c>
    </row>
    <row r="27" spans="1:2" ht="15.75" thickBot="1" x14ac:dyDescent="0.3">
      <c r="A27" s="26">
        <v>38735</v>
      </c>
      <c r="B27" s="27">
        <v>0.28000000000000003</v>
      </c>
    </row>
    <row r="28" spans="1:2" ht="15.75" thickBot="1" x14ac:dyDescent="0.3">
      <c r="A28" s="26">
        <v>38826</v>
      </c>
      <c r="B28" s="27">
        <v>0.31</v>
      </c>
    </row>
    <row r="29" spans="1:2" ht="15.75" thickBot="1" x14ac:dyDescent="0.3">
      <c r="A29" s="26">
        <v>38917</v>
      </c>
      <c r="B29" s="27">
        <v>0.31</v>
      </c>
    </row>
    <row r="30" spans="1:2" ht="15.75" thickBot="1" x14ac:dyDescent="0.3">
      <c r="A30" s="26">
        <v>39008</v>
      </c>
      <c r="B30" s="27">
        <v>0.31</v>
      </c>
    </row>
    <row r="31" spans="1:2" ht="15.75" thickBot="1" x14ac:dyDescent="0.3">
      <c r="A31" s="26">
        <v>39099</v>
      </c>
      <c r="B31" s="27">
        <v>0.31</v>
      </c>
    </row>
    <row r="32" spans="1:2" ht="15.75" thickBot="1" x14ac:dyDescent="0.3">
      <c r="A32" s="26">
        <v>39197</v>
      </c>
      <c r="B32" s="27">
        <v>0.35</v>
      </c>
    </row>
    <row r="33" spans="1:2" ht="15.75" thickBot="1" x14ac:dyDescent="0.3">
      <c r="A33" s="26">
        <v>39281</v>
      </c>
      <c r="B33" s="27">
        <v>0.35</v>
      </c>
    </row>
    <row r="34" spans="1:2" ht="15.75" thickBot="1" x14ac:dyDescent="0.3">
      <c r="A34" s="26">
        <v>39372</v>
      </c>
      <c r="B34" s="27">
        <v>0.35</v>
      </c>
    </row>
    <row r="35" spans="1:2" ht="15.75" thickBot="1" x14ac:dyDescent="0.3">
      <c r="A35" s="26">
        <v>39463</v>
      </c>
      <c r="B35" s="27">
        <v>0.35</v>
      </c>
    </row>
    <row r="36" spans="1:2" ht="15.75" thickBot="1" x14ac:dyDescent="0.3">
      <c r="A36" s="26">
        <v>39554</v>
      </c>
      <c r="B36" s="27">
        <v>0.4</v>
      </c>
    </row>
    <row r="37" spans="1:2" ht="15.75" thickBot="1" x14ac:dyDescent="0.3">
      <c r="A37" s="26">
        <v>39645</v>
      </c>
      <c r="B37" s="27">
        <v>0.4</v>
      </c>
    </row>
    <row r="38" spans="1:2" ht="15.75" thickBot="1" x14ac:dyDescent="0.3">
      <c r="A38" s="26">
        <v>39743</v>
      </c>
      <c r="B38" s="27">
        <v>0.4</v>
      </c>
    </row>
    <row r="39" spans="1:2" ht="15.75" thickBot="1" x14ac:dyDescent="0.3">
      <c r="A39" s="26">
        <v>39834</v>
      </c>
      <c r="B39" s="27">
        <v>0.4</v>
      </c>
    </row>
    <row r="40" spans="1:2" ht="15.75" thickBot="1" x14ac:dyDescent="0.3">
      <c r="A40" s="26">
        <v>39925</v>
      </c>
      <c r="B40" s="27">
        <v>0.44</v>
      </c>
    </row>
    <row r="41" spans="1:2" ht="15.75" thickBot="1" x14ac:dyDescent="0.3">
      <c r="A41" s="26">
        <v>40016</v>
      </c>
      <c r="B41" s="27">
        <v>0.44</v>
      </c>
    </row>
    <row r="42" spans="1:2" ht="15.75" thickBot="1" x14ac:dyDescent="0.3">
      <c r="A42" s="26">
        <v>40107</v>
      </c>
      <c r="B42" s="27">
        <v>0.44</v>
      </c>
    </row>
    <row r="43" spans="1:2" ht="15.75" thickBot="1" x14ac:dyDescent="0.3">
      <c r="A43" s="26">
        <v>40198</v>
      </c>
      <c r="B43" s="27">
        <v>0.44</v>
      </c>
    </row>
    <row r="44" spans="1:2" ht="15.75" thickBot="1" x14ac:dyDescent="0.3">
      <c r="A44" s="26">
        <v>40296</v>
      </c>
      <c r="B44" s="27">
        <v>0.48</v>
      </c>
    </row>
    <row r="45" spans="1:2" ht="15.75" thickBot="1" x14ac:dyDescent="0.3">
      <c r="A45" s="26">
        <v>40380</v>
      </c>
      <c r="B45" s="27">
        <v>0.48</v>
      </c>
    </row>
    <row r="46" spans="1:2" ht="15.75" thickBot="1" x14ac:dyDescent="0.3">
      <c r="A46" s="26">
        <v>40471</v>
      </c>
      <c r="B46" s="27">
        <v>0.48</v>
      </c>
    </row>
    <row r="47" spans="1:2" ht="15.75" thickBot="1" x14ac:dyDescent="0.3">
      <c r="A47" s="26">
        <v>40562</v>
      </c>
      <c r="B47" s="27">
        <v>0.48</v>
      </c>
    </row>
    <row r="48" spans="1:2" ht="15.75" thickBot="1" x14ac:dyDescent="0.3">
      <c r="A48" s="26">
        <v>40660</v>
      </c>
      <c r="B48" s="27">
        <v>0.53</v>
      </c>
    </row>
    <row r="49" spans="1:2" ht="15.75" thickBot="1" x14ac:dyDescent="0.3">
      <c r="A49" s="26">
        <v>40744</v>
      </c>
      <c r="B49" s="27">
        <v>0.53</v>
      </c>
    </row>
    <row r="50" spans="1:2" ht="15.75" thickBot="1" x14ac:dyDescent="0.3">
      <c r="A50" s="26">
        <v>40835</v>
      </c>
      <c r="B50" s="27">
        <v>0.53</v>
      </c>
    </row>
    <row r="51" spans="1:2" ht="15.75" thickBot="1" x14ac:dyDescent="0.3">
      <c r="A51" s="26">
        <v>40926</v>
      </c>
      <c r="B51" s="27">
        <v>0.53</v>
      </c>
    </row>
    <row r="52" spans="1:2" ht="15.75" thickBot="1" x14ac:dyDescent="0.3">
      <c r="A52" s="26">
        <v>41024</v>
      </c>
      <c r="B52" s="27">
        <v>0.56000000000000005</v>
      </c>
    </row>
    <row r="53" spans="1:2" ht="15.75" thickBot="1" x14ac:dyDescent="0.3">
      <c r="A53" s="26">
        <v>41108</v>
      </c>
      <c r="B53" s="27">
        <v>0.56000000000000005</v>
      </c>
    </row>
    <row r="54" spans="1:2" ht="15.75" thickBot="1" x14ac:dyDescent="0.3">
      <c r="A54" s="26">
        <v>41199</v>
      </c>
      <c r="B54" s="27">
        <v>0.56000000000000005</v>
      </c>
    </row>
    <row r="55" spans="1:2" ht="15.75" thickBot="1" x14ac:dyDescent="0.3">
      <c r="A55" s="26">
        <v>41290</v>
      </c>
      <c r="B55" s="27">
        <v>0.56000000000000005</v>
      </c>
    </row>
    <row r="56" spans="1:2" ht="15.75" thickBot="1" x14ac:dyDescent="0.3">
      <c r="A56" s="26">
        <v>41388</v>
      </c>
      <c r="B56" s="27">
        <v>0.6</v>
      </c>
    </row>
    <row r="57" spans="1:2" ht="15.75" thickBot="1" x14ac:dyDescent="0.3">
      <c r="A57" s="26">
        <v>41472</v>
      </c>
      <c r="B57" s="27">
        <v>0.6</v>
      </c>
    </row>
    <row r="58" spans="1:2" ht="15.75" thickBot="1" x14ac:dyDescent="0.3">
      <c r="A58" s="26">
        <v>41563</v>
      </c>
      <c r="B58" s="27">
        <v>0.6</v>
      </c>
    </row>
    <row r="59" spans="1:2" ht="15.75" thickBot="1" x14ac:dyDescent="0.3">
      <c r="A59" s="26">
        <v>41661</v>
      </c>
      <c r="B59" s="27">
        <v>0.6</v>
      </c>
    </row>
    <row r="60" spans="1:2" ht="15.75" thickBot="1" x14ac:dyDescent="0.3">
      <c r="A60" s="26">
        <v>41752</v>
      </c>
      <c r="B60" s="27">
        <v>0.64</v>
      </c>
    </row>
    <row r="61" spans="1:2" ht="15.75" thickBot="1" x14ac:dyDescent="0.3">
      <c r="A61" s="26">
        <v>41836</v>
      </c>
      <c r="B61" s="27">
        <v>0.64</v>
      </c>
    </row>
    <row r="62" spans="1:2" ht="15.75" thickBot="1" x14ac:dyDescent="0.3">
      <c r="A62" s="26">
        <v>41934</v>
      </c>
      <c r="B62" s="27">
        <v>0.64</v>
      </c>
    </row>
    <row r="63" spans="1:2" ht="15.75" thickBot="1" x14ac:dyDescent="0.3">
      <c r="A63" s="26">
        <v>42025</v>
      </c>
      <c r="B63" s="27">
        <v>0.64</v>
      </c>
    </row>
    <row r="64" spans="1:2" ht="15.75" thickBot="1" x14ac:dyDescent="0.3">
      <c r="A64" s="26">
        <v>42117</v>
      </c>
      <c r="B64" s="27">
        <v>0.66</v>
      </c>
    </row>
    <row r="65" spans="1:2" ht="15.75" thickBot="1" x14ac:dyDescent="0.3">
      <c r="A65" s="26">
        <v>42207</v>
      </c>
      <c r="B65" s="27">
        <v>0.66</v>
      </c>
    </row>
    <row r="66" spans="1:2" ht="15.75" thickBot="1" x14ac:dyDescent="0.3">
      <c r="A66" s="26">
        <v>42298</v>
      </c>
      <c r="B66" s="27">
        <v>0.66</v>
      </c>
    </row>
    <row r="67" spans="1:2" ht="15.75" thickBot="1" x14ac:dyDescent="0.3">
      <c r="A67" s="26">
        <v>42389</v>
      </c>
      <c r="B67" s="27">
        <v>0.66</v>
      </c>
    </row>
    <row r="68" spans="1:2" ht="15.75" thickBot="1" x14ac:dyDescent="0.3">
      <c r="A68" s="26">
        <v>42474</v>
      </c>
      <c r="B68" s="27">
        <v>0.67</v>
      </c>
    </row>
    <row r="69" spans="1:2" ht="15.75" thickBot="1" x14ac:dyDescent="0.3">
      <c r="A69" s="26">
        <v>42571</v>
      </c>
      <c r="B69" s="27">
        <v>0.67</v>
      </c>
    </row>
    <row r="70" spans="1:2" ht="15.75" thickBot="1" x14ac:dyDescent="0.3">
      <c r="A70" s="26">
        <v>42662</v>
      </c>
      <c r="B70" s="27">
        <v>0.67</v>
      </c>
    </row>
    <row r="71" spans="1:2" ht="15.75" thickBot="1" x14ac:dyDescent="0.3">
      <c r="A71" s="26">
        <v>42753</v>
      </c>
      <c r="B71" s="27">
        <v>0.67</v>
      </c>
    </row>
    <row r="72" spans="1:2" ht="15.75" thickBot="1" x14ac:dyDescent="0.3">
      <c r="A72" s="26">
        <v>42844</v>
      </c>
      <c r="B72" s="27">
        <v>0.69</v>
      </c>
    </row>
    <row r="73" spans="1:2" ht="15.75" thickBot="1" x14ac:dyDescent="0.3">
      <c r="A73" s="26">
        <v>42935</v>
      </c>
      <c r="B73" s="27">
        <v>0.69</v>
      </c>
    </row>
    <row r="74" spans="1:2" ht="15.75" thickBot="1" x14ac:dyDescent="0.3">
      <c r="A74" s="26">
        <v>43027</v>
      </c>
      <c r="B74" s="27">
        <v>0.69</v>
      </c>
    </row>
    <row r="75" spans="1:2" ht="15.75" thickBot="1" x14ac:dyDescent="0.3">
      <c r="A75" s="26">
        <v>43118</v>
      </c>
      <c r="B75" s="27">
        <v>0.69</v>
      </c>
    </row>
    <row r="76" spans="1:2" ht="15.75" thickBot="1" x14ac:dyDescent="0.3">
      <c r="A76" s="26">
        <v>43209</v>
      </c>
      <c r="B76" s="27">
        <v>0.72</v>
      </c>
    </row>
    <row r="77" spans="1:2" ht="15.75" thickBot="1" x14ac:dyDescent="0.3">
      <c r="A77" s="26">
        <v>43300</v>
      </c>
      <c r="B77" s="27">
        <v>0.72</v>
      </c>
    </row>
    <row r="78" spans="1:2" ht="15.75" thickBot="1" x14ac:dyDescent="0.3">
      <c r="A78" s="26">
        <v>43391</v>
      </c>
      <c r="B78" s="27">
        <v>0.72</v>
      </c>
    </row>
    <row r="79" spans="1:2" ht="15.75" thickBot="1" x14ac:dyDescent="0.3">
      <c r="A79" s="26">
        <v>43482</v>
      </c>
      <c r="B79" s="27">
        <v>0.72</v>
      </c>
    </row>
    <row r="80" spans="1:2" ht="15.75" thickBot="1" x14ac:dyDescent="0.3">
      <c r="A80" s="26">
        <v>43572</v>
      </c>
      <c r="B80" s="27">
        <v>0.75</v>
      </c>
    </row>
    <row r="81" spans="1:2" ht="15.75" thickBot="1" x14ac:dyDescent="0.3">
      <c r="A81" s="26">
        <v>43664</v>
      </c>
      <c r="B81" s="27">
        <v>0.75</v>
      </c>
    </row>
    <row r="82" spans="1:2" ht="15.75" thickBot="1" x14ac:dyDescent="0.3">
      <c r="A82" s="26">
        <v>43755</v>
      </c>
      <c r="B82" s="27">
        <v>0.75</v>
      </c>
    </row>
    <row r="83" spans="1:2" ht="15.75" thickBot="1" x14ac:dyDescent="0.3">
      <c r="A83" s="26">
        <v>43853</v>
      </c>
      <c r="B83" s="27">
        <v>0.75</v>
      </c>
    </row>
    <row r="84" spans="1:2" ht="15.75" thickBot="1" x14ac:dyDescent="0.3">
      <c r="A84" s="26">
        <v>43944</v>
      </c>
      <c r="B84" s="27">
        <v>0.79</v>
      </c>
    </row>
    <row r="85" spans="1:2" ht="15.75" thickBot="1" x14ac:dyDescent="0.3">
      <c r="A85" s="26">
        <v>44035</v>
      </c>
      <c r="B85" s="27">
        <v>0.79</v>
      </c>
    </row>
    <row r="86" spans="1:2" ht="15.75" thickBot="1" x14ac:dyDescent="0.3">
      <c r="A86" s="26">
        <v>44126</v>
      </c>
      <c r="B86" s="27">
        <v>0.79</v>
      </c>
    </row>
    <row r="87" spans="1:2" ht="15.75" thickBot="1" x14ac:dyDescent="0.3">
      <c r="A87" s="26">
        <v>44217</v>
      </c>
      <c r="B87" s="27">
        <v>0.79</v>
      </c>
    </row>
    <row r="88" spans="1:2" ht="15.75" thickBot="1" x14ac:dyDescent="0.3">
      <c r="A88" s="26">
        <v>44308</v>
      </c>
      <c r="B88" s="27">
        <v>0.87</v>
      </c>
    </row>
    <row r="89" spans="1:2" ht="15.75" thickBot="1" x14ac:dyDescent="0.3">
      <c r="A89" s="26">
        <v>44399</v>
      </c>
      <c r="B89" s="27">
        <v>0.87</v>
      </c>
    </row>
    <row r="90" spans="1:2" ht="15.75" thickBot="1" x14ac:dyDescent="0.3">
      <c r="A90" s="26">
        <v>44490</v>
      </c>
      <c r="B90" s="27">
        <v>0.87</v>
      </c>
    </row>
    <row r="91" spans="1:2" ht="15.75" thickBot="1" x14ac:dyDescent="0.3">
      <c r="A91" s="26">
        <v>44581</v>
      </c>
      <c r="B91" s="27">
        <v>0.87</v>
      </c>
    </row>
    <row r="92" spans="1:2" ht="15.75" thickBot="1" x14ac:dyDescent="0.3">
      <c r="A92" s="26">
        <v>44672</v>
      </c>
      <c r="B92" s="27">
        <v>0.91</v>
      </c>
    </row>
    <row r="93" spans="1:2" ht="15.75" thickBot="1" x14ac:dyDescent="0.3">
      <c r="A93" s="26">
        <v>44763</v>
      </c>
      <c r="B93" s="27">
        <v>0.91</v>
      </c>
    </row>
    <row r="94" spans="1:2" ht="15.75" thickBot="1" x14ac:dyDescent="0.3">
      <c r="A94" s="26">
        <v>44854</v>
      </c>
      <c r="B94" s="27">
        <v>0.91</v>
      </c>
    </row>
    <row r="95" spans="1:2" ht="15.75" thickBot="1" x14ac:dyDescent="0.3">
      <c r="A95" s="26">
        <v>44945</v>
      </c>
      <c r="B95" s="27">
        <v>0.91</v>
      </c>
    </row>
    <row r="96" spans="1:2" ht="15.75" thickBot="1" x14ac:dyDescent="0.3">
      <c r="A96" s="26">
        <v>45036</v>
      </c>
      <c r="B96" s="27">
        <v>0.94</v>
      </c>
    </row>
    <row r="97" spans="1:2" ht="15.75" thickBot="1" x14ac:dyDescent="0.3">
      <c r="A97" s="26">
        <v>45127</v>
      </c>
      <c r="B97" s="27">
        <v>0.94</v>
      </c>
    </row>
    <row r="98" spans="1:2" ht="15.75" thickBot="1" x14ac:dyDescent="0.3">
      <c r="A98" s="26">
        <v>45218</v>
      </c>
      <c r="B98" s="27">
        <v>0.94</v>
      </c>
    </row>
    <row r="99" spans="1:2" ht="15.75" thickBot="1" x14ac:dyDescent="0.3">
      <c r="A99" s="26">
        <v>45309</v>
      </c>
      <c r="B99" s="27">
        <v>0.94</v>
      </c>
    </row>
    <row r="100" spans="1:2" ht="15.75" thickBot="1" x14ac:dyDescent="0.3">
      <c r="A100" s="26">
        <v>45400</v>
      </c>
      <c r="B100" s="27">
        <v>1.01</v>
      </c>
    </row>
    <row r="101" spans="1:2" ht="15.75" thickBot="1" x14ac:dyDescent="0.3">
      <c r="A101" s="26">
        <v>45492</v>
      </c>
      <c r="B101" s="27">
        <v>1.01</v>
      </c>
    </row>
    <row r="102" spans="1:2" ht="15.75" thickBot="1" x14ac:dyDescent="0.3">
      <c r="A102" s="26">
        <v>45583</v>
      </c>
      <c r="B102" s="27">
        <v>1.01</v>
      </c>
    </row>
    <row r="103" spans="1:2" ht="15.75" thickBot="1" x14ac:dyDescent="0.3">
      <c r="A103" s="26">
        <v>45681</v>
      </c>
      <c r="B103" s="27">
        <v>1.01</v>
      </c>
    </row>
    <row r="104" spans="1:2" ht="15.75" thickBot="1" x14ac:dyDescent="0.3">
      <c r="A104" s="26">
        <v>45768</v>
      </c>
      <c r="B104" s="27">
        <v>1.06</v>
      </c>
    </row>
    <row r="105" spans="1:2" ht="15.75" thickBot="1" x14ac:dyDescent="0.3">
      <c r="A105" s="26">
        <v>45856</v>
      </c>
      <c r="B105" s="27">
        <v>1.06</v>
      </c>
    </row>
    <row r="106" spans="1:2" ht="15.75" thickBot="1" x14ac:dyDescent="0.3">
      <c r="A106" s="26">
        <v>45954</v>
      </c>
      <c r="B106" s="27">
        <v>1.06</v>
      </c>
    </row>
    <row r="107" spans="1:2" ht="15.75" thickBot="1" x14ac:dyDescent="0.3">
      <c r="A107" s="26">
        <v>46045</v>
      </c>
      <c r="B107" s="27">
        <v>1.06</v>
      </c>
    </row>
    <row r="108" spans="1:2" ht="15.75" thickBot="1" x14ac:dyDescent="0.3">
      <c r="A108" s="28"/>
      <c r="B108" s="28"/>
    </row>
    <row r="109" spans="1:2" ht="15.75" thickBot="1" x14ac:dyDescent="0.3">
      <c r="A109" s="28"/>
      <c r="B109" s="28"/>
    </row>
    <row r="110" spans="1:2" ht="15.75" thickBot="1" x14ac:dyDescent="0.3">
      <c r="A110" s="28"/>
      <c r="B110" s="28"/>
    </row>
    <row r="111" spans="1:2" ht="15.75" thickBot="1" x14ac:dyDescent="0.3">
      <c r="A111" s="28"/>
      <c r="B111" s="28"/>
    </row>
    <row r="112" spans="1:2" ht="15.75" thickBot="1" x14ac:dyDescent="0.3">
      <c r="A112" s="28"/>
      <c r="B112" s="28"/>
    </row>
    <row r="113" spans="1:2" ht="15.75" thickBot="1" x14ac:dyDescent="0.3">
      <c r="A113" s="28"/>
      <c r="B113" s="28"/>
    </row>
    <row r="114" spans="1:2" ht="15.75" thickBot="1" x14ac:dyDescent="0.3">
      <c r="A114" s="28"/>
      <c r="B114" s="28"/>
    </row>
    <row r="115" spans="1:2" ht="15.75" thickBot="1" x14ac:dyDescent="0.3">
      <c r="A115" s="28"/>
      <c r="B115" s="28"/>
    </row>
    <row r="116" spans="1:2" ht="15.75" thickBot="1" x14ac:dyDescent="0.3">
      <c r="A116" s="28"/>
      <c r="B116" s="28"/>
    </row>
    <row r="117" spans="1:2" ht="15.75" thickBot="1" x14ac:dyDescent="0.3">
      <c r="A117" s="28"/>
      <c r="B117" s="28"/>
    </row>
    <row r="118" spans="1:2" ht="15.75" thickBot="1" x14ac:dyDescent="0.3">
      <c r="A118" s="28"/>
      <c r="B118" s="28"/>
    </row>
    <row r="119" spans="1:2" ht="15.75" thickBot="1" x14ac:dyDescent="0.3">
      <c r="A119" s="28"/>
      <c r="B119" s="28"/>
    </row>
    <row r="120" spans="1:2" ht="15.75" thickBot="1" x14ac:dyDescent="0.3">
      <c r="A120" s="28"/>
      <c r="B120" s="28"/>
    </row>
    <row r="121" spans="1:2" ht="15.75" thickBot="1" x14ac:dyDescent="0.3">
      <c r="A121" s="28"/>
      <c r="B121" s="28"/>
    </row>
    <row r="122" spans="1:2" ht="15.75" thickBot="1" x14ac:dyDescent="0.3">
      <c r="A122" s="28"/>
      <c r="B122" s="28"/>
    </row>
    <row r="123" spans="1:2" ht="15.75" thickBot="1" x14ac:dyDescent="0.3">
      <c r="A123" s="28"/>
      <c r="B123" s="28"/>
    </row>
    <row r="124" spans="1:2" ht="15.75" thickBot="1" x14ac:dyDescent="0.3">
      <c r="A124" s="28"/>
      <c r="B124" s="28"/>
    </row>
    <row r="125" spans="1:2" ht="15.75" thickBot="1" x14ac:dyDescent="0.3">
      <c r="A125" s="28"/>
      <c r="B125" s="28"/>
    </row>
    <row r="126" spans="1:2" ht="15.75" thickBot="1" x14ac:dyDescent="0.3">
      <c r="A126" s="28"/>
      <c r="B126" s="28"/>
    </row>
    <row r="127" spans="1:2" ht="15.75" thickBot="1" x14ac:dyDescent="0.3">
      <c r="A127" s="28"/>
      <c r="B127" s="28"/>
    </row>
    <row r="128" spans="1:2" ht="15.75" thickBot="1" x14ac:dyDescent="0.3">
      <c r="A128" s="28"/>
      <c r="B128" s="28"/>
    </row>
    <row r="129" spans="1:2" ht="15.75" thickBot="1" x14ac:dyDescent="0.3">
      <c r="A129" s="28"/>
      <c r="B129" s="28"/>
    </row>
    <row r="130" spans="1:2" ht="15.75" thickBot="1" x14ac:dyDescent="0.3">
      <c r="A130" s="28"/>
      <c r="B130" s="28"/>
    </row>
    <row r="131" spans="1:2" ht="15.75" thickBot="1" x14ac:dyDescent="0.3">
      <c r="A131" s="28"/>
      <c r="B131" s="28"/>
    </row>
    <row r="132" spans="1:2" ht="15.75" thickBot="1" x14ac:dyDescent="0.3">
      <c r="A132" s="28"/>
      <c r="B132" s="28"/>
    </row>
    <row r="133" spans="1:2" ht="15.75" thickBot="1" x14ac:dyDescent="0.3">
      <c r="A133" s="28"/>
      <c r="B133" s="28"/>
    </row>
    <row r="134" spans="1:2" ht="15.75" thickBot="1" x14ac:dyDescent="0.3">
      <c r="A134" s="28"/>
      <c r="B134" s="28"/>
    </row>
    <row r="135" spans="1:2" ht="15.75" thickBot="1" x14ac:dyDescent="0.3">
      <c r="A135" s="28"/>
      <c r="B135" s="28"/>
    </row>
    <row r="136" spans="1:2" ht="15.75" thickBot="1" x14ac:dyDescent="0.3">
      <c r="A136" s="28"/>
      <c r="B136" s="28"/>
    </row>
    <row r="137" spans="1:2" ht="15.75" thickBot="1" x14ac:dyDescent="0.3">
      <c r="A137" s="28"/>
      <c r="B137" s="28"/>
    </row>
    <row r="138" spans="1:2" ht="15.75" thickBot="1" x14ac:dyDescent="0.3">
      <c r="A138" s="28"/>
      <c r="B138" s="28"/>
    </row>
    <row r="139" spans="1:2" ht="15.75" thickBot="1" x14ac:dyDescent="0.3">
      <c r="A139" s="28"/>
      <c r="B139" s="28"/>
    </row>
    <row r="140" spans="1:2" ht="15.75" thickBot="1" x14ac:dyDescent="0.3">
      <c r="A140" s="28"/>
      <c r="B140" s="28"/>
    </row>
    <row r="141" spans="1:2" ht="15.75" thickBot="1" x14ac:dyDescent="0.3">
      <c r="A141" s="28"/>
      <c r="B141" s="28"/>
    </row>
    <row r="142" spans="1:2" ht="15.75" thickBot="1" x14ac:dyDescent="0.3">
      <c r="A142" s="28"/>
      <c r="B142" s="28"/>
    </row>
    <row r="143" spans="1:2" ht="15.75" thickBot="1" x14ac:dyDescent="0.3">
      <c r="A143" s="28"/>
      <c r="B143" s="28"/>
    </row>
    <row r="144" spans="1:2" ht="15.75" thickBot="1" x14ac:dyDescent="0.3">
      <c r="A144" s="28"/>
      <c r="B144" s="28"/>
    </row>
    <row r="145" spans="1:2" ht="15.75" thickBot="1" x14ac:dyDescent="0.3">
      <c r="A145" s="28"/>
      <c r="B145" s="28"/>
    </row>
    <row r="146" spans="1:2" ht="15.75" thickBot="1" x14ac:dyDescent="0.3">
      <c r="A146" s="28"/>
      <c r="B146" s="28"/>
    </row>
    <row r="147" spans="1:2" ht="15.75" thickBot="1" x14ac:dyDescent="0.3">
      <c r="A147" s="28"/>
      <c r="B147" s="28"/>
    </row>
    <row r="148" spans="1:2" ht="15.75" thickBot="1" x14ac:dyDescent="0.3">
      <c r="A148" s="28"/>
      <c r="B148" s="28"/>
    </row>
    <row r="149" spans="1:2" ht="15.75" thickBot="1" x14ac:dyDescent="0.3">
      <c r="A149" s="28"/>
      <c r="B149" s="28"/>
    </row>
    <row r="150" spans="1:2" ht="15.75" thickBot="1" x14ac:dyDescent="0.3">
      <c r="A150" s="28"/>
      <c r="B150" s="28"/>
    </row>
    <row r="151" spans="1:2" ht="15.75" thickBot="1" x14ac:dyDescent="0.3">
      <c r="A151" s="28"/>
      <c r="B151" s="28"/>
    </row>
    <row r="152" spans="1:2" ht="15.75" thickBot="1" x14ac:dyDescent="0.3">
      <c r="A152" s="28"/>
      <c r="B152" s="28"/>
    </row>
    <row r="153" spans="1:2" ht="15.75" thickBot="1" x14ac:dyDescent="0.3">
      <c r="A153" s="28"/>
      <c r="B153" s="28"/>
    </row>
    <row r="154" spans="1:2" ht="15.75" thickBot="1" x14ac:dyDescent="0.3">
      <c r="A154" s="28"/>
      <c r="B154" s="28"/>
    </row>
    <row r="155" spans="1:2" ht="15.75" thickBot="1" x14ac:dyDescent="0.3">
      <c r="A155" s="28"/>
      <c r="B155" s="28"/>
    </row>
    <row r="156" spans="1:2" ht="15.75" thickBot="1" x14ac:dyDescent="0.3">
      <c r="A156" s="28"/>
      <c r="B156" s="28"/>
    </row>
    <row r="157" spans="1:2" ht="15.75" thickBot="1" x14ac:dyDescent="0.3">
      <c r="A157" s="28"/>
      <c r="B157" s="28"/>
    </row>
    <row r="158" spans="1:2" ht="15.75" thickBot="1" x14ac:dyDescent="0.3">
      <c r="A158" s="28"/>
      <c r="B158" s="28"/>
    </row>
    <row r="159" spans="1:2" ht="15.75" thickBot="1" x14ac:dyDescent="0.3">
      <c r="A159" s="28"/>
      <c r="B159" s="28"/>
    </row>
    <row r="160" spans="1:2" ht="15.75" thickBot="1" x14ac:dyDescent="0.3">
      <c r="A160" s="28"/>
      <c r="B160" s="28"/>
    </row>
    <row r="161" spans="1:2" ht="15.75" thickBot="1" x14ac:dyDescent="0.3">
      <c r="A161" s="28"/>
      <c r="B161" s="28"/>
    </row>
    <row r="162" spans="1:2" ht="15.75" thickBot="1" x14ac:dyDescent="0.3">
      <c r="A162" s="28"/>
      <c r="B162" s="28"/>
    </row>
    <row r="163" spans="1:2" ht="15.75" thickBot="1" x14ac:dyDescent="0.3">
      <c r="A163" s="28"/>
      <c r="B163" s="28"/>
    </row>
    <row r="164" spans="1:2" ht="15.75" thickBot="1" x14ac:dyDescent="0.3">
      <c r="A164" s="28"/>
      <c r="B164" s="28"/>
    </row>
    <row r="165" spans="1:2" ht="15.75" thickBot="1" x14ac:dyDescent="0.3">
      <c r="A165" s="28"/>
      <c r="B165" s="28"/>
    </row>
    <row r="166" spans="1:2" ht="15.75" thickBot="1" x14ac:dyDescent="0.3">
      <c r="A166" s="28"/>
      <c r="B166" s="28"/>
    </row>
    <row r="167" spans="1:2" ht="15.75" thickBot="1" x14ac:dyDescent="0.3">
      <c r="A167" s="28"/>
      <c r="B167" s="28"/>
    </row>
    <row r="168" spans="1:2" ht="15.75" thickBot="1" x14ac:dyDescent="0.3">
      <c r="A168" s="28"/>
      <c r="B168" s="28"/>
    </row>
    <row r="169" spans="1:2" ht="15.75" thickBot="1" x14ac:dyDescent="0.3">
      <c r="A169" s="28"/>
      <c r="B169" s="28"/>
    </row>
    <row r="170" spans="1:2" ht="15.75" thickBot="1" x14ac:dyDescent="0.3">
      <c r="A170" s="28"/>
      <c r="B170" s="28"/>
    </row>
    <row r="171" spans="1:2" ht="15.75" thickBot="1" x14ac:dyDescent="0.3">
      <c r="A171" s="28"/>
      <c r="B171" s="28"/>
    </row>
    <row r="172" spans="1:2" ht="15.75" thickBot="1" x14ac:dyDescent="0.3">
      <c r="A172" s="28"/>
      <c r="B172" s="28"/>
    </row>
    <row r="173" spans="1:2" ht="15.75" thickBot="1" x14ac:dyDescent="0.3">
      <c r="A173" s="28"/>
      <c r="B173" s="28"/>
    </row>
    <row r="174" spans="1:2" ht="15.75" thickBot="1" x14ac:dyDescent="0.3">
      <c r="A174" s="28"/>
      <c r="B174" s="28"/>
    </row>
    <row r="175" spans="1:2" ht="15.75" thickBot="1" x14ac:dyDescent="0.3">
      <c r="A175" s="28"/>
      <c r="B175" s="28"/>
    </row>
    <row r="176" spans="1:2" ht="15.75" thickBot="1" x14ac:dyDescent="0.3">
      <c r="A176" s="28"/>
      <c r="B176" s="28"/>
    </row>
    <row r="177" spans="1:2" ht="15.75" thickBot="1" x14ac:dyDescent="0.3">
      <c r="A177" s="28"/>
      <c r="B177" s="28"/>
    </row>
    <row r="178" spans="1:2" ht="15.75" thickBot="1" x14ac:dyDescent="0.3">
      <c r="A178" s="28"/>
      <c r="B178" s="28"/>
    </row>
    <row r="179" spans="1:2" ht="15.75" thickBot="1" x14ac:dyDescent="0.3">
      <c r="A179" s="28"/>
      <c r="B179" s="28"/>
    </row>
    <row r="180" spans="1:2" ht="15.75" thickBot="1" x14ac:dyDescent="0.3">
      <c r="A180" s="28"/>
      <c r="B180" s="28"/>
    </row>
    <row r="181" spans="1:2" ht="15.75" thickBot="1" x14ac:dyDescent="0.3">
      <c r="A181" s="28"/>
      <c r="B181" s="28"/>
    </row>
    <row r="182" spans="1:2" ht="15.75" thickBot="1" x14ac:dyDescent="0.3">
      <c r="A182" s="28"/>
      <c r="B182" s="28"/>
    </row>
    <row r="183" spans="1:2" ht="15.75" thickBot="1" x14ac:dyDescent="0.3">
      <c r="A183" s="28"/>
      <c r="B183" s="28"/>
    </row>
    <row r="184" spans="1:2" ht="15.75" thickBot="1" x14ac:dyDescent="0.3">
      <c r="A184" s="28"/>
      <c r="B184" s="28"/>
    </row>
    <row r="185" spans="1:2" ht="15.75" thickBot="1" x14ac:dyDescent="0.3">
      <c r="A185" s="28"/>
      <c r="B185" s="28"/>
    </row>
    <row r="186" spans="1:2" ht="15.75" thickBot="1" x14ac:dyDescent="0.3">
      <c r="A186" s="28"/>
      <c r="B186" s="28"/>
    </row>
    <row r="187" spans="1:2" ht="15.75" thickBot="1" x14ac:dyDescent="0.3">
      <c r="A187" s="28"/>
      <c r="B187" s="28"/>
    </row>
    <row r="188" spans="1:2" ht="15.75" thickBot="1" x14ac:dyDescent="0.3">
      <c r="A188" s="28"/>
      <c r="B188" s="28"/>
    </row>
    <row r="189" spans="1:2" ht="15.75" thickBot="1" x14ac:dyDescent="0.3">
      <c r="A189" s="28"/>
      <c r="B189" s="28"/>
    </row>
    <row r="190" spans="1:2" ht="15.75" thickBot="1" x14ac:dyDescent="0.3">
      <c r="A190" s="28"/>
      <c r="B190" s="28"/>
    </row>
    <row r="191" spans="1:2" ht="15.75" thickBot="1" x14ac:dyDescent="0.3">
      <c r="A191" s="28"/>
      <c r="B191" s="28"/>
    </row>
    <row r="192" spans="1:2" ht="15.75" thickBot="1" x14ac:dyDescent="0.3">
      <c r="A192" s="28"/>
      <c r="B192" s="28"/>
    </row>
    <row r="193" spans="1:2" ht="15.75" thickBot="1" x14ac:dyDescent="0.3">
      <c r="A193" s="28"/>
      <c r="B193" s="28"/>
    </row>
    <row r="194" spans="1:2" ht="15.75" thickBot="1" x14ac:dyDescent="0.3">
      <c r="A194" s="28"/>
      <c r="B194" s="28"/>
    </row>
    <row r="195" spans="1:2" ht="15.75" thickBot="1" x14ac:dyDescent="0.3">
      <c r="A195" s="28"/>
      <c r="B195" s="28"/>
    </row>
    <row r="196" spans="1:2" ht="15.75" thickBot="1" x14ac:dyDescent="0.3">
      <c r="A196" s="28"/>
      <c r="B196" s="28"/>
    </row>
    <row r="197" spans="1:2" ht="15.75" thickBot="1" x14ac:dyDescent="0.3">
      <c r="A197" s="28"/>
      <c r="B197" s="28"/>
    </row>
    <row r="198" spans="1:2" ht="15.75" thickBot="1" x14ac:dyDescent="0.3">
      <c r="A198" s="28"/>
      <c r="B198" s="28"/>
    </row>
    <row r="199" spans="1:2" ht="15.75" thickBot="1" x14ac:dyDescent="0.3">
      <c r="A199" s="28"/>
      <c r="B199" s="28"/>
    </row>
    <row r="200" spans="1:2" ht="15.75" thickBot="1" x14ac:dyDescent="0.3">
      <c r="A200" s="28"/>
      <c r="B200" s="28"/>
    </row>
    <row r="201" spans="1:2" ht="15.75" thickBot="1" x14ac:dyDescent="0.3">
      <c r="A201" s="28"/>
      <c r="B201" s="28"/>
    </row>
    <row r="202" spans="1:2" ht="15.75" thickBot="1" x14ac:dyDescent="0.3">
      <c r="A202" s="28"/>
      <c r="B202" s="28"/>
    </row>
    <row r="203" spans="1:2" ht="15.75" thickBot="1" x14ac:dyDescent="0.3">
      <c r="A203" s="28"/>
      <c r="B203" s="28"/>
    </row>
    <row r="204" spans="1:2" ht="15.75" thickBot="1" x14ac:dyDescent="0.3">
      <c r="A204" s="28"/>
      <c r="B204" s="28"/>
    </row>
    <row r="205" spans="1:2" ht="15.75" thickBot="1" x14ac:dyDescent="0.3">
      <c r="A205" s="28"/>
      <c r="B205" s="28"/>
    </row>
    <row r="206" spans="1:2" ht="15.75" thickBot="1" x14ac:dyDescent="0.3">
      <c r="A206" s="28"/>
      <c r="B206" s="28"/>
    </row>
    <row r="207" spans="1:2" ht="15.75" thickBot="1" x14ac:dyDescent="0.3">
      <c r="A207" s="28"/>
      <c r="B207" s="28"/>
    </row>
    <row r="208" spans="1:2" ht="15.75" thickBot="1" x14ac:dyDescent="0.3">
      <c r="A208" s="28"/>
      <c r="B208" s="28"/>
    </row>
    <row r="209" spans="1:2" ht="15.75" thickBot="1" x14ac:dyDescent="0.3">
      <c r="A209" s="28"/>
      <c r="B209" s="28"/>
    </row>
    <row r="210" spans="1:2" ht="15.75" thickBot="1" x14ac:dyDescent="0.3">
      <c r="A210" s="28"/>
      <c r="B210" s="28"/>
    </row>
    <row r="211" spans="1:2" ht="15.75" thickBot="1" x14ac:dyDescent="0.3">
      <c r="A211" s="28"/>
      <c r="B211" s="28"/>
    </row>
    <row r="212" spans="1:2" ht="15.75" thickBot="1" x14ac:dyDescent="0.3">
      <c r="A212" s="28"/>
      <c r="B212" s="28"/>
    </row>
    <row r="213" spans="1:2" ht="15.75" thickBot="1" x14ac:dyDescent="0.3">
      <c r="A213" s="28"/>
      <c r="B213" s="28"/>
    </row>
    <row r="214" spans="1:2" ht="15.75" thickBot="1" x14ac:dyDescent="0.3">
      <c r="A214" s="28"/>
      <c r="B214" s="28"/>
    </row>
    <row r="215" spans="1:2" ht="15.75" thickBot="1" x14ac:dyDescent="0.3">
      <c r="A215" s="28"/>
      <c r="B215" s="28"/>
    </row>
    <row r="216" spans="1:2" ht="15.75" thickBot="1" x14ac:dyDescent="0.3">
      <c r="A216" s="28"/>
      <c r="B216" s="28"/>
    </row>
    <row r="217" spans="1:2" ht="15.75" thickBot="1" x14ac:dyDescent="0.3">
      <c r="A217" s="28"/>
      <c r="B217" s="28"/>
    </row>
    <row r="218" spans="1:2" ht="15.75" thickBot="1" x14ac:dyDescent="0.3">
      <c r="A218" s="28"/>
      <c r="B218" s="28"/>
    </row>
    <row r="219" spans="1:2" ht="15.75" thickBot="1" x14ac:dyDescent="0.3">
      <c r="A219" s="28"/>
      <c r="B219" s="28"/>
    </row>
    <row r="220" spans="1:2" ht="15.75" thickBot="1" x14ac:dyDescent="0.3">
      <c r="A220" s="28"/>
      <c r="B220" s="28"/>
    </row>
    <row r="221" spans="1:2" ht="15.75" thickBot="1" x14ac:dyDescent="0.3">
      <c r="A221" s="28"/>
      <c r="B221" s="28"/>
    </row>
    <row r="222" spans="1:2" ht="15.75" thickBot="1" x14ac:dyDescent="0.3">
      <c r="A222" s="28"/>
      <c r="B222" s="28"/>
    </row>
    <row r="223" spans="1:2" ht="15.75" thickBot="1" x14ac:dyDescent="0.3">
      <c r="A223" s="28"/>
      <c r="B223" s="28"/>
    </row>
    <row r="224" spans="1:2" ht="15.75" thickBot="1" x14ac:dyDescent="0.3">
      <c r="A224" s="28"/>
      <c r="B224" s="28"/>
    </row>
    <row r="225" spans="1:2" ht="15.75" thickBot="1" x14ac:dyDescent="0.3">
      <c r="A225" s="28"/>
      <c r="B225" s="28"/>
    </row>
    <row r="226" spans="1:2" ht="15.75" thickBot="1" x14ac:dyDescent="0.3">
      <c r="A226" s="28"/>
      <c r="B226" s="28"/>
    </row>
    <row r="227" spans="1:2" ht="15.75" thickBot="1" x14ac:dyDescent="0.3">
      <c r="A227" s="28"/>
      <c r="B227" s="28"/>
    </row>
    <row r="228" spans="1:2" ht="15.75" thickBot="1" x14ac:dyDescent="0.3">
      <c r="A228" s="28"/>
      <c r="B228" s="28"/>
    </row>
    <row r="229" spans="1:2" ht="15.75" thickBot="1" x14ac:dyDescent="0.3">
      <c r="A229" s="28"/>
      <c r="B229" s="28"/>
    </row>
    <row r="230" spans="1:2" ht="15.75" thickBot="1" x14ac:dyDescent="0.3">
      <c r="A230" s="28"/>
      <c r="B230" s="28"/>
    </row>
    <row r="231" spans="1:2" ht="15.75" thickBot="1" x14ac:dyDescent="0.3">
      <c r="A231" s="28"/>
      <c r="B231" s="28"/>
    </row>
    <row r="232" spans="1:2" ht="15.75" thickBot="1" x14ac:dyDescent="0.3">
      <c r="A232" s="28"/>
      <c r="B232" s="28"/>
    </row>
    <row r="233" spans="1:2" ht="15.75" thickBot="1" x14ac:dyDescent="0.3">
      <c r="A233" s="28"/>
      <c r="B233" s="28"/>
    </row>
    <row r="234" spans="1:2" ht="15.75" thickBot="1" x14ac:dyDescent="0.3">
      <c r="A234" s="28"/>
      <c r="B234" s="28"/>
    </row>
    <row r="235" spans="1:2" ht="15.75" thickBot="1" x14ac:dyDescent="0.3">
      <c r="A235" s="28"/>
      <c r="B235" s="28"/>
    </row>
    <row r="236" spans="1:2" ht="15.75" thickBot="1" x14ac:dyDescent="0.3">
      <c r="A236" s="28"/>
      <c r="B236" s="28"/>
    </row>
    <row r="237" spans="1:2" ht="15.75" thickBot="1" x14ac:dyDescent="0.3">
      <c r="A237" s="28"/>
      <c r="B237" s="28"/>
    </row>
    <row r="238" spans="1:2" ht="15.75" thickBot="1" x14ac:dyDescent="0.3">
      <c r="A238" s="28"/>
      <c r="B238" s="28"/>
    </row>
    <row r="239" spans="1:2" ht="15.75" thickBot="1" x14ac:dyDescent="0.3">
      <c r="A239" s="28"/>
      <c r="B239" s="28"/>
    </row>
    <row r="240" spans="1:2" ht="15.75" thickBot="1" x14ac:dyDescent="0.3">
      <c r="A240" s="28"/>
      <c r="B240" s="28"/>
    </row>
    <row r="241" spans="1:2" ht="15.75" thickBot="1" x14ac:dyDescent="0.3">
      <c r="A241" s="28"/>
      <c r="B241" s="28"/>
    </row>
    <row r="242" spans="1:2" ht="15.75" thickBot="1" x14ac:dyDescent="0.3">
      <c r="A242" s="28"/>
      <c r="B242" s="28"/>
    </row>
    <row r="243" spans="1:2" ht="15.75" thickBot="1" x14ac:dyDescent="0.3">
      <c r="A243" s="28"/>
      <c r="B243" s="28"/>
    </row>
    <row r="244" spans="1:2" ht="15.75" thickBot="1" x14ac:dyDescent="0.3">
      <c r="A244" s="28"/>
      <c r="B244" s="28"/>
    </row>
    <row r="245" spans="1:2" ht="15.75" thickBot="1" x14ac:dyDescent="0.3">
      <c r="A245" s="28"/>
      <c r="B245" s="28"/>
    </row>
    <row r="246" spans="1:2" ht="15.75" thickBot="1" x14ac:dyDescent="0.3">
      <c r="A246" s="28"/>
      <c r="B246" s="28"/>
    </row>
    <row r="247" spans="1:2" ht="15.75" thickBot="1" x14ac:dyDescent="0.3">
      <c r="A247" s="28"/>
      <c r="B247" s="28"/>
    </row>
    <row r="248" spans="1:2" ht="15.75" thickBot="1" x14ac:dyDescent="0.3">
      <c r="A248" s="28"/>
      <c r="B248" s="28"/>
    </row>
    <row r="249" spans="1:2" ht="15.75" thickBot="1" x14ac:dyDescent="0.3">
      <c r="A249" s="28"/>
      <c r="B249" s="28"/>
    </row>
    <row r="250" spans="1:2" ht="15.75" thickBot="1" x14ac:dyDescent="0.3">
      <c r="A250" s="28"/>
      <c r="B250" s="28"/>
    </row>
    <row r="251" spans="1:2" ht="15.75" thickBot="1" x14ac:dyDescent="0.3">
      <c r="A251" s="28"/>
      <c r="B251" s="28"/>
    </row>
    <row r="252" spans="1:2" ht="15.75" thickBot="1" x14ac:dyDescent="0.3">
      <c r="A252" s="28"/>
      <c r="B252" s="28"/>
    </row>
    <row r="253" spans="1:2" ht="15.75" thickBot="1" x14ac:dyDescent="0.3">
      <c r="A253" s="28"/>
      <c r="B253" s="28"/>
    </row>
    <row r="254" spans="1:2" ht="15.75" thickBot="1" x14ac:dyDescent="0.3">
      <c r="A254" s="28"/>
      <c r="B254" s="28"/>
    </row>
    <row r="255" spans="1:2" ht="15.75" thickBot="1" x14ac:dyDescent="0.3">
      <c r="A255" s="28"/>
      <c r="B255" s="28"/>
    </row>
    <row r="256" spans="1:2" ht="15.75" thickBot="1" x14ac:dyDescent="0.3">
      <c r="A256" s="28"/>
      <c r="B256" s="28"/>
    </row>
    <row r="257" spans="1:2" ht="15.75" thickBot="1" x14ac:dyDescent="0.3">
      <c r="A257" s="28"/>
      <c r="B257" s="28"/>
    </row>
    <row r="258" spans="1:2" ht="15.75" thickBot="1" x14ac:dyDescent="0.3">
      <c r="A258" s="28"/>
      <c r="B258" s="28"/>
    </row>
    <row r="259" spans="1:2" ht="15.75" thickBot="1" x14ac:dyDescent="0.3">
      <c r="A259" s="28"/>
      <c r="B259" s="28"/>
    </row>
    <row r="260" spans="1:2" ht="15.75" thickBot="1" x14ac:dyDescent="0.3">
      <c r="A260" s="28"/>
      <c r="B260" s="28"/>
    </row>
    <row r="261" spans="1:2" ht="15.75" thickBot="1" x14ac:dyDescent="0.3">
      <c r="A261" s="28"/>
      <c r="B261" s="28"/>
    </row>
    <row r="262" spans="1:2" ht="15.75" thickBot="1" x14ac:dyDescent="0.3">
      <c r="A262" s="28"/>
      <c r="B262" s="28"/>
    </row>
    <row r="263" spans="1:2" ht="15.75" thickBot="1" x14ac:dyDescent="0.3">
      <c r="A263" s="28"/>
      <c r="B263" s="28"/>
    </row>
    <row r="264" spans="1:2" ht="15.75" thickBot="1" x14ac:dyDescent="0.3">
      <c r="A264" s="28"/>
      <c r="B264" s="28"/>
    </row>
    <row r="265" spans="1:2" ht="15.75" thickBot="1" x14ac:dyDescent="0.3">
      <c r="A265" s="28"/>
      <c r="B265" s="28"/>
    </row>
    <row r="266" spans="1:2" ht="15.75" thickBot="1" x14ac:dyDescent="0.3">
      <c r="A266" s="28"/>
      <c r="B266" s="28"/>
    </row>
    <row r="267" spans="1:2" ht="15.75" thickBot="1" x14ac:dyDescent="0.3">
      <c r="A267" s="28"/>
      <c r="B267" s="28"/>
    </row>
    <row r="268" spans="1:2" ht="15.75" thickBot="1" x14ac:dyDescent="0.3">
      <c r="A268" s="28"/>
      <c r="B268" s="28"/>
    </row>
    <row r="269" spans="1:2" ht="15.75" thickBot="1" x14ac:dyDescent="0.3">
      <c r="A269" s="28"/>
      <c r="B269" s="28"/>
    </row>
    <row r="270" spans="1:2" ht="15.75" thickBot="1" x14ac:dyDescent="0.3">
      <c r="A270" s="28"/>
      <c r="B270" s="28"/>
    </row>
    <row r="271" spans="1:2" ht="15.75" thickBot="1" x14ac:dyDescent="0.3">
      <c r="A271" s="28"/>
      <c r="B271" s="28"/>
    </row>
    <row r="272" spans="1:2" ht="15.75" thickBot="1" x14ac:dyDescent="0.3">
      <c r="A272" s="28"/>
      <c r="B272" s="28"/>
    </row>
    <row r="273" spans="1:2" ht="15.75" thickBot="1" x14ac:dyDescent="0.3">
      <c r="A273" s="28"/>
      <c r="B273" s="28"/>
    </row>
    <row r="274" spans="1:2" ht="15.75" thickBot="1" x14ac:dyDescent="0.3">
      <c r="A274" s="28"/>
      <c r="B274" s="28"/>
    </row>
    <row r="275" spans="1:2" ht="15.75" thickBot="1" x14ac:dyDescent="0.3">
      <c r="A275" s="28"/>
      <c r="B275" s="28"/>
    </row>
    <row r="276" spans="1:2" ht="15.75" thickBot="1" x14ac:dyDescent="0.3">
      <c r="A276" s="28"/>
      <c r="B276" s="28"/>
    </row>
    <row r="277" spans="1:2" ht="15.75" thickBot="1" x14ac:dyDescent="0.3">
      <c r="A277" s="28"/>
      <c r="B277" s="28"/>
    </row>
    <row r="278" spans="1:2" ht="15.75" thickBot="1" x14ac:dyDescent="0.3">
      <c r="A278" s="28"/>
      <c r="B278" s="28"/>
    </row>
    <row r="279" spans="1:2" ht="15.75" thickBot="1" x14ac:dyDescent="0.3">
      <c r="A279" s="28"/>
      <c r="B279" s="28"/>
    </row>
    <row r="280" spans="1:2" ht="15.75" thickBot="1" x14ac:dyDescent="0.3">
      <c r="A280" s="28"/>
      <c r="B280" s="28"/>
    </row>
    <row r="281" spans="1:2" ht="15.75" thickBot="1" x14ac:dyDescent="0.3">
      <c r="A281" s="28"/>
      <c r="B281" s="28"/>
    </row>
    <row r="282" spans="1:2" ht="15.75" thickBot="1" x14ac:dyDescent="0.3">
      <c r="A282" s="28"/>
      <c r="B282" s="28"/>
    </row>
    <row r="283" spans="1:2" ht="15.75" thickBot="1" x14ac:dyDescent="0.3">
      <c r="A283" s="28"/>
      <c r="B283" s="28"/>
    </row>
    <row r="284" spans="1:2" ht="15.75" thickBot="1" x14ac:dyDescent="0.3">
      <c r="A284" s="28"/>
      <c r="B284" s="28"/>
    </row>
    <row r="285" spans="1:2" ht="15.75" thickBot="1" x14ac:dyDescent="0.3">
      <c r="A285" s="28"/>
      <c r="B285" s="28"/>
    </row>
    <row r="286" spans="1:2" ht="15.75" thickBot="1" x14ac:dyDescent="0.3">
      <c r="A286" s="28"/>
      <c r="B286" s="28"/>
    </row>
    <row r="287" spans="1:2" ht="15.75" thickBot="1" x14ac:dyDescent="0.3">
      <c r="A287" s="28"/>
      <c r="B287" s="28"/>
    </row>
    <row r="288" spans="1:2" ht="15.75" thickBot="1" x14ac:dyDescent="0.3">
      <c r="A288" s="28"/>
      <c r="B288" s="28"/>
    </row>
    <row r="289" spans="1:2" ht="15.75" thickBot="1" x14ac:dyDescent="0.3">
      <c r="A289" s="28"/>
      <c r="B289" s="28"/>
    </row>
    <row r="290" spans="1:2" ht="15.75" thickBot="1" x14ac:dyDescent="0.3">
      <c r="A290" s="28"/>
      <c r="B290" s="28"/>
    </row>
    <row r="291" spans="1:2" ht="15.75" thickBot="1" x14ac:dyDescent="0.3">
      <c r="A291" s="28"/>
      <c r="B291" s="28"/>
    </row>
    <row r="292" spans="1:2" ht="15.75" thickBot="1" x14ac:dyDescent="0.3">
      <c r="A292" s="28"/>
      <c r="B292" s="28"/>
    </row>
    <row r="293" spans="1:2" ht="15.75" thickBot="1" x14ac:dyDescent="0.3">
      <c r="A293" s="28"/>
      <c r="B293" s="28"/>
    </row>
    <row r="294" spans="1:2" ht="15.75" thickBot="1" x14ac:dyDescent="0.3">
      <c r="A294" s="28"/>
      <c r="B294" s="28"/>
    </row>
    <row r="295" spans="1:2" ht="15.75" thickBot="1" x14ac:dyDescent="0.3">
      <c r="A295" s="28"/>
      <c r="B295" s="28"/>
    </row>
    <row r="296" spans="1:2" ht="15.75" thickBot="1" x14ac:dyDescent="0.3">
      <c r="A296" s="28"/>
      <c r="B296" s="28"/>
    </row>
    <row r="297" spans="1:2" ht="15.75" thickBot="1" x14ac:dyDescent="0.3">
      <c r="A297" s="28"/>
      <c r="B297" s="28"/>
    </row>
    <row r="298" spans="1:2" ht="15.75" thickBot="1" x14ac:dyDescent="0.3">
      <c r="A298" s="28"/>
      <c r="B298" s="28"/>
    </row>
    <row r="299" spans="1:2" ht="15.75" thickBot="1" x14ac:dyDescent="0.3">
      <c r="A299" s="28"/>
      <c r="B299" s="28"/>
    </row>
    <row r="300" spans="1:2" ht="15.75" thickBot="1" x14ac:dyDescent="0.3">
      <c r="A300" s="28"/>
      <c r="B300" s="28"/>
    </row>
    <row r="301" spans="1:2" ht="15.75" thickBot="1" x14ac:dyDescent="0.3">
      <c r="A301" s="28"/>
      <c r="B301" s="28"/>
    </row>
    <row r="302" spans="1:2" ht="15.75" thickBot="1" x14ac:dyDescent="0.3">
      <c r="A302" s="28"/>
      <c r="B302" s="28"/>
    </row>
    <row r="303" spans="1:2" ht="15.75" thickBot="1" x14ac:dyDescent="0.3">
      <c r="A303" s="28"/>
      <c r="B303" s="28"/>
    </row>
    <row r="304" spans="1:2" ht="15.75" thickBot="1" x14ac:dyDescent="0.3">
      <c r="A304" s="28"/>
      <c r="B304" s="28"/>
    </row>
    <row r="305" spans="1:2" ht="15.75" thickBot="1" x14ac:dyDescent="0.3">
      <c r="A305" s="28"/>
      <c r="B305" s="28"/>
    </row>
    <row r="306" spans="1:2" ht="15.75" thickBot="1" x14ac:dyDescent="0.3">
      <c r="A306" s="28"/>
      <c r="B306" s="28"/>
    </row>
    <row r="307" spans="1:2" ht="15.75" thickBot="1" x14ac:dyDescent="0.3">
      <c r="A307" s="28"/>
      <c r="B307" s="28"/>
    </row>
    <row r="308" spans="1:2" ht="15.75" thickBot="1" x14ac:dyDescent="0.3">
      <c r="A308" s="28"/>
      <c r="B308" s="28"/>
    </row>
    <row r="309" spans="1:2" ht="15.75" thickBot="1" x14ac:dyDescent="0.3">
      <c r="A309" s="28"/>
      <c r="B309" s="28"/>
    </row>
    <row r="310" spans="1:2" ht="15.75" thickBot="1" x14ac:dyDescent="0.3">
      <c r="A310" s="28"/>
      <c r="B310" s="28"/>
    </row>
    <row r="311" spans="1:2" ht="15.75" thickBot="1" x14ac:dyDescent="0.3">
      <c r="A311" s="28"/>
      <c r="B311" s="28"/>
    </row>
    <row r="312" spans="1:2" ht="15.75" thickBot="1" x14ac:dyDescent="0.3">
      <c r="A312" s="28"/>
      <c r="B312" s="28"/>
    </row>
    <row r="313" spans="1:2" ht="15.75" thickBot="1" x14ac:dyDescent="0.3">
      <c r="A313" s="28"/>
      <c r="B313" s="28"/>
    </row>
    <row r="314" spans="1:2" ht="15.75" thickBot="1" x14ac:dyDescent="0.3">
      <c r="A314" s="28"/>
      <c r="B314" s="28"/>
    </row>
    <row r="315" spans="1:2" ht="15.75" thickBot="1" x14ac:dyDescent="0.3">
      <c r="A315" s="28"/>
      <c r="B315" s="28"/>
    </row>
    <row r="316" spans="1:2" ht="15.75" thickBot="1" x14ac:dyDescent="0.3">
      <c r="A316" s="28"/>
      <c r="B316" s="28"/>
    </row>
    <row r="317" spans="1:2" ht="15.75" thickBot="1" x14ac:dyDescent="0.3">
      <c r="A317" s="28"/>
      <c r="B317" s="28"/>
    </row>
    <row r="318" spans="1:2" ht="15.75" thickBot="1" x14ac:dyDescent="0.3">
      <c r="A318" s="28"/>
      <c r="B318" s="28"/>
    </row>
    <row r="319" spans="1:2" ht="15.75" thickBot="1" x14ac:dyDescent="0.3">
      <c r="A319" s="28"/>
      <c r="B319" s="28"/>
    </row>
    <row r="320" spans="1:2" ht="15.75" thickBot="1" x14ac:dyDescent="0.3">
      <c r="A320" s="28"/>
      <c r="B320" s="28"/>
    </row>
    <row r="321" spans="1:2" ht="15.75" thickBot="1" x14ac:dyDescent="0.3">
      <c r="A321" s="28"/>
      <c r="B321" s="28"/>
    </row>
    <row r="322" spans="1:2" ht="15.75" thickBot="1" x14ac:dyDescent="0.3">
      <c r="A322" s="28"/>
      <c r="B322" s="28"/>
    </row>
    <row r="323" spans="1:2" ht="15.75" thickBot="1" x14ac:dyDescent="0.3">
      <c r="A323" s="28"/>
      <c r="B323" s="28"/>
    </row>
    <row r="324" spans="1:2" ht="15.75" thickBot="1" x14ac:dyDescent="0.3">
      <c r="A324" s="28"/>
      <c r="B324" s="28"/>
    </row>
    <row r="325" spans="1:2" ht="15.75" thickBot="1" x14ac:dyDescent="0.3">
      <c r="A325" s="28"/>
      <c r="B325" s="28"/>
    </row>
    <row r="326" spans="1:2" ht="15.75" thickBot="1" x14ac:dyDescent="0.3">
      <c r="A326" s="28"/>
      <c r="B326" s="28"/>
    </row>
    <row r="327" spans="1:2" ht="15.75" thickBot="1" x14ac:dyDescent="0.3">
      <c r="A327" s="28"/>
      <c r="B327" s="28"/>
    </row>
    <row r="328" spans="1:2" ht="15.75" thickBot="1" x14ac:dyDescent="0.3">
      <c r="A328" s="28"/>
      <c r="B328" s="28"/>
    </row>
    <row r="329" spans="1:2" ht="15.75" thickBot="1" x14ac:dyDescent="0.3">
      <c r="A329" s="28"/>
      <c r="B329" s="28"/>
    </row>
    <row r="330" spans="1:2" ht="15.75" thickBot="1" x14ac:dyDescent="0.3">
      <c r="A330" s="28"/>
      <c r="B330" s="28"/>
    </row>
    <row r="331" spans="1:2" ht="15.75" thickBot="1" x14ac:dyDescent="0.3">
      <c r="A331" s="28"/>
      <c r="B331" s="28"/>
    </row>
    <row r="332" spans="1:2" ht="15.75" thickBot="1" x14ac:dyDescent="0.3">
      <c r="A332" s="28"/>
      <c r="B332" s="28"/>
    </row>
    <row r="333" spans="1:2" ht="15.75" thickBot="1" x14ac:dyDescent="0.3">
      <c r="A333" s="28"/>
      <c r="B333" s="28"/>
    </row>
    <row r="334" spans="1:2" ht="15.75" thickBot="1" x14ac:dyDescent="0.3">
      <c r="A334" s="28"/>
      <c r="B334" s="28"/>
    </row>
    <row r="335" spans="1:2" ht="15.75" thickBot="1" x14ac:dyDescent="0.3">
      <c r="A335" s="28"/>
      <c r="B335" s="28"/>
    </row>
    <row r="336" spans="1:2" ht="15.75" thickBot="1" x14ac:dyDescent="0.3">
      <c r="A336" s="28"/>
      <c r="B336" s="28"/>
    </row>
    <row r="337" spans="1:2" ht="15.75" thickBot="1" x14ac:dyDescent="0.3">
      <c r="A337" s="28"/>
      <c r="B337" s="28"/>
    </row>
    <row r="338" spans="1:2" ht="15.75" thickBot="1" x14ac:dyDescent="0.3">
      <c r="A338" s="28"/>
      <c r="B338" s="28"/>
    </row>
    <row r="339" spans="1:2" ht="15.75" thickBot="1" x14ac:dyDescent="0.3">
      <c r="A339" s="28"/>
      <c r="B339" s="28"/>
    </row>
    <row r="340" spans="1:2" ht="15.75" thickBot="1" x14ac:dyDescent="0.3">
      <c r="A340" s="28"/>
      <c r="B340" s="28"/>
    </row>
    <row r="341" spans="1:2" ht="15.75" thickBot="1" x14ac:dyDescent="0.3">
      <c r="A341" s="28"/>
      <c r="B341" s="28"/>
    </row>
    <row r="342" spans="1:2" ht="15.75" thickBot="1" x14ac:dyDescent="0.3">
      <c r="A342" s="28"/>
      <c r="B342" s="28"/>
    </row>
    <row r="343" spans="1:2" ht="15.75" thickBot="1" x14ac:dyDescent="0.3">
      <c r="A343" s="28"/>
      <c r="B343" s="28"/>
    </row>
    <row r="344" spans="1:2" ht="15.75" thickBot="1" x14ac:dyDescent="0.3">
      <c r="A344" s="28"/>
      <c r="B344" s="28"/>
    </row>
    <row r="345" spans="1:2" ht="15.75" thickBot="1" x14ac:dyDescent="0.3">
      <c r="A345" s="28"/>
      <c r="B345" s="28"/>
    </row>
    <row r="346" spans="1:2" ht="15.75" thickBot="1" x14ac:dyDescent="0.3">
      <c r="A346" s="28"/>
      <c r="B346" s="28"/>
    </row>
    <row r="347" spans="1:2" ht="15.75" thickBot="1" x14ac:dyDescent="0.3">
      <c r="A347" s="28"/>
      <c r="B347" s="28"/>
    </row>
    <row r="348" spans="1:2" ht="15.75" thickBot="1" x14ac:dyDescent="0.3">
      <c r="A348" s="28"/>
      <c r="B348" s="28"/>
    </row>
    <row r="349" spans="1:2" ht="15.75" thickBot="1" x14ac:dyDescent="0.3">
      <c r="A349" s="28"/>
      <c r="B349" s="28"/>
    </row>
    <row r="350" spans="1:2" ht="15.75" thickBot="1" x14ac:dyDescent="0.3">
      <c r="A350" s="28"/>
      <c r="B350" s="28"/>
    </row>
    <row r="351" spans="1:2" ht="15.75" thickBot="1" x14ac:dyDescent="0.3">
      <c r="A351" s="28"/>
      <c r="B351" s="28"/>
    </row>
    <row r="352" spans="1:2" ht="15.75" thickBot="1" x14ac:dyDescent="0.3">
      <c r="A352" s="28"/>
      <c r="B352" s="28"/>
    </row>
    <row r="353" spans="1:2" ht="15.75" thickBot="1" x14ac:dyDescent="0.3">
      <c r="A353" s="28"/>
      <c r="B353" s="28"/>
    </row>
    <row r="354" spans="1:2" ht="15.75" thickBot="1" x14ac:dyDescent="0.3">
      <c r="A354" s="28"/>
      <c r="B354" s="28"/>
    </row>
    <row r="355" spans="1:2" ht="15.75" thickBot="1" x14ac:dyDescent="0.3">
      <c r="A355" s="28"/>
      <c r="B355" s="28"/>
    </row>
    <row r="356" spans="1:2" ht="15.75" thickBot="1" x14ac:dyDescent="0.3">
      <c r="A356" s="28"/>
      <c r="B356" s="28"/>
    </row>
    <row r="357" spans="1:2" ht="15.75" thickBot="1" x14ac:dyDescent="0.3">
      <c r="A357" s="28"/>
      <c r="B357" s="28"/>
    </row>
    <row r="358" spans="1:2" ht="15.75" thickBot="1" x14ac:dyDescent="0.3">
      <c r="A358" s="28"/>
      <c r="B358" s="28"/>
    </row>
    <row r="359" spans="1:2" ht="15.75" thickBot="1" x14ac:dyDescent="0.3">
      <c r="A359" s="28"/>
      <c r="B359" s="28"/>
    </row>
    <row r="360" spans="1:2" ht="15.75" thickBot="1" x14ac:dyDescent="0.3">
      <c r="A360" s="28"/>
      <c r="B360" s="28"/>
    </row>
    <row r="361" spans="1:2" ht="15.75" thickBot="1" x14ac:dyDescent="0.3">
      <c r="A361" s="28"/>
      <c r="B361" s="28"/>
    </row>
    <row r="362" spans="1:2" ht="15.75" thickBot="1" x14ac:dyDescent="0.3">
      <c r="A362" s="28"/>
      <c r="B362" s="28"/>
    </row>
    <row r="363" spans="1:2" ht="15.75" thickBot="1" x14ac:dyDescent="0.3">
      <c r="A363" s="28"/>
      <c r="B363" s="28"/>
    </row>
    <row r="364" spans="1:2" ht="15.75" thickBot="1" x14ac:dyDescent="0.3">
      <c r="A364" s="28"/>
      <c r="B364" s="28"/>
    </row>
    <row r="365" spans="1:2" ht="15.75" thickBot="1" x14ac:dyDescent="0.3">
      <c r="A365" s="28"/>
      <c r="B365" s="28"/>
    </row>
    <row r="366" spans="1:2" ht="15.75" thickBot="1" x14ac:dyDescent="0.3">
      <c r="A366" s="28"/>
      <c r="B366" s="28"/>
    </row>
    <row r="367" spans="1:2" ht="15.75" thickBot="1" x14ac:dyDescent="0.3">
      <c r="A367" s="28"/>
      <c r="B367" s="28"/>
    </row>
    <row r="368" spans="1:2" ht="15.75" thickBot="1" x14ac:dyDescent="0.3">
      <c r="A368" s="28"/>
      <c r="B368" s="28"/>
    </row>
    <row r="369" spans="1:2" ht="15.75" thickBot="1" x14ac:dyDescent="0.3">
      <c r="A369" s="28"/>
      <c r="B369" s="28"/>
    </row>
    <row r="370" spans="1:2" ht="15.75" thickBot="1" x14ac:dyDescent="0.3">
      <c r="A370" s="28"/>
      <c r="B370" s="28"/>
    </row>
    <row r="371" spans="1:2" ht="15.75" thickBot="1" x14ac:dyDescent="0.3">
      <c r="A371" s="28"/>
      <c r="B371" s="28"/>
    </row>
    <row r="372" spans="1:2" ht="15.75" thickBot="1" x14ac:dyDescent="0.3">
      <c r="A372" s="28"/>
      <c r="B372" s="28"/>
    </row>
    <row r="373" spans="1:2" ht="15.75" thickBot="1" x14ac:dyDescent="0.3">
      <c r="A373" s="28"/>
      <c r="B373" s="28"/>
    </row>
    <row r="374" spans="1:2" ht="15.75" thickBot="1" x14ac:dyDescent="0.3">
      <c r="A374" s="28"/>
      <c r="B374" s="28"/>
    </row>
    <row r="375" spans="1:2" ht="15.75" thickBot="1" x14ac:dyDescent="0.3">
      <c r="A375" s="28"/>
      <c r="B375" s="28"/>
    </row>
    <row r="376" spans="1:2" ht="15.75" thickBot="1" x14ac:dyDescent="0.3">
      <c r="A376" s="28"/>
      <c r="B376" s="28"/>
    </row>
    <row r="377" spans="1:2" ht="15.75" thickBot="1" x14ac:dyDescent="0.3">
      <c r="A377" s="28"/>
      <c r="B377" s="28"/>
    </row>
    <row r="378" spans="1:2" ht="15.75" thickBot="1" x14ac:dyDescent="0.3">
      <c r="A378" s="28"/>
      <c r="B378" s="28"/>
    </row>
    <row r="379" spans="1:2" ht="15.75" thickBot="1" x14ac:dyDescent="0.3">
      <c r="A379" s="28"/>
      <c r="B379" s="28"/>
    </row>
    <row r="380" spans="1:2" ht="15.75" thickBot="1" x14ac:dyDescent="0.3">
      <c r="A380" s="28"/>
      <c r="B380" s="28"/>
    </row>
    <row r="381" spans="1:2" ht="15.75" thickBot="1" x14ac:dyDescent="0.3">
      <c r="A381" s="28"/>
      <c r="B381" s="28"/>
    </row>
    <row r="382" spans="1:2" ht="15.75" thickBot="1" x14ac:dyDescent="0.3">
      <c r="A382" s="28"/>
      <c r="B382" s="28"/>
    </row>
    <row r="383" spans="1:2" ht="15.75" thickBot="1" x14ac:dyDescent="0.3">
      <c r="A383" s="28"/>
      <c r="B383" s="28"/>
    </row>
    <row r="384" spans="1:2" ht="15.75" thickBot="1" x14ac:dyDescent="0.3">
      <c r="A384" s="28"/>
      <c r="B384" s="28"/>
    </row>
    <row r="385" spans="1:2" ht="15.75" thickBot="1" x14ac:dyDescent="0.3">
      <c r="A385" s="28"/>
      <c r="B385" s="28"/>
    </row>
    <row r="386" spans="1:2" ht="15.75" thickBot="1" x14ac:dyDescent="0.3">
      <c r="A386" s="28"/>
      <c r="B386" s="28"/>
    </row>
    <row r="387" spans="1:2" ht="15.75" thickBot="1" x14ac:dyDescent="0.3">
      <c r="A387" s="28"/>
      <c r="B387" s="28"/>
    </row>
    <row r="388" spans="1:2" ht="15.75" thickBot="1" x14ac:dyDescent="0.3">
      <c r="A388" s="28"/>
      <c r="B388" s="28"/>
    </row>
    <row r="389" spans="1:2" ht="15.75" thickBot="1" x14ac:dyDescent="0.3">
      <c r="A389" s="28"/>
      <c r="B389" s="28"/>
    </row>
    <row r="390" spans="1:2" ht="15.75" thickBot="1" x14ac:dyDescent="0.3">
      <c r="A390" s="28"/>
      <c r="B390" s="28"/>
    </row>
    <row r="391" spans="1:2" ht="15.75" thickBot="1" x14ac:dyDescent="0.3">
      <c r="A391" s="28"/>
      <c r="B391" s="28"/>
    </row>
    <row r="392" spans="1:2" ht="15.75" thickBot="1" x14ac:dyDescent="0.3">
      <c r="A392" s="28"/>
      <c r="B392" s="28"/>
    </row>
    <row r="393" spans="1:2" ht="15.75" thickBot="1" x14ac:dyDescent="0.3">
      <c r="A393" s="28"/>
      <c r="B393" s="28"/>
    </row>
    <row r="394" spans="1:2" ht="15.75" thickBot="1" x14ac:dyDescent="0.3">
      <c r="A394" s="28"/>
      <c r="B394" s="28"/>
    </row>
    <row r="395" spans="1:2" ht="15.75" thickBot="1" x14ac:dyDescent="0.3">
      <c r="A395" s="28"/>
      <c r="B395" s="28"/>
    </row>
    <row r="396" spans="1:2" ht="15.75" thickBot="1" x14ac:dyDescent="0.3">
      <c r="A396" s="28"/>
      <c r="B396" s="28"/>
    </row>
    <row r="397" spans="1:2" ht="15.75" thickBot="1" x14ac:dyDescent="0.3">
      <c r="A397" s="28"/>
      <c r="B397" s="28"/>
    </row>
    <row r="398" spans="1:2" ht="15.75" thickBot="1" x14ac:dyDescent="0.3">
      <c r="A398" s="28"/>
      <c r="B398" s="28"/>
    </row>
    <row r="399" spans="1:2" ht="15.75" thickBot="1" x14ac:dyDescent="0.3">
      <c r="A399" s="28"/>
      <c r="B399" s="28"/>
    </row>
    <row r="400" spans="1:2" ht="15.75" thickBot="1" x14ac:dyDescent="0.3">
      <c r="A400" s="28"/>
      <c r="B400" s="28"/>
    </row>
    <row r="401" spans="1:2" ht="15.75" thickBot="1" x14ac:dyDescent="0.3">
      <c r="A401" s="28"/>
      <c r="B401" s="28"/>
    </row>
    <row r="402" spans="1:2" ht="15.75" thickBot="1" x14ac:dyDescent="0.3">
      <c r="A402" s="28"/>
      <c r="B402" s="28"/>
    </row>
    <row r="403" spans="1:2" ht="15.75" thickBot="1" x14ac:dyDescent="0.3">
      <c r="A403" s="28"/>
      <c r="B403" s="28"/>
    </row>
    <row r="404" spans="1:2" ht="15.75" thickBot="1" x14ac:dyDescent="0.3">
      <c r="A404" s="28"/>
      <c r="B404" s="28"/>
    </row>
    <row r="405" spans="1:2" ht="15.75" thickBot="1" x14ac:dyDescent="0.3">
      <c r="A405" s="28"/>
      <c r="B405" s="28"/>
    </row>
    <row r="406" spans="1:2" ht="15.75" thickBot="1" x14ac:dyDescent="0.3">
      <c r="A406" s="28"/>
      <c r="B406" s="28"/>
    </row>
    <row r="407" spans="1:2" ht="15.75" thickBot="1" x14ac:dyDescent="0.3">
      <c r="A407" s="28"/>
      <c r="B407" s="28"/>
    </row>
    <row r="408" spans="1:2" ht="15.75" thickBot="1" x14ac:dyDescent="0.3">
      <c r="A408" s="28"/>
      <c r="B408" s="28"/>
    </row>
    <row r="409" spans="1:2" ht="15.75" thickBot="1" x14ac:dyDescent="0.3">
      <c r="A409" s="28"/>
      <c r="B409" s="28"/>
    </row>
    <row r="410" spans="1:2" ht="15.75" thickBot="1" x14ac:dyDescent="0.3">
      <c r="A410" s="28"/>
      <c r="B410" s="28"/>
    </row>
    <row r="411" spans="1:2" ht="15.75" thickBot="1" x14ac:dyDescent="0.3">
      <c r="A411" s="28"/>
      <c r="B411" s="28"/>
    </row>
    <row r="412" spans="1:2" ht="15.75" thickBot="1" x14ac:dyDescent="0.3">
      <c r="A412" s="28"/>
      <c r="B412" s="28"/>
    </row>
    <row r="413" spans="1:2" ht="15.75" thickBot="1" x14ac:dyDescent="0.3">
      <c r="A413" s="28"/>
      <c r="B413" s="28"/>
    </row>
    <row r="414" spans="1:2" ht="15.75" thickBot="1" x14ac:dyDescent="0.3">
      <c r="A414" s="28"/>
      <c r="B414" s="28"/>
    </row>
    <row r="415" spans="1:2" ht="15.75" thickBot="1" x14ac:dyDescent="0.3">
      <c r="A415" s="28"/>
      <c r="B415" s="28"/>
    </row>
    <row r="416" spans="1:2" ht="15.75" thickBot="1" x14ac:dyDescent="0.3">
      <c r="A416" s="28"/>
      <c r="B416" s="28"/>
    </row>
    <row r="417" spans="1:2" ht="15.75" thickBot="1" x14ac:dyDescent="0.3">
      <c r="A417" s="28"/>
      <c r="B417" s="28"/>
    </row>
    <row r="418" spans="1:2" ht="15.75" thickBot="1" x14ac:dyDescent="0.3">
      <c r="A418" s="28"/>
      <c r="B418" s="28"/>
    </row>
    <row r="419" spans="1:2" ht="15.75" thickBot="1" x14ac:dyDescent="0.3">
      <c r="A419" s="28"/>
      <c r="B419" s="28"/>
    </row>
    <row r="420" spans="1:2" ht="15.75" thickBot="1" x14ac:dyDescent="0.3">
      <c r="A420" s="28"/>
      <c r="B420" s="28"/>
    </row>
    <row r="421" spans="1:2" ht="15.75" thickBot="1" x14ac:dyDescent="0.3">
      <c r="A421" s="28"/>
      <c r="B421" s="28"/>
    </row>
    <row r="422" spans="1:2" ht="15.75" thickBot="1" x14ac:dyDescent="0.3">
      <c r="A422" s="28"/>
      <c r="B422" s="28"/>
    </row>
    <row r="423" spans="1:2" ht="15.75" thickBot="1" x14ac:dyDescent="0.3">
      <c r="A423" s="28"/>
      <c r="B423" s="28"/>
    </row>
    <row r="424" spans="1:2" ht="15.75" thickBot="1" x14ac:dyDescent="0.3">
      <c r="A424" s="28"/>
      <c r="B424" s="28"/>
    </row>
    <row r="425" spans="1:2" ht="15.75" thickBot="1" x14ac:dyDescent="0.3">
      <c r="A425" s="28"/>
      <c r="B425" s="28"/>
    </row>
    <row r="426" spans="1:2" ht="15.75" thickBot="1" x14ac:dyDescent="0.3">
      <c r="A426" s="28"/>
      <c r="B426" s="28"/>
    </row>
    <row r="427" spans="1:2" ht="15.75" thickBot="1" x14ac:dyDescent="0.3">
      <c r="A427" s="28"/>
      <c r="B427" s="28"/>
    </row>
    <row r="428" spans="1:2" ht="15.75" thickBot="1" x14ac:dyDescent="0.3">
      <c r="A428" s="28"/>
      <c r="B428" s="28"/>
    </row>
    <row r="429" spans="1:2" ht="15.75" thickBot="1" x14ac:dyDescent="0.3">
      <c r="A429" s="28"/>
      <c r="B429" s="28"/>
    </row>
    <row r="430" spans="1:2" ht="15.75" thickBot="1" x14ac:dyDescent="0.3">
      <c r="A430" s="28"/>
      <c r="B430" s="28"/>
    </row>
    <row r="431" spans="1:2" ht="15.75" thickBot="1" x14ac:dyDescent="0.3">
      <c r="A431" s="28"/>
      <c r="B431" s="28"/>
    </row>
    <row r="432" spans="1:2" ht="15.75" thickBot="1" x14ac:dyDescent="0.3">
      <c r="A432" s="28"/>
      <c r="B432" s="28"/>
    </row>
    <row r="433" spans="1:2" ht="15.75" thickBot="1" x14ac:dyDescent="0.3">
      <c r="A433" s="28"/>
      <c r="B433" s="28"/>
    </row>
    <row r="434" spans="1:2" ht="15.75" thickBot="1" x14ac:dyDescent="0.3">
      <c r="A434" s="28"/>
      <c r="B434" s="28"/>
    </row>
    <row r="435" spans="1:2" ht="15.75" thickBot="1" x14ac:dyDescent="0.3">
      <c r="A435" s="28"/>
      <c r="B435" s="28"/>
    </row>
    <row r="436" spans="1:2" ht="15.75" thickBot="1" x14ac:dyDescent="0.3">
      <c r="A436" s="28"/>
      <c r="B436" s="28"/>
    </row>
    <row r="437" spans="1:2" ht="15.75" thickBot="1" x14ac:dyDescent="0.3">
      <c r="A437" s="28"/>
      <c r="B437" s="28"/>
    </row>
    <row r="438" spans="1:2" ht="15.75" thickBot="1" x14ac:dyDescent="0.3">
      <c r="A438" s="28"/>
      <c r="B438" s="28"/>
    </row>
    <row r="439" spans="1:2" ht="15.75" thickBot="1" x14ac:dyDescent="0.3">
      <c r="A439" s="28"/>
      <c r="B439" s="28"/>
    </row>
    <row r="440" spans="1:2" ht="15.75" thickBot="1" x14ac:dyDescent="0.3">
      <c r="A440" s="28"/>
      <c r="B440" s="28"/>
    </row>
    <row r="441" spans="1:2" ht="15.75" thickBot="1" x14ac:dyDescent="0.3">
      <c r="A441" s="28"/>
      <c r="B441" s="28"/>
    </row>
    <row r="442" spans="1:2" ht="15.75" thickBot="1" x14ac:dyDescent="0.3">
      <c r="A442" s="28"/>
      <c r="B442" s="28"/>
    </row>
    <row r="443" spans="1:2" ht="15.75" thickBot="1" x14ac:dyDescent="0.3">
      <c r="A443" s="28"/>
      <c r="B443" s="28"/>
    </row>
    <row r="444" spans="1:2" ht="15.75" thickBot="1" x14ac:dyDescent="0.3">
      <c r="A444" s="28"/>
      <c r="B444" s="28"/>
    </row>
    <row r="445" spans="1:2" ht="15.75" thickBot="1" x14ac:dyDescent="0.3">
      <c r="A445" s="28"/>
      <c r="B445" s="28"/>
    </row>
    <row r="446" spans="1:2" ht="15.75" thickBot="1" x14ac:dyDescent="0.3">
      <c r="A446" s="28"/>
      <c r="B446" s="28"/>
    </row>
    <row r="447" spans="1:2" ht="15.75" thickBot="1" x14ac:dyDescent="0.3">
      <c r="A447" s="28"/>
      <c r="B447" s="28"/>
    </row>
    <row r="448" spans="1:2" ht="15.75" thickBot="1" x14ac:dyDescent="0.3">
      <c r="A448" s="28"/>
      <c r="B448" s="28"/>
    </row>
    <row r="449" spans="1:2" ht="15.75" thickBot="1" x14ac:dyDescent="0.3">
      <c r="A449" s="28"/>
      <c r="B449" s="28"/>
    </row>
    <row r="450" spans="1:2" ht="15.75" thickBot="1" x14ac:dyDescent="0.3">
      <c r="A450" s="28"/>
      <c r="B450" s="28"/>
    </row>
    <row r="451" spans="1:2" ht="15.75" thickBot="1" x14ac:dyDescent="0.3">
      <c r="A451" s="28"/>
      <c r="B451" s="28"/>
    </row>
    <row r="452" spans="1:2" ht="15.75" thickBot="1" x14ac:dyDescent="0.3">
      <c r="A452" s="28"/>
      <c r="B452" s="28"/>
    </row>
    <row r="453" spans="1:2" ht="15.75" thickBot="1" x14ac:dyDescent="0.3">
      <c r="A453" s="28"/>
      <c r="B453" s="28"/>
    </row>
    <row r="454" spans="1:2" ht="15.75" thickBot="1" x14ac:dyDescent="0.3">
      <c r="A454" s="28"/>
      <c r="B454" s="28"/>
    </row>
    <row r="455" spans="1:2" ht="15.75" thickBot="1" x14ac:dyDescent="0.3">
      <c r="A455" s="28"/>
      <c r="B455" s="28"/>
    </row>
    <row r="456" spans="1:2" ht="15.75" thickBot="1" x14ac:dyDescent="0.3">
      <c r="A456" s="28"/>
      <c r="B456" s="28"/>
    </row>
    <row r="457" spans="1:2" ht="15.75" thickBot="1" x14ac:dyDescent="0.3">
      <c r="A457" s="28"/>
      <c r="B457" s="28"/>
    </row>
    <row r="458" spans="1:2" ht="15.75" thickBot="1" x14ac:dyDescent="0.3">
      <c r="A458" s="28"/>
      <c r="B458" s="28"/>
    </row>
    <row r="459" spans="1:2" ht="15.75" thickBot="1" x14ac:dyDescent="0.3">
      <c r="A459" s="28"/>
      <c r="B459" s="28"/>
    </row>
    <row r="460" spans="1:2" ht="15.75" thickBot="1" x14ac:dyDescent="0.3">
      <c r="A460" s="28"/>
      <c r="B460" s="28"/>
    </row>
    <row r="461" spans="1:2" ht="15.75" thickBot="1" x14ac:dyDescent="0.3">
      <c r="A461" s="28"/>
      <c r="B461" s="28"/>
    </row>
    <row r="462" spans="1:2" ht="15.75" thickBot="1" x14ac:dyDescent="0.3">
      <c r="A462" s="28"/>
      <c r="B462" s="28"/>
    </row>
    <row r="463" spans="1:2" ht="15.75" thickBot="1" x14ac:dyDescent="0.3">
      <c r="A463" s="28"/>
      <c r="B463" s="28"/>
    </row>
    <row r="464" spans="1:2" ht="15.75" thickBot="1" x14ac:dyDescent="0.3">
      <c r="A464" s="28"/>
      <c r="B464" s="28"/>
    </row>
    <row r="465" spans="1:2" ht="15.75" thickBot="1" x14ac:dyDescent="0.3">
      <c r="A465" s="28"/>
      <c r="B465" s="28"/>
    </row>
    <row r="466" spans="1:2" ht="15.75" thickBot="1" x14ac:dyDescent="0.3">
      <c r="A466" s="28"/>
      <c r="B466" s="28"/>
    </row>
    <row r="467" spans="1:2" ht="15.75" thickBot="1" x14ac:dyDescent="0.3">
      <c r="A467" s="28"/>
      <c r="B467" s="28"/>
    </row>
    <row r="468" spans="1:2" ht="15.75" thickBot="1" x14ac:dyDescent="0.3">
      <c r="A468" s="28"/>
      <c r="B468" s="28"/>
    </row>
    <row r="469" spans="1:2" ht="15.75" thickBot="1" x14ac:dyDescent="0.3">
      <c r="A469" s="28"/>
      <c r="B469" s="28"/>
    </row>
    <row r="470" spans="1:2" ht="15.75" thickBot="1" x14ac:dyDescent="0.3">
      <c r="A470" s="28"/>
      <c r="B470" s="28"/>
    </row>
    <row r="471" spans="1:2" ht="15.75" thickBot="1" x14ac:dyDescent="0.3">
      <c r="A471" s="28"/>
      <c r="B471" s="28"/>
    </row>
    <row r="472" spans="1:2" ht="15.75" thickBot="1" x14ac:dyDescent="0.3">
      <c r="A472" s="28"/>
      <c r="B472" s="28"/>
    </row>
    <row r="473" spans="1:2" ht="15.75" thickBot="1" x14ac:dyDescent="0.3">
      <c r="A473" s="28"/>
      <c r="B473" s="28"/>
    </row>
    <row r="474" spans="1:2" ht="15.75" thickBot="1" x14ac:dyDescent="0.3">
      <c r="A474" s="28"/>
      <c r="B474" s="28"/>
    </row>
    <row r="475" spans="1:2" ht="15.75" thickBot="1" x14ac:dyDescent="0.3">
      <c r="A475" s="28"/>
      <c r="B475" s="28"/>
    </row>
    <row r="476" spans="1:2" ht="15.75" thickBot="1" x14ac:dyDescent="0.3">
      <c r="A476" s="28"/>
      <c r="B476" s="28"/>
    </row>
    <row r="477" spans="1:2" ht="15.75" thickBot="1" x14ac:dyDescent="0.3">
      <c r="A477" s="28"/>
      <c r="B477" s="28"/>
    </row>
    <row r="478" spans="1:2" ht="15.75" thickBot="1" x14ac:dyDescent="0.3">
      <c r="A478" s="28"/>
      <c r="B478" s="28"/>
    </row>
    <row r="479" spans="1:2" ht="15.75" thickBot="1" x14ac:dyDescent="0.3">
      <c r="A479" s="28"/>
      <c r="B479" s="28"/>
    </row>
    <row r="480" spans="1:2" ht="15.75" thickBot="1" x14ac:dyDescent="0.3">
      <c r="A480" s="28"/>
      <c r="B480" s="28"/>
    </row>
    <row r="481" spans="1:2" ht="15.75" thickBot="1" x14ac:dyDescent="0.3">
      <c r="A481" s="28"/>
      <c r="B481" s="28"/>
    </row>
    <row r="482" spans="1:2" ht="15.75" thickBot="1" x14ac:dyDescent="0.3">
      <c r="A482" s="28"/>
      <c r="B482" s="28"/>
    </row>
    <row r="483" spans="1:2" ht="15.75" thickBot="1" x14ac:dyDescent="0.3">
      <c r="A483" s="28"/>
      <c r="B483" s="28"/>
    </row>
    <row r="484" spans="1:2" ht="15.75" thickBot="1" x14ac:dyDescent="0.3">
      <c r="A484" s="28"/>
      <c r="B484" s="28"/>
    </row>
    <row r="485" spans="1:2" ht="15.75" thickBot="1" x14ac:dyDescent="0.3">
      <c r="A485" s="28"/>
      <c r="B485" s="28"/>
    </row>
    <row r="486" spans="1:2" ht="15.75" thickBot="1" x14ac:dyDescent="0.3">
      <c r="A486" s="28"/>
      <c r="B486" s="28"/>
    </row>
    <row r="487" spans="1:2" ht="15.75" thickBot="1" x14ac:dyDescent="0.3">
      <c r="A487" s="28"/>
      <c r="B487" s="28"/>
    </row>
    <row r="488" spans="1:2" ht="15.75" thickBot="1" x14ac:dyDescent="0.3">
      <c r="A488" s="28"/>
      <c r="B488" s="28"/>
    </row>
    <row r="489" spans="1:2" ht="15.75" thickBot="1" x14ac:dyDescent="0.3">
      <c r="A489" s="28"/>
      <c r="B489" s="28"/>
    </row>
    <row r="490" spans="1:2" ht="15.75" thickBot="1" x14ac:dyDescent="0.3">
      <c r="A490" s="28"/>
      <c r="B490" s="28"/>
    </row>
    <row r="491" spans="1:2" ht="15.75" thickBot="1" x14ac:dyDescent="0.3">
      <c r="A491" s="28"/>
      <c r="B491" s="28"/>
    </row>
    <row r="492" spans="1:2" ht="15.75" thickBot="1" x14ac:dyDescent="0.3">
      <c r="A492" s="28"/>
      <c r="B492" s="28"/>
    </row>
    <row r="493" spans="1:2" ht="15.75" thickBot="1" x14ac:dyDescent="0.3">
      <c r="A493" s="28"/>
      <c r="B493" s="28"/>
    </row>
    <row r="494" spans="1:2" ht="15.75" thickBot="1" x14ac:dyDescent="0.3">
      <c r="A494" s="28"/>
      <c r="B494" s="28"/>
    </row>
    <row r="495" spans="1:2" ht="15.75" thickBot="1" x14ac:dyDescent="0.3">
      <c r="A495" s="28"/>
      <c r="B495" s="28"/>
    </row>
    <row r="496" spans="1:2" ht="15.75" thickBot="1" x14ac:dyDescent="0.3">
      <c r="A496" s="28"/>
      <c r="B496" s="28"/>
    </row>
    <row r="497" spans="1:2" ht="15.75" thickBot="1" x14ac:dyDescent="0.3">
      <c r="A497" s="28"/>
      <c r="B497" s="28"/>
    </row>
    <row r="498" spans="1:2" ht="15.75" thickBot="1" x14ac:dyDescent="0.3">
      <c r="A498" s="28"/>
      <c r="B498" s="28"/>
    </row>
    <row r="499" spans="1:2" ht="15.75" thickBot="1" x14ac:dyDescent="0.3">
      <c r="A499" s="28"/>
      <c r="B499" s="28"/>
    </row>
    <row r="500" spans="1:2" ht="15.75" thickBot="1" x14ac:dyDescent="0.3">
      <c r="A500" s="28"/>
      <c r="B500" s="28"/>
    </row>
    <row r="501" spans="1:2" ht="15.75" thickBot="1" x14ac:dyDescent="0.3">
      <c r="A501" s="28"/>
      <c r="B501" s="28"/>
    </row>
    <row r="502" spans="1:2" ht="15.75" thickBot="1" x14ac:dyDescent="0.3">
      <c r="A502" s="28"/>
      <c r="B502" s="28"/>
    </row>
    <row r="503" spans="1:2" ht="15.75" thickBot="1" x14ac:dyDescent="0.3">
      <c r="A503" s="28"/>
      <c r="B503" s="28"/>
    </row>
    <row r="504" spans="1:2" ht="15.75" thickBot="1" x14ac:dyDescent="0.3">
      <c r="A504" s="28"/>
      <c r="B504" s="28"/>
    </row>
    <row r="505" spans="1:2" ht="15.75" thickBot="1" x14ac:dyDescent="0.3">
      <c r="A505" s="28"/>
      <c r="B505" s="28"/>
    </row>
    <row r="506" spans="1:2" ht="15.75" thickBot="1" x14ac:dyDescent="0.3">
      <c r="A506" s="28"/>
      <c r="B506" s="28"/>
    </row>
    <row r="507" spans="1:2" ht="15.75" thickBot="1" x14ac:dyDescent="0.3">
      <c r="A507" s="28"/>
      <c r="B507" s="28"/>
    </row>
    <row r="508" spans="1:2" ht="15.75" thickBot="1" x14ac:dyDescent="0.3">
      <c r="A508" s="28"/>
      <c r="B508" s="28"/>
    </row>
    <row r="509" spans="1:2" ht="15.75" thickBot="1" x14ac:dyDescent="0.3">
      <c r="A509" s="28"/>
      <c r="B509" s="28"/>
    </row>
    <row r="510" spans="1:2" ht="15.75" thickBot="1" x14ac:dyDescent="0.3">
      <c r="A510" s="28"/>
      <c r="B510" s="28"/>
    </row>
    <row r="511" spans="1:2" ht="15.75" thickBot="1" x14ac:dyDescent="0.3">
      <c r="A511" s="28"/>
      <c r="B511" s="28"/>
    </row>
    <row r="512" spans="1:2" ht="15.75" thickBot="1" x14ac:dyDescent="0.3">
      <c r="A512" s="28"/>
      <c r="B512" s="28"/>
    </row>
    <row r="513" spans="1:2" ht="15.75" thickBot="1" x14ac:dyDescent="0.3">
      <c r="A513" s="28"/>
      <c r="B513" s="28"/>
    </row>
    <row r="514" spans="1:2" ht="15.75" thickBot="1" x14ac:dyDescent="0.3">
      <c r="A514" s="28"/>
      <c r="B514" s="28"/>
    </row>
    <row r="515" spans="1:2" ht="15.75" thickBot="1" x14ac:dyDescent="0.3">
      <c r="A515" s="28"/>
      <c r="B515" s="28"/>
    </row>
    <row r="516" spans="1:2" ht="15.75" thickBot="1" x14ac:dyDescent="0.3">
      <c r="A516" s="28"/>
      <c r="B516" s="28"/>
    </row>
    <row r="517" spans="1:2" ht="15.75" thickBot="1" x14ac:dyDescent="0.3">
      <c r="A517" s="28"/>
      <c r="B517" s="28"/>
    </row>
    <row r="518" spans="1:2" ht="15.75" thickBot="1" x14ac:dyDescent="0.3">
      <c r="A518" s="28"/>
      <c r="B518" s="28"/>
    </row>
    <row r="519" spans="1:2" ht="15.75" thickBot="1" x14ac:dyDescent="0.3">
      <c r="A519" s="28"/>
      <c r="B519" s="28"/>
    </row>
    <row r="520" spans="1:2" ht="15.75" thickBot="1" x14ac:dyDescent="0.3">
      <c r="A520" s="28"/>
      <c r="B520" s="28"/>
    </row>
    <row r="521" spans="1:2" ht="15.75" thickBot="1" x14ac:dyDescent="0.3">
      <c r="A521" s="28"/>
      <c r="B521" s="28"/>
    </row>
    <row r="522" spans="1:2" ht="15.75" thickBot="1" x14ac:dyDescent="0.3">
      <c r="A522" s="28"/>
      <c r="B522" s="28"/>
    </row>
    <row r="523" spans="1:2" ht="15.75" thickBot="1" x14ac:dyDescent="0.3">
      <c r="A523" s="28"/>
      <c r="B523" s="28"/>
    </row>
    <row r="524" spans="1:2" ht="15.75" thickBot="1" x14ac:dyDescent="0.3">
      <c r="A524" s="28"/>
      <c r="B524" s="28"/>
    </row>
    <row r="525" spans="1:2" ht="15.75" thickBot="1" x14ac:dyDescent="0.3">
      <c r="A525" s="28"/>
      <c r="B525" s="28"/>
    </row>
    <row r="526" spans="1:2" ht="15.75" thickBot="1" x14ac:dyDescent="0.3">
      <c r="A526" s="28"/>
      <c r="B526" s="28"/>
    </row>
    <row r="527" spans="1:2" ht="15.75" thickBot="1" x14ac:dyDescent="0.3">
      <c r="A527" s="28"/>
      <c r="B527" s="28"/>
    </row>
    <row r="528" spans="1:2" ht="15.75" thickBot="1" x14ac:dyDescent="0.3">
      <c r="A528" s="28"/>
      <c r="B528" s="28"/>
    </row>
    <row r="529" spans="1:2" ht="15.75" thickBot="1" x14ac:dyDescent="0.3">
      <c r="A529" s="28"/>
      <c r="B529" s="28"/>
    </row>
    <row r="530" spans="1:2" ht="15.75" thickBot="1" x14ac:dyDescent="0.3">
      <c r="A530" s="28"/>
      <c r="B530" s="28"/>
    </row>
    <row r="531" spans="1:2" ht="15.75" thickBot="1" x14ac:dyDescent="0.3">
      <c r="A531" s="28"/>
      <c r="B531" s="28"/>
    </row>
    <row r="532" spans="1:2" ht="15.75" thickBot="1" x14ac:dyDescent="0.3">
      <c r="A532" s="28"/>
      <c r="B532" s="28"/>
    </row>
    <row r="533" spans="1:2" ht="15.75" thickBot="1" x14ac:dyDescent="0.3">
      <c r="A533" s="28"/>
      <c r="B533" s="28"/>
    </row>
    <row r="534" spans="1:2" ht="15.75" thickBot="1" x14ac:dyDescent="0.3">
      <c r="A534" s="28"/>
      <c r="B534" s="28"/>
    </row>
    <row r="535" spans="1:2" ht="15.75" thickBot="1" x14ac:dyDescent="0.3">
      <c r="A535" s="28"/>
      <c r="B535" s="28"/>
    </row>
    <row r="536" spans="1:2" ht="15.75" thickBot="1" x14ac:dyDescent="0.3">
      <c r="A536" s="28"/>
      <c r="B536" s="28"/>
    </row>
    <row r="537" spans="1:2" ht="15.75" thickBot="1" x14ac:dyDescent="0.3">
      <c r="A537" s="28"/>
      <c r="B537" s="28"/>
    </row>
    <row r="538" spans="1:2" ht="15.75" thickBot="1" x14ac:dyDescent="0.3">
      <c r="A538" s="28"/>
      <c r="B538" s="28"/>
    </row>
    <row r="539" spans="1:2" ht="15.75" thickBot="1" x14ac:dyDescent="0.3">
      <c r="A539" s="28"/>
      <c r="B539" s="28"/>
    </row>
    <row r="540" spans="1:2" ht="15.75" thickBot="1" x14ac:dyDescent="0.3">
      <c r="A540" s="28"/>
      <c r="B540" s="28"/>
    </row>
    <row r="541" spans="1:2" ht="15.75" thickBot="1" x14ac:dyDescent="0.3">
      <c r="A541" s="28"/>
      <c r="B541" s="28"/>
    </row>
    <row r="542" spans="1:2" ht="15.75" thickBot="1" x14ac:dyDescent="0.3">
      <c r="A542" s="28"/>
      <c r="B542" s="28"/>
    </row>
    <row r="543" spans="1:2" ht="15.75" thickBot="1" x14ac:dyDescent="0.3">
      <c r="A543" s="28"/>
      <c r="B543" s="28"/>
    </row>
    <row r="544" spans="1:2" ht="15.75" thickBot="1" x14ac:dyDescent="0.3">
      <c r="A544" s="28"/>
      <c r="B544" s="28"/>
    </row>
    <row r="545" spans="1:2" ht="15.75" thickBot="1" x14ac:dyDescent="0.3">
      <c r="A545" s="28"/>
      <c r="B545" s="28"/>
    </row>
    <row r="546" spans="1:2" ht="15.75" thickBot="1" x14ac:dyDescent="0.3">
      <c r="A546" s="28"/>
      <c r="B546" s="28"/>
    </row>
    <row r="547" spans="1:2" ht="15.75" thickBot="1" x14ac:dyDescent="0.3">
      <c r="A547" s="28"/>
      <c r="B547" s="28"/>
    </row>
    <row r="548" spans="1:2" ht="15.75" thickBot="1" x14ac:dyDescent="0.3">
      <c r="A548" s="28"/>
      <c r="B548" s="28"/>
    </row>
    <row r="549" spans="1:2" ht="15.75" thickBot="1" x14ac:dyDescent="0.3">
      <c r="A549" s="28"/>
      <c r="B549" s="28"/>
    </row>
    <row r="550" spans="1:2" ht="15.75" thickBot="1" x14ac:dyDescent="0.3">
      <c r="A550" s="28"/>
      <c r="B550" s="28"/>
    </row>
    <row r="551" spans="1:2" ht="15.75" thickBot="1" x14ac:dyDescent="0.3">
      <c r="A551" s="28"/>
      <c r="B551" s="28"/>
    </row>
    <row r="552" spans="1:2" ht="15.75" thickBot="1" x14ac:dyDescent="0.3">
      <c r="A552" s="28"/>
      <c r="B552" s="28"/>
    </row>
    <row r="553" spans="1:2" ht="15.75" thickBot="1" x14ac:dyDescent="0.3">
      <c r="A553" s="28"/>
      <c r="B553" s="28"/>
    </row>
    <row r="554" spans="1:2" ht="15.75" thickBot="1" x14ac:dyDescent="0.3">
      <c r="A554" s="28"/>
      <c r="B554" s="28"/>
    </row>
    <row r="555" spans="1:2" ht="15.75" thickBot="1" x14ac:dyDescent="0.3">
      <c r="A555" s="28"/>
      <c r="B555" s="28"/>
    </row>
    <row r="556" spans="1:2" ht="15.75" thickBot="1" x14ac:dyDescent="0.3">
      <c r="A556" s="28"/>
      <c r="B556" s="28"/>
    </row>
    <row r="557" spans="1:2" ht="15.75" thickBot="1" x14ac:dyDescent="0.3">
      <c r="A557" s="28"/>
      <c r="B557" s="28"/>
    </row>
    <row r="558" spans="1:2" ht="15.75" thickBot="1" x14ac:dyDescent="0.3">
      <c r="A558" s="28"/>
      <c r="B558" s="28"/>
    </row>
    <row r="559" spans="1:2" ht="15.75" thickBot="1" x14ac:dyDescent="0.3">
      <c r="A559" s="28"/>
      <c r="B559" s="28"/>
    </row>
    <row r="560" spans="1:2" ht="15.75" thickBot="1" x14ac:dyDescent="0.3">
      <c r="A560" s="28"/>
      <c r="B560" s="28"/>
    </row>
    <row r="561" spans="1:2" ht="15.75" thickBot="1" x14ac:dyDescent="0.3">
      <c r="A561" s="28"/>
      <c r="B561" s="28"/>
    </row>
    <row r="562" spans="1:2" ht="15.75" thickBot="1" x14ac:dyDescent="0.3">
      <c r="A562" s="28"/>
      <c r="B562" s="28"/>
    </row>
    <row r="563" spans="1:2" ht="15.75" thickBot="1" x14ac:dyDescent="0.3">
      <c r="A563" s="28"/>
      <c r="B563" s="28"/>
    </row>
    <row r="564" spans="1:2" ht="15.75" thickBot="1" x14ac:dyDescent="0.3">
      <c r="A564" s="28"/>
      <c r="B564" s="28"/>
    </row>
    <row r="565" spans="1:2" ht="15.75" thickBot="1" x14ac:dyDescent="0.3">
      <c r="A565" s="28"/>
      <c r="B565" s="28"/>
    </row>
    <row r="566" spans="1:2" ht="15.75" thickBot="1" x14ac:dyDescent="0.3">
      <c r="A566" s="28"/>
      <c r="B566" s="28"/>
    </row>
    <row r="567" spans="1:2" ht="15.75" thickBot="1" x14ac:dyDescent="0.3">
      <c r="A567" s="28"/>
      <c r="B567" s="28"/>
    </row>
    <row r="568" spans="1:2" ht="15.75" thickBot="1" x14ac:dyDescent="0.3">
      <c r="A568" s="28"/>
      <c r="B568" s="28"/>
    </row>
    <row r="569" spans="1:2" ht="15.75" thickBot="1" x14ac:dyDescent="0.3">
      <c r="A569" s="28"/>
      <c r="B569" s="28"/>
    </row>
    <row r="570" spans="1:2" ht="15.75" thickBot="1" x14ac:dyDescent="0.3">
      <c r="A570" s="28"/>
      <c r="B570" s="28"/>
    </row>
    <row r="571" spans="1:2" ht="15.75" thickBot="1" x14ac:dyDescent="0.3">
      <c r="A571" s="28"/>
      <c r="B571" s="28"/>
    </row>
    <row r="572" spans="1:2" ht="15.75" thickBot="1" x14ac:dyDescent="0.3">
      <c r="A572" s="28"/>
      <c r="B572" s="28"/>
    </row>
    <row r="573" spans="1:2" ht="15.75" thickBot="1" x14ac:dyDescent="0.3">
      <c r="A573" s="28"/>
      <c r="B573" s="28"/>
    </row>
    <row r="574" spans="1:2" ht="15.75" thickBot="1" x14ac:dyDescent="0.3">
      <c r="A574" s="28"/>
      <c r="B574" s="28"/>
    </row>
    <row r="575" spans="1:2" ht="15.75" thickBot="1" x14ac:dyDescent="0.3">
      <c r="A575" s="28"/>
      <c r="B575" s="28"/>
    </row>
    <row r="576" spans="1:2" ht="15.75" thickBot="1" x14ac:dyDescent="0.3">
      <c r="A576" s="28"/>
      <c r="B576" s="28"/>
    </row>
    <row r="577" spans="1:2" ht="15.75" thickBot="1" x14ac:dyDescent="0.3">
      <c r="A577" s="28"/>
      <c r="B577" s="28"/>
    </row>
    <row r="578" spans="1:2" ht="15.75" thickBot="1" x14ac:dyDescent="0.3">
      <c r="A578" s="28"/>
      <c r="B578" s="28"/>
    </row>
    <row r="579" spans="1:2" ht="15.75" thickBot="1" x14ac:dyDescent="0.3">
      <c r="A579" s="28"/>
      <c r="B579" s="28"/>
    </row>
    <row r="580" spans="1:2" ht="15.75" thickBot="1" x14ac:dyDescent="0.3">
      <c r="A580" s="28"/>
      <c r="B580" s="28"/>
    </row>
    <row r="581" spans="1:2" ht="15.75" thickBot="1" x14ac:dyDescent="0.3">
      <c r="A581" s="28"/>
      <c r="B581" s="28"/>
    </row>
    <row r="582" spans="1:2" ht="15.75" thickBot="1" x14ac:dyDescent="0.3">
      <c r="A582" s="28"/>
      <c r="B582" s="28"/>
    </row>
    <row r="583" spans="1:2" ht="15.75" thickBot="1" x14ac:dyDescent="0.3">
      <c r="A583" s="28"/>
      <c r="B583" s="28"/>
    </row>
    <row r="584" spans="1:2" ht="15.75" thickBot="1" x14ac:dyDescent="0.3">
      <c r="A584" s="28"/>
      <c r="B584" s="28"/>
    </row>
    <row r="585" spans="1:2" ht="15.75" thickBot="1" x14ac:dyDescent="0.3">
      <c r="A585" s="28"/>
      <c r="B585" s="28"/>
    </row>
    <row r="586" spans="1:2" ht="15.75" thickBot="1" x14ac:dyDescent="0.3">
      <c r="A586" s="28"/>
      <c r="B586" s="28"/>
    </row>
    <row r="587" spans="1:2" ht="15.75" thickBot="1" x14ac:dyDescent="0.3">
      <c r="A587" s="28"/>
      <c r="B587" s="28"/>
    </row>
    <row r="588" spans="1:2" ht="15.75" thickBot="1" x14ac:dyDescent="0.3">
      <c r="A588" s="28"/>
      <c r="B588" s="28"/>
    </row>
    <row r="589" spans="1:2" ht="15.75" thickBot="1" x14ac:dyDescent="0.3">
      <c r="A589" s="28"/>
      <c r="B589" s="28"/>
    </row>
    <row r="590" spans="1:2" ht="15.75" thickBot="1" x14ac:dyDescent="0.3">
      <c r="A590" s="28"/>
      <c r="B590" s="28"/>
    </row>
    <row r="591" spans="1:2" ht="15.75" thickBot="1" x14ac:dyDescent="0.3">
      <c r="A591" s="28"/>
      <c r="B591" s="28"/>
    </row>
    <row r="592" spans="1:2" ht="15.75" thickBot="1" x14ac:dyDescent="0.3">
      <c r="A592" s="28"/>
      <c r="B592" s="28"/>
    </row>
    <row r="593" spans="1:2" ht="15.75" thickBot="1" x14ac:dyDescent="0.3">
      <c r="A593" s="28"/>
      <c r="B593" s="28"/>
    </row>
    <row r="594" spans="1:2" ht="15.75" thickBot="1" x14ac:dyDescent="0.3">
      <c r="A594" s="28"/>
      <c r="B594" s="28"/>
    </row>
    <row r="595" spans="1:2" ht="15.75" thickBot="1" x14ac:dyDescent="0.3">
      <c r="A595" s="28"/>
      <c r="B595" s="28"/>
    </row>
    <row r="596" spans="1:2" ht="15.75" thickBot="1" x14ac:dyDescent="0.3">
      <c r="A596" s="28"/>
      <c r="B596" s="28"/>
    </row>
    <row r="597" spans="1:2" ht="15.75" thickBot="1" x14ac:dyDescent="0.3">
      <c r="A597" s="28"/>
      <c r="B597" s="28"/>
    </row>
    <row r="598" spans="1:2" ht="15.75" thickBot="1" x14ac:dyDescent="0.3">
      <c r="A598" s="28"/>
      <c r="B598" s="28"/>
    </row>
    <row r="599" spans="1:2" ht="15.75" thickBot="1" x14ac:dyDescent="0.3">
      <c r="A599" s="28"/>
      <c r="B599" s="28"/>
    </row>
    <row r="600" spans="1:2" ht="15.75" thickBot="1" x14ac:dyDescent="0.3">
      <c r="A600" s="28"/>
      <c r="B600" s="28"/>
    </row>
    <row r="601" spans="1:2" ht="15.75" thickBot="1" x14ac:dyDescent="0.3">
      <c r="A601" s="28"/>
      <c r="B601" s="28"/>
    </row>
    <row r="602" spans="1:2" ht="15.75" thickBot="1" x14ac:dyDescent="0.3">
      <c r="A602" s="28"/>
      <c r="B602" s="28"/>
    </row>
    <row r="603" spans="1:2" ht="15.75" thickBot="1" x14ac:dyDescent="0.3">
      <c r="A603" s="28"/>
      <c r="B603" s="28"/>
    </row>
    <row r="604" spans="1:2" ht="15.75" thickBot="1" x14ac:dyDescent="0.3">
      <c r="A604" s="28"/>
      <c r="B604" s="28"/>
    </row>
    <row r="605" spans="1:2" ht="15.75" thickBot="1" x14ac:dyDescent="0.3">
      <c r="A605" s="28"/>
      <c r="B605" s="28"/>
    </row>
    <row r="606" spans="1:2" ht="15.75" thickBot="1" x14ac:dyDescent="0.3">
      <c r="A606" s="28"/>
      <c r="B606" s="28"/>
    </row>
    <row r="607" spans="1:2" ht="15.75" thickBot="1" x14ac:dyDescent="0.3">
      <c r="A607" s="28"/>
      <c r="B607" s="28"/>
    </row>
    <row r="608" spans="1:2" ht="15.75" thickBot="1" x14ac:dyDescent="0.3">
      <c r="A608" s="28"/>
      <c r="B608" s="28"/>
    </row>
    <row r="609" spans="1:2" ht="15.75" thickBot="1" x14ac:dyDescent="0.3">
      <c r="A609" s="28"/>
      <c r="B609" s="28"/>
    </row>
    <row r="610" spans="1:2" ht="15.75" thickBot="1" x14ac:dyDescent="0.3">
      <c r="A610" s="28"/>
      <c r="B610" s="28"/>
    </row>
    <row r="611" spans="1:2" ht="15.75" thickBot="1" x14ac:dyDescent="0.3">
      <c r="A611" s="28"/>
      <c r="B611" s="28"/>
    </row>
    <row r="612" spans="1:2" ht="15.75" thickBot="1" x14ac:dyDescent="0.3">
      <c r="A612" s="28"/>
      <c r="B612" s="28"/>
    </row>
    <row r="613" spans="1:2" ht="15.75" thickBot="1" x14ac:dyDescent="0.3">
      <c r="A613" s="28"/>
      <c r="B613" s="28"/>
    </row>
    <row r="614" spans="1:2" ht="15.75" thickBot="1" x14ac:dyDescent="0.3">
      <c r="A614" s="28"/>
      <c r="B614" s="28"/>
    </row>
    <row r="615" spans="1:2" ht="15.75" thickBot="1" x14ac:dyDescent="0.3">
      <c r="A615" s="28"/>
      <c r="B615" s="28"/>
    </row>
    <row r="616" spans="1:2" ht="15.75" thickBot="1" x14ac:dyDescent="0.3">
      <c r="A616" s="28"/>
      <c r="B616" s="28"/>
    </row>
    <row r="617" spans="1:2" ht="15.75" thickBot="1" x14ac:dyDescent="0.3">
      <c r="A617" s="28"/>
      <c r="B617" s="28"/>
    </row>
    <row r="618" spans="1:2" ht="15.75" thickBot="1" x14ac:dyDescent="0.3">
      <c r="A618" s="28"/>
      <c r="B618" s="28"/>
    </row>
    <row r="619" spans="1:2" ht="15.75" thickBot="1" x14ac:dyDescent="0.3">
      <c r="A619" s="28"/>
      <c r="B619" s="28"/>
    </row>
    <row r="620" spans="1:2" ht="15.75" thickBot="1" x14ac:dyDescent="0.3">
      <c r="A620" s="28"/>
      <c r="B620" s="28"/>
    </row>
    <row r="621" spans="1:2" ht="15.75" thickBot="1" x14ac:dyDescent="0.3">
      <c r="A621" s="28"/>
      <c r="B621" s="28"/>
    </row>
    <row r="622" spans="1:2" ht="15.75" thickBot="1" x14ac:dyDescent="0.3">
      <c r="A622" s="28"/>
      <c r="B622" s="28"/>
    </row>
    <row r="623" spans="1:2" ht="15.75" thickBot="1" x14ac:dyDescent="0.3">
      <c r="A623" s="28"/>
      <c r="B623" s="28"/>
    </row>
    <row r="624" spans="1:2" ht="15.75" thickBot="1" x14ac:dyDescent="0.3">
      <c r="A624" s="28"/>
      <c r="B624" s="28"/>
    </row>
    <row r="625" spans="1:2" ht="15.75" thickBot="1" x14ac:dyDescent="0.3">
      <c r="A625" s="28"/>
      <c r="B625" s="28"/>
    </row>
    <row r="626" spans="1:2" ht="15.75" thickBot="1" x14ac:dyDescent="0.3">
      <c r="A626" s="28"/>
      <c r="B626" s="28"/>
    </row>
    <row r="627" spans="1:2" ht="15.75" thickBot="1" x14ac:dyDescent="0.3">
      <c r="A627" s="28"/>
      <c r="B627" s="28"/>
    </row>
    <row r="628" spans="1:2" ht="15.75" thickBot="1" x14ac:dyDescent="0.3">
      <c r="A628" s="28"/>
      <c r="B628" s="28"/>
    </row>
    <row r="629" spans="1:2" ht="15.75" thickBot="1" x14ac:dyDescent="0.3">
      <c r="A629" s="28"/>
      <c r="B629" s="28"/>
    </row>
    <row r="630" spans="1:2" ht="15.75" thickBot="1" x14ac:dyDescent="0.3">
      <c r="A630" s="28"/>
      <c r="B630" s="28"/>
    </row>
    <row r="631" spans="1:2" ht="15.75" thickBot="1" x14ac:dyDescent="0.3">
      <c r="A631" s="28"/>
      <c r="B631" s="28"/>
    </row>
    <row r="632" spans="1:2" ht="15.75" thickBot="1" x14ac:dyDescent="0.3">
      <c r="A632" s="28"/>
      <c r="B632" s="28"/>
    </row>
    <row r="633" spans="1:2" ht="15.75" thickBot="1" x14ac:dyDescent="0.3">
      <c r="A633" s="28"/>
      <c r="B633" s="28"/>
    </row>
    <row r="634" spans="1:2" ht="15.75" thickBot="1" x14ac:dyDescent="0.3">
      <c r="A634" s="28"/>
      <c r="B634" s="28"/>
    </row>
    <row r="635" spans="1:2" ht="15.75" thickBot="1" x14ac:dyDescent="0.3">
      <c r="A635" s="28"/>
      <c r="B635" s="28"/>
    </row>
    <row r="636" spans="1:2" ht="15.75" thickBot="1" x14ac:dyDescent="0.3">
      <c r="A636" s="28"/>
      <c r="B636" s="28"/>
    </row>
    <row r="637" spans="1:2" ht="15.75" thickBot="1" x14ac:dyDescent="0.3">
      <c r="A637" s="28"/>
      <c r="B637" s="28"/>
    </row>
    <row r="638" spans="1:2" ht="15.75" thickBot="1" x14ac:dyDescent="0.3">
      <c r="A638" s="28"/>
      <c r="B638" s="28"/>
    </row>
    <row r="639" spans="1:2" ht="15.75" thickBot="1" x14ac:dyDescent="0.3">
      <c r="A639" s="28"/>
      <c r="B639" s="28"/>
    </row>
    <row r="640" spans="1:2" ht="15.75" thickBot="1" x14ac:dyDescent="0.3">
      <c r="A640" s="28"/>
      <c r="B640" s="28"/>
    </row>
    <row r="641" spans="1:2" ht="15.75" thickBot="1" x14ac:dyDescent="0.3">
      <c r="A641" s="28"/>
      <c r="B641" s="28"/>
    </row>
    <row r="642" spans="1:2" ht="15.75" thickBot="1" x14ac:dyDescent="0.3">
      <c r="A642" s="28"/>
      <c r="B642" s="28"/>
    </row>
    <row r="643" spans="1:2" ht="15.75" thickBot="1" x14ac:dyDescent="0.3">
      <c r="A643" s="28"/>
      <c r="B643" s="28"/>
    </row>
    <row r="644" spans="1:2" ht="15.75" thickBot="1" x14ac:dyDescent="0.3">
      <c r="A644" s="28"/>
      <c r="B644" s="28"/>
    </row>
    <row r="645" spans="1:2" ht="15.75" thickBot="1" x14ac:dyDescent="0.3">
      <c r="A645" s="28"/>
      <c r="B645" s="28"/>
    </row>
    <row r="646" spans="1:2" ht="15.75" thickBot="1" x14ac:dyDescent="0.3">
      <c r="A646" s="28"/>
      <c r="B646" s="28"/>
    </row>
    <row r="647" spans="1:2" ht="15.75" thickBot="1" x14ac:dyDescent="0.3">
      <c r="A647" s="28"/>
      <c r="B647" s="28"/>
    </row>
    <row r="648" spans="1:2" ht="15.75" thickBot="1" x14ac:dyDescent="0.3">
      <c r="A648" s="28"/>
      <c r="B648" s="28"/>
    </row>
    <row r="649" spans="1:2" ht="15.75" thickBot="1" x14ac:dyDescent="0.3">
      <c r="A649" s="28"/>
      <c r="B649" s="28"/>
    </row>
    <row r="650" spans="1:2" ht="15.75" thickBot="1" x14ac:dyDescent="0.3">
      <c r="A650" s="28"/>
      <c r="B650" s="28"/>
    </row>
    <row r="651" spans="1:2" ht="15.75" thickBot="1" x14ac:dyDescent="0.3">
      <c r="A651" s="28"/>
      <c r="B651" s="28"/>
    </row>
    <row r="652" spans="1:2" ht="15.75" thickBot="1" x14ac:dyDescent="0.3">
      <c r="A652" s="28"/>
      <c r="B652" s="28"/>
    </row>
    <row r="653" spans="1:2" ht="15.75" thickBot="1" x14ac:dyDescent="0.3">
      <c r="A653" s="28"/>
      <c r="B653" s="28"/>
    </row>
    <row r="654" spans="1:2" ht="15.75" thickBot="1" x14ac:dyDescent="0.3">
      <c r="A654" s="28"/>
      <c r="B654" s="28"/>
    </row>
    <row r="655" spans="1:2" ht="15.75" thickBot="1" x14ac:dyDescent="0.3">
      <c r="A655" s="28"/>
      <c r="B655" s="28"/>
    </row>
    <row r="656" spans="1:2" ht="15.75" thickBot="1" x14ac:dyDescent="0.3">
      <c r="A656" s="28"/>
      <c r="B656" s="28"/>
    </row>
    <row r="657" spans="1:2" ht="15.75" thickBot="1" x14ac:dyDescent="0.3">
      <c r="A657" s="28"/>
      <c r="B657" s="28"/>
    </row>
    <row r="658" spans="1:2" ht="15.75" thickBot="1" x14ac:dyDescent="0.3">
      <c r="A658" s="28"/>
      <c r="B658" s="28"/>
    </row>
    <row r="659" spans="1:2" ht="15.75" thickBot="1" x14ac:dyDescent="0.3">
      <c r="A659" s="28"/>
      <c r="B659" s="28"/>
    </row>
    <row r="660" spans="1:2" ht="15.75" thickBot="1" x14ac:dyDescent="0.3">
      <c r="A660" s="28"/>
      <c r="B660" s="28"/>
    </row>
    <row r="661" spans="1:2" ht="15.75" thickBot="1" x14ac:dyDescent="0.3">
      <c r="A661" s="28"/>
      <c r="B661" s="28"/>
    </row>
    <row r="662" spans="1:2" ht="15.75" thickBot="1" x14ac:dyDescent="0.3">
      <c r="A662" s="28"/>
      <c r="B662" s="28"/>
    </row>
    <row r="663" spans="1:2" ht="15.75" thickBot="1" x14ac:dyDescent="0.3">
      <c r="A663" s="28"/>
      <c r="B663" s="28"/>
    </row>
    <row r="664" spans="1:2" ht="15.75" thickBot="1" x14ac:dyDescent="0.3">
      <c r="A664" s="28"/>
      <c r="B664" s="28"/>
    </row>
    <row r="665" spans="1:2" ht="15.75" thickBot="1" x14ac:dyDescent="0.3">
      <c r="A665" s="28"/>
      <c r="B665" s="28"/>
    </row>
    <row r="666" spans="1:2" ht="15.75" thickBot="1" x14ac:dyDescent="0.3">
      <c r="A666" s="28"/>
      <c r="B666" s="28"/>
    </row>
    <row r="667" spans="1:2" ht="15.75" thickBot="1" x14ac:dyDescent="0.3">
      <c r="A667" s="28"/>
      <c r="B667" s="28"/>
    </row>
    <row r="668" spans="1:2" ht="15.75" thickBot="1" x14ac:dyDescent="0.3">
      <c r="A668" s="28"/>
      <c r="B668" s="28"/>
    </row>
    <row r="669" spans="1:2" ht="15.75" thickBot="1" x14ac:dyDescent="0.3">
      <c r="A669" s="28"/>
      <c r="B669" s="28"/>
    </row>
    <row r="670" spans="1:2" ht="15.75" thickBot="1" x14ac:dyDescent="0.3">
      <c r="A670" s="28"/>
      <c r="B670" s="28"/>
    </row>
    <row r="671" spans="1:2" ht="15.75" thickBot="1" x14ac:dyDescent="0.3">
      <c r="A671" s="28"/>
      <c r="B671" s="28"/>
    </row>
    <row r="672" spans="1:2" ht="15.75" thickBot="1" x14ac:dyDescent="0.3">
      <c r="A672" s="28"/>
      <c r="B672" s="28"/>
    </row>
    <row r="673" spans="1:2" ht="15.75" thickBot="1" x14ac:dyDescent="0.3">
      <c r="A673" s="28"/>
      <c r="B673" s="28"/>
    </row>
    <row r="674" spans="1:2" ht="15.75" thickBot="1" x14ac:dyDescent="0.3">
      <c r="A674" s="28"/>
      <c r="B674" s="28"/>
    </row>
    <row r="675" spans="1:2" ht="15.75" thickBot="1" x14ac:dyDescent="0.3">
      <c r="A675" s="28"/>
      <c r="B675" s="28"/>
    </row>
    <row r="676" spans="1:2" ht="15.75" thickBot="1" x14ac:dyDescent="0.3">
      <c r="A676" s="28"/>
      <c r="B676" s="28"/>
    </row>
    <row r="677" spans="1:2" ht="15.75" thickBot="1" x14ac:dyDescent="0.3">
      <c r="A677" s="28"/>
      <c r="B677" s="28"/>
    </row>
    <row r="678" spans="1:2" ht="15.75" thickBot="1" x14ac:dyDescent="0.3">
      <c r="A678" s="28"/>
      <c r="B678" s="28"/>
    </row>
    <row r="679" spans="1:2" ht="15.75" thickBot="1" x14ac:dyDescent="0.3">
      <c r="A679" s="28"/>
      <c r="B679" s="28"/>
    </row>
    <row r="680" spans="1:2" ht="15.75" thickBot="1" x14ac:dyDescent="0.3">
      <c r="A680" s="28"/>
      <c r="B680" s="28"/>
    </row>
    <row r="681" spans="1:2" ht="15.75" thickBot="1" x14ac:dyDescent="0.3">
      <c r="A681" s="28"/>
      <c r="B681" s="28"/>
    </row>
    <row r="682" spans="1:2" ht="15.75" thickBot="1" x14ac:dyDescent="0.3">
      <c r="A682" s="28"/>
      <c r="B682" s="28"/>
    </row>
    <row r="683" spans="1:2" ht="15.75" thickBot="1" x14ac:dyDescent="0.3">
      <c r="A683" s="28"/>
      <c r="B683" s="28"/>
    </row>
    <row r="684" spans="1:2" ht="15.75" thickBot="1" x14ac:dyDescent="0.3">
      <c r="A684" s="28"/>
      <c r="B684" s="28"/>
    </row>
    <row r="685" spans="1:2" ht="15.75" thickBot="1" x14ac:dyDescent="0.3">
      <c r="A685" s="28"/>
      <c r="B685" s="28"/>
    </row>
    <row r="686" spans="1:2" ht="15.75" thickBot="1" x14ac:dyDescent="0.3">
      <c r="A686" s="28"/>
      <c r="B686" s="28"/>
    </row>
    <row r="687" spans="1:2" ht="15.75" thickBot="1" x14ac:dyDescent="0.3">
      <c r="A687" s="28"/>
      <c r="B687" s="28"/>
    </row>
    <row r="688" spans="1:2" ht="15.75" thickBot="1" x14ac:dyDescent="0.3">
      <c r="A688" s="28"/>
      <c r="B688" s="28"/>
    </row>
    <row r="689" spans="1:2" ht="15.75" thickBot="1" x14ac:dyDescent="0.3">
      <c r="A689" s="28"/>
      <c r="B689" s="28"/>
    </row>
    <row r="690" spans="1:2" ht="15.75" thickBot="1" x14ac:dyDescent="0.3">
      <c r="A690" s="28"/>
      <c r="B690" s="28"/>
    </row>
    <row r="691" spans="1:2" ht="15.75" thickBot="1" x14ac:dyDescent="0.3">
      <c r="A691" s="28"/>
      <c r="B691" s="28"/>
    </row>
    <row r="692" spans="1:2" ht="15.75" thickBot="1" x14ac:dyDescent="0.3">
      <c r="A692" s="28"/>
      <c r="B692" s="28"/>
    </row>
    <row r="693" spans="1:2" ht="15.75" thickBot="1" x14ac:dyDescent="0.3">
      <c r="A693" s="28"/>
      <c r="B693" s="28"/>
    </row>
    <row r="694" spans="1:2" ht="15.75" thickBot="1" x14ac:dyDescent="0.3">
      <c r="A694" s="28"/>
      <c r="B694" s="28"/>
    </row>
    <row r="695" spans="1:2" ht="15.75" thickBot="1" x14ac:dyDescent="0.3">
      <c r="A695" s="28"/>
      <c r="B695" s="28"/>
    </row>
    <row r="696" spans="1:2" ht="15.75" thickBot="1" x14ac:dyDescent="0.3">
      <c r="A696" s="28"/>
      <c r="B696" s="28"/>
    </row>
    <row r="697" spans="1:2" ht="15.75" thickBot="1" x14ac:dyDescent="0.3">
      <c r="A697" s="28"/>
      <c r="B697" s="28"/>
    </row>
    <row r="698" spans="1:2" ht="15.75" thickBot="1" x14ac:dyDescent="0.3">
      <c r="A698" s="28"/>
      <c r="B698" s="28"/>
    </row>
    <row r="699" spans="1:2" ht="15.75" thickBot="1" x14ac:dyDescent="0.3">
      <c r="A699" s="28"/>
      <c r="B699" s="28"/>
    </row>
    <row r="700" spans="1:2" ht="15.75" thickBot="1" x14ac:dyDescent="0.3">
      <c r="A700" s="28"/>
      <c r="B700" s="28"/>
    </row>
    <row r="701" spans="1:2" ht="15.75" thickBot="1" x14ac:dyDescent="0.3">
      <c r="A701" s="28"/>
      <c r="B701" s="28"/>
    </row>
    <row r="702" spans="1:2" ht="15.75" thickBot="1" x14ac:dyDescent="0.3">
      <c r="A702" s="28"/>
      <c r="B702" s="28"/>
    </row>
    <row r="703" spans="1:2" ht="15.75" thickBot="1" x14ac:dyDescent="0.3">
      <c r="A703" s="28"/>
      <c r="B703" s="28"/>
    </row>
    <row r="704" spans="1:2" ht="15.75" thickBot="1" x14ac:dyDescent="0.3">
      <c r="A704" s="28"/>
      <c r="B704" s="28"/>
    </row>
    <row r="705" spans="1:2" ht="15.75" thickBot="1" x14ac:dyDescent="0.3">
      <c r="A705" s="28"/>
      <c r="B705" s="28"/>
    </row>
    <row r="706" spans="1:2" ht="15.75" thickBot="1" x14ac:dyDescent="0.3">
      <c r="A706" s="28"/>
      <c r="B706" s="28"/>
    </row>
    <row r="707" spans="1:2" ht="15.75" thickBot="1" x14ac:dyDescent="0.3">
      <c r="A707" s="28"/>
      <c r="B707" s="28"/>
    </row>
    <row r="708" spans="1:2" ht="15.75" thickBot="1" x14ac:dyDescent="0.3">
      <c r="A708" s="28"/>
      <c r="B708" s="28"/>
    </row>
    <row r="709" spans="1:2" ht="15.75" thickBot="1" x14ac:dyDescent="0.3">
      <c r="A709" s="28"/>
      <c r="B709" s="28"/>
    </row>
    <row r="710" spans="1:2" ht="15.75" thickBot="1" x14ac:dyDescent="0.3">
      <c r="A710" s="28"/>
      <c r="B710" s="28"/>
    </row>
    <row r="711" spans="1:2" ht="15.75" thickBot="1" x14ac:dyDescent="0.3">
      <c r="A711" s="28"/>
      <c r="B711" s="28"/>
    </row>
    <row r="712" spans="1:2" ht="15.75" thickBot="1" x14ac:dyDescent="0.3">
      <c r="A712" s="28"/>
      <c r="B712" s="28"/>
    </row>
    <row r="713" spans="1:2" ht="15.75" thickBot="1" x14ac:dyDescent="0.3">
      <c r="A713" s="28"/>
      <c r="B713" s="28"/>
    </row>
    <row r="714" spans="1:2" ht="15.75" thickBot="1" x14ac:dyDescent="0.3">
      <c r="A714" s="28"/>
      <c r="B714" s="28"/>
    </row>
    <row r="715" spans="1:2" ht="15.75" thickBot="1" x14ac:dyDescent="0.3">
      <c r="A715" s="28"/>
      <c r="B715" s="28"/>
    </row>
    <row r="716" spans="1:2" ht="15.75" thickBot="1" x14ac:dyDescent="0.3">
      <c r="A716" s="28"/>
      <c r="B716" s="28"/>
    </row>
    <row r="717" spans="1:2" ht="15.75" thickBot="1" x14ac:dyDescent="0.3">
      <c r="A717" s="28"/>
      <c r="B717" s="28"/>
    </row>
    <row r="718" spans="1:2" ht="15.75" thickBot="1" x14ac:dyDescent="0.3">
      <c r="A718" s="28"/>
      <c r="B718" s="28"/>
    </row>
    <row r="719" spans="1:2" ht="15.75" thickBot="1" x14ac:dyDescent="0.3">
      <c r="A719" s="28"/>
      <c r="B719" s="28"/>
    </row>
    <row r="720" spans="1:2" ht="15.75" thickBot="1" x14ac:dyDescent="0.3">
      <c r="A720" s="28"/>
      <c r="B720" s="28"/>
    </row>
    <row r="721" spans="1:2" ht="15.75" thickBot="1" x14ac:dyDescent="0.3">
      <c r="A721" s="28"/>
      <c r="B721" s="28"/>
    </row>
    <row r="722" spans="1:2" ht="15.75" thickBot="1" x14ac:dyDescent="0.3">
      <c r="A722" s="28"/>
      <c r="B722" s="28"/>
    </row>
    <row r="723" spans="1:2" ht="15.75" thickBot="1" x14ac:dyDescent="0.3">
      <c r="A723" s="28"/>
      <c r="B723" s="28"/>
    </row>
    <row r="724" spans="1:2" ht="15.75" thickBot="1" x14ac:dyDescent="0.3">
      <c r="A724" s="28"/>
      <c r="B724" s="28"/>
    </row>
    <row r="725" spans="1:2" ht="15.75" thickBot="1" x14ac:dyDescent="0.3">
      <c r="A725" s="28"/>
      <c r="B725" s="28"/>
    </row>
    <row r="726" spans="1:2" ht="15.75" thickBot="1" x14ac:dyDescent="0.3">
      <c r="A726" s="28"/>
      <c r="B726" s="28"/>
    </row>
    <row r="727" spans="1:2" ht="15.75" thickBot="1" x14ac:dyDescent="0.3">
      <c r="A727" s="28"/>
      <c r="B727" s="28"/>
    </row>
    <row r="728" spans="1:2" ht="15.75" thickBot="1" x14ac:dyDescent="0.3">
      <c r="A728" s="28"/>
      <c r="B728" s="28"/>
    </row>
    <row r="729" spans="1:2" ht="15.75" thickBot="1" x14ac:dyDescent="0.3">
      <c r="A729" s="28"/>
      <c r="B729" s="28"/>
    </row>
    <row r="730" spans="1:2" ht="15.75" thickBot="1" x14ac:dyDescent="0.3">
      <c r="A730" s="28"/>
      <c r="B730" s="28"/>
    </row>
    <row r="731" spans="1:2" ht="15.75" thickBot="1" x14ac:dyDescent="0.3">
      <c r="A731" s="28"/>
      <c r="B731" s="28"/>
    </row>
    <row r="732" spans="1:2" ht="15.75" thickBot="1" x14ac:dyDescent="0.3">
      <c r="A732" s="28"/>
      <c r="B732" s="28"/>
    </row>
    <row r="733" spans="1:2" ht="15.75" thickBot="1" x14ac:dyDescent="0.3">
      <c r="A733" s="28"/>
      <c r="B733" s="28"/>
    </row>
    <row r="734" spans="1:2" ht="15.75" thickBot="1" x14ac:dyDescent="0.3">
      <c r="A734" s="28"/>
      <c r="B734" s="28"/>
    </row>
    <row r="735" spans="1:2" ht="15.75" thickBot="1" x14ac:dyDescent="0.3">
      <c r="A735" s="28"/>
      <c r="B735" s="28"/>
    </row>
    <row r="736" spans="1:2" ht="15.75" thickBot="1" x14ac:dyDescent="0.3">
      <c r="A736" s="28"/>
      <c r="B736" s="28"/>
    </row>
    <row r="737" spans="1:2" ht="15.75" thickBot="1" x14ac:dyDescent="0.3">
      <c r="A737" s="28"/>
      <c r="B737" s="28"/>
    </row>
    <row r="738" spans="1:2" ht="15.75" thickBot="1" x14ac:dyDescent="0.3">
      <c r="A738" s="28"/>
      <c r="B738" s="28"/>
    </row>
    <row r="739" spans="1:2" ht="15.75" thickBot="1" x14ac:dyDescent="0.3">
      <c r="A739" s="28"/>
      <c r="B739" s="28"/>
    </row>
    <row r="740" spans="1:2" ht="15.75" thickBot="1" x14ac:dyDescent="0.3">
      <c r="A740" s="28"/>
      <c r="B740" s="28"/>
    </row>
    <row r="741" spans="1:2" ht="15.75" thickBot="1" x14ac:dyDescent="0.3">
      <c r="A741" s="28"/>
      <c r="B741" s="28"/>
    </row>
    <row r="742" spans="1:2" ht="15.75" thickBot="1" x14ac:dyDescent="0.3">
      <c r="A742" s="28"/>
      <c r="B742" s="28"/>
    </row>
    <row r="743" spans="1:2" ht="15.75" thickBot="1" x14ac:dyDescent="0.3">
      <c r="A743" s="28"/>
      <c r="B743" s="28"/>
    </row>
    <row r="744" spans="1:2" ht="15.75" thickBot="1" x14ac:dyDescent="0.3">
      <c r="A744" s="28"/>
      <c r="B744" s="28"/>
    </row>
    <row r="745" spans="1:2" ht="15.75" thickBot="1" x14ac:dyDescent="0.3">
      <c r="A745" s="28"/>
      <c r="B745" s="28"/>
    </row>
    <row r="746" spans="1:2" ht="15.75" thickBot="1" x14ac:dyDescent="0.3">
      <c r="A746" s="28"/>
      <c r="B746" s="28"/>
    </row>
    <row r="747" spans="1:2" ht="15.75" thickBot="1" x14ac:dyDescent="0.3">
      <c r="A747" s="28"/>
      <c r="B747" s="28"/>
    </row>
    <row r="748" spans="1:2" ht="15.75" thickBot="1" x14ac:dyDescent="0.3">
      <c r="A748" s="28"/>
      <c r="B748" s="28"/>
    </row>
    <row r="749" spans="1:2" ht="15.75" thickBot="1" x14ac:dyDescent="0.3">
      <c r="A749" s="28"/>
      <c r="B749" s="28"/>
    </row>
    <row r="750" spans="1:2" ht="15.75" thickBot="1" x14ac:dyDescent="0.3">
      <c r="A750" s="28"/>
      <c r="B750" s="28"/>
    </row>
    <row r="751" spans="1:2" ht="15.75" thickBot="1" x14ac:dyDescent="0.3">
      <c r="A751" s="28"/>
      <c r="B751" s="28"/>
    </row>
    <row r="752" spans="1:2" ht="15.75" thickBot="1" x14ac:dyDescent="0.3">
      <c r="A752" s="28"/>
      <c r="B752" s="28"/>
    </row>
    <row r="753" spans="1:2" ht="15.75" thickBot="1" x14ac:dyDescent="0.3">
      <c r="A753" s="28"/>
      <c r="B753" s="28"/>
    </row>
    <row r="754" spans="1:2" ht="15.75" thickBot="1" x14ac:dyDescent="0.3">
      <c r="A754" s="28"/>
      <c r="B754" s="28"/>
    </row>
    <row r="755" spans="1:2" ht="15.75" thickBot="1" x14ac:dyDescent="0.3">
      <c r="A755" s="28"/>
      <c r="B755" s="28"/>
    </row>
    <row r="756" spans="1:2" ht="15.75" thickBot="1" x14ac:dyDescent="0.3">
      <c r="A756" s="28"/>
      <c r="B756" s="28"/>
    </row>
    <row r="757" spans="1:2" ht="15.75" thickBot="1" x14ac:dyDescent="0.3">
      <c r="A757" s="28"/>
      <c r="B757" s="28"/>
    </row>
    <row r="758" spans="1:2" ht="15.75" thickBot="1" x14ac:dyDescent="0.3">
      <c r="A758" s="28"/>
      <c r="B758" s="28"/>
    </row>
    <row r="759" spans="1:2" ht="15.75" thickBot="1" x14ac:dyDescent="0.3">
      <c r="A759" s="28"/>
      <c r="B759" s="28"/>
    </row>
    <row r="760" spans="1:2" ht="15.75" thickBot="1" x14ac:dyDescent="0.3">
      <c r="A760" s="28"/>
      <c r="B760" s="28"/>
    </row>
    <row r="761" spans="1:2" ht="15.75" thickBot="1" x14ac:dyDescent="0.3">
      <c r="A761" s="28"/>
      <c r="B761" s="28"/>
    </row>
    <row r="762" spans="1:2" ht="15.75" thickBot="1" x14ac:dyDescent="0.3">
      <c r="A762" s="28"/>
      <c r="B762" s="28"/>
    </row>
    <row r="763" spans="1:2" ht="15.75" thickBot="1" x14ac:dyDescent="0.3">
      <c r="A763" s="28"/>
      <c r="B763" s="28"/>
    </row>
    <row r="764" spans="1:2" ht="15.75" thickBot="1" x14ac:dyDescent="0.3">
      <c r="A764" s="28"/>
      <c r="B764" s="28"/>
    </row>
    <row r="765" spans="1:2" ht="15.75" thickBot="1" x14ac:dyDescent="0.3">
      <c r="A765" s="28"/>
      <c r="B765" s="28"/>
    </row>
    <row r="766" spans="1:2" ht="15.75" thickBot="1" x14ac:dyDescent="0.3">
      <c r="A766" s="28"/>
      <c r="B766" s="28"/>
    </row>
    <row r="767" spans="1:2" ht="15.75" thickBot="1" x14ac:dyDescent="0.3">
      <c r="A767" s="28"/>
      <c r="B767" s="28"/>
    </row>
    <row r="768" spans="1:2" ht="15.75" thickBot="1" x14ac:dyDescent="0.3">
      <c r="A768" s="28"/>
      <c r="B768" s="28"/>
    </row>
    <row r="769" spans="1:2" ht="15.75" thickBot="1" x14ac:dyDescent="0.3">
      <c r="A769" s="28"/>
      <c r="B769" s="28"/>
    </row>
    <row r="770" spans="1:2" ht="15.75" thickBot="1" x14ac:dyDescent="0.3">
      <c r="A770" s="28"/>
      <c r="B770" s="28"/>
    </row>
    <row r="771" spans="1:2" ht="15.75" thickBot="1" x14ac:dyDescent="0.3">
      <c r="A771" s="28"/>
      <c r="B771" s="28"/>
    </row>
    <row r="772" spans="1:2" ht="15.75" thickBot="1" x14ac:dyDescent="0.3">
      <c r="A772" s="28"/>
      <c r="B772" s="28"/>
    </row>
    <row r="773" spans="1:2" ht="15.75" thickBot="1" x14ac:dyDescent="0.3">
      <c r="A773" s="28"/>
      <c r="B773" s="28"/>
    </row>
    <row r="774" spans="1:2" ht="15.75" thickBot="1" x14ac:dyDescent="0.3">
      <c r="A774" s="28"/>
      <c r="B774" s="28"/>
    </row>
    <row r="775" spans="1:2" ht="15.75" thickBot="1" x14ac:dyDescent="0.3">
      <c r="A775" s="28"/>
      <c r="B775" s="28"/>
    </row>
    <row r="776" spans="1:2" ht="15.75" thickBot="1" x14ac:dyDescent="0.3">
      <c r="A776" s="28"/>
      <c r="B776" s="28"/>
    </row>
    <row r="777" spans="1:2" ht="15.75" thickBot="1" x14ac:dyDescent="0.3">
      <c r="A777" s="28"/>
      <c r="B777" s="28"/>
    </row>
    <row r="778" spans="1:2" ht="15.75" thickBot="1" x14ac:dyDescent="0.3">
      <c r="A778" s="28"/>
      <c r="B778" s="28"/>
    </row>
    <row r="779" spans="1:2" ht="15.75" thickBot="1" x14ac:dyDescent="0.3">
      <c r="A779" s="28"/>
      <c r="B779" s="28"/>
    </row>
    <row r="780" spans="1:2" ht="15.75" thickBot="1" x14ac:dyDescent="0.3">
      <c r="A780" s="28"/>
      <c r="B780" s="28"/>
    </row>
    <row r="781" spans="1:2" ht="15.75" thickBot="1" x14ac:dyDescent="0.3">
      <c r="A781" s="28"/>
      <c r="B781" s="28"/>
    </row>
    <row r="782" spans="1:2" ht="15.75" thickBot="1" x14ac:dyDescent="0.3">
      <c r="A782" s="28"/>
      <c r="B782" s="28"/>
    </row>
    <row r="783" spans="1:2" ht="15.75" thickBot="1" x14ac:dyDescent="0.3">
      <c r="A783" s="28"/>
      <c r="B783" s="28"/>
    </row>
    <row r="784" spans="1:2" ht="15.75" thickBot="1" x14ac:dyDescent="0.3">
      <c r="A784" s="28"/>
      <c r="B784" s="28"/>
    </row>
    <row r="785" spans="1:2" ht="15.75" thickBot="1" x14ac:dyDescent="0.3">
      <c r="A785" s="28"/>
      <c r="B785" s="28"/>
    </row>
    <row r="786" spans="1:2" ht="15.75" thickBot="1" x14ac:dyDescent="0.3">
      <c r="A786" s="28"/>
      <c r="B786" s="28"/>
    </row>
    <row r="787" spans="1:2" ht="15.75" thickBot="1" x14ac:dyDescent="0.3">
      <c r="A787" s="28"/>
      <c r="B787" s="28"/>
    </row>
    <row r="788" spans="1:2" ht="15.75" thickBot="1" x14ac:dyDescent="0.3">
      <c r="A788" s="28"/>
      <c r="B788" s="28"/>
    </row>
    <row r="789" spans="1:2" ht="15.75" thickBot="1" x14ac:dyDescent="0.3">
      <c r="A789" s="28"/>
      <c r="B789" s="28"/>
    </row>
    <row r="790" spans="1:2" ht="15.75" thickBot="1" x14ac:dyDescent="0.3">
      <c r="A790" s="28"/>
      <c r="B790" s="28"/>
    </row>
    <row r="791" spans="1:2" ht="15.75" thickBot="1" x14ac:dyDescent="0.3">
      <c r="A791" s="28"/>
      <c r="B791" s="28"/>
    </row>
    <row r="792" spans="1:2" ht="15.75" thickBot="1" x14ac:dyDescent="0.3">
      <c r="A792" s="28"/>
      <c r="B792" s="28"/>
    </row>
    <row r="793" spans="1:2" ht="15.75" thickBot="1" x14ac:dyDescent="0.3">
      <c r="A793" s="28"/>
      <c r="B793" s="28"/>
    </row>
    <row r="794" spans="1:2" ht="15.75" thickBot="1" x14ac:dyDescent="0.3">
      <c r="A794" s="28"/>
      <c r="B794" s="28"/>
    </row>
    <row r="795" spans="1:2" ht="15.75" thickBot="1" x14ac:dyDescent="0.3">
      <c r="A795" s="28"/>
      <c r="B795" s="28"/>
    </row>
    <row r="796" spans="1:2" ht="15.75" thickBot="1" x14ac:dyDescent="0.3">
      <c r="A796" s="28"/>
      <c r="B796" s="28"/>
    </row>
    <row r="797" spans="1:2" ht="15.75" thickBot="1" x14ac:dyDescent="0.3">
      <c r="A797" s="28"/>
      <c r="B797" s="28"/>
    </row>
    <row r="798" spans="1:2" ht="15.75" thickBot="1" x14ac:dyDescent="0.3">
      <c r="A798" s="28"/>
      <c r="B798" s="28"/>
    </row>
    <row r="799" spans="1:2" ht="15.75" thickBot="1" x14ac:dyDescent="0.3">
      <c r="A799" s="28"/>
      <c r="B799" s="28"/>
    </row>
    <row r="800" spans="1:2" ht="15.75" thickBot="1" x14ac:dyDescent="0.3">
      <c r="A800" s="28"/>
      <c r="B800" s="28"/>
    </row>
    <row r="801" spans="1:2" ht="15.75" thickBot="1" x14ac:dyDescent="0.3">
      <c r="A801" s="28"/>
      <c r="B801" s="28"/>
    </row>
    <row r="802" spans="1:2" ht="15.75" thickBot="1" x14ac:dyDescent="0.3">
      <c r="A802" s="28"/>
      <c r="B802" s="28"/>
    </row>
    <row r="803" spans="1:2" ht="15.75" thickBot="1" x14ac:dyDescent="0.3">
      <c r="A803" s="28"/>
      <c r="B803" s="28"/>
    </row>
    <row r="804" spans="1:2" ht="15.75" thickBot="1" x14ac:dyDescent="0.3">
      <c r="A804" s="28"/>
      <c r="B804" s="28"/>
    </row>
    <row r="805" spans="1:2" ht="15.75" thickBot="1" x14ac:dyDescent="0.3">
      <c r="A805" s="28"/>
      <c r="B805" s="28"/>
    </row>
    <row r="806" spans="1:2" ht="15.75" thickBot="1" x14ac:dyDescent="0.3">
      <c r="A806" s="28"/>
      <c r="B806" s="28"/>
    </row>
    <row r="807" spans="1:2" ht="15.75" thickBot="1" x14ac:dyDescent="0.3">
      <c r="A807" s="28"/>
      <c r="B807" s="28"/>
    </row>
    <row r="808" spans="1:2" ht="15.75" thickBot="1" x14ac:dyDescent="0.3">
      <c r="A808" s="28"/>
      <c r="B808" s="28"/>
    </row>
    <row r="809" spans="1:2" ht="15.75" thickBot="1" x14ac:dyDescent="0.3">
      <c r="A809" s="28"/>
      <c r="B809" s="28"/>
    </row>
    <row r="810" spans="1:2" ht="15.75" thickBot="1" x14ac:dyDescent="0.3">
      <c r="A810" s="28"/>
      <c r="B810" s="28"/>
    </row>
    <row r="811" spans="1:2" ht="15.75" thickBot="1" x14ac:dyDescent="0.3">
      <c r="A811" s="28"/>
      <c r="B811" s="28"/>
    </row>
    <row r="812" spans="1:2" ht="15.75" thickBot="1" x14ac:dyDescent="0.3">
      <c r="A812" s="28"/>
      <c r="B812" s="28"/>
    </row>
    <row r="813" spans="1:2" ht="15.75" thickBot="1" x14ac:dyDescent="0.3">
      <c r="A813" s="28"/>
      <c r="B813" s="28"/>
    </row>
    <row r="814" spans="1:2" ht="15.75" thickBot="1" x14ac:dyDescent="0.3">
      <c r="A814" s="28"/>
      <c r="B814" s="28"/>
    </row>
    <row r="815" spans="1:2" ht="15.75" thickBot="1" x14ac:dyDescent="0.3">
      <c r="A815" s="28"/>
      <c r="B815" s="28"/>
    </row>
    <row r="816" spans="1:2" ht="15.75" thickBot="1" x14ac:dyDescent="0.3">
      <c r="A816" s="28"/>
      <c r="B816" s="28"/>
    </row>
    <row r="817" spans="1:2" ht="15.75" thickBot="1" x14ac:dyDescent="0.3">
      <c r="A817" s="28"/>
      <c r="B817" s="28"/>
    </row>
    <row r="818" spans="1:2" ht="15.75" thickBot="1" x14ac:dyDescent="0.3">
      <c r="A818" s="28"/>
      <c r="B818" s="28"/>
    </row>
    <row r="819" spans="1:2" ht="15.75" thickBot="1" x14ac:dyDescent="0.3">
      <c r="A819" s="28"/>
      <c r="B819" s="28"/>
    </row>
    <row r="820" spans="1:2" ht="15.75" thickBot="1" x14ac:dyDescent="0.3">
      <c r="A820" s="28"/>
      <c r="B820" s="28"/>
    </row>
    <row r="821" spans="1:2" ht="15.75" thickBot="1" x14ac:dyDescent="0.3">
      <c r="A821" s="28"/>
      <c r="B821" s="28"/>
    </row>
    <row r="822" spans="1:2" ht="15.75" thickBot="1" x14ac:dyDescent="0.3">
      <c r="A822" s="28"/>
      <c r="B822" s="28"/>
    </row>
    <row r="823" spans="1:2" ht="15.75" thickBot="1" x14ac:dyDescent="0.3">
      <c r="A823" s="28"/>
      <c r="B823" s="28"/>
    </row>
    <row r="824" spans="1:2" ht="15.75" thickBot="1" x14ac:dyDescent="0.3">
      <c r="A824" s="28"/>
      <c r="B824" s="28"/>
    </row>
    <row r="825" spans="1:2" ht="15.75" thickBot="1" x14ac:dyDescent="0.3">
      <c r="A825" s="28"/>
      <c r="B825" s="28"/>
    </row>
    <row r="826" spans="1:2" ht="15.75" thickBot="1" x14ac:dyDescent="0.3">
      <c r="A826" s="28"/>
      <c r="B826" s="28"/>
    </row>
    <row r="827" spans="1:2" ht="15.75" thickBot="1" x14ac:dyDescent="0.3">
      <c r="A827" s="28"/>
      <c r="B827" s="28"/>
    </row>
    <row r="828" spans="1:2" ht="15.75" thickBot="1" x14ac:dyDescent="0.3">
      <c r="A828" s="28"/>
      <c r="B828" s="28"/>
    </row>
    <row r="829" spans="1:2" ht="15.75" thickBot="1" x14ac:dyDescent="0.3">
      <c r="A829" s="28"/>
      <c r="B829" s="28"/>
    </row>
    <row r="830" spans="1:2" ht="15.75" thickBot="1" x14ac:dyDescent="0.3">
      <c r="A830" s="28"/>
      <c r="B830" s="28"/>
    </row>
    <row r="831" spans="1:2" ht="15.75" thickBot="1" x14ac:dyDescent="0.3">
      <c r="A831" s="28"/>
      <c r="B831" s="28"/>
    </row>
    <row r="832" spans="1:2" ht="15.75" thickBot="1" x14ac:dyDescent="0.3">
      <c r="A832" s="28"/>
      <c r="B832" s="28"/>
    </row>
    <row r="833" spans="1:2" ht="15.75" thickBot="1" x14ac:dyDescent="0.3">
      <c r="A833" s="28"/>
      <c r="B833" s="28"/>
    </row>
    <row r="834" spans="1:2" ht="15.75" thickBot="1" x14ac:dyDescent="0.3">
      <c r="A834" s="28"/>
      <c r="B834" s="28"/>
    </row>
    <row r="835" spans="1:2" ht="15.75" thickBot="1" x14ac:dyDescent="0.3">
      <c r="A835" s="28"/>
      <c r="B835" s="28"/>
    </row>
    <row r="836" spans="1:2" ht="15.75" thickBot="1" x14ac:dyDescent="0.3">
      <c r="A836" s="28"/>
      <c r="B836" s="28"/>
    </row>
    <row r="837" spans="1:2" ht="15.75" thickBot="1" x14ac:dyDescent="0.3">
      <c r="A837" s="28"/>
      <c r="B837" s="28"/>
    </row>
    <row r="838" spans="1:2" ht="15.75" thickBot="1" x14ac:dyDescent="0.3">
      <c r="A838" s="28"/>
      <c r="B838" s="28"/>
    </row>
    <row r="839" spans="1:2" ht="15.75" thickBot="1" x14ac:dyDescent="0.3">
      <c r="A839" s="28"/>
      <c r="B839" s="28"/>
    </row>
    <row r="840" spans="1:2" ht="15.75" thickBot="1" x14ac:dyDescent="0.3">
      <c r="A840" s="28"/>
      <c r="B840" s="28"/>
    </row>
    <row r="841" spans="1:2" ht="15.75" thickBot="1" x14ac:dyDescent="0.3">
      <c r="A841" s="28"/>
      <c r="B841" s="28"/>
    </row>
    <row r="842" spans="1:2" ht="15.75" thickBot="1" x14ac:dyDescent="0.3">
      <c r="A842" s="28"/>
      <c r="B842" s="28"/>
    </row>
    <row r="843" spans="1:2" ht="15.75" thickBot="1" x14ac:dyDescent="0.3">
      <c r="A843" s="28"/>
      <c r="B843" s="28"/>
    </row>
    <row r="844" spans="1:2" ht="15.75" thickBot="1" x14ac:dyDescent="0.3">
      <c r="A844" s="28"/>
      <c r="B844" s="28"/>
    </row>
    <row r="845" spans="1:2" ht="15.75" thickBot="1" x14ac:dyDescent="0.3">
      <c r="A845" s="28"/>
      <c r="B845" s="28"/>
    </row>
    <row r="846" spans="1:2" ht="15.75" thickBot="1" x14ac:dyDescent="0.3">
      <c r="A846" s="28"/>
      <c r="B846" s="28"/>
    </row>
    <row r="847" spans="1:2" ht="15.75" thickBot="1" x14ac:dyDescent="0.3">
      <c r="A847" s="28"/>
      <c r="B847" s="28"/>
    </row>
    <row r="848" spans="1:2" ht="15.75" thickBot="1" x14ac:dyDescent="0.3">
      <c r="A848" s="28"/>
      <c r="B848" s="28"/>
    </row>
    <row r="849" spans="1:2" ht="15.75" thickBot="1" x14ac:dyDescent="0.3">
      <c r="A849" s="28"/>
      <c r="B849" s="28"/>
    </row>
    <row r="850" spans="1:2" ht="15.75" thickBot="1" x14ac:dyDescent="0.3">
      <c r="A850" s="28"/>
      <c r="B850" s="28"/>
    </row>
    <row r="851" spans="1:2" ht="15.75" thickBot="1" x14ac:dyDescent="0.3">
      <c r="A851" s="28"/>
      <c r="B851" s="28"/>
    </row>
    <row r="852" spans="1:2" ht="15.75" thickBot="1" x14ac:dyDescent="0.3">
      <c r="A852" s="28"/>
      <c r="B852" s="28"/>
    </row>
    <row r="853" spans="1:2" ht="15.75" thickBot="1" x14ac:dyDescent="0.3">
      <c r="A853" s="28"/>
      <c r="B853" s="28"/>
    </row>
    <row r="854" spans="1:2" ht="15.75" thickBot="1" x14ac:dyDescent="0.3">
      <c r="A854" s="28"/>
      <c r="B854" s="28"/>
    </row>
    <row r="855" spans="1:2" ht="15.75" thickBot="1" x14ac:dyDescent="0.3">
      <c r="A855" s="28"/>
      <c r="B855" s="28"/>
    </row>
    <row r="856" spans="1:2" ht="15.75" thickBot="1" x14ac:dyDescent="0.3">
      <c r="A856" s="28"/>
      <c r="B856" s="28"/>
    </row>
    <row r="857" spans="1:2" ht="15.75" thickBot="1" x14ac:dyDescent="0.3">
      <c r="A857" s="28"/>
      <c r="B857" s="28"/>
    </row>
    <row r="858" spans="1:2" ht="15.75" thickBot="1" x14ac:dyDescent="0.3">
      <c r="A858" s="28"/>
      <c r="B858" s="28"/>
    </row>
    <row r="859" spans="1:2" ht="15.75" thickBot="1" x14ac:dyDescent="0.3">
      <c r="A859" s="28"/>
      <c r="B859" s="28"/>
    </row>
    <row r="860" spans="1:2" ht="15.75" thickBot="1" x14ac:dyDescent="0.3">
      <c r="A860" s="28"/>
      <c r="B860" s="28"/>
    </row>
    <row r="861" spans="1:2" ht="15.75" thickBot="1" x14ac:dyDescent="0.3">
      <c r="A861" s="28"/>
      <c r="B861" s="28"/>
    </row>
    <row r="862" spans="1:2" ht="15.75" thickBot="1" x14ac:dyDescent="0.3">
      <c r="A862" s="28"/>
      <c r="B862" s="28"/>
    </row>
    <row r="863" spans="1:2" ht="15.75" thickBot="1" x14ac:dyDescent="0.3">
      <c r="A863" s="28"/>
      <c r="B863" s="28"/>
    </row>
    <row r="864" spans="1:2" ht="15.75" thickBot="1" x14ac:dyDescent="0.3">
      <c r="A864" s="28"/>
      <c r="B864" s="28"/>
    </row>
    <row r="865" spans="1:2" ht="15.75" thickBot="1" x14ac:dyDescent="0.3">
      <c r="A865" s="28"/>
      <c r="B865" s="28"/>
    </row>
    <row r="866" spans="1:2" ht="15.75" thickBot="1" x14ac:dyDescent="0.3">
      <c r="A866" s="28"/>
      <c r="B866" s="28"/>
    </row>
    <row r="867" spans="1:2" ht="15.75" thickBot="1" x14ac:dyDescent="0.3">
      <c r="A867" s="28"/>
      <c r="B867" s="28"/>
    </row>
    <row r="868" spans="1:2" ht="15.75" thickBot="1" x14ac:dyDescent="0.3">
      <c r="A868" s="28"/>
      <c r="B868" s="28"/>
    </row>
    <row r="869" spans="1:2" ht="15.75" thickBot="1" x14ac:dyDescent="0.3">
      <c r="A869" s="28"/>
      <c r="B869" s="28"/>
    </row>
    <row r="870" spans="1:2" ht="15.75" thickBot="1" x14ac:dyDescent="0.3">
      <c r="A870" s="28"/>
      <c r="B870" s="28"/>
    </row>
    <row r="871" spans="1:2" ht="15.75" thickBot="1" x14ac:dyDescent="0.3">
      <c r="A871" s="28"/>
      <c r="B871" s="28"/>
    </row>
    <row r="872" spans="1:2" ht="15.75" thickBot="1" x14ac:dyDescent="0.3">
      <c r="A872" s="28"/>
      <c r="B872" s="28"/>
    </row>
    <row r="873" spans="1:2" ht="15.75" thickBot="1" x14ac:dyDescent="0.3">
      <c r="A873" s="28"/>
      <c r="B873" s="28"/>
    </row>
    <row r="874" spans="1:2" ht="15.75" thickBot="1" x14ac:dyDescent="0.3">
      <c r="A874" s="28"/>
      <c r="B874" s="28"/>
    </row>
    <row r="875" spans="1:2" ht="15.75" thickBot="1" x14ac:dyDescent="0.3">
      <c r="A875" s="28"/>
      <c r="B875" s="28"/>
    </row>
    <row r="876" spans="1:2" ht="15.75" thickBot="1" x14ac:dyDescent="0.3">
      <c r="A876" s="28"/>
      <c r="B876" s="28"/>
    </row>
    <row r="877" spans="1:2" ht="15.75" thickBot="1" x14ac:dyDescent="0.3">
      <c r="A877" s="28"/>
      <c r="B877" s="28"/>
    </row>
    <row r="878" spans="1:2" ht="15.75" thickBot="1" x14ac:dyDescent="0.3">
      <c r="A878" s="28"/>
      <c r="B878" s="28"/>
    </row>
    <row r="879" spans="1:2" ht="15.75" thickBot="1" x14ac:dyDescent="0.3">
      <c r="A879" s="28"/>
      <c r="B879" s="28"/>
    </row>
    <row r="880" spans="1:2" ht="15.75" thickBot="1" x14ac:dyDescent="0.3">
      <c r="A880" s="28"/>
      <c r="B880" s="28"/>
    </row>
    <row r="881" spans="1:2" ht="15.75" thickBot="1" x14ac:dyDescent="0.3">
      <c r="A881" s="28"/>
      <c r="B881" s="28"/>
    </row>
    <row r="882" spans="1:2" ht="15.75" thickBot="1" x14ac:dyDescent="0.3">
      <c r="A882" s="28"/>
      <c r="B882" s="28"/>
    </row>
    <row r="883" spans="1:2" ht="15.75" thickBot="1" x14ac:dyDescent="0.3">
      <c r="A883" s="28"/>
      <c r="B883" s="28"/>
    </row>
    <row r="884" spans="1:2" ht="15.75" thickBot="1" x14ac:dyDescent="0.3">
      <c r="A884" s="28"/>
      <c r="B884" s="28"/>
    </row>
    <row r="885" spans="1:2" ht="15.75" thickBot="1" x14ac:dyDescent="0.3">
      <c r="A885" s="28"/>
      <c r="B885" s="28"/>
    </row>
    <row r="886" spans="1:2" ht="15.75" thickBot="1" x14ac:dyDescent="0.3">
      <c r="A886" s="28"/>
      <c r="B886" s="28"/>
    </row>
    <row r="887" spans="1:2" ht="15.75" thickBot="1" x14ac:dyDescent="0.3">
      <c r="A887" s="28"/>
      <c r="B887" s="28"/>
    </row>
    <row r="888" spans="1:2" ht="15.75" thickBot="1" x14ac:dyDescent="0.3">
      <c r="A888" s="28"/>
      <c r="B888" s="28"/>
    </row>
    <row r="889" spans="1:2" ht="15.75" thickBot="1" x14ac:dyDescent="0.3">
      <c r="A889" s="28"/>
      <c r="B889" s="28"/>
    </row>
    <row r="890" spans="1:2" ht="15.75" thickBot="1" x14ac:dyDescent="0.3">
      <c r="A890" s="28"/>
      <c r="B890" s="28"/>
    </row>
    <row r="891" spans="1:2" ht="15.75" thickBot="1" x14ac:dyDescent="0.3">
      <c r="A891" s="28"/>
      <c r="B891" s="28"/>
    </row>
    <row r="892" spans="1:2" ht="15.75" thickBot="1" x14ac:dyDescent="0.3">
      <c r="A892" s="28"/>
      <c r="B892" s="28"/>
    </row>
    <row r="893" spans="1:2" ht="15.75" thickBot="1" x14ac:dyDescent="0.3">
      <c r="A893" s="28"/>
      <c r="B893" s="28"/>
    </row>
    <row r="894" spans="1:2" ht="15.75" thickBot="1" x14ac:dyDescent="0.3">
      <c r="A894" s="28"/>
      <c r="B894" s="28"/>
    </row>
    <row r="895" spans="1:2" ht="15.75" thickBot="1" x14ac:dyDescent="0.3">
      <c r="A895" s="28"/>
      <c r="B895" s="28"/>
    </row>
    <row r="896" spans="1:2" ht="15.75" thickBot="1" x14ac:dyDescent="0.3">
      <c r="A896" s="28"/>
      <c r="B896" s="28"/>
    </row>
    <row r="897" spans="1:2" ht="15.75" thickBot="1" x14ac:dyDescent="0.3">
      <c r="A897" s="28"/>
      <c r="B897" s="28"/>
    </row>
    <row r="898" spans="1:2" ht="15.75" thickBot="1" x14ac:dyDescent="0.3">
      <c r="A898" s="28"/>
      <c r="B898" s="28"/>
    </row>
    <row r="899" spans="1:2" ht="15.75" thickBot="1" x14ac:dyDescent="0.3">
      <c r="A899" s="28"/>
      <c r="B899" s="28"/>
    </row>
    <row r="900" spans="1:2" ht="15.75" thickBot="1" x14ac:dyDescent="0.3">
      <c r="A900" s="28"/>
      <c r="B900" s="28"/>
    </row>
    <row r="901" spans="1:2" ht="15.75" thickBot="1" x14ac:dyDescent="0.3">
      <c r="A901" s="28"/>
      <c r="B901" s="28"/>
    </row>
    <row r="902" spans="1:2" ht="15.75" thickBot="1" x14ac:dyDescent="0.3">
      <c r="A902" s="28"/>
      <c r="B902" s="28"/>
    </row>
    <row r="903" spans="1:2" ht="15.75" thickBot="1" x14ac:dyDescent="0.3">
      <c r="A903" s="28"/>
      <c r="B903" s="28"/>
    </row>
    <row r="904" spans="1:2" ht="15.75" thickBot="1" x14ac:dyDescent="0.3">
      <c r="A904" s="28"/>
      <c r="B904" s="28"/>
    </row>
    <row r="905" spans="1:2" ht="15.75" thickBot="1" x14ac:dyDescent="0.3">
      <c r="A905" s="28"/>
      <c r="B905" s="28"/>
    </row>
    <row r="906" spans="1:2" ht="15.75" thickBot="1" x14ac:dyDescent="0.3">
      <c r="A906" s="28"/>
      <c r="B906" s="28"/>
    </row>
    <row r="907" spans="1:2" ht="15.75" thickBot="1" x14ac:dyDescent="0.3">
      <c r="A907" s="28"/>
      <c r="B907" s="28"/>
    </row>
    <row r="908" spans="1:2" ht="15.75" thickBot="1" x14ac:dyDescent="0.3">
      <c r="A908" s="28"/>
      <c r="B908" s="28"/>
    </row>
    <row r="909" spans="1:2" ht="15.75" thickBot="1" x14ac:dyDescent="0.3">
      <c r="A909" s="28"/>
      <c r="B909" s="28"/>
    </row>
    <row r="910" spans="1:2" ht="15.75" thickBot="1" x14ac:dyDescent="0.3">
      <c r="A910" s="28"/>
      <c r="B910" s="28"/>
    </row>
    <row r="911" spans="1:2" ht="15.75" thickBot="1" x14ac:dyDescent="0.3">
      <c r="A911" s="28"/>
      <c r="B911" s="28"/>
    </row>
    <row r="912" spans="1:2" ht="15.75" thickBot="1" x14ac:dyDescent="0.3">
      <c r="A912" s="28"/>
      <c r="B912" s="28"/>
    </row>
    <row r="913" spans="1:2" ht="15.75" thickBot="1" x14ac:dyDescent="0.3">
      <c r="A913" s="28"/>
      <c r="B913" s="28"/>
    </row>
    <row r="914" spans="1:2" ht="15.75" thickBot="1" x14ac:dyDescent="0.3">
      <c r="A914" s="28"/>
      <c r="B914" s="28"/>
    </row>
    <row r="915" spans="1:2" ht="15.75" thickBot="1" x14ac:dyDescent="0.3">
      <c r="A915" s="28"/>
      <c r="B915" s="28"/>
    </row>
    <row r="916" spans="1:2" ht="15.75" thickBot="1" x14ac:dyDescent="0.3">
      <c r="A916" s="28"/>
      <c r="B916" s="28"/>
    </row>
    <row r="917" spans="1:2" ht="15.75" thickBot="1" x14ac:dyDescent="0.3">
      <c r="A917" s="28"/>
      <c r="B917" s="28"/>
    </row>
    <row r="918" spans="1:2" ht="15.75" thickBot="1" x14ac:dyDescent="0.3">
      <c r="A918" s="28"/>
      <c r="B918" s="28"/>
    </row>
    <row r="919" spans="1:2" ht="15.75" thickBot="1" x14ac:dyDescent="0.3">
      <c r="A919" s="28"/>
      <c r="B919" s="28"/>
    </row>
    <row r="920" spans="1:2" ht="15.75" thickBot="1" x14ac:dyDescent="0.3">
      <c r="A920" s="28"/>
      <c r="B920" s="28"/>
    </row>
    <row r="921" spans="1:2" ht="15.75" thickBot="1" x14ac:dyDescent="0.3">
      <c r="A921" s="28"/>
      <c r="B921" s="28"/>
    </row>
    <row r="922" spans="1:2" ht="15.75" thickBot="1" x14ac:dyDescent="0.3">
      <c r="A922" s="28"/>
      <c r="B922" s="28"/>
    </row>
    <row r="923" spans="1:2" ht="15.75" thickBot="1" x14ac:dyDescent="0.3">
      <c r="A923" s="28"/>
      <c r="B923" s="28"/>
    </row>
    <row r="924" spans="1:2" ht="15.75" thickBot="1" x14ac:dyDescent="0.3">
      <c r="A924" s="28"/>
      <c r="B924" s="28"/>
    </row>
    <row r="925" spans="1:2" ht="15.75" thickBot="1" x14ac:dyDescent="0.3">
      <c r="A925" s="28"/>
      <c r="B925" s="28"/>
    </row>
    <row r="926" spans="1:2" ht="15.75" thickBot="1" x14ac:dyDescent="0.3">
      <c r="A926" s="28"/>
      <c r="B926" s="28"/>
    </row>
    <row r="927" spans="1:2" ht="15.75" thickBot="1" x14ac:dyDescent="0.3">
      <c r="A927" s="28"/>
      <c r="B927" s="28"/>
    </row>
    <row r="928" spans="1:2" ht="15.75" thickBot="1" x14ac:dyDescent="0.3">
      <c r="A928" s="28"/>
      <c r="B928" s="28"/>
    </row>
    <row r="929" spans="1:2" ht="15.75" thickBot="1" x14ac:dyDescent="0.3">
      <c r="A929" s="28"/>
      <c r="B929" s="28"/>
    </row>
    <row r="930" spans="1:2" ht="15.75" thickBot="1" x14ac:dyDescent="0.3">
      <c r="A930" s="28"/>
      <c r="B930" s="28"/>
    </row>
    <row r="931" spans="1:2" ht="15.75" thickBot="1" x14ac:dyDescent="0.3">
      <c r="A931" s="28"/>
      <c r="B931" s="28"/>
    </row>
    <row r="932" spans="1:2" ht="15.75" thickBot="1" x14ac:dyDescent="0.3">
      <c r="A932" s="28"/>
      <c r="B932" s="28"/>
    </row>
    <row r="933" spans="1:2" ht="15.75" thickBot="1" x14ac:dyDescent="0.3">
      <c r="A933" s="28"/>
      <c r="B933" s="28"/>
    </row>
    <row r="934" spans="1:2" ht="15.75" thickBot="1" x14ac:dyDescent="0.3">
      <c r="A934" s="28"/>
      <c r="B934" s="28"/>
    </row>
    <row r="935" spans="1:2" ht="15.75" thickBot="1" x14ac:dyDescent="0.3">
      <c r="A935" s="28"/>
      <c r="B935" s="28"/>
    </row>
    <row r="936" spans="1:2" ht="15.75" thickBot="1" x14ac:dyDescent="0.3">
      <c r="A936" s="28"/>
      <c r="B936" s="28"/>
    </row>
    <row r="937" spans="1:2" ht="15.75" thickBot="1" x14ac:dyDescent="0.3">
      <c r="A937" s="28"/>
      <c r="B937" s="28"/>
    </row>
    <row r="938" spans="1:2" ht="15.75" thickBot="1" x14ac:dyDescent="0.3">
      <c r="A938" s="28"/>
      <c r="B938" s="28"/>
    </row>
    <row r="939" spans="1:2" ht="15.75" thickBot="1" x14ac:dyDescent="0.3">
      <c r="A939" s="28"/>
      <c r="B939" s="28"/>
    </row>
    <row r="940" spans="1:2" ht="15.75" thickBot="1" x14ac:dyDescent="0.3">
      <c r="A940" s="28"/>
      <c r="B940" s="28"/>
    </row>
    <row r="941" spans="1:2" ht="15.75" thickBot="1" x14ac:dyDescent="0.3">
      <c r="A941" s="28"/>
      <c r="B941" s="28"/>
    </row>
    <row r="942" spans="1:2" ht="15.75" thickBot="1" x14ac:dyDescent="0.3">
      <c r="A942" s="28"/>
      <c r="B942" s="28"/>
    </row>
    <row r="943" spans="1:2" ht="15.75" thickBot="1" x14ac:dyDescent="0.3">
      <c r="A943" s="28"/>
      <c r="B943" s="28"/>
    </row>
    <row r="944" spans="1:2" ht="15.75" thickBot="1" x14ac:dyDescent="0.3">
      <c r="A944" s="28"/>
      <c r="B944" s="28"/>
    </row>
    <row r="945" spans="1:2" ht="15.75" thickBot="1" x14ac:dyDescent="0.3">
      <c r="A945" s="28"/>
      <c r="B945" s="28"/>
    </row>
    <row r="946" spans="1:2" ht="15.75" thickBot="1" x14ac:dyDescent="0.3">
      <c r="A946" s="28"/>
      <c r="B946" s="28"/>
    </row>
    <row r="947" spans="1:2" ht="15.75" thickBot="1" x14ac:dyDescent="0.3">
      <c r="A947" s="28"/>
      <c r="B947" s="28"/>
    </row>
    <row r="948" spans="1:2" ht="15.75" thickBot="1" x14ac:dyDescent="0.3">
      <c r="A948" s="28"/>
      <c r="B948" s="28"/>
    </row>
    <row r="949" spans="1:2" ht="15.75" thickBot="1" x14ac:dyDescent="0.3">
      <c r="A949" s="28"/>
      <c r="B949" s="28"/>
    </row>
    <row r="950" spans="1:2" ht="15.75" thickBot="1" x14ac:dyDescent="0.3">
      <c r="A950" s="28"/>
      <c r="B950" s="28"/>
    </row>
    <row r="951" spans="1:2" ht="15.75" thickBot="1" x14ac:dyDescent="0.3">
      <c r="A951" s="28"/>
      <c r="B951" s="28"/>
    </row>
    <row r="952" spans="1:2" ht="15.75" thickBot="1" x14ac:dyDescent="0.3">
      <c r="A952" s="28"/>
      <c r="B952" s="28"/>
    </row>
    <row r="953" spans="1:2" ht="15.75" thickBot="1" x14ac:dyDescent="0.3">
      <c r="A953" s="28"/>
      <c r="B953" s="28"/>
    </row>
    <row r="954" spans="1:2" ht="15.75" thickBot="1" x14ac:dyDescent="0.3">
      <c r="A954" s="28"/>
      <c r="B954" s="28"/>
    </row>
    <row r="955" spans="1:2" ht="15.75" thickBot="1" x14ac:dyDescent="0.3">
      <c r="A955" s="28"/>
      <c r="B955" s="28"/>
    </row>
    <row r="956" spans="1:2" ht="15.75" thickBot="1" x14ac:dyDescent="0.3">
      <c r="A956" s="28"/>
      <c r="B956" s="28"/>
    </row>
    <row r="957" spans="1:2" ht="15.75" thickBot="1" x14ac:dyDescent="0.3">
      <c r="A957" s="28"/>
      <c r="B957" s="28"/>
    </row>
    <row r="958" spans="1:2" ht="15.75" thickBot="1" x14ac:dyDescent="0.3">
      <c r="A958" s="28"/>
      <c r="B958" s="28"/>
    </row>
    <row r="959" spans="1:2" ht="15.75" thickBot="1" x14ac:dyDescent="0.3">
      <c r="A959" s="28"/>
      <c r="B959" s="28"/>
    </row>
    <row r="960" spans="1:2" ht="15.75" thickBot="1" x14ac:dyDescent="0.3">
      <c r="A960" s="28"/>
      <c r="B960" s="28"/>
    </row>
    <row r="961" spans="1:2" ht="15.75" thickBot="1" x14ac:dyDescent="0.3">
      <c r="A961" s="28"/>
      <c r="B961" s="28"/>
    </row>
    <row r="962" spans="1:2" ht="15.75" thickBot="1" x14ac:dyDescent="0.3">
      <c r="A962" s="28"/>
      <c r="B962" s="28"/>
    </row>
    <row r="963" spans="1:2" ht="15.75" thickBot="1" x14ac:dyDescent="0.3">
      <c r="A963" s="28"/>
      <c r="B963" s="28"/>
    </row>
    <row r="964" spans="1:2" ht="15.75" thickBot="1" x14ac:dyDescent="0.3">
      <c r="A964" s="28"/>
      <c r="B964" s="28"/>
    </row>
    <row r="965" spans="1:2" ht="15.75" thickBot="1" x14ac:dyDescent="0.3">
      <c r="A965" s="28"/>
      <c r="B965" s="28"/>
    </row>
    <row r="966" spans="1:2" ht="15.75" thickBot="1" x14ac:dyDescent="0.3">
      <c r="A966" s="28"/>
      <c r="B966" s="28"/>
    </row>
    <row r="967" spans="1:2" ht="15.75" thickBot="1" x14ac:dyDescent="0.3">
      <c r="A967" s="28"/>
      <c r="B967" s="28"/>
    </row>
    <row r="968" spans="1:2" ht="15.75" thickBot="1" x14ac:dyDescent="0.3">
      <c r="A968" s="28"/>
      <c r="B968" s="28"/>
    </row>
    <row r="969" spans="1:2" ht="15.75" thickBot="1" x14ac:dyDescent="0.3">
      <c r="A969" s="28"/>
      <c r="B969" s="28"/>
    </row>
    <row r="970" spans="1:2" ht="15.75" thickBot="1" x14ac:dyDescent="0.3">
      <c r="A970" s="28"/>
      <c r="B970" s="28"/>
    </row>
    <row r="971" spans="1:2" ht="15.75" thickBot="1" x14ac:dyDescent="0.3">
      <c r="A971" s="28"/>
      <c r="B971" s="28"/>
    </row>
    <row r="972" spans="1:2" ht="15.75" thickBot="1" x14ac:dyDescent="0.3">
      <c r="A972" s="28"/>
      <c r="B972" s="28"/>
    </row>
    <row r="973" spans="1:2" ht="15.75" thickBot="1" x14ac:dyDescent="0.3">
      <c r="A973" s="28"/>
      <c r="B973" s="28"/>
    </row>
    <row r="974" spans="1:2" ht="15.75" thickBot="1" x14ac:dyDescent="0.3">
      <c r="A974" s="28"/>
      <c r="B974" s="28"/>
    </row>
    <row r="975" spans="1:2" ht="15.75" thickBot="1" x14ac:dyDescent="0.3">
      <c r="A975" s="28"/>
      <c r="B975" s="28"/>
    </row>
    <row r="976" spans="1:2" ht="15.75" thickBot="1" x14ac:dyDescent="0.3">
      <c r="A976" s="28"/>
      <c r="B976" s="28"/>
    </row>
    <row r="977" spans="1:2" ht="15.75" thickBot="1" x14ac:dyDescent="0.3">
      <c r="A977" s="28"/>
      <c r="B977" s="28"/>
    </row>
    <row r="978" spans="1:2" ht="15.75" thickBot="1" x14ac:dyDescent="0.3">
      <c r="A978" s="28"/>
      <c r="B978" s="28"/>
    </row>
    <row r="979" spans="1:2" ht="15.75" thickBot="1" x14ac:dyDescent="0.3">
      <c r="A979" s="28"/>
      <c r="B979" s="28"/>
    </row>
    <row r="980" spans="1:2" ht="15.75" thickBot="1" x14ac:dyDescent="0.3">
      <c r="A980" s="28"/>
      <c r="B980" s="28"/>
    </row>
    <row r="981" spans="1:2" ht="15.75" thickBot="1" x14ac:dyDescent="0.3">
      <c r="A981" s="28"/>
      <c r="B981" s="28"/>
    </row>
    <row r="982" spans="1:2" ht="15.75" thickBot="1" x14ac:dyDescent="0.3">
      <c r="A982" s="28"/>
      <c r="B982" s="28"/>
    </row>
    <row r="983" spans="1:2" ht="15.75" thickBot="1" x14ac:dyDescent="0.3">
      <c r="A983" s="28"/>
      <c r="B983" s="28"/>
    </row>
    <row r="984" spans="1:2" ht="15.75" thickBot="1" x14ac:dyDescent="0.3">
      <c r="A984" s="28"/>
      <c r="B984" s="28"/>
    </row>
    <row r="985" spans="1:2" ht="15.75" thickBot="1" x14ac:dyDescent="0.3">
      <c r="A985" s="28"/>
      <c r="B985" s="28"/>
    </row>
    <row r="986" spans="1:2" ht="15.75" thickBot="1" x14ac:dyDescent="0.3">
      <c r="A986" s="28"/>
      <c r="B986" s="28"/>
    </row>
    <row r="987" spans="1:2" ht="15.75" thickBot="1" x14ac:dyDescent="0.3">
      <c r="A987" s="28"/>
      <c r="B987" s="28"/>
    </row>
    <row r="988" spans="1:2" ht="15.75" thickBot="1" x14ac:dyDescent="0.3">
      <c r="A988" s="28"/>
      <c r="B988" s="28"/>
    </row>
    <row r="989" spans="1:2" ht="15.75" thickBot="1" x14ac:dyDescent="0.3">
      <c r="A989" s="28"/>
      <c r="B989" s="28"/>
    </row>
    <row r="990" spans="1:2" ht="15.75" thickBot="1" x14ac:dyDescent="0.3">
      <c r="A990" s="28"/>
      <c r="B990" s="28"/>
    </row>
    <row r="991" spans="1:2" ht="15.75" thickBot="1" x14ac:dyDescent="0.3">
      <c r="A991" s="28"/>
      <c r="B991" s="28"/>
    </row>
    <row r="992" spans="1:2" ht="15.75" thickBot="1" x14ac:dyDescent="0.3">
      <c r="A992" s="28"/>
      <c r="B992" s="28"/>
    </row>
    <row r="993" spans="1:2" ht="15.75" thickBot="1" x14ac:dyDescent="0.3">
      <c r="A993" s="28"/>
      <c r="B993" s="28"/>
    </row>
    <row r="994" spans="1:2" ht="15.75" thickBot="1" x14ac:dyDescent="0.3">
      <c r="A994" s="28"/>
      <c r="B994" s="28"/>
    </row>
    <row r="995" spans="1:2" ht="15.75" thickBot="1" x14ac:dyDescent="0.3">
      <c r="A995" s="28"/>
      <c r="B995" s="28"/>
    </row>
    <row r="996" spans="1:2" ht="15.75" thickBot="1" x14ac:dyDescent="0.3">
      <c r="A996" s="28"/>
      <c r="B996" s="28"/>
    </row>
    <row r="997" spans="1:2" ht="15.75" thickBot="1" x14ac:dyDescent="0.3">
      <c r="A997" s="28"/>
      <c r="B997" s="28"/>
    </row>
    <row r="998" spans="1:2" ht="15.75" thickBot="1" x14ac:dyDescent="0.3">
      <c r="A998" s="28"/>
      <c r="B998" s="28"/>
    </row>
    <row r="999" spans="1:2" ht="15.75" thickBot="1" x14ac:dyDescent="0.3">
      <c r="A999" s="28"/>
      <c r="B999" s="28"/>
    </row>
    <row r="1000" spans="1:2" ht="15.75" thickBot="1" x14ac:dyDescent="0.3">
      <c r="A1000" s="28"/>
      <c r="B1000" s="2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Intro</vt:lpstr>
      <vt:lpstr>Data</vt:lpstr>
      <vt:lpstr>Forecast</vt:lpstr>
      <vt:lpstr>Weekly</vt:lpstr>
      <vt:lpstr>Dashboard</vt:lpstr>
      <vt:lpstr>Dividends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2026-02-04T01:59:36Z</dcterms:modified>
</cp:coreProperties>
</file>