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2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Owner\Documents\ExcelStockWorksheet\"/>
    </mc:Choice>
  </mc:AlternateContent>
  <xr:revisionPtr revIDLastSave="0" documentId="13_ncr:1_{975CBD0C-F4A6-49ED-B8D5-7CE2DFBA5907}" xr6:coauthVersionLast="47" xr6:coauthVersionMax="47" xr10:uidLastSave="{00000000-0000-0000-0000-000000000000}"/>
  <bookViews>
    <workbookView xWindow="-120" yWindow="-120" windowWidth="20730" windowHeight="11040" activeTab="1" xr2:uid="{92AFEA67-FCE1-458C-9A7E-ADF426D7B024}"/>
  </bookViews>
  <sheets>
    <sheet name="Intro" sheetId="10" r:id="rId1"/>
    <sheet name="Dashboard" sheetId="7" r:id="rId2"/>
    <sheet name="Data" sheetId="1" r:id="rId3"/>
    <sheet name="Weekly" sheetId="26" r:id="rId4"/>
    <sheet name="Forecast" sheetId="24" r:id="rId5"/>
    <sheet name="Rolling" sheetId="27" r:id="rId6"/>
    <sheet name="Dividends" sheetId="21" r:id="rId7"/>
  </sheets>
  <definedNames>
    <definedName name="data">Data!$1:$1048576</definedName>
    <definedName name="ExternalData_1" localSheetId="4" hidden="1">Forecast!$A$1:$B$120</definedName>
    <definedName name="ExternalData_1" localSheetId="5" hidden="1">Rolling!$A$1:$B$120</definedName>
    <definedName name="ExternalData_1" localSheetId="3" hidden="1">Weekly!$A$1:$B$53</definedName>
    <definedName name="FromArray_1">_xlfn.ANCHORARRAY(Data!$B$1)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4" i="27" l="1"/>
  <c r="F115" i="27"/>
  <c r="F116" i="27"/>
  <c r="F117" i="27"/>
  <c r="F118" i="27"/>
  <c r="F119" i="27"/>
  <c r="F120" i="27"/>
  <c r="F113" i="27"/>
  <c r="E113" i="27"/>
  <c r="E114" i="27"/>
  <c r="E115" i="27"/>
  <c r="E116" i="27"/>
  <c r="E117" i="27"/>
  <c r="E118" i="27"/>
  <c r="E119" i="27"/>
  <c r="E120" i="27"/>
  <c r="Y251" i="1"/>
  <c r="D115" i="27"/>
  <c r="D116" i="27"/>
  <c r="D117" i="27"/>
  <c r="D118" i="27"/>
  <c r="D119" i="27"/>
  <c r="D120" i="27"/>
  <c r="D114" i="27"/>
  <c r="D113" i="27"/>
  <c r="C114" i="27"/>
  <c r="C117" i="27"/>
  <c r="C120" i="27"/>
  <c r="C115" i="27"/>
  <c r="C116" i="27"/>
  <c r="C118" i="27"/>
  <c r="C119" i="27"/>
  <c r="C113" i="27"/>
  <c r="D109" i="24"/>
  <c r="D117" i="24"/>
  <c r="D110" i="24"/>
  <c r="D118" i="24"/>
  <c r="D120" i="24"/>
  <c r="D111" i="24"/>
  <c r="D119" i="24"/>
  <c r="D112" i="24"/>
  <c r="D113" i="24"/>
  <c r="D114" i="24"/>
  <c r="D116" i="24"/>
  <c r="D115" i="24"/>
  <c r="D108" i="24"/>
  <c r="D107" i="24"/>
  <c r="B1" i="1" a="1"/>
  <c r="B1" i="1" l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15" i="1"/>
  <c r="A3" i="1" l="1"/>
  <c r="A11" i="1"/>
  <c r="A19" i="1"/>
  <c r="A27" i="1"/>
  <c r="A35" i="1"/>
  <c r="A43" i="1"/>
  <c r="A51" i="1"/>
  <c r="A59" i="1"/>
  <c r="A67" i="1"/>
  <c r="A75" i="1"/>
  <c r="A83" i="1"/>
  <c r="A91" i="1"/>
  <c r="A99" i="1"/>
  <c r="A107" i="1"/>
  <c r="A115" i="1"/>
  <c r="A123" i="1"/>
  <c r="A131" i="1"/>
  <c r="A139" i="1"/>
  <c r="A147" i="1"/>
  <c r="A155" i="1"/>
  <c r="A163" i="1"/>
  <c r="A171" i="1"/>
  <c r="A179" i="1"/>
  <c r="A187" i="1"/>
  <c r="A195" i="1"/>
  <c r="A203" i="1"/>
  <c r="A211" i="1"/>
  <c r="A219" i="1"/>
  <c r="A227" i="1"/>
  <c r="A235" i="1"/>
  <c r="A243" i="1"/>
  <c r="A251" i="1"/>
  <c r="A4" i="1"/>
  <c r="A12" i="1"/>
  <c r="A20" i="1"/>
  <c r="A28" i="1"/>
  <c r="A36" i="1"/>
  <c r="A44" i="1"/>
  <c r="A52" i="1"/>
  <c r="A60" i="1"/>
  <c r="A68" i="1"/>
  <c r="A76" i="1"/>
  <c r="A84" i="1"/>
  <c r="A92" i="1"/>
  <c r="A100" i="1"/>
  <c r="A108" i="1"/>
  <c r="A116" i="1"/>
  <c r="A124" i="1"/>
  <c r="A132" i="1"/>
  <c r="A140" i="1"/>
  <c r="A148" i="1"/>
  <c r="A156" i="1"/>
  <c r="A164" i="1"/>
  <c r="A172" i="1"/>
  <c r="A180" i="1"/>
  <c r="A188" i="1"/>
  <c r="A196" i="1"/>
  <c r="A204" i="1"/>
  <c r="A212" i="1"/>
  <c r="A220" i="1"/>
  <c r="A228" i="1"/>
  <c r="A236" i="1"/>
  <c r="A244" i="1"/>
  <c r="A5" i="1"/>
  <c r="A13" i="1"/>
  <c r="A21" i="1"/>
  <c r="A29" i="1"/>
  <c r="A37" i="1"/>
  <c r="A45" i="1"/>
  <c r="A53" i="1"/>
  <c r="A61" i="1"/>
  <c r="A69" i="1"/>
  <c r="A77" i="1"/>
  <c r="A85" i="1"/>
  <c r="A93" i="1"/>
  <c r="A101" i="1"/>
  <c r="A109" i="1"/>
  <c r="A117" i="1"/>
  <c r="A125" i="1"/>
  <c r="A133" i="1"/>
  <c r="A141" i="1"/>
  <c r="A149" i="1"/>
  <c r="A157" i="1"/>
  <c r="A165" i="1"/>
  <c r="A173" i="1"/>
  <c r="A181" i="1"/>
  <c r="A189" i="1"/>
  <c r="A197" i="1"/>
  <c r="A205" i="1"/>
  <c r="A213" i="1"/>
  <c r="A221" i="1"/>
  <c r="A229" i="1"/>
  <c r="A237" i="1"/>
  <c r="A245" i="1"/>
  <c r="A6" i="1"/>
  <c r="A14" i="1"/>
  <c r="A22" i="1"/>
  <c r="A30" i="1"/>
  <c r="A38" i="1"/>
  <c r="A46" i="1"/>
  <c r="A54" i="1"/>
  <c r="A62" i="1"/>
  <c r="A70" i="1"/>
  <c r="A78" i="1"/>
  <c r="A86" i="1"/>
  <c r="A94" i="1"/>
  <c r="A102" i="1"/>
  <c r="A110" i="1"/>
  <c r="A118" i="1"/>
  <c r="A126" i="1"/>
  <c r="A134" i="1"/>
  <c r="A142" i="1"/>
  <c r="A150" i="1"/>
  <c r="A158" i="1"/>
  <c r="A166" i="1"/>
  <c r="A174" i="1"/>
  <c r="A182" i="1"/>
  <c r="A190" i="1"/>
  <c r="A198" i="1"/>
  <c r="A206" i="1"/>
  <c r="A214" i="1"/>
  <c r="A222" i="1"/>
  <c r="A230" i="1"/>
  <c r="A238" i="1"/>
  <c r="A246" i="1"/>
  <c r="A7" i="1"/>
  <c r="A15" i="1"/>
  <c r="A23" i="1"/>
  <c r="A31" i="1"/>
  <c r="A39" i="1"/>
  <c r="A47" i="1"/>
  <c r="A55" i="1"/>
  <c r="A63" i="1"/>
  <c r="A71" i="1"/>
  <c r="A79" i="1"/>
  <c r="A87" i="1"/>
  <c r="A95" i="1"/>
  <c r="A103" i="1"/>
  <c r="A111" i="1"/>
  <c r="A119" i="1"/>
  <c r="A127" i="1"/>
  <c r="A135" i="1"/>
  <c r="A143" i="1"/>
  <c r="A151" i="1"/>
  <c r="A159" i="1"/>
  <c r="A167" i="1"/>
  <c r="A175" i="1"/>
  <c r="A183" i="1"/>
  <c r="A191" i="1"/>
  <c r="A199" i="1"/>
  <c r="A207" i="1"/>
  <c r="A215" i="1"/>
  <c r="A223" i="1"/>
  <c r="A231" i="1"/>
  <c r="A239" i="1"/>
  <c r="A247" i="1"/>
  <c r="A26" i="1"/>
  <c r="A82" i="1"/>
  <c r="A114" i="1"/>
  <c r="A138" i="1"/>
  <c r="A162" i="1"/>
  <c r="A186" i="1"/>
  <c r="A218" i="1"/>
  <c r="A250" i="1"/>
  <c r="A8" i="1"/>
  <c r="A16" i="1"/>
  <c r="A24" i="1"/>
  <c r="A32" i="1"/>
  <c r="A40" i="1"/>
  <c r="A48" i="1"/>
  <c r="A56" i="1"/>
  <c r="A64" i="1"/>
  <c r="A72" i="1"/>
  <c r="A80" i="1"/>
  <c r="A88" i="1"/>
  <c r="A96" i="1"/>
  <c r="A104" i="1"/>
  <c r="A112" i="1"/>
  <c r="A120" i="1"/>
  <c r="A128" i="1"/>
  <c r="A136" i="1"/>
  <c r="A144" i="1"/>
  <c r="A152" i="1"/>
  <c r="A160" i="1"/>
  <c r="A168" i="1"/>
  <c r="A176" i="1"/>
  <c r="A184" i="1"/>
  <c r="A192" i="1"/>
  <c r="A200" i="1"/>
  <c r="A208" i="1"/>
  <c r="A216" i="1"/>
  <c r="A224" i="1"/>
  <c r="A232" i="1"/>
  <c r="A240" i="1"/>
  <c r="A248" i="1"/>
  <c r="A18" i="1"/>
  <c r="A34" i="1"/>
  <c r="A50" i="1"/>
  <c r="A66" i="1"/>
  <c r="A90" i="1"/>
  <c r="A106" i="1"/>
  <c r="A130" i="1"/>
  <c r="A154" i="1"/>
  <c r="A178" i="1"/>
  <c r="A202" i="1"/>
  <c r="A242" i="1"/>
  <c r="A9" i="1"/>
  <c r="A17" i="1"/>
  <c r="A25" i="1"/>
  <c r="A33" i="1"/>
  <c r="A41" i="1"/>
  <c r="A49" i="1"/>
  <c r="A57" i="1"/>
  <c r="A65" i="1"/>
  <c r="A73" i="1"/>
  <c r="A81" i="1"/>
  <c r="A89" i="1"/>
  <c r="A97" i="1"/>
  <c r="A105" i="1"/>
  <c r="A113" i="1"/>
  <c r="A121" i="1"/>
  <c r="A129" i="1"/>
  <c r="A137" i="1"/>
  <c r="A145" i="1"/>
  <c r="A153" i="1"/>
  <c r="A161" i="1"/>
  <c r="A169" i="1"/>
  <c r="A177" i="1"/>
  <c r="A185" i="1"/>
  <c r="A193" i="1"/>
  <c r="A201" i="1"/>
  <c r="A209" i="1"/>
  <c r="A217" i="1"/>
  <c r="A225" i="1"/>
  <c r="A233" i="1"/>
  <c r="A241" i="1"/>
  <c r="A249" i="1"/>
  <c r="A10" i="1"/>
  <c r="A42" i="1"/>
  <c r="A58" i="1"/>
  <c r="A74" i="1"/>
  <c r="A98" i="1"/>
  <c r="A122" i="1"/>
  <c r="A146" i="1"/>
  <c r="A170" i="1"/>
  <c r="A194" i="1"/>
  <c r="A226" i="1"/>
  <c r="A210" i="1"/>
  <c r="A234" i="1"/>
  <c r="A2" i="1"/>
  <c r="AE5" i="1"/>
  <c r="AE4" i="1"/>
  <c r="AE3" i="1"/>
  <c r="AE2" i="1"/>
  <c r="AD5" i="1"/>
  <c r="AD4" i="1"/>
  <c r="AD3" i="1"/>
  <c r="AD2" i="1"/>
  <c r="AB102" i="1"/>
  <c r="N96" i="1"/>
  <c r="AB172" i="1"/>
  <c r="AB198" i="1"/>
  <c r="N192" i="1"/>
  <c r="N114" i="1"/>
  <c r="AB105" i="1"/>
  <c r="AB241" i="1"/>
  <c r="N34" i="1"/>
  <c r="N108" i="1"/>
  <c r="AB178" i="1"/>
  <c r="N54" i="1"/>
  <c r="N142" i="1"/>
  <c r="N59" i="1"/>
  <c r="N139" i="1"/>
  <c r="N145" i="1"/>
  <c r="AB101" i="1"/>
  <c r="AB115" i="1"/>
  <c r="AB104" i="1"/>
  <c r="AB211" i="1"/>
  <c r="AB217" i="1"/>
  <c r="AB220" i="1"/>
  <c r="N132" i="1"/>
  <c r="N121" i="1"/>
  <c r="N71" i="1"/>
  <c r="N167" i="1"/>
  <c r="N80" i="1"/>
  <c r="N56" i="1"/>
  <c r="K102" i="1"/>
  <c r="AB174" i="1"/>
  <c r="N168" i="1"/>
  <c r="AB145" i="1"/>
  <c r="AB225" i="1"/>
  <c r="N51" i="1"/>
  <c r="N150" i="1"/>
  <c r="K205" i="1"/>
  <c r="N53" i="1"/>
  <c r="N125" i="1"/>
  <c r="AB235" i="1"/>
  <c r="K53" i="1"/>
  <c r="AB135" i="1"/>
  <c r="AB231" i="1"/>
  <c r="N77" i="1"/>
  <c r="K135" i="1"/>
  <c r="N35" i="1"/>
  <c r="AB116" i="1"/>
  <c r="AB215" i="1"/>
  <c r="K86" i="1"/>
  <c r="N129" i="1"/>
  <c r="N126" i="1"/>
  <c r="AB187" i="1"/>
  <c r="AB120" i="1"/>
  <c r="AB197" i="1"/>
  <c r="N55" i="1"/>
  <c r="N5" i="1"/>
  <c r="N143" i="1"/>
  <c r="AB111" i="1"/>
  <c r="AB158" i="1"/>
  <c r="N165" i="1"/>
  <c r="AB216" i="1"/>
  <c r="AB121" i="1"/>
  <c r="AB190" i="1"/>
  <c r="AB125" i="1"/>
  <c r="AB205" i="1"/>
  <c r="AB188" i="1"/>
  <c r="N68" i="1"/>
  <c r="N90" i="1"/>
  <c r="N186" i="1"/>
  <c r="AB119" i="1"/>
  <c r="N175" i="1"/>
  <c r="AB131" i="1"/>
  <c r="AB234" i="1"/>
  <c r="AB207" i="1"/>
  <c r="N243" i="1"/>
  <c r="AB237" i="1"/>
  <c r="N195" i="1"/>
  <c r="N219" i="1"/>
  <c r="J150" i="1"/>
  <c r="AB160" i="1"/>
  <c r="N29" i="1"/>
  <c r="N100" i="1"/>
  <c r="N111" i="1"/>
  <c r="K164" i="1"/>
  <c r="AB132" i="1"/>
  <c r="AB210" i="1"/>
  <c r="AB236" i="1"/>
  <c r="K94" i="1"/>
  <c r="AB230" i="1"/>
  <c r="N224" i="1"/>
  <c r="N74" i="1"/>
  <c r="N217" i="1"/>
  <c r="AB122" i="1"/>
  <c r="N162" i="1"/>
  <c r="AB138" i="1"/>
  <c r="AB136" i="1"/>
  <c r="AB218" i="1"/>
  <c r="AB191" i="1"/>
  <c r="N6" i="1"/>
  <c r="AB223" i="1"/>
  <c r="N102" i="1"/>
  <c r="N182" i="1"/>
  <c r="N87" i="1"/>
  <c r="K127" i="1"/>
  <c r="N91" i="1"/>
  <c r="AB228" i="1"/>
  <c r="AB206" i="1"/>
  <c r="AB144" i="1"/>
  <c r="N238" i="1"/>
  <c r="AB243" i="1"/>
  <c r="AB232" i="1"/>
  <c r="N203" i="1"/>
  <c r="N17" i="1"/>
  <c r="N88" i="1"/>
  <c r="N220" i="1"/>
  <c r="K32" i="1"/>
  <c r="N169" i="1"/>
  <c r="AB177" i="1"/>
  <c r="N45" i="1"/>
  <c r="N123" i="1"/>
  <c r="AB114" i="1"/>
  <c r="AB219" i="1"/>
  <c r="X27" i="1"/>
  <c r="X28" i="1" s="1"/>
  <c r="X29" i="1" s="1"/>
  <c r="X30" i="1" s="1"/>
  <c r="X31" i="1" s="1"/>
  <c r="X32" i="1" s="1"/>
  <c r="X33" i="1" s="1"/>
  <c r="X34" i="1" s="1"/>
  <c r="X35" i="1" s="1"/>
  <c r="X36" i="1" s="1"/>
  <c r="X37" i="1" s="1"/>
  <c r="X38" i="1" s="1"/>
  <c r="X39" i="1" s="1"/>
  <c r="X40" i="1" s="1"/>
  <c r="X41" i="1" s="1"/>
  <c r="X42" i="1" s="1"/>
  <c r="X43" i="1" s="1"/>
  <c r="X44" i="1" s="1"/>
  <c r="X45" i="1" s="1"/>
  <c r="X46" i="1" s="1"/>
  <c r="X47" i="1" s="1"/>
  <c r="X48" i="1" s="1"/>
  <c r="X49" i="1" s="1"/>
  <c r="X50" i="1" s="1"/>
  <c r="X51" i="1" s="1"/>
  <c r="X52" i="1" s="1"/>
  <c r="X53" i="1" s="1"/>
  <c r="X54" i="1" s="1"/>
  <c r="X55" i="1" s="1"/>
  <c r="X56" i="1" s="1"/>
  <c r="X57" i="1" s="1"/>
  <c r="X58" i="1" s="1"/>
  <c r="X59" i="1" s="1"/>
  <c r="X60" i="1" s="1"/>
  <c r="X61" i="1" s="1"/>
  <c r="X62" i="1" s="1"/>
  <c r="X63" i="1" s="1"/>
  <c r="X64" i="1" s="1"/>
  <c r="X65" i="1" s="1"/>
  <c r="X66" i="1" s="1"/>
  <c r="X67" i="1" s="1"/>
  <c r="X68" i="1" s="1"/>
  <c r="X69" i="1" s="1"/>
  <c r="X70" i="1" s="1"/>
  <c r="X71" i="1" s="1"/>
  <c r="X72" i="1" s="1"/>
  <c r="X73" i="1" s="1"/>
  <c r="X74" i="1" s="1"/>
  <c r="X75" i="1" s="1"/>
  <c r="X76" i="1" s="1"/>
  <c r="X77" i="1" s="1"/>
  <c r="X78" i="1" s="1"/>
  <c r="X79" i="1" s="1"/>
  <c r="X80" i="1" s="1"/>
  <c r="X81" i="1" s="1"/>
  <c r="X82" i="1" s="1"/>
  <c r="X83" i="1" s="1"/>
  <c r="X84" i="1" s="1"/>
  <c r="X85" i="1" s="1"/>
  <c r="X86" i="1" s="1"/>
  <c r="X87" i="1" s="1"/>
  <c r="X88" i="1" s="1"/>
  <c r="X89" i="1" s="1"/>
  <c r="X90" i="1" s="1"/>
  <c r="X91" i="1" s="1"/>
  <c r="X92" i="1" s="1"/>
  <c r="X93" i="1" s="1"/>
  <c r="X94" i="1" s="1"/>
  <c r="X95" i="1" s="1"/>
  <c r="X96" i="1" s="1"/>
  <c r="X97" i="1" s="1"/>
  <c r="X98" i="1" s="1"/>
  <c r="X99" i="1" s="1"/>
  <c r="X100" i="1" s="1"/>
  <c r="X101" i="1" s="1"/>
  <c r="X102" i="1" s="1"/>
  <c r="X103" i="1" s="1"/>
  <c r="X104" i="1" s="1"/>
  <c r="X105" i="1" s="1"/>
  <c r="X106" i="1" s="1"/>
  <c r="X107" i="1" s="1"/>
  <c r="X108" i="1" s="1"/>
  <c r="X109" i="1" s="1"/>
  <c r="X110" i="1" s="1"/>
  <c r="X111" i="1" s="1"/>
  <c r="X112" i="1" s="1"/>
  <c r="X113" i="1" s="1"/>
  <c r="X114" i="1" s="1"/>
  <c r="X115" i="1" s="1"/>
  <c r="X116" i="1" s="1"/>
  <c r="X117" i="1" s="1"/>
  <c r="X118" i="1" s="1"/>
  <c r="X119" i="1" s="1"/>
  <c r="X120" i="1" s="1"/>
  <c r="X121" i="1" s="1"/>
  <c r="X122" i="1" s="1"/>
  <c r="X123" i="1" s="1"/>
  <c r="X124" i="1" s="1"/>
  <c r="X125" i="1" s="1"/>
  <c r="X126" i="1" s="1"/>
  <c r="X127" i="1" s="1"/>
  <c r="X128" i="1" s="1"/>
  <c r="X129" i="1" s="1"/>
  <c r="X130" i="1" s="1"/>
  <c r="X131" i="1" s="1"/>
  <c r="X132" i="1" s="1"/>
  <c r="X133" i="1" s="1"/>
  <c r="X134" i="1" s="1"/>
  <c r="X135" i="1" s="1"/>
  <c r="X136" i="1" s="1"/>
  <c r="X137" i="1" s="1"/>
  <c r="X138" i="1" s="1"/>
  <c r="X139" i="1" s="1"/>
  <c r="X140" i="1" s="1"/>
  <c r="X141" i="1" s="1"/>
  <c r="X142" i="1" s="1"/>
  <c r="X143" i="1" s="1"/>
  <c r="X144" i="1" s="1"/>
  <c r="X145" i="1" s="1"/>
  <c r="X146" i="1" s="1"/>
  <c r="X147" i="1" s="1"/>
  <c r="X148" i="1" s="1"/>
  <c r="X149" i="1" s="1"/>
  <c r="X150" i="1" s="1"/>
  <c r="X151" i="1" s="1"/>
  <c r="X152" i="1" s="1"/>
  <c r="X153" i="1" s="1"/>
  <c r="X154" i="1" s="1"/>
  <c r="X155" i="1" s="1"/>
  <c r="X156" i="1" s="1"/>
  <c r="X157" i="1" s="1"/>
  <c r="X158" i="1" s="1"/>
  <c r="X159" i="1" s="1"/>
  <c r="X160" i="1" s="1"/>
  <c r="X161" i="1" s="1"/>
  <c r="X162" i="1" s="1"/>
  <c r="X163" i="1" s="1"/>
  <c r="X164" i="1" s="1"/>
  <c r="X165" i="1" s="1"/>
  <c r="X166" i="1" s="1"/>
  <c r="X167" i="1" s="1"/>
  <c r="X168" i="1" s="1"/>
  <c r="X169" i="1" s="1"/>
  <c r="X170" i="1" s="1"/>
  <c r="X171" i="1" s="1"/>
  <c r="X172" i="1" s="1"/>
  <c r="X173" i="1" s="1"/>
  <c r="X174" i="1" s="1"/>
  <c r="X175" i="1" s="1"/>
  <c r="X176" i="1" s="1"/>
  <c r="X177" i="1" s="1"/>
  <c r="X178" i="1" s="1"/>
  <c r="X179" i="1" s="1"/>
  <c r="X180" i="1" s="1"/>
  <c r="X181" i="1" s="1"/>
  <c r="X182" i="1" s="1"/>
  <c r="X183" i="1" s="1"/>
  <c r="X184" i="1" s="1"/>
  <c r="X185" i="1" s="1"/>
  <c r="X186" i="1" s="1"/>
  <c r="X187" i="1" s="1"/>
  <c r="X188" i="1" s="1"/>
  <c r="X189" i="1" s="1"/>
  <c r="X190" i="1" s="1"/>
  <c r="X191" i="1" s="1"/>
  <c r="X192" i="1" s="1"/>
  <c r="X193" i="1" s="1"/>
  <c r="X194" i="1" s="1"/>
  <c r="X195" i="1" s="1"/>
  <c r="X196" i="1" s="1"/>
  <c r="X197" i="1" s="1"/>
  <c r="X198" i="1" s="1"/>
  <c r="X199" i="1" s="1"/>
  <c r="X200" i="1" s="1"/>
  <c r="X201" i="1" s="1"/>
  <c r="X202" i="1" s="1"/>
  <c r="X203" i="1" s="1"/>
  <c r="X204" i="1" s="1"/>
  <c r="X205" i="1" s="1"/>
  <c r="X206" i="1" s="1"/>
  <c r="X207" i="1" s="1"/>
  <c r="X208" i="1" s="1"/>
  <c r="X209" i="1" s="1"/>
  <c r="X210" i="1" s="1"/>
  <c r="X211" i="1" s="1"/>
  <c r="X212" i="1" s="1"/>
  <c r="X213" i="1" s="1"/>
  <c r="X214" i="1" s="1"/>
  <c r="X215" i="1" s="1"/>
  <c r="X216" i="1" s="1"/>
  <c r="X217" i="1" s="1"/>
  <c r="X218" i="1" s="1"/>
  <c r="X219" i="1" s="1"/>
  <c r="X220" i="1" s="1"/>
  <c r="X221" i="1" s="1"/>
  <c r="X222" i="1" s="1"/>
  <c r="X223" i="1" s="1"/>
  <c r="X224" i="1" s="1"/>
  <c r="X225" i="1" s="1"/>
  <c r="X226" i="1" s="1"/>
  <c r="X227" i="1" s="1"/>
  <c r="X228" i="1" s="1"/>
  <c r="X229" i="1" s="1"/>
  <c r="X230" i="1" s="1"/>
  <c r="X231" i="1" s="1"/>
  <c r="X232" i="1" s="1"/>
  <c r="X233" i="1" s="1"/>
  <c r="X234" i="1" s="1"/>
  <c r="X235" i="1" s="1"/>
  <c r="X236" i="1" s="1"/>
  <c r="X237" i="1" s="1"/>
  <c r="X238" i="1" s="1"/>
  <c r="X239" i="1" s="1"/>
  <c r="X240" i="1" s="1"/>
  <c r="X241" i="1" s="1"/>
  <c r="X242" i="1" s="1"/>
  <c r="X243" i="1" s="1"/>
  <c r="X244" i="1" s="1"/>
  <c r="X245" i="1" s="1"/>
  <c r="X246" i="1" s="1"/>
  <c r="X247" i="1" s="1"/>
  <c r="X248" i="1" s="1"/>
  <c r="X249" i="1" s="1"/>
  <c r="X250" i="1" s="1"/>
  <c r="X251" i="1" s="1"/>
  <c r="N214" i="1"/>
  <c r="AB107" i="1"/>
  <c r="N221" i="1"/>
  <c r="N78" i="1"/>
  <c r="N75" i="1"/>
  <c r="N229" i="1"/>
  <c r="N163" i="1"/>
  <c r="AB147" i="1"/>
  <c r="AB153" i="1"/>
  <c r="AB227" i="1"/>
  <c r="K214" i="1"/>
  <c r="N7" i="1"/>
  <c r="AB248" i="1"/>
  <c r="N103" i="1"/>
  <c r="N16" i="1"/>
  <c r="N107" i="1"/>
  <c r="N95" i="1"/>
  <c r="K38" i="1"/>
  <c r="AB110" i="1"/>
  <c r="N104" i="1"/>
  <c r="AB239" i="1"/>
  <c r="AB161" i="1"/>
  <c r="N196" i="1"/>
  <c r="AB129" i="1"/>
  <c r="AB157" i="1"/>
  <c r="AB249" i="1"/>
  <c r="AB244" i="1"/>
  <c r="N69" i="1"/>
  <c r="AB212" i="1"/>
  <c r="K175" i="1"/>
  <c r="N152" i="1"/>
  <c r="K129" i="1"/>
  <c r="AB182" i="1"/>
  <c r="K22" i="1"/>
  <c r="W13" i="1"/>
  <c r="W14" i="1" s="1"/>
  <c r="W15" i="1" s="1"/>
  <c r="W16" i="1" s="1"/>
  <c r="W17" i="1" s="1"/>
  <c r="W18" i="1" s="1"/>
  <c r="W19" i="1" s="1"/>
  <c r="W20" i="1" s="1"/>
  <c r="W21" i="1" s="1"/>
  <c r="W22" i="1" s="1"/>
  <c r="W23" i="1" s="1"/>
  <c r="W24" i="1" s="1"/>
  <c r="W25" i="1" s="1"/>
  <c r="W26" i="1" s="1"/>
  <c r="W27" i="1" s="1"/>
  <c r="W28" i="1" s="1"/>
  <c r="W29" i="1" s="1"/>
  <c r="AB123" i="1"/>
  <c r="AB133" i="1"/>
  <c r="N234" i="1"/>
  <c r="N222" i="1"/>
  <c r="N79" i="1"/>
  <c r="N33" i="1"/>
  <c r="N200" i="1"/>
  <c r="AB164" i="1"/>
  <c r="AB126" i="1"/>
  <c r="AB141" i="1"/>
  <c r="K222" i="1"/>
  <c r="N26" i="1"/>
  <c r="AB229" i="1"/>
  <c r="N122" i="1"/>
  <c r="N202" i="1"/>
  <c r="N115" i="1"/>
  <c r="AB170" i="1"/>
  <c r="AB143" i="1"/>
  <c r="N209" i="1"/>
  <c r="N117" i="1"/>
  <c r="N134" i="1"/>
  <c r="N230" i="1"/>
  <c r="AB140" i="1"/>
  <c r="N176" i="1"/>
  <c r="K238" i="1"/>
  <c r="K192" i="1"/>
  <c r="N207" i="1"/>
  <c r="K58" i="1"/>
  <c r="K40" i="1"/>
  <c r="AB146" i="1"/>
  <c r="AB148" i="1"/>
  <c r="AB246" i="1"/>
  <c r="K30" i="1"/>
  <c r="AB166" i="1"/>
  <c r="N160" i="1"/>
  <c r="N10" i="1"/>
  <c r="N76" i="1"/>
  <c r="N242" i="1"/>
  <c r="N98" i="1"/>
  <c r="AB154" i="1"/>
  <c r="AB127" i="1"/>
  <c r="N236" i="1"/>
  <c r="N28" i="1"/>
  <c r="N137" i="1"/>
  <c r="AB139" i="1"/>
  <c r="AB242" i="1"/>
  <c r="AB159" i="1"/>
  <c r="N38" i="1"/>
  <c r="N118" i="1"/>
  <c r="K63" i="1"/>
  <c r="N27" i="1"/>
  <c r="N206" i="1"/>
  <c r="AB142" i="1"/>
  <c r="N49" i="1"/>
  <c r="N110" i="1"/>
  <c r="AB179" i="1"/>
  <c r="AB168" i="1"/>
  <c r="N52" i="1"/>
  <c r="AB233" i="1"/>
  <c r="N127" i="1"/>
  <c r="N135" i="1"/>
  <c r="N64" i="1"/>
  <c r="AB150" i="1"/>
  <c r="N144" i="1"/>
  <c r="N93" i="1"/>
  <c r="N184" i="1"/>
  <c r="AB176" i="1"/>
  <c r="K166" i="1"/>
  <c r="N227" i="1"/>
  <c r="K70" i="1"/>
  <c r="N245" i="1"/>
  <c r="K244" i="1"/>
  <c r="K137" i="1"/>
  <c r="N84" i="1"/>
  <c r="AB251" i="1"/>
  <c r="N119" i="1"/>
  <c r="N41" i="1"/>
  <c r="K95" i="1"/>
  <c r="AB203" i="1"/>
  <c r="K221" i="1"/>
  <c r="N180" i="1"/>
  <c r="J214" i="1"/>
  <c r="N85" i="1"/>
  <c r="K223" i="1"/>
  <c r="N92" i="1"/>
  <c r="N73" i="1"/>
  <c r="AB171" i="1"/>
  <c r="K37" i="1"/>
  <c r="K239" i="1"/>
  <c r="J156" i="1"/>
  <c r="J82" i="1"/>
  <c r="K235" i="1"/>
  <c r="N198" i="1"/>
  <c r="K62" i="1"/>
  <c r="K97" i="1"/>
  <c r="N65" i="1"/>
  <c r="J110" i="1"/>
  <c r="K28" i="1"/>
  <c r="K100" i="1"/>
  <c r="N128" i="1"/>
  <c r="N140" i="1"/>
  <c r="K77" i="1"/>
  <c r="N67" i="1"/>
  <c r="K216" i="1"/>
  <c r="N249" i="1"/>
  <c r="AB193" i="1"/>
  <c r="K55" i="1"/>
  <c r="K248" i="1"/>
  <c r="J94" i="1"/>
  <c r="J127" i="1"/>
  <c r="G221" i="1"/>
  <c r="E213" i="1"/>
  <c r="E106" i="1"/>
  <c r="K154" i="1"/>
  <c r="K36" i="1"/>
  <c r="J28" i="1"/>
  <c r="J69" i="1"/>
  <c r="J188" i="1"/>
  <c r="J177" i="1"/>
  <c r="G134" i="1"/>
  <c r="G193" i="1"/>
  <c r="J197" i="1"/>
  <c r="K181" i="1"/>
  <c r="K80" i="1"/>
  <c r="J87" i="1"/>
  <c r="K89" i="1"/>
  <c r="E21" i="1"/>
  <c r="J125" i="1"/>
  <c r="J48" i="1"/>
  <c r="G113" i="1"/>
  <c r="G212" i="1"/>
  <c r="J78" i="1"/>
  <c r="J248" i="1"/>
  <c r="K69" i="1"/>
  <c r="G135" i="1"/>
  <c r="J244" i="1"/>
  <c r="E144" i="1"/>
  <c r="E158" i="1"/>
  <c r="J180" i="1"/>
  <c r="K49" i="1"/>
  <c r="J215" i="1"/>
  <c r="K113" i="1"/>
  <c r="J68" i="1"/>
  <c r="G20" i="1"/>
  <c r="G195" i="1"/>
  <c r="G217" i="1"/>
  <c r="G24" i="1"/>
  <c r="G81" i="1"/>
  <c r="E39" i="1"/>
  <c r="E191" i="1"/>
  <c r="N21" i="1"/>
  <c r="N173" i="1"/>
  <c r="K158" i="1"/>
  <c r="AB165" i="1"/>
  <c r="N138" i="1"/>
  <c r="AB202" i="1"/>
  <c r="N89" i="1"/>
  <c r="N70" i="1"/>
  <c r="K191" i="1"/>
  <c r="N157" i="1"/>
  <c r="N105" i="1"/>
  <c r="K103" i="1"/>
  <c r="N120" i="1"/>
  <c r="N190" i="1"/>
  <c r="N188" i="1"/>
  <c r="K132" i="1"/>
  <c r="N241" i="1"/>
  <c r="K250" i="1"/>
  <c r="K232" i="1"/>
  <c r="K147" i="1"/>
  <c r="J245" i="1"/>
  <c r="N18" i="1"/>
  <c r="N30" i="1"/>
  <c r="AB151" i="1"/>
  <c r="N151" i="1"/>
  <c r="K26" i="1"/>
  <c r="K87" i="1"/>
  <c r="N185" i="1"/>
  <c r="AB214" i="1"/>
  <c r="N179" i="1"/>
  <c r="J22" i="1"/>
  <c r="N251" i="1"/>
  <c r="J137" i="1"/>
  <c r="J238" i="1"/>
  <c r="N66" i="1"/>
  <c r="K106" i="1"/>
  <c r="J103" i="1"/>
  <c r="K42" i="1"/>
  <c r="G9" i="1"/>
  <c r="J161" i="1"/>
  <c r="G59" i="1"/>
  <c r="G225" i="1"/>
  <c r="G203" i="1"/>
  <c r="G167" i="1"/>
  <c r="E16" i="1"/>
  <c r="G125" i="1"/>
  <c r="K130" i="1"/>
  <c r="N164" i="1"/>
  <c r="K211" i="1"/>
  <c r="J122" i="1"/>
  <c r="K184" i="1"/>
  <c r="N147" i="1"/>
  <c r="J40" i="1"/>
  <c r="J231" i="1"/>
  <c r="G162" i="1"/>
  <c r="E182" i="1"/>
  <c r="K186" i="1"/>
  <c r="J199" i="1"/>
  <c r="J95" i="1"/>
  <c r="J105" i="1"/>
  <c r="J221" i="1"/>
  <c r="G90" i="1"/>
  <c r="G5" i="1"/>
  <c r="G72" i="1"/>
  <c r="J57" i="1"/>
  <c r="E53" i="1"/>
  <c r="E84" i="1"/>
  <c r="G126" i="1"/>
  <c r="J146" i="1"/>
  <c r="E201" i="1"/>
  <c r="K200" i="1"/>
  <c r="J168" i="1"/>
  <c r="K195" i="1"/>
  <c r="K116" i="1"/>
  <c r="J93" i="1"/>
  <c r="E4" i="1"/>
  <c r="J106" i="1"/>
  <c r="K201" i="1"/>
  <c r="N86" i="1"/>
  <c r="AB199" i="1"/>
  <c r="N97" i="1"/>
  <c r="AB163" i="1"/>
  <c r="AB184" i="1"/>
  <c r="AB175" i="1"/>
  <c r="AB185" i="1"/>
  <c r="AB103" i="1"/>
  <c r="K218" i="1"/>
  <c r="K45" i="1"/>
  <c r="N187" i="1"/>
  <c r="N148" i="1"/>
  <c r="N194" i="1"/>
  <c r="N36" i="1"/>
  <c r="N136" i="1"/>
  <c r="K57" i="1"/>
  <c r="N181" i="1"/>
  <c r="AB186" i="1"/>
  <c r="N20" i="1"/>
  <c r="K171" i="1"/>
  <c r="J158" i="1"/>
  <c r="N50" i="1"/>
  <c r="K84" i="1"/>
  <c r="N240" i="1"/>
  <c r="K88" i="1"/>
  <c r="J246" i="1"/>
  <c r="N146" i="1"/>
  <c r="N158" i="1"/>
  <c r="K111" i="1"/>
  <c r="N208" i="1"/>
  <c r="K242" i="1"/>
  <c r="AB149" i="1"/>
  <c r="N218" i="1"/>
  <c r="K226" i="1"/>
  <c r="J56" i="1"/>
  <c r="K29" i="1"/>
  <c r="K153" i="1"/>
  <c r="G85" i="1"/>
  <c r="K251" i="1"/>
  <c r="G169" i="1"/>
  <c r="E195" i="1"/>
  <c r="G21" i="1"/>
  <c r="G160" i="1"/>
  <c r="E231" i="1"/>
  <c r="N213" i="1"/>
  <c r="K117" i="1"/>
  <c r="J23" i="1"/>
  <c r="K108" i="1"/>
  <c r="J222" i="1"/>
  <c r="K144" i="1"/>
  <c r="E140" i="1"/>
  <c r="G112" i="1"/>
  <c r="AB167" i="1"/>
  <c r="K119" i="1"/>
  <c r="J138" i="1"/>
  <c r="K68" i="1"/>
  <c r="J184" i="1"/>
  <c r="G208" i="1"/>
  <c r="J116" i="1"/>
  <c r="J54" i="1"/>
  <c r="J203" i="1"/>
  <c r="J234" i="1"/>
  <c r="J205" i="1"/>
  <c r="N24" i="1"/>
  <c r="G182" i="1"/>
  <c r="G43" i="1"/>
  <c r="E61" i="1"/>
  <c r="E156" i="1"/>
  <c r="E249" i="1"/>
  <c r="K61" i="1"/>
  <c r="E116" i="1"/>
  <c r="AB247" i="1"/>
  <c r="K96" i="1"/>
  <c r="K213" i="1"/>
  <c r="J25" i="1"/>
  <c r="J206" i="1"/>
  <c r="K21" i="1"/>
  <c r="J183" i="1"/>
  <c r="G241" i="1"/>
  <c r="E171" i="1"/>
  <c r="N106" i="1"/>
  <c r="AB224" i="1"/>
  <c r="AB106" i="1"/>
  <c r="AB200" i="1"/>
  <c r="N61" i="1"/>
  <c r="N246" i="1"/>
  <c r="N149" i="1"/>
  <c r="AB128" i="1"/>
  <c r="AB192" i="1"/>
  <c r="K139" i="1"/>
  <c r="AB113" i="1"/>
  <c r="N237" i="1"/>
  <c r="N193" i="1"/>
  <c r="N124" i="1"/>
  <c r="K228" i="1"/>
  <c r="N216" i="1"/>
  <c r="K237" i="1"/>
  <c r="J135" i="1"/>
  <c r="K177" i="1"/>
  <c r="N233" i="1"/>
  <c r="K185" i="1"/>
  <c r="N8" i="1"/>
  <c r="N178" i="1"/>
  <c r="N210" i="1"/>
  <c r="K152" i="1"/>
  <c r="J216" i="1"/>
  <c r="N172" i="1"/>
  <c r="K196" i="1"/>
  <c r="N174" i="1"/>
  <c r="K163" i="1"/>
  <c r="K72" i="1"/>
  <c r="J207" i="1"/>
  <c r="J162" i="1"/>
  <c r="J210" i="1"/>
  <c r="E85" i="1"/>
  <c r="G10" i="1"/>
  <c r="E96" i="1"/>
  <c r="E146" i="1"/>
  <c r="E118" i="1"/>
  <c r="E187" i="1"/>
  <c r="AB226" i="1"/>
  <c r="J167" i="1"/>
  <c r="K170" i="1"/>
  <c r="G249" i="1"/>
  <c r="G142" i="1"/>
  <c r="E20" i="1"/>
  <c r="K122" i="1"/>
  <c r="J71" i="1"/>
  <c r="J31" i="1"/>
  <c r="J41" i="1"/>
  <c r="J242" i="1"/>
  <c r="G84" i="1"/>
  <c r="G181" i="1"/>
  <c r="E172" i="1"/>
  <c r="J59" i="1"/>
  <c r="J172" i="1"/>
  <c r="K212" i="1"/>
  <c r="G236" i="1"/>
  <c r="E35" i="1"/>
  <c r="E240" i="1"/>
  <c r="J164" i="1"/>
  <c r="N37" i="1"/>
  <c r="J159" i="1"/>
  <c r="J169" i="1"/>
  <c r="J47" i="1"/>
  <c r="G22" i="1"/>
  <c r="G73" i="1"/>
  <c r="J185" i="1"/>
  <c r="G123" i="1"/>
  <c r="E244" i="1"/>
  <c r="G248" i="1"/>
  <c r="E243" i="1"/>
  <c r="AB213" i="1"/>
  <c r="N99" i="1"/>
  <c r="AB112" i="1"/>
  <c r="N39" i="1"/>
  <c r="N130" i="1"/>
  <c r="AB173" i="1"/>
  <c r="N250" i="1"/>
  <c r="N116" i="1"/>
  <c r="K66" i="1"/>
  <c r="AB238" i="1"/>
  <c r="AB169" i="1"/>
  <c r="K246" i="1"/>
  <c r="N235" i="1"/>
  <c r="K54" i="1"/>
  <c r="K207" i="1"/>
  <c r="N177" i="1"/>
  <c r="N248" i="1"/>
  <c r="N47" i="1"/>
  <c r="K24" i="1"/>
  <c r="J182" i="1"/>
  <c r="K179" i="1"/>
  <c r="J88" i="1"/>
  <c r="K27" i="1"/>
  <c r="N153" i="1"/>
  <c r="K78" i="1"/>
  <c r="K114" i="1"/>
  <c r="AB204" i="1"/>
  <c r="N141" i="1"/>
  <c r="N9" i="1"/>
  <c r="K156" i="1"/>
  <c r="K249" i="1"/>
  <c r="K134" i="1"/>
  <c r="N42" i="1"/>
  <c r="J73" i="1"/>
  <c r="K110" i="1"/>
  <c r="N197" i="1"/>
  <c r="K64" i="1"/>
  <c r="N244" i="1"/>
  <c r="K229" i="1"/>
  <c r="K98" i="1"/>
  <c r="K109" i="1"/>
  <c r="E68" i="1"/>
  <c r="J154" i="1"/>
  <c r="E65" i="1"/>
  <c r="G175" i="1"/>
  <c r="G152" i="1"/>
  <c r="E154" i="1"/>
  <c r="K23" i="1"/>
  <c r="J166" i="1"/>
  <c r="J120" i="1"/>
  <c r="K157" i="1"/>
  <c r="K82" i="1"/>
  <c r="G238" i="1"/>
  <c r="J229" i="1"/>
  <c r="J139" i="1"/>
  <c r="J50" i="1"/>
  <c r="G128" i="1"/>
  <c r="G75" i="1"/>
  <c r="J171" i="1"/>
  <c r="K141" i="1"/>
  <c r="K168" i="1"/>
  <c r="J220" i="1"/>
  <c r="K187" i="1"/>
  <c r="K34" i="1"/>
  <c r="E246" i="1"/>
  <c r="G185" i="1"/>
  <c r="J51" i="1"/>
  <c r="K25" i="1"/>
  <c r="G28" i="1"/>
  <c r="G218" i="1"/>
  <c r="E217" i="1"/>
  <c r="G15" i="1"/>
  <c r="J118" i="1"/>
  <c r="J201" i="1"/>
  <c r="K151" i="1"/>
  <c r="J114" i="1"/>
  <c r="J115" i="1"/>
  <c r="G102" i="1"/>
  <c r="G156" i="1"/>
  <c r="E192" i="1"/>
  <c r="N94" i="1"/>
  <c r="N189" i="1"/>
  <c r="N72" i="1"/>
  <c r="AB118" i="1"/>
  <c r="N58" i="1"/>
  <c r="N48" i="1"/>
  <c r="N19" i="1"/>
  <c r="AB156" i="1"/>
  <c r="N82" i="1"/>
  <c r="N232" i="1"/>
  <c r="AB130" i="1"/>
  <c r="AB109" i="1"/>
  <c r="K159" i="1"/>
  <c r="N43" i="1"/>
  <c r="AB194" i="1"/>
  <c r="K180" i="1"/>
  <c r="N228" i="1"/>
  <c r="N170" i="1"/>
  <c r="K121" i="1"/>
  <c r="N212" i="1"/>
  <c r="K245" i="1"/>
  <c r="J38" i="1"/>
  <c r="AB108" i="1"/>
  <c r="K35" i="1"/>
  <c r="N109" i="1"/>
  <c r="N205" i="1"/>
  <c r="K178" i="1"/>
  <c r="AB240" i="1"/>
  <c r="N32" i="1"/>
  <c r="K126" i="1"/>
  <c r="K161" i="1"/>
  <c r="J174" i="1"/>
  <c r="K85" i="1"/>
  <c r="K190" i="1"/>
  <c r="N4" i="1"/>
  <c r="K92" i="1"/>
  <c r="J181" i="1"/>
  <c r="J155" i="1"/>
  <c r="J84" i="1"/>
  <c r="K123" i="1"/>
  <c r="G41" i="1"/>
  <c r="J80" i="1"/>
  <c r="G233" i="1"/>
  <c r="E174" i="1"/>
  <c r="K71" i="1"/>
  <c r="J144" i="1"/>
  <c r="G211" i="1"/>
  <c r="J250" i="1"/>
  <c r="K209" i="1"/>
  <c r="J108" i="1"/>
  <c r="K247" i="1"/>
  <c r="J134" i="1"/>
  <c r="E67" i="1"/>
  <c r="J157" i="1"/>
  <c r="N215" i="1"/>
  <c r="J198" i="1"/>
  <c r="N57" i="1"/>
  <c r="J35" i="1"/>
  <c r="K210" i="1"/>
  <c r="G104" i="1"/>
  <c r="J45" i="1"/>
  <c r="J235" i="1"/>
  <c r="E228" i="1"/>
  <c r="G23" i="1"/>
  <c r="G230" i="1"/>
  <c r="J123" i="1"/>
  <c r="J236" i="1"/>
  <c r="K136" i="1"/>
  <c r="J109" i="1"/>
  <c r="J119" i="1"/>
  <c r="G157" i="1"/>
  <c r="E149" i="1"/>
  <c r="E236" i="1"/>
  <c r="E73" i="1"/>
  <c r="E22" i="1"/>
  <c r="G194" i="1"/>
  <c r="K160" i="1"/>
  <c r="AB155" i="1"/>
  <c r="K199" i="1"/>
  <c r="AB183" i="1"/>
  <c r="N159" i="1"/>
  <c r="K231" i="1"/>
  <c r="J79" i="1"/>
  <c r="N199" i="1"/>
  <c r="K99" i="1"/>
  <c r="K90" i="1"/>
  <c r="K143" i="1"/>
  <c r="K233" i="1"/>
  <c r="J75" i="1"/>
  <c r="J186" i="1"/>
  <c r="J43" i="1"/>
  <c r="J92" i="1"/>
  <c r="E44" i="1"/>
  <c r="K217" i="1"/>
  <c r="G147" i="1"/>
  <c r="G133" i="1"/>
  <c r="J64" i="1"/>
  <c r="J243" i="1"/>
  <c r="K176" i="1"/>
  <c r="G228" i="1"/>
  <c r="E129" i="1"/>
  <c r="E58" i="1"/>
  <c r="J96" i="1"/>
  <c r="K227" i="1"/>
  <c r="J126" i="1"/>
  <c r="J196" i="1"/>
  <c r="G117" i="1"/>
  <c r="J170" i="1"/>
  <c r="E108" i="1"/>
  <c r="E196" i="1"/>
  <c r="E226" i="1"/>
  <c r="E59" i="1"/>
  <c r="G82" i="1"/>
  <c r="E204" i="1"/>
  <c r="G141" i="1"/>
  <c r="E107" i="1"/>
  <c r="G154" i="1"/>
  <c r="G166" i="1"/>
  <c r="E242" i="1"/>
  <c r="E210" i="1"/>
  <c r="E10" i="1"/>
  <c r="E36" i="1"/>
  <c r="E184" i="1"/>
  <c r="E87" i="1"/>
  <c r="G111" i="1"/>
  <c r="AB208" i="1"/>
  <c r="N171" i="1"/>
  <c r="K206" i="1"/>
  <c r="K224" i="1"/>
  <c r="AB221" i="1"/>
  <c r="K33" i="1"/>
  <c r="N44" i="1"/>
  <c r="K165" i="1"/>
  <c r="AB134" i="1"/>
  <c r="K83" i="1"/>
  <c r="J74" i="1"/>
  <c r="J148" i="1"/>
  <c r="K31" i="1"/>
  <c r="J44" i="1"/>
  <c r="J212" i="1"/>
  <c r="J37" i="1"/>
  <c r="N191" i="1"/>
  <c r="K67" i="1"/>
  <c r="E139" i="1"/>
  <c r="G27" i="1"/>
  <c r="G19" i="1"/>
  <c r="J99" i="1"/>
  <c r="G105" i="1"/>
  <c r="K43" i="1"/>
  <c r="J251" i="1"/>
  <c r="J226" i="1"/>
  <c r="G48" i="1"/>
  <c r="J65" i="1"/>
  <c r="E117" i="1"/>
  <c r="E178" i="1"/>
  <c r="E102" i="1"/>
  <c r="G3" i="1"/>
  <c r="K169" i="1"/>
  <c r="AB189" i="1"/>
  <c r="K208" i="1"/>
  <c r="N12" i="1"/>
  <c r="K230" i="1"/>
  <c r="K183" i="1"/>
  <c r="J124" i="1"/>
  <c r="E229" i="1"/>
  <c r="K173" i="1"/>
  <c r="J98" i="1"/>
  <c r="G237" i="1"/>
  <c r="K59" i="1"/>
  <c r="J241" i="1"/>
  <c r="J86" i="1"/>
  <c r="J21" i="1"/>
  <c r="E132" i="1"/>
  <c r="G16" i="1"/>
  <c r="E13" i="1"/>
  <c r="E91" i="1"/>
  <c r="G14" i="1"/>
  <c r="E14" i="1"/>
  <c r="K65" i="1"/>
  <c r="J30" i="1"/>
  <c r="J153" i="1"/>
  <c r="J230" i="1"/>
  <c r="J63" i="1"/>
  <c r="G93" i="1"/>
  <c r="E3" i="1"/>
  <c r="J149" i="1"/>
  <c r="J72" i="1"/>
  <c r="G7" i="1"/>
  <c r="G88" i="1"/>
  <c r="G188" i="1"/>
  <c r="E225" i="1"/>
  <c r="E27" i="1"/>
  <c r="J217" i="1"/>
  <c r="J200" i="1"/>
  <c r="G122" i="1"/>
  <c r="E234" i="1"/>
  <c r="J239" i="1"/>
  <c r="N101" i="1"/>
  <c r="E209" i="1"/>
  <c r="E241" i="1"/>
  <c r="J218" i="1"/>
  <c r="G40" i="1"/>
  <c r="E162" i="1"/>
  <c r="E64" i="1"/>
  <c r="G192" i="1"/>
  <c r="E142" i="1"/>
  <c r="E230" i="1"/>
  <c r="K105" i="1"/>
  <c r="E165" i="1"/>
  <c r="AB196" i="1"/>
  <c r="N166" i="1"/>
  <c r="K234" i="1"/>
  <c r="AB250" i="1"/>
  <c r="AB162" i="1"/>
  <c r="J117" i="1"/>
  <c r="N3" i="1"/>
  <c r="N204" i="1"/>
  <c r="K189" i="1"/>
  <c r="J208" i="1"/>
  <c r="J70" i="1"/>
  <c r="G213" i="1"/>
  <c r="K47" i="1"/>
  <c r="G183" i="1"/>
  <c r="E89" i="1"/>
  <c r="G144" i="1"/>
  <c r="N223" i="1"/>
  <c r="K167" i="1"/>
  <c r="J163" i="1"/>
  <c r="G145" i="1"/>
  <c r="J133" i="1"/>
  <c r="K197" i="1"/>
  <c r="G74" i="1"/>
  <c r="J81" i="1"/>
  <c r="E120" i="1"/>
  <c r="K107" i="1"/>
  <c r="J24" i="1"/>
  <c r="N46" i="1"/>
  <c r="J90" i="1"/>
  <c r="N15" i="1"/>
  <c r="AB152" i="1"/>
  <c r="N226" i="1"/>
  <c r="AB181" i="1"/>
  <c r="N31" i="1"/>
  <c r="K182" i="1"/>
  <c r="N161" i="1"/>
  <c r="K215" i="1"/>
  <c r="J26" i="1"/>
  <c r="E56" i="1"/>
  <c r="E75" i="1"/>
  <c r="J58" i="1"/>
  <c r="J219" i="1"/>
  <c r="G130" i="1"/>
  <c r="K155" i="1"/>
  <c r="G174" i="1"/>
  <c r="G226" i="1"/>
  <c r="K149" i="1"/>
  <c r="J165" i="1"/>
  <c r="E159" i="1"/>
  <c r="J62" i="1"/>
  <c r="K124" i="1"/>
  <c r="J232" i="1"/>
  <c r="K91" i="1"/>
  <c r="E221" i="1"/>
  <c r="E62" i="1"/>
  <c r="G108" i="1"/>
  <c r="E202" i="1"/>
  <c r="K79" i="1"/>
  <c r="K138" i="1"/>
  <c r="K188" i="1"/>
  <c r="J189" i="1"/>
  <c r="G131" i="1"/>
  <c r="J32" i="1"/>
  <c r="G49" i="1"/>
  <c r="G148" i="1"/>
  <c r="G245" i="1"/>
  <c r="J193" i="1"/>
  <c r="G187" i="1"/>
  <c r="K74" i="1"/>
  <c r="E38" i="1"/>
  <c r="G219" i="1"/>
  <c r="G127" i="1"/>
  <c r="G95" i="1"/>
  <c r="J225" i="1"/>
  <c r="J152" i="1"/>
  <c r="E232" i="1"/>
  <c r="E103" i="1"/>
  <c r="E12" i="1"/>
  <c r="G109" i="1"/>
  <c r="N156" i="1"/>
  <c r="G115" i="1"/>
  <c r="E17" i="1"/>
  <c r="E80" i="1"/>
  <c r="E48" i="1"/>
  <c r="E150" i="1"/>
  <c r="K128" i="1"/>
  <c r="G132" i="1"/>
  <c r="E30" i="1"/>
  <c r="N11" i="1"/>
  <c r="AB222" i="1"/>
  <c r="N154" i="1"/>
  <c r="K118" i="1"/>
  <c r="N131" i="1"/>
  <c r="N83" i="1"/>
  <c r="K50" i="1"/>
  <c r="K101" i="1"/>
  <c r="K140" i="1"/>
  <c r="AB137" i="1"/>
  <c r="K225" i="1"/>
  <c r="G53" i="1"/>
  <c r="G137" i="1"/>
  <c r="J209" i="1"/>
  <c r="K104" i="1"/>
  <c r="J42" i="1"/>
  <c r="J194" i="1"/>
  <c r="J151" i="1"/>
  <c r="G106" i="1"/>
  <c r="G63" i="1"/>
  <c r="G51" i="1"/>
  <c r="N113" i="1"/>
  <c r="K41" i="1"/>
  <c r="J89" i="1"/>
  <c r="J102" i="1"/>
  <c r="G172" i="1"/>
  <c r="G176" i="1"/>
  <c r="G197" i="1"/>
  <c r="G178" i="1"/>
  <c r="E181" i="1"/>
  <c r="E127" i="1"/>
  <c r="N23" i="1"/>
  <c r="K125" i="1"/>
  <c r="J66" i="1"/>
  <c r="E251" i="1"/>
  <c r="G139" i="1"/>
  <c r="E212" i="1"/>
  <c r="E19" i="1"/>
  <c r="N14" i="1"/>
  <c r="AB124" i="1"/>
  <c r="N225" i="1"/>
  <c r="K142" i="1"/>
  <c r="E123" i="1"/>
  <c r="K75" i="1"/>
  <c r="G66" i="1"/>
  <c r="J179" i="1"/>
  <c r="J132" i="1"/>
  <c r="N201" i="1"/>
  <c r="J129" i="1"/>
  <c r="G78" i="1"/>
  <c r="E199" i="1"/>
  <c r="E223" i="1"/>
  <c r="E69" i="1"/>
  <c r="E219" i="1"/>
  <c r="G92" i="1"/>
  <c r="G98" i="1"/>
  <c r="E74" i="1"/>
  <c r="G29" i="1"/>
  <c r="J91" i="1"/>
  <c r="G101" i="1"/>
  <c r="G140" i="1"/>
  <c r="G45" i="1"/>
  <c r="J60" i="1"/>
  <c r="E121" i="1"/>
  <c r="E41" i="1"/>
  <c r="E60" i="1"/>
  <c r="E105" i="1"/>
  <c r="G68" i="1"/>
  <c r="E220" i="1"/>
  <c r="G37" i="1"/>
  <c r="J85" i="1"/>
  <c r="E200" i="1"/>
  <c r="G171" i="1"/>
  <c r="K198" i="1"/>
  <c r="E45" i="1"/>
  <c r="E110" i="1"/>
  <c r="E148" i="1"/>
  <c r="K133" i="1"/>
  <c r="G168" i="1"/>
  <c r="E190" i="1"/>
  <c r="E83" i="1"/>
  <c r="G204" i="1"/>
  <c r="E37" i="1"/>
  <c r="E46" i="1"/>
  <c r="E18" i="1"/>
  <c r="E141" i="1"/>
  <c r="E124" i="1"/>
  <c r="E2" i="1"/>
  <c r="G17" i="1"/>
  <c r="K148" i="1"/>
  <c r="E49" i="1"/>
  <c r="G177" i="1"/>
  <c r="J39" i="1"/>
  <c r="E197" i="1"/>
  <c r="J33" i="1"/>
  <c r="E138" i="1"/>
  <c r="G170" i="1"/>
  <c r="E125" i="1"/>
  <c r="G200" i="1"/>
  <c r="E9" i="1"/>
  <c r="E24" i="1"/>
  <c r="E115" i="1"/>
  <c r="G205" i="1"/>
  <c r="E168" i="1"/>
  <c r="E180" i="1"/>
  <c r="E167" i="1"/>
  <c r="K56" i="1"/>
  <c r="E93" i="1"/>
  <c r="E29" i="1"/>
  <c r="E203" i="1"/>
  <c r="K204" i="1"/>
  <c r="E185" i="1"/>
  <c r="E42" i="1"/>
  <c r="N62" i="1"/>
  <c r="G62" i="1"/>
  <c r="G6" i="1"/>
  <c r="E179" i="1"/>
  <c r="E70" i="1"/>
  <c r="G30" i="1"/>
  <c r="N247" i="1"/>
  <c r="G55" i="1"/>
  <c r="K44" i="1"/>
  <c r="K194" i="1"/>
  <c r="J104" i="1"/>
  <c r="J52" i="1"/>
  <c r="J27" i="1"/>
  <c r="G149" i="1"/>
  <c r="J140" i="1"/>
  <c r="J83" i="1"/>
  <c r="E216" i="1"/>
  <c r="G47" i="1"/>
  <c r="E164" i="1"/>
  <c r="J192" i="1"/>
  <c r="E157" i="1"/>
  <c r="G36" i="1"/>
  <c r="J173" i="1"/>
  <c r="E206" i="1"/>
  <c r="J49" i="1"/>
  <c r="E25" i="1"/>
  <c r="E183" i="1"/>
  <c r="E82" i="1"/>
  <c r="J34" i="1"/>
  <c r="G240" i="1"/>
  <c r="J97" i="1"/>
  <c r="E8" i="1"/>
  <c r="G184" i="1"/>
  <c r="J130" i="1"/>
  <c r="G138" i="1"/>
  <c r="G38" i="1"/>
  <c r="E79" i="1"/>
  <c r="J237" i="1"/>
  <c r="G103" i="1"/>
  <c r="J136" i="1"/>
  <c r="E248" i="1"/>
  <c r="E250" i="1"/>
  <c r="E6" i="1"/>
  <c r="G100" i="1"/>
  <c r="G13" i="1"/>
  <c r="J249" i="1"/>
  <c r="E40" i="1"/>
  <c r="E189" i="1"/>
  <c r="E235" i="1"/>
  <c r="G242" i="1"/>
  <c r="J211" i="1"/>
  <c r="G159" i="1"/>
  <c r="E113" i="1"/>
  <c r="G4" i="1"/>
  <c r="J143" i="1"/>
  <c r="K150" i="1"/>
  <c r="AB209" i="1"/>
  <c r="AB180" i="1"/>
  <c r="AB195" i="1"/>
  <c r="J113" i="1"/>
  <c r="J141" i="1"/>
  <c r="K236" i="1"/>
  <c r="K73" i="1"/>
  <c r="G39" i="1"/>
  <c r="G110" i="1"/>
  <c r="G25" i="1"/>
  <c r="AB117" i="1"/>
  <c r="G215" i="1"/>
  <c r="J142" i="1"/>
  <c r="E131" i="1"/>
  <c r="E137" i="1"/>
  <c r="J121" i="1"/>
  <c r="G206" i="1"/>
  <c r="J247" i="1"/>
  <c r="E95" i="1"/>
  <c r="E166" i="1"/>
  <c r="E76" i="1"/>
  <c r="G70" i="1"/>
  <c r="E109" i="1"/>
  <c r="J160" i="1"/>
  <c r="E98" i="1"/>
  <c r="G96" i="1"/>
  <c r="E239" i="1"/>
  <c r="N231" i="1"/>
  <c r="G83" i="1"/>
  <c r="G231" i="1"/>
  <c r="E194" i="1"/>
  <c r="K120" i="1"/>
  <c r="G94" i="1"/>
  <c r="E160" i="1"/>
  <c r="G150" i="1"/>
  <c r="G143" i="1"/>
  <c r="J204" i="1"/>
  <c r="E81" i="1"/>
  <c r="E55" i="1"/>
  <c r="E133" i="1"/>
  <c r="G18" i="1"/>
  <c r="E147" i="1"/>
  <c r="G239" i="1"/>
  <c r="J224" i="1"/>
  <c r="G120" i="1"/>
  <c r="G246" i="1"/>
  <c r="E50" i="1"/>
  <c r="E7" i="1"/>
  <c r="G60" i="1"/>
  <c r="G151" i="1"/>
  <c r="G89" i="1"/>
  <c r="E238" i="1"/>
  <c r="G223" i="1"/>
  <c r="E173" i="1"/>
  <c r="G32" i="1"/>
  <c r="E26" i="1"/>
  <c r="E222" i="1"/>
  <c r="E122" i="1"/>
  <c r="J55" i="1"/>
  <c r="E101" i="1"/>
  <c r="K48" i="1"/>
  <c r="J112" i="1"/>
  <c r="G179" i="1"/>
  <c r="J76" i="1"/>
  <c r="G173" i="1"/>
  <c r="J187" i="1"/>
  <c r="J111" i="1"/>
  <c r="J178" i="1"/>
  <c r="E78" i="1"/>
  <c r="E193" i="1"/>
  <c r="J46" i="1"/>
  <c r="K81" i="1"/>
  <c r="J29" i="1"/>
  <c r="AB245" i="1"/>
  <c r="N81" i="1"/>
  <c r="J223" i="1"/>
  <c r="K115" i="1"/>
  <c r="K219" i="1"/>
  <c r="J147" i="1"/>
  <c r="E11" i="1"/>
  <c r="G107" i="1"/>
  <c r="E134" i="1"/>
  <c r="E23" i="1"/>
  <c r="J77" i="1"/>
  <c r="K202" i="1"/>
  <c r="E177" i="1"/>
  <c r="G116" i="1"/>
  <c r="G199" i="1"/>
  <c r="G153" i="1"/>
  <c r="E237" i="1"/>
  <c r="G186" i="1"/>
  <c r="G161" i="1"/>
  <c r="E51" i="1"/>
  <c r="E32" i="1"/>
  <c r="G124" i="1"/>
  <c r="E245" i="1"/>
  <c r="G67" i="1"/>
  <c r="G235" i="1"/>
  <c r="E145" i="1"/>
  <c r="K220" i="1"/>
  <c r="G201" i="1"/>
  <c r="N40" i="1"/>
  <c r="K203" i="1"/>
  <c r="N133" i="1"/>
  <c r="N25" i="1"/>
  <c r="G190" i="1"/>
  <c r="J176" i="1"/>
  <c r="K162" i="1"/>
  <c r="K51" i="1"/>
  <c r="J202" i="1"/>
  <c r="G196" i="1"/>
  <c r="G2" i="1"/>
  <c r="G52" i="1"/>
  <c r="J175" i="1"/>
  <c r="G79" i="1"/>
  <c r="K60" i="1"/>
  <c r="N60" i="1"/>
  <c r="G189" i="1"/>
  <c r="E143" i="1"/>
  <c r="G224" i="1"/>
  <c r="K39" i="1"/>
  <c r="G69" i="1"/>
  <c r="K52" i="1"/>
  <c r="N183" i="1"/>
  <c r="G80" i="1"/>
  <c r="E54" i="1"/>
  <c r="E104" i="1"/>
  <c r="J53" i="1"/>
  <c r="N112" i="1"/>
  <c r="G114" i="1"/>
  <c r="E34" i="1"/>
  <c r="E119" i="1"/>
  <c r="G214" i="1"/>
  <c r="N211" i="1"/>
  <c r="G164" i="1"/>
  <c r="E205" i="1"/>
  <c r="G163" i="1"/>
  <c r="G216" i="1"/>
  <c r="E100" i="1"/>
  <c r="E153" i="1"/>
  <c r="E152" i="1"/>
  <c r="E186" i="1"/>
  <c r="J213" i="1"/>
  <c r="E92" i="1"/>
  <c r="E5" i="1"/>
  <c r="K146" i="1"/>
  <c r="E128" i="1"/>
  <c r="E126" i="1"/>
  <c r="G129" i="1"/>
  <c r="E33" i="1"/>
  <c r="J145" i="1"/>
  <c r="K241" i="1"/>
  <c r="G202" i="1"/>
  <c r="J100" i="1"/>
  <c r="E218" i="1"/>
  <c r="E57" i="1"/>
  <c r="K240" i="1"/>
  <c r="G42" i="1"/>
  <c r="G77" i="1"/>
  <c r="E161" i="1"/>
  <c r="G91" i="1"/>
  <c r="N63" i="1"/>
  <c r="G243" i="1"/>
  <c r="E188" i="1"/>
  <c r="E28" i="1"/>
  <c r="E155" i="1"/>
  <c r="E163" i="1"/>
  <c r="G57" i="1"/>
  <c r="E111" i="1"/>
  <c r="N155" i="1"/>
  <c r="AB201" i="1"/>
  <c r="K112" i="1"/>
  <c r="K172" i="1"/>
  <c r="K46" i="1"/>
  <c r="G86" i="1"/>
  <c r="J131" i="1"/>
  <c r="N239" i="1"/>
  <c r="J233" i="1"/>
  <c r="G35" i="1"/>
  <c r="E170" i="1"/>
  <c r="N13" i="1"/>
  <c r="J128" i="1"/>
  <c r="J191" i="1"/>
  <c r="G165" i="1"/>
  <c r="E77" i="1"/>
  <c r="G146" i="1"/>
  <c r="K174" i="1"/>
  <c r="E233" i="1"/>
  <c r="G222" i="1"/>
  <c r="E215" i="1"/>
  <c r="N22" i="1"/>
  <c r="G244" i="1"/>
  <c r="G58" i="1"/>
  <c r="G136" i="1"/>
  <c r="G99" i="1"/>
  <c r="J61" i="1"/>
  <c r="G250" i="1"/>
  <c r="G44" i="1"/>
  <c r="G54" i="1"/>
  <c r="G56" i="1"/>
  <c r="E97" i="1"/>
  <c r="G180" i="1"/>
  <c r="J101" i="1"/>
  <c r="E86" i="1"/>
  <c r="G34" i="1"/>
  <c r="E227" i="1"/>
  <c r="E136" i="1"/>
  <c r="E112" i="1"/>
  <c r="E214" i="1"/>
  <c r="G234" i="1"/>
  <c r="J36" i="1"/>
  <c r="G8" i="1"/>
  <c r="G220" i="1"/>
  <c r="E31" i="1"/>
  <c r="G229" i="1"/>
  <c r="G227" i="1"/>
  <c r="E15" i="1"/>
  <c r="E176" i="1"/>
  <c r="G121" i="1"/>
  <c r="G87" i="1"/>
  <c r="G119" i="1"/>
  <c r="G64" i="1"/>
  <c r="E208" i="1"/>
  <c r="E72" i="1"/>
  <c r="E71" i="1"/>
  <c r="E207" i="1"/>
  <c r="J190" i="1"/>
  <c r="G61" i="1"/>
  <c r="K93" i="1"/>
  <c r="J227" i="1"/>
  <c r="K193" i="1"/>
  <c r="G76" i="1"/>
  <c r="G31" i="1"/>
  <c r="G71" i="1"/>
  <c r="G12" i="1"/>
  <c r="E94" i="1"/>
  <c r="E52" i="1"/>
  <c r="G191" i="1"/>
  <c r="G155" i="1"/>
  <c r="E130" i="1"/>
  <c r="E175" i="1"/>
  <c r="K131" i="1"/>
  <c r="G158" i="1"/>
  <c r="G11" i="1"/>
  <c r="K145" i="1"/>
  <c r="G118" i="1"/>
  <c r="G65" i="1"/>
  <c r="G97" i="1"/>
  <c r="G232" i="1"/>
  <c r="G210" i="1"/>
  <c r="E114" i="1"/>
  <c r="E66" i="1"/>
  <c r="E90" i="1"/>
  <c r="J195" i="1"/>
  <c r="E224" i="1"/>
  <c r="J67" i="1"/>
  <c r="E43" i="1"/>
  <c r="G46" i="1"/>
  <c r="E169" i="1"/>
  <c r="G198" i="1"/>
  <c r="K76" i="1"/>
  <c r="E198" i="1"/>
  <c r="E151" i="1"/>
  <c r="J107" i="1"/>
  <c r="E47" i="1"/>
  <c r="G251" i="1"/>
  <c r="E63" i="1"/>
  <c r="J228" i="1"/>
  <c r="E88" i="1"/>
  <c r="G247" i="1"/>
  <c r="G207" i="1"/>
  <c r="E247" i="1"/>
  <c r="E99" i="1"/>
  <c r="G209" i="1"/>
  <c r="J240" i="1"/>
  <c r="K243" i="1"/>
  <c r="E211" i="1"/>
  <c r="G50" i="1"/>
  <c r="G33" i="1"/>
  <c r="G26" i="1"/>
  <c r="E135" i="1"/>
  <c r="Y28" i="1" l="1"/>
  <c r="Y27" i="1"/>
  <c r="M36" i="1"/>
  <c r="L36" i="1"/>
  <c r="O22" i="1"/>
  <c r="P22" i="1"/>
  <c r="L191" i="1"/>
  <c r="M191" i="1"/>
  <c r="M53" i="1"/>
  <c r="L53" i="1"/>
  <c r="O60" i="1"/>
  <c r="P60" i="1"/>
  <c r="M224" i="1"/>
  <c r="L224" i="1"/>
  <c r="M121" i="1"/>
  <c r="L121" i="1"/>
  <c r="M49" i="1"/>
  <c r="L49" i="1"/>
  <c r="L192" i="1"/>
  <c r="M192" i="1"/>
  <c r="O247" i="1"/>
  <c r="P247" i="1"/>
  <c r="M39" i="1"/>
  <c r="L39" i="1"/>
  <c r="F75" i="1"/>
  <c r="F201" i="1"/>
  <c r="F29" i="1"/>
  <c r="F5" i="1"/>
  <c r="F246" i="1"/>
  <c r="F92" i="1"/>
  <c r="F25" i="1"/>
  <c r="F67" i="1"/>
  <c r="F131" i="1"/>
  <c r="F12" i="1"/>
  <c r="F118" i="1"/>
  <c r="F99" i="1"/>
  <c r="F206" i="1"/>
  <c r="F239" i="1"/>
  <c r="F79" i="1"/>
  <c r="F177" i="1"/>
  <c r="F72" i="1"/>
  <c r="F107" i="1"/>
  <c r="F175" i="1"/>
  <c r="F36" i="1"/>
  <c r="F115" i="1"/>
  <c r="F105" i="1"/>
  <c r="F145" i="1"/>
  <c r="F164" i="1"/>
  <c r="F43" i="1"/>
  <c r="F28" i="1"/>
  <c r="F60" i="1"/>
  <c r="F33" i="1"/>
  <c r="F41" i="1"/>
  <c r="F236" i="1"/>
  <c r="F158" i="1"/>
  <c r="F104" i="1"/>
  <c r="F130" i="1"/>
  <c r="F191" i="1"/>
  <c r="F51" i="1"/>
  <c r="F174" i="1"/>
  <c r="F232" i="1"/>
  <c r="F53" i="1"/>
  <c r="F31" i="1"/>
  <c r="F134" i="1"/>
  <c r="F103" i="1"/>
  <c r="F139" i="1"/>
  <c r="F214" i="1"/>
  <c r="F126" i="1"/>
  <c r="F240" i="1"/>
  <c r="F80" i="1"/>
  <c r="F45" i="1"/>
  <c r="F113" i="1"/>
  <c r="F204" i="1"/>
  <c r="F9" i="1"/>
  <c r="F58" i="1"/>
  <c r="F192" i="1"/>
  <c r="F76" i="1"/>
  <c r="F187" i="1"/>
  <c r="F223" i="1"/>
  <c r="F16" i="1"/>
  <c r="F132" i="1"/>
  <c r="F196" i="1"/>
  <c r="F225" i="1"/>
  <c r="F137" i="1"/>
  <c r="F250" i="1"/>
  <c r="F98" i="1"/>
  <c r="F112" i="1"/>
  <c r="F165" i="1"/>
  <c r="F63" i="1"/>
  <c r="F194" i="1"/>
  <c r="F182" i="1"/>
  <c r="F142" i="1"/>
  <c r="F121" i="1"/>
  <c r="F54" i="1"/>
  <c r="F124" i="1"/>
  <c r="F69" i="1"/>
  <c r="F219" i="1"/>
  <c r="F153" i="1"/>
  <c r="F21" i="1"/>
  <c r="F111" i="1"/>
  <c r="F73" i="1"/>
  <c r="F116" i="1"/>
  <c r="F68" i="1"/>
  <c r="F6" i="1"/>
  <c r="F35" i="1"/>
  <c r="F189" i="1"/>
  <c r="F179" i="1"/>
  <c r="F211" i="1"/>
  <c r="F215" i="1"/>
  <c r="F231" i="1"/>
  <c r="F247" i="1"/>
  <c r="F83" i="1"/>
  <c r="F245" i="1"/>
  <c r="F198" i="1"/>
  <c r="F208" i="1"/>
  <c r="F96" i="1"/>
  <c r="F30" i="1"/>
  <c r="F123" i="1"/>
  <c r="F178" i="1"/>
  <c r="F248" i="1"/>
  <c r="F37" i="1"/>
  <c r="F218" i="1"/>
  <c r="F149" i="1"/>
  <c r="F154" i="1"/>
  <c r="F148" i="1"/>
  <c r="F109" i="1"/>
  <c r="F169" i="1"/>
  <c r="F203" i="1"/>
  <c r="F81" i="1"/>
  <c r="F184" i="1"/>
  <c r="F32" i="1"/>
  <c r="F197" i="1"/>
  <c r="F224" i="1"/>
  <c r="F185" i="1"/>
  <c r="F106" i="1"/>
  <c r="F4" i="1"/>
  <c r="F167" i="1"/>
  <c r="F108" i="1"/>
  <c r="F146" i="1"/>
  <c r="F2" i="1"/>
  <c r="F55" i="1"/>
  <c r="F46" i="1"/>
  <c r="F89" i="1"/>
  <c r="F24" i="1"/>
  <c r="F249" i="1"/>
  <c r="F230" i="1"/>
  <c r="F242" i="1"/>
  <c r="F61" i="1"/>
  <c r="F155" i="1"/>
  <c r="F56" i="1"/>
  <c r="F237" i="1"/>
  <c r="F229" i="1"/>
  <c r="F94" i="1"/>
  <c r="F3" i="1"/>
  <c r="F222" i="1"/>
  <c r="F34" i="1"/>
  <c r="F166" i="1"/>
  <c r="F151" i="1"/>
  <c r="F23" i="1"/>
  <c r="F86" i="1"/>
  <c r="F38" i="1"/>
  <c r="F135" i="1"/>
  <c r="F27" i="1"/>
  <c r="F220" i="1"/>
  <c r="F8" i="1"/>
  <c r="F95" i="1"/>
  <c r="F90" i="1"/>
  <c r="F244" i="1"/>
  <c r="F181" i="1"/>
  <c r="F183" i="1"/>
  <c r="F42" i="1"/>
  <c r="F101" i="1"/>
  <c r="F173" i="1"/>
  <c r="F241" i="1"/>
  <c r="F162" i="1"/>
  <c r="F18" i="1"/>
  <c r="F205" i="1"/>
  <c r="F77" i="1"/>
  <c r="F120" i="1"/>
  <c r="F163" i="1"/>
  <c r="F235" i="1"/>
  <c r="F114" i="1"/>
  <c r="F40" i="1"/>
  <c r="F207" i="1"/>
  <c r="F156" i="1"/>
  <c r="F44" i="1"/>
  <c r="F93" i="1"/>
  <c r="F228" i="1"/>
  <c r="F152" i="1"/>
  <c r="F168" i="1"/>
  <c r="F234" i="1"/>
  <c r="F119" i="1"/>
  <c r="F117" i="1"/>
  <c r="F102" i="1"/>
  <c r="F110" i="1"/>
  <c r="F199" i="1"/>
  <c r="F22" i="1"/>
  <c r="F87" i="1"/>
  <c r="F200" i="1"/>
  <c r="F39" i="1"/>
  <c r="F157" i="1"/>
  <c r="F147" i="1"/>
  <c r="F195" i="1"/>
  <c r="F129" i="1"/>
  <c r="F171" i="1"/>
  <c r="F85" i="1"/>
  <c r="F57" i="1"/>
  <c r="F251" i="1"/>
  <c r="F144" i="1"/>
  <c r="F19" i="1"/>
  <c r="F243" i="1"/>
  <c r="F213" i="1"/>
  <c r="F216" i="1"/>
  <c r="F52" i="1"/>
  <c r="F26" i="1"/>
  <c r="F59" i="1"/>
  <c r="F217" i="1"/>
  <c r="F188" i="1"/>
  <c r="F15" i="1"/>
  <c r="F186" i="1"/>
  <c r="F14" i="1"/>
  <c r="F161" i="1"/>
  <c r="F47" i="1"/>
  <c r="F238" i="1"/>
  <c r="F233" i="1"/>
  <c r="F140" i="1"/>
  <c r="F65" i="1"/>
  <c r="F78" i="1"/>
  <c r="F88" i="1"/>
  <c r="F20" i="1"/>
  <c r="F133" i="1"/>
  <c r="F190" i="1"/>
  <c r="F91" i="1"/>
  <c r="F138" i="1"/>
  <c r="F84" i="1"/>
  <c r="F50" i="1"/>
  <c r="F172" i="1"/>
  <c r="F176" i="1"/>
  <c r="F48" i="1"/>
  <c r="F74" i="1"/>
  <c r="F127" i="1"/>
  <c r="F49" i="1"/>
  <c r="F62" i="1"/>
  <c r="F141" i="1"/>
  <c r="F82" i="1"/>
  <c r="F180" i="1"/>
  <c r="F70" i="1"/>
  <c r="F221" i="1"/>
  <c r="F227" i="1"/>
  <c r="F11" i="1"/>
  <c r="F128" i="1"/>
  <c r="F122" i="1"/>
  <c r="F170" i="1"/>
  <c r="F71" i="1"/>
  <c r="F97" i="1"/>
  <c r="F193" i="1"/>
  <c r="F150" i="1"/>
  <c r="F160" i="1"/>
  <c r="F17" i="1"/>
  <c r="F210" i="1"/>
  <c r="F13" i="1"/>
  <c r="F64" i="1"/>
  <c r="F226" i="1"/>
  <c r="F202" i="1"/>
  <c r="F212" i="1"/>
  <c r="F7" i="1"/>
  <c r="F159" i="1"/>
  <c r="F143" i="1"/>
  <c r="F10" i="1"/>
  <c r="F125" i="1"/>
  <c r="F209" i="1"/>
  <c r="F136" i="1"/>
  <c r="F66" i="1"/>
  <c r="F100" i="1"/>
  <c r="L85" i="1"/>
  <c r="M85" i="1"/>
  <c r="O201" i="1"/>
  <c r="P201" i="1"/>
  <c r="P23" i="1"/>
  <c r="O23" i="1"/>
  <c r="L89" i="1"/>
  <c r="M89" i="1"/>
  <c r="M81" i="1"/>
  <c r="L81" i="1"/>
  <c r="P204" i="1"/>
  <c r="O204" i="1"/>
  <c r="M218" i="1"/>
  <c r="L218" i="1"/>
  <c r="L86" i="1"/>
  <c r="M86" i="1"/>
  <c r="M124" i="1"/>
  <c r="L124" i="1"/>
  <c r="P12" i="1"/>
  <c r="O12" i="1"/>
  <c r="L37" i="1"/>
  <c r="M37" i="1"/>
  <c r="M64" i="1"/>
  <c r="L64" i="1"/>
  <c r="P43" i="1"/>
  <c r="O43" i="1"/>
  <c r="O19" i="1"/>
  <c r="P19" i="1"/>
  <c r="P189" i="1"/>
  <c r="O189" i="1"/>
  <c r="M220" i="1"/>
  <c r="L220" i="1"/>
  <c r="L50" i="1"/>
  <c r="M50" i="1"/>
  <c r="L120" i="1"/>
  <c r="M120" i="1"/>
  <c r="O42" i="1"/>
  <c r="P42" i="1"/>
  <c r="P47" i="1"/>
  <c r="O47" i="1"/>
  <c r="L169" i="1"/>
  <c r="M169" i="1"/>
  <c r="L164" i="1"/>
  <c r="M164" i="1"/>
  <c r="L203" i="1"/>
  <c r="M203" i="1"/>
  <c r="O158" i="1"/>
  <c r="P158" i="1"/>
  <c r="O97" i="1"/>
  <c r="P97" i="1"/>
  <c r="L105" i="1"/>
  <c r="M105" i="1"/>
  <c r="L40" i="1"/>
  <c r="M40" i="1"/>
  <c r="L28" i="1"/>
  <c r="M28" i="1"/>
  <c r="O65" i="1"/>
  <c r="P65" i="1"/>
  <c r="O92" i="1"/>
  <c r="P92" i="1"/>
  <c r="P93" i="1"/>
  <c r="O93" i="1"/>
  <c r="O137" i="1"/>
  <c r="P137" i="1"/>
  <c r="P230" i="1"/>
  <c r="O230" i="1"/>
  <c r="P26" i="1"/>
  <c r="O26" i="1"/>
  <c r="O33" i="1"/>
  <c r="P33" i="1"/>
  <c r="O16" i="1"/>
  <c r="P16" i="1"/>
  <c r="O45" i="1"/>
  <c r="P45" i="1"/>
  <c r="P220" i="1"/>
  <c r="O220" i="1"/>
  <c r="O143" i="1"/>
  <c r="P143" i="1"/>
  <c r="P145" i="1"/>
  <c r="O145" i="1"/>
  <c r="M228" i="1"/>
  <c r="L228" i="1"/>
  <c r="L90" i="1"/>
  <c r="M90" i="1"/>
  <c r="M163" i="1"/>
  <c r="L163" i="1"/>
  <c r="P199" i="1"/>
  <c r="O199" i="1"/>
  <c r="L236" i="1"/>
  <c r="M236" i="1"/>
  <c r="P116" i="1"/>
  <c r="O116" i="1"/>
  <c r="L159" i="1"/>
  <c r="M159" i="1"/>
  <c r="O146" i="1"/>
  <c r="P146" i="1"/>
  <c r="O50" i="1"/>
  <c r="P50" i="1"/>
  <c r="P20" i="1"/>
  <c r="O20" i="1"/>
  <c r="O194" i="1"/>
  <c r="P194" i="1"/>
  <c r="M93" i="1"/>
  <c r="L93" i="1"/>
  <c r="M95" i="1"/>
  <c r="L95" i="1"/>
  <c r="L103" i="1"/>
  <c r="M103" i="1"/>
  <c r="L87" i="1"/>
  <c r="M87" i="1"/>
  <c r="O140" i="1"/>
  <c r="P140" i="1"/>
  <c r="P144" i="1"/>
  <c r="O144" i="1"/>
  <c r="O118" i="1"/>
  <c r="P118" i="1"/>
  <c r="P28" i="1"/>
  <c r="O28" i="1"/>
  <c r="O115" i="1"/>
  <c r="P115" i="1"/>
  <c r="O222" i="1"/>
  <c r="P222" i="1"/>
  <c r="P152" i="1"/>
  <c r="O152" i="1"/>
  <c r="P104" i="1"/>
  <c r="O104" i="1"/>
  <c r="O78" i="1"/>
  <c r="P78" i="1"/>
  <c r="O217" i="1"/>
  <c r="P217" i="1"/>
  <c r="O186" i="1"/>
  <c r="P186" i="1"/>
  <c r="P150" i="1"/>
  <c r="O150" i="1"/>
  <c r="O71" i="1"/>
  <c r="P71" i="1"/>
  <c r="P139" i="1"/>
  <c r="O139" i="1"/>
  <c r="L240" i="1"/>
  <c r="M240" i="1"/>
  <c r="O155" i="1"/>
  <c r="P155" i="1"/>
  <c r="O25" i="1"/>
  <c r="P25" i="1"/>
  <c r="M178" i="1"/>
  <c r="L178" i="1"/>
  <c r="M112" i="1"/>
  <c r="L112" i="1"/>
  <c r="L249" i="1"/>
  <c r="M249" i="1"/>
  <c r="M33" i="1"/>
  <c r="L33" i="1"/>
  <c r="L60" i="1"/>
  <c r="M60" i="1"/>
  <c r="M91" i="1"/>
  <c r="L91" i="1"/>
  <c r="P156" i="1"/>
  <c r="O156" i="1"/>
  <c r="M225" i="1"/>
  <c r="L225" i="1"/>
  <c r="M32" i="1"/>
  <c r="L32" i="1"/>
  <c r="L26" i="1"/>
  <c r="M26" i="1"/>
  <c r="O161" i="1"/>
  <c r="P161" i="1"/>
  <c r="O46" i="1"/>
  <c r="P46" i="1"/>
  <c r="M239" i="1"/>
  <c r="L239" i="1"/>
  <c r="M230" i="1"/>
  <c r="L230" i="1"/>
  <c r="L44" i="1"/>
  <c r="M44" i="1"/>
  <c r="M126" i="1"/>
  <c r="L126" i="1"/>
  <c r="P159" i="1"/>
  <c r="O159" i="1"/>
  <c r="O215" i="1"/>
  <c r="P215" i="1"/>
  <c r="O4" i="1"/>
  <c r="P4" i="1"/>
  <c r="L38" i="1"/>
  <c r="M38" i="1"/>
  <c r="O170" i="1"/>
  <c r="P170" i="1"/>
  <c r="P58" i="1"/>
  <c r="O58" i="1"/>
  <c r="O250" i="1"/>
  <c r="P250" i="1"/>
  <c r="O39" i="1"/>
  <c r="P39" i="1"/>
  <c r="M185" i="1"/>
  <c r="L185" i="1"/>
  <c r="L242" i="1"/>
  <c r="M242" i="1"/>
  <c r="O174" i="1"/>
  <c r="P174" i="1"/>
  <c r="P8" i="1"/>
  <c r="O8" i="1"/>
  <c r="O124" i="1"/>
  <c r="P124" i="1"/>
  <c r="O237" i="1"/>
  <c r="P237" i="1"/>
  <c r="P106" i="1"/>
  <c r="O106" i="1"/>
  <c r="L206" i="1"/>
  <c r="M206" i="1"/>
  <c r="M222" i="1"/>
  <c r="L222" i="1"/>
  <c r="M57" i="1"/>
  <c r="L57" i="1"/>
  <c r="L122" i="1"/>
  <c r="M122" i="1"/>
  <c r="P89" i="1"/>
  <c r="O89" i="1"/>
  <c r="L68" i="1"/>
  <c r="M68" i="1"/>
  <c r="L180" i="1"/>
  <c r="M180" i="1"/>
  <c r="M78" i="1"/>
  <c r="L78" i="1"/>
  <c r="M48" i="1"/>
  <c r="L48" i="1"/>
  <c r="M94" i="1"/>
  <c r="L94" i="1"/>
  <c r="O128" i="1"/>
  <c r="P128" i="1"/>
  <c r="O206" i="1"/>
  <c r="P206" i="1"/>
  <c r="P236" i="1"/>
  <c r="O236" i="1"/>
  <c r="P234" i="1"/>
  <c r="O234" i="1"/>
  <c r="O103" i="1"/>
  <c r="P103" i="1"/>
  <c r="P169" i="1"/>
  <c r="O169" i="1"/>
  <c r="O6" i="1"/>
  <c r="P6" i="1"/>
  <c r="P74" i="1"/>
  <c r="O74" i="1"/>
  <c r="P165" i="1"/>
  <c r="O165" i="1"/>
  <c r="P51" i="1"/>
  <c r="O51" i="1"/>
  <c r="P56" i="1"/>
  <c r="O56" i="1"/>
  <c r="O34" i="1"/>
  <c r="P34" i="1"/>
  <c r="M247" i="1"/>
  <c r="L247" i="1"/>
  <c r="L140" i="1"/>
  <c r="M140" i="1"/>
  <c r="P62" i="1"/>
  <c r="O62" i="1"/>
  <c r="M66" i="1"/>
  <c r="L66" i="1"/>
  <c r="O154" i="1"/>
  <c r="P154" i="1"/>
  <c r="L63" i="1"/>
  <c r="M63" i="1"/>
  <c r="M251" i="1"/>
  <c r="L251" i="1"/>
  <c r="M212" i="1"/>
  <c r="L212" i="1"/>
  <c r="M170" i="1"/>
  <c r="L170" i="1"/>
  <c r="O94" i="1"/>
  <c r="P94" i="1"/>
  <c r="O244" i="1"/>
  <c r="P244" i="1"/>
  <c r="M59" i="1"/>
  <c r="L59" i="1"/>
  <c r="L167" i="1"/>
  <c r="M167" i="1"/>
  <c r="M207" i="1"/>
  <c r="L207" i="1"/>
  <c r="O70" i="1"/>
  <c r="P70" i="1"/>
  <c r="L248" i="1"/>
  <c r="M248" i="1"/>
  <c r="O243" i="1"/>
  <c r="P243" i="1"/>
  <c r="L128" i="1"/>
  <c r="M128" i="1"/>
  <c r="P239" i="1"/>
  <c r="O239" i="1"/>
  <c r="M100" i="1"/>
  <c r="L100" i="1"/>
  <c r="M202" i="1"/>
  <c r="L202" i="1"/>
  <c r="M147" i="1"/>
  <c r="L147" i="1"/>
  <c r="M223" i="1"/>
  <c r="L223" i="1"/>
  <c r="L46" i="1"/>
  <c r="M46" i="1"/>
  <c r="M111" i="1"/>
  <c r="L111" i="1"/>
  <c r="L141" i="1"/>
  <c r="M141" i="1"/>
  <c r="L143" i="1"/>
  <c r="M143" i="1"/>
  <c r="L136" i="1"/>
  <c r="M136" i="1"/>
  <c r="L97" i="1"/>
  <c r="M97" i="1"/>
  <c r="M173" i="1"/>
  <c r="L173" i="1"/>
  <c r="M52" i="1"/>
  <c r="L52" i="1"/>
  <c r="M132" i="1"/>
  <c r="L132" i="1"/>
  <c r="P113" i="1"/>
  <c r="O113" i="1"/>
  <c r="L232" i="1"/>
  <c r="M232" i="1"/>
  <c r="O31" i="1"/>
  <c r="P31" i="1"/>
  <c r="M24" i="1"/>
  <c r="L24" i="1"/>
  <c r="P3" i="1"/>
  <c r="O3" i="1"/>
  <c r="L98" i="1"/>
  <c r="M98" i="1"/>
  <c r="L92" i="1"/>
  <c r="M92" i="1"/>
  <c r="L123" i="1"/>
  <c r="M123" i="1"/>
  <c r="L35" i="1"/>
  <c r="M35" i="1"/>
  <c r="M84" i="1"/>
  <c r="L84" i="1"/>
  <c r="O228" i="1"/>
  <c r="P228" i="1"/>
  <c r="L201" i="1"/>
  <c r="M201" i="1"/>
  <c r="M229" i="1"/>
  <c r="L229" i="1"/>
  <c r="L166" i="1"/>
  <c r="M166" i="1"/>
  <c r="O197" i="1"/>
  <c r="P197" i="1"/>
  <c r="M88" i="1"/>
  <c r="L88" i="1"/>
  <c r="O248" i="1"/>
  <c r="P248" i="1"/>
  <c r="P235" i="1"/>
  <c r="O235" i="1"/>
  <c r="L41" i="1"/>
  <c r="M41" i="1"/>
  <c r="P193" i="1"/>
  <c r="O193" i="1"/>
  <c r="L183" i="1"/>
  <c r="M183" i="1"/>
  <c r="M25" i="1"/>
  <c r="L25" i="1"/>
  <c r="O24" i="1"/>
  <c r="P24" i="1"/>
  <c r="M54" i="1"/>
  <c r="L54" i="1"/>
  <c r="L246" i="1"/>
  <c r="M246" i="1"/>
  <c r="P136" i="1"/>
  <c r="O136" i="1"/>
  <c r="P148" i="1"/>
  <c r="O148" i="1"/>
  <c r="P86" i="1"/>
  <c r="O86" i="1"/>
  <c r="L146" i="1"/>
  <c r="M146" i="1"/>
  <c r="P147" i="1"/>
  <c r="O147" i="1"/>
  <c r="P30" i="1"/>
  <c r="O30" i="1"/>
  <c r="P241" i="1"/>
  <c r="O241" i="1"/>
  <c r="O190" i="1"/>
  <c r="P190" i="1"/>
  <c r="M125" i="1"/>
  <c r="L125" i="1"/>
  <c r="M177" i="1"/>
  <c r="L177" i="1"/>
  <c r="P249" i="1"/>
  <c r="O249" i="1"/>
  <c r="P85" i="1"/>
  <c r="O85" i="1"/>
  <c r="O41" i="1"/>
  <c r="P41" i="1"/>
  <c r="P64" i="1"/>
  <c r="O64" i="1"/>
  <c r="P110" i="1"/>
  <c r="O110" i="1"/>
  <c r="P27" i="1"/>
  <c r="O27" i="1"/>
  <c r="P38" i="1"/>
  <c r="O38" i="1"/>
  <c r="O160" i="1"/>
  <c r="P160" i="1"/>
  <c r="P134" i="1"/>
  <c r="O134" i="1"/>
  <c r="P202" i="1"/>
  <c r="O202" i="1"/>
  <c r="P229" i="1"/>
  <c r="O229" i="1"/>
  <c r="O88" i="1"/>
  <c r="P88" i="1"/>
  <c r="P203" i="1"/>
  <c r="O203" i="1"/>
  <c r="O162" i="1"/>
  <c r="P162" i="1"/>
  <c r="M150" i="1"/>
  <c r="L150" i="1"/>
  <c r="O5" i="1"/>
  <c r="P5" i="1"/>
  <c r="O77" i="1"/>
  <c r="P77" i="1"/>
  <c r="P121" i="1"/>
  <c r="O121" i="1"/>
  <c r="O59" i="1"/>
  <c r="P59" i="1"/>
  <c r="P192" i="1"/>
  <c r="O192" i="1"/>
  <c r="P231" i="1"/>
  <c r="O231" i="1"/>
  <c r="L130" i="1"/>
  <c r="M130" i="1"/>
  <c r="L83" i="1"/>
  <c r="M83" i="1"/>
  <c r="L27" i="1"/>
  <c r="M27" i="1"/>
  <c r="L151" i="1"/>
  <c r="M151" i="1"/>
  <c r="P83" i="1"/>
  <c r="O83" i="1"/>
  <c r="O11" i="1"/>
  <c r="P11" i="1"/>
  <c r="L189" i="1"/>
  <c r="M189" i="1"/>
  <c r="M70" i="1"/>
  <c r="L70" i="1"/>
  <c r="M200" i="1"/>
  <c r="L200" i="1"/>
  <c r="L226" i="1"/>
  <c r="M226" i="1"/>
  <c r="P191" i="1"/>
  <c r="O191" i="1"/>
  <c r="L196" i="1"/>
  <c r="M196" i="1"/>
  <c r="L96" i="1"/>
  <c r="M96" i="1"/>
  <c r="M43" i="1"/>
  <c r="L43" i="1"/>
  <c r="M79" i="1"/>
  <c r="L79" i="1"/>
  <c r="L119" i="1"/>
  <c r="M119" i="1"/>
  <c r="L235" i="1"/>
  <c r="M235" i="1"/>
  <c r="P57" i="1"/>
  <c r="O57" i="1"/>
  <c r="L157" i="1"/>
  <c r="M157" i="1"/>
  <c r="L108" i="1"/>
  <c r="M108" i="1"/>
  <c r="O232" i="1"/>
  <c r="P232" i="1"/>
  <c r="P48" i="1"/>
  <c r="O48" i="1"/>
  <c r="M118" i="1"/>
  <c r="L118" i="1"/>
  <c r="M171" i="1"/>
  <c r="L171" i="1"/>
  <c r="L139" i="1"/>
  <c r="M139" i="1"/>
  <c r="P177" i="1"/>
  <c r="O177" i="1"/>
  <c r="M31" i="1"/>
  <c r="L31" i="1"/>
  <c r="P210" i="1"/>
  <c r="O210" i="1"/>
  <c r="L135" i="1"/>
  <c r="M135" i="1"/>
  <c r="O149" i="1"/>
  <c r="P149" i="1"/>
  <c r="M205" i="1"/>
  <c r="L205" i="1"/>
  <c r="L184" i="1"/>
  <c r="M184" i="1"/>
  <c r="L23" i="1"/>
  <c r="M23" i="1"/>
  <c r="O187" i="1"/>
  <c r="P187" i="1"/>
  <c r="M199" i="1"/>
  <c r="L199" i="1"/>
  <c r="L161" i="1"/>
  <c r="M161" i="1"/>
  <c r="P251" i="1"/>
  <c r="O251" i="1"/>
  <c r="P18" i="1"/>
  <c r="O18" i="1"/>
  <c r="P173" i="1"/>
  <c r="O173" i="1"/>
  <c r="L244" i="1"/>
  <c r="M244" i="1"/>
  <c r="M188" i="1"/>
  <c r="L188" i="1"/>
  <c r="M214" i="1"/>
  <c r="L214" i="1"/>
  <c r="O227" i="1"/>
  <c r="P227" i="1"/>
  <c r="P242" i="1"/>
  <c r="O242" i="1"/>
  <c r="P207" i="1"/>
  <c r="O207" i="1"/>
  <c r="P79" i="1"/>
  <c r="O79" i="1"/>
  <c r="O196" i="1"/>
  <c r="P196" i="1"/>
  <c r="O221" i="1"/>
  <c r="P221" i="1"/>
  <c r="P17" i="1"/>
  <c r="O17" i="1"/>
  <c r="P87" i="1"/>
  <c r="O87" i="1"/>
  <c r="P111" i="1"/>
  <c r="O111" i="1"/>
  <c r="O29" i="1"/>
  <c r="P29" i="1"/>
  <c r="O219" i="1"/>
  <c r="P219" i="1"/>
  <c r="P90" i="1"/>
  <c r="O90" i="1"/>
  <c r="O80" i="1"/>
  <c r="P80" i="1"/>
  <c r="P132" i="1"/>
  <c r="O132" i="1"/>
  <c r="P54" i="1"/>
  <c r="O54" i="1"/>
  <c r="M233" i="1"/>
  <c r="L233" i="1"/>
  <c r="L195" i="1"/>
  <c r="M195" i="1"/>
  <c r="M61" i="1"/>
  <c r="L61" i="1"/>
  <c r="O81" i="1"/>
  <c r="P81" i="1"/>
  <c r="L107" i="1"/>
  <c r="M107" i="1"/>
  <c r="L213" i="1"/>
  <c r="M213" i="1"/>
  <c r="M175" i="1"/>
  <c r="L175" i="1"/>
  <c r="M187" i="1"/>
  <c r="L187" i="1"/>
  <c r="M55" i="1"/>
  <c r="L55" i="1"/>
  <c r="L160" i="1"/>
  <c r="M160" i="1"/>
  <c r="L113" i="1"/>
  <c r="M113" i="1"/>
  <c r="M237" i="1"/>
  <c r="L237" i="1"/>
  <c r="L104" i="1"/>
  <c r="M104" i="1"/>
  <c r="L129" i="1"/>
  <c r="M129" i="1"/>
  <c r="M179" i="1"/>
  <c r="L179" i="1"/>
  <c r="P225" i="1"/>
  <c r="O225" i="1"/>
  <c r="L102" i="1"/>
  <c r="M102" i="1"/>
  <c r="M194" i="1"/>
  <c r="L194" i="1"/>
  <c r="M209" i="1"/>
  <c r="L209" i="1"/>
  <c r="L152" i="1"/>
  <c r="M152" i="1"/>
  <c r="M62" i="1"/>
  <c r="L62" i="1"/>
  <c r="L219" i="1"/>
  <c r="M219" i="1"/>
  <c r="O226" i="1"/>
  <c r="P226" i="1"/>
  <c r="L208" i="1"/>
  <c r="M208" i="1"/>
  <c r="L117" i="1"/>
  <c r="M117" i="1"/>
  <c r="L217" i="1"/>
  <c r="M217" i="1"/>
  <c r="M72" i="1"/>
  <c r="L72" i="1"/>
  <c r="L153" i="1"/>
  <c r="M153" i="1"/>
  <c r="M99" i="1"/>
  <c r="L99" i="1"/>
  <c r="M148" i="1"/>
  <c r="L148" i="1"/>
  <c r="P44" i="1"/>
  <c r="O44" i="1"/>
  <c r="L186" i="1"/>
  <c r="M186" i="1"/>
  <c r="L109" i="1"/>
  <c r="M109" i="1"/>
  <c r="M45" i="1"/>
  <c r="L45" i="1"/>
  <c r="M155" i="1"/>
  <c r="L155" i="1"/>
  <c r="P82" i="1"/>
  <c r="O82" i="1"/>
  <c r="M115" i="1"/>
  <c r="L115" i="1"/>
  <c r="L51" i="1"/>
  <c r="M51" i="1"/>
  <c r="P9" i="1"/>
  <c r="O9" i="1"/>
  <c r="M182" i="1"/>
  <c r="L182" i="1"/>
  <c r="P99" i="1"/>
  <c r="O99" i="1"/>
  <c r="P172" i="1"/>
  <c r="O172" i="1"/>
  <c r="P233" i="1"/>
  <c r="O233" i="1"/>
  <c r="O216" i="1"/>
  <c r="P216" i="1"/>
  <c r="P246" i="1"/>
  <c r="O246" i="1"/>
  <c r="L234" i="1"/>
  <c r="M234" i="1"/>
  <c r="P218" i="1"/>
  <c r="O218" i="1"/>
  <c r="M158" i="1"/>
  <c r="L158" i="1"/>
  <c r="P36" i="1"/>
  <c r="O36" i="1"/>
  <c r="M168" i="1"/>
  <c r="L168" i="1"/>
  <c r="O164" i="1"/>
  <c r="P164" i="1"/>
  <c r="P66" i="1"/>
  <c r="O66" i="1"/>
  <c r="M22" i="1"/>
  <c r="L22" i="1"/>
  <c r="O157" i="1"/>
  <c r="P157" i="1"/>
  <c r="P138" i="1"/>
  <c r="O138" i="1"/>
  <c r="L197" i="1"/>
  <c r="M197" i="1"/>
  <c r="L127" i="1"/>
  <c r="M127" i="1"/>
  <c r="O67" i="1"/>
  <c r="P67" i="1"/>
  <c r="P198" i="1"/>
  <c r="O198" i="1"/>
  <c r="O73" i="1"/>
  <c r="P73" i="1"/>
  <c r="O180" i="1"/>
  <c r="P180" i="1"/>
  <c r="O84" i="1"/>
  <c r="P84" i="1"/>
  <c r="O76" i="1"/>
  <c r="P76" i="1"/>
  <c r="P176" i="1"/>
  <c r="O176" i="1"/>
  <c r="O117" i="1"/>
  <c r="P117" i="1"/>
  <c r="P122" i="1"/>
  <c r="O122" i="1"/>
  <c r="O200" i="1"/>
  <c r="P200" i="1"/>
  <c r="O7" i="1"/>
  <c r="P7" i="1"/>
  <c r="P75" i="1"/>
  <c r="O75" i="1"/>
  <c r="P182" i="1"/>
  <c r="O182" i="1"/>
  <c r="O100" i="1"/>
  <c r="P100" i="1"/>
  <c r="O175" i="1"/>
  <c r="P175" i="1"/>
  <c r="P126" i="1"/>
  <c r="O126" i="1"/>
  <c r="O35" i="1"/>
  <c r="P35" i="1"/>
  <c r="P125" i="1"/>
  <c r="O125" i="1"/>
  <c r="P168" i="1"/>
  <c r="O168" i="1"/>
  <c r="O142" i="1"/>
  <c r="P142" i="1"/>
  <c r="P108" i="1"/>
  <c r="O108" i="1"/>
  <c r="P13" i="1"/>
  <c r="O13" i="1"/>
  <c r="P133" i="1"/>
  <c r="O133" i="1"/>
  <c r="L67" i="1"/>
  <c r="M67" i="1"/>
  <c r="L131" i="1"/>
  <c r="M131" i="1"/>
  <c r="O63" i="1"/>
  <c r="P63" i="1"/>
  <c r="P40" i="1"/>
  <c r="O40" i="1"/>
  <c r="L193" i="1"/>
  <c r="M193" i="1"/>
  <c r="M149" i="1"/>
  <c r="L149" i="1"/>
  <c r="L65" i="1"/>
  <c r="M65" i="1"/>
  <c r="M74" i="1"/>
  <c r="L74" i="1"/>
  <c r="M75" i="1"/>
  <c r="L75" i="1"/>
  <c r="M250" i="1"/>
  <c r="L250" i="1"/>
  <c r="M144" i="1"/>
  <c r="L144" i="1"/>
  <c r="M80" i="1"/>
  <c r="L80" i="1"/>
  <c r="P32" i="1"/>
  <c r="O32" i="1"/>
  <c r="P205" i="1"/>
  <c r="O205" i="1"/>
  <c r="O212" i="1"/>
  <c r="P212" i="1"/>
  <c r="P72" i="1"/>
  <c r="O72" i="1"/>
  <c r="M73" i="1"/>
  <c r="L73" i="1"/>
  <c r="P153" i="1"/>
  <c r="O153" i="1"/>
  <c r="P130" i="1"/>
  <c r="O130" i="1"/>
  <c r="O37" i="1"/>
  <c r="P37" i="1"/>
  <c r="L210" i="1"/>
  <c r="M210" i="1"/>
  <c r="M138" i="1"/>
  <c r="L138" i="1"/>
  <c r="P240" i="1"/>
  <c r="O240" i="1"/>
  <c r="P181" i="1"/>
  <c r="O181" i="1"/>
  <c r="M106" i="1"/>
  <c r="L106" i="1"/>
  <c r="L231" i="1"/>
  <c r="M231" i="1"/>
  <c r="L238" i="1"/>
  <c r="M238" i="1"/>
  <c r="O185" i="1"/>
  <c r="P185" i="1"/>
  <c r="P151" i="1"/>
  <c r="O151" i="1"/>
  <c r="L245" i="1"/>
  <c r="M245" i="1"/>
  <c r="P188" i="1"/>
  <c r="O188" i="1"/>
  <c r="O120" i="1"/>
  <c r="P120" i="1"/>
  <c r="P105" i="1"/>
  <c r="O105" i="1"/>
  <c r="L215" i="1"/>
  <c r="M215" i="1"/>
  <c r="M69" i="1"/>
  <c r="L69" i="1"/>
  <c r="M110" i="1"/>
  <c r="L110" i="1"/>
  <c r="P119" i="1"/>
  <c r="O119" i="1"/>
  <c r="P245" i="1"/>
  <c r="O245" i="1"/>
  <c r="P135" i="1"/>
  <c r="O135" i="1"/>
  <c r="O49" i="1"/>
  <c r="P49" i="1"/>
  <c r="P10" i="1"/>
  <c r="O10" i="1"/>
  <c r="O209" i="1"/>
  <c r="P209" i="1"/>
  <c r="P95" i="1"/>
  <c r="O95" i="1"/>
  <c r="P163" i="1"/>
  <c r="O163" i="1"/>
  <c r="O195" i="1"/>
  <c r="P195" i="1"/>
  <c r="O68" i="1"/>
  <c r="P68" i="1"/>
  <c r="P167" i="1"/>
  <c r="O167" i="1"/>
  <c r="O96" i="1"/>
  <c r="P96" i="1"/>
  <c r="L190" i="1"/>
  <c r="M190" i="1"/>
  <c r="M101" i="1"/>
  <c r="L101" i="1"/>
  <c r="P183" i="1"/>
  <c r="O183" i="1"/>
  <c r="M176" i="1"/>
  <c r="L176" i="1"/>
  <c r="L29" i="1"/>
  <c r="M29" i="1"/>
  <c r="M42" i="1"/>
  <c r="L42" i="1"/>
  <c r="M58" i="1"/>
  <c r="L58" i="1"/>
  <c r="P166" i="1"/>
  <c r="O166" i="1"/>
  <c r="P171" i="1"/>
  <c r="O171" i="1"/>
  <c r="W30" i="1"/>
  <c r="M227" i="1"/>
  <c r="L227" i="1"/>
  <c r="M145" i="1"/>
  <c r="L145" i="1"/>
  <c r="P211" i="1"/>
  <c r="O211" i="1"/>
  <c r="P112" i="1"/>
  <c r="O112" i="1"/>
  <c r="L77" i="1"/>
  <c r="M77" i="1"/>
  <c r="M76" i="1"/>
  <c r="L76" i="1"/>
  <c r="L204" i="1"/>
  <c r="M204" i="1"/>
  <c r="M142" i="1"/>
  <c r="L142" i="1"/>
  <c r="M211" i="1"/>
  <c r="L211" i="1"/>
  <c r="L34" i="1"/>
  <c r="M34" i="1"/>
  <c r="P14" i="1"/>
  <c r="O14" i="1"/>
  <c r="P131" i="1"/>
  <c r="O131" i="1"/>
  <c r="L165" i="1"/>
  <c r="M165" i="1"/>
  <c r="O15" i="1"/>
  <c r="P15" i="1"/>
  <c r="M133" i="1"/>
  <c r="L133" i="1"/>
  <c r="P223" i="1"/>
  <c r="O223" i="1"/>
  <c r="O101" i="1"/>
  <c r="P101" i="1"/>
  <c r="L30" i="1"/>
  <c r="M30" i="1"/>
  <c r="L21" i="1"/>
  <c r="M21" i="1"/>
  <c r="L241" i="1"/>
  <c r="M241" i="1"/>
  <c r="L243" i="1"/>
  <c r="M243" i="1"/>
  <c r="M198" i="1"/>
  <c r="L198" i="1"/>
  <c r="L134" i="1"/>
  <c r="M134" i="1"/>
  <c r="L181" i="1"/>
  <c r="M181" i="1"/>
  <c r="M174" i="1"/>
  <c r="L174" i="1"/>
  <c r="O109" i="1"/>
  <c r="P109" i="1"/>
  <c r="L114" i="1"/>
  <c r="M114" i="1"/>
  <c r="L154" i="1"/>
  <c r="M154" i="1"/>
  <c r="O141" i="1"/>
  <c r="P141" i="1"/>
  <c r="L47" i="1"/>
  <c r="M47" i="1"/>
  <c r="M172" i="1"/>
  <c r="L172" i="1"/>
  <c r="M71" i="1"/>
  <c r="L71" i="1"/>
  <c r="L162" i="1"/>
  <c r="M162" i="1"/>
  <c r="L216" i="1"/>
  <c r="M216" i="1"/>
  <c r="P178" i="1"/>
  <c r="O178" i="1"/>
  <c r="O61" i="1"/>
  <c r="P61" i="1"/>
  <c r="M116" i="1"/>
  <c r="L116" i="1"/>
  <c r="P213" i="1"/>
  <c r="O213" i="1"/>
  <c r="M56" i="1"/>
  <c r="L56" i="1"/>
  <c r="P208" i="1"/>
  <c r="O208" i="1"/>
  <c r="M221" i="1"/>
  <c r="L221" i="1"/>
  <c r="L137" i="1"/>
  <c r="M137" i="1"/>
  <c r="P179" i="1"/>
  <c r="O179" i="1"/>
  <c r="O21" i="1"/>
  <c r="P21" i="1"/>
  <c r="M82" i="1"/>
  <c r="L82" i="1"/>
  <c r="L156" i="1"/>
  <c r="M156" i="1"/>
  <c r="P184" i="1"/>
  <c r="O184" i="1"/>
  <c r="P127" i="1"/>
  <c r="O127" i="1"/>
  <c r="P52" i="1"/>
  <c r="O52" i="1"/>
  <c r="P98" i="1"/>
  <c r="O98" i="1"/>
  <c r="O69" i="1"/>
  <c r="P69" i="1"/>
  <c r="P107" i="1"/>
  <c r="O107" i="1"/>
  <c r="O214" i="1"/>
  <c r="P214" i="1"/>
  <c r="P123" i="1"/>
  <c r="O123" i="1"/>
  <c r="O238" i="1"/>
  <c r="P238" i="1"/>
  <c r="P91" i="1"/>
  <c r="O91" i="1"/>
  <c r="P102" i="1"/>
  <c r="O102" i="1"/>
  <c r="P224" i="1"/>
  <c r="O224" i="1"/>
  <c r="P55" i="1"/>
  <c r="O55" i="1"/>
  <c r="P129" i="1"/>
  <c r="O129" i="1"/>
  <c r="O53" i="1"/>
  <c r="P53" i="1"/>
  <c r="P114" i="1"/>
  <c r="O114" i="1"/>
  <c r="H171" i="1" l="1"/>
  <c r="I171" i="1"/>
  <c r="R15" i="1"/>
  <c r="H143" i="1"/>
  <c r="I143" i="1"/>
  <c r="I17" i="1"/>
  <c r="H17" i="1"/>
  <c r="I122" i="1"/>
  <c r="H122" i="1"/>
  <c r="H227" i="1"/>
  <c r="I227" i="1"/>
  <c r="H62" i="1"/>
  <c r="I62" i="1"/>
  <c r="I176" i="1"/>
  <c r="H176" i="1"/>
  <c r="H190" i="1"/>
  <c r="I190" i="1"/>
  <c r="H88" i="1"/>
  <c r="I88" i="1"/>
  <c r="I238" i="1"/>
  <c r="H238" i="1"/>
  <c r="H186" i="1"/>
  <c r="I186" i="1"/>
  <c r="I251" i="1"/>
  <c r="H251" i="1"/>
  <c r="H39" i="1"/>
  <c r="I39" i="1"/>
  <c r="H110" i="1"/>
  <c r="I110" i="1"/>
  <c r="H234" i="1"/>
  <c r="I234" i="1"/>
  <c r="H205" i="1"/>
  <c r="I205" i="1"/>
  <c r="H8" i="1"/>
  <c r="I8" i="1"/>
  <c r="H135" i="1"/>
  <c r="I135" i="1"/>
  <c r="I3" i="1"/>
  <c r="H3" i="1"/>
  <c r="H55" i="1"/>
  <c r="I55" i="1"/>
  <c r="I224" i="1"/>
  <c r="H224" i="1"/>
  <c r="H81" i="1"/>
  <c r="I81" i="1"/>
  <c r="I6" i="1"/>
  <c r="H6" i="1"/>
  <c r="H73" i="1"/>
  <c r="I73" i="1"/>
  <c r="H69" i="1"/>
  <c r="I69" i="1"/>
  <c r="H121" i="1"/>
  <c r="I121" i="1"/>
  <c r="I223" i="1"/>
  <c r="H223" i="1"/>
  <c r="H58" i="1"/>
  <c r="I58" i="1"/>
  <c r="H53" i="1"/>
  <c r="I53" i="1"/>
  <c r="I130" i="1"/>
  <c r="H130" i="1"/>
  <c r="H41" i="1"/>
  <c r="I41" i="1"/>
  <c r="I43" i="1"/>
  <c r="H43" i="1"/>
  <c r="I115" i="1"/>
  <c r="H115" i="1"/>
  <c r="H246" i="1"/>
  <c r="I246" i="1"/>
  <c r="H201" i="1"/>
  <c r="I201" i="1"/>
  <c r="H160" i="1"/>
  <c r="I160" i="1"/>
  <c r="I221" i="1"/>
  <c r="H221" i="1"/>
  <c r="H172" i="1"/>
  <c r="I172" i="1"/>
  <c r="H133" i="1"/>
  <c r="I133" i="1"/>
  <c r="H217" i="1"/>
  <c r="I217" i="1"/>
  <c r="I57" i="1"/>
  <c r="H57" i="1"/>
  <c r="I168" i="1"/>
  <c r="H168" i="1"/>
  <c r="H18" i="1"/>
  <c r="I18" i="1"/>
  <c r="I183" i="1"/>
  <c r="H183" i="1"/>
  <c r="H38" i="1"/>
  <c r="I38" i="1"/>
  <c r="I166" i="1"/>
  <c r="H166" i="1"/>
  <c r="H155" i="1"/>
  <c r="I155" i="1"/>
  <c r="H2" i="1"/>
  <c r="I2" i="1"/>
  <c r="I106" i="1"/>
  <c r="H106" i="1"/>
  <c r="I203" i="1"/>
  <c r="H203" i="1"/>
  <c r="H148" i="1"/>
  <c r="I148" i="1"/>
  <c r="I37" i="1"/>
  <c r="H37" i="1"/>
  <c r="H96" i="1"/>
  <c r="I96" i="1"/>
  <c r="I111" i="1"/>
  <c r="H111" i="1"/>
  <c r="H142" i="1"/>
  <c r="I142" i="1"/>
  <c r="H63" i="1"/>
  <c r="I63" i="1"/>
  <c r="H250" i="1"/>
  <c r="I250" i="1"/>
  <c r="I187" i="1"/>
  <c r="H187" i="1"/>
  <c r="I9" i="1"/>
  <c r="H9" i="1"/>
  <c r="I104" i="1"/>
  <c r="H104" i="1"/>
  <c r="H33" i="1"/>
  <c r="I33" i="1"/>
  <c r="H164" i="1"/>
  <c r="I164" i="1"/>
  <c r="H36" i="1"/>
  <c r="I36" i="1"/>
  <c r="H79" i="1"/>
  <c r="I79" i="1"/>
  <c r="H118" i="1"/>
  <c r="I118" i="1"/>
  <c r="I75" i="1"/>
  <c r="H75" i="1"/>
  <c r="H100" i="1"/>
  <c r="I100" i="1"/>
  <c r="H125" i="1"/>
  <c r="I125" i="1"/>
  <c r="H159" i="1"/>
  <c r="I159" i="1"/>
  <c r="I150" i="1"/>
  <c r="H150" i="1"/>
  <c r="I128" i="1"/>
  <c r="H128" i="1"/>
  <c r="I49" i="1"/>
  <c r="H49" i="1"/>
  <c r="I50" i="1"/>
  <c r="H50" i="1"/>
  <c r="H78" i="1"/>
  <c r="I78" i="1"/>
  <c r="I47" i="1"/>
  <c r="H47" i="1"/>
  <c r="H59" i="1"/>
  <c r="I59" i="1"/>
  <c r="H213" i="1"/>
  <c r="I213" i="1"/>
  <c r="H200" i="1"/>
  <c r="I200" i="1"/>
  <c r="H102" i="1"/>
  <c r="I102" i="1"/>
  <c r="I152" i="1"/>
  <c r="H152" i="1"/>
  <c r="I93" i="1"/>
  <c r="H93" i="1"/>
  <c r="H114" i="1"/>
  <c r="I114" i="1"/>
  <c r="H162" i="1"/>
  <c r="I162" i="1"/>
  <c r="H94" i="1"/>
  <c r="I94" i="1"/>
  <c r="I61" i="1"/>
  <c r="H61" i="1"/>
  <c r="H108" i="1"/>
  <c r="I108" i="1"/>
  <c r="H154" i="1"/>
  <c r="I154" i="1"/>
  <c r="H248" i="1"/>
  <c r="I248" i="1"/>
  <c r="H83" i="1"/>
  <c r="I83" i="1"/>
  <c r="I211" i="1"/>
  <c r="H211" i="1"/>
  <c r="H68" i="1"/>
  <c r="I68" i="1"/>
  <c r="H182" i="1"/>
  <c r="I182" i="1"/>
  <c r="H165" i="1"/>
  <c r="I165" i="1"/>
  <c r="I137" i="1"/>
  <c r="H137" i="1"/>
  <c r="H204" i="1"/>
  <c r="I204" i="1"/>
  <c r="I214" i="1"/>
  <c r="H214" i="1"/>
  <c r="H232" i="1"/>
  <c r="I232" i="1"/>
  <c r="H60" i="1"/>
  <c r="I60" i="1"/>
  <c r="H239" i="1"/>
  <c r="I239" i="1"/>
  <c r="H12" i="1"/>
  <c r="I12" i="1"/>
  <c r="H5" i="1"/>
  <c r="I5" i="1"/>
  <c r="H195" i="1"/>
  <c r="I195" i="1"/>
  <c r="I66" i="1"/>
  <c r="H66" i="1"/>
  <c r="I7" i="1"/>
  <c r="H7" i="1"/>
  <c r="H226" i="1"/>
  <c r="I226" i="1"/>
  <c r="H193" i="1"/>
  <c r="I193" i="1"/>
  <c r="H70" i="1"/>
  <c r="I70" i="1"/>
  <c r="H127" i="1"/>
  <c r="I127" i="1"/>
  <c r="H84" i="1"/>
  <c r="I84" i="1"/>
  <c r="H65" i="1"/>
  <c r="I65" i="1"/>
  <c r="H26" i="1"/>
  <c r="I26" i="1"/>
  <c r="H243" i="1"/>
  <c r="I243" i="1"/>
  <c r="I85" i="1"/>
  <c r="H85" i="1"/>
  <c r="H235" i="1"/>
  <c r="I235" i="1"/>
  <c r="I173" i="1"/>
  <c r="H173" i="1"/>
  <c r="H181" i="1"/>
  <c r="I181" i="1"/>
  <c r="I220" i="1"/>
  <c r="H220" i="1"/>
  <c r="H86" i="1"/>
  <c r="I86" i="1"/>
  <c r="H242" i="1"/>
  <c r="I242" i="1"/>
  <c r="H197" i="1"/>
  <c r="I197" i="1"/>
  <c r="I178" i="1"/>
  <c r="H178" i="1"/>
  <c r="H208" i="1"/>
  <c r="I208" i="1"/>
  <c r="H179" i="1"/>
  <c r="I179" i="1"/>
  <c r="I21" i="1"/>
  <c r="H21" i="1"/>
  <c r="H225" i="1"/>
  <c r="I225" i="1"/>
  <c r="H113" i="1"/>
  <c r="I113" i="1"/>
  <c r="I80" i="1"/>
  <c r="H80" i="1"/>
  <c r="H139" i="1"/>
  <c r="I139" i="1"/>
  <c r="H174" i="1"/>
  <c r="I174" i="1"/>
  <c r="H158" i="1"/>
  <c r="I158" i="1"/>
  <c r="I28" i="1"/>
  <c r="H28" i="1"/>
  <c r="H175" i="1"/>
  <c r="I175" i="1"/>
  <c r="H163" i="1"/>
  <c r="I163" i="1"/>
  <c r="H101" i="1"/>
  <c r="I101" i="1"/>
  <c r="H244" i="1"/>
  <c r="I244" i="1"/>
  <c r="H23" i="1"/>
  <c r="I23" i="1"/>
  <c r="H34" i="1"/>
  <c r="I34" i="1"/>
  <c r="I229" i="1"/>
  <c r="H229" i="1"/>
  <c r="H24" i="1"/>
  <c r="I24" i="1"/>
  <c r="H146" i="1"/>
  <c r="I146" i="1"/>
  <c r="I32" i="1"/>
  <c r="H32" i="1"/>
  <c r="H169" i="1"/>
  <c r="I169" i="1"/>
  <c r="H247" i="1"/>
  <c r="I247" i="1"/>
  <c r="I189" i="1"/>
  <c r="H189" i="1"/>
  <c r="H116" i="1"/>
  <c r="I116" i="1"/>
  <c r="I153" i="1"/>
  <c r="H153" i="1"/>
  <c r="H112" i="1"/>
  <c r="I112" i="1"/>
  <c r="I196" i="1"/>
  <c r="H196" i="1"/>
  <c r="I240" i="1"/>
  <c r="H240" i="1"/>
  <c r="I103" i="1"/>
  <c r="H103" i="1"/>
  <c r="I51" i="1"/>
  <c r="H51" i="1"/>
  <c r="H107" i="1"/>
  <c r="I107" i="1"/>
  <c r="H206" i="1"/>
  <c r="I206" i="1"/>
  <c r="H131" i="1"/>
  <c r="I131" i="1"/>
  <c r="H180" i="1"/>
  <c r="I180" i="1"/>
  <c r="I138" i="1"/>
  <c r="H138" i="1"/>
  <c r="H20" i="1"/>
  <c r="I20" i="1"/>
  <c r="I136" i="1"/>
  <c r="H136" i="1"/>
  <c r="I212" i="1"/>
  <c r="H212" i="1"/>
  <c r="H13" i="1"/>
  <c r="I13" i="1"/>
  <c r="I71" i="1"/>
  <c r="H71" i="1"/>
  <c r="I82" i="1"/>
  <c r="H82" i="1"/>
  <c r="H161" i="1"/>
  <c r="I161" i="1"/>
  <c r="H15" i="1"/>
  <c r="I15" i="1"/>
  <c r="H52" i="1"/>
  <c r="I52" i="1"/>
  <c r="H22" i="1"/>
  <c r="I22" i="1"/>
  <c r="I117" i="1"/>
  <c r="H117" i="1"/>
  <c r="H44" i="1"/>
  <c r="I44" i="1"/>
  <c r="H120" i="1"/>
  <c r="I120" i="1"/>
  <c r="H241" i="1"/>
  <c r="I241" i="1"/>
  <c r="H27" i="1"/>
  <c r="I27" i="1"/>
  <c r="H222" i="1"/>
  <c r="I222" i="1"/>
  <c r="H89" i="1"/>
  <c r="I89" i="1"/>
  <c r="I167" i="1"/>
  <c r="H167" i="1"/>
  <c r="I185" i="1"/>
  <c r="H185" i="1"/>
  <c r="H109" i="1"/>
  <c r="I109" i="1"/>
  <c r="H231" i="1"/>
  <c r="I231" i="1"/>
  <c r="H219" i="1"/>
  <c r="I219" i="1"/>
  <c r="H194" i="1"/>
  <c r="I194" i="1"/>
  <c r="H98" i="1"/>
  <c r="I98" i="1"/>
  <c r="H76" i="1"/>
  <c r="I76" i="1"/>
  <c r="I126" i="1"/>
  <c r="H126" i="1"/>
  <c r="I134" i="1"/>
  <c r="H134" i="1"/>
  <c r="I145" i="1"/>
  <c r="H145" i="1"/>
  <c r="I72" i="1"/>
  <c r="H72" i="1"/>
  <c r="H67" i="1"/>
  <c r="I67" i="1"/>
  <c r="H64" i="1"/>
  <c r="I64" i="1"/>
  <c r="I97" i="1"/>
  <c r="H97" i="1"/>
  <c r="H140" i="1"/>
  <c r="I140" i="1"/>
  <c r="H87" i="1"/>
  <c r="I87" i="1"/>
  <c r="Y29" i="1"/>
  <c r="W31" i="1"/>
  <c r="H209" i="1"/>
  <c r="I209" i="1"/>
  <c r="H10" i="1"/>
  <c r="I10" i="1"/>
  <c r="I202" i="1"/>
  <c r="H202" i="1"/>
  <c r="I170" i="1"/>
  <c r="H170" i="1"/>
  <c r="H141" i="1"/>
  <c r="I141" i="1"/>
  <c r="I74" i="1"/>
  <c r="H74" i="1"/>
  <c r="I91" i="1"/>
  <c r="H91" i="1"/>
  <c r="H233" i="1"/>
  <c r="I233" i="1"/>
  <c r="H19" i="1"/>
  <c r="I19" i="1"/>
  <c r="I147" i="1"/>
  <c r="H147" i="1"/>
  <c r="H157" i="1"/>
  <c r="I157" i="1"/>
  <c r="H119" i="1"/>
  <c r="I119" i="1"/>
  <c r="H156" i="1"/>
  <c r="I156" i="1"/>
  <c r="I40" i="1"/>
  <c r="H40" i="1"/>
  <c r="H42" i="1"/>
  <c r="I42" i="1"/>
  <c r="H90" i="1"/>
  <c r="I90" i="1"/>
  <c r="H237" i="1"/>
  <c r="I237" i="1"/>
  <c r="I230" i="1"/>
  <c r="H230" i="1"/>
  <c r="H46" i="1"/>
  <c r="I46" i="1"/>
  <c r="I4" i="1"/>
  <c r="H4" i="1"/>
  <c r="H149" i="1"/>
  <c r="I149" i="1"/>
  <c r="H123" i="1"/>
  <c r="I123" i="1"/>
  <c r="H198" i="1"/>
  <c r="I198" i="1"/>
  <c r="I124" i="1"/>
  <c r="H124" i="1"/>
  <c r="I132" i="1"/>
  <c r="H132" i="1"/>
  <c r="H192" i="1"/>
  <c r="I192" i="1"/>
  <c r="H45" i="1"/>
  <c r="I45" i="1"/>
  <c r="H31" i="1"/>
  <c r="I31" i="1"/>
  <c r="I99" i="1"/>
  <c r="H99" i="1"/>
  <c r="H25" i="1"/>
  <c r="I25" i="1"/>
  <c r="Q15" i="1"/>
  <c r="Q16" i="1" s="1"/>
  <c r="Q17" i="1" s="1"/>
  <c r="Q18" i="1" s="1"/>
  <c r="Q19" i="1" s="1"/>
  <c r="Q20" i="1" s="1"/>
  <c r="Q21" i="1" s="1"/>
  <c r="Q22" i="1" s="1"/>
  <c r="Q23" i="1" s="1"/>
  <c r="Q24" i="1" s="1"/>
  <c r="Q25" i="1" s="1"/>
  <c r="Q26" i="1" s="1"/>
  <c r="Q27" i="1" s="1"/>
  <c r="Q28" i="1" s="1"/>
  <c r="Q29" i="1" s="1"/>
  <c r="Q30" i="1" s="1"/>
  <c r="Q31" i="1" s="1"/>
  <c r="Q32" i="1" s="1"/>
  <c r="Q33" i="1" s="1"/>
  <c r="Q34" i="1" s="1"/>
  <c r="Q35" i="1" s="1"/>
  <c r="Q36" i="1" s="1"/>
  <c r="Q37" i="1" s="1"/>
  <c r="Q38" i="1" s="1"/>
  <c r="Q39" i="1" s="1"/>
  <c r="Q40" i="1" s="1"/>
  <c r="Q41" i="1" s="1"/>
  <c r="Q42" i="1" s="1"/>
  <c r="Q43" i="1" s="1"/>
  <c r="Q44" i="1" s="1"/>
  <c r="Q45" i="1" s="1"/>
  <c r="Q46" i="1" s="1"/>
  <c r="Q47" i="1" s="1"/>
  <c r="Q48" i="1" s="1"/>
  <c r="Q49" i="1" s="1"/>
  <c r="Q50" i="1" s="1"/>
  <c r="Q51" i="1" s="1"/>
  <c r="Q52" i="1" s="1"/>
  <c r="Q53" i="1" s="1"/>
  <c r="Q54" i="1" s="1"/>
  <c r="Q55" i="1" s="1"/>
  <c r="Q56" i="1" s="1"/>
  <c r="Q57" i="1" s="1"/>
  <c r="Q58" i="1" s="1"/>
  <c r="Q59" i="1" s="1"/>
  <c r="Q60" i="1" s="1"/>
  <c r="Q61" i="1" s="1"/>
  <c r="Q62" i="1" s="1"/>
  <c r="Q63" i="1" s="1"/>
  <c r="Q64" i="1" s="1"/>
  <c r="Q65" i="1" s="1"/>
  <c r="Q66" i="1" s="1"/>
  <c r="Q67" i="1" s="1"/>
  <c r="Q68" i="1" s="1"/>
  <c r="Q69" i="1" s="1"/>
  <c r="Q70" i="1" s="1"/>
  <c r="Q71" i="1" s="1"/>
  <c r="Q72" i="1" s="1"/>
  <c r="Q73" i="1" s="1"/>
  <c r="Q74" i="1" s="1"/>
  <c r="Q75" i="1" s="1"/>
  <c r="Q76" i="1" s="1"/>
  <c r="Q77" i="1" s="1"/>
  <c r="Q78" i="1" s="1"/>
  <c r="Q79" i="1" s="1"/>
  <c r="Q80" i="1" s="1"/>
  <c r="Q81" i="1" s="1"/>
  <c r="Q82" i="1" s="1"/>
  <c r="Q83" i="1" s="1"/>
  <c r="Q84" i="1" s="1"/>
  <c r="Q85" i="1" s="1"/>
  <c r="Q86" i="1" s="1"/>
  <c r="Q87" i="1" s="1"/>
  <c r="Q88" i="1" s="1"/>
  <c r="Q89" i="1" s="1"/>
  <c r="Q90" i="1" s="1"/>
  <c r="Q91" i="1" s="1"/>
  <c r="Q92" i="1" s="1"/>
  <c r="Q93" i="1" s="1"/>
  <c r="Q94" i="1" s="1"/>
  <c r="Q95" i="1" s="1"/>
  <c r="Q96" i="1" s="1"/>
  <c r="Q97" i="1" s="1"/>
  <c r="Q98" i="1" s="1"/>
  <c r="Q99" i="1" s="1"/>
  <c r="Q100" i="1" s="1"/>
  <c r="Q101" i="1" s="1"/>
  <c r="Q102" i="1" s="1"/>
  <c r="Q103" i="1" s="1"/>
  <c r="Q104" i="1" s="1"/>
  <c r="Q105" i="1" s="1"/>
  <c r="Q106" i="1" s="1"/>
  <c r="Q107" i="1" s="1"/>
  <c r="Q108" i="1" s="1"/>
  <c r="Q109" i="1" s="1"/>
  <c r="Q110" i="1" s="1"/>
  <c r="Q111" i="1" s="1"/>
  <c r="Q112" i="1" s="1"/>
  <c r="Q113" i="1" s="1"/>
  <c r="Q114" i="1" s="1"/>
  <c r="Q115" i="1" s="1"/>
  <c r="Q116" i="1" s="1"/>
  <c r="Q117" i="1" s="1"/>
  <c r="Q118" i="1" s="1"/>
  <c r="Q119" i="1" s="1"/>
  <c r="Q120" i="1" s="1"/>
  <c r="Q121" i="1" s="1"/>
  <c r="Q122" i="1" s="1"/>
  <c r="Q123" i="1" s="1"/>
  <c r="Q124" i="1" s="1"/>
  <c r="Q125" i="1" s="1"/>
  <c r="Q126" i="1" s="1"/>
  <c r="Q127" i="1" s="1"/>
  <c r="Q128" i="1" s="1"/>
  <c r="Q129" i="1" s="1"/>
  <c r="Q130" i="1" s="1"/>
  <c r="Q131" i="1" s="1"/>
  <c r="Q132" i="1" s="1"/>
  <c r="Q133" i="1" s="1"/>
  <c r="Q134" i="1" s="1"/>
  <c r="Q135" i="1" s="1"/>
  <c r="Q136" i="1" s="1"/>
  <c r="Q137" i="1" s="1"/>
  <c r="Q138" i="1" s="1"/>
  <c r="Q139" i="1" s="1"/>
  <c r="Q140" i="1" s="1"/>
  <c r="Q141" i="1" s="1"/>
  <c r="Q142" i="1" s="1"/>
  <c r="Q143" i="1" s="1"/>
  <c r="Q144" i="1" s="1"/>
  <c r="Q145" i="1" s="1"/>
  <c r="Q146" i="1" s="1"/>
  <c r="Q147" i="1" s="1"/>
  <c r="Q148" i="1" s="1"/>
  <c r="Q149" i="1" s="1"/>
  <c r="Q150" i="1" s="1"/>
  <c r="Q151" i="1" s="1"/>
  <c r="Q152" i="1" s="1"/>
  <c r="Q153" i="1" s="1"/>
  <c r="Q154" i="1" s="1"/>
  <c r="Q155" i="1" s="1"/>
  <c r="Q156" i="1" s="1"/>
  <c r="Q157" i="1" s="1"/>
  <c r="Q158" i="1" s="1"/>
  <c r="Q159" i="1" s="1"/>
  <c r="Q160" i="1" s="1"/>
  <c r="Q161" i="1" s="1"/>
  <c r="Q162" i="1" s="1"/>
  <c r="Q163" i="1" s="1"/>
  <c r="Q164" i="1" s="1"/>
  <c r="Q165" i="1" s="1"/>
  <c r="Q166" i="1" s="1"/>
  <c r="Q167" i="1" s="1"/>
  <c r="Q168" i="1" s="1"/>
  <c r="Q169" i="1" s="1"/>
  <c r="Q170" i="1" s="1"/>
  <c r="Q171" i="1" s="1"/>
  <c r="Q172" i="1" s="1"/>
  <c r="Q173" i="1" s="1"/>
  <c r="Q174" i="1" s="1"/>
  <c r="Q175" i="1" s="1"/>
  <c r="Q176" i="1" s="1"/>
  <c r="Q177" i="1" s="1"/>
  <c r="Q178" i="1" s="1"/>
  <c r="Q179" i="1" s="1"/>
  <c r="Q180" i="1" s="1"/>
  <c r="Q181" i="1" s="1"/>
  <c r="Q182" i="1" s="1"/>
  <c r="Q183" i="1" s="1"/>
  <c r="Q184" i="1" s="1"/>
  <c r="Q185" i="1" s="1"/>
  <c r="Q186" i="1" s="1"/>
  <c r="Q187" i="1" s="1"/>
  <c r="Q188" i="1" s="1"/>
  <c r="Q189" i="1" s="1"/>
  <c r="Q190" i="1" s="1"/>
  <c r="Q191" i="1" s="1"/>
  <c r="Q192" i="1" s="1"/>
  <c r="Q193" i="1" s="1"/>
  <c r="Q194" i="1" s="1"/>
  <c r="Q195" i="1" s="1"/>
  <c r="Q196" i="1" s="1"/>
  <c r="Q197" i="1" s="1"/>
  <c r="Q198" i="1" s="1"/>
  <c r="Q199" i="1" s="1"/>
  <c r="Q200" i="1" s="1"/>
  <c r="Q201" i="1" s="1"/>
  <c r="Q202" i="1" s="1"/>
  <c r="Q203" i="1" s="1"/>
  <c r="Q204" i="1" s="1"/>
  <c r="Q205" i="1" s="1"/>
  <c r="Q206" i="1" s="1"/>
  <c r="Q207" i="1" s="1"/>
  <c r="Q208" i="1" s="1"/>
  <c r="Q209" i="1" s="1"/>
  <c r="Q210" i="1" s="1"/>
  <c r="Q211" i="1" s="1"/>
  <c r="Q212" i="1" s="1"/>
  <c r="Q213" i="1" s="1"/>
  <c r="Q214" i="1" s="1"/>
  <c r="Q215" i="1" s="1"/>
  <c r="Q216" i="1" s="1"/>
  <c r="Q217" i="1" s="1"/>
  <c r="Q218" i="1" s="1"/>
  <c r="Q219" i="1" s="1"/>
  <c r="Q220" i="1" s="1"/>
  <c r="Q221" i="1" s="1"/>
  <c r="Q222" i="1" s="1"/>
  <c r="Q223" i="1" s="1"/>
  <c r="Q224" i="1" s="1"/>
  <c r="Q225" i="1" s="1"/>
  <c r="Q226" i="1" s="1"/>
  <c r="Q227" i="1" s="1"/>
  <c r="Q228" i="1" s="1"/>
  <c r="Q229" i="1" s="1"/>
  <c r="Q230" i="1" s="1"/>
  <c r="Q231" i="1" s="1"/>
  <c r="Q232" i="1" s="1"/>
  <c r="Q233" i="1" s="1"/>
  <c r="Q234" i="1" s="1"/>
  <c r="Q235" i="1" s="1"/>
  <c r="Q236" i="1" s="1"/>
  <c r="Q237" i="1" s="1"/>
  <c r="Q238" i="1" s="1"/>
  <c r="Q239" i="1" s="1"/>
  <c r="Q240" i="1" s="1"/>
  <c r="Q241" i="1" s="1"/>
  <c r="Q242" i="1" s="1"/>
  <c r="Q243" i="1" s="1"/>
  <c r="Q244" i="1" s="1"/>
  <c r="Q245" i="1" s="1"/>
  <c r="Q246" i="1" s="1"/>
  <c r="Q247" i="1" s="1"/>
  <c r="Q248" i="1" s="1"/>
  <c r="Q249" i="1" s="1"/>
  <c r="Q250" i="1" s="1"/>
  <c r="Q251" i="1" s="1"/>
  <c r="H210" i="1"/>
  <c r="I210" i="1"/>
  <c r="H11" i="1"/>
  <c r="I11" i="1"/>
  <c r="I48" i="1"/>
  <c r="H48" i="1"/>
  <c r="I14" i="1"/>
  <c r="H14" i="1"/>
  <c r="H188" i="1"/>
  <c r="I188" i="1"/>
  <c r="I216" i="1"/>
  <c r="H216" i="1"/>
  <c r="I144" i="1"/>
  <c r="H144" i="1"/>
  <c r="I129" i="1"/>
  <c r="H129" i="1"/>
  <c r="H199" i="1"/>
  <c r="I199" i="1"/>
  <c r="H228" i="1"/>
  <c r="I228" i="1"/>
  <c r="H207" i="1"/>
  <c r="I207" i="1"/>
  <c r="I77" i="1"/>
  <c r="H77" i="1"/>
  <c r="I95" i="1"/>
  <c r="H95" i="1"/>
  <c r="H151" i="1"/>
  <c r="I151" i="1"/>
  <c r="I56" i="1"/>
  <c r="H56" i="1"/>
  <c r="I249" i="1"/>
  <c r="H249" i="1"/>
  <c r="H184" i="1"/>
  <c r="I184" i="1"/>
  <c r="H218" i="1"/>
  <c r="I218" i="1"/>
  <c r="I30" i="1"/>
  <c r="H30" i="1"/>
  <c r="I245" i="1"/>
  <c r="H245" i="1"/>
  <c r="I215" i="1"/>
  <c r="H215" i="1"/>
  <c r="H35" i="1"/>
  <c r="I35" i="1"/>
  <c r="H54" i="1"/>
  <c r="I54" i="1"/>
  <c r="H16" i="1"/>
  <c r="I16" i="1"/>
  <c r="H191" i="1"/>
  <c r="I191" i="1"/>
  <c r="H236" i="1"/>
  <c r="I236" i="1"/>
  <c r="I105" i="1"/>
  <c r="H105" i="1"/>
  <c r="I177" i="1"/>
  <c r="H177" i="1"/>
  <c r="H92" i="1"/>
  <c r="I92" i="1"/>
  <c r="I29" i="1"/>
  <c r="H29" i="1"/>
  <c r="Y30" i="1" l="1"/>
  <c r="W32" i="1"/>
  <c r="R16" i="1"/>
  <c r="S15" i="1"/>
  <c r="T15" i="1" s="1"/>
  <c r="R17" i="1" l="1"/>
  <c r="S16" i="1"/>
  <c r="T16" i="1" s="1"/>
  <c r="Y31" i="1"/>
  <c r="W33" i="1"/>
  <c r="Y32" i="1" l="1"/>
  <c r="W34" i="1"/>
  <c r="R18" i="1"/>
  <c r="S17" i="1"/>
  <c r="T17" i="1" s="1"/>
  <c r="Y33" i="1" l="1"/>
  <c r="W35" i="1"/>
  <c r="R19" i="1"/>
  <c r="S18" i="1"/>
  <c r="T18" i="1" s="1"/>
  <c r="R20" i="1" l="1"/>
  <c r="S19" i="1"/>
  <c r="T19" i="1" s="1"/>
  <c r="Y34" i="1"/>
  <c r="W36" i="1"/>
  <c r="Y35" i="1" l="1"/>
  <c r="W37" i="1"/>
  <c r="R21" i="1"/>
  <c r="S20" i="1"/>
  <c r="T20" i="1" s="1"/>
  <c r="R22" i="1" l="1"/>
  <c r="S21" i="1"/>
  <c r="T21" i="1" s="1"/>
  <c r="Y36" i="1"/>
  <c r="Z36" i="1" s="1"/>
  <c r="W38" i="1"/>
  <c r="Y37" i="1" l="1"/>
  <c r="Z37" i="1" s="1"/>
  <c r="AA37" i="1" s="1"/>
  <c r="W39" i="1"/>
  <c r="R23" i="1"/>
  <c r="S22" i="1"/>
  <c r="T22" i="1" s="1"/>
  <c r="R24" i="1" l="1"/>
  <c r="S23" i="1"/>
  <c r="T23" i="1" s="1"/>
  <c r="Y38" i="1"/>
  <c r="Z38" i="1" s="1"/>
  <c r="AA38" i="1" s="1"/>
  <c r="W40" i="1"/>
  <c r="Y39" i="1" l="1"/>
  <c r="Z39" i="1" s="1"/>
  <c r="AA39" i="1" s="1"/>
  <c r="W41" i="1"/>
  <c r="R25" i="1"/>
  <c r="S24" i="1"/>
  <c r="T24" i="1" s="1"/>
  <c r="Y40" i="1" l="1"/>
  <c r="Z40" i="1" s="1"/>
  <c r="AA40" i="1" s="1"/>
  <c r="W42" i="1"/>
  <c r="R26" i="1"/>
  <c r="S25" i="1"/>
  <c r="T25" i="1" s="1"/>
  <c r="R27" i="1" l="1"/>
  <c r="S26" i="1"/>
  <c r="T26" i="1" s="1"/>
  <c r="Y41" i="1"/>
  <c r="Z41" i="1" s="1"/>
  <c r="AA41" i="1" s="1"/>
  <c r="W43" i="1"/>
  <c r="Y42" i="1" l="1"/>
  <c r="Z42" i="1" s="1"/>
  <c r="AA42" i="1" s="1"/>
  <c r="W44" i="1"/>
  <c r="R28" i="1"/>
  <c r="S27" i="1"/>
  <c r="T27" i="1" s="1"/>
  <c r="Y43" i="1" l="1"/>
  <c r="Z43" i="1" s="1"/>
  <c r="AA43" i="1" s="1"/>
  <c r="W45" i="1"/>
  <c r="R29" i="1"/>
  <c r="S28" i="1"/>
  <c r="T28" i="1" s="1"/>
  <c r="R30" i="1" l="1"/>
  <c r="S29" i="1"/>
  <c r="T29" i="1" s="1"/>
  <c r="Y44" i="1"/>
  <c r="Z44" i="1" s="1"/>
  <c r="AA44" i="1" s="1"/>
  <c r="W46" i="1"/>
  <c r="Y45" i="1" l="1"/>
  <c r="Z45" i="1" s="1"/>
  <c r="AA45" i="1" s="1"/>
  <c r="W47" i="1"/>
  <c r="R31" i="1"/>
  <c r="S30" i="1"/>
  <c r="T30" i="1" s="1"/>
  <c r="R32" i="1" l="1"/>
  <c r="S31" i="1"/>
  <c r="T31" i="1" s="1"/>
  <c r="Y46" i="1"/>
  <c r="Z46" i="1" s="1"/>
  <c r="AA46" i="1" s="1"/>
  <c r="W48" i="1"/>
  <c r="Y47" i="1" l="1"/>
  <c r="Z47" i="1" s="1"/>
  <c r="AA47" i="1" s="1"/>
  <c r="W49" i="1"/>
  <c r="S32" i="1"/>
  <c r="T32" i="1" s="1"/>
  <c r="R33" i="1"/>
  <c r="R34" i="1" l="1"/>
  <c r="S33" i="1"/>
  <c r="T33" i="1" s="1"/>
  <c r="Y48" i="1"/>
  <c r="Z48" i="1" s="1"/>
  <c r="AA48" i="1" s="1"/>
  <c r="W50" i="1"/>
  <c r="Y49" i="1" l="1"/>
  <c r="Z49" i="1" s="1"/>
  <c r="AA49" i="1" s="1"/>
  <c r="W51" i="1"/>
  <c r="R35" i="1"/>
  <c r="S34" i="1"/>
  <c r="T34" i="1" s="1"/>
  <c r="R36" i="1" l="1"/>
  <c r="S35" i="1"/>
  <c r="T35" i="1" s="1"/>
  <c r="Y50" i="1"/>
  <c r="Z50" i="1" s="1"/>
  <c r="AA50" i="1" s="1"/>
  <c r="W52" i="1"/>
  <c r="Y51" i="1" l="1"/>
  <c r="Z51" i="1" s="1"/>
  <c r="AA51" i="1" s="1"/>
  <c r="W53" i="1"/>
  <c r="R37" i="1"/>
  <c r="S36" i="1"/>
  <c r="T36" i="1" s="1"/>
  <c r="Y52" i="1" l="1"/>
  <c r="Z52" i="1" s="1"/>
  <c r="AA52" i="1" s="1"/>
  <c r="W54" i="1"/>
  <c r="R38" i="1"/>
  <c r="S37" i="1"/>
  <c r="T37" i="1" s="1"/>
  <c r="Y53" i="1" l="1"/>
  <c r="Z53" i="1" s="1"/>
  <c r="AA53" i="1" s="1"/>
  <c r="W55" i="1"/>
  <c r="R39" i="1"/>
  <c r="S38" i="1"/>
  <c r="T38" i="1" s="1"/>
  <c r="Y54" i="1" l="1"/>
  <c r="Z54" i="1" s="1"/>
  <c r="AA54" i="1" s="1"/>
  <c r="W56" i="1"/>
  <c r="R40" i="1"/>
  <c r="S39" i="1"/>
  <c r="T39" i="1" s="1"/>
  <c r="R41" i="1" l="1"/>
  <c r="S40" i="1"/>
  <c r="T40" i="1" s="1"/>
  <c r="Y55" i="1"/>
  <c r="Z55" i="1" s="1"/>
  <c r="AA55" i="1" s="1"/>
  <c r="W57" i="1"/>
  <c r="Y56" i="1" l="1"/>
  <c r="Z56" i="1" s="1"/>
  <c r="AA56" i="1" s="1"/>
  <c r="W58" i="1"/>
  <c r="R42" i="1"/>
  <c r="S41" i="1"/>
  <c r="T41" i="1" s="1"/>
  <c r="R43" i="1" l="1"/>
  <c r="S42" i="1"/>
  <c r="T42" i="1" s="1"/>
  <c r="Y57" i="1"/>
  <c r="Z57" i="1" s="1"/>
  <c r="AA57" i="1" s="1"/>
  <c r="W59" i="1"/>
  <c r="Y58" i="1" l="1"/>
  <c r="Z58" i="1" s="1"/>
  <c r="AA58" i="1" s="1"/>
  <c r="W60" i="1"/>
  <c r="R44" i="1"/>
  <c r="S43" i="1"/>
  <c r="T43" i="1" s="1"/>
  <c r="R45" i="1" l="1"/>
  <c r="S44" i="1"/>
  <c r="T44" i="1" s="1"/>
  <c r="Y59" i="1"/>
  <c r="Z59" i="1" s="1"/>
  <c r="AA59" i="1" s="1"/>
  <c r="W61" i="1"/>
  <c r="Y60" i="1" l="1"/>
  <c r="Z60" i="1" s="1"/>
  <c r="AA60" i="1" s="1"/>
  <c r="W62" i="1"/>
  <c r="R46" i="1"/>
  <c r="S45" i="1"/>
  <c r="T45" i="1" s="1"/>
  <c r="R47" i="1" l="1"/>
  <c r="S46" i="1"/>
  <c r="T46" i="1" s="1"/>
  <c r="Y61" i="1"/>
  <c r="Z61" i="1" s="1"/>
  <c r="AA61" i="1" s="1"/>
  <c r="W63" i="1"/>
  <c r="Y62" i="1" l="1"/>
  <c r="Z62" i="1" s="1"/>
  <c r="AA62" i="1" s="1"/>
  <c r="W64" i="1"/>
  <c r="R48" i="1"/>
  <c r="S47" i="1"/>
  <c r="T47" i="1" s="1"/>
  <c r="R49" i="1" l="1"/>
  <c r="S48" i="1"/>
  <c r="T48" i="1" s="1"/>
  <c r="Y63" i="1"/>
  <c r="Z63" i="1" s="1"/>
  <c r="AA63" i="1" s="1"/>
  <c r="W65" i="1"/>
  <c r="Y64" i="1" l="1"/>
  <c r="Z64" i="1" s="1"/>
  <c r="AA64" i="1" s="1"/>
  <c r="W66" i="1"/>
  <c r="R50" i="1"/>
  <c r="S49" i="1"/>
  <c r="T49" i="1" s="1"/>
  <c r="R51" i="1" l="1"/>
  <c r="S50" i="1"/>
  <c r="T50" i="1" s="1"/>
  <c r="Y65" i="1"/>
  <c r="Z65" i="1" s="1"/>
  <c r="AA65" i="1" s="1"/>
  <c r="W67" i="1"/>
  <c r="Y66" i="1" l="1"/>
  <c r="Z66" i="1" s="1"/>
  <c r="AA66" i="1" s="1"/>
  <c r="W68" i="1"/>
  <c r="R52" i="1"/>
  <c r="S51" i="1"/>
  <c r="T51" i="1" s="1"/>
  <c r="R53" i="1" l="1"/>
  <c r="S52" i="1"/>
  <c r="T52" i="1" s="1"/>
  <c r="Y67" i="1"/>
  <c r="Z67" i="1" s="1"/>
  <c r="AA67" i="1" s="1"/>
  <c r="W69" i="1"/>
  <c r="Y68" i="1" l="1"/>
  <c r="Z68" i="1" s="1"/>
  <c r="AA68" i="1" s="1"/>
  <c r="W70" i="1"/>
  <c r="R54" i="1"/>
  <c r="S53" i="1"/>
  <c r="T53" i="1" s="1"/>
  <c r="S54" i="1" l="1"/>
  <c r="T54" i="1" s="1"/>
  <c r="R55" i="1"/>
  <c r="Y69" i="1"/>
  <c r="Z69" i="1" s="1"/>
  <c r="AA69" i="1" s="1"/>
  <c r="W71" i="1"/>
  <c r="Y70" i="1" l="1"/>
  <c r="Z70" i="1" s="1"/>
  <c r="AA70" i="1" s="1"/>
  <c r="W72" i="1"/>
  <c r="S55" i="1"/>
  <c r="T55" i="1" s="1"/>
  <c r="R56" i="1"/>
  <c r="S56" i="1" l="1"/>
  <c r="T56" i="1" s="1"/>
  <c r="R57" i="1"/>
  <c r="Y71" i="1"/>
  <c r="Z71" i="1" s="1"/>
  <c r="AA71" i="1" s="1"/>
  <c r="W73" i="1"/>
  <c r="Y72" i="1" l="1"/>
  <c r="Z72" i="1" s="1"/>
  <c r="AA72" i="1" s="1"/>
  <c r="W74" i="1"/>
  <c r="R58" i="1"/>
  <c r="S57" i="1"/>
  <c r="T57" i="1" s="1"/>
  <c r="R59" i="1" l="1"/>
  <c r="S58" i="1"/>
  <c r="T58" i="1" s="1"/>
  <c r="Y73" i="1"/>
  <c r="Z73" i="1" s="1"/>
  <c r="AA73" i="1" s="1"/>
  <c r="W75" i="1"/>
  <c r="Y74" i="1" l="1"/>
  <c r="Z74" i="1" s="1"/>
  <c r="AA74" i="1" s="1"/>
  <c r="W76" i="1"/>
  <c r="R60" i="1"/>
  <c r="S59" i="1"/>
  <c r="T59" i="1" s="1"/>
  <c r="R61" i="1" l="1"/>
  <c r="S60" i="1"/>
  <c r="T60" i="1" s="1"/>
  <c r="Y75" i="1"/>
  <c r="Z75" i="1" s="1"/>
  <c r="AA75" i="1" s="1"/>
  <c r="W77" i="1"/>
  <c r="Y76" i="1" l="1"/>
  <c r="Z76" i="1" s="1"/>
  <c r="AA76" i="1" s="1"/>
  <c r="W78" i="1"/>
  <c r="R62" i="1"/>
  <c r="S61" i="1"/>
  <c r="T61" i="1" s="1"/>
  <c r="R63" i="1" l="1"/>
  <c r="S62" i="1"/>
  <c r="T62" i="1" s="1"/>
  <c r="Y77" i="1"/>
  <c r="Z77" i="1" s="1"/>
  <c r="AA77" i="1" s="1"/>
  <c r="W79" i="1"/>
  <c r="Y78" i="1" l="1"/>
  <c r="Z78" i="1" s="1"/>
  <c r="AA78" i="1" s="1"/>
  <c r="W80" i="1"/>
  <c r="R64" i="1"/>
  <c r="S63" i="1"/>
  <c r="T63" i="1" s="1"/>
  <c r="R65" i="1" l="1"/>
  <c r="S64" i="1"/>
  <c r="T64" i="1" s="1"/>
  <c r="Y79" i="1"/>
  <c r="Z79" i="1" s="1"/>
  <c r="AA79" i="1" s="1"/>
  <c r="W81" i="1"/>
  <c r="Y80" i="1" l="1"/>
  <c r="Z80" i="1" s="1"/>
  <c r="AA80" i="1" s="1"/>
  <c r="W82" i="1"/>
  <c r="R66" i="1"/>
  <c r="S65" i="1"/>
  <c r="T65" i="1" s="1"/>
  <c r="R67" i="1" l="1"/>
  <c r="S66" i="1"/>
  <c r="T66" i="1" s="1"/>
  <c r="Y81" i="1"/>
  <c r="Z81" i="1" s="1"/>
  <c r="AA81" i="1" s="1"/>
  <c r="W83" i="1"/>
  <c r="Y82" i="1" l="1"/>
  <c r="Z82" i="1" s="1"/>
  <c r="AA82" i="1" s="1"/>
  <c r="W84" i="1"/>
  <c r="R68" i="1"/>
  <c r="S67" i="1"/>
  <c r="T67" i="1" s="1"/>
  <c r="S68" i="1" l="1"/>
  <c r="T68" i="1" s="1"/>
  <c r="R69" i="1"/>
  <c r="Y83" i="1"/>
  <c r="Z83" i="1" s="1"/>
  <c r="AA83" i="1" s="1"/>
  <c r="W85" i="1"/>
  <c r="Y84" i="1" l="1"/>
  <c r="Z84" i="1" s="1"/>
  <c r="AA84" i="1" s="1"/>
  <c r="W86" i="1"/>
  <c r="R70" i="1"/>
  <c r="S69" i="1"/>
  <c r="T69" i="1" s="1"/>
  <c r="R71" i="1" l="1"/>
  <c r="S70" i="1"/>
  <c r="T70" i="1" s="1"/>
  <c r="Y85" i="1"/>
  <c r="Z85" i="1" s="1"/>
  <c r="AA85" i="1" s="1"/>
  <c r="W87" i="1"/>
  <c r="Y86" i="1" l="1"/>
  <c r="Z86" i="1" s="1"/>
  <c r="AA86" i="1" s="1"/>
  <c r="W88" i="1"/>
  <c r="R72" i="1"/>
  <c r="S71" i="1"/>
  <c r="T71" i="1" s="1"/>
  <c r="R73" i="1" l="1"/>
  <c r="S72" i="1"/>
  <c r="T72" i="1" s="1"/>
  <c r="Y87" i="1"/>
  <c r="Z87" i="1" s="1"/>
  <c r="AA87" i="1" s="1"/>
  <c r="W89" i="1"/>
  <c r="Y88" i="1" l="1"/>
  <c r="W90" i="1"/>
  <c r="R74" i="1"/>
  <c r="S73" i="1"/>
  <c r="T73" i="1" s="1"/>
  <c r="R75" i="1" l="1"/>
  <c r="S74" i="1"/>
  <c r="T74" i="1" s="1"/>
  <c r="Y89" i="1"/>
  <c r="W91" i="1"/>
  <c r="Z88" i="1"/>
  <c r="AA88" i="1" s="1"/>
  <c r="Y90" i="1" l="1"/>
  <c r="W92" i="1"/>
  <c r="Z89" i="1"/>
  <c r="AA89" i="1" s="1"/>
  <c r="R76" i="1"/>
  <c r="S75" i="1"/>
  <c r="T75" i="1" s="1"/>
  <c r="R77" i="1" l="1"/>
  <c r="S76" i="1"/>
  <c r="T76" i="1" s="1"/>
  <c r="Y91" i="1"/>
  <c r="W93" i="1"/>
  <c r="Z90" i="1"/>
  <c r="AA90" i="1" s="1"/>
  <c r="Y92" i="1" l="1"/>
  <c r="W94" i="1"/>
  <c r="Z91" i="1"/>
  <c r="AA91" i="1" s="1"/>
  <c r="R78" i="1"/>
  <c r="S77" i="1"/>
  <c r="T77" i="1" s="1"/>
  <c r="S78" i="1" l="1"/>
  <c r="T78" i="1" s="1"/>
  <c r="R79" i="1"/>
  <c r="Y93" i="1"/>
  <c r="W95" i="1"/>
  <c r="Z92" i="1"/>
  <c r="AA92" i="1" s="1"/>
  <c r="Y94" i="1" l="1"/>
  <c r="W96" i="1"/>
  <c r="Z93" i="1"/>
  <c r="AA93" i="1" s="1"/>
  <c r="R80" i="1"/>
  <c r="S79" i="1"/>
  <c r="T79" i="1" s="1"/>
  <c r="R81" i="1" l="1"/>
  <c r="S80" i="1"/>
  <c r="T80" i="1" s="1"/>
  <c r="Y95" i="1"/>
  <c r="W97" i="1"/>
  <c r="Z94" i="1"/>
  <c r="AA94" i="1" s="1"/>
  <c r="Y96" i="1" l="1"/>
  <c r="W98" i="1"/>
  <c r="Z95" i="1"/>
  <c r="AA95" i="1" s="1"/>
  <c r="R82" i="1"/>
  <c r="S81" i="1"/>
  <c r="T81" i="1" s="1"/>
  <c r="R83" i="1" l="1"/>
  <c r="S82" i="1"/>
  <c r="T82" i="1" s="1"/>
  <c r="Y97" i="1"/>
  <c r="W99" i="1"/>
  <c r="Z96" i="1"/>
  <c r="AA96" i="1" s="1"/>
  <c r="Y98" i="1" l="1"/>
  <c r="W100" i="1"/>
  <c r="Z97" i="1"/>
  <c r="AA97" i="1" s="1"/>
  <c r="R84" i="1"/>
  <c r="S83" i="1"/>
  <c r="T83" i="1" s="1"/>
  <c r="R85" i="1" l="1"/>
  <c r="S84" i="1"/>
  <c r="T84" i="1" s="1"/>
  <c r="Y99" i="1"/>
  <c r="W101" i="1"/>
  <c r="Z98" i="1"/>
  <c r="AA98" i="1" s="1"/>
  <c r="Y100" i="1" l="1"/>
  <c r="W102" i="1"/>
  <c r="Z99" i="1"/>
  <c r="AA99" i="1" s="1"/>
  <c r="R86" i="1"/>
  <c r="S85" i="1"/>
  <c r="T85" i="1" s="1"/>
  <c r="R87" i="1" l="1"/>
  <c r="S86" i="1"/>
  <c r="T86" i="1" s="1"/>
  <c r="Y101" i="1"/>
  <c r="W103" i="1"/>
  <c r="Z100" i="1"/>
  <c r="AA100" i="1" s="1"/>
  <c r="Y102" i="1" l="1"/>
  <c r="W104" i="1"/>
  <c r="Z101" i="1"/>
  <c r="AA101" i="1" s="1"/>
  <c r="R88" i="1"/>
  <c r="S87" i="1"/>
  <c r="T87" i="1" s="1"/>
  <c r="R89" i="1" l="1"/>
  <c r="S88" i="1"/>
  <c r="T88" i="1" s="1"/>
  <c r="Y103" i="1"/>
  <c r="W105" i="1"/>
  <c r="Z102" i="1"/>
  <c r="AA102" i="1" s="1"/>
  <c r="Y104" i="1" l="1"/>
  <c r="W106" i="1"/>
  <c r="Z103" i="1"/>
  <c r="AA103" i="1" s="1"/>
  <c r="R90" i="1"/>
  <c r="S89" i="1"/>
  <c r="T89" i="1" s="1"/>
  <c r="R91" i="1" l="1"/>
  <c r="S90" i="1"/>
  <c r="T90" i="1" s="1"/>
  <c r="Y105" i="1"/>
  <c r="W107" i="1"/>
  <c r="Z104" i="1"/>
  <c r="AA104" i="1" s="1"/>
  <c r="Y106" i="1" l="1"/>
  <c r="W108" i="1"/>
  <c r="Z105" i="1"/>
  <c r="AA105" i="1" s="1"/>
  <c r="R92" i="1"/>
  <c r="S91" i="1"/>
  <c r="T91" i="1" s="1"/>
  <c r="R93" i="1" l="1"/>
  <c r="S92" i="1"/>
  <c r="T92" i="1" s="1"/>
  <c r="Y107" i="1"/>
  <c r="W109" i="1"/>
  <c r="Z106" i="1"/>
  <c r="AA106" i="1" s="1"/>
  <c r="Z107" i="1" l="1"/>
  <c r="AA107" i="1" s="1"/>
  <c r="Y108" i="1"/>
  <c r="W110" i="1"/>
  <c r="R94" i="1"/>
  <c r="S93" i="1"/>
  <c r="T93" i="1" s="1"/>
  <c r="Z108" i="1" l="1"/>
  <c r="AA108" i="1" s="1"/>
  <c r="S94" i="1"/>
  <c r="T94" i="1" s="1"/>
  <c r="R95" i="1"/>
  <c r="Y109" i="1"/>
  <c r="W111" i="1"/>
  <c r="Z109" i="1" l="1"/>
  <c r="AA109" i="1" s="1"/>
  <c r="Y110" i="1"/>
  <c r="W112" i="1"/>
  <c r="R96" i="1"/>
  <c r="S95" i="1"/>
  <c r="T95" i="1" s="1"/>
  <c r="Z110" i="1" l="1"/>
  <c r="AA110" i="1" s="1"/>
  <c r="R97" i="1"/>
  <c r="S96" i="1"/>
  <c r="T96" i="1" s="1"/>
  <c r="Y111" i="1"/>
  <c r="W113" i="1"/>
  <c r="Z111" i="1" l="1"/>
  <c r="AA111" i="1" s="1"/>
  <c r="Y112" i="1"/>
  <c r="W114" i="1"/>
  <c r="S97" i="1"/>
  <c r="T97" i="1" s="1"/>
  <c r="R98" i="1"/>
  <c r="Z112" i="1" l="1"/>
  <c r="AA112" i="1" s="1"/>
  <c r="R99" i="1"/>
  <c r="S98" i="1"/>
  <c r="T98" i="1" s="1"/>
  <c r="Y113" i="1"/>
  <c r="W115" i="1"/>
  <c r="Z113" i="1" l="1"/>
  <c r="AA113" i="1" s="1"/>
  <c r="Y114" i="1"/>
  <c r="W116" i="1"/>
  <c r="R100" i="1"/>
  <c r="S99" i="1"/>
  <c r="T99" i="1" s="1"/>
  <c r="Z114" i="1" l="1"/>
  <c r="AA114" i="1" s="1"/>
  <c r="Y115" i="1"/>
  <c r="W117" i="1"/>
  <c r="R101" i="1"/>
  <c r="S100" i="1"/>
  <c r="T100" i="1" s="1"/>
  <c r="Z115" i="1" l="1"/>
  <c r="AA115" i="1" s="1"/>
  <c r="Y116" i="1"/>
  <c r="W118" i="1"/>
  <c r="R102" i="1"/>
  <c r="S101" i="1"/>
  <c r="T101" i="1" s="1"/>
  <c r="Z116" i="1" l="1"/>
  <c r="AA116" i="1" s="1"/>
  <c r="R103" i="1"/>
  <c r="S102" i="1"/>
  <c r="T102" i="1" s="1"/>
  <c r="Y117" i="1"/>
  <c r="W119" i="1"/>
  <c r="Z117" i="1" l="1"/>
  <c r="AA117" i="1" s="1"/>
  <c r="Y118" i="1"/>
  <c r="W120" i="1"/>
  <c r="R104" i="1"/>
  <c r="S103" i="1"/>
  <c r="T103" i="1" s="1"/>
  <c r="Z118" i="1" l="1"/>
  <c r="AA118" i="1" s="1"/>
  <c r="R105" i="1"/>
  <c r="S104" i="1"/>
  <c r="T104" i="1" s="1"/>
  <c r="Y119" i="1"/>
  <c r="W121" i="1"/>
  <c r="Z119" i="1" l="1"/>
  <c r="AA119" i="1" s="1"/>
  <c r="Y120" i="1"/>
  <c r="W122" i="1"/>
  <c r="R106" i="1"/>
  <c r="S105" i="1"/>
  <c r="T105" i="1" s="1"/>
  <c r="Z120" i="1" l="1"/>
  <c r="AA120" i="1" s="1"/>
  <c r="R107" i="1"/>
  <c r="S106" i="1"/>
  <c r="T106" i="1" s="1"/>
  <c r="Y121" i="1"/>
  <c r="W123" i="1"/>
  <c r="Z121" i="1" l="1"/>
  <c r="AA121" i="1" s="1"/>
  <c r="Y122" i="1"/>
  <c r="W124" i="1"/>
  <c r="S107" i="1"/>
  <c r="T107" i="1" s="1"/>
  <c r="R108" i="1"/>
  <c r="R109" i="1" l="1"/>
  <c r="S108" i="1"/>
  <c r="T108" i="1" s="1"/>
  <c r="Y123" i="1"/>
  <c r="W125" i="1"/>
  <c r="Z122" i="1"/>
  <c r="AA122" i="1" s="1"/>
  <c r="Y124" i="1" l="1"/>
  <c r="W126" i="1"/>
  <c r="Z123" i="1"/>
  <c r="AA123" i="1" s="1"/>
  <c r="R110" i="1"/>
  <c r="S109" i="1"/>
  <c r="T109" i="1" s="1"/>
  <c r="R111" i="1" l="1"/>
  <c r="S110" i="1"/>
  <c r="T110" i="1" s="1"/>
  <c r="Y125" i="1"/>
  <c r="W127" i="1"/>
  <c r="Z124" i="1"/>
  <c r="AA124" i="1" s="1"/>
  <c r="Y126" i="1" l="1"/>
  <c r="W128" i="1"/>
  <c r="Z125" i="1"/>
  <c r="AA125" i="1" s="1"/>
  <c r="R112" i="1"/>
  <c r="S111" i="1"/>
  <c r="T111" i="1" s="1"/>
  <c r="R113" i="1" l="1"/>
  <c r="S112" i="1"/>
  <c r="T112" i="1" s="1"/>
  <c r="Y127" i="1"/>
  <c r="W129" i="1"/>
  <c r="Z126" i="1"/>
  <c r="AA126" i="1" s="1"/>
  <c r="Y128" i="1" l="1"/>
  <c r="W130" i="1"/>
  <c r="Z127" i="1"/>
  <c r="AA127" i="1" s="1"/>
  <c r="R114" i="1"/>
  <c r="S113" i="1"/>
  <c r="T113" i="1" s="1"/>
  <c r="R115" i="1" l="1"/>
  <c r="S114" i="1"/>
  <c r="T114" i="1" s="1"/>
  <c r="Y129" i="1"/>
  <c r="W131" i="1"/>
  <c r="Z128" i="1"/>
  <c r="AA128" i="1" s="1"/>
  <c r="Y130" i="1" l="1"/>
  <c r="W132" i="1"/>
  <c r="Z129" i="1"/>
  <c r="AA129" i="1" s="1"/>
  <c r="R116" i="1"/>
  <c r="S115" i="1"/>
  <c r="T115" i="1" s="1"/>
  <c r="R117" i="1" l="1"/>
  <c r="S116" i="1"/>
  <c r="T116" i="1" s="1"/>
  <c r="Y131" i="1"/>
  <c r="W133" i="1"/>
  <c r="Z130" i="1"/>
  <c r="AA130" i="1" s="1"/>
  <c r="Y132" i="1" l="1"/>
  <c r="W134" i="1"/>
  <c r="Z131" i="1"/>
  <c r="AA131" i="1" s="1"/>
  <c r="R118" i="1"/>
  <c r="S117" i="1"/>
  <c r="T117" i="1" s="1"/>
  <c r="R119" i="1" l="1"/>
  <c r="S118" i="1"/>
  <c r="T118" i="1" s="1"/>
  <c r="Y133" i="1"/>
  <c r="W135" i="1"/>
  <c r="Z132" i="1"/>
  <c r="AA132" i="1" s="1"/>
  <c r="Y134" i="1" l="1"/>
  <c r="W136" i="1"/>
  <c r="Z133" i="1"/>
  <c r="AA133" i="1" s="1"/>
  <c r="R120" i="1"/>
  <c r="S119" i="1"/>
  <c r="T119" i="1" s="1"/>
  <c r="S120" i="1" l="1"/>
  <c r="T120" i="1" s="1"/>
  <c r="R121" i="1"/>
  <c r="Y135" i="1"/>
  <c r="W137" i="1"/>
  <c r="Z134" i="1"/>
  <c r="AA134" i="1" s="1"/>
  <c r="Y136" i="1" l="1"/>
  <c r="W138" i="1"/>
  <c r="Z135" i="1"/>
  <c r="AA135" i="1" s="1"/>
  <c r="R122" i="1"/>
  <c r="S121" i="1"/>
  <c r="T121" i="1" s="1"/>
  <c r="R123" i="1" l="1"/>
  <c r="S122" i="1"/>
  <c r="T122" i="1" s="1"/>
  <c r="Y137" i="1"/>
  <c r="W139" i="1"/>
  <c r="Z136" i="1"/>
  <c r="AA136" i="1" s="1"/>
  <c r="Y138" i="1" l="1"/>
  <c r="W140" i="1"/>
  <c r="Z137" i="1"/>
  <c r="AA137" i="1" s="1"/>
  <c r="R124" i="1"/>
  <c r="S123" i="1"/>
  <c r="T123" i="1" s="1"/>
  <c r="R125" i="1" l="1"/>
  <c r="S124" i="1"/>
  <c r="T124" i="1" s="1"/>
  <c r="Y139" i="1"/>
  <c r="W141" i="1"/>
  <c r="Z138" i="1"/>
  <c r="AA138" i="1" s="1"/>
  <c r="Y140" i="1" l="1"/>
  <c r="W142" i="1"/>
  <c r="Z139" i="1"/>
  <c r="AA139" i="1" s="1"/>
  <c r="R126" i="1"/>
  <c r="S125" i="1"/>
  <c r="T125" i="1" s="1"/>
  <c r="S126" i="1" l="1"/>
  <c r="T126" i="1" s="1"/>
  <c r="R127" i="1"/>
  <c r="Y141" i="1"/>
  <c r="W143" i="1"/>
  <c r="Z140" i="1"/>
  <c r="AA140" i="1" s="1"/>
  <c r="Y142" i="1" l="1"/>
  <c r="W144" i="1"/>
  <c r="Z141" i="1"/>
  <c r="AA141" i="1" s="1"/>
  <c r="R128" i="1"/>
  <c r="S127" i="1"/>
  <c r="T127" i="1" s="1"/>
  <c r="R129" i="1" l="1"/>
  <c r="S128" i="1"/>
  <c r="T128" i="1" s="1"/>
  <c r="Y143" i="1"/>
  <c r="W145" i="1"/>
  <c r="Z142" i="1"/>
  <c r="AA142" i="1" s="1"/>
  <c r="Y144" i="1" l="1"/>
  <c r="W146" i="1"/>
  <c r="Z143" i="1"/>
  <c r="AA143" i="1" s="1"/>
  <c r="R130" i="1"/>
  <c r="S129" i="1"/>
  <c r="T129" i="1" s="1"/>
  <c r="R131" i="1" l="1"/>
  <c r="S130" i="1"/>
  <c r="T130" i="1" s="1"/>
  <c r="Y145" i="1"/>
  <c r="W147" i="1"/>
  <c r="Z144" i="1"/>
  <c r="AA144" i="1" s="1"/>
  <c r="Y146" i="1" l="1"/>
  <c r="W148" i="1"/>
  <c r="Z145" i="1"/>
  <c r="AA145" i="1" s="1"/>
  <c r="R132" i="1"/>
  <c r="S131" i="1"/>
  <c r="T131" i="1" s="1"/>
  <c r="R133" i="1" l="1"/>
  <c r="S132" i="1"/>
  <c r="T132" i="1" s="1"/>
  <c r="Y147" i="1"/>
  <c r="W149" i="1"/>
  <c r="Z146" i="1"/>
  <c r="AA146" i="1" s="1"/>
  <c r="Z147" i="1" l="1"/>
  <c r="AA147" i="1" s="1"/>
  <c r="Y148" i="1"/>
  <c r="W150" i="1"/>
  <c r="R134" i="1"/>
  <c r="S133" i="1"/>
  <c r="T133" i="1" s="1"/>
  <c r="Z148" i="1" l="1"/>
  <c r="AA148" i="1" s="1"/>
  <c r="R135" i="1"/>
  <c r="S134" i="1"/>
  <c r="T134" i="1" s="1"/>
  <c r="Y149" i="1"/>
  <c r="W151" i="1"/>
  <c r="Z149" i="1" l="1"/>
  <c r="AA149" i="1" s="1"/>
  <c r="Y150" i="1"/>
  <c r="W152" i="1"/>
  <c r="R136" i="1"/>
  <c r="S135" i="1"/>
  <c r="T135" i="1" s="1"/>
  <c r="Z150" i="1" l="1"/>
  <c r="AA150" i="1" s="1"/>
  <c r="Y151" i="1"/>
  <c r="W153" i="1"/>
  <c r="R137" i="1"/>
  <c r="S136" i="1"/>
  <c r="T136" i="1" s="1"/>
  <c r="Z151" i="1" l="1"/>
  <c r="AA151" i="1" s="1"/>
  <c r="R138" i="1"/>
  <c r="S137" i="1"/>
  <c r="T137" i="1" s="1"/>
  <c r="Y152" i="1"/>
  <c r="W154" i="1"/>
  <c r="Z152" i="1" l="1"/>
  <c r="AA152" i="1" s="1"/>
  <c r="Y153" i="1"/>
  <c r="W155" i="1"/>
  <c r="R139" i="1"/>
  <c r="S138" i="1"/>
  <c r="T138" i="1" s="1"/>
  <c r="Z153" i="1" l="1"/>
  <c r="AA153" i="1" s="1"/>
  <c r="R140" i="1"/>
  <c r="S139" i="1"/>
  <c r="T139" i="1" s="1"/>
  <c r="Y154" i="1"/>
  <c r="W156" i="1"/>
  <c r="Z154" i="1" l="1"/>
  <c r="AA154" i="1" s="1"/>
  <c r="Y155" i="1"/>
  <c r="W157" i="1"/>
  <c r="R141" i="1"/>
  <c r="S140" i="1"/>
  <c r="T140" i="1" s="1"/>
  <c r="Z155" i="1" l="1"/>
  <c r="AA155" i="1" s="1"/>
  <c r="S141" i="1"/>
  <c r="T141" i="1" s="1"/>
  <c r="R142" i="1"/>
  <c r="Y156" i="1"/>
  <c r="W158" i="1"/>
  <c r="Y157" i="1" l="1"/>
  <c r="W159" i="1"/>
  <c r="Z156" i="1"/>
  <c r="AA156" i="1" s="1"/>
  <c r="R143" i="1"/>
  <c r="S142" i="1"/>
  <c r="T142" i="1" s="1"/>
  <c r="R144" i="1" l="1"/>
  <c r="S143" i="1"/>
  <c r="T143" i="1" s="1"/>
  <c r="Y158" i="1"/>
  <c r="W160" i="1"/>
  <c r="Z157" i="1"/>
  <c r="AA157" i="1" s="1"/>
  <c r="Y159" i="1" l="1"/>
  <c r="W161" i="1"/>
  <c r="Z158" i="1"/>
  <c r="AA158" i="1" s="1"/>
  <c r="R145" i="1"/>
  <c r="S144" i="1"/>
  <c r="T144" i="1" s="1"/>
  <c r="R146" i="1" l="1"/>
  <c r="S145" i="1"/>
  <c r="T145" i="1" s="1"/>
  <c r="Y160" i="1"/>
  <c r="W162" i="1"/>
  <c r="Z159" i="1"/>
  <c r="AA159" i="1" s="1"/>
  <c r="Y161" i="1" l="1"/>
  <c r="W163" i="1"/>
  <c r="Z160" i="1"/>
  <c r="AA160" i="1" s="1"/>
  <c r="R147" i="1"/>
  <c r="S146" i="1"/>
  <c r="T146" i="1" s="1"/>
  <c r="R148" i="1" l="1"/>
  <c r="S147" i="1"/>
  <c r="T147" i="1" s="1"/>
  <c r="Y162" i="1"/>
  <c r="W164" i="1"/>
  <c r="Z161" i="1"/>
  <c r="AA161" i="1" s="1"/>
  <c r="Y163" i="1" l="1"/>
  <c r="W165" i="1"/>
  <c r="Z162" i="1"/>
  <c r="AA162" i="1" s="1"/>
  <c r="R149" i="1"/>
  <c r="S148" i="1"/>
  <c r="T148" i="1" s="1"/>
  <c r="S149" i="1" l="1"/>
  <c r="T149" i="1" s="1"/>
  <c r="R150" i="1"/>
  <c r="Y164" i="1"/>
  <c r="W166" i="1"/>
  <c r="Z163" i="1"/>
  <c r="AA163" i="1" s="1"/>
  <c r="Y165" i="1" l="1"/>
  <c r="W167" i="1"/>
  <c r="Z164" i="1"/>
  <c r="AA164" i="1" s="1"/>
  <c r="R151" i="1"/>
  <c r="S150" i="1"/>
  <c r="T150" i="1" s="1"/>
  <c r="R152" i="1" l="1"/>
  <c r="S151" i="1"/>
  <c r="T151" i="1" s="1"/>
  <c r="Y166" i="1"/>
  <c r="W168" i="1"/>
  <c r="Z165" i="1"/>
  <c r="AA165" i="1" s="1"/>
  <c r="Y167" i="1" l="1"/>
  <c r="W169" i="1"/>
  <c r="Z166" i="1"/>
  <c r="AA166" i="1" s="1"/>
  <c r="S152" i="1"/>
  <c r="T152" i="1" s="1"/>
  <c r="R153" i="1"/>
  <c r="R154" i="1" l="1"/>
  <c r="S153" i="1"/>
  <c r="T153" i="1" s="1"/>
  <c r="Y168" i="1"/>
  <c r="W170" i="1"/>
  <c r="Z167" i="1"/>
  <c r="AA167" i="1" s="1"/>
  <c r="Y169" i="1" l="1"/>
  <c r="W171" i="1"/>
  <c r="Z168" i="1"/>
  <c r="AA168" i="1" s="1"/>
  <c r="R155" i="1"/>
  <c r="S154" i="1"/>
  <c r="T154" i="1" s="1"/>
  <c r="R156" i="1" l="1"/>
  <c r="S155" i="1"/>
  <c r="T155" i="1" s="1"/>
  <c r="Y170" i="1"/>
  <c r="W172" i="1"/>
  <c r="Z169" i="1"/>
  <c r="AA169" i="1" s="1"/>
  <c r="Y171" i="1" l="1"/>
  <c r="W173" i="1"/>
  <c r="Z170" i="1"/>
  <c r="AA170" i="1" s="1"/>
  <c r="R157" i="1"/>
  <c r="S156" i="1"/>
  <c r="T156" i="1" s="1"/>
  <c r="R158" i="1" l="1"/>
  <c r="S157" i="1"/>
  <c r="T157" i="1" s="1"/>
  <c r="Y172" i="1"/>
  <c r="W174" i="1"/>
  <c r="Z171" i="1"/>
  <c r="AA171" i="1" s="1"/>
  <c r="Y173" i="1" l="1"/>
  <c r="W175" i="1"/>
  <c r="Z172" i="1"/>
  <c r="AA172" i="1" s="1"/>
  <c r="R159" i="1"/>
  <c r="S158" i="1"/>
  <c r="T158" i="1" s="1"/>
  <c r="R160" i="1" l="1"/>
  <c r="S159" i="1"/>
  <c r="T159" i="1" s="1"/>
  <c r="Y174" i="1"/>
  <c r="W176" i="1"/>
  <c r="Z173" i="1"/>
  <c r="AA173" i="1" s="1"/>
  <c r="Y175" i="1" l="1"/>
  <c r="W177" i="1"/>
  <c r="Z174" i="1"/>
  <c r="AA174" i="1" s="1"/>
  <c r="R161" i="1"/>
  <c r="S160" i="1"/>
  <c r="T160" i="1" s="1"/>
  <c r="R162" i="1" l="1"/>
  <c r="S161" i="1"/>
  <c r="T161" i="1" s="1"/>
  <c r="Y176" i="1"/>
  <c r="W178" i="1"/>
  <c r="Z175" i="1"/>
  <c r="AA175" i="1" s="1"/>
  <c r="Y177" i="1" l="1"/>
  <c r="W179" i="1"/>
  <c r="Z176" i="1"/>
  <c r="AA176" i="1" s="1"/>
  <c r="R163" i="1"/>
  <c r="S162" i="1"/>
  <c r="T162" i="1" s="1"/>
  <c r="S163" i="1" l="1"/>
  <c r="T163" i="1" s="1"/>
  <c r="R164" i="1"/>
  <c r="Y178" i="1"/>
  <c r="W180" i="1"/>
  <c r="Z177" i="1"/>
  <c r="AA177" i="1" s="1"/>
  <c r="Y179" i="1" l="1"/>
  <c r="W181" i="1"/>
  <c r="Z178" i="1"/>
  <c r="AA178" i="1" s="1"/>
  <c r="R165" i="1"/>
  <c r="S164" i="1"/>
  <c r="T164" i="1" s="1"/>
  <c r="R166" i="1" l="1"/>
  <c r="S165" i="1"/>
  <c r="T165" i="1" s="1"/>
  <c r="Y180" i="1"/>
  <c r="W182" i="1"/>
  <c r="Z179" i="1"/>
  <c r="AA179" i="1" s="1"/>
  <c r="Y181" i="1" l="1"/>
  <c r="W183" i="1"/>
  <c r="Z180" i="1"/>
  <c r="AA180" i="1" s="1"/>
  <c r="R167" i="1"/>
  <c r="S166" i="1"/>
  <c r="T166" i="1" s="1"/>
  <c r="R168" i="1" l="1"/>
  <c r="S167" i="1"/>
  <c r="T167" i="1" s="1"/>
  <c r="Y182" i="1"/>
  <c r="W184" i="1"/>
  <c r="Z181" i="1"/>
  <c r="AA181" i="1" s="1"/>
  <c r="Y183" i="1" l="1"/>
  <c r="W185" i="1"/>
  <c r="Z182" i="1"/>
  <c r="AA182" i="1" s="1"/>
  <c r="R169" i="1"/>
  <c r="S168" i="1"/>
  <c r="T168" i="1" s="1"/>
  <c r="R170" i="1" l="1"/>
  <c r="S169" i="1"/>
  <c r="T169" i="1" s="1"/>
  <c r="Y184" i="1"/>
  <c r="W186" i="1"/>
  <c r="Z183" i="1"/>
  <c r="AA183" i="1" s="1"/>
  <c r="Y185" i="1" l="1"/>
  <c r="W187" i="1"/>
  <c r="Z184" i="1"/>
  <c r="AA184" i="1" s="1"/>
  <c r="R171" i="1"/>
  <c r="S170" i="1"/>
  <c r="T170" i="1" s="1"/>
  <c r="R172" i="1" l="1"/>
  <c r="S171" i="1"/>
  <c r="T171" i="1" s="1"/>
  <c r="Y186" i="1"/>
  <c r="W188" i="1"/>
  <c r="Z185" i="1"/>
  <c r="AA185" i="1" s="1"/>
  <c r="Y187" i="1" l="1"/>
  <c r="W189" i="1"/>
  <c r="Z186" i="1"/>
  <c r="AA186" i="1" s="1"/>
  <c r="R173" i="1"/>
  <c r="S172" i="1"/>
  <c r="T172" i="1" s="1"/>
  <c r="R174" i="1" l="1"/>
  <c r="S173" i="1"/>
  <c r="T173" i="1" s="1"/>
  <c r="Y188" i="1"/>
  <c r="W190" i="1"/>
  <c r="Z187" i="1"/>
  <c r="AA187" i="1" s="1"/>
  <c r="Y189" i="1" l="1"/>
  <c r="W191" i="1"/>
  <c r="Z188" i="1"/>
  <c r="AA188" i="1" s="1"/>
  <c r="R175" i="1"/>
  <c r="S174" i="1"/>
  <c r="T174" i="1" s="1"/>
  <c r="R176" i="1" l="1"/>
  <c r="S175" i="1"/>
  <c r="T175" i="1" s="1"/>
  <c r="Y190" i="1"/>
  <c r="W192" i="1"/>
  <c r="Z189" i="1"/>
  <c r="AA189" i="1" s="1"/>
  <c r="Y191" i="1" l="1"/>
  <c r="W193" i="1"/>
  <c r="Z190" i="1"/>
  <c r="AA190" i="1" s="1"/>
  <c r="R177" i="1"/>
  <c r="S176" i="1"/>
  <c r="T176" i="1" s="1"/>
  <c r="R178" i="1" l="1"/>
  <c r="S177" i="1"/>
  <c r="T177" i="1" s="1"/>
  <c r="Y192" i="1"/>
  <c r="W194" i="1"/>
  <c r="Z191" i="1"/>
  <c r="AA191" i="1" s="1"/>
  <c r="Y193" i="1" l="1"/>
  <c r="W195" i="1"/>
  <c r="Z192" i="1"/>
  <c r="AA192" i="1" s="1"/>
  <c r="R179" i="1"/>
  <c r="S178" i="1"/>
  <c r="T178" i="1" s="1"/>
  <c r="R180" i="1" l="1"/>
  <c r="S179" i="1"/>
  <c r="T179" i="1" s="1"/>
  <c r="Y194" i="1"/>
  <c r="W196" i="1"/>
  <c r="Z193" i="1"/>
  <c r="AA193" i="1" s="1"/>
  <c r="Y195" i="1" l="1"/>
  <c r="W197" i="1"/>
  <c r="Z194" i="1"/>
  <c r="AA194" i="1" s="1"/>
  <c r="R181" i="1"/>
  <c r="S180" i="1"/>
  <c r="T180" i="1" s="1"/>
  <c r="R182" i="1" l="1"/>
  <c r="S181" i="1"/>
  <c r="T181" i="1" s="1"/>
  <c r="Y196" i="1"/>
  <c r="W198" i="1"/>
  <c r="Z195" i="1"/>
  <c r="AA195" i="1" s="1"/>
  <c r="Y197" i="1" l="1"/>
  <c r="W199" i="1"/>
  <c r="Z196" i="1"/>
  <c r="AA196" i="1" s="1"/>
  <c r="R183" i="1"/>
  <c r="S182" i="1"/>
  <c r="T182" i="1" s="1"/>
  <c r="R184" i="1" l="1"/>
  <c r="S183" i="1"/>
  <c r="T183" i="1" s="1"/>
  <c r="Y198" i="1"/>
  <c r="W200" i="1"/>
  <c r="Z197" i="1"/>
  <c r="AA197" i="1" s="1"/>
  <c r="Y199" i="1" l="1"/>
  <c r="W201" i="1"/>
  <c r="Z198" i="1"/>
  <c r="AA198" i="1" s="1"/>
  <c r="R185" i="1"/>
  <c r="S184" i="1"/>
  <c r="T184" i="1" s="1"/>
  <c r="S185" i="1" l="1"/>
  <c r="T185" i="1" s="1"/>
  <c r="R186" i="1"/>
  <c r="Y200" i="1"/>
  <c r="W202" i="1"/>
  <c r="Z199" i="1"/>
  <c r="AA199" i="1" s="1"/>
  <c r="Y201" i="1" l="1"/>
  <c r="W203" i="1"/>
  <c r="Z200" i="1"/>
  <c r="AA200" i="1" s="1"/>
  <c r="R187" i="1"/>
  <c r="S186" i="1"/>
  <c r="T186" i="1" s="1"/>
  <c r="R188" i="1" l="1"/>
  <c r="S187" i="1"/>
  <c r="T187" i="1" s="1"/>
  <c r="Y202" i="1"/>
  <c r="W204" i="1"/>
  <c r="Z201" i="1"/>
  <c r="AA201" i="1" s="1"/>
  <c r="Y203" i="1" l="1"/>
  <c r="W205" i="1"/>
  <c r="Z202" i="1"/>
  <c r="AA202" i="1" s="1"/>
  <c r="R189" i="1"/>
  <c r="S188" i="1"/>
  <c r="T188" i="1" s="1"/>
  <c r="R190" i="1" l="1"/>
  <c r="S189" i="1"/>
  <c r="T189" i="1" s="1"/>
  <c r="Y204" i="1"/>
  <c r="W206" i="1"/>
  <c r="Z203" i="1"/>
  <c r="AA203" i="1" s="1"/>
  <c r="Y205" i="1" l="1"/>
  <c r="W207" i="1"/>
  <c r="Z204" i="1"/>
  <c r="AA204" i="1" s="1"/>
  <c r="R191" i="1"/>
  <c r="S190" i="1"/>
  <c r="T190" i="1" s="1"/>
  <c r="R192" i="1" l="1"/>
  <c r="S191" i="1"/>
  <c r="T191" i="1" s="1"/>
  <c r="Y206" i="1"/>
  <c r="W208" i="1"/>
  <c r="Z205" i="1"/>
  <c r="AA205" i="1" s="1"/>
  <c r="Y207" i="1" l="1"/>
  <c r="W209" i="1"/>
  <c r="Z206" i="1"/>
  <c r="AA206" i="1" s="1"/>
  <c r="R193" i="1"/>
  <c r="S192" i="1"/>
  <c r="T192" i="1" s="1"/>
  <c r="Z207" i="1" l="1"/>
  <c r="AA207" i="1" s="1"/>
  <c r="R194" i="1"/>
  <c r="S193" i="1"/>
  <c r="T193" i="1" s="1"/>
  <c r="Y208" i="1"/>
  <c r="W210" i="1"/>
  <c r="Z208" i="1" l="1"/>
  <c r="AA208" i="1" s="1"/>
  <c r="Y209" i="1"/>
  <c r="W211" i="1"/>
  <c r="R195" i="1"/>
  <c r="S194" i="1"/>
  <c r="T194" i="1" s="1"/>
  <c r="Z209" i="1" l="1"/>
  <c r="AA209" i="1" s="1"/>
  <c r="R196" i="1"/>
  <c r="S195" i="1"/>
  <c r="T195" i="1" s="1"/>
  <c r="Y210" i="1"/>
  <c r="W212" i="1"/>
  <c r="Z210" i="1" l="1"/>
  <c r="AA210" i="1" s="1"/>
  <c r="Y211" i="1"/>
  <c r="W213" i="1"/>
  <c r="R197" i="1"/>
  <c r="S196" i="1"/>
  <c r="T196" i="1" s="1"/>
  <c r="Z211" i="1" l="1"/>
  <c r="AA211" i="1" s="1"/>
  <c r="R198" i="1"/>
  <c r="S197" i="1"/>
  <c r="T197" i="1" s="1"/>
  <c r="Y212" i="1"/>
  <c r="W214" i="1"/>
  <c r="Z212" i="1" l="1"/>
  <c r="AA212" i="1" s="1"/>
  <c r="Y213" i="1"/>
  <c r="W215" i="1"/>
  <c r="R199" i="1"/>
  <c r="S198" i="1"/>
  <c r="T198" i="1" s="1"/>
  <c r="Z213" i="1" l="1"/>
  <c r="AA213" i="1" s="1"/>
  <c r="Y214" i="1"/>
  <c r="W216" i="1"/>
  <c r="R200" i="1"/>
  <c r="S199" i="1"/>
  <c r="T199" i="1" s="1"/>
  <c r="Z214" i="1" l="1"/>
  <c r="AA214" i="1" s="1"/>
  <c r="S200" i="1"/>
  <c r="T200" i="1" s="1"/>
  <c r="R201" i="1"/>
  <c r="Y215" i="1"/>
  <c r="W217" i="1"/>
  <c r="Z215" i="1" l="1"/>
  <c r="AA215" i="1" s="1"/>
  <c r="Y216" i="1"/>
  <c r="W218" i="1"/>
  <c r="R202" i="1"/>
  <c r="S201" i="1"/>
  <c r="T201" i="1" s="1"/>
  <c r="Z216" i="1" l="1"/>
  <c r="AA216" i="1" s="1"/>
  <c r="R203" i="1"/>
  <c r="S202" i="1"/>
  <c r="T202" i="1" s="1"/>
  <c r="Y217" i="1"/>
  <c r="W219" i="1"/>
  <c r="Z217" i="1" l="1"/>
  <c r="AA217" i="1" s="1"/>
  <c r="Y218" i="1"/>
  <c r="W220" i="1"/>
  <c r="R204" i="1"/>
  <c r="S203" i="1"/>
  <c r="T203" i="1" s="1"/>
  <c r="Z218" i="1" l="1"/>
  <c r="AA218" i="1" s="1"/>
  <c r="Y219" i="1"/>
  <c r="W221" i="1"/>
  <c r="R205" i="1"/>
  <c r="S204" i="1"/>
  <c r="T204" i="1" s="1"/>
  <c r="R206" i="1" l="1"/>
  <c r="S205" i="1"/>
  <c r="T205" i="1" s="1"/>
  <c r="Y220" i="1"/>
  <c r="W222" i="1"/>
  <c r="Z219" i="1"/>
  <c r="AA219" i="1" s="1"/>
  <c r="Z220" i="1" l="1"/>
  <c r="AA220" i="1" s="1"/>
  <c r="Y221" i="1"/>
  <c r="W223" i="1"/>
  <c r="R207" i="1"/>
  <c r="S206" i="1"/>
  <c r="T206" i="1" s="1"/>
  <c r="Z221" i="1" l="1"/>
  <c r="AA221" i="1" s="1"/>
  <c r="R208" i="1"/>
  <c r="S207" i="1"/>
  <c r="T207" i="1" s="1"/>
  <c r="Y222" i="1"/>
  <c r="W224" i="1"/>
  <c r="Z222" i="1" l="1"/>
  <c r="AA222" i="1" s="1"/>
  <c r="Y223" i="1"/>
  <c r="W225" i="1"/>
  <c r="R209" i="1"/>
  <c r="S208" i="1"/>
  <c r="T208" i="1" s="1"/>
  <c r="Z223" i="1" l="1"/>
  <c r="AA223" i="1" s="1"/>
  <c r="R210" i="1"/>
  <c r="S209" i="1"/>
  <c r="T209" i="1" s="1"/>
  <c r="Y224" i="1"/>
  <c r="W226" i="1"/>
  <c r="Z224" i="1" l="1"/>
  <c r="AA224" i="1" s="1"/>
  <c r="Y225" i="1"/>
  <c r="W227" i="1"/>
  <c r="R211" i="1"/>
  <c r="S210" i="1"/>
  <c r="T210" i="1" s="1"/>
  <c r="Z225" i="1" l="1"/>
  <c r="AA225" i="1" s="1"/>
  <c r="R212" i="1"/>
  <c r="S211" i="1"/>
  <c r="T211" i="1" s="1"/>
  <c r="Y226" i="1"/>
  <c r="W228" i="1"/>
  <c r="Z226" i="1" l="1"/>
  <c r="AA226" i="1" s="1"/>
  <c r="Y227" i="1"/>
  <c r="W229" i="1"/>
  <c r="R213" i="1"/>
  <c r="S212" i="1"/>
  <c r="T212" i="1" s="1"/>
  <c r="Z227" i="1" l="1"/>
  <c r="AA227" i="1" s="1"/>
  <c r="R214" i="1"/>
  <c r="S213" i="1"/>
  <c r="T213" i="1" s="1"/>
  <c r="Y228" i="1"/>
  <c r="W230" i="1"/>
  <c r="Z228" i="1" l="1"/>
  <c r="AA228" i="1" s="1"/>
  <c r="Y229" i="1"/>
  <c r="W231" i="1"/>
  <c r="R215" i="1"/>
  <c r="S214" i="1"/>
  <c r="T214" i="1" s="1"/>
  <c r="Z229" i="1" l="1"/>
  <c r="AA229" i="1" s="1"/>
  <c r="R216" i="1"/>
  <c r="S215" i="1"/>
  <c r="T215" i="1" s="1"/>
  <c r="Y230" i="1"/>
  <c r="W232" i="1"/>
  <c r="Z230" i="1" l="1"/>
  <c r="AA230" i="1" s="1"/>
  <c r="Y231" i="1"/>
  <c r="W233" i="1"/>
  <c r="R217" i="1"/>
  <c r="S216" i="1"/>
  <c r="T216" i="1" s="1"/>
  <c r="Z231" i="1" l="1"/>
  <c r="AA231" i="1" s="1"/>
  <c r="R218" i="1"/>
  <c r="S217" i="1"/>
  <c r="T217" i="1" s="1"/>
  <c r="Y232" i="1"/>
  <c r="W234" i="1"/>
  <c r="Z232" i="1" l="1"/>
  <c r="AA232" i="1" s="1"/>
  <c r="Y233" i="1"/>
  <c r="W235" i="1"/>
  <c r="R219" i="1"/>
  <c r="S218" i="1"/>
  <c r="T218" i="1" s="1"/>
  <c r="Z233" i="1" l="1"/>
  <c r="AA233" i="1" s="1"/>
  <c r="R220" i="1"/>
  <c r="S219" i="1"/>
  <c r="T219" i="1" s="1"/>
  <c r="Y234" i="1"/>
  <c r="W236" i="1"/>
  <c r="Z234" i="1" l="1"/>
  <c r="AA234" i="1" s="1"/>
  <c r="Y235" i="1"/>
  <c r="W237" i="1"/>
  <c r="R221" i="1"/>
  <c r="S220" i="1"/>
  <c r="T220" i="1" s="1"/>
  <c r="Z235" i="1" l="1"/>
  <c r="AA235" i="1" s="1"/>
  <c r="Y236" i="1"/>
  <c r="W238" i="1"/>
  <c r="R222" i="1"/>
  <c r="S221" i="1"/>
  <c r="T221" i="1" s="1"/>
  <c r="Z236" i="1" l="1"/>
  <c r="AA236" i="1" s="1"/>
  <c r="R223" i="1"/>
  <c r="S222" i="1"/>
  <c r="T222" i="1" s="1"/>
  <c r="Y237" i="1"/>
  <c r="W239" i="1"/>
  <c r="Z237" i="1" l="1"/>
  <c r="AA237" i="1" s="1"/>
  <c r="Y238" i="1"/>
  <c r="W240" i="1"/>
  <c r="R224" i="1"/>
  <c r="S223" i="1"/>
  <c r="T223" i="1" s="1"/>
  <c r="Z238" i="1" l="1"/>
  <c r="AA238" i="1" s="1"/>
  <c r="S224" i="1"/>
  <c r="T224" i="1" s="1"/>
  <c r="R225" i="1"/>
  <c r="Y239" i="1"/>
  <c r="W241" i="1"/>
  <c r="Z239" i="1" l="1"/>
  <c r="AA239" i="1" s="1"/>
  <c r="Y240" i="1"/>
  <c r="W242" i="1"/>
  <c r="R226" i="1"/>
  <c r="S225" i="1"/>
  <c r="T225" i="1" s="1"/>
  <c r="Z240" i="1" l="1"/>
  <c r="AA240" i="1" s="1"/>
  <c r="R227" i="1"/>
  <c r="S226" i="1"/>
  <c r="T226" i="1" s="1"/>
  <c r="Y241" i="1"/>
  <c r="W243" i="1"/>
  <c r="Z241" i="1" l="1"/>
  <c r="AA241" i="1" s="1"/>
  <c r="Y242" i="1"/>
  <c r="W244" i="1"/>
  <c r="R228" i="1"/>
  <c r="S227" i="1"/>
  <c r="T227" i="1" s="1"/>
  <c r="Z242" i="1" l="1"/>
  <c r="AA242" i="1" s="1"/>
  <c r="R229" i="1"/>
  <c r="S228" i="1"/>
  <c r="T228" i="1" s="1"/>
  <c r="Y243" i="1"/>
  <c r="W245" i="1"/>
  <c r="Z243" i="1" l="1"/>
  <c r="AA243" i="1" s="1"/>
  <c r="Y244" i="1"/>
  <c r="W246" i="1"/>
  <c r="R230" i="1"/>
  <c r="S229" i="1"/>
  <c r="T229" i="1" s="1"/>
  <c r="Z244" i="1" l="1"/>
  <c r="AA244" i="1" s="1"/>
  <c r="R231" i="1"/>
  <c r="S230" i="1"/>
  <c r="T230" i="1" s="1"/>
  <c r="Y245" i="1"/>
  <c r="W247" i="1"/>
  <c r="Z245" i="1" l="1"/>
  <c r="AA245" i="1" s="1"/>
  <c r="Y246" i="1"/>
  <c r="W248" i="1"/>
  <c r="R232" i="1"/>
  <c r="S231" i="1"/>
  <c r="T231" i="1" s="1"/>
  <c r="Z246" i="1" l="1"/>
  <c r="AA246" i="1" s="1"/>
  <c r="R233" i="1"/>
  <c r="S232" i="1"/>
  <c r="T232" i="1" s="1"/>
  <c r="Y247" i="1"/>
  <c r="W249" i="1"/>
  <c r="Z247" i="1" l="1"/>
  <c r="AA247" i="1" s="1"/>
  <c r="Y248" i="1"/>
  <c r="W250" i="1"/>
  <c r="R234" i="1"/>
  <c r="S233" i="1"/>
  <c r="T233" i="1" s="1"/>
  <c r="Z248" i="1" l="1"/>
  <c r="AA248" i="1" s="1"/>
  <c r="R235" i="1"/>
  <c r="S234" i="1"/>
  <c r="T234" i="1" s="1"/>
  <c r="Y249" i="1"/>
  <c r="W251" i="1"/>
  <c r="Z249" i="1" l="1"/>
  <c r="AA249" i="1" s="1"/>
  <c r="Y250" i="1"/>
  <c r="R236" i="1"/>
  <c r="S235" i="1"/>
  <c r="T235" i="1" s="1"/>
  <c r="Z250" i="1" l="1"/>
  <c r="AA250" i="1"/>
  <c r="Z251" i="1"/>
  <c r="AA251" i="1" s="1"/>
  <c r="R237" i="1"/>
  <c r="S236" i="1"/>
  <c r="T236" i="1" s="1"/>
  <c r="R238" i="1" l="1"/>
  <c r="S237" i="1"/>
  <c r="T237" i="1" s="1"/>
  <c r="R239" i="1" l="1"/>
  <c r="S238" i="1"/>
  <c r="T238" i="1" s="1"/>
  <c r="R240" i="1" l="1"/>
  <c r="S239" i="1"/>
  <c r="T239" i="1" s="1"/>
  <c r="R241" i="1" l="1"/>
  <c r="S240" i="1"/>
  <c r="T240" i="1" s="1"/>
  <c r="R242" i="1" l="1"/>
  <c r="S241" i="1"/>
  <c r="T241" i="1" s="1"/>
  <c r="R243" i="1" l="1"/>
  <c r="S242" i="1"/>
  <c r="T242" i="1" s="1"/>
  <c r="R244" i="1" l="1"/>
  <c r="S243" i="1"/>
  <c r="T243" i="1" s="1"/>
  <c r="R245" i="1" l="1"/>
  <c r="S244" i="1"/>
  <c r="T244" i="1" s="1"/>
  <c r="R246" i="1" l="1"/>
  <c r="S245" i="1"/>
  <c r="T245" i="1" s="1"/>
  <c r="R247" i="1" l="1"/>
  <c r="S246" i="1"/>
  <c r="T246" i="1" s="1"/>
  <c r="R248" i="1" l="1"/>
  <c r="S247" i="1"/>
  <c r="T247" i="1" s="1"/>
  <c r="R249" i="1" l="1"/>
  <c r="S248" i="1"/>
  <c r="T248" i="1" s="1"/>
  <c r="R250" i="1" l="1"/>
  <c r="S249" i="1"/>
  <c r="T249" i="1" s="1"/>
  <c r="R251" i="1" l="1"/>
  <c r="S250" i="1"/>
  <c r="T250" i="1" s="1"/>
  <c r="S251" i="1" l="1"/>
  <c r="T251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722F3A0-CB98-4B2D-8453-4FFD6AA593AC}" keepAlive="1" name="Query - Weekly" description="Connection to the 'Weekly' query in the workbook." type="5" refreshedVersion="8" background="1" saveData="1">
    <dbPr connection="Provider=Microsoft.Mashup.OleDb.1;Data Source=$Workbook$;Location=Weekly;Extended Properties=&quot;&quot;" command="SELECT * FROM [Weekly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745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  <bk>
      <extLst>
        <ext uri="{3e2802c4-a4d2-4d8b-9148-e3be6c30e623}">
          <xlrd:rvb i="128"/>
        </ext>
      </extLst>
    </bk>
    <bk>
      <extLst>
        <ext uri="{3e2802c4-a4d2-4d8b-9148-e3be6c30e623}">
          <xlrd:rvb i="129"/>
        </ext>
      </extLst>
    </bk>
    <bk>
      <extLst>
        <ext uri="{3e2802c4-a4d2-4d8b-9148-e3be6c30e623}">
          <xlrd:rvb i="130"/>
        </ext>
      </extLst>
    </bk>
    <bk>
      <extLst>
        <ext uri="{3e2802c4-a4d2-4d8b-9148-e3be6c30e623}">
          <xlrd:rvb i="131"/>
        </ext>
      </extLst>
    </bk>
    <bk>
      <extLst>
        <ext uri="{3e2802c4-a4d2-4d8b-9148-e3be6c30e623}">
          <xlrd:rvb i="132"/>
        </ext>
      </extLst>
    </bk>
    <bk>
      <extLst>
        <ext uri="{3e2802c4-a4d2-4d8b-9148-e3be6c30e623}">
          <xlrd:rvb i="133"/>
        </ext>
      </extLst>
    </bk>
    <bk>
      <extLst>
        <ext uri="{3e2802c4-a4d2-4d8b-9148-e3be6c30e623}">
          <xlrd:rvb i="134"/>
        </ext>
      </extLst>
    </bk>
    <bk>
      <extLst>
        <ext uri="{3e2802c4-a4d2-4d8b-9148-e3be6c30e623}">
          <xlrd:rvb i="135"/>
        </ext>
      </extLst>
    </bk>
    <bk>
      <extLst>
        <ext uri="{3e2802c4-a4d2-4d8b-9148-e3be6c30e623}">
          <xlrd:rvb i="136"/>
        </ext>
      </extLst>
    </bk>
    <bk>
      <extLst>
        <ext uri="{3e2802c4-a4d2-4d8b-9148-e3be6c30e623}">
          <xlrd:rvb i="137"/>
        </ext>
      </extLst>
    </bk>
    <bk>
      <extLst>
        <ext uri="{3e2802c4-a4d2-4d8b-9148-e3be6c30e623}">
          <xlrd:rvb i="138"/>
        </ext>
      </extLst>
    </bk>
    <bk>
      <extLst>
        <ext uri="{3e2802c4-a4d2-4d8b-9148-e3be6c30e623}">
          <xlrd:rvb i="139"/>
        </ext>
      </extLst>
    </bk>
    <bk>
      <extLst>
        <ext uri="{3e2802c4-a4d2-4d8b-9148-e3be6c30e623}">
          <xlrd:rvb i="140"/>
        </ext>
      </extLst>
    </bk>
    <bk>
      <extLst>
        <ext uri="{3e2802c4-a4d2-4d8b-9148-e3be6c30e623}">
          <xlrd:rvb i="141"/>
        </ext>
      </extLst>
    </bk>
    <bk>
      <extLst>
        <ext uri="{3e2802c4-a4d2-4d8b-9148-e3be6c30e623}">
          <xlrd:rvb i="142"/>
        </ext>
      </extLst>
    </bk>
    <bk>
      <extLst>
        <ext uri="{3e2802c4-a4d2-4d8b-9148-e3be6c30e623}">
          <xlrd:rvb i="143"/>
        </ext>
      </extLst>
    </bk>
    <bk>
      <extLst>
        <ext uri="{3e2802c4-a4d2-4d8b-9148-e3be6c30e623}">
          <xlrd:rvb i="144"/>
        </ext>
      </extLst>
    </bk>
    <bk>
      <extLst>
        <ext uri="{3e2802c4-a4d2-4d8b-9148-e3be6c30e623}">
          <xlrd:rvb i="145"/>
        </ext>
      </extLst>
    </bk>
    <bk>
      <extLst>
        <ext uri="{3e2802c4-a4d2-4d8b-9148-e3be6c30e623}">
          <xlrd:rvb i="146"/>
        </ext>
      </extLst>
    </bk>
    <bk>
      <extLst>
        <ext uri="{3e2802c4-a4d2-4d8b-9148-e3be6c30e623}">
          <xlrd:rvb i="147"/>
        </ext>
      </extLst>
    </bk>
    <bk>
      <extLst>
        <ext uri="{3e2802c4-a4d2-4d8b-9148-e3be6c30e623}">
          <xlrd:rvb i="148"/>
        </ext>
      </extLst>
    </bk>
    <bk>
      <extLst>
        <ext uri="{3e2802c4-a4d2-4d8b-9148-e3be6c30e623}">
          <xlrd:rvb i="149"/>
        </ext>
      </extLst>
    </bk>
    <bk>
      <extLst>
        <ext uri="{3e2802c4-a4d2-4d8b-9148-e3be6c30e623}">
          <xlrd:rvb i="150"/>
        </ext>
      </extLst>
    </bk>
    <bk>
      <extLst>
        <ext uri="{3e2802c4-a4d2-4d8b-9148-e3be6c30e623}">
          <xlrd:rvb i="151"/>
        </ext>
      </extLst>
    </bk>
    <bk>
      <extLst>
        <ext uri="{3e2802c4-a4d2-4d8b-9148-e3be6c30e623}">
          <xlrd:rvb i="152"/>
        </ext>
      </extLst>
    </bk>
    <bk>
      <extLst>
        <ext uri="{3e2802c4-a4d2-4d8b-9148-e3be6c30e623}">
          <xlrd:rvb i="153"/>
        </ext>
      </extLst>
    </bk>
    <bk>
      <extLst>
        <ext uri="{3e2802c4-a4d2-4d8b-9148-e3be6c30e623}">
          <xlrd:rvb i="154"/>
        </ext>
      </extLst>
    </bk>
    <bk>
      <extLst>
        <ext uri="{3e2802c4-a4d2-4d8b-9148-e3be6c30e623}">
          <xlrd:rvb i="155"/>
        </ext>
      </extLst>
    </bk>
    <bk>
      <extLst>
        <ext uri="{3e2802c4-a4d2-4d8b-9148-e3be6c30e623}">
          <xlrd:rvb i="156"/>
        </ext>
      </extLst>
    </bk>
    <bk>
      <extLst>
        <ext uri="{3e2802c4-a4d2-4d8b-9148-e3be6c30e623}">
          <xlrd:rvb i="157"/>
        </ext>
      </extLst>
    </bk>
    <bk>
      <extLst>
        <ext uri="{3e2802c4-a4d2-4d8b-9148-e3be6c30e623}">
          <xlrd:rvb i="158"/>
        </ext>
      </extLst>
    </bk>
    <bk>
      <extLst>
        <ext uri="{3e2802c4-a4d2-4d8b-9148-e3be6c30e623}">
          <xlrd:rvb i="159"/>
        </ext>
      </extLst>
    </bk>
    <bk>
      <extLst>
        <ext uri="{3e2802c4-a4d2-4d8b-9148-e3be6c30e623}">
          <xlrd:rvb i="160"/>
        </ext>
      </extLst>
    </bk>
    <bk>
      <extLst>
        <ext uri="{3e2802c4-a4d2-4d8b-9148-e3be6c30e623}">
          <xlrd:rvb i="161"/>
        </ext>
      </extLst>
    </bk>
    <bk>
      <extLst>
        <ext uri="{3e2802c4-a4d2-4d8b-9148-e3be6c30e623}">
          <xlrd:rvb i="162"/>
        </ext>
      </extLst>
    </bk>
    <bk>
      <extLst>
        <ext uri="{3e2802c4-a4d2-4d8b-9148-e3be6c30e623}">
          <xlrd:rvb i="163"/>
        </ext>
      </extLst>
    </bk>
    <bk>
      <extLst>
        <ext uri="{3e2802c4-a4d2-4d8b-9148-e3be6c30e623}">
          <xlrd:rvb i="164"/>
        </ext>
      </extLst>
    </bk>
    <bk>
      <extLst>
        <ext uri="{3e2802c4-a4d2-4d8b-9148-e3be6c30e623}">
          <xlrd:rvb i="165"/>
        </ext>
      </extLst>
    </bk>
    <bk>
      <extLst>
        <ext uri="{3e2802c4-a4d2-4d8b-9148-e3be6c30e623}">
          <xlrd:rvb i="166"/>
        </ext>
      </extLst>
    </bk>
    <bk>
      <extLst>
        <ext uri="{3e2802c4-a4d2-4d8b-9148-e3be6c30e623}">
          <xlrd:rvb i="167"/>
        </ext>
      </extLst>
    </bk>
    <bk>
      <extLst>
        <ext uri="{3e2802c4-a4d2-4d8b-9148-e3be6c30e623}">
          <xlrd:rvb i="168"/>
        </ext>
      </extLst>
    </bk>
    <bk>
      <extLst>
        <ext uri="{3e2802c4-a4d2-4d8b-9148-e3be6c30e623}">
          <xlrd:rvb i="169"/>
        </ext>
      </extLst>
    </bk>
    <bk>
      <extLst>
        <ext uri="{3e2802c4-a4d2-4d8b-9148-e3be6c30e623}">
          <xlrd:rvb i="170"/>
        </ext>
      </extLst>
    </bk>
    <bk>
      <extLst>
        <ext uri="{3e2802c4-a4d2-4d8b-9148-e3be6c30e623}">
          <xlrd:rvb i="171"/>
        </ext>
      </extLst>
    </bk>
    <bk>
      <extLst>
        <ext uri="{3e2802c4-a4d2-4d8b-9148-e3be6c30e623}">
          <xlrd:rvb i="172"/>
        </ext>
      </extLst>
    </bk>
    <bk>
      <extLst>
        <ext uri="{3e2802c4-a4d2-4d8b-9148-e3be6c30e623}">
          <xlrd:rvb i="173"/>
        </ext>
      </extLst>
    </bk>
    <bk>
      <extLst>
        <ext uri="{3e2802c4-a4d2-4d8b-9148-e3be6c30e623}">
          <xlrd:rvb i="174"/>
        </ext>
      </extLst>
    </bk>
    <bk>
      <extLst>
        <ext uri="{3e2802c4-a4d2-4d8b-9148-e3be6c30e623}">
          <xlrd:rvb i="175"/>
        </ext>
      </extLst>
    </bk>
    <bk>
      <extLst>
        <ext uri="{3e2802c4-a4d2-4d8b-9148-e3be6c30e623}">
          <xlrd:rvb i="176"/>
        </ext>
      </extLst>
    </bk>
    <bk>
      <extLst>
        <ext uri="{3e2802c4-a4d2-4d8b-9148-e3be6c30e623}">
          <xlrd:rvb i="177"/>
        </ext>
      </extLst>
    </bk>
    <bk>
      <extLst>
        <ext uri="{3e2802c4-a4d2-4d8b-9148-e3be6c30e623}">
          <xlrd:rvb i="178"/>
        </ext>
      </extLst>
    </bk>
    <bk>
      <extLst>
        <ext uri="{3e2802c4-a4d2-4d8b-9148-e3be6c30e623}">
          <xlrd:rvb i="179"/>
        </ext>
      </extLst>
    </bk>
    <bk>
      <extLst>
        <ext uri="{3e2802c4-a4d2-4d8b-9148-e3be6c30e623}">
          <xlrd:rvb i="180"/>
        </ext>
      </extLst>
    </bk>
    <bk>
      <extLst>
        <ext uri="{3e2802c4-a4d2-4d8b-9148-e3be6c30e623}">
          <xlrd:rvb i="181"/>
        </ext>
      </extLst>
    </bk>
    <bk>
      <extLst>
        <ext uri="{3e2802c4-a4d2-4d8b-9148-e3be6c30e623}">
          <xlrd:rvb i="182"/>
        </ext>
      </extLst>
    </bk>
    <bk>
      <extLst>
        <ext uri="{3e2802c4-a4d2-4d8b-9148-e3be6c30e623}">
          <xlrd:rvb i="183"/>
        </ext>
      </extLst>
    </bk>
    <bk>
      <extLst>
        <ext uri="{3e2802c4-a4d2-4d8b-9148-e3be6c30e623}">
          <xlrd:rvb i="184"/>
        </ext>
      </extLst>
    </bk>
    <bk>
      <extLst>
        <ext uri="{3e2802c4-a4d2-4d8b-9148-e3be6c30e623}">
          <xlrd:rvb i="185"/>
        </ext>
      </extLst>
    </bk>
    <bk>
      <extLst>
        <ext uri="{3e2802c4-a4d2-4d8b-9148-e3be6c30e623}">
          <xlrd:rvb i="186"/>
        </ext>
      </extLst>
    </bk>
    <bk>
      <extLst>
        <ext uri="{3e2802c4-a4d2-4d8b-9148-e3be6c30e623}">
          <xlrd:rvb i="187"/>
        </ext>
      </extLst>
    </bk>
    <bk>
      <extLst>
        <ext uri="{3e2802c4-a4d2-4d8b-9148-e3be6c30e623}">
          <xlrd:rvb i="188"/>
        </ext>
      </extLst>
    </bk>
    <bk>
      <extLst>
        <ext uri="{3e2802c4-a4d2-4d8b-9148-e3be6c30e623}">
          <xlrd:rvb i="189"/>
        </ext>
      </extLst>
    </bk>
    <bk>
      <extLst>
        <ext uri="{3e2802c4-a4d2-4d8b-9148-e3be6c30e623}">
          <xlrd:rvb i="190"/>
        </ext>
      </extLst>
    </bk>
    <bk>
      <extLst>
        <ext uri="{3e2802c4-a4d2-4d8b-9148-e3be6c30e623}">
          <xlrd:rvb i="191"/>
        </ext>
      </extLst>
    </bk>
    <bk>
      <extLst>
        <ext uri="{3e2802c4-a4d2-4d8b-9148-e3be6c30e623}">
          <xlrd:rvb i="192"/>
        </ext>
      </extLst>
    </bk>
    <bk>
      <extLst>
        <ext uri="{3e2802c4-a4d2-4d8b-9148-e3be6c30e623}">
          <xlrd:rvb i="193"/>
        </ext>
      </extLst>
    </bk>
    <bk>
      <extLst>
        <ext uri="{3e2802c4-a4d2-4d8b-9148-e3be6c30e623}">
          <xlrd:rvb i="194"/>
        </ext>
      </extLst>
    </bk>
    <bk>
      <extLst>
        <ext uri="{3e2802c4-a4d2-4d8b-9148-e3be6c30e623}">
          <xlrd:rvb i="195"/>
        </ext>
      </extLst>
    </bk>
    <bk>
      <extLst>
        <ext uri="{3e2802c4-a4d2-4d8b-9148-e3be6c30e623}">
          <xlrd:rvb i="196"/>
        </ext>
      </extLst>
    </bk>
    <bk>
      <extLst>
        <ext uri="{3e2802c4-a4d2-4d8b-9148-e3be6c30e623}">
          <xlrd:rvb i="197"/>
        </ext>
      </extLst>
    </bk>
    <bk>
      <extLst>
        <ext uri="{3e2802c4-a4d2-4d8b-9148-e3be6c30e623}">
          <xlrd:rvb i="198"/>
        </ext>
      </extLst>
    </bk>
    <bk>
      <extLst>
        <ext uri="{3e2802c4-a4d2-4d8b-9148-e3be6c30e623}">
          <xlrd:rvb i="199"/>
        </ext>
      </extLst>
    </bk>
    <bk>
      <extLst>
        <ext uri="{3e2802c4-a4d2-4d8b-9148-e3be6c30e623}">
          <xlrd:rvb i="200"/>
        </ext>
      </extLst>
    </bk>
    <bk>
      <extLst>
        <ext uri="{3e2802c4-a4d2-4d8b-9148-e3be6c30e623}">
          <xlrd:rvb i="201"/>
        </ext>
      </extLst>
    </bk>
    <bk>
      <extLst>
        <ext uri="{3e2802c4-a4d2-4d8b-9148-e3be6c30e623}">
          <xlrd:rvb i="202"/>
        </ext>
      </extLst>
    </bk>
    <bk>
      <extLst>
        <ext uri="{3e2802c4-a4d2-4d8b-9148-e3be6c30e623}">
          <xlrd:rvb i="203"/>
        </ext>
      </extLst>
    </bk>
    <bk>
      <extLst>
        <ext uri="{3e2802c4-a4d2-4d8b-9148-e3be6c30e623}">
          <xlrd:rvb i="204"/>
        </ext>
      </extLst>
    </bk>
    <bk>
      <extLst>
        <ext uri="{3e2802c4-a4d2-4d8b-9148-e3be6c30e623}">
          <xlrd:rvb i="205"/>
        </ext>
      </extLst>
    </bk>
    <bk>
      <extLst>
        <ext uri="{3e2802c4-a4d2-4d8b-9148-e3be6c30e623}">
          <xlrd:rvb i="206"/>
        </ext>
      </extLst>
    </bk>
    <bk>
      <extLst>
        <ext uri="{3e2802c4-a4d2-4d8b-9148-e3be6c30e623}">
          <xlrd:rvb i="207"/>
        </ext>
      </extLst>
    </bk>
    <bk>
      <extLst>
        <ext uri="{3e2802c4-a4d2-4d8b-9148-e3be6c30e623}">
          <xlrd:rvb i="208"/>
        </ext>
      </extLst>
    </bk>
    <bk>
      <extLst>
        <ext uri="{3e2802c4-a4d2-4d8b-9148-e3be6c30e623}">
          <xlrd:rvb i="209"/>
        </ext>
      </extLst>
    </bk>
    <bk>
      <extLst>
        <ext uri="{3e2802c4-a4d2-4d8b-9148-e3be6c30e623}">
          <xlrd:rvb i="210"/>
        </ext>
      </extLst>
    </bk>
    <bk>
      <extLst>
        <ext uri="{3e2802c4-a4d2-4d8b-9148-e3be6c30e623}">
          <xlrd:rvb i="211"/>
        </ext>
      </extLst>
    </bk>
    <bk>
      <extLst>
        <ext uri="{3e2802c4-a4d2-4d8b-9148-e3be6c30e623}">
          <xlrd:rvb i="212"/>
        </ext>
      </extLst>
    </bk>
    <bk>
      <extLst>
        <ext uri="{3e2802c4-a4d2-4d8b-9148-e3be6c30e623}">
          <xlrd:rvb i="213"/>
        </ext>
      </extLst>
    </bk>
    <bk>
      <extLst>
        <ext uri="{3e2802c4-a4d2-4d8b-9148-e3be6c30e623}">
          <xlrd:rvb i="214"/>
        </ext>
      </extLst>
    </bk>
    <bk>
      <extLst>
        <ext uri="{3e2802c4-a4d2-4d8b-9148-e3be6c30e623}">
          <xlrd:rvb i="215"/>
        </ext>
      </extLst>
    </bk>
    <bk>
      <extLst>
        <ext uri="{3e2802c4-a4d2-4d8b-9148-e3be6c30e623}">
          <xlrd:rvb i="216"/>
        </ext>
      </extLst>
    </bk>
    <bk>
      <extLst>
        <ext uri="{3e2802c4-a4d2-4d8b-9148-e3be6c30e623}">
          <xlrd:rvb i="217"/>
        </ext>
      </extLst>
    </bk>
    <bk>
      <extLst>
        <ext uri="{3e2802c4-a4d2-4d8b-9148-e3be6c30e623}">
          <xlrd:rvb i="218"/>
        </ext>
      </extLst>
    </bk>
    <bk>
      <extLst>
        <ext uri="{3e2802c4-a4d2-4d8b-9148-e3be6c30e623}">
          <xlrd:rvb i="219"/>
        </ext>
      </extLst>
    </bk>
    <bk>
      <extLst>
        <ext uri="{3e2802c4-a4d2-4d8b-9148-e3be6c30e623}">
          <xlrd:rvb i="220"/>
        </ext>
      </extLst>
    </bk>
    <bk>
      <extLst>
        <ext uri="{3e2802c4-a4d2-4d8b-9148-e3be6c30e623}">
          <xlrd:rvb i="221"/>
        </ext>
      </extLst>
    </bk>
    <bk>
      <extLst>
        <ext uri="{3e2802c4-a4d2-4d8b-9148-e3be6c30e623}">
          <xlrd:rvb i="222"/>
        </ext>
      </extLst>
    </bk>
    <bk>
      <extLst>
        <ext uri="{3e2802c4-a4d2-4d8b-9148-e3be6c30e623}">
          <xlrd:rvb i="223"/>
        </ext>
      </extLst>
    </bk>
    <bk>
      <extLst>
        <ext uri="{3e2802c4-a4d2-4d8b-9148-e3be6c30e623}">
          <xlrd:rvb i="224"/>
        </ext>
      </extLst>
    </bk>
    <bk>
      <extLst>
        <ext uri="{3e2802c4-a4d2-4d8b-9148-e3be6c30e623}">
          <xlrd:rvb i="225"/>
        </ext>
      </extLst>
    </bk>
    <bk>
      <extLst>
        <ext uri="{3e2802c4-a4d2-4d8b-9148-e3be6c30e623}">
          <xlrd:rvb i="226"/>
        </ext>
      </extLst>
    </bk>
    <bk>
      <extLst>
        <ext uri="{3e2802c4-a4d2-4d8b-9148-e3be6c30e623}">
          <xlrd:rvb i="227"/>
        </ext>
      </extLst>
    </bk>
    <bk>
      <extLst>
        <ext uri="{3e2802c4-a4d2-4d8b-9148-e3be6c30e623}">
          <xlrd:rvb i="228"/>
        </ext>
      </extLst>
    </bk>
    <bk>
      <extLst>
        <ext uri="{3e2802c4-a4d2-4d8b-9148-e3be6c30e623}">
          <xlrd:rvb i="229"/>
        </ext>
      </extLst>
    </bk>
    <bk>
      <extLst>
        <ext uri="{3e2802c4-a4d2-4d8b-9148-e3be6c30e623}">
          <xlrd:rvb i="230"/>
        </ext>
      </extLst>
    </bk>
    <bk>
      <extLst>
        <ext uri="{3e2802c4-a4d2-4d8b-9148-e3be6c30e623}">
          <xlrd:rvb i="231"/>
        </ext>
      </extLst>
    </bk>
    <bk>
      <extLst>
        <ext uri="{3e2802c4-a4d2-4d8b-9148-e3be6c30e623}">
          <xlrd:rvb i="232"/>
        </ext>
      </extLst>
    </bk>
    <bk>
      <extLst>
        <ext uri="{3e2802c4-a4d2-4d8b-9148-e3be6c30e623}">
          <xlrd:rvb i="233"/>
        </ext>
      </extLst>
    </bk>
    <bk>
      <extLst>
        <ext uri="{3e2802c4-a4d2-4d8b-9148-e3be6c30e623}">
          <xlrd:rvb i="234"/>
        </ext>
      </extLst>
    </bk>
    <bk>
      <extLst>
        <ext uri="{3e2802c4-a4d2-4d8b-9148-e3be6c30e623}">
          <xlrd:rvb i="235"/>
        </ext>
      </extLst>
    </bk>
    <bk>
      <extLst>
        <ext uri="{3e2802c4-a4d2-4d8b-9148-e3be6c30e623}">
          <xlrd:rvb i="236"/>
        </ext>
      </extLst>
    </bk>
    <bk>
      <extLst>
        <ext uri="{3e2802c4-a4d2-4d8b-9148-e3be6c30e623}">
          <xlrd:rvb i="237"/>
        </ext>
      </extLst>
    </bk>
    <bk>
      <extLst>
        <ext uri="{3e2802c4-a4d2-4d8b-9148-e3be6c30e623}">
          <xlrd:rvb i="238"/>
        </ext>
      </extLst>
    </bk>
    <bk>
      <extLst>
        <ext uri="{3e2802c4-a4d2-4d8b-9148-e3be6c30e623}">
          <xlrd:rvb i="239"/>
        </ext>
      </extLst>
    </bk>
    <bk>
      <extLst>
        <ext uri="{3e2802c4-a4d2-4d8b-9148-e3be6c30e623}">
          <xlrd:rvb i="240"/>
        </ext>
      </extLst>
    </bk>
    <bk>
      <extLst>
        <ext uri="{3e2802c4-a4d2-4d8b-9148-e3be6c30e623}">
          <xlrd:rvb i="241"/>
        </ext>
      </extLst>
    </bk>
    <bk>
      <extLst>
        <ext uri="{3e2802c4-a4d2-4d8b-9148-e3be6c30e623}">
          <xlrd:rvb i="242"/>
        </ext>
      </extLst>
    </bk>
    <bk>
      <extLst>
        <ext uri="{3e2802c4-a4d2-4d8b-9148-e3be6c30e623}">
          <xlrd:rvb i="243"/>
        </ext>
      </extLst>
    </bk>
    <bk>
      <extLst>
        <ext uri="{3e2802c4-a4d2-4d8b-9148-e3be6c30e623}">
          <xlrd:rvb i="244"/>
        </ext>
      </extLst>
    </bk>
    <bk>
      <extLst>
        <ext uri="{3e2802c4-a4d2-4d8b-9148-e3be6c30e623}">
          <xlrd:rvb i="245"/>
        </ext>
      </extLst>
    </bk>
    <bk>
      <extLst>
        <ext uri="{3e2802c4-a4d2-4d8b-9148-e3be6c30e623}">
          <xlrd:rvb i="246"/>
        </ext>
      </extLst>
    </bk>
    <bk>
      <extLst>
        <ext uri="{3e2802c4-a4d2-4d8b-9148-e3be6c30e623}">
          <xlrd:rvb i="247"/>
        </ext>
      </extLst>
    </bk>
    <bk>
      <extLst>
        <ext uri="{3e2802c4-a4d2-4d8b-9148-e3be6c30e623}">
          <xlrd:rvb i="248"/>
        </ext>
      </extLst>
    </bk>
    <bk>
      <extLst>
        <ext uri="{3e2802c4-a4d2-4d8b-9148-e3be6c30e623}">
          <xlrd:rvb i="249"/>
        </ext>
      </extLst>
    </bk>
    <bk>
      <extLst>
        <ext uri="{3e2802c4-a4d2-4d8b-9148-e3be6c30e623}">
          <xlrd:rvb i="250"/>
        </ext>
      </extLst>
    </bk>
    <bk>
      <extLst>
        <ext uri="{3e2802c4-a4d2-4d8b-9148-e3be6c30e623}">
          <xlrd:rvb i="251"/>
        </ext>
      </extLst>
    </bk>
    <bk>
      <extLst>
        <ext uri="{3e2802c4-a4d2-4d8b-9148-e3be6c30e623}">
          <xlrd:rvb i="252"/>
        </ext>
      </extLst>
    </bk>
    <bk>
      <extLst>
        <ext uri="{3e2802c4-a4d2-4d8b-9148-e3be6c30e623}">
          <xlrd:rvb i="253"/>
        </ext>
      </extLst>
    </bk>
    <bk>
      <extLst>
        <ext uri="{3e2802c4-a4d2-4d8b-9148-e3be6c30e623}">
          <xlrd:rvb i="254"/>
        </ext>
      </extLst>
    </bk>
    <bk>
      <extLst>
        <ext uri="{3e2802c4-a4d2-4d8b-9148-e3be6c30e623}">
          <xlrd:rvb i="255"/>
        </ext>
      </extLst>
    </bk>
    <bk>
      <extLst>
        <ext uri="{3e2802c4-a4d2-4d8b-9148-e3be6c30e623}">
          <xlrd:rvb i="256"/>
        </ext>
      </extLst>
    </bk>
    <bk>
      <extLst>
        <ext uri="{3e2802c4-a4d2-4d8b-9148-e3be6c30e623}">
          <xlrd:rvb i="257"/>
        </ext>
      </extLst>
    </bk>
    <bk>
      <extLst>
        <ext uri="{3e2802c4-a4d2-4d8b-9148-e3be6c30e623}">
          <xlrd:rvb i="258"/>
        </ext>
      </extLst>
    </bk>
    <bk>
      <extLst>
        <ext uri="{3e2802c4-a4d2-4d8b-9148-e3be6c30e623}">
          <xlrd:rvb i="259"/>
        </ext>
      </extLst>
    </bk>
    <bk>
      <extLst>
        <ext uri="{3e2802c4-a4d2-4d8b-9148-e3be6c30e623}">
          <xlrd:rvb i="260"/>
        </ext>
      </extLst>
    </bk>
    <bk>
      <extLst>
        <ext uri="{3e2802c4-a4d2-4d8b-9148-e3be6c30e623}">
          <xlrd:rvb i="261"/>
        </ext>
      </extLst>
    </bk>
    <bk>
      <extLst>
        <ext uri="{3e2802c4-a4d2-4d8b-9148-e3be6c30e623}">
          <xlrd:rvb i="262"/>
        </ext>
      </extLst>
    </bk>
    <bk>
      <extLst>
        <ext uri="{3e2802c4-a4d2-4d8b-9148-e3be6c30e623}">
          <xlrd:rvb i="263"/>
        </ext>
      </extLst>
    </bk>
    <bk>
      <extLst>
        <ext uri="{3e2802c4-a4d2-4d8b-9148-e3be6c30e623}">
          <xlrd:rvb i="264"/>
        </ext>
      </extLst>
    </bk>
    <bk>
      <extLst>
        <ext uri="{3e2802c4-a4d2-4d8b-9148-e3be6c30e623}">
          <xlrd:rvb i="265"/>
        </ext>
      </extLst>
    </bk>
    <bk>
      <extLst>
        <ext uri="{3e2802c4-a4d2-4d8b-9148-e3be6c30e623}">
          <xlrd:rvb i="266"/>
        </ext>
      </extLst>
    </bk>
    <bk>
      <extLst>
        <ext uri="{3e2802c4-a4d2-4d8b-9148-e3be6c30e623}">
          <xlrd:rvb i="267"/>
        </ext>
      </extLst>
    </bk>
    <bk>
      <extLst>
        <ext uri="{3e2802c4-a4d2-4d8b-9148-e3be6c30e623}">
          <xlrd:rvb i="268"/>
        </ext>
      </extLst>
    </bk>
    <bk>
      <extLst>
        <ext uri="{3e2802c4-a4d2-4d8b-9148-e3be6c30e623}">
          <xlrd:rvb i="269"/>
        </ext>
      </extLst>
    </bk>
    <bk>
      <extLst>
        <ext uri="{3e2802c4-a4d2-4d8b-9148-e3be6c30e623}">
          <xlrd:rvb i="270"/>
        </ext>
      </extLst>
    </bk>
    <bk>
      <extLst>
        <ext uri="{3e2802c4-a4d2-4d8b-9148-e3be6c30e623}">
          <xlrd:rvb i="271"/>
        </ext>
      </extLst>
    </bk>
    <bk>
      <extLst>
        <ext uri="{3e2802c4-a4d2-4d8b-9148-e3be6c30e623}">
          <xlrd:rvb i="272"/>
        </ext>
      </extLst>
    </bk>
    <bk>
      <extLst>
        <ext uri="{3e2802c4-a4d2-4d8b-9148-e3be6c30e623}">
          <xlrd:rvb i="273"/>
        </ext>
      </extLst>
    </bk>
    <bk>
      <extLst>
        <ext uri="{3e2802c4-a4d2-4d8b-9148-e3be6c30e623}">
          <xlrd:rvb i="274"/>
        </ext>
      </extLst>
    </bk>
    <bk>
      <extLst>
        <ext uri="{3e2802c4-a4d2-4d8b-9148-e3be6c30e623}">
          <xlrd:rvb i="275"/>
        </ext>
      </extLst>
    </bk>
    <bk>
      <extLst>
        <ext uri="{3e2802c4-a4d2-4d8b-9148-e3be6c30e623}">
          <xlrd:rvb i="276"/>
        </ext>
      </extLst>
    </bk>
    <bk>
      <extLst>
        <ext uri="{3e2802c4-a4d2-4d8b-9148-e3be6c30e623}">
          <xlrd:rvb i="277"/>
        </ext>
      </extLst>
    </bk>
    <bk>
      <extLst>
        <ext uri="{3e2802c4-a4d2-4d8b-9148-e3be6c30e623}">
          <xlrd:rvb i="278"/>
        </ext>
      </extLst>
    </bk>
    <bk>
      <extLst>
        <ext uri="{3e2802c4-a4d2-4d8b-9148-e3be6c30e623}">
          <xlrd:rvb i="279"/>
        </ext>
      </extLst>
    </bk>
    <bk>
      <extLst>
        <ext uri="{3e2802c4-a4d2-4d8b-9148-e3be6c30e623}">
          <xlrd:rvb i="280"/>
        </ext>
      </extLst>
    </bk>
    <bk>
      <extLst>
        <ext uri="{3e2802c4-a4d2-4d8b-9148-e3be6c30e623}">
          <xlrd:rvb i="281"/>
        </ext>
      </extLst>
    </bk>
    <bk>
      <extLst>
        <ext uri="{3e2802c4-a4d2-4d8b-9148-e3be6c30e623}">
          <xlrd:rvb i="282"/>
        </ext>
      </extLst>
    </bk>
    <bk>
      <extLst>
        <ext uri="{3e2802c4-a4d2-4d8b-9148-e3be6c30e623}">
          <xlrd:rvb i="283"/>
        </ext>
      </extLst>
    </bk>
    <bk>
      <extLst>
        <ext uri="{3e2802c4-a4d2-4d8b-9148-e3be6c30e623}">
          <xlrd:rvb i="284"/>
        </ext>
      </extLst>
    </bk>
    <bk>
      <extLst>
        <ext uri="{3e2802c4-a4d2-4d8b-9148-e3be6c30e623}">
          <xlrd:rvb i="285"/>
        </ext>
      </extLst>
    </bk>
    <bk>
      <extLst>
        <ext uri="{3e2802c4-a4d2-4d8b-9148-e3be6c30e623}">
          <xlrd:rvb i="286"/>
        </ext>
      </extLst>
    </bk>
    <bk>
      <extLst>
        <ext uri="{3e2802c4-a4d2-4d8b-9148-e3be6c30e623}">
          <xlrd:rvb i="287"/>
        </ext>
      </extLst>
    </bk>
    <bk>
      <extLst>
        <ext uri="{3e2802c4-a4d2-4d8b-9148-e3be6c30e623}">
          <xlrd:rvb i="288"/>
        </ext>
      </extLst>
    </bk>
    <bk>
      <extLst>
        <ext uri="{3e2802c4-a4d2-4d8b-9148-e3be6c30e623}">
          <xlrd:rvb i="289"/>
        </ext>
      </extLst>
    </bk>
    <bk>
      <extLst>
        <ext uri="{3e2802c4-a4d2-4d8b-9148-e3be6c30e623}">
          <xlrd:rvb i="290"/>
        </ext>
      </extLst>
    </bk>
    <bk>
      <extLst>
        <ext uri="{3e2802c4-a4d2-4d8b-9148-e3be6c30e623}">
          <xlrd:rvb i="291"/>
        </ext>
      </extLst>
    </bk>
    <bk>
      <extLst>
        <ext uri="{3e2802c4-a4d2-4d8b-9148-e3be6c30e623}">
          <xlrd:rvb i="292"/>
        </ext>
      </extLst>
    </bk>
    <bk>
      <extLst>
        <ext uri="{3e2802c4-a4d2-4d8b-9148-e3be6c30e623}">
          <xlrd:rvb i="293"/>
        </ext>
      </extLst>
    </bk>
    <bk>
      <extLst>
        <ext uri="{3e2802c4-a4d2-4d8b-9148-e3be6c30e623}">
          <xlrd:rvb i="294"/>
        </ext>
      </extLst>
    </bk>
    <bk>
      <extLst>
        <ext uri="{3e2802c4-a4d2-4d8b-9148-e3be6c30e623}">
          <xlrd:rvb i="295"/>
        </ext>
      </extLst>
    </bk>
    <bk>
      <extLst>
        <ext uri="{3e2802c4-a4d2-4d8b-9148-e3be6c30e623}">
          <xlrd:rvb i="296"/>
        </ext>
      </extLst>
    </bk>
    <bk>
      <extLst>
        <ext uri="{3e2802c4-a4d2-4d8b-9148-e3be6c30e623}">
          <xlrd:rvb i="297"/>
        </ext>
      </extLst>
    </bk>
    <bk>
      <extLst>
        <ext uri="{3e2802c4-a4d2-4d8b-9148-e3be6c30e623}">
          <xlrd:rvb i="298"/>
        </ext>
      </extLst>
    </bk>
    <bk>
      <extLst>
        <ext uri="{3e2802c4-a4d2-4d8b-9148-e3be6c30e623}">
          <xlrd:rvb i="299"/>
        </ext>
      </extLst>
    </bk>
    <bk>
      <extLst>
        <ext uri="{3e2802c4-a4d2-4d8b-9148-e3be6c30e623}">
          <xlrd:rvb i="300"/>
        </ext>
      </extLst>
    </bk>
    <bk>
      <extLst>
        <ext uri="{3e2802c4-a4d2-4d8b-9148-e3be6c30e623}">
          <xlrd:rvb i="301"/>
        </ext>
      </extLst>
    </bk>
    <bk>
      <extLst>
        <ext uri="{3e2802c4-a4d2-4d8b-9148-e3be6c30e623}">
          <xlrd:rvb i="302"/>
        </ext>
      </extLst>
    </bk>
    <bk>
      <extLst>
        <ext uri="{3e2802c4-a4d2-4d8b-9148-e3be6c30e623}">
          <xlrd:rvb i="303"/>
        </ext>
      </extLst>
    </bk>
    <bk>
      <extLst>
        <ext uri="{3e2802c4-a4d2-4d8b-9148-e3be6c30e623}">
          <xlrd:rvb i="304"/>
        </ext>
      </extLst>
    </bk>
    <bk>
      <extLst>
        <ext uri="{3e2802c4-a4d2-4d8b-9148-e3be6c30e623}">
          <xlrd:rvb i="305"/>
        </ext>
      </extLst>
    </bk>
    <bk>
      <extLst>
        <ext uri="{3e2802c4-a4d2-4d8b-9148-e3be6c30e623}">
          <xlrd:rvb i="306"/>
        </ext>
      </extLst>
    </bk>
    <bk>
      <extLst>
        <ext uri="{3e2802c4-a4d2-4d8b-9148-e3be6c30e623}">
          <xlrd:rvb i="307"/>
        </ext>
      </extLst>
    </bk>
    <bk>
      <extLst>
        <ext uri="{3e2802c4-a4d2-4d8b-9148-e3be6c30e623}">
          <xlrd:rvb i="308"/>
        </ext>
      </extLst>
    </bk>
    <bk>
      <extLst>
        <ext uri="{3e2802c4-a4d2-4d8b-9148-e3be6c30e623}">
          <xlrd:rvb i="309"/>
        </ext>
      </extLst>
    </bk>
    <bk>
      <extLst>
        <ext uri="{3e2802c4-a4d2-4d8b-9148-e3be6c30e623}">
          <xlrd:rvb i="310"/>
        </ext>
      </extLst>
    </bk>
    <bk>
      <extLst>
        <ext uri="{3e2802c4-a4d2-4d8b-9148-e3be6c30e623}">
          <xlrd:rvb i="311"/>
        </ext>
      </extLst>
    </bk>
    <bk>
      <extLst>
        <ext uri="{3e2802c4-a4d2-4d8b-9148-e3be6c30e623}">
          <xlrd:rvb i="312"/>
        </ext>
      </extLst>
    </bk>
    <bk>
      <extLst>
        <ext uri="{3e2802c4-a4d2-4d8b-9148-e3be6c30e623}">
          <xlrd:rvb i="313"/>
        </ext>
      </extLst>
    </bk>
    <bk>
      <extLst>
        <ext uri="{3e2802c4-a4d2-4d8b-9148-e3be6c30e623}">
          <xlrd:rvb i="314"/>
        </ext>
      </extLst>
    </bk>
    <bk>
      <extLst>
        <ext uri="{3e2802c4-a4d2-4d8b-9148-e3be6c30e623}">
          <xlrd:rvb i="315"/>
        </ext>
      </extLst>
    </bk>
    <bk>
      <extLst>
        <ext uri="{3e2802c4-a4d2-4d8b-9148-e3be6c30e623}">
          <xlrd:rvb i="316"/>
        </ext>
      </extLst>
    </bk>
    <bk>
      <extLst>
        <ext uri="{3e2802c4-a4d2-4d8b-9148-e3be6c30e623}">
          <xlrd:rvb i="317"/>
        </ext>
      </extLst>
    </bk>
    <bk>
      <extLst>
        <ext uri="{3e2802c4-a4d2-4d8b-9148-e3be6c30e623}">
          <xlrd:rvb i="318"/>
        </ext>
      </extLst>
    </bk>
    <bk>
      <extLst>
        <ext uri="{3e2802c4-a4d2-4d8b-9148-e3be6c30e623}">
          <xlrd:rvb i="319"/>
        </ext>
      </extLst>
    </bk>
    <bk>
      <extLst>
        <ext uri="{3e2802c4-a4d2-4d8b-9148-e3be6c30e623}">
          <xlrd:rvb i="320"/>
        </ext>
      </extLst>
    </bk>
    <bk>
      <extLst>
        <ext uri="{3e2802c4-a4d2-4d8b-9148-e3be6c30e623}">
          <xlrd:rvb i="321"/>
        </ext>
      </extLst>
    </bk>
    <bk>
      <extLst>
        <ext uri="{3e2802c4-a4d2-4d8b-9148-e3be6c30e623}">
          <xlrd:rvb i="322"/>
        </ext>
      </extLst>
    </bk>
    <bk>
      <extLst>
        <ext uri="{3e2802c4-a4d2-4d8b-9148-e3be6c30e623}">
          <xlrd:rvb i="323"/>
        </ext>
      </extLst>
    </bk>
    <bk>
      <extLst>
        <ext uri="{3e2802c4-a4d2-4d8b-9148-e3be6c30e623}">
          <xlrd:rvb i="324"/>
        </ext>
      </extLst>
    </bk>
    <bk>
      <extLst>
        <ext uri="{3e2802c4-a4d2-4d8b-9148-e3be6c30e623}">
          <xlrd:rvb i="325"/>
        </ext>
      </extLst>
    </bk>
    <bk>
      <extLst>
        <ext uri="{3e2802c4-a4d2-4d8b-9148-e3be6c30e623}">
          <xlrd:rvb i="326"/>
        </ext>
      </extLst>
    </bk>
    <bk>
      <extLst>
        <ext uri="{3e2802c4-a4d2-4d8b-9148-e3be6c30e623}">
          <xlrd:rvb i="327"/>
        </ext>
      </extLst>
    </bk>
    <bk>
      <extLst>
        <ext uri="{3e2802c4-a4d2-4d8b-9148-e3be6c30e623}">
          <xlrd:rvb i="328"/>
        </ext>
      </extLst>
    </bk>
    <bk>
      <extLst>
        <ext uri="{3e2802c4-a4d2-4d8b-9148-e3be6c30e623}">
          <xlrd:rvb i="329"/>
        </ext>
      </extLst>
    </bk>
    <bk>
      <extLst>
        <ext uri="{3e2802c4-a4d2-4d8b-9148-e3be6c30e623}">
          <xlrd:rvb i="330"/>
        </ext>
      </extLst>
    </bk>
    <bk>
      <extLst>
        <ext uri="{3e2802c4-a4d2-4d8b-9148-e3be6c30e623}">
          <xlrd:rvb i="331"/>
        </ext>
      </extLst>
    </bk>
    <bk>
      <extLst>
        <ext uri="{3e2802c4-a4d2-4d8b-9148-e3be6c30e623}">
          <xlrd:rvb i="332"/>
        </ext>
      </extLst>
    </bk>
    <bk>
      <extLst>
        <ext uri="{3e2802c4-a4d2-4d8b-9148-e3be6c30e623}">
          <xlrd:rvb i="333"/>
        </ext>
      </extLst>
    </bk>
    <bk>
      <extLst>
        <ext uri="{3e2802c4-a4d2-4d8b-9148-e3be6c30e623}">
          <xlrd:rvb i="334"/>
        </ext>
      </extLst>
    </bk>
    <bk>
      <extLst>
        <ext uri="{3e2802c4-a4d2-4d8b-9148-e3be6c30e623}">
          <xlrd:rvb i="335"/>
        </ext>
      </extLst>
    </bk>
    <bk>
      <extLst>
        <ext uri="{3e2802c4-a4d2-4d8b-9148-e3be6c30e623}">
          <xlrd:rvb i="336"/>
        </ext>
      </extLst>
    </bk>
    <bk>
      <extLst>
        <ext uri="{3e2802c4-a4d2-4d8b-9148-e3be6c30e623}">
          <xlrd:rvb i="337"/>
        </ext>
      </extLst>
    </bk>
    <bk>
      <extLst>
        <ext uri="{3e2802c4-a4d2-4d8b-9148-e3be6c30e623}">
          <xlrd:rvb i="338"/>
        </ext>
      </extLst>
    </bk>
    <bk>
      <extLst>
        <ext uri="{3e2802c4-a4d2-4d8b-9148-e3be6c30e623}">
          <xlrd:rvb i="339"/>
        </ext>
      </extLst>
    </bk>
    <bk>
      <extLst>
        <ext uri="{3e2802c4-a4d2-4d8b-9148-e3be6c30e623}">
          <xlrd:rvb i="340"/>
        </ext>
      </extLst>
    </bk>
    <bk>
      <extLst>
        <ext uri="{3e2802c4-a4d2-4d8b-9148-e3be6c30e623}">
          <xlrd:rvb i="341"/>
        </ext>
      </extLst>
    </bk>
    <bk>
      <extLst>
        <ext uri="{3e2802c4-a4d2-4d8b-9148-e3be6c30e623}">
          <xlrd:rvb i="342"/>
        </ext>
      </extLst>
    </bk>
    <bk>
      <extLst>
        <ext uri="{3e2802c4-a4d2-4d8b-9148-e3be6c30e623}">
          <xlrd:rvb i="343"/>
        </ext>
      </extLst>
    </bk>
    <bk>
      <extLst>
        <ext uri="{3e2802c4-a4d2-4d8b-9148-e3be6c30e623}">
          <xlrd:rvb i="344"/>
        </ext>
      </extLst>
    </bk>
    <bk>
      <extLst>
        <ext uri="{3e2802c4-a4d2-4d8b-9148-e3be6c30e623}">
          <xlrd:rvb i="345"/>
        </ext>
      </extLst>
    </bk>
    <bk>
      <extLst>
        <ext uri="{3e2802c4-a4d2-4d8b-9148-e3be6c30e623}">
          <xlrd:rvb i="346"/>
        </ext>
      </extLst>
    </bk>
    <bk>
      <extLst>
        <ext uri="{3e2802c4-a4d2-4d8b-9148-e3be6c30e623}">
          <xlrd:rvb i="347"/>
        </ext>
      </extLst>
    </bk>
    <bk>
      <extLst>
        <ext uri="{3e2802c4-a4d2-4d8b-9148-e3be6c30e623}">
          <xlrd:rvb i="348"/>
        </ext>
      </extLst>
    </bk>
    <bk>
      <extLst>
        <ext uri="{3e2802c4-a4d2-4d8b-9148-e3be6c30e623}">
          <xlrd:rvb i="349"/>
        </ext>
      </extLst>
    </bk>
    <bk>
      <extLst>
        <ext uri="{3e2802c4-a4d2-4d8b-9148-e3be6c30e623}">
          <xlrd:rvb i="350"/>
        </ext>
      </extLst>
    </bk>
    <bk>
      <extLst>
        <ext uri="{3e2802c4-a4d2-4d8b-9148-e3be6c30e623}">
          <xlrd:rvb i="351"/>
        </ext>
      </extLst>
    </bk>
    <bk>
      <extLst>
        <ext uri="{3e2802c4-a4d2-4d8b-9148-e3be6c30e623}">
          <xlrd:rvb i="352"/>
        </ext>
      </extLst>
    </bk>
    <bk>
      <extLst>
        <ext uri="{3e2802c4-a4d2-4d8b-9148-e3be6c30e623}">
          <xlrd:rvb i="353"/>
        </ext>
      </extLst>
    </bk>
    <bk>
      <extLst>
        <ext uri="{3e2802c4-a4d2-4d8b-9148-e3be6c30e623}">
          <xlrd:rvb i="354"/>
        </ext>
      </extLst>
    </bk>
    <bk>
      <extLst>
        <ext uri="{3e2802c4-a4d2-4d8b-9148-e3be6c30e623}">
          <xlrd:rvb i="355"/>
        </ext>
      </extLst>
    </bk>
    <bk>
      <extLst>
        <ext uri="{3e2802c4-a4d2-4d8b-9148-e3be6c30e623}">
          <xlrd:rvb i="356"/>
        </ext>
      </extLst>
    </bk>
    <bk>
      <extLst>
        <ext uri="{3e2802c4-a4d2-4d8b-9148-e3be6c30e623}">
          <xlrd:rvb i="357"/>
        </ext>
      </extLst>
    </bk>
    <bk>
      <extLst>
        <ext uri="{3e2802c4-a4d2-4d8b-9148-e3be6c30e623}">
          <xlrd:rvb i="358"/>
        </ext>
      </extLst>
    </bk>
    <bk>
      <extLst>
        <ext uri="{3e2802c4-a4d2-4d8b-9148-e3be6c30e623}">
          <xlrd:rvb i="359"/>
        </ext>
      </extLst>
    </bk>
    <bk>
      <extLst>
        <ext uri="{3e2802c4-a4d2-4d8b-9148-e3be6c30e623}">
          <xlrd:rvb i="360"/>
        </ext>
      </extLst>
    </bk>
    <bk>
      <extLst>
        <ext uri="{3e2802c4-a4d2-4d8b-9148-e3be6c30e623}">
          <xlrd:rvb i="361"/>
        </ext>
      </extLst>
    </bk>
    <bk>
      <extLst>
        <ext uri="{3e2802c4-a4d2-4d8b-9148-e3be6c30e623}">
          <xlrd:rvb i="362"/>
        </ext>
      </extLst>
    </bk>
    <bk>
      <extLst>
        <ext uri="{3e2802c4-a4d2-4d8b-9148-e3be6c30e623}">
          <xlrd:rvb i="363"/>
        </ext>
      </extLst>
    </bk>
    <bk>
      <extLst>
        <ext uri="{3e2802c4-a4d2-4d8b-9148-e3be6c30e623}">
          <xlrd:rvb i="364"/>
        </ext>
      </extLst>
    </bk>
    <bk>
      <extLst>
        <ext uri="{3e2802c4-a4d2-4d8b-9148-e3be6c30e623}">
          <xlrd:rvb i="365"/>
        </ext>
      </extLst>
    </bk>
    <bk>
      <extLst>
        <ext uri="{3e2802c4-a4d2-4d8b-9148-e3be6c30e623}">
          <xlrd:rvb i="366"/>
        </ext>
      </extLst>
    </bk>
    <bk>
      <extLst>
        <ext uri="{3e2802c4-a4d2-4d8b-9148-e3be6c30e623}">
          <xlrd:rvb i="367"/>
        </ext>
      </extLst>
    </bk>
    <bk>
      <extLst>
        <ext uri="{3e2802c4-a4d2-4d8b-9148-e3be6c30e623}">
          <xlrd:rvb i="368"/>
        </ext>
      </extLst>
    </bk>
    <bk>
      <extLst>
        <ext uri="{3e2802c4-a4d2-4d8b-9148-e3be6c30e623}">
          <xlrd:rvb i="369"/>
        </ext>
      </extLst>
    </bk>
    <bk>
      <extLst>
        <ext uri="{3e2802c4-a4d2-4d8b-9148-e3be6c30e623}">
          <xlrd:rvb i="370"/>
        </ext>
      </extLst>
    </bk>
    <bk>
      <extLst>
        <ext uri="{3e2802c4-a4d2-4d8b-9148-e3be6c30e623}">
          <xlrd:rvb i="371"/>
        </ext>
      </extLst>
    </bk>
    <bk>
      <extLst>
        <ext uri="{3e2802c4-a4d2-4d8b-9148-e3be6c30e623}">
          <xlrd:rvb i="372"/>
        </ext>
      </extLst>
    </bk>
    <bk>
      <extLst>
        <ext uri="{3e2802c4-a4d2-4d8b-9148-e3be6c30e623}">
          <xlrd:rvb i="373"/>
        </ext>
      </extLst>
    </bk>
    <bk>
      <extLst>
        <ext uri="{3e2802c4-a4d2-4d8b-9148-e3be6c30e623}">
          <xlrd:rvb i="374"/>
        </ext>
      </extLst>
    </bk>
    <bk>
      <extLst>
        <ext uri="{3e2802c4-a4d2-4d8b-9148-e3be6c30e623}">
          <xlrd:rvb i="375"/>
        </ext>
      </extLst>
    </bk>
    <bk>
      <extLst>
        <ext uri="{3e2802c4-a4d2-4d8b-9148-e3be6c30e623}">
          <xlrd:rvb i="376"/>
        </ext>
      </extLst>
    </bk>
    <bk>
      <extLst>
        <ext uri="{3e2802c4-a4d2-4d8b-9148-e3be6c30e623}">
          <xlrd:rvb i="377"/>
        </ext>
      </extLst>
    </bk>
    <bk>
      <extLst>
        <ext uri="{3e2802c4-a4d2-4d8b-9148-e3be6c30e623}">
          <xlrd:rvb i="378"/>
        </ext>
      </extLst>
    </bk>
    <bk>
      <extLst>
        <ext uri="{3e2802c4-a4d2-4d8b-9148-e3be6c30e623}">
          <xlrd:rvb i="379"/>
        </ext>
      </extLst>
    </bk>
    <bk>
      <extLst>
        <ext uri="{3e2802c4-a4d2-4d8b-9148-e3be6c30e623}">
          <xlrd:rvb i="380"/>
        </ext>
      </extLst>
    </bk>
    <bk>
      <extLst>
        <ext uri="{3e2802c4-a4d2-4d8b-9148-e3be6c30e623}">
          <xlrd:rvb i="381"/>
        </ext>
      </extLst>
    </bk>
    <bk>
      <extLst>
        <ext uri="{3e2802c4-a4d2-4d8b-9148-e3be6c30e623}">
          <xlrd:rvb i="382"/>
        </ext>
      </extLst>
    </bk>
    <bk>
      <extLst>
        <ext uri="{3e2802c4-a4d2-4d8b-9148-e3be6c30e623}">
          <xlrd:rvb i="383"/>
        </ext>
      </extLst>
    </bk>
    <bk>
      <extLst>
        <ext uri="{3e2802c4-a4d2-4d8b-9148-e3be6c30e623}">
          <xlrd:rvb i="384"/>
        </ext>
      </extLst>
    </bk>
    <bk>
      <extLst>
        <ext uri="{3e2802c4-a4d2-4d8b-9148-e3be6c30e623}">
          <xlrd:rvb i="385"/>
        </ext>
      </extLst>
    </bk>
    <bk>
      <extLst>
        <ext uri="{3e2802c4-a4d2-4d8b-9148-e3be6c30e623}">
          <xlrd:rvb i="386"/>
        </ext>
      </extLst>
    </bk>
    <bk>
      <extLst>
        <ext uri="{3e2802c4-a4d2-4d8b-9148-e3be6c30e623}">
          <xlrd:rvb i="387"/>
        </ext>
      </extLst>
    </bk>
    <bk>
      <extLst>
        <ext uri="{3e2802c4-a4d2-4d8b-9148-e3be6c30e623}">
          <xlrd:rvb i="388"/>
        </ext>
      </extLst>
    </bk>
    <bk>
      <extLst>
        <ext uri="{3e2802c4-a4d2-4d8b-9148-e3be6c30e623}">
          <xlrd:rvb i="389"/>
        </ext>
      </extLst>
    </bk>
    <bk>
      <extLst>
        <ext uri="{3e2802c4-a4d2-4d8b-9148-e3be6c30e623}">
          <xlrd:rvb i="390"/>
        </ext>
      </extLst>
    </bk>
    <bk>
      <extLst>
        <ext uri="{3e2802c4-a4d2-4d8b-9148-e3be6c30e623}">
          <xlrd:rvb i="391"/>
        </ext>
      </extLst>
    </bk>
    <bk>
      <extLst>
        <ext uri="{3e2802c4-a4d2-4d8b-9148-e3be6c30e623}">
          <xlrd:rvb i="392"/>
        </ext>
      </extLst>
    </bk>
    <bk>
      <extLst>
        <ext uri="{3e2802c4-a4d2-4d8b-9148-e3be6c30e623}">
          <xlrd:rvb i="393"/>
        </ext>
      </extLst>
    </bk>
    <bk>
      <extLst>
        <ext uri="{3e2802c4-a4d2-4d8b-9148-e3be6c30e623}">
          <xlrd:rvb i="394"/>
        </ext>
      </extLst>
    </bk>
    <bk>
      <extLst>
        <ext uri="{3e2802c4-a4d2-4d8b-9148-e3be6c30e623}">
          <xlrd:rvb i="395"/>
        </ext>
      </extLst>
    </bk>
    <bk>
      <extLst>
        <ext uri="{3e2802c4-a4d2-4d8b-9148-e3be6c30e623}">
          <xlrd:rvb i="396"/>
        </ext>
      </extLst>
    </bk>
    <bk>
      <extLst>
        <ext uri="{3e2802c4-a4d2-4d8b-9148-e3be6c30e623}">
          <xlrd:rvb i="397"/>
        </ext>
      </extLst>
    </bk>
    <bk>
      <extLst>
        <ext uri="{3e2802c4-a4d2-4d8b-9148-e3be6c30e623}">
          <xlrd:rvb i="398"/>
        </ext>
      </extLst>
    </bk>
    <bk>
      <extLst>
        <ext uri="{3e2802c4-a4d2-4d8b-9148-e3be6c30e623}">
          <xlrd:rvb i="399"/>
        </ext>
      </extLst>
    </bk>
    <bk>
      <extLst>
        <ext uri="{3e2802c4-a4d2-4d8b-9148-e3be6c30e623}">
          <xlrd:rvb i="400"/>
        </ext>
      </extLst>
    </bk>
    <bk>
      <extLst>
        <ext uri="{3e2802c4-a4d2-4d8b-9148-e3be6c30e623}">
          <xlrd:rvb i="401"/>
        </ext>
      </extLst>
    </bk>
    <bk>
      <extLst>
        <ext uri="{3e2802c4-a4d2-4d8b-9148-e3be6c30e623}">
          <xlrd:rvb i="402"/>
        </ext>
      </extLst>
    </bk>
    <bk>
      <extLst>
        <ext uri="{3e2802c4-a4d2-4d8b-9148-e3be6c30e623}">
          <xlrd:rvb i="403"/>
        </ext>
      </extLst>
    </bk>
    <bk>
      <extLst>
        <ext uri="{3e2802c4-a4d2-4d8b-9148-e3be6c30e623}">
          <xlrd:rvb i="404"/>
        </ext>
      </extLst>
    </bk>
    <bk>
      <extLst>
        <ext uri="{3e2802c4-a4d2-4d8b-9148-e3be6c30e623}">
          <xlrd:rvb i="405"/>
        </ext>
      </extLst>
    </bk>
    <bk>
      <extLst>
        <ext uri="{3e2802c4-a4d2-4d8b-9148-e3be6c30e623}">
          <xlrd:rvb i="406"/>
        </ext>
      </extLst>
    </bk>
    <bk>
      <extLst>
        <ext uri="{3e2802c4-a4d2-4d8b-9148-e3be6c30e623}">
          <xlrd:rvb i="407"/>
        </ext>
      </extLst>
    </bk>
    <bk>
      <extLst>
        <ext uri="{3e2802c4-a4d2-4d8b-9148-e3be6c30e623}">
          <xlrd:rvb i="408"/>
        </ext>
      </extLst>
    </bk>
    <bk>
      <extLst>
        <ext uri="{3e2802c4-a4d2-4d8b-9148-e3be6c30e623}">
          <xlrd:rvb i="409"/>
        </ext>
      </extLst>
    </bk>
    <bk>
      <extLst>
        <ext uri="{3e2802c4-a4d2-4d8b-9148-e3be6c30e623}">
          <xlrd:rvb i="410"/>
        </ext>
      </extLst>
    </bk>
    <bk>
      <extLst>
        <ext uri="{3e2802c4-a4d2-4d8b-9148-e3be6c30e623}">
          <xlrd:rvb i="411"/>
        </ext>
      </extLst>
    </bk>
    <bk>
      <extLst>
        <ext uri="{3e2802c4-a4d2-4d8b-9148-e3be6c30e623}">
          <xlrd:rvb i="412"/>
        </ext>
      </extLst>
    </bk>
    <bk>
      <extLst>
        <ext uri="{3e2802c4-a4d2-4d8b-9148-e3be6c30e623}">
          <xlrd:rvb i="413"/>
        </ext>
      </extLst>
    </bk>
    <bk>
      <extLst>
        <ext uri="{3e2802c4-a4d2-4d8b-9148-e3be6c30e623}">
          <xlrd:rvb i="414"/>
        </ext>
      </extLst>
    </bk>
    <bk>
      <extLst>
        <ext uri="{3e2802c4-a4d2-4d8b-9148-e3be6c30e623}">
          <xlrd:rvb i="415"/>
        </ext>
      </extLst>
    </bk>
    <bk>
      <extLst>
        <ext uri="{3e2802c4-a4d2-4d8b-9148-e3be6c30e623}">
          <xlrd:rvb i="416"/>
        </ext>
      </extLst>
    </bk>
    <bk>
      <extLst>
        <ext uri="{3e2802c4-a4d2-4d8b-9148-e3be6c30e623}">
          <xlrd:rvb i="417"/>
        </ext>
      </extLst>
    </bk>
    <bk>
      <extLst>
        <ext uri="{3e2802c4-a4d2-4d8b-9148-e3be6c30e623}">
          <xlrd:rvb i="418"/>
        </ext>
      </extLst>
    </bk>
    <bk>
      <extLst>
        <ext uri="{3e2802c4-a4d2-4d8b-9148-e3be6c30e623}">
          <xlrd:rvb i="419"/>
        </ext>
      </extLst>
    </bk>
    <bk>
      <extLst>
        <ext uri="{3e2802c4-a4d2-4d8b-9148-e3be6c30e623}">
          <xlrd:rvb i="420"/>
        </ext>
      </extLst>
    </bk>
    <bk>
      <extLst>
        <ext uri="{3e2802c4-a4d2-4d8b-9148-e3be6c30e623}">
          <xlrd:rvb i="421"/>
        </ext>
      </extLst>
    </bk>
    <bk>
      <extLst>
        <ext uri="{3e2802c4-a4d2-4d8b-9148-e3be6c30e623}">
          <xlrd:rvb i="422"/>
        </ext>
      </extLst>
    </bk>
    <bk>
      <extLst>
        <ext uri="{3e2802c4-a4d2-4d8b-9148-e3be6c30e623}">
          <xlrd:rvb i="423"/>
        </ext>
      </extLst>
    </bk>
    <bk>
      <extLst>
        <ext uri="{3e2802c4-a4d2-4d8b-9148-e3be6c30e623}">
          <xlrd:rvb i="424"/>
        </ext>
      </extLst>
    </bk>
    <bk>
      <extLst>
        <ext uri="{3e2802c4-a4d2-4d8b-9148-e3be6c30e623}">
          <xlrd:rvb i="425"/>
        </ext>
      </extLst>
    </bk>
    <bk>
      <extLst>
        <ext uri="{3e2802c4-a4d2-4d8b-9148-e3be6c30e623}">
          <xlrd:rvb i="426"/>
        </ext>
      </extLst>
    </bk>
    <bk>
      <extLst>
        <ext uri="{3e2802c4-a4d2-4d8b-9148-e3be6c30e623}">
          <xlrd:rvb i="427"/>
        </ext>
      </extLst>
    </bk>
    <bk>
      <extLst>
        <ext uri="{3e2802c4-a4d2-4d8b-9148-e3be6c30e623}">
          <xlrd:rvb i="428"/>
        </ext>
      </extLst>
    </bk>
    <bk>
      <extLst>
        <ext uri="{3e2802c4-a4d2-4d8b-9148-e3be6c30e623}">
          <xlrd:rvb i="429"/>
        </ext>
      </extLst>
    </bk>
    <bk>
      <extLst>
        <ext uri="{3e2802c4-a4d2-4d8b-9148-e3be6c30e623}">
          <xlrd:rvb i="430"/>
        </ext>
      </extLst>
    </bk>
    <bk>
      <extLst>
        <ext uri="{3e2802c4-a4d2-4d8b-9148-e3be6c30e623}">
          <xlrd:rvb i="431"/>
        </ext>
      </extLst>
    </bk>
    <bk>
      <extLst>
        <ext uri="{3e2802c4-a4d2-4d8b-9148-e3be6c30e623}">
          <xlrd:rvb i="432"/>
        </ext>
      </extLst>
    </bk>
    <bk>
      <extLst>
        <ext uri="{3e2802c4-a4d2-4d8b-9148-e3be6c30e623}">
          <xlrd:rvb i="433"/>
        </ext>
      </extLst>
    </bk>
    <bk>
      <extLst>
        <ext uri="{3e2802c4-a4d2-4d8b-9148-e3be6c30e623}">
          <xlrd:rvb i="434"/>
        </ext>
      </extLst>
    </bk>
    <bk>
      <extLst>
        <ext uri="{3e2802c4-a4d2-4d8b-9148-e3be6c30e623}">
          <xlrd:rvb i="435"/>
        </ext>
      </extLst>
    </bk>
    <bk>
      <extLst>
        <ext uri="{3e2802c4-a4d2-4d8b-9148-e3be6c30e623}">
          <xlrd:rvb i="436"/>
        </ext>
      </extLst>
    </bk>
    <bk>
      <extLst>
        <ext uri="{3e2802c4-a4d2-4d8b-9148-e3be6c30e623}">
          <xlrd:rvb i="437"/>
        </ext>
      </extLst>
    </bk>
    <bk>
      <extLst>
        <ext uri="{3e2802c4-a4d2-4d8b-9148-e3be6c30e623}">
          <xlrd:rvb i="438"/>
        </ext>
      </extLst>
    </bk>
    <bk>
      <extLst>
        <ext uri="{3e2802c4-a4d2-4d8b-9148-e3be6c30e623}">
          <xlrd:rvb i="439"/>
        </ext>
      </extLst>
    </bk>
    <bk>
      <extLst>
        <ext uri="{3e2802c4-a4d2-4d8b-9148-e3be6c30e623}">
          <xlrd:rvb i="440"/>
        </ext>
      </extLst>
    </bk>
    <bk>
      <extLst>
        <ext uri="{3e2802c4-a4d2-4d8b-9148-e3be6c30e623}">
          <xlrd:rvb i="441"/>
        </ext>
      </extLst>
    </bk>
    <bk>
      <extLst>
        <ext uri="{3e2802c4-a4d2-4d8b-9148-e3be6c30e623}">
          <xlrd:rvb i="442"/>
        </ext>
      </extLst>
    </bk>
    <bk>
      <extLst>
        <ext uri="{3e2802c4-a4d2-4d8b-9148-e3be6c30e623}">
          <xlrd:rvb i="443"/>
        </ext>
      </extLst>
    </bk>
    <bk>
      <extLst>
        <ext uri="{3e2802c4-a4d2-4d8b-9148-e3be6c30e623}">
          <xlrd:rvb i="444"/>
        </ext>
      </extLst>
    </bk>
    <bk>
      <extLst>
        <ext uri="{3e2802c4-a4d2-4d8b-9148-e3be6c30e623}">
          <xlrd:rvb i="445"/>
        </ext>
      </extLst>
    </bk>
    <bk>
      <extLst>
        <ext uri="{3e2802c4-a4d2-4d8b-9148-e3be6c30e623}">
          <xlrd:rvb i="446"/>
        </ext>
      </extLst>
    </bk>
    <bk>
      <extLst>
        <ext uri="{3e2802c4-a4d2-4d8b-9148-e3be6c30e623}">
          <xlrd:rvb i="447"/>
        </ext>
      </extLst>
    </bk>
    <bk>
      <extLst>
        <ext uri="{3e2802c4-a4d2-4d8b-9148-e3be6c30e623}">
          <xlrd:rvb i="448"/>
        </ext>
      </extLst>
    </bk>
    <bk>
      <extLst>
        <ext uri="{3e2802c4-a4d2-4d8b-9148-e3be6c30e623}">
          <xlrd:rvb i="449"/>
        </ext>
      </extLst>
    </bk>
    <bk>
      <extLst>
        <ext uri="{3e2802c4-a4d2-4d8b-9148-e3be6c30e623}">
          <xlrd:rvb i="450"/>
        </ext>
      </extLst>
    </bk>
    <bk>
      <extLst>
        <ext uri="{3e2802c4-a4d2-4d8b-9148-e3be6c30e623}">
          <xlrd:rvb i="451"/>
        </ext>
      </extLst>
    </bk>
    <bk>
      <extLst>
        <ext uri="{3e2802c4-a4d2-4d8b-9148-e3be6c30e623}">
          <xlrd:rvb i="452"/>
        </ext>
      </extLst>
    </bk>
    <bk>
      <extLst>
        <ext uri="{3e2802c4-a4d2-4d8b-9148-e3be6c30e623}">
          <xlrd:rvb i="453"/>
        </ext>
      </extLst>
    </bk>
    <bk>
      <extLst>
        <ext uri="{3e2802c4-a4d2-4d8b-9148-e3be6c30e623}">
          <xlrd:rvb i="454"/>
        </ext>
      </extLst>
    </bk>
    <bk>
      <extLst>
        <ext uri="{3e2802c4-a4d2-4d8b-9148-e3be6c30e623}">
          <xlrd:rvb i="455"/>
        </ext>
      </extLst>
    </bk>
    <bk>
      <extLst>
        <ext uri="{3e2802c4-a4d2-4d8b-9148-e3be6c30e623}">
          <xlrd:rvb i="456"/>
        </ext>
      </extLst>
    </bk>
    <bk>
      <extLst>
        <ext uri="{3e2802c4-a4d2-4d8b-9148-e3be6c30e623}">
          <xlrd:rvb i="457"/>
        </ext>
      </extLst>
    </bk>
    <bk>
      <extLst>
        <ext uri="{3e2802c4-a4d2-4d8b-9148-e3be6c30e623}">
          <xlrd:rvb i="458"/>
        </ext>
      </extLst>
    </bk>
    <bk>
      <extLst>
        <ext uri="{3e2802c4-a4d2-4d8b-9148-e3be6c30e623}">
          <xlrd:rvb i="459"/>
        </ext>
      </extLst>
    </bk>
    <bk>
      <extLst>
        <ext uri="{3e2802c4-a4d2-4d8b-9148-e3be6c30e623}">
          <xlrd:rvb i="460"/>
        </ext>
      </extLst>
    </bk>
    <bk>
      <extLst>
        <ext uri="{3e2802c4-a4d2-4d8b-9148-e3be6c30e623}">
          <xlrd:rvb i="461"/>
        </ext>
      </extLst>
    </bk>
    <bk>
      <extLst>
        <ext uri="{3e2802c4-a4d2-4d8b-9148-e3be6c30e623}">
          <xlrd:rvb i="462"/>
        </ext>
      </extLst>
    </bk>
    <bk>
      <extLst>
        <ext uri="{3e2802c4-a4d2-4d8b-9148-e3be6c30e623}">
          <xlrd:rvb i="463"/>
        </ext>
      </extLst>
    </bk>
    <bk>
      <extLst>
        <ext uri="{3e2802c4-a4d2-4d8b-9148-e3be6c30e623}">
          <xlrd:rvb i="464"/>
        </ext>
      </extLst>
    </bk>
    <bk>
      <extLst>
        <ext uri="{3e2802c4-a4d2-4d8b-9148-e3be6c30e623}">
          <xlrd:rvb i="465"/>
        </ext>
      </extLst>
    </bk>
    <bk>
      <extLst>
        <ext uri="{3e2802c4-a4d2-4d8b-9148-e3be6c30e623}">
          <xlrd:rvb i="466"/>
        </ext>
      </extLst>
    </bk>
    <bk>
      <extLst>
        <ext uri="{3e2802c4-a4d2-4d8b-9148-e3be6c30e623}">
          <xlrd:rvb i="467"/>
        </ext>
      </extLst>
    </bk>
    <bk>
      <extLst>
        <ext uri="{3e2802c4-a4d2-4d8b-9148-e3be6c30e623}">
          <xlrd:rvb i="468"/>
        </ext>
      </extLst>
    </bk>
    <bk>
      <extLst>
        <ext uri="{3e2802c4-a4d2-4d8b-9148-e3be6c30e623}">
          <xlrd:rvb i="469"/>
        </ext>
      </extLst>
    </bk>
    <bk>
      <extLst>
        <ext uri="{3e2802c4-a4d2-4d8b-9148-e3be6c30e623}">
          <xlrd:rvb i="470"/>
        </ext>
      </extLst>
    </bk>
    <bk>
      <extLst>
        <ext uri="{3e2802c4-a4d2-4d8b-9148-e3be6c30e623}">
          <xlrd:rvb i="471"/>
        </ext>
      </extLst>
    </bk>
    <bk>
      <extLst>
        <ext uri="{3e2802c4-a4d2-4d8b-9148-e3be6c30e623}">
          <xlrd:rvb i="472"/>
        </ext>
      </extLst>
    </bk>
    <bk>
      <extLst>
        <ext uri="{3e2802c4-a4d2-4d8b-9148-e3be6c30e623}">
          <xlrd:rvb i="473"/>
        </ext>
      </extLst>
    </bk>
    <bk>
      <extLst>
        <ext uri="{3e2802c4-a4d2-4d8b-9148-e3be6c30e623}">
          <xlrd:rvb i="474"/>
        </ext>
      </extLst>
    </bk>
    <bk>
      <extLst>
        <ext uri="{3e2802c4-a4d2-4d8b-9148-e3be6c30e623}">
          <xlrd:rvb i="475"/>
        </ext>
      </extLst>
    </bk>
    <bk>
      <extLst>
        <ext uri="{3e2802c4-a4d2-4d8b-9148-e3be6c30e623}">
          <xlrd:rvb i="476"/>
        </ext>
      </extLst>
    </bk>
    <bk>
      <extLst>
        <ext uri="{3e2802c4-a4d2-4d8b-9148-e3be6c30e623}">
          <xlrd:rvb i="477"/>
        </ext>
      </extLst>
    </bk>
    <bk>
      <extLst>
        <ext uri="{3e2802c4-a4d2-4d8b-9148-e3be6c30e623}">
          <xlrd:rvb i="478"/>
        </ext>
      </extLst>
    </bk>
    <bk>
      <extLst>
        <ext uri="{3e2802c4-a4d2-4d8b-9148-e3be6c30e623}">
          <xlrd:rvb i="479"/>
        </ext>
      </extLst>
    </bk>
    <bk>
      <extLst>
        <ext uri="{3e2802c4-a4d2-4d8b-9148-e3be6c30e623}">
          <xlrd:rvb i="480"/>
        </ext>
      </extLst>
    </bk>
    <bk>
      <extLst>
        <ext uri="{3e2802c4-a4d2-4d8b-9148-e3be6c30e623}">
          <xlrd:rvb i="481"/>
        </ext>
      </extLst>
    </bk>
    <bk>
      <extLst>
        <ext uri="{3e2802c4-a4d2-4d8b-9148-e3be6c30e623}">
          <xlrd:rvb i="482"/>
        </ext>
      </extLst>
    </bk>
    <bk>
      <extLst>
        <ext uri="{3e2802c4-a4d2-4d8b-9148-e3be6c30e623}">
          <xlrd:rvb i="483"/>
        </ext>
      </extLst>
    </bk>
    <bk>
      <extLst>
        <ext uri="{3e2802c4-a4d2-4d8b-9148-e3be6c30e623}">
          <xlrd:rvb i="484"/>
        </ext>
      </extLst>
    </bk>
    <bk>
      <extLst>
        <ext uri="{3e2802c4-a4d2-4d8b-9148-e3be6c30e623}">
          <xlrd:rvb i="485"/>
        </ext>
      </extLst>
    </bk>
    <bk>
      <extLst>
        <ext uri="{3e2802c4-a4d2-4d8b-9148-e3be6c30e623}">
          <xlrd:rvb i="486"/>
        </ext>
      </extLst>
    </bk>
    <bk>
      <extLst>
        <ext uri="{3e2802c4-a4d2-4d8b-9148-e3be6c30e623}">
          <xlrd:rvb i="487"/>
        </ext>
      </extLst>
    </bk>
    <bk>
      <extLst>
        <ext uri="{3e2802c4-a4d2-4d8b-9148-e3be6c30e623}">
          <xlrd:rvb i="488"/>
        </ext>
      </extLst>
    </bk>
    <bk>
      <extLst>
        <ext uri="{3e2802c4-a4d2-4d8b-9148-e3be6c30e623}">
          <xlrd:rvb i="489"/>
        </ext>
      </extLst>
    </bk>
    <bk>
      <extLst>
        <ext uri="{3e2802c4-a4d2-4d8b-9148-e3be6c30e623}">
          <xlrd:rvb i="490"/>
        </ext>
      </extLst>
    </bk>
    <bk>
      <extLst>
        <ext uri="{3e2802c4-a4d2-4d8b-9148-e3be6c30e623}">
          <xlrd:rvb i="491"/>
        </ext>
      </extLst>
    </bk>
    <bk>
      <extLst>
        <ext uri="{3e2802c4-a4d2-4d8b-9148-e3be6c30e623}">
          <xlrd:rvb i="492"/>
        </ext>
      </extLst>
    </bk>
    <bk>
      <extLst>
        <ext uri="{3e2802c4-a4d2-4d8b-9148-e3be6c30e623}">
          <xlrd:rvb i="493"/>
        </ext>
      </extLst>
    </bk>
    <bk>
      <extLst>
        <ext uri="{3e2802c4-a4d2-4d8b-9148-e3be6c30e623}">
          <xlrd:rvb i="494"/>
        </ext>
      </extLst>
    </bk>
    <bk>
      <extLst>
        <ext uri="{3e2802c4-a4d2-4d8b-9148-e3be6c30e623}">
          <xlrd:rvb i="495"/>
        </ext>
      </extLst>
    </bk>
    <bk>
      <extLst>
        <ext uri="{3e2802c4-a4d2-4d8b-9148-e3be6c30e623}">
          <xlrd:rvb i="496"/>
        </ext>
      </extLst>
    </bk>
    <bk>
      <extLst>
        <ext uri="{3e2802c4-a4d2-4d8b-9148-e3be6c30e623}">
          <xlrd:rvb i="497"/>
        </ext>
      </extLst>
    </bk>
    <bk>
      <extLst>
        <ext uri="{3e2802c4-a4d2-4d8b-9148-e3be6c30e623}">
          <xlrd:rvb i="498"/>
        </ext>
      </extLst>
    </bk>
    <bk>
      <extLst>
        <ext uri="{3e2802c4-a4d2-4d8b-9148-e3be6c30e623}">
          <xlrd:rvb i="499"/>
        </ext>
      </extLst>
    </bk>
    <bk>
      <extLst>
        <ext uri="{3e2802c4-a4d2-4d8b-9148-e3be6c30e623}">
          <xlrd:rvb i="500"/>
        </ext>
      </extLst>
    </bk>
    <bk>
      <extLst>
        <ext uri="{3e2802c4-a4d2-4d8b-9148-e3be6c30e623}">
          <xlrd:rvb i="501"/>
        </ext>
      </extLst>
    </bk>
    <bk>
      <extLst>
        <ext uri="{3e2802c4-a4d2-4d8b-9148-e3be6c30e623}">
          <xlrd:rvb i="502"/>
        </ext>
      </extLst>
    </bk>
    <bk>
      <extLst>
        <ext uri="{3e2802c4-a4d2-4d8b-9148-e3be6c30e623}">
          <xlrd:rvb i="503"/>
        </ext>
      </extLst>
    </bk>
    <bk>
      <extLst>
        <ext uri="{3e2802c4-a4d2-4d8b-9148-e3be6c30e623}">
          <xlrd:rvb i="504"/>
        </ext>
      </extLst>
    </bk>
    <bk>
      <extLst>
        <ext uri="{3e2802c4-a4d2-4d8b-9148-e3be6c30e623}">
          <xlrd:rvb i="505"/>
        </ext>
      </extLst>
    </bk>
    <bk>
      <extLst>
        <ext uri="{3e2802c4-a4d2-4d8b-9148-e3be6c30e623}">
          <xlrd:rvb i="506"/>
        </ext>
      </extLst>
    </bk>
    <bk>
      <extLst>
        <ext uri="{3e2802c4-a4d2-4d8b-9148-e3be6c30e623}">
          <xlrd:rvb i="507"/>
        </ext>
      </extLst>
    </bk>
    <bk>
      <extLst>
        <ext uri="{3e2802c4-a4d2-4d8b-9148-e3be6c30e623}">
          <xlrd:rvb i="508"/>
        </ext>
      </extLst>
    </bk>
    <bk>
      <extLst>
        <ext uri="{3e2802c4-a4d2-4d8b-9148-e3be6c30e623}">
          <xlrd:rvb i="509"/>
        </ext>
      </extLst>
    </bk>
    <bk>
      <extLst>
        <ext uri="{3e2802c4-a4d2-4d8b-9148-e3be6c30e623}">
          <xlrd:rvb i="510"/>
        </ext>
      </extLst>
    </bk>
    <bk>
      <extLst>
        <ext uri="{3e2802c4-a4d2-4d8b-9148-e3be6c30e623}">
          <xlrd:rvb i="511"/>
        </ext>
      </extLst>
    </bk>
    <bk>
      <extLst>
        <ext uri="{3e2802c4-a4d2-4d8b-9148-e3be6c30e623}">
          <xlrd:rvb i="512"/>
        </ext>
      </extLst>
    </bk>
    <bk>
      <extLst>
        <ext uri="{3e2802c4-a4d2-4d8b-9148-e3be6c30e623}">
          <xlrd:rvb i="513"/>
        </ext>
      </extLst>
    </bk>
    <bk>
      <extLst>
        <ext uri="{3e2802c4-a4d2-4d8b-9148-e3be6c30e623}">
          <xlrd:rvb i="514"/>
        </ext>
      </extLst>
    </bk>
    <bk>
      <extLst>
        <ext uri="{3e2802c4-a4d2-4d8b-9148-e3be6c30e623}">
          <xlrd:rvb i="515"/>
        </ext>
      </extLst>
    </bk>
    <bk>
      <extLst>
        <ext uri="{3e2802c4-a4d2-4d8b-9148-e3be6c30e623}">
          <xlrd:rvb i="516"/>
        </ext>
      </extLst>
    </bk>
    <bk>
      <extLst>
        <ext uri="{3e2802c4-a4d2-4d8b-9148-e3be6c30e623}">
          <xlrd:rvb i="517"/>
        </ext>
      </extLst>
    </bk>
    <bk>
      <extLst>
        <ext uri="{3e2802c4-a4d2-4d8b-9148-e3be6c30e623}">
          <xlrd:rvb i="518"/>
        </ext>
      </extLst>
    </bk>
    <bk>
      <extLst>
        <ext uri="{3e2802c4-a4d2-4d8b-9148-e3be6c30e623}">
          <xlrd:rvb i="519"/>
        </ext>
      </extLst>
    </bk>
    <bk>
      <extLst>
        <ext uri="{3e2802c4-a4d2-4d8b-9148-e3be6c30e623}">
          <xlrd:rvb i="520"/>
        </ext>
      </extLst>
    </bk>
    <bk>
      <extLst>
        <ext uri="{3e2802c4-a4d2-4d8b-9148-e3be6c30e623}">
          <xlrd:rvb i="521"/>
        </ext>
      </extLst>
    </bk>
    <bk>
      <extLst>
        <ext uri="{3e2802c4-a4d2-4d8b-9148-e3be6c30e623}">
          <xlrd:rvb i="522"/>
        </ext>
      </extLst>
    </bk>
    <bk>
      <extLst>
        <ext uri="{3e2802c4-a4d2-4d8b-9148-e3be6c30e623}">
          <xlrd:rvb i="523"/>
        </ext>
      </extLst>
    </bk>
    <bk>
      <extLst>
        <ext uri="{3e2802c4-a4d2-4d8b-9148-e3be6c30e623}">
          <xlrd:rvb i="524"/>
        </ext>
      </extLst>
    </bk>
    <bk>
      <extLst>
        <ext uri="{3e2802c4-a4d2-4d8b-9148-e3be6c30e623}">
          <xlrd:rvb i="525"/>
        </ext>
      </extLst>
    </bk>
    <bk>
      <extLst>
        <ext uri="{3e2802c4-a4d2-4d8b-9148-e3be6c30e623}">
          <xlrd:rvb i="526"/>
        </ext>
      </extLst>
    </bk>
    <bk>
      <extLst>
        <ext uri="{3e2802c4-a4d2-4d8b-9148-e3be6c30e623}">
          <xlrd:rvb i="527"/>
        </ext>
      </extLst>
    </bk>
    <bk>
      <extLst>
        <ext uri="{3e2802c4-a4d2-4d8b-9148-e3be6c30e623}">
          <xlrd:rvb i="528"/>
        </ext>
      </extLst>
    </bk>
    <bk>
      <extLst>
        <ext uri="{3e2802c4-a4d2-4d8b-9148-e3be6c30e623}">
          <xlrd:rvb i="529"/>
        </ext>
      </extLst>
    </bk>
    <bk>
      <extLst>
        <ext uri="{3e2802c4-a4d2-4d8b-9148-e3be6c30e623}">
          <xlrd:rvb i="530"/>
        </ext>
      </extLst>
    </bk>
    <bk>
      <extLst>
        <ext uri="{3e2802c4-a4d2-4d8b-9148-e3be6c30e623}">
          <xlrd:rvb i="531"/>
        </ext>
      </extLst>
    </bk>
    <bk>
      <extLst>
        <ext uri="{3e2802c4-a4d2-4d8b-9148-e3be6c30e623}">
          <xlrd:rvb i="532"/>
        </ext>
      </extLst>
    </bk>
    <bk>
      <extLst>
        <ext uri="{3e2802c4-a4d2-4d8b-9148-e3be6c30e623}">
          <xlrd:rvb i="533"/>
        </ext>
      </extLst>
    </bk>
    <bk>
      <extLst>
        <ext uri="{3e2802c4-a4d2-4d8b-9148-e3be6c30e623}">
          <xlrd:rvb i="534"/>
        </ext>
      </extLst>
    </bk>
    <bk>
      <extLst>
        <ext uri="{3e2802c4-a4d2-4d8b-9148-e3be6c30e623}">
          <xlrd:rvb i="535"/>
        </ext>
      </extLst>
    </bk>
    <bk>
      <extLst>
        <ext uri="{3e2802c4-a4d2-4d8b-9148-e3be6c30e623}">
          <xlrd:rvb i="536"/>
        </ext>
      </extLst>
    </bk>
    <bk>
      <extLst>
        <ext uri="{3e2802c4-a4d2-4d8b-9148-e3be6c30e623}">
          <xlrd:rvb i="537"/>
        </ext>
      </extLst>
    </bk>
    <bk>
      <extLst>
        <ext uri="{3e2802c4-a4d2-4d8b-9148-e3be6c30e623}">
          <xlrd:rvb i="538"/>
        </ext>
      </extLst>
    </bk>
    <bk>
      <extLst>
        <ext uri="{3e2802c4-a4d2-4d8b-9148-e3be6c30e623}">
          <xlrd:rvb i="539"/>
        </ext>
      </extLst>
    </bk>
    <bk>
      <extLst>
        <ext uri="{3e2802c4-a4d2-4d8b-9148-e3be6c30e623}">
          <xlrd:rvb i="540"/>
        </ext>
      </extLst>
    </bk>
    <bk>
      <extLst>
        <ext uri="{3e2802c4-a4d2-4d8b-9148-e3be6c30e623}">
          <xlrd:rvb i="541"/>
        </ext>
      </extLst>
    </bk>
    <bk>
      <extLst>
        <ext uri="{3e2802c4-a4d2-4d8b-9148-e3be6c30e623}">
          <xlrd:rvb i="542"/>
        </ext>
      </extLst>
    </bk>
    <bk>
      <extLst>
        <ext uri="{3e2802c4-a4d2-4d8b-9148-e3be6c30e623}">
          <xlrd:rvb i="543"/>
        </ext>
      </extLst>
    </bk>
    <bk>
      <extLst>
        <ext uri="{3e2802c4-a4d2-4d8b-9148-e3be6c30e623}">
          <xlrd:rvb i="544"/>
        </ext>
      </extLst>
    </bk>
    <bk>
      <extLst>
        <ext uri="{3e2802c4-a4d2-4d8b-9148-e3be6c30e623}">
          <xlrd:rvb i="545"/>
        </ext>
      </extLst>
    </bk>
    <bk>
      <extLst>
        <ext uri="{3e2802c4-a4d2-4d8b-9148-e3be6c30e623}">
          <xlrd:rvb i="546"/>
        </ext>
      </extLst>
    </bk>
    <bk>
      <extLst>
        <ext uri="{3e2802c4-a4d2-4d8b-9148-e3be6c30e623}">
          <xlrd:rvb i="547"/>
        </ext>
      </extLst>
    </bk>
    <bk>
      <extLst>
        <ext uri="{3e2802c4-a4d2-4d8b-9148-e3be6c30e623}">
          <xlrd:rvb i="548"/>
        </ext>
      </extLst>
    </bk>
    <bk>
      <extLst>
        <ext uri="{3e2802c4-a4d2-4d8b-9148-e3be6c30e623}">
          <xlrd:rvb i="549"/>
        </ext>
      </extLst>
    </bk>
    <bk>
      <extLst>
        <ext uri="{3e2802c4-a4d2-4d8b-9148-e3be6c30e623}">
          <xlrd:rvb i="550"/>
        </ext>
      </extLst>
    </bk>
    <bk>
      <extLst>
        <ext uri="{3e2802c4-a4d2-4d8b-9148-e3be6c30e623}">
          <xlrd:rvb i="551"/>
        </ext>
      </extLst>
    </bk>
    <bk>
      <extLst>
        <ext uri="{3e2802c4-a4d2-4d8b-9148-e3be6c30e623}">
          <xlrd:rvb i="552"/>
        </ext>
      </extLst>
    </bk>
    <bk>
      <extLst>
        <ext uri="{3e2802c4-a4d2-4d8b-9148-e3be6c30e623}">
          <xlrd:rvb i="553"/>
        </ext>
      </extLst>
    </bk>
    <bk>
      <extLst>
        <ext uri="{3e2802c4-a4d2-4d8b-9148-e3be6c30e623}">
          <xlrd:rvb i="554"/>
        </ext>
      </extLst>
    </bk>
    <bk>
      <extLst>
        <ext uri="{3e2802c4-a4d2-4d8b-9148-e3be6c30e623}">
          <xlrd:rvb i="555"/>
        </ext>
      </extLst>
    </bk>
    <bk>
      <extLst>
        <ext uri="{3e2802c4-a4d2-4d8b-9148-e3be6c30e623}">
          <xlrd:rvb i="556"/>
        </ext>
      </extLst>
    </bk>
    <bk>
      <extLst>
        <ext uri="{3e2802c4-a4d2-4d8b-9148-e3be6c30e623}">
          <xlrd:rvb i="557"/>
        </ext>
      </extLst>
    </bk>
    <bk>
      <extLst>
        <ext uri="{3e2802c4-a4d2-4d8b-9148-e3be6c30e623}">
          <xlrd:rvb i="558"/>
        </ext>
      </extLst>
    </bk>
    <bk>
      <extLst>
        <ext uri="{3e2802c4-a4d2-4d8b-9148-e3be6c30e623}">
          <xlrd:rvb i="559"/>
        </ext>
      </extLst>
    </bk>
    <bk>
      <extLst>
        <ext uri="{3e2802c4-a4d2-4d8b-9148-e3be6c30e623}">
          <xlrd:rvb i="560"/>
        </ext>
      </extLst>
    </bk>
    <bk>
      <extLst>
        <ext uri="{3e2802c4-a4d2-4d8b-9148-e3be6c30e623}">
          <xlrd:rvb i="561"/>
        </ext>
      </extLst>
    </bk>
    <bk>
      <extLst>
        <ext uri="{3e2802c4-a4d2-4d8b-9148-e3be6c30e623}">
          <xlrd:rvb i="562"/>
        </ext>
      </extLst>
    </bk>
    <bk>
      <extLst>
        <ext uri="{3e2802c4-a4d2-4d8b-9148-e3be6c30e623}">
          <xlrd:rvb i="563"/>
        </ext>
      </extLst>
    </bk>
    <bk>
      <extLst>
        <ext uri="{3e2802c4-a4d2-4d8b-9148-e3be6c30e623}">
          <xlrd:rvb i="564"/>
        </ext>
      </extLst>
    </bk>
    <bk>
      <extLst>
        <ext uri="{3e2802c4-a4d2-4d8b-9148-e3be6c30e623}">
          <xlrd:rvb i="565"/>
        </ext>
      </extLst>
    </bk>
    <bk>
      <extLst>
        <ext uri="{3e2802c4-a4d2-4d8b-9148-e3be6c30e623}">
          <xlrd:rvb i="566"/>
        </ext>
      </extLst>
    </bk>
    <bk>
      <extLst>
        <ext uri="{3e2802c4-a4d2-4d8b-9148-e3be6c30e623}">
          <xlrd:rvb i="567"/>
        </ext>
      </extLst>
    </bk>
    <bk>
      <extLst>
        <ext uri="{3e2802c4-a4d2-4d8b-9148-e3be6c30e623}">
          <xlrd:rvb i="568"/>
        </ext>
      </extLst>
    </bk>
    <bk>
      <extLst>
        <ext uri="{3e2802c4-a4d2-4d8b-9148-e3be6c30e623}">
          <xlrd:rvb i="569"/>
        </ext>
      </extLst>
    </bk>
    <bk>
      <extLst>
        <ext uri="{3e2802c4-a4d2-4d8b-9148-e3be6c30e623}">
          <xlrd:rvb i="570"/>
        </ext>
      </extLst>
    </bk>
    <bk>
      <extLst>
        <ext uri="{3e2802c4-a4d2-4d8b-9148-e3be6c30e623}">
          <xlrd:rvb i="571"/>
        </ext>
      </extLst>
    </bk>
    <bk>
      <extLst>
        <ext uri="{3e2802c4-a4d2-4d8b-9148-e3be6c30e623}">
          <xlrd:rvb i="572"/>
        </ext>
      </extLst>
    </bk>
    <bk>
      <extLst>
        <ext uri="{3e2802c4-a4d2-4d8b-9148-e3be6c30e623}">
          <xlrd:rvb i="573"/>
        </ext>
      </extLst>
    </bk>
    <bk>
      <extLst>
        <ext uri="{3e2802c4-a4d2-4d8b-9148-e3be6c30e623}">
          <xlrd:rvb i="574"/>
        </ext>
      </extLst>
    </bk>
    <bk>
      <extLst>
        <ext uri="{3e2802c4-a4d2-4d8b-9148-e3be6c30e623}">
          <xlrd:rvb i="575"/>
        </ext>
      </extLst>
    </bk>
    <bk>
      <extLst>
        <ext uri="{3e2802c4-a4d2-4d8b-9148-e3be6c30e623}">
          <xlrd:rvb i="576"/>
        </ext>
      </extLst>
    </bk>
    <bk>
      <extLst>
        <ext uri="{3e2802c4-a4d2-4d8b-9148-e3be6c30e623}">
          <xlrd:rvb i="577"/>
        </ext>
      </extLst>
    </bk>
    <bk>
      <extLst>
        <ext uri="{3e2802c4-a4d2-4d8b-9148-e3be6c30e623}">
          <xlrd:rvb i="578"/>
        </ext>
      </extLst>
    </bk>
    <bk>
      <extLst>
        <ext uri="{3e2802c4-a4d2-4d8b-9148-e3be6c30e623}">
          <xlrd:rvb i="579"/>
        </ext>
      </extLst>
    </bk>
    <bk>
      <extLst>
        <ext uri="{3e2802c4-a4d2-4d8b-9148-e3be6c30e623}">
          <xlrd:rvb i="580"/>
        </ext>
      </extLst>
    </bk>
    <bk>
      <extLst>
        <ext uri="{3e2802c4-a4d2-4d8b-9148-e3be6c30e623}">
          <xlrd:rvb i="581"/>
        </ext>
      </extLst>
    </bk>
    <bk>
      <extLst>
        <ext uri="{3e2802c4-a4d2-4d8b-9148-e3be6c30e623}">
          <xlrd:rvb i="582"/>
        </ext>
      </extLst>
    </bk>
    <bk>
      <extLst>
        <ext uri="{3e2802c4-a4d2-4d8b-9148-e3be6c30e623}">
          <xlrd:rvb i="583"/>
        </ext>
      </extLst>
    </bk>
    <bk>
      <extLst>
        <ext uri="{3e2802c4-a4d2-4d8b-9148-e3be6c30e623}">
          <xlrd:rvb i="584"/>
        </ext>
      </extLst>
    </bk>
    <bk>
      <extLst>
        <ext uri="{3e2802c4-a4d2-4d8b-9148-e3be6c30e623}">
          <xlrd:rvb i="585"/>
        </ext>
      </extLst>
    </bk>
    <bk>
      <extLst>
        <ext uri="{3e2802c4-a4d2-4d8b-9148-e3be6c30e623}">
          <xlrd:rvb i="586"/>
        </ext>
      </extLst>
    </bk>
    <bk>
      <extLst>
        <ext uri="{3e2802c4-a4d2-4d8b-9148-e3be6c30e623}">
          <xlrd:rvb i="587"/>
        </ext>
      </extLst>
    </bk>
    <bk>
      <extLst>
        <ext uri="{3e2802c4-a4d2-4d8b-9148-e3be6c30e623}">
          <xlrd:rvb i="588"/>
        </ext>
      </extLst>
    </bk>
    <bk>
      <extLst>
        <ext uri="{3e2802c4-a4d2-4d8b-9148-e3be6c30e623}">
          <xlrd:rvb i="589"/>
        </ext>
      </extLst>
    </bk>
    <bk>
      <extLst>
        <ext uri="{3e2802c4-a4d2-4d8b-9148-e3be6c30e623}">
          <xlrd:rvb i="590"/>
        </ext>
      </extLst>
    </bk>
    <bk>
      <extLst>
        <ext uri="{3e2802c4-a4d2-4d8b-9148-e3be6c30e623}">
          <xlrd:rvb i="591"/>
        </ext>
      </extLst>
    </bk>
    <bk>
      <extLst>
        <ext uri="{3e2802c4-a4d2-4d8b-9148-e3be6c30e623}">
          <xlrd:rvb i="592"/>
        </ext>
      </extLst>
    </bk>
    <bk>
      <extLst>
        <ext uri="{3e2802c4-a4d2-4d8b-9148-e3be6c30e623}">
          <xlrd:rvb i="593"/>
        </ext>
      </extLst>
    </bk>
    <bk>
      <extLst>
        <ext uri="{3e2802c4-a4d2-4d8b-9148-e3be6c30e623}">
          <xlrd:rvb i="594"/>
        </ext>
      </extLst>
    </bk>
    <bk>
      <extLst>
        <ext uri="{3e2802c4-a4d2-4d8b-9148-e3be6c30e623}">
          <xlrd:rvb i="595"/>
        </ext>
      </extLst>
    </bk>
    <bk>
      <extLst>
        <ext uri="{3e2802c4-a4d2-4d8b-9148-e3be6c30e623}">
          <xlrd:rvb i="596"/>
        </ext>
      </extLst>
    </bk>
    <bk>
      <extLst>
        <ext uri="{3e2802c4-a4d2-4d8b-9148-e3be6c30e623}">
          <xlrd:rvb i="597"/>
        </ext>
      </extLst>
    </bk>
    <bk>
      <extLst>
        <ext uri="{3e2802c4-a4d2-4d8b-9148-e3be6c30e623}">
          <xlrd:rvb i="598"/>
        </ext>
      </extLst>
    </bk>
    <bk>
      <extLst>
        <ext uri="{3e2802c4-a4d2-4d8b-9148-e3be6c30e623}">
          <xlrd:rvb i="599"/>
        </ext>
      </extLst>
    </bk>
    <bk>
      <extLst>
        <ext uri="{3e2802c4-a4d2-4d8b-9148-e3be6c30e623}">
          <xlrd:rvb i="600"/>
        </ext>
      </extLst>
    </bk>
    <bk>
      <extLst>
        <ext uri="{3e2802c4-a4d2-4d8b-9148-e3be6c30e623}">
          <xlrd:rvb i="601"/>
        </ext>
      </extLst>
    </bk>
    <bk>
      <extLst>
        <ext uri="{3e2802c4-a4d2-4d8b-9148-e3be6c30e623}">
          <xlrd:rvb i="602"/>
        </ext>
      </extLst>
    </bk>
    <bk>
      <extLst>
        <ext uri="{3e2802c4-a4d2-4d8b-9148-e3be6c30e623}">
          <xlrd:rvb i="603"/>
        </ext>
      </extLst>
    </bk>
    <bk>
      <extLst>
        <ext uri="{3e2802c4-a4d2-4d8b-9148-e3be6c30e623}">
          <xlrd:rvb i="604"/>
        </ext>
      </extLst>
    </bk>
    <bk>
      <extLst>
        <ext uri="{3e2802c4-a4d2-4d8b-9148-e3be6c30e623}">
          <xlrd:rvb i="605"/>
        </ext>
      </extLst>
    </bk>
    <bk>
      <extLst>
        <ext uri="{3e2802c4-a4d2-4d8b-9148-e3be6c30e623}">
          <xlrd:rvb i="606"/>
        </ext>
      </extLst>
    </bk>
    <bk>
      <extLst>
        <ext uri="{3e2802c4-a4d2-4d8b-9148-e3be6c30e623}">
          <xlrd:rvb i="607"/>
        </ext>
      </extLst>
    </bk>
    <bk>
      <extLst>
        <ext uri="{3e2802c4-a4d2-4d8b-9148-e3be6c30e623}">
          <xlrd:rvb i="608"/>
        </ext>
      </extLst>
    </bk>
    <bk>
      <extLst>
        <ext uri="{3e2802c4-a4d2-4d8b-9148-e3be6c30e623}">
          <xlrd:rvb i="609"/>
        </ext>
      </extLst>
    </bk>
    <bk>
      <extLst>
        <ext uri="{3e2802c4-a4d2-4d8b-9148-e3be6c30e623}">
          <xlrd:rvb i="610"/>
        </ext>
      </extLst>
    </bk>
    <bk>
      <extLst>
        <ext uri="{3e2802c4-a4d2-4d8b-9148-e3be6c30e623}">
          <xlrd:rvb i="611"/>
        </ext>
      </extLst>
    </bk>
    <bk>
      <extLst>
        <ext uri="{3e2802c4-a4d2-4d8b-9148-e3be6c30e623}">
          <xlrd:rvb i="612"/>
        </ext>
      </extLst>
    </bk>
    <bk>
      <extLst>
        <ext uri="{3e2802c4-a4d2-4d8b-9148-e3be6c30e623}">
          <xlrd:rvb i="613"/>
        </ext>
      </extLst>
    </bk>
    <bk>
      <extLst>
        <ext uri="{3e2802c4-a4d2-4d8b-9148-e3be6c30e623}">
          <xlrd:rvb i="614"/>
        </ext>
      </extLst>
    </bk>
    <bk>
      <extLst>
        <ext uri="{3e2802c4-a4d2-4d8b-9148-e3be6c30e623}">
          <xlrd:rvb i="615"/>
        </ext>
      </extLst>
    </bk>
    <bk>
      <extLst>
        <ext uri="{3e2802c4-a4d2-4d8b-9148-e3be6c30e623}">
          <xlrd:rvb i="616"/>
        </ext>
      </extLst>
    </bk>
    <bk>
      <extLst>
        <ext uri="{3e2802c4-a4d2-4d8b-9148-e3be6c30e623}">
          <xlrd:rvb i="617"/>
        </ext>
      </extLst>
    </bk>
    <bk>
      <extLst>
        <ext uri="{3e2802c4-a4d2-4d8b-9148-e3be6c30e623}">
          <xlrd:rvb i="618"/>
        </ext>
      </extLst>
    </bk>
    <bk>
      <extLst>
        <ext uri="{3e2802c4-a4d2-4d8b-9148-e3be6c30e623}">
          <xlrd:rvb i="619"/>
        </ext>
      </extLst>
    </bk>
    <bk>
      <extLst>
        <ext uri="{3e2802c4-a4d2-4d8b-9148-e3be6c30e623}">
          <xlrd:rvb i="620"/>
        </ext>
      </extLst>
    </bk>
    <bk>
      <extLst>
        <ext uri="{3e2802c4-a4d2-4d8b-9148-e3be6c30e623}">
          <xlrd:rvb i="621"/>
        </ext>
      </extLst>
    </bk>
    <bk>
      <extLst>
        <ext uri="{3e2802c4-a4d2-4d8b-9148-e3be6c30e623}">
          <xlrd:rvb i="622"/>
        </ext>
      </extLst>
    </bk>
    <bk>
      <extLst>
        <ext uri="{3e2802c4-a4d2-4d8b-9148-e3be6c30e623}">
          <xlrd:rvb i="623"/>
        </ext>
      </extLst>
    </bk>
    <bk>
      <extLst>
        <ext uri="{3e2802c4-a4d2-4d8b-9148-e3be6c30e623}">
          <xlrd:rvb i="624"/>
        </ext>
      </extLst>
    </bk>
    <bk>
      <extLst>
        <ext uri="{3e2802c4-a4d2-4d8b-9148-e3be6c30e623}">
          <xlrd:rvb i="625"/>
        </ext>
      </extLst>
    </bk>
    <bk>
      <extLst>
        <ext uri="{3e2802c4-a4d2-4d8b-9148-e3be6c30e623}">
          <xlrd:rvb i="626"/>
        </ext>
      </extLst>
    </bk>
    <bk>
      <extLst>
        <ext uri="{3e2802c4-a4d2-4d8b-9148-e3be6c30e623}">
          <xlrd:rvb i="627"/>
        </ext>
      </extLst>
    </bk>
    <bk>
      <extLst>
        <ext uri="{3e2802c4-a4d2-4d8b-9148-e3be6c30e623}">
          <xlrd:rvb i="628"/>
        </ext>
      </extLst>
    </bk>
    <bk>
      <extLst>
        <ext uri="{3e2802c4-a4d2-4d8b-9148-e3be6c30e623}">
          <xlrd:rvb i="629"/>
        </ext>
      </extLst>
    </bk>
    <bk>
      <extLst>
        <ext uri="{3e2802c4-a4d2-4d8b-9148-e3be6c30e623}">
          <xlrd:rvb i="630"/>
        </ext>
      </extLst>
    </bk>
    <bk>
      <extLst>
        <ext uri="{3e2802c4-a4d2-4d8b-9148-e3be6c30e623}">
          <xlrd:rvb i="631"/>
        </ext>
      </extLst>
    </bk>
    <bk>
      <extLst>
        <ext uri="{3e2802c4-a4d2-4d8b-9148-e3be6c30e623}">
          <xlrd:rvb i="632"/>
        </ext>
      </extLst>
    </bk>
    <bk>
      <extLst>
        <ext uri="{3e2802c4-a4d2-4d8b-9148-e3be6c30e623}">
          <xlrd:rvb i="633"/>
        </ext>
      </extLst>
    </bk>
    <bk>
      <extLst>
        <ext uri="{3e2802c4-a4d2-4d8b-9148-e3be6c30e623}">
          <xlrd:rvb i="634"/>
        </ext>
      </extLst>
    </bk>
    <bk>
      <extLst>
        <ext uri="{3e2802c4-a4d2-4d8b-9148-e3be6c30e623}">
          <xlrd:rvb i="635"/>
        </ext>
      </extLst>
    </bk>
    <bk>
      <extLst>
        <ext uri="{3e2802c4-a4d2-4d8b-9148-e3be6c30e623}">
          <xlrd:rvb i="636"/>
        </ext>
      </extLst>
    </bk>
    <bk>
      <extLst>
        <ext uri="{3e2802c4-a4d2-4d8b-9148-e3be6c30e623}">
          <xlrd:rvb i="637"/>
        </ext>
      </extLst>
    </bk>
    <bk>
      <extLst>
        <ext uri="{3e2802c4-a4d2-4d8b-9148-e3be6c30e623}">
          <xlrd:rvb i="638"/>
        </ext>
      </extLst>
    </bk>
    <bk>
      <extLst>
        <ext uri="{3e2802c4-a4d2-4d8b-9148-e3be6c30e623}">
          <xlrd:rvb i="639"/>
        </ext>
      </extLst>
    </bk>
    <bk>
      <extLst>
        <ext uri="{3e2802c4-a4d2-4d8b-9148-e3be6c30e623}">
          <xlrd:rvb i="640"/>
        </ext>
      </extLst>
    </bk>
    <bk>
      <extLst>
        <ext uri="{3e2802c4-a4d2-4d8b-9148-e3be6c30e623}">
          <xlrd:rvb i="641"/>
        </ext>
      </extLst>
    </bk>
    <bk>
      <extLst>
        <ext uri="{3e2802c4-a4d2-4d8b-9148-e3be6c30e623}">
          <xlrd:rvb i="642"/>
        </ext>
      </extLst>
    </bk>
    <bk>
      <extLst>
        <ext uri="{3e2802c4-a4d2-4d8b-9148-e3be6c30e623}">
          <xlrd:rvb i="643"/>
        </ext>
      </extLst>
    </bk>
    <bk>
      <extLst>
        <ext uri="{3e2802c4-a4d2-4d8b-9148-e3be6c30e623}">
          <xlrd:rvb i="644"/>
        </ext>
      </extLst>
    </bk>
    <bk>
      <extLst>
        <ext uri="{3e2802c4-a4d2-4d8b-9148-e3be6c30e623}">
          <xlrd:rvb i="645"/>
        </ext>
      </extLst>
    </bk>
    <bk>
      <extLst>
        <ext uri="{3e2802c4-a4d2-4d8b-9148-e3be6c30e623}">
          <xlrd:rvb i="646"/>
        </ext>
      </extLst>
    </bk>
    <bk>
      <extLst>
        <ext uri="{3e2802c4-a4d2-4d8b-9148-e3be6c30e623}">
          <xlrd:rvb i="647"/>
        </ext>
      </extLst>
    </bk>
    <bk>
      <extLst>
        <ext uri="{3e2802c4-a4d2-4d8b-9148-e3be6c30e623}">
          <xlrd:rvb i="648"/>
        </ext>
      </extLst>
    </bk>
    <bk>
      <extLst>
        <ext uri="{3e2802c4-a4d2-4d8b-9148-e3be6c30e623}">
          <xlrd:rvb i="649"/>
        </ext>
      </extLst>
    </bk>
    <bk>
      <extLst>
        <ext uri="{3e2802c4-a4d2-4d8b-9148-e3be6c30e623}">
          <xlrd:rvb i="650"/>
        </ext>
      </extLst>
    </bk>
    <bk>
      <extLst>
        <ext uri="{3e2802c4-a4d2-4d8b-9148-e3be6c30e623}">
          <xlrd:rvb i="651"/>
        </ext>
      </extLst>
    </bk>
    <bk>
      <extLst>
        <ext uri="{3e2802c4-a4d2-4d8b-9148-e3be6c30e623}">
          <xlrd:rvb i="652"/>
        </ext>
      </extLst>
    </bk>
    <bk>
      <extLst>
        <ext uri="{3e2802c4-a4d2-4d8b-9148-e3be6c30e623}">
          <xlrd:rvb i="653"/>
        </ext>
      </extLst>
    </bk>
    <bk>
      <extLst>
        <ext uri="{3e2802c4-a4d2-4d8b-9148-e3be6c30e623}">
          <xlrd:rvb i="654"/>
        </ext>
      </extLst>
    </bk>
    <bk>
      <extLst>
        <ext uri="{3e2802c4-a4d2-4d8b-9148-e3be6c30e623}">
          <xlrd:rvb i="655"/>
        </ext>
      </extLst>
    </bk>
    <bk>
      <extLst>
        <ext uri="{3e2802c4-a4d2-4d8b-9148-e3be6c30e623}">
          <xlrd:rvb i="656"/>
        </ext>
      </extLst>
    </bk>
    <bk>
      <extLst>
        <ext uri="{3e2802c4-a4d2-4d8b-9148-e3be6c30e623}">
          <xlrd:rvb i="657"/>
        </ext>
      </extLst>
    </bk>
    <bk>
      <extLst>
        <ext uri="{3e2802c4-a4d2-4d8b-9148-e3be6c30e623}">
          <xlrd:rvb i="658"/>
        </ext>
      </extLst>
    </bk>
    <bk>
      <extLst>
        <ext uri="{3e2802c4-a4d2-4d8b-9148-e3be6c30e623}">
          <xlrd:rvb i="659"/>
        </ext>
      </extLst>
    </bk>
    <bk>
      <extLst>
        <ext uri="{3e2802c4-a4d2-4d8b-9148-e3be6c30e623}">
          <xlrd:rvb i="660"/>
        </ext>
      </extLst>
    </bk>
    <bk>
      <extLst>
        <ext uri="{3e2802c4-a4d2-4d8b-9148-e3be6c30e623}">
          <xlrd:rvb i="661"/>
        </ext>
      </extLst>
    </bk>
    <bk>
      <extLst>
        <ext uri="{3e2802c4-a4d2-4d8b-9148-e3be6c30e623}">
          <xlrd:rvb i="662"/>
        </ext>
      </extLst>
    </bk>
    <bk>
      <extLst>
        <ext uri="{3e2802c4-a4d2-4d8b-9148-e3be6c30e623}">
          <xlrd:rvb i="663"/>
        </ext>
      </extLst>
    </bk>
    <bk>
      <extLst>
        <ext uri="{3e2802c4-a4d2-4d8b-9148-e3be6c30e623}">
          <xlrd:rvb i="664"/>
        </ext>
      </extLst>
    </bk>
    <bk>
      <extLst>
        <ext uri="{3e2802c4-a4d2-4d8b-9148-e3be6c30e623}">
          <xlrd:rvb i="665"/>
        </ext>
      </extLst>
    </bk>
    <bk>
      <extLst>
        <ext uri="{3e2802c4-a4d2-4d8b-9148-e3be6c30e623}">
          <xlrd:rvb i="666"/>
        </ext>
      </extLst>
    </bk>
    <bk>
      <extLst>
        <ext uri="{3e2802c4-a4d2-4d8b-9148-e3be6c30e623}">
          <xlrd:rvb i="667"/>
        </ext>
      </extLst>
    </bk>
    <bk>
      <extLst>
        <ext uri="{3e2802c4-a4d2-4d8b-9148-e3be6c30e623}">
          <xlrd:rvb i="668"/>
        </ext>
      </extLst>
    </bk>
    <bk>
      <extLst>
        <ext uri="{3e2802c4-a4d2-4d8b-9148-e3be6c30e623}">
          <xlrd:rvb i="669"/>
        </ext>
      </extLst>
    </bk>
    <bk>
      <extLst>
        <ext uri="{3e2802c4-a4d2-4d8b-9148-e3be6c30e623}">
          <xlrd:rvb i="670"/>
        </ext>
      </extLst>
    </bk>
    <bk>
      <extLst>
        <ext uri="{3e2802c4-a4d2-4d8b-9148-e3be6c30e623}">
          <xlrd:rvb i="671"/>
        </ext>
      </extLst>
    </bk>
    <bk>
      <extLst>
        <ext uri="{3e2802c4-a4d2-4d8b-9148-e3be6c30e623}">
          <xlrd:rvb i="672"/>
        </ext>
      </extLst>
    </bk>
    <bk>
      <extLst>
        <ext uri="{3e2802c4-a4d2-4d8b-9148-e3be6c30e623}">
          <xlrd:rvb i="673"/>
        </ext>
      </extLst>
    </bk>
    <bk>
      <extLst>
        <ext uri="{3e2802c4-a4d2-4d8b-9148-e3be6c30e623}">
          <xlrd:rvb i="674"/>
        </ext>
      </extLst>
    </bk>
    <bk>
      <extLst>
        <ext uri="{3e2802c4-a4d2-4d8b-9148-e3be6c30e623}">
          <xlrd:rvb i="675"/>
        </ext>
      </extLst>
    </bk>
    <bk>
      <extLst>
        <ext uri="{3e2802c4-a4d2-4d8b-9148-e3be6c30e623}">
          <xlrd:rvb i="676"/>
        </ext>
      </extLst>
    </bk>
    <bk>
      <extLst>
        <ext uri="{3e2802c4-a4d2-4d8b-9148-e3be6c30e623}">
          <xlrd:rvb i="677"/>
        </ext>
      </extLst>
    </bk>
    <bk>
      <extLst>
        <ext uri="{3e2802c4-a4d2-4d8b-9148-e3be6c30e623}">
          <xlrd:rvb i="678"/>
        </ext>
      </extLst>
    </bk>
    <bk>
      <extLst>
        <ext uri="{3e2802c4-a4d2-4d8b-9148-e3be6c30e623}">
          <xlrd:rvb i="679"/>
        </ext>
      </extLst>
    </bk>
    <bk>
      <extLst>
        <ext uri="{3e2802c4-a4d2-4d8b-9148-e3be6c30e623}">
          <xlrd:rvb i="680"/>
        </ext>
      </extLst>
    </bk>
    <bk>
      <extLst>
        <ext uri="{3e2802c4-a4d2-4d8b-9148-e3be6c30e623}">
          <xlrd:rvb i="681"/>
        </ext>
      </extLst>
    </bk>
    <bk>
      <extLst>
        <ext uri="{3e2802c4-a4d2-4d8b-9148-e3be6c30e623}">
          <xlrd:rvb i="682"/>
        </ext>
      </extLst>
    </bk>
    <bk>
      <extLst>
        <ext uri="{3e2802c4-a4d2-4d8b-9148-e3be6c30e623}">
          <xlrd:rvb i="683"/>
        </ext>
      </extLst>
    </bk>
    <bk>
      <extLst>
        <ext uri="{3e2802c4-a4d2-4d8b-9148-e3be6c30e623}">
          <xlrd:rvb i="684"/>
        </ext>
      </extLst>
    </bk>
    <bk>
      <extLst>
        <ext uri="{3e2802c4-a4d2-4d8b-9148-e3be6c30e623}">
          <xlrd:rvb i="685"/>
        </ext>
      </extLst>
    </bk>
    <bk>
      <extLst>
        <ext uri="{3e2802c4-a4d2-4d8b-9148-e3be6c30e623}">
          <xlrd:rvb i="686"/>
        </ext>
      </extLst>
    </bk>
    <bk>
      <extLst>
        <ext uri="{3e2802c4-a4d2-4d8b-9148-e3be6c30e623}">
          <xlrd:rvb i="687"/>
        </ext>
      </extLst>
    </bk>
    <bk>
      <extLst>
        <ext uri="{3e2802c4-a4d2-4d8b-9148-e3be6c30e623}">
          <xlrd:rvb i="688"/>
        </ext>
      </extLst>
    </bk>
    <bk>
      <extLst>
        <ext uri="{3e2802c4-a4d2-4d8b-9148-e3be6c30e623}">
          <xlrd:rvb i="689"/>
        </ext>
      </extLst>
    </bk>
    <bk>
      <extLst>
        <ext uri="{3e2802c4-a4d2-4d8b-9148-e3be6c30e623}">
          <xlrd:rvb i="690"/>
        </ext>
      </extLst>
    </bk>
    <bk>
      <extLst>
        <ext uri="{3e2802c4-a4d2-4d8b-9148-e3be6c30e623}">
          <xlrd:rvb i="691"/>
        </ext>
      </extLst>
    </bk>
    <bk>
      <extLst>
        <ext uri="{3e2802c4-a4d2-4d8b-9148-e3be6c30e623}">
          <xlrd:rvb i="692"/>
        </ext>
      </extLst>
    </bk>
    <bk>
      <extLst>
        <ext uri="{3e2802c4-a4d2-4d8b-9148-e3be6c30e623}">
          <xlrd:rvb i="693"/>
        </ext>
      </extLst>
    </bk>
    <bk>
      <extLst>
        <ext uri="{3e2802c4-a4d2-4d8b-9148-e3be6c30e623}">
          <xlrd:rvb i="694"/>
        </ext>
      </extLst>
    </bk>
    <bk>
      <extLst>
        <ext uri="{3e2802c4-a4d2-4d8b-9148-e3be6c30e623}">
          <xlrd:rvb i="695"/>
        </ext>
      </extLst>
    </bk>
    <bk>
      <extLst>
        <ext uri="{3e2802c4-a4d2-4d8b-9148-e3be6c30e623}">
          <xlrd:rvb i="696"/>
        </ext>
      </extLst>
    </bk>
    <bk>
      <extLst>
        <ext uri="{3e2802c4-a4d2-4d8b-9148-e3be6c30e623}">
          <xlrd:rvb i="697"/>
        </ext>
      </extLst>
    </bk>
    <bk>
      <extLst>
        <ext uri="{3e2802c4-a4d2-4d8b-9148-e3be6c30e623}">
          <xlrd:rvb i="698"/>
        </ext>
      </extLst>
    </bk>
    <bk>
      <extLst>
        <ext uri="{3e2802c4-a4d2-4d8b-9148-e3be6c30e623}">
          <xlrd:rvb i="699"/>
        </ext>
      </extLst>
    </bk>
    <bk>
      <extLst>
        <ext uri="{3e2802c4-a4d2-4d8b-9148-e3be6c30e623}">
          <xlrd:rvb i="700"/>
        </ext>
      </extLst>
    </bk>
    <bk>
      <extLst>
        <ext uri="{3e2802c4-a4d2-4d8b-9148-e3be6c30e623}">
          <xlrd:rvb i="701"/>
        </ext>
      </extLst>
    </bk>
    <bk>
      <extLst>
        <ext uri="{3e2802c4-a4d2-4d8b-9148-e3be6c30e623}">
          <xlrd:rvb i="702"/>
        </ext>
      </extLst>
    </bk>
    <bk>
      <extLst>
        <ext uri="{3e2802c4-a4d2-4d8b-9148-e3be6c30e623}">
          <xlrd:rvb i="703"/>
        </ext>
      </extLst>
    </bk>
    <bk>
      <extLst>
        <ext uri="{3e2802c4-a4d2-4d8b-9148-e3be6c30e623}">
          <xlrd:rvb i="704"/>
        </ext>
      </extLst>
    </bk>
    <bk>
      <extLst>
        <ext uri="{3e2802c4-a4d2-4d8b-9148-e3be6c30e623}">
          <xlrd:rvb i="705"/>
        </ext>
      </extLst>
    </bk>
    <bk>
      <extLst>
        <ext uri="{3e2802c4-a4d2-4d8b-9148-e3be6c30e623}">
          <xlrd:rvb i="706"/>
        </ext>
      </extLst>
    </bk>
    <bk>
      <extLst>
        <ext uri="{3e2802c4-a4d2-4d8b-9148-e3be6c30e623}">
          <xlrd:rvb i="707"/>
        </ext>
      </extLst>
    </bk>
    <bk>
      <extLst>
        <ext uri="{3e2802c4-a4d2-4d8b-9148-e3be6c30e623}">
          <xlrd:rvb i="708"/>
        </ext>
      </extLst>
    </bk>
    <bk>
      <extLst>
        <ext uri="{3e2802c4-a4d2-4d8b-9148-e3be6c30e623}">
          <xlrd:rvb i="709"/>
        </ext>
      </extLst>
    </bk>
    <bk>
      <extLst>
        <ext uri="{3e2802c4-a4d2-4d8b-9148-e3be6c30e623}">
          <xlrd:rvb i="710"/>
        </ext>
      </extLst>
    </bk>
    <bk>
      <extLst>
        <ext uri="{3e2802c4-a4d2-4d8b-9148-e3be6c30e623}">
          <xlrd:rvb i="711"/>
        </ext>
      </extLst>
    </bk>
    <bk>
      <extLst>
        <ext uri="{3e2802c4-a4d2-4d8b-9148-e3be6c30e623}">
          <xlrd:rvb i="712"/>
        </ext>
      </extLst>
    </bk>
    <bk>
      <extLst>
        <ext uri="{3e2802c4-a4d2-4d8b-9148-e3be6c30e623}">
          <xlrd:rvb i="713"/>
        </ext>
      </extLst>
    </bk>
    <bk>
      <extLst>
        <ext uri="{3e2802c4-a4d2-4d8b-9148-e3be6c30e623}">
          <xlrd:rvb i="714"/>
        </ext>
      </extLst>
    </bk>
    <bk>
      <extLst>
        <ext uri="{3e2802c4-a4d2-4d8b-9148-e3be6c30e623}">
          <xlrd:rvb i="715"/>
        </ext>
      </extLst>
    </bk>
    <bk>
      <extLst>
        <ext uri="{3e2802c4-a4d2-4d8b-9148-e3be6c30e623}">
          <xlrd:rvb i="716"/>
        </ext>
      </extLst>
    </bk>
    <bk>
      <extLst>
        <ext uri="{3e2802c4-a4d2-4d8b-9148-e3be6c30e623}">
          <xlrd:rvb i="717"/>
        </ext>
      </extLst>
    </bk>
    <bk>
      <extLst>
        <ext uri="{3e2802c4-a4d2-4d8b-9148-e3be6c30e623}">
          <xlrd:rvb i="718"/>
        </ext>
      </extLst>
    </bk>
    <bk>
      <extLst>
        <ext uri="{3e2802c4-a4d2-4d8b-9148-e3be6c30e623}">
          <xlrd:rvb i="719"/>
        </ext>
      </extLst>
    </bk>
    <bk>
      <extLst>
        <ext uri="{3e2802c4-a4d2-4d8b-9148-e3be6c30e623}">
          <xlrd:rvb i="720"/>
        </ext>
      </extLst>
    </bk>
    <bk>
      <extLst>
        <ext uri="{3e2802c4-a4d2-4d8b-9148-e3be6c30e623}">
          <xlrd:rvb i="721"/>
        </ext>
      </extLst>
    </bk>
    <bk>
      <extLst>
        <ext uri="{3e2802c4-a4d2-4d8b-9148-e3be6c30e623}">
          <xlrd:rvb i="722"/>
        </ext>
      </extLst>
    </bk>
    <bk>
      <extLst>
        <ext uri="{3e2802c4-a4d2-4d8b-9148-e3be6c30e623}">
          <xlrd:rvb i="723"/>
        </ext>
      </extLst>
    </bk>
    <bk>
      <extLst>
        <ext uri="{3e2802c4-a4d2-4d8b-9148-e3be6c30e623}">
          <xlrd:rvb i="724"/>
        </ext>
      </extLst>
    </bk>
    <bk>
      <extLst>
        <ext uri="{3e2802c4-a4d2-4d8b-9148-e3be6c30e623}">
          <xlrd:rvb i="725"/>
        </ext>
      </extLst>
    </bk>
    <bk>
      <extLst>
        <ext uri="{3e2802c4-a4d2-4d8b-9148-e3be6c30e623}">
          <xlrd:rvb i="726"/>
        </ext>
      </extLst>
    </bk>
    <bk>
      <extLst>
        <ext uri="{3e2802c4-a4d2-4d8b-9148-e3be6c30e623}">
          <xlrd:rvb i="727"/>
        </ext>
      </extLst>
    </bk>
    <bk>
      <extLst>
        <ext uri="{3e2802c4-a4d2-4d8b-9148-e3be6c30e623}">
          <xlrd:rvb i="728"/>
        </ext>
      </extLst>
    </bk>
    <bk>
      <extLst>
        <ext uri="{3e2802c4-a4d2-4d8b-9148-e3be6c30e623}">
          <xlrd:rvb i="729"/>
        </ext>
      </extLst>
    </bk>
    <bk>
      <extLst>
        <ext uri="{3e2802c4-a4d2-4d8b-9148-e3be6c30e623}">
          <xlrd:rvb i="730"/>
        </ext>
      </extLst>
    </bk>
    <bk>
      <extLst>
        <ext uri="{3e2802c4-a4d2-4d8b-9148-e3be6c30e623}">
          <xlrd:rvb i="731"/>
        </ext>
      </extLst>
    </bk>
    <bk>
      <extLst>
        <ext uri="{3e2802c4-a4d2-4d8b-9148-e3be6c30e623}">
          <xlrd:rvb i="732"/>
        </ext>
      </extLst>
    </bk>
    <bk>
      <extLst>
        <ext uri="{3e2802c4-a4d2-4d8b-9148-e3be6c30e623}">
          <xlrd:rvb i="733"/>
        </ext>
      </extLst>
    </bk>
    <bk>
      <extLst>
        <ext uri="{3e2802c4-a4d2-4d8b-9148-e3be6c30e623}">
          <xlrd:rvb i="734"/>
        </ext>
      </extLst>
    </bk>
    <bk>
      <extLst>
        <ext uri="{3e2802c4-a4d2-4d8b-9148-e3be6c30e623}">
          <xlrd:rvb i="735"/>
        </ext>
      </extLst>
    </bk>
    <bk>
      <extLst>
        <ext uri="{3e2802c4-a4d2-4d8b-9148-e3be6c30e623}">
          <xlrd:rvb i="736"/>
        </ext>
      </extLst>
    </bk>
    <bk>
      <extLst>
        <ext uri="{3e2802c4-a4d2-4d8b-9148-e3be6c30e623}">
          <xlrd:rvb i="737"/>
        </ext>
      </extLst>
    </bk>
    <bk>
      <extLst>
        <ext uri="{3e2802c4-a4d2-4d8b-9148-e3be6c30e623}">
          <xlrd:rvb i="738"/>
        </ext>
      </extLst>
    </bk>
    <bk>
      <extLst>
        <ext uri="{3e2802c4-a4d2-4d8b-9148-e3be6c30e623}">
          <xlrd:rvb i="739"/>
        </ext>
      </extLst>
    </bk>
    <bk>
      <extLst>
        <ext uri="{3e2802c4-a4d2-4d8b-9148-e3be6c30e623}">
          <xlrd:rvb i="740"/>
        </ext>
      </extLst>
    </bk>
    <bk>
      <extLst>
        <ext uri="{3e2802c4-a4d2-4d8b-9148-e3be6c30e623}">
          <xlrd:rvb i="741"/>
        </ext>
      </extLst>
    </bk>
    <bk>
      <extLst>
        <ext uri="{3e2802c4-a4d2-4d8b-9148-e3be6c30e623}">
          <xlrd:rvb i="742"/>
        </ext>
      </extLst>
    </bk>
    <bk>
      <extLst>
        <ext uri="{3e2802c4-a4d2-4d8b-9148-e3be6c30e623}">
          <xlrd:rvb i="743"/>
        </ext>
      </extLst>
    </bk>
    <bk>
      <extLst>
        <ext uri="{3e2802c4-a4d2-4d8b-9148-e3be6c30e623}">
          <xlrd:rvb i="744"/>
        </ext>
      </extLst>
    </bk>
  </futureMetadata>
  <cellMetadata count="1">
    <bk>
      <rc t="1" v="0"/>
    </bk>
  </cellMetadata>
  <valueMetadata count="745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  <bk>
      <rc t="2" v="34"/>
    </bk>
    <bk>
      <rc t="2" v="35"/>
    </bk>
    <bk>
      <rc t="2" v="36"/>
    </bk>
    <bk>
      <rc t="2" v="37"/>
    </bk>
    <bk>
      <rc t="2" v="38"/>
    </bk>
    <bk>
      <rc t="2" v="39"/>
    </bk>
    <bk>
      <rc t="2" v="40"/>
    </bk>
    <bk>
      <rc t="2" v="41"/>
    </bk>
    <bk>
      <rc t="2" v="42"/>
    </bk>
    <bk>
      <rc t="2" v="43"/>
    </bk>
    <bk>
      <rc t="2" v="44"/>
    </bk>
    <bk>
      <rc t="2" v="45"/>
    </bk>
    <bk>
      <rc t="2" v="46"/>
    </bk>
    <bk>
      <rc t="2" v="47"/>
    </bk>
    <bk>
      <rc t="2" v="48"/>
    </bk>
    <bk>
      <rc t="2" v="49"/>
    </bk>
    <bk>
      <rc t="2" v="50"/>
    </bk>
    <bk>
      <rc t="2" v="51"/>
    </bk>
    <bk>
      <rc t="2" v="52"/>
    </bk>
    <bk>
      <rc t="2" v="53"/>
    </bk>
    <bk>
      <rc t="2" v="54"/>
    </bk>
    <bk>
      <rc t="2" v="55"/>
    </bk>
    <bk>
      <rc t="2" v="56"/>
    </bk>
    <bk>
      <rc t="2" v="57"/>
    </bk>
    <bk>
      <rc t="2" v="58"/>
    </bk>
    <bk>
      <rc t="2" v="59"/>
    </bk>
    <bk>
      <rc t="2" v="60"/>
    </bk>
    <bk>
      <rc t="2" v="61"/>
    </bk>
    <bk>
      <rc t="2" v="62"/>
    </bk>
    <bk>
      <rc t="2" v="63"/>
    </bk>
    <bk>
      <rc t="2" v="64"/>
    </bk>
    <bk>
      <rc t="2" v="65"/>
    </bk>
    <bk>
      <rc t="2" v="66"/>
    </bk>
    <bk>
      <rc t="2" v="67"/>
    </bk>
    <bk>
      <rc t="2" v="68"/>
    </bk>
    <bk>
      <rc t="2" v="69"/>
    </bk>
    <bk>
      <rc t="2" v="70"/>
    </bk>
    <bk>
      <rc t="2" v="71"/>
    </bk>
    <bk>
      <rc t="2" v="72"/>
    </bk>
    <bk>
      <rc t="2" v="73"/>
    </bk>
    <bk>
      <rc t="2" v="74"/>
    </bk>
    <bk>
      <rc t="2" v="75"/>
    </bk>
    <bk>
      <rc t="2" v="76"/>
    </bk>
    <bk>
      <rc t="2" v="77"/>
    </bk>
    <bk>
      <rc t="2" v="78"/>
    </bk>
    <bk>
      <rc t="2" v="79"/>
    </bk>
    <bk>
      <rc t="2" v="80"/>
    </bk>
    <bk>
      <rc t="2" v="81"/>
    </bk>
    <bk>
      <rc t="2" v="82"/>
    </bk>
    <bk>
      <rc t="2" v="83"/>
    </bk>
    <bk>
      <rc t="2" v="84"/>
    </bk>
    <bk>
      <rc t="2" v="85"/>
    </bk>
    <bk>
      <rc t="2" v="86"/>
    </bk>
    <bk>
      <rc t="2" v="87"/>
    </bk>
    <bk>
      <rc t="2" v="88"/>
    </bk>
    <bk>
      <rc t="2" v="89"/>
    </bk>
    <bk>
      <rc t="2" v="90"/>
    </bk>
    <bk>
      <rc t="2" v="91"/>
    </bk>
    <bk>
      <rc t="2" v="92"/>
    </bk>
    <bk>
      <rc t="2" v="93"/>
    </bk>
    <bk>
      <rc t="2" v="94"/>
    </bk>
    <bk>
      <rc t="2" v="95"/>
    </bk>
    <bk>
      <rc t="2" v="96"/>
    </bk>
    <bk>
      <rc t="2" v="97"/>
    </bk>
    <bk>
      <rc t="2" v="98"/>
    </bk>
    <bk>
      <rc t="2" v="99"/>
    </bk>
    <bk>
      <rc t="2" v="100"/>
    </bk>
    <bk>
      <rc t="2" v="101"/>
    </bk>
    <bk>
      <rc t="2" v="102"/>
    </bk>
    <bk>
      <rc t="2" v="103"/>
    </bk>
    <bk>
      <rc t="2" v="104"/>
    </bk>
    <bk>
      <rc t="2" v="105"/>
    </bk>
    <bk>
      <rc t="2" v="106"/>
    </bk>
    <bk>
      <rc t="2" v="107"/>
    </bk>
    <bk>
      <rc t="2" v="108"/>
    </bk>
    <bk>
      <rc t="2" v="109"/>
    </bk>
    <bk>
      <rc t="2" v="110"/>
    </bk>
    <bk>
      <rc t="2" v="111"/>
    </bk>
    <bk>
      <rc t="2" v="112"/>
    </bk>
    <bk>
      <rc t="2" v="113"/>
    </bk>
    <bk>
      <rc t="2" v="114"/>
    </bk>
    <bk>
      <rc t="2" v="115"/>
    </bk>
    <bk>
      <rc t="2" v="116"/>
    </bk>
    <bk>
      <rc t="2" v="117"/>
    </bk>
    <bk>
      <rc t="2" v="118"/>
    </bk>
    <bk>
      <rc t="2" v="119"/>
    </bk>
    <bk>
      <rc t="2" v="120"/>
    </bk>
    <bk>
      <rc t="2" v="121"/>
    </bk>
    <bk>
      <rc t="2" v="122"/>
    </bk>
    <bk>
      <rc t="2" v="123"/>
    </bk>
    <bk>
      <rc t="2" v="124"/>
    </bk>
    <bk>
      <rc t="2" v="125"/>
    </bk>
    <bk>
      <rc t="2" v="126"/>
    </bk>
    <bk>
      <rc t="2" v="127"/>
    </bk>
    <bk>
      <rc t="2" v="128"/>
    </bk>
    <bk>
      <rc t="2" v="129"/>
    </bk>
    <bk>
      <rc t="2" v="130"/>
    </bk>
    <bk>
      <rc t="2" v="131"/>
    </bk>
    <bk>
      <rc t="2" v="132"/>
    </bk>
    <bk>
      <rc t="2" v="133"/>
    </bk>
    <bk>
      <rc t="2" v="134"/>
    </bk>
    <bk>
      <rc t="2" v="135"/>
    </bk>
    <bk>
      <rc t="2" v="136"/>
    </bk>
    <bk>
      <rc t="2" v="137"/>
    </bk>
    <bk>
      <rc t="2" v="138"/>
    </bk>
    <bk>
      <rc t="2" v="139"/>
    </bk>
    <bk>
      <rc t="2" v="140"/>
    </bk>
    <bk>
      <rc t="2" v="141"/>
    </bk>
    <bk>
      <rc t="2" v="142"/>
    </bk>
    <bk>
      <rc t="2" v="143"/>
    </bk>
    <bk>
      <rc t="2" v="144"/>
    </bk>
    <bk>
      <rc t="2" v="145"/>
    </bk>
    <bk>
      <rc t="2" v="146"/>
    </bk>
    <bk>
      <rc t="2" v="147"/>
    </bk>
    <bk>
      <rc t="2" v="148"/>
    </bk>
    <bk>
      <rc t="2" v="149"/>
    </bk>
    <bk>
      <rc t="2" v="150"/>
    </bk>
    <bk>
      <rc t="2" v="151"/>
    </bk>
    <bk>
      <rc t="2" v="152"/>
    </bk>
    <bk>
      <rc t="2" v="153"/>
    </bk>
    <bk>
      <rc t="2" v="154"/>
    </bk>
    <bk>
      <rc t="2" v="155"/>
    </bk>
    <bk>
      <rc t="2" v="156"/>
    </bk>
    <bk>
      <rc t="2" v="157"/>
    </bk>
    <bk>
      <rc t="2" v="158"/>
    </bk>
    <bk>
      <rc t="2" v="159"/>
    </bk>
    <bk>
      <rc t="2" v="160"/>
    </bk>
    <bk>
      <rc t="2" v="161"/>
    </bk>
    <bk>
      <rc t="2" v="162"/>
    </bk>
    <bk>
      <rc t="2" v="163"/>
    </bk>
    <bk>
      <rc t="2" v="164"/>
    </bk>
    <bk>
      <rc t="2" v="165"/>
    </bk>
    <bk>
      <rc t="2" v="166"/>
    </bk>
    <bk>
      <rc t="2" v="167"/>
    </bk>
    <bk>
      <rc t="2" v="168"/>
    </bk>
    <bk>
      <rc t="2" v="169"/>
    </bk>
    <bk>
      <rc t="2" v="170"/>
    </bk>
    <bk>
      <rc t="2" v="171"/>
    </bk>
    <bk>
      <rc t="2" v="172"/>
    </bk>
    <bk>
      <rc t="2" v="173"/>
    </bk>
    <bk>
      <rc t="2" v="174"/>
    </bk>
    <bk>
      <rc t="2" v="175"/>
    </bk>
    <bk>
      <rc t="2" v="176"/>
    </bk>
    <bk>
      <rc t="2" v="177"/>
    </bk>
    <bk>
      <rc t="2" v="178"/>
    </bk>
    <bk>
      <rc t="2" v="179"/>
    </bk>
    <bk>
      <rc t="2" v="180"/>
    </bk>
    <bk>
      <rc t="2" v="181"/>
    </bk>
    <bk>
      <rc t="2" v="182"/>
    </bk>
    <bk>
      <rc t="2" v="183"/>
    </bk>
    <bk>
      <rc t="2" v="184"/>
    </bk>
    <bk>
      <rc t="2" v="185"/>
    </bk>
    <bk>
      <rc t="2" v="186"/>
    </bk>
    <bk>
      <rc t="2" v="187"/>
    </bk>
    <bk>
      <rc t="2" v="188"/>
    </bk>
    <bk>
      <rc t="2" v="189"/>
    </bk>
    <bk>
      <rc t="2" v="190"/>
    </bk>
    <bk>
      <rc t="2" v="191"/>
    </bk>
    <bk>
      <rc t="2" v="192"/>
    </bk>
    <bk>
      <rc t="2" v="193"/>
    </bk>
    <bk>
      <rc t="2" v="194"/>
    </bk>
    <bk>
      <rc t="2" v="195"/>
    </bk>
    <bk>
      <rc t="2" v="196"/>
    </bk>
    <bk>
      <rc t="2" v="197"/>
    </bk>
    <bk>
      <rc t="2" v="198"/>
    </bk>
    <bk>
      <rc t="2" v="199"/>
    </bk>
    <bk>
      <rc t="2" v="200"/>
    </bk>
    <bk>
      <rc t="2" v="201"/>
    </bk>
    <bk>
      <rc t="2" v="202"/>
    </bk>
    <bk>
      <rc t="2" v="203"/>
    </bk>
    <bk>
      <rc t="2" v="204"/>
    </bk>
    <bk>
      <rc t="2" v="205"/>
    </bk>
    <bk>
      <rc t="2" v="206"/>
    </bk>
    <bk>
      <rc t="2" v="207"/>
    </bk>
    <bk>
      <rc t="2" v="208"/>
    </bk>
    <bk>
      <rc t="2" v="209"/>
    </bk>
    <bk>
      <rc t="2" v="210"/>
    </bk>
    <bk>
      <rc t="2" v="211"/>
    </bk>
    <bk>
      <rc t="2" v="212"/>
    </bk>
    <bk>
      <rc t="2" v="213"/>
    </bk>
    <bk>
      <rc t="2" v="214"/>
    </bk>
    <bk>
      <rc t="2" v="215"/>
    </bk>
    <bk>
      <rc t="2" v="216"/>
    </bk>
    <bk>
      <rc t="2" v="217"/>
    </bk>
    <bk>
      <rc t="2" v="218"/>
    </bk>
    <bk>
      <rc t="2" v="219"/>
    </bk>
    <bk>
      <rc t="2" v="220"/>
    </bk>
    <bk>
      <rc t="2" v="221"/>
    </bk>
    <bk>
      <rc t="2" v="222"/>
    </bk>
    <bk>
      <rc t="2" v="223"/>
    </bk>
    <bk>
      <rc t="2" v="224"/>
    </bk>
    <bk>
      <rc t="2" v="225"/>
    </bk>
    <bk>
      <rc t="2" v="226"/>
    </bk>
    <bk>
      <rc t="2" v="227"/>
    </bk>
    <bk>
      <rc t="2" v="228"/>
    </bk>
    <bk>
      <rc t="2" v="229"/>
    </bk>
    <bk>
      <rc t="2" v="230"/>
    </bk>
    <bk>
      <rc t="2" v="231"/>
    </bk>
    <bk>
      <rc t="2" v="232"/>
    </bk>
    <bk>
      <rc t="2" v="233"/>
    </bk>
    <bk>
      <rc t="2" v="234"/>
    </bk>
    <bk>
      <rc t="2" v="235"/>
    </bk>
    <bk>
      <rc t="2" v="236"/>
    </bk>
    <bk>
      <rc t="2" v="237"/>
    </bk>
    <bk>
      <rc t="2" v="238"/>
    </bk>
    <bk>
      <rc t="2" v="239"/>
    </bk>
    <bk>
      <rc t="2" v="240"/>
    </bk>
    <bk>
      <rc t="2" v="241"/>
    </bk>
    <bk>
      <rc t="2" v="242"/>
    </bk>
    <bk>
      <rc t="2" v="243"/>
    </bk>
    <bk>
      <rc t="2" v="244"/>
    </bk>
    <bk>
      <rc t="2" v="245"/>
    </bk>
    <bk>
      <rc t="2" v="246"/>
    </bk>
    <bk>
      <rc t="2" v="247"/>
    </bk>
    <bk>
      <rc t="2" v="248"/>
    </bk>
    <bk>
      <rc t="2" v="249"/>
    </bk>
    <bk>
      <rc t="2" v="250"/>
    </bk>
    <bk>
      <rc t="2" v="251"/>
    </bk>
    <bk>
      <rc t="2" v="252"/>
    </bk>
    <bk>
      <rc t="2" v="253"/>
    </bk>
    <bk>
      <rc t="2" v="254"/>
    </bk>
    <bk>
      <rc t="2" v="255"/>
    </bk>
    <bk>
      <rc t="2" v="256"/>
    </bk>
    <bk>
      <rc t="2" v="257"/>
    </bk>
    <bk>
      <rc t="2" v="258"/>
    </bk>
    <bk>
      <rc t="2" v="259"/>
    </bk>
    <bk>
      <rc t="2" v="260"/>
    </bk>
    <bk>
      <rc t="2" v="261"/>
    </bk>
    <bk>
      <rc t="2" v="262"/>
    </bk>
    <bk>
      <rc t="2" v="263"/>
    </bk>
    <bk>
      <rc t="2" v="264"/>
    </bk>
    <bk>
      <rc t="2" v="265"/>
    </bk>
    <bk>
      <rc t="2" v="266"/>
    </bk>
    <bk>
      <rc t="2" v="267"/>
    </bk>
    <bk>
      <rc t="2" v="268"/>
    </bk>
    <bk>
      <rc t="2" v="269"/>
    </bk>
    <bk>
      <rc t="2" v="270"/>
    </bk>
    <bk>
      <rc t="2" v="271"/>
    </bk>
    <bk>
      <rc t="2" v="272"/>
    </bk>
    <bk>
      <rc t="2" v="273"/>
    </bk>
    <bk>
      <rc t="2" v="274"/>
    </bk>
    <bk>
      <rc t="2" v="275"/>
    </bk>
    <bk>
      <rc t="2" v="276"/>
    </bk>
    <bk>
      <rc t="2" v="277"/>
    </bk>
    <bk>
      <rc t="2" v="278"/>
    </bk>
    <bk>
      <rc t="2" v="279"/>
    </bk>
    <bk>
      <rc t="2" v="280"/>
    </bk>
    <bk>
      <rc t="2" v="281"/>
    </bk>
    <bk>
      <rc t="2" v="282"/>
    </bk>
    <bk>
      <rc t="2" v="283"/>
    </bk>
    <bk>
      <rc t="2" v="284"/>
    </bk>
    <bk>
      <rc t="2" v="285"/>
    </bk>
    <bk>
      <rc t="2" v="286"/>
    </bk>
    <bk>
      <rc t="2" v="287"/>
    </bk>
    <bk>
      <rc t="2" v="288"/>
    </bk>
    <bk>
      <rc t="2" v="289"/>
    </bk>
    <bk>
      <rc t="2" v="290"/>
    </bk>
    <bk>
      <rc t="2" v="291"/>
    </bk>
    <bk>
      <rc t="2" v="292"/>
    </bk>
    <bk>
      <rc t="2" v="293"/>
    </bk>
    <bk>
      <rc t="2" v="294"/>
    </bk>
    <bk>
      <rc t="2" v="295"/>
    </bk>
    <bk>
      <rc t="2" v="296"/>
    </bk>
    <bk>
      <rc t="2" v="297"/>
    </bk>
    <bk>
      <rc t="2" v="298"/>
    </bk>
    <bk>
      <rc t="2" v="299"/>
    </bk>
    <bk>
      <rc t="2" v="300"/>
    </bk>
    <bk>
      <rc t="2" v="301"/>
    </bk>
    <bk>
      <rc t="2" v="302"/>
    </bk>
    <bk>
      <rc t="2" v="303"/>
    </bk>
    <bk>
      <rc t="2" v="304"/>
    </bk>
    <bk>
      <rc t="2" v="305"/>
    </bk>
    <bk>
      <rc t="2" v="306"/>
    </bk>
    <bk>
      <rc t="2" v="307"/>
    </bk>
    <bk>
      <rc t="2" v="308"/>
    </bk>
    <bk>
      <rc t="2" v="309"/>
    </bk>
    <bk>
      <rc t="2" v="310"/>
    </bk>
    <bk>
      <rc t="2" v="311"/>
    </bk>
    <bk>
      <rc t="2" v="312"/>
    </bk>
    <bk>
      <rc t="2" v="313"/>
    </bk>
    <bk>
      <rc t="2" v="314"/>
    </bk>
    <bk>
      <rc t="2" v="315"/>
    </bk>
    <bk>
      <rc t="2" v="316"/>
    </bk>
    <bk>
      <rc t="2" v="317"/>
    </bk>
    <bk>
      <rc t="2" v="318"/>
    </bk>
    <bk>
      <rc t="2" v="319"/>
    </bk>
    <bk>
      <rc t="2" v="320"/>
    </bk>
    <bk>
      <rc t="2" v="321"/>
    </bk>
    <bk>
      <rc t="2" v="322"/>
    </bk>
    <bk>
      <rc t="2" v="323"/>
    </bk>
    <bk>
      <rc t="2" v="324"/>
    </bk>
    <bk>
      <rc t="2" v="325"/>
    </bk>
    <bk>
      <rc t="2" v="326"/>
    </bk>
    <bk>
      <rc t="2" v="327"/>
    </bk>
    <bk>
      <rc t="2" v="328"/>
    </bk>
    <bk>
      <rc t="2" v="329"/>
    </bk>
    <bk>
      <rc t="2" v="330"/>
    </bk>
    <bk>
      <rc t="2" v="331"/>
    </bk>
    <bk>
      <rc t="2" v="332"/>
    </bk>
    <bk>
      <rc t="2" v="333"/>
    </bk>
    <bk>
      <rc t="2" v="334"/>
    </bk>
    <bk>
      <rc t="2" v="335"/>
    </bk>
    <bk>
      <rc t="2" v="336"/>
    </bk>
    <bk>
      <rc t="2" v="337"/>
    </bk>
    <bk>
      <rc t="2" v="338"/>
    </bk>
    <bk>
      <rc t="2" v="339"/>
    </bk>
    <bk>
      <rc t="2" v="340"/>
    </bk>
    <bk>
      <rc t="2" v="341"/>
    </bk>
    <bk>
      <rc t="2" v="342"/>
    </bk>
    <bk>
      <rc t="2" v="343"/>
    </bk>
    <bk>
      <rc t="2" v="344"/>
    </bk>
    <bk>
      <rc t="2" v="345"/>
    </bk>
    <bk>
      <rc t="2" v="346"/>
    </bk>
    <bk>
      <rc t="2" v="347"/>
    </bk>
    <bk>
      <rc t="2" v="348"/>
    </bk>
    <bk>
      <rc t="2" v="349"/>
    </bk>
    <bk>
      <rc t="2" v="350"/>
    </bk>
    <bk>
      <rc t="2" v="351"/>
    </bk>
    <bk>
      <rc t="2" v="352"/>
    </bk>
    <bk>
      <rc t="2" v="353"/>
    </bk>
    <bk>
      <rc t="2" v="354"/>
    </bk>
    <bk>
      <rc t="2" v="355"/>
    </bk>
    <bk>
      <rc t="2" v="356"/>
    </bk>
    <bk>
      <rc t="2" v="357"/>
    </bk>
    <bk>
      <rc t="2" v="358"/>
    </bk>
    <bk>
      <rc t="2" v="359"/>
    </bk>
    <bk>
      <rc t="2" v="360"/>
    </bk>
    <bk>
      <rc t="2" v="361"/>
    </bk>
    <bk>
      <rc t="2" v="362"/>
    </bk>
    <bk>
      <rc t="2" v="363"/>
    </bk>
    <bk>
      <rc t="2" v="364"/>
    </bk>
    <bk>
      <rc t="2" v="365"/>
    </bk>
    <bk>
      <rc t="2" v="366"/>
    </bk>
    <bk>
      <rc t="2" v="367"/>
    </bk>
    <bk>
      <rc t="2" v="368"/>
    </bk>
    <bk>
      <rc t="2" v="369"/>
    </bk>
    <bk>
      <rc t="2" v="370"/>
    </bk>
    <bk>
      <rc t="2" v="371"/>
    </bk>
    <bk>
      <rc t="2" v="372"/>
    </bk>
    <bk>
      <rc t="2" v="373"/>
    </bk>
    <bk>
      <rc t="2" v="374"/>
    </bk>
    <bk>
      <rc t="2" v="375"/>
    </bk>
    <bk>
      <rc t="2" v="376"/>
    </bk>
    <bk>
      <rc t="2" v="377"/>
    </bk>
    <bk>
      <rc t="2" v="378"/>
    </bk>
    <bk>
      <rc t="2" v="379"/>
    </bk>
    <bk>
      <rc t="2" v="380"/>
    </bk>
    <bk>
      <rc t="2" v="381"/>
    </bk>
    <bk>
      <rc t="2" v="382"/>
    </bk>
    <bk>
      <rc t="2" v="383"/>
    </bk>
    <bk>
      <rc t="2" v="384"/>
    </bk>
    <bk>
      <rc t="2" v="385"/>
    </bk>
    <bk>
      <rc t="2" v="386"/>
    </bk>
    <bk>
      <rc t="2" v="387"/>
    </bk>
    <bk>
      <rc t="2" v="388"/>
    </bk>
    <bk>
      <rc t="2" v="389"/>
    </bk>
    <bk>
      <rc t="2" v="390"/>
    </bk>
    <bk>
      <rc t="2" v="391"/>
    </bk>
    <bk>
      <rc t="2" v="392"/>
    </bk>
    <bk>
      <rc t="2" v="393"/>
    </bk>
    <bk>
      <rc t="2" v="394"/>
    </bk>
    <bk>
      <rc t="2" v="395"/>
    </bk>
    <bk>
      <rc t="2" v="396"/>
    </bk>
    <bk>
      <rc t="2" v="397"/>
    </bk>
    <bk>
      <rc t="2" v="398"/>
    </bk>
    <bk>
      <rc t="2" v="399"/>
    </bk>
    <bk>
      <rc t="2" v="400"/>
    </bk>
    <bk>
      <rc t="2" v="401"/>
    </bk>
    <bk>
      <rc t="2" v="402"/>
    </bk>
    <bk>
      <rc t="2" v="403"/>
    </bk>
    <bk>
      <rc t="2" v="404"/>
    </bk>
    <bk>
      <rc t="2" v="405"/>
    </bk>
    <bk>
      <rc t="2" v="406"/>
    </bk>
    <bk>
      <rc t="2" v="407"/>
    </bk>
    <bk>
      <rc t="2" v="408"/>
    </bk>
    <bk>
      <rc t="2" v="409"/>
    </bk>
    <bk>
      <rc t="2" v="410"/>
    </bk>
    <bk>
      <rc t="2" v="411"/>
    </bk>
    <bk>
      <rc t="2" v="412"/>
    </bk>
    <bk>
      <rc t="2" v="413"/>
    </bk>
    <bk>
      <rc t="2" v="414"/>
    </bk>
    <bk>
      <rc t="2" v="415"/>
    </bk>
    <bk>
      <rc t="2" v="416"/>
    </bk>
    <bk>
      <rc t="2" v="417"/>
    </bk>
    <bk>
      <rc t="2" v="418"/>
    </bk>
    <bk>
      <rc t="2" v="419"/>
    </bk>
    <bk>
      <rc t="2" v="420"/>
    </bk>
    <bk>
      <rc t="2" v="421"/>
    </bk>
    <bk>
      <rc t="2" v="422"/>
    </bk>
    <bk>
      <rc t="2" v="423"/>
    </bk>
    <bk>
      <rc t="2" v="424"/>
    </bk>
    <bk>
      <rc t="2" v="425"/>
    </bk>
    <bk>
      <rc t="2" v="426"/>
    </bk>
    <bk>
      <rc t="2" v="427"/>
    </bk>
    <bk>
      <rc t="2" v="428"/>
    </bk>
    <bk>
      <rc t="2" v="429"/>
    </bk>
    <bk>
      <rc t="2" v="430"/>
    </bk>
    <bk>
      <rc t="2" v="431"/>
    </bk>
    <bk>
      <rc t="2" v="432"/>
    </bk>
    <bk>
      <rc t="2" v="433"/>
    </bk>
    <bk>
      <rc t="2" v="434"/>
    </bk>
    <bk>
      <rc t="2" v="435"/>
    </bk>
    <bk>
      <rc t="2" v="436"/>
    </bk>
    <bk>
      <rc t="2" v="437"/>
    </bk>
    <bk>
      <rc t="2" v="438"/>
    </bk>
    <bk>
      <rc t="2" v="439"/>
    </bk>
    <bk>
      <rc t="2" v="440"/>
    </bk>
    <bk>
      <rc t="2" v="441"/>
    </bk>
    <bk>
      <rc t="2" v="442"/>
    </bk>
    <bk>
      <rc t="2" v="443"/>
    </bk>
    <bk>
      <rc t="2" v="444"/>
    </bk>
    <bk>
      <rc t="2" v="445"/>
    </bk>
    <bk>
      <rc t="2" v="446"/>
    </bk>
    <bk>
      <rc t="2" v="447"/>
    </bk>
    <bk>
      <rc t="2" v="448"/>
    </bk>
    <bk>
      <rc t="2" v="449"/>
    </bk>
    <bk>
      <rc t="2" v="450"/>
    </bk>
    <bk>
      <rc t="2" v="451"/>
    </bk>
    <bk>
      <rc t="2" v="452"/>
    </bk>
    <bk>
      <rc t="2" v="453"/>
    </bk>
    <bk>
      <rc t="2" v="454"/>
    </bk>
    <bk>
      <rc t="2" v="455"/>
    </bk>
    <bk>
      <rc t="2" v="456"/>
    </bk>
    <bk>
      <rc t="2" v="457"/>
    </bk>
    <bk>
      <rc t="2" v="458"/>
    </bk>
    <bk>
      <rc t="2" v="459"/>
    </bk>
    <bk>
      <rc t="2" v="460"/>
    </bk>
    <bk>
      <rc t="2" v="461"/>
    </bk>
    <bk>
      <rc t="2" v="462"/>
    </bk>
    <bk>
      <rc t="2" v="463"/>
    </bk>
    <bk>
      <rc t="2" v="464"/>
    </bk>
    <bk>
      <rc t="2" v="465"/>
    </bk>
    <bk>
      <rc t="2" v="466"/>
    </bk>
    <bk>
      <rc t="2" v="467"/>
    </bk>
    <bk>
      <rc t="2" v="468"/>
    </bk>
    <bk>
      <rc t="2" v="469"/>
    </bk>
    <bk>
      <rc t="2" v="470"/>
    </bk>
    <bk>
      <rc t="2" v="471"/>
    </bk>
    <bk>
      <rc t="2" v="472"/>
    </bk>
    <bk>
      <rc t="2" v="473"/>
    </bk>
    <bk>
      <rc t="2" v="474"/>
    </bk>
    <bk>
      <rc t="2" v="475"/>
    </bk>
    <bk>
      <rc t="2" v="476"/>
    </bk>
    <bk>
      <rc t="2" v="477"/>
    </bk>
    <bk>
      <rc t="2" v="478"/>
    </bk>
    <bk>
      <rc t="2" v="479"/>
    </bk>
    <bk>
      <rc t="2" v="480"/>
    </bk>
    <bk>
      <rc t="2" v="481"/>
    </bk>
    <bk>
      <rc t="2" v="482"/>
    </bk>
    <bk>
      <rc t="2" v="483"/>
    </bk>
    <bk>
      <rc t="2" v="484"/>
    </bk>
    <bk>
      <rc t="2" v="485"/>
    </bk>
    <bk>
      <rc t="2" v="486"/>
    </bk>
    <bk>
      <rc t="2" v="487"/>
    </bk>
    <bk>
      <rc t="2" v="488"/>
    </bk>
    <bk>
      <rc t="2" v="489"/>
    </bk>
    <bk>
      <rc t="2" v="490"/>
    </bk>
    <bk>
      <rc t="2" v="491"/>
    </bk>
    <bk>
      <rc t="2" v="492"/>
    </bk>
    <bk>
      <rc t="2" v="493"/>
    </bk>
    <bk>
      <rc t="2" v="494"/>
    </bk>
    <bk>
      <rc t="2" v="495"/>
    </bk>
    <bk>
      <rc t="2" v="496"/>
    </bk>
    <bk>
      <rc t="2" v="497"/>
    </bk>
    <bk>
      <rc t="2" v="498"/>
    </bk>
    <bk>
      <rc t="2" v="499"/>
    </bk>
    <bk>
      <rc t="2" v="500"/>
    </bk>
    <bk>
      <rc t="2" v="501"/>
    </bk>
    <bk>
      <rc t="2" v="502"/>
    </bk>
    <bk>
      <rc t="2" v="503"/>
    </bk>
    <bk>
      <rc t="2" v="504"/>
    </bk>
    <bk>
      <rc t="2" v="505"/>
    </bk>
    <bk>
      <rc t="2" v="506"/>
    </bk>
    <bk>
      <rc t="2" v="507"/>
    </bk>
    <bk>
      <rc t="2" v="508"/>
    </bk>
    <bk>
      <rc t="2" v="509"/>
    </bk>
    <bk>
      <rc t="2" v="510"/>
    </bk>
    <bk>
      <rc t="2" v="511"/>
    </bk>
    <bk>
      <rc t="2" v="512"/>
    </bk>
    <bk>
      <rc t="2" v="513"/>
    </bk>
    <bk>
      <rc t="2" v="514"/>
    </bk>
    <bk>
      <rc t="2" v="515"/>
    </bk>
    <bk>
      <rc t="2" v="516"/>
    </bk>
    <bk>
      <rc t="2" v="517"/>
    </bk>
    <bk>
      <rc t="2" v="518"/>
    </bk>
    <bk>
      <rc t="2" v="519"/>
    </bk>
    <bk>
      <rc t="2" v="520"/>
    </bk>
    <bk>
      <rc t="2" v="521"/>
    </bk>
    <bk>
      <rc t="2" v="522"/>
    </bk>
    <bk>
      <rc t="2" v="523"/>
    </bk>
    <bk>
      <rc t="2" v="524"/>
    </bk>
    <bk>
      <rc t="2" v="525"/>
    </bk>
    <bk>
      <rc t="2" v="526"/>
    </bk>
    <bk>
      <rc t="2" v="527"/>
    </bk>
    <bk>
      <rc t="2" v="528"/>
    </bk>
    <bk>
      <rc t="2" v="529"/>
    </bk>
    <bk>
      <rc t="2" v="530"/>
    </bk>
    <bk>
      <rc t="2" v="531"/>
    </bk>
    <bk>
      <rc t="2" v="532"/>
    </bk>
    <bk>
      <rc t="2" v="533"/>
    </bk>
    <bk>
      <rc t="2" v="534"/>
    </bk>
    <bk>
      <rc t="2" v="535"/>
    </bk>
    <bk>
      <rc t="2" v="536"/>
    </bk>
    <bk>
      <rc t="2" v="537"/>
    </bk>
    <bk>
      <rc t="2" v="538"/>
    </bk>
    <bk>
      <rc t="2" v="539"/>
    </bk>
    <bk>
      <rc t="2" v="540"/>
    </bk>
    <bk>
      <rc t="2" v="541"/>
    </bk>
    <bk>
      <rc t="2" v="542"/>
    </bk>
    <bk>
      <rc t="2" v="543"/>
    </bk>
    <bk>
      <rc t="2" v="544"/>
    </bk>
    <bk>
      <rc t="2" v="545"/>
    </bk>
    <bk>
      <rc t="2" v="546"/>
    </bk>
    <bk>
      <rc t="2" v="547"/>
    </bk>
    <bk>
      <rc t="2" v="548"/>
    </bk>
    <bk>
      <rc t="2" v="549"/>
    </bk>
    <bk>
      <rc t="2" v="550"/>
    </bk>
    <bk>
      <rc t="2" v="551"/>
    </bk>
    <bk>
      <rc t="2" v="552"/>
    </bk>
    <bk>
      <rc t="2" v="553"/>
    </bk>
    <bk>
      <rc t="2" v="554"/>
    </bk>
    <bk>
      <rc t="2" v="555"/>
    </bk>
    <bk>
      <rc t="2" v="556"/>
    </bk>
    <bk>
      <rc t="2" v="557"/>
    </bk>
    <bk>
      <rc t="2" v="558"/>
    </bk>
    <bk>
      <rc t="2" v="559"/>
    </bk>
    <bk>
      <rc t="2" v="560"/>
    </bk>
    <bk>
      <rc t="2" v="561"/>
    </bk>
    <bk>
      <rc t="2" v="562"/>
    </bk>
    <bk>
      <rc t="2" v="563"/>
    </bk>
    <bk>
      <rc t="2" v="564"/>
    </bk>
    <bk>
      <rc t="2" v="565"/>
    </bk>
    <bk>
      <rc t="2" v="566"/>
    </bk>
    <bk>
      <rc t="2" v="567"/>
    </bk>
    <bk>
      <rc t="2" v="568"/>
    </bk>
    <bk>
      <rc t="2" v="569"/>
    </bk>
    <bk>
      <rc t="2" v="570"/>
    </bk>
    <bk>
      <rc t="2" v="571"/>
    </bk>
    <bk>
      <rc t="2" v="572"/>
    </bk>
    <bk>
      <rc t="2" v="573"/>
    </bk>
    <bk>
      <rc t="2" v="574"/>
    </bk>
    <bk>
      <rc t="2" v="575"/>
    </bk>
    <bk>
      <rc t="2" v="576"/>
    </bk>
    <bk>
      <rc t="2" v="577"/>
    </bk>
    <bk>
      <rc t="2" v="578"/>
    </bk>
    <bk>
      <rc t="2" v="579"/>
    </bk>
    <bk>
      <rc t="2" v="580"/>
    </bk>
    <bk>
      <rc t="2" v="581"/>
    </bk>
    <bk>
      <rc t="2" v="582"/>
    </bk>
    <bk>
      <rc t="2" v="583"/>
    </bk>
    <bk>
      <rc t="2" v="584"/>
    </bk>
    <bk>
      <rc t="2" v="585"/>
    </bk>
    <bk>
      <rc t="2" v="586"/>
    </bk>
    <bk>
      <rc t="2" v="587"/>
    </bk>
    <bk>
      <rc t="2" v="588"/>
    </bk>
    <bk>
      <rc t="2" v="589"/>
    </bk>
    <bk>
      <rc t="2" v="590"/>
    </bk>
    <bk>
      <rc t="2" v="591"/>
    </bk>
    <bk>
      <rc t="2" v="592"/>
    </bk>
    <bk>
      <rc t="2" v="593"/>
    </bk>
    <bk>
      <rc t="2" v="594"/>
    </bk>
    <bk>
      <rc t="2" v="595"/>
    </bk>
    <bk>
      <rc t="2" v="596"/>
    </bk>
    <bk>
      <rc t="2" v="597"/>
    </bk>
    <bk>
      <rc t="2" v="598"/>
    </bk>
    <bk>
      <rc t="2" v="599"/>
    </bk>
    <bk>
      <rc t="2" v="600"/>
    </bk>
    <bk>
      <rc t="2" v="601"/>
    </bk>
    <bk>
      <rc t="2" v="602"/>
    </bk>
    <bk>
      <rc t="2" v="603"/>
    </bk>
    <bk>
      <rc t="2" v="604"/>
    </bk>
    <bk>
      <rc t="2" v="605"/>
    </bk>
    <bk>
      <rc t="2" v="606"/>
    </bk>
    <bk>
      <rc t="2" v="607"/>
    </bk>
    <bk>
      <rc t="2" v="608"/>
    </bk>
    <bk>
      <rc t="2" v="609"/>
    </bk>
    <bk>
      <rc t="2" v="610"/>
    </bk>
    <bk>
      <rc t="2" v="611"/>
    </bk>
    <bk>
      <rc t="2" v="612"/>
    </bk>
    <bk>
      <rc t="2" v="613"/>
    </bk>
    <bk>
      <rc t="2" v="614"/>
    </bk>
    <bk>
      <rc t="2" v="615"/>
    </bk>
    <bk>
      <rc t="2" v="616"/>
    </bk>
    <bk>
      <rc t="2" v="617"/>
    </bk>
    <bk>
      <rc t="2" v="618"/>
    </bk>
    <bk>
      <rc t="2" v="619"/>
    </bk>
    <bk>
      <rc t="2" v="620"/>
    </bk>
    <bk>
      <rc t="2" v="621"/>
    </bk>
    <bk>
      <rc t="2" v="622"/>
    </bk>
    <bk>
      <rc t="2" v="623"/>
    </bk>
    <bk>
      <rc t="2" v="624"/>
    </bk>
    <bk>
      <rc t="2" v="625"/>
    </bk>
    <bk>
      <rc t="2" v="626"/>
    </bk>
    <bk>
      <rc t="2" v="627"/>
    </bk>
    <bk>
      <rc t="2" v="628"/>
    </bk>
    <bk>
      <rc t="2" v="629"/>
    </bk>
    <bk>
      <rc t="2" v="630"/>
    </bk>
    <bk>
      <rc t="2" v="631"/>
    </bk>
    <bk>
      <rc t="2" v="632"/>
    </bk>
    <bk>
      <rc t="2" v="633"/>
    </bk>
    <bk>
      <rc t="2" v="634"/>
    </bk>
    <bk>
      <rc t="2" v="635"/>
    </bk>
    <bk>
      <rc t="2" v="636"/>
    </bk>
    <bk>
      <rc t="2" v="637"/>
    </bk>
    <bk>
      <rc t="2" v="638"/>
    </bk>
    <bk>
      <rc t="2" v="639"/>
    </bk>
    <bk>
      <rc t="2" v="640"/>
    </bk>
    <bk>
      <rc t="2" v="641"/>
    </bk>
    <bk>
      <rc t="2" v="642"/>
    </bk>
    <bk>
      <rc t="2" v="643"/>
    </bk>
    <bk>
      <rc t="2" v="644"/>
    </bk>
    <bk>
      <rc t="2" v="645"/>
    </bk>
    <bk>
      <rc t="2" v="646"/>
    </bk>
    <bk>
      <rc t="2" v="647"/>
    </bk>
    <bk>
      <rc t="2" v="648"/>
    </bk>
    <bk>
      <rc t="2" v="649"/>
    </bk>
    <bk>
      <rc t="2" v="650"/>
    </bk>
    <bk>
      <rc t="2" v="651"/>
    </bk>
    <bk>
      <rc t="2" v="652"/>
    </bk>
    <bk>
      <rc t="2" v="653"/>
    </bk>
    <bk>
      <rc t="2" v="654"/>
    </bk>
    <bk>
      <rc t="2" v="655"/>
    </bk>
    <bk>
      <rc t="2" v="656"/>
    </bk>
    <bk>
      <rc t="2" v="657"/>
    </bk>
    <bk>
      <rc t="2" v="658"/>
    </bk>
    <bk>
      <rc t="2" v="659"/>
    </bk>
    <bk>
      <rc t="2" v="660"/>
    </bk>
    <bk>
      <rc t="2" v="661"/>
    </bk>
    <bk>
      <rc t="2" v="662"/>
    </bk>
    <bk>
      <rc t="2" v="663"/>
    </bk>
    <bk>
      <rc t="2" v="664"/>
    </bk>
    <bk>
      <rc t="2" v="665"/>
    </bk>
    <bk>
      <rc t="2" v="666"/>
    </bk>
    <bk>
      <rc t="2" v="667"/>
    </bk>
    <bk>
      <rc t="2" v="668"/>
    </bk>
    <bk>
      <rc t="2" v="669"/>
    </bk>
    <bk>
      <rc t="2" v="670"/>
    </bk>
    <bk>
      <rc t="2" v="671"/>
    </bk>
    <bk>
      <rc t="2" v="672"/>
    </bk>
    <bk>
      <rc t="2" v="673"/>
    </bk>
    <bk>
      <rc t="2" v="674"/>
    </bk>
    <bk>
      <rc t="2" v="675"/>
    </bk>
    <bk>
      <rc t="2" v="676"/>
    </bk>
    <bk>
      <rc t="2" v="677"/>
    </bk>
    <bk>
      <rc t="2" v="678"/>
    </bk>
    <bk>
      <rc t="2" v="679"/>
    </bk>
    <bk>
      <rc t="2" v="680"/>
    </bk>
    <bk>
      <rc t="2" v="681"/>
    </bk>
    <bk>
      <rc t="2" v="682"/>
    </bk>
    <bk>
      <rc t="2" v="683"/>
    </bk>
    <bk>
      <rc t="2" v="684"/>
    </bk>
    <bk>
      <rc t="2" v="685"/>
    </bk>
    <bk>
      <rc t="2" v="686"/>
    </bk>
    <bk>
      <rc t="2" v="687"/>
    </bk>
    <bk>
      <rc t="2" v="688"/>
    </bk>
    <bk>
      <rc t="2" v="689"/>
    </bk>
    <bk>
      <rc t="2" v="690"/>
    </bk>
    <bk>
      <rc t="2" v="691"/>
    </bk>
    <bk>
      <rc t="2" v="692"/>
    </bk>
    <bk>
      <rc t="2" v="693"/>
    </bk>
    <bk>
      <rc t="2" v="694"/>
    </bk>
    <bk>
      <rc t="2" v="695"/>
    </bk>
    <bk>
      <rc t="2" v="696"/>
    </bk>
    <bk>
      <rc t="2" v="697"/>
    </bk>
    <bk>
      <rc t="2" v="698"/>
    </bk>
    <bk>
      <rc t="2" v="699"/>
    </bk>
    <bk>
      <rc t="2" v="700"/>
    </bk>
    <bk>
      <rc t="2" v="701"/>
    </bk>
    <bk>
      <rc t="2" v="702"/>
    </bk>
    <bk>
      <rc t="2" v="703"/>
    </bk>
    <bk>
      <rc t="2" v="704"/>
    </bk>
    <bk>
      <rc t="2" v="705"/>
    </bk>
    <bk>
      <rc t="2" v="706"/>
    </bk>
    <bk>
      <rc t="2" v="707"/>
    </bk>
    <bk>
      <rc t="2" v="708"/>
    </bk>
    <bk>
      <rc t="2" v="709"/>
    </bk>
    <bk>
      <rc t="2" v="710"/>
    </bk>
    <bk>
      <rc t="2" v="711"/>
    </bk>
    <bk>
      <rc t="2" v="712"/>
    </bk>
    <bk>
      <rc t="2" v="713"/>
    </bk>
    <bk>
      <rc t="2" v="714"/>
    </bk>
    <bk>
      <rc t="2" v="715"/>
    </bk>
    <bk>
      <rc t="2" v="716"/>
    </bk>
    <bk>
      <rc t="2" v="717"/>
    </bk>
    <bk>
      <rc t="2" v="718"/>
    </bk>
    <bk>
      <rc t="2" v="719"/>
    </bk>
    <bk>
      <rc t="2" v="720"/>
    </bk>
    <bk>
      <rc t="2" v="721"/>
    </bk>
    <bk>
      <rc t="2" v="722"/>
    </bk>
    <bk>
      <rc t="2" v="723"/>
    </bk>
    <bk>
      <rc t="2" v="724"/>
    </bk>
    <bk>
      <rc t="2" v="725"/>
    </bk>
    <bk>
      <rc t="2" v="726"/>
    </bk>
    <bk>
      <rc t="2" v="727"/>
    </bk>
    <bk>
      <rc t="2" v="728"/>
    </bk>
    <bk>
      <rc t="2" v="729"/>
    </bk>
    <bk>
      <rc t="2" v="730"/>
    </bk>
    <bk>
      <rc t="2" v="731"/>
    </bk>
    <bk>
      <rc t="2" v="732"/>
    </bk>
    <bk>
      <rc t="2" v="733"/>
    </bk>
    <bk>
      <rc t="2" v="734"/>
    </bk>
    <bk>
      <rc t="2" v="735"/>
    </bk>
    <bk>
      <rc t="2" v="736"/>
    </bk>
    <bk>
      <rc t="2" v="737"/>
    </bk>
    <bk>
      <rc t="2" v="738"/>
    </bk>
    <bk>
      <rc t="2" v="739"/>
    </bk>
    <bk>
      <rc t="2" v="740"/>
    </bk>
    <bk>
      <rc t="2" v="741"/>
    </bk>
    <bk>
      <rc t="2" v="742"/>
    </bk>
    <bk>
      <rc t="2" v="743"/>
    </bk>
    <bk>
      <rc t="2" v="744"/>
    </bk>
  </valueMetadata>
</metadata>
</file>

<file path=xl/sharedStrings.xml><?xml version="1.0" encoding="utf-8"?>
<sst xmlns="http://schemas.openxmlformats.org/spreadsheetml/2006/main" count="73" uniqueCount="54">
  <si>
    <t>Pr x Vol</t>
  </si>
  <si>
    <t>VWAP</t>
  </si>
  <si>
    <t>StdDev</t>
  </si>
  <si>
    <t>Plus 1 Sd</t>
  </si>
  <si>
    <t>Minus 1 Sd</t>
  </si>
  <si>
    <t>Lower</t>
  </si>
  <si>
    <t>Upper</t>
  </si>
  <si>
    <t>20d SMA</t>
  </si>
  <si>
    <t>21d Sd</t>
  </si>
  <si>
    <t>Change</t>
  </si>
  <si>
    <t>Gain</t>
  </si>
  <si>
    <t>Loss</t>
  </si>
  <si>
    <t>AvgGain</t>
  </si>
  <si>
    <t>AvgLoss</t>
  </si>
  <si>
    <t>RS</t>
  </si>
  <si>
    <t>RSI</t>
  </si>
  <si>
    <t>RSI 70</t>
  </si>
  <si>
    <t>RSI 30</t>
  </si>
  <si>
    <t>EMA 12</t>
  </si>
  <si>
    <t>EMA 26</t>
  </si>
  <si>
    <t>MACD</t>
  </si>
  <si>
    <t>Signal</t>
  </si>
  <si>
    <t>Histogram</t>
  </si>
  <si>
    <t>100d SMA</t>
  </si>
  <si>
    <t>Chart</t>
  </si>
  <si>
    <t>Columns</t>
  </si>
  <si>
    <t>Stock Data</t>
  </si>
  <si>
    <t>A,B,C</t>
  </si>
  <si>
    <t>A,B,E,G,H</t>
  </si>
  <si>
    <t>Bollinger Bands</t>
  </si>
  <si>
    <t>A,B,I,k,L</t>
  </si>
  <si>
    <t>S,T,U</t>
  </si>
  <si>
    <t>X,Y,Z</t>
  </si>
  <si>
    <t>AA</t>
  </si>
  <si>
    <t>Weekly</t>
  </si>
  <si>
    <t>Weekly Average</t>
  </si>
  <si>
    <t>Forecast</t>
  </si>
  <si>
    <t>1 Qt 2026</t>
  </si>
  <si>
    <t>Stats</t>
  </si>
  <si>
    <t>Min</t>
  </si>
  <si>
    <t>Max</t>
  </si>
  <si>
    <t>Median</t>
  </si>
  <si>
    <t>Mean</t>
  </si>
  <si>
    <t>Close</t>
  </si>
  <si>
    <t>Volume</t>
  </si>
  <si>
    <t>Week</t>
  </si>
  <si>
    <t>Average</t>
  </si>
  <si>
    <t>XL Forecast</t>
  </si>
  <si>
    <t>Calc Forecast</t>
  </si>
  <si>
    <t>Jan. 2026</t>
  </si>
  <si>
    <t>Date</t>
  </si>
  <si>
    <t>Dividends</t>
  </si>
  <si>
    <t>GS Simple ML</t>
  </si>
  <si>
    <t>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</si>
</sst>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yyyy\-mm\-dd;@"/>
    <numFmt numFmtId="165" formatCode="yyyy\-mm\-dd"/>
  </numFmts>
  <fonts count="8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C00000"/>
      <name val="Aptos Narrow"/>
      <family val="2"/>
      <scheme val="minor"/>
    </font>
    <font>
      <sz val="10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28">
    <xf numFmtId="0" fontId="0" fillId="0" borderId="0" xfId="0"/>
    <xf numFmtId="0" fontId="2" fillId="5" borderId="0" xfId="0" applyFont="1" applyFill="1"/>
    <xf numFmtId="0" fontId="0" fillId="5" borderId="0" xfId="0" applyFill="1"/>
    <xf numFmtId="0" fontId="2" fillId="5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6" borderId="0" xfId="0" applyFill="1"/>
    <xf numFmtId="0" fontId="2" fillId="6" borderId="0" xfId="0" applyFont="1" applyFill="1" applyAlignment="1">
      <alignment horizontal="center"/>
    </xf>
    <xf numFmtId="0" fontId="2" fillId="7" borderId="0" xfId="0" applyFont="1" applyFill="1"/>
    <xf numFmtId="0" fontId="4" fillId="2" borderId="0" xfId="0" applyFont="1" applyFill="1"/>
    <xf numFmtId="0" fontId="0" fillId="3" borderId="0" xfId="0" applyFill="1"/>
    <xf numFmtId="0" fontId="0" fillId="4" borderId="0" xfId="0" applyFill="1"/>
    <xf numFmtId="0" fontId="0" fillId="8" borderId="0" xfId="0" applyFill="1"/>
    <xf numFmtId="0" fontId="0" fillId="9" borderId="0" xfId="0" applyFill="1"/>
    <xf numFmtId="43" fontId="2" fillId="4" borderId="0" xfId="1" applyFont="1" applyFill="1" applyAlignment="1">
      <alignment horizontal="center"/>
    </xf>
    <xf numFmtId="43" fontId="0" fillId="0" borderId="0" xfId="1" applyFont="1"/>
    <xf numFmtId="164" fontId="1" fillId="2" borderId="0" xfId="0" applyNumberFormat="1" applyFont="1" applyFill="1" applyAlignment="1">
      <alignment horizontal="center"/>
    </xf>
    <xf numFmtId="164" fontId="0" fillId="0" borderId="0" xfId="0" applyNumberFormat="1"/>
    <xf numFmtId="0" fontId="0" fillId="10" borderId="0" xfId="0" applyFill="1"/>
    <xf numFmtId="14" fontId="0" fillId="0" borderId="0" xfId="0" applyNumberFormat="1"/>
    <xf numFmtId="0" fontId="2" fillId="0" borderId="0" xfId="0" applyFont="1" applyAlignment="1">
      <alignment horizontal="center"/>
    </xf>
    <xf numFmtId="165" fontId="0" fillId="0" borderId="0" xfId="0" applyNumberFormat="1"/>
    <xf numFmtId="0" fontId="0" fillId="11" borderId="0" xfId="0" applyFill="1"/>
    <xf numFmtId="0" fontId="6" fillId="11" borderId="0" xfId="0" applyFont="1" applyFill="1"/>
    <xf numFmtId="0" fontId="7" fillId="0" borderId="1" xfId="0" applyFont="1" applyBorder="1" applyAlignment="1">
      <alignment horizontal="right" wrapText="1"/>
    </xf>
  </cellXfs>
  <cellStyles count="2">
    <cellStyle name="Comma" xfId="1" builtinId="3"/>
    <cellStyle name="Normal" xfId="0" builtinId="0"/>
  </cellStyles>
  <dxfs count="5">
    <dxf>
      <numFmt numFmtId="164" formatCode="yyyy\-mm\-dd;@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microsoft.com/office/2017/06/relationships/rdRichValue" Target="richData/rdrichvalue.xml"/><Relationship Id="rId18" Type="http://schemas.microsoft.com/office/2017/06/relationships/rdSupportingPropertyBag" Target="richData/rdsupportingpropertybag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17" Type="http://schemas.microsoft.com/office/2017/06/relationships/rdSupportingPropertyBagStructure" Target="richData/rdsupportingpropertybagstructure.xml"/><Relationship Id="rId2" Type="http://schemas.openxmlformats.org/officeDocument/2006/relationships/worksheet" Target="worksheets/sheet2.xml"/><Relationship Id="rId16" Type="http://schemas.microsoft.com/office/2017/06/relationships/richStyles" Target="richData/richStyles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microsoft.com/office/2017/06/relationships/rdArray" Target="richData/rdarray.xml"/><Relationship Id="rId10" Type="http://schemas.openxmlformats.org/officeDocument/2006/relationships/styles" Target="styles.xml"/><Relationship Id="rId19" Type="http://schemas.microsoft.com/office/2017/06/relationships/rdRichValueTypes" Target="richData/rdRichValueTyp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microsoft.com/office/2017/06/relationships/rdRichValueStructure" Target="richData/rdrichvaluestructure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Dividends!$B$1</c:f>
              <c:strCache>
                <c:ptCount val="1"/>
                <c:pt idx="0">
                  <c:v>Dividends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Dividends!$A$2:$A$106</c:f>
              <c:numCache>
                <c:formatCode>yyyy\-mm\-dd</c:formatCode>
                <c:ptCount val="105"/>
                <c:pt idx="0">
                  <c:v>36567</c:v>
                </c:pt>
                <c:pt idx="1">
                  <c:v>36665</c:v>
                </c:pt>
                <c:pt idx="2">
                  <c:v>36756</c:v>
                </c:pt>
                <c:pt idx="3">
                  <c:v>36847</c:v>
                </c:pt>
                <c:pt idx="4">
                  <c:v>36937</c:v>
                </c:pt>
                <c:pt idx="5">
                  <c:v>37029</c:v>
                </c:pt>
                <c:pt idx="6">
                  <c:v>37120</c:v>
                </c:pt>
                <c:pt idx="7">
                  <c:v>37211</c:v>
                </c:pt>
                <c:pt idx="8">
                  <c:v>37301</c:v>
                </c:pt>
                <c:pt idx="9">
                  <c:v>37393</c:v>
                </c:pt>
                <c:pt idx="10">
                  <c:v>37484</c:v>
                </c:pt>
                <c:pt idx="11">
                  <c:v>37575</c:v>
                </c:pt>
                <c:pt idx="12">
                  <c:v>37665</c:v>
                </c:pt>
                <c:pt idx="13">
                  <c:v>37757</c:v>
                </c:pt>
                <c:pt idx="14">
                  <c:v>37848</c:v>
                </c:pt>
                <c:pt idx="15">
                  <c:v>37939</c:v>
                </c:pt>
                <c:pt idx="16">
                  <c:v>38029</c:v>
                </c:pt>
                <c:pt idx="17">
                  <c:v>38121</c:v>
                </c:pt>
                <c:pt idx="18">
                  <c:v>38212</c:v>
                </c:pt>
                <c:pt idx="19">
                  <c:v>38303</c:v>
                </c:pt>
                <c:pt idx="20">
                  <c:v>38394</c:v>
                </c:pt>
                <c:pt idx="21">
                  <c:v>38485</c:v>
                </c:pt>
                <c:pt idx="22">
                  <c:v>38583</c:v>
                </c:pt>
                <c:pt idx="23">
                  <c:v>38674</c:v>
                </c:pt>
                <c:pt idx="24">
                  <c:v>38772</c:v>
                </c:pt>
                <c:pt idx="25">
                  <c:v>38862</c:v>
                </c:pt>
                <c:pt idx="26">
                  <c:v>38954</c:v>
                </c:pt>
                <c:pt idx="27">
                  <c:v>39045</c:v>
                </c:pt>
                <c:pt idx="28">
                  <c:v>39136</c:v>
                </c:pt>
                <c:pt idx="29">
                  <c:v>39226</c:v>
                </c:pt>
                <c:pt idx="30">
                  <c:v>39318</c:v>
                </c:pt>
                <c:pt idx="31">
                  <c:v>39409</c:v>
                </c:pt>
                <c:pt idx="32">
                  <c:v>39500</c:v>
                </c:pt>
                <c:pt idx="33">
                  <c:v>39590</c:v>
                </c:pt>
                <c:pt idx="34">
                  <c:v>39682</c:v>
                </c:pt>
                <c:pt idx="35">
                  <c:v>39773</c:v>
                </c:pt>
                <c:pt idx="36">
                  <c:v>39864</c:v>
                </c:pt>
                <c:pt idx="37">
                  <c:v>39954</c:v>
                </c:pt>
                <c:pt idx="38">
                  <c:v>40046</c:v>
                </c:pt>
                <c:pt idx="39">
                  <c:v>40137</c:v>
                </c:pt>
                <c:pt idx="40">
                  <c:v>40228</c:v>
                </c:pt>
                <c:pt idx="41">
                  <c:v>40325</c:v>
                </c:pt>
                <c:pt idx="42">
                  <c:v>40417</c:v>
                </c:pt>
                <c:pt idx="43">
                  <c:v>40508</c:v>
                </c:pt>
                <c:pt idx="44">
                  <c:v>40599</c:v>
                </c:pt>
                <c:pt idx="45">
                  <c:v>40689</c:v>
                </c:pt>
                <c:pt idx="46">
                  <c:v>40781</c:v>
                </c:pt>
                <c:pt idx="47">
                  <c:v>40872</c:v>
                </c:pt>
                <c:pt idx="48">
                  <c:v>40963</c:v>
                </c:pt>
                <c:pt idx="49">
                  <c:v>41053</c:v>
                </c:pt>
                <c:pt idx="50">
                  <c:v>41145</c:v>
                </c:pt>
                <c:pt idx="51">
                  <c:v>41236</c:v>
                </c:pt>
                <c:pt idx="52">
                  <c:v>41327</c:v>
                </c:pt>
                <c:pt idx="53">
                  <c:v>41417</c:v>
                </c:pt>
                <c:pt idx="54">
                  <c:v>41509</c:v>
                </c:pt>
                <c:pt idx="55">
                  <c:v>41600</c:v>
                </c:pt>
                <c:pt idx="56">
                  <c:v>41691</c:v>
                </c:pt>
                <c:pt idx="57">
                  <c:v>41781</c:v>
                </c:pt>
                <c:pt idx="58">
                  <c:v>41873</c:v>
                </c:pt>
                <c:pt idx="59">
                  <c:v>41964</c:v>
                </c:pt>
                <c:pt idx="60">
                  <c:v>42055</c:v>
                </c:pt>
                <c:pt idx="61">
                  <c:v>42145</c:v>
                </c:pt>
                <c:pt idx="62">
                  <c:v>42237</c:v>
                </c:pt>
                <c:pt idx="63">
                  <c:v>42328</c:v>
                </c:pt>
                <c:pt idx="64">
                  <c:v>42419</c:v>
                </c:pt>
                <c:pt idx="65">
                  <c:v>42510</c:v>
                </c:pt>
                <c:pt idx="66">
                  <c:v>42601</c:v>
                </c:pt>
                <c:pt idx="67">
                  <c:v>42692</c:v>
                </c:pt>
                <c:pt idx="68">
                  <c:v>42790</c:v>
                </c:pt>
                <c:pt idx="69">
                  <c:v>42880</c:v>
                </c:pt>
                <c:pt idx="70">
                  <c:v>42972</c:v>
                </c:pt>
                <c:pt idx="71">
                  <c:v>43066</c:v>
                </c:pt>
                <c:pt idx="72">
                  <c:v>43157</c:v>
                </c:pt>
                <c:pt idx="73">
                  <c:v>43245</c:v>
                </c:pt>
                <c:pt idx="74">
                  <c:v>43339</c:v>
                </c:pt>
                <c:pt idx="75">
                  <c:v>43430</c:v>
                </c:pt>
                <c:pt idx="76">
                  <c:v>43521</c:v>
                </c:pt>
                <c:pt idx="77">
                  <c:v>43609</c:v>
                </c:pt>
                <c:pt idx="78">
                  <c:v>43703</c:v>
                </c:pt>
                <c:pt idx="79">
                  <c:v>43794</c:v>
                </c:pt>
                <c:pt idx="80">
                  <c:v>43885</c:v>
                </c:pt>
                <c:pt idx="81">
                  <c:v>43973</c:v>
                </c:pt>
                <c:pt idx="82">
                  <c:v>44067</c:v>
                </c:pt>
                <c:pt idx="83">
                  <c:v>44158</c:v>
                </c:pt>
                <c:pt idx="84">
                  <c:v>44249</c:v>
                </c:pt>
                <c:pt idx="85">
                  <c:v>44340</c:v>
                </c:pt>
                <c:pt idx="86">
                  <c:v>44431</c:v>
                </c:pt>
                <c:pt idx="87">
                  <c:v>44522</c:v>
                </c:pt>
                <c:pt idx="88">
                  <c:v>44610</c:v>
                </c:pt>
                <c:pt idx="89">
                  <c:v>44704</c:v>
                </c:pt>
                <c:pt idx="90">
                  <c:v>44795</c:v>
                </c:pt>
                <c:pt idx="91">
                  <c:v>44886</c:v>
                </c:pt>
                <c:pt idx="92">
                  <c:v>44974</c:v>
                </c:pt>
                <c:pt idx="93">
                  <c:v>45068</c:v>
                </c:pt>
                <c:pt idx="94">
                  <c:v>45163</c:v>
                </c:pt>
                <c:pt idx="95">
                  <c:v>45250</c:v>
                </c:pt>
                <c:pt idx="96">
                  <c:v>45338</c:v>
                </c:pt>
                <c:pt idx="97">
                  <c:v>45432</c:v>
                </c:pt>
                <c:pt idx="98">
                  <c:v>45531</c:v>
                </c:pt>
                <c:pt idx="99">
                  <c:v>45622</c:v>
                </c:pt>
                <c:pt idx="100">
                  <c:v>45706</c:v>
                </c:pt>
                <c:pt idx="101">
                  <c:v>45804</c:v>
                </c:pt>
                <c:pt idx="102">
                  <c:v>45895</c:v>
                </c:pt>
                <c:pt idx="103">
                  <c:v>45986</c:v>
                </c:pt>
              </c:numCache>
            </c:numRef>
          </c:cat>
          <c:val>
            <c:numRef>
              <c:f>Dividends!$B$2:$B$106</c:f>
              <c:numCache>
                <c:formatCode>General</c:formatCode>
                <c:ptCount val="105"/>
                <c:pt idx="0">
                  <c:v>0.14000000000000001</c:v>
                </c:pt>
                <c:pt idx="1">
                  <c:v>0.16</c:v>
                </c:pt>
                <c:pt idx="2">
                  <c:v>0.16</c:v>
                </c:pt>
                <c:pt idx="3">
                  <c:v>0.16</c:v>
                </c:pt>
                <c:pt idx="4">
                  <c:v>0.16</c:v>
                </c:pt>
                <c:pt idx="5">
                  <c:v>0.18</c:v>
                </c:pt>
                <c:pt idx="6">
                  <c:v>0.18</c:v>
                </c:pt>
                <c:pt idx="7">
                  <c:v>0.18</c:v>
                </c:pt>
                <c:pt idx="8">
                  <c:v>0.18</c:v>
                </c:pt>
                <c:pt idx="9">
                  <c:v>0.20499999999999999</c:v>
                </c:pt>
                <c:pt idx="10">
                  <c:v>0.20499999999999999</c:v>
                </c:pt>
                <c:pt idx="11">
                  <c:v>0.20499999999999999</c:v>
                </c:pt>
                <c:pt idx="12">
                  <c:v>0.20499999999999999</c:v>
                </c:pt>
                <c:pt idx="13">
                  <c:v>0.24</c:v>
                </c:pt>
                <c:pt idx="14">
                  <c:v>0.24</c:v>
                </c:pt>
                <c:pt idx="15">
                  <c:v>0.24</c:v>
                </c:pt>
                <c:pt idx="16">
                  <c:v>0.24</c:v>
                </c:pt>
                <c:pt idx="17">
                  <c:v>0.28499999999999998</c:v>
                </c:pt>
                <c:pt idx="18">
                  <c:v>0.28499999999999998</c:v>
                </c:pt>
                <c:pt idx="19">
                  <c:v>0.28499999999999998</c:v>
                </c:pt>
                <c:pt idx="20">
                  <c:v>0.28499999999999998</c:v>
                </c:pt>
                <c:pt idx="21">
                  <c:v>0.33</c:v>
                </c:pt>
                <c:pt idx="22">
                  <c:v>0.33</c:v>
                </c:pt>
                <c:pt idx="23">
                  <c:v>0.33</c:v>
                </c:pt>
                <c:pt idx="24">
                  <c:v>0.33</c:v>
                </c:pt>
                <c:pt idx="25">
                  <c:v>0.375</c:v>
                </c:pt>
                <c:pt idx="26">
                  <c:v>0.375</c:v>
                </c:pt>
                <c:pt idx="27">
                  <c:v>0.375</c:v>
                </c:pt>
                <c:pt idx="28">
                  <c:v>0.375</c:v>
                </c:pt>
                <c:pt idx="29">
                  <c:v>0.41499999999999998</c:v>
                </c:pt>
                <c:pt idx="30">
                  <c:v>0.41499999999999998</c:v>
                </c:pt>
                <c:pt idx="31">
                  <c:v>0.41499999999999998</c:v>
                </c:pt>
                <c:pt idx="32">
                  <c:v>0.41499999999999998</c:v>
                </c:pt>
                <c:pt idx="33">
                  <c:v>0.46</c:v>
                </c:pt>
                <c:pt idx="34">
                  <c:v>0.46</c:v>
                </c:pt>
                <c:pt idx="35">
                  <c:v>0.46</c:v>
                </c:pt>
                <c:pt idx="36">
                  <c:v>0.46</c:v>
                </c:pt>
                <c:pt idx="37">
                  <c:v>0.49</c:v>
                </c:pt>
                <c:pt idx="38">
                  <c:v>0.49</c:v>
                </c:pt>
                <c:pt idx="39">
                  <c:v>0.49</c:v>
                </c:pt>
                <c:pt idx="40">
                  <c:v>0.49</c:v>
                </c:pt>
                <c:pt idx="41">
                  <c:v>0.54</c:v>
                </c:pt>
                <c:pt idx="42">
                  <c:v>0.54</c:v>
                </c:pt>
                <c:pt idx="43">
                  <c:v>0.54</c:v>
                </c:pt>
                <c:pt idx="44">
                  <c:v>0.54</c:v>
                </c:pt>
                <c:pt idx="45">
                  <c:v>0.56999999999999995</c:v>
                </c:pt>
                <c:pt idx="46">
                  <c:v>0.56999999999999995</c:v>
                </c:pt>
                <c:pt idx="47">
                  <c:v>0.56999999999999995</c:v>
                </c:pt>
                <c:pt idx="48">
                  <c:v>0.56999999999999995</c:v>
                </c:pt>
                <c:pt idx="49">
                  <c:v>0.61</c:v>
                </c:pt>
                <c:pt idx="50">
                  <c:v>0.61</c:v>
                </c:pt>
                <c:pt idx="51">
                  <c:v>0.61</c:v>
                </c:pt>
                <c:pt idx="52">
                  <c:v>0.61</c:v>
                </c:pt>
                <c:pt idx="53">
                  <c:v>0.66</c:v>
                </c:pt>
                <c:pt idx="54">
                  <c:v>0.66</c:v>
                </c:pt>
                <c:pt idx="55">
                  <c:v>0.66</c:v>
                </c:pt>
                <c:pt idx="56">
                  <c:v>0.66</c:v>
                </c:pt>
                <c:pt idx="57">
                  <c:v>0.7</c:v>
                </c:pt>
                <c:pt idx="58">
                  <c:v>0.7</c:v>
                </c:pt>
                <c:pt idx="59">
                  <c:v>0.7</c:v>
                </c:pt>
                <c:pt idx="60">
                  <c:v>0.7</c:v>
                </c:pt>
                <c:pt idx="61">
                  <c:v>0.75</c:v>
                </c:pt>
                <c:pt idx="62">
                  <c:v>0.75</c:v>
                </c:pt>
                <c:pt idx="63">
                  <c:v>0.75</c:v>
                </c:pt>
                <c:pt idx="64">
                  <c:v>0.75</c:v>
                </c:pt>
                <c:pt idx="65">
                  <c:v>0.8</c:v>
                </c:pt>
                <c:pt idx="66">
                  <c:v>0.8</c:v>
                </c:pt>
                <c:pt idx="67">
                  <c:v>0.8</c:v>
                </c:pt>
                <c:pt idx="68">
                  <c:v>0.8</c:v>
                </c:pt>
                <c:pt idx="69">
                  <c:v>0.84</c:v>
                </c:pt>
                <c:pt idx="70">
                  <c:v>0.84</c:v>
                </c:pt>
                <c:pt idx="71">
                  <c:v>0.84</c:v>
                </c:pt>
                <c:pt idx="72">
                  <c:v>0.84</c:v>
                </c:pt>
                <c:pt idx="73">
                  <c:v>0.9</c:v>
                </c:pt>
                <c:pt idx="74">
                  <c:v>0.9</c:v>
                </c:pt>
                <c:pt idx="75">
                  <c:v>0.9</c:v>
                </c:pt>
                <c:pt idx="76">
                  <c:v>0.9</c:v>
                </c:pt>
                <c:pt idx="77">
                  <c:v>0.95</c:v>
                </c:pt>
                <c:pt idx="78">
                  <c:v>0.95</c:v>
                </c:pt>
                <c:pt idx="79">
                  <c:v>0.95</c:v>
                </c:pt>
                <c:pt idx="80">
                  <c:v>0.95</c:v>
                </c:pt>
                <c:pt idx="81">
                  <c:v>1.01</c:v>
                </c:pt>
                <c:pt idx="82">
                  <c:v>1.01</c:v>
                </c:pt>
                <c:pt idx="83">
                  <c:v>1.01</c:v>
                </c:pt>
                <c:pt idx="84">
                  <c:v>1.01</c:v>
                </c:pt>
                <c:pt idx="85">
                  <c:v>1.06</c:v>
                </c:pt>
                <c:pt idx="86">
                  <c:v>1.06</c:v>
                </c:pt>
                <c:pt idx="87">
                  <c:v>1.06</c:v>
                </c:pt>
                <c:pt idx="88">
                  <c:v>1.06</c:v>
                </c:pt>
                <c:pt idx="89">
                  <c:v>1.1299999999999999</c:v>
                </c:pt>
                <c:pt idx="90">
                  <c:v>1.1299999999999999</c:v>
                </c:pt>
                <c:pt idx="91">
                  <c:v>1.1299999999999999</c:v>
                </c:pt>
                <c:pt idx="92">
                  <c:v>1.1299999999999999</c:v>
                </c:pt>
                <c:pt idx="93">
                  <c:v>1.19</c:v>
                </c:pt>
                <c:pt idx="94">
                  <c:v>1.19</c:v>
                </c:pt>
                <c:pt idx="95">
                  <c:v>1.19</c:v>
                </c:pt>
                <c:pt idx="96">
                  <c:v>1.19</c:v>
                </c:pt>
                <c:pt idx="97">
                  <c:v>1.24</c:v>
                </c:pt>
                <c:pt idx="98">
                  <c:v>1.24</c:v>
                </c:pt>
                <c:pt idx="99">
                  <c:v>1.24</c:v>
                </c:pt>
                <c:pt idx="100">
                  <c:v>1.24</c:v>
                </c:pt>
                <c:pt idx="101">
                  <c:v>1.3</c:v>
                </c:pt>
                <c:pt idx="102">
                  <c:v>1.3</c:v>
                </c:pt>
                <c:pt idx="103">
                  <c:v>1.3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33-40BA-AF8D-BB82AAC87B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51377743"/>
        <c:axId val="1851383023"/>
      </c:barChart>
      <c:dateAx>
        <c:axId val="1851377743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1383023"/>
        <c:crosses val="autoZero"/>
        <c:auto val="1"/>
        <c:lblOffset val="100"/>
        <c:baseTimeUnit val="months"/>
      </c:dateAx>
      <c:valAx>
        <c:axId val="1851383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13777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Close + 20/100 Day SMA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Data!$C$1</c:f>
              <c:strCache>
                <c:ptCount val="1"/>
                <c:pt idx="0">
                  <c:v>Close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Data!$B$2:$B$251</c:f>
              <c:numCache>
                <c:formatCode>m/d/yyyy</c:formatCode>
                <c:ptCount val="250"/>
                <c:pt idx="0">
                  <c:v>45706</c:v>
                </c:pt>
                <c:pt idx="1">
                  <c:v>45707</c:v>
                </c:pt>
                <c:pt idx="2">
                  <c:v>45708</c:v>
                </c:pt>
                <c:pt idx="3">
                  <c:v>45709</c:v>
                </c:pt>
                <c:pt idx="4">
                  <c:v>45712</c:v>
                </c:pt>
                <c:pt idx="5">
                  <c:v>45713</c:v>
                </c:pt>
                <c:pt idx="6">
                  <c:v>45714</c:v>
                </c:pt>
                <c:pt idx="7">
                  <c:v>45715</c:v>
                </c:pt>
                <c:pt idx="8">
                  <c:v>45716</c:v>
                </c:pt>
                <c:pt idx="9">
                  <c:v>45719</c:v>
                </c:pt>
                <c:pt idx="10">
                  <c:v>45720</c:v>
                </c:pt>
                <c:pt idx="11">
                  <c:v>45721</c:v>
                </c:pt>
                <c:pt idx="12">
                  <c:v>45722</c:v>
                </c:pt>
                <c:pt idx="13">
                  <c:v>45723</c:v>
                </c:pt>
                <c:pt idx="14">
                  <c:v>45726</c:v>
                </c:pt>
                <c:pt idx="15">
                  <c:v>45727</c:v>
                </c:pt>
                <c:pt idx="16">
                  <c:v>45728</c:v>
                </c:pt>
                <c:pt idx="17">
                  <c:v>45729</c:v>
                </c:pt>
                <c:pt idx="18">
                  <c:v>45730</c:v>
                </c:pt>
                <c:pt idx="19">
                  <c:v>45733</c:v>
                </c:pt>
                <c:pt idx="20">
                  <c:v>45734</c:v>
                </c:pt>
                <c:pt idx="21">
                  <c:v>45735</c:v>
                </c:pt>
                <c:pt idx="22">
                  <c:v>45736</c:v>
                </c:pt>
                <c:pt idx="23">
                  <c:v>45737</c:v>
                </c:pt>
                <c:pt idx="24">
                  <c:v>45740</c:v>
                </c:pt>
                <c:pt idx="25">
                  <c:v>45741</c:v>
                </c:pt>
                <c:pt idx="26">
                  <c:v>45742</c:v>
                </c:pt>
                <c:pt idx="27">
                  <c:v>45743</c:v>
                </c:pt>
                <c:pt idx="28">
                  <c:v>45744</c:v>
                </c:pt>
                <c:pt idx="29">
                  <c:v>45747</c:v>
                </c:pt>
                <c:pt idx="30">
                  <c:v>45748</c:v>
                </c:pt>
                <c:pt idx="31">
                  <c:v>45749</c:v>
                </c:pt>
                <c:pt idx="32">
                  <c:v>45750</c:v>
                </c:pt>
                <c:pt idx="33">
                  <c:v>45751</c:v>
                </c:pt>
                <c:pt idx="34">
                  <c:v>45754</c:v>
                </c:pt>
                <c:pt idx="35">
                  <c:v>45755</c:v>
                </c:pt>
                <c:pt idx="36">
                  <c:v>45756</c:v>
                </c:pt>
                <c:pt idx="37">
                  <c:v>45757</c:v>
                </c:pt>
                <c:pt idx="38">
                  <c:v>45758</c:v>
                </c:pt>
                <c:pt idx="39">
                  <c:v>45761</c:v>
                </c:pt>
                <c:pt idx="40">
                  <c:v>45762</c:v>
                </c:pt>
                <c:pt idx="41">
                  <c:v>45763</c:v>
                </c:pt>
                <c:pt idx="42">
                  <c:v>45764</c:v>
                </c:pt>
                <c:pt idx="43">
                  <c:v>45768</c:v>
                </c:pt>
                <c:pt idx="44">
                  <c:v>45769</c:v>
                </c:pt>
                <c:pt idx="45">
                  <c:v>45770</c:v>
                </c:pt>
                <c:pt idx="46">
                  <c:v>45771</c:v>
                </c:pt>
                <c:pt idx="47">
                  <c:v>45772</c:v>
                </c:pt>
                <c:pt idx="48">
                  <c:v>45775</c:v>
                </c:pt>
                <c:pt idx="49">
                  <c:v>45776</c:v>
                </c:pt>
                <c:pt idx="50">
                  <c:v>45777</c:v>
                </c:pt>
                <c:pt idx="51">
                  <c:v>45778</c:v>
                </c:pt>
                <c:pt idx="52">
                  <c:v>45779</c:v>
                </c:pt>
                <c:pt idx="53">
                  <c:v>45782</c:v>
                </c:pt>
                <c:pt idx="54">
                  <c:v>45783</c:v>
                </c:pt>
                <c:pt idx="55">
                  <c:v>45784</c:v>
                </c:pt>
                <c:pt idx="56">
                  <c:v>45785</c:v>
                </c:pt>
                <c:pt idx="57">
                  <c:v>45786</c:v>
                </c:pt>
                <c:pt idx="58">
                  <c:v>45789</c:v>
                </c:pt>
                <c:pt idx="59">
                  <c:v>45790</c:v>
                </c:pt>
                <c:pt idx="60">
                  <c:v>45791</c:v>
                </c:pt>
                <c:pt idx="61">
                  <c:v>45792</c:v>
                </c:pt>
                <c:pt idx="62">
                  <c:v>45793</c:v>
                </c:pt>
                <c:pt idx="63">
                  <c:v>45796</c:v>
                </c:pt>
                <c:pt idx="64">
                  <c:v>45797</c:v>
                </c:pt>
                <c:pt idx="65">
                  <c:v>45798</c:v>
                </c:pt>
                <c:pt idx="66">
                  <c:v>45799</c:v>
                </c:pt>
                <c:pt idx="67">
                  <c:v>45800</c:v>
                </c:pt>
                <c:pt idx="68">
                  <c:v>45804</c:v>
                </c:pt>
                <c:pt idx="69">
                  <c:v>45805</c:v>
                </c:pt>
                <c:pt idx="70">
                  <c:v>45806</c:v>
                </c:pt>
                <c:pt idx="71">
                  <c:v>45807</c:v>
                </c:pt>
                <c:pt idx="72">
                  <c:v>45810</c:v>
                </c:pt>
                <c:pt idx="73">
                  <c:v>45811</c:v>
                </c:pt>
                <c:pt idx="74">
                  <c:v>45812</c:v>
                </c:pt>
                <c:pt idx="75">
                  <c:v>45813</c:v>
                </c:pt>
                <c:pt idx="76">
                  <c:v>45814</c:v>
                </c:pt>
                <c:pt idx="77">
                  <c:v>45817</c:v>
                </c:pt>
                <c:pt idx="78">
                  <c:v>45818</c:v>
                </c:pt>
                <c:pt idx="79">
                  <c:v>45819</c:v>
                </c:pt>
                <c:pt idx="80">
                  <c:v>45820</c:v>
                </c:pt>
                <c:pt idx="81">
                  <c:v>45821</c:v>
                </c:pt>
                <c:pt idx="82">
                  <c:v>45824</c:v>
                </c:pt>
                <c:pt idx="83">
                  <c:v>45825</c:v>
                </c:pt>
                <c:pt idx="84">
                  <c:v>45826</c:v>
                </c:pt>
                <c:pt idx="85">
                  <c:v>45828</c:v>
                </c:pt>
                <c:pt idx="86">
                  <c:v>45831</c:v>
                </c:pt>
                <c:pt idx="87">
                  <c:v>45832</c:v>
                </c:pt>
                <c:pt idx="88">
                  <c:v>45833</c:v>
                </c:pt>
                <c:pt idx="89">
                  <c:v>45834</c:v>
                </c:pt>
                <c:pt idx="90">
                  <c:v>45835</c:v>
                </c:pt>
                <c:pt idx="91">
                  <c:v>45838</c:v>
                </c:pt>
                <c:pt idx="92">
                  <c:v>45839</c:v>
                </c:pt>
                <c:pt idx="93">
                  <c:v>45840</c:v>
                </c:pt>
                <c:pt idx="94">
                  <c:v>45841</c:v>
                </c:pt>
                <c:pt idx="95">
                  <c:v>45845</c:v>
                </c:pt>
                <c:pt idx="96">
                  <c:v>45846</c:v>
                </c:pt>
                <c:pt idx="97">
                  <c:v>45847</c:v>
                </c:pt>
                <c:pt idx="98">
                  <c:v>45848</c:v>
                </c:pt>
                <c:pt idx="99">
                  <c:v>45849</c:v>
                </c:pt>
                <c:pt idx="100">
                  <c:v>45852</c:v>
                </c:pt>
                <c:pt idx="101">
                  <c:v>45853</c:v>
                </c:pt>
                <c:pt idx="102">
                  <c:v>45854</c:v>
                </c:pt>
                <c:pt idx="103">
                  <c:v>45855</c:v>
                </c:pt>
                <c:pt idx="104">
                  <c:v>45856</c:v>
                </c:pt>
                <c:pt idx="105">
                  <c:v>45859</c:v>
                </c:pt>
                <c:pt idx="106">
                  <c:v>45860</c:v>
                </c:pt>
                <c:pt idx="107">
                  <c:v>45861</c:v>
                </c:pt>
                <c:pt idx="108">
                  <c:v>45862</c:v>
                </c:pt>
                <c:pt idx="109">
                  <c:v>45863</c:v>
                </c:pt>
                <c:pt idx="110">
                  <c:v>45866</c:v>
                </c:pt>
                <c:pt idx="111">
                  <c:v>45867</c:v>
                </c:pt>
                <c:pt idx="112">
                  <c:v>45868</c:v>
                </c:pt>
                <c:pt idx="113">
                  <c:v>45869</c:v>
                </c:pt>
                <c:pt idx="114">
                  <c:v>45870</c:v>
                </c:pt>
                <c:pt idx="115">
                  <c:v>45873</c:v>
                </c:pt>
                <c:pt idx="116">
                  <c:v>45874</c:v>
                </c:pt>
                <c:pt idx="117">
                  <c:v>45875</c:v>
                </c:pt>
                <c:pt idx="118">
                  <c:v>45876</c:v>
                </c:pt>
                <c:pt idx="119">
                  <c:v>45877</c:v>
                </c:pt>
                <c:pt idx="120">
                  <c:v>45880</c:v>
                </c:pt>
                <c:pt idx="121">
                  <c:v>45881</c:v>
                </c:pt>
                <c:pt idx="122">
                  <c:v>45882</c:v>
                </c:pt>
                <c:pt idx="123">
                  <c:v>45883</c:v>
                </c:pt>
                <c:pt idx="124">
                  <c:v>45884</c:v>
                </c:pt>
                <c:pt idx="125">
                  <c:v>45887</c:v>
                </c:pt>
                <c:pt idx="126">
                  <c:v>45888</c:v>
                </c:pt>
                <c:pt idx="127">
                  <c:v>45889</c:v>
                </c:pt>
                <c:pt idx="128">
                  <c:v>45890</c:v>
                </c:pt>
                <c:pt idx="129">
                  <c:v>45891</c:v>
                </c:pt>
                <c:pt idx="130">
                  <c:v>45894</c:v>
                </c:pt>
                <c:pt idx="131">
                  <c:v>45895</c:v>
                </c:pt>
                <c:pt idx="132">
                  <c:v>45896</c:v>
                </c:pt>
                <c:pt idx="133">
                  <c:v>45897</c:v>
                </c:pt>
                <c:pt idx="134">
                  <c:v>45898</c:v>
                </c:pt>
                <c:pt idx="135">
                  <c:v>45902</c:v>
                </c:pt>
                <c:pt idx="136">
                  <c:v>45903</c:v>
                </c:pt>
                <c:pt idx="137">
                  <c:v>45904</c:v>
                </c:pt>
                <c:pt idx="138">
                  <c:v>45905</c:v>
                </c:pt>
                <c:pt idx="139">
                  <c:v>45908</c:v>
                </c:pt>
                <c:pt idx="140">
                  <c:v>45909</c:v>
                </c:pt>
                <c:pt idx="141">
                  <c:v>45910</c:v>
                </c:pt>
                <c:pt idx="142">
                  <c:v>45911</c:v>
                </c:pt>
                <c:pt idx="143">
                  <c:v>45912</c:v>
                </c:pt>
                <c:pt idx="144">
                  <c:v>45915</c:v>
                </c:pt>
                <c:pt idx="145">
                  <c:v>45916</c:v>
                </c:pt>
                <c:pt idx="146">
                  <c:v>45917</c:v>
                </c:pt>
                <c:pt idx="147">
                  <c:v>45918</c:v>
                </c:pt>
                <c:pt idx="148">
                  <c:v>45919</c:v>
                </c:pt>
                <c:pt idx="149">
                  <c:v>45922</c:v>
                </c:pt>
                <c:pt idx="150">
                  <c:v>45923</c:v>
                </c:pt>
                <c:pt idx="151">
                  <c:v>45924</c:v>
                </c:pt>
                <c:pt idx="152">
                  <c:v>45925</c:v>
                </c:pt>
                <c:pt idx="153">
                  <c:v>45926</c:v>
                </c:pt>
                <c:pt idx="154">
                  <c:v>45929</c:v>
                </c:pt>
                <c:pt idx="155">
                  <c:v>45930</c:v>
                </c:pt>
                <c:pt idx="156">
                  <c:v>45931</c:v>
                </c:pt>
                <c:pt idx="157">
                  <c:v>45932</c:v>
                </c:pt>
                <c:pt idx="158">
                  <c:v>45933</c:v>
                </c:pt>
                <c:pt idx="159">
                  <c:v>45936</c:v>
                </c:pt>
                <c:pt idx="160">
                  <c:v>45937</c:v>
                </c:pt>
                <c:pt idx="161">
                  <c:v>45938</c:v>
                </c:pt>
                <c:pt idx="162">
                  <c:v>45939</c:v>
                </c:pt>
                <c:pt idx="163">
                  <c:v>45940</c:v>
                </c:pt>
                <c:pt idx="164">
                  <c:v>45943</c:v>
                </c:pt>
                <c:pt idx="165">
                  <c:v>45944</c:v>
                </c:pt>
                <c:pt idx="166">
                  <c:v>45945</c:v>
                </c:pt>
                <c:pt idx="167">
                  <c:v>45946</c:v>
                </c:pt>
                <c:pt idx="168">
                  <c:v>45947</c:v>
                </c:pt>
                <c:pt idx="169">
                  <c:v>45950</c:v>
                </c:pt>
                <c:pt idx="170">
                  <c:v>45951</c:v>
                </c:pt>
                <c:pt idx="171">
                  <c:v>45952</c:v>
                </c:pt>
                <c:pt idx="172">
                  <c:v>45953</c:v>
                </c:pt>
                <c:pt idx="173">
                  <c:v>45954</c:v>
                </c:pt>
                <c:pt idx="174">
                  <c:v>45957</c:v>
                </c:pt>
                <c:pt idx="175">
                  <c:v>45958</c:v>
                </c:pt>
                <c:pt idx="176">
                  <c:v>45959</c:v>
                </c:pt>
                <c:pt idx="177">
                  <c:v>45960</c:v>
                </c:pt>
                <c:pt idx="178">
                  <c:v>45961</c:v>
                </c:pt>
                <c:pt idx="179">
                  <c:v>45964</c:v>
                </c:pt>
                <c:pt idx="180">
                  <c:v>45965</c:v>
                </c:pt>
                <c:pt idx="181">
                  <c:v>45966</c:v>
                </c:pt>
                <c:pt idx="182">
                  <c:v>45967</c:v>
                </c:pt>
                <c:pt idx="183">
                  <c:v>45968</c:v>
                </c:pt>
                <c:pt idx="184">
                  <c:v>45971</c:v>
                </c:pt>
                <c:pt idx="185">
                  <c:v>45972</c:v>
                </c:pt>
                <c:pt idx="186">
                  <c:v>45973</c:v>
                </c:pt>
                <c:pt idx="187">
                  <c:v>45974</c:v>
                </c:pt>
                <c:pt idx="188">
                  <c:v>45975</c:v>
                </c:pt>
                <c:pt idx="189">
                  <c:v>45978</c:v>
                </c:pt>
                <c:pt idx="190">
                  <c:v>45979</c:v>
                </c:pt>
                <c:pt idx="191">
                  <c:v>45980</c:v>
                </c:pt>
                <c:pt idx="192">
                  <c:v>45981</c:v>
                </c:pt>
                <c:pt idx="193">
                  <c:v>45982</c:v>
                </c:pt>
                <c:pt idx="194">
                  <c:v>45985</c:v>
                </c:pt>
                <c:pt idx="195">
                  <c:v>45986</c:v>
                </c:pt>
                <c:pt idx="196">
                  <c:v>45987</c:v>
                </c:pt>
                <c:pt idx="197">
                  <c:v>45989</c:v>
                </c:pt>
                <c:pt idx="198">
                  <c:v>45992</c:v>
                </c:pt>
                <c:pt idx="199">
                  <c:v>45993</c:v>
                </c:pt>
                <c:pt idx="200">
                  <c:v>45994</c:v>
                </c:pt>
                <c:pt idx="201">
                  <c:v>45995</c:v>
                </c:pt>
                <c:pt idx="202">
                  <c:v>45996</c:v>
                </c:pt>
                <c:pt idx="203">
                  <c:v>45999</c:v>
                </c:pt>
                <c:pt idx="204">
                  <c:v>46000</c:v>
                </c:pt>
                <c:pt idx="205">
                  <c:v>46001</c:v>
                </c:pt>
                <c:pt idx="206">
                  <c:v>46002</c:v>
                </c:pt>
                <c:pt idx="207">
                  <c:v>46003</c:v>
                </c:pt>
                <c:pt idx="208">
                  <c:v>46006</c:v>
                </c:pt>
                <c:pt idx="209">
                  <c:v>46007</c:v>
                </c:pt>
                <c:pt idx="210">
                  <c:v>46008</c:v>
                </c:pt>
                <c:pt idx="211">
                  <c:v>46009</c:v>
                </c:pt>
                <c:pt idx="212">
                  <c:v>46010</c:v>
                </c:pt>
                <c:pt idx="213">
                  <c:v>46013</c:v>
                </c:pt>
                <c:pt idx="214">
                  <c:v>46014</c:v>
                </c:pt>
                <c:pt idx="215">
                  <c:v>46015</c:v>
                </c:pt>
                <c:pt idx="216">
                  <c:v>46017</c:v>
                </c:pt>
                <c:pt idx="217">
                  <c:v>46020</c:v>
                </c:pt>
                <c:pt idx="218">
                  <c:v>46021</c:v>
                </c:pt>
                <c:pt idx="219">
                  <c:v>46022</c:v>
                </c:pt>
                <c:pt idx="220">
                  <c:v>46024</c:v>
                </c:pt>
                <c:pt idx="221">
                  <c:v>46027</c:v>
                </c:pt>
                <c:pt idx="222">
                  <c:v>46028</c:v>
                </c:pt>
                <c:pt idx="223">
                  <c:v>46029</c:v>
                </c:pt>
                <c:pt idx="224">
                  <c:v>46030</c:v>
                </c:pt>
                <c:pt idx="225">
                  <c:v>46031</c:v>
                </c:pt>
                <c:pt idx="226">
                  <c:v>46034</c:v>
                </c:pt>
                <c:pt idx="227">
                  <c:v>46035</c:v>
                </c:pt>
                <c:pt idx="228">
                  <c:v>46036</c:v>
                </c:pt>
                <c:pt idx="229">
                  <c:v>46037</c:v>
                </c:pt>
                <c:pt idx="230">
                  <c:v>46038</c:v>
                </c:pt>
                <c:pt idx="231">
                  <c:v>46042</c:v>
                </c:pt>
                <c:pt idx="232">
                  <c:v>46043</c:v>
                </c:pt>
                <c:pt idx="233">
                  <c:v>46044</c:v>
                </c:pt>
                <c:pt idx="234">
                  <c:v>46045</c:v>
                </c:pt>
                <c:pt idx="235">
                  <c:v>46048</c:v>
                </c:pt>
                <c:pt idx="236">
                  <c:v>46049</c:v>
                </c:pt>
                <c:pt idx="237">
                  <c:v>46050</c:v>
                </c:pt>
                <c:pt idx="238">
                  <c:v>46051</c:v>
                </c:pt>
                <c:pt idx="239">
                  <c:v>46052</c:v>
                </c:pt>
                <c:pt idx="240">
                  <c:v>46055</c:v>
                </c:pt>
                <c:pt idx="241">
                  <c:v>46056</c:v>
                </c:pt>
                <c:pt idx="242">
                  <c:v>46057</c:v>
                </c:pt>
                <c:pt idx="243">
                  <c:v>46058</c:v>
                </c:pt>
                <c:pt idx="244">
                  <c:v>46059</c:v>
                </c:pt>
                <c:pt idx="245">
                  <c:v>46062</c:v>
                </c:pt>
                <c:pt idx="246">
                  <c:v>46063</c:v>
                </c:pt>
                <c:pt idx="247">
                  <c:v>46064</c:v>
                </c:pt>
                <c:pt idx="248">
                  <c:v>46065</c:v>
                </c:pt>
                <c:pt idx="249">
                  <c:v>46066</c:v>
                </c:pt>
              </c:numCache>
            </c:numRef>
          </c:cat>
          <c:val>
            <c:numRef>
              <c:f>Data!$C$2:$C$251</c:f>
              <c:numCache>
                <c:formatCode>_([$$-409]* #,##0.00_);_([$$-409]* \(#,##0.00\);_([$$-409]* "-"??_);_(@_)</c:formatCode>
                <c:ptCount val="250"/>
                <c:pt idx="0">
                  <c:v>154.99</c:v>
                </c:pt>
                <c:pt idx="1">
                  <c:v>157.88999999999999</c:v>
                </c:pt>
                <c:pt idx="2">
                  <c:v>159.68</c:v>
                </c:pt>
                <c:pt idx="3">
                  <c:v>162.30000000000001</c:v>
                </c:pt>
                <c:pt idx="4">
                  <c:v>163.74</c:v>
                </c:pt>
                <c:pt idx="5">
                  <c:v>166.09</c:v>
                </c:pt>
                <c:pt idx="6">
                  <c:v>163.08000000000001</c:v>
                </c:pt>
                <c:pt idx="7">
                  <c:v>163.72999999999999</c:v>
                </c:pt>
                <c:pt idx="8">
                  <c:v>165.02</c:v>
                </c:pt>
                <c:pt idx="9">
                  <c:v>167.28</c:v>
                </c:pt>
                <c:pt idx="10">
                  <c:v>165.42</c:v>
                </c:pt>
                <c:pt idx="11">
                  <c:v>165.12</c:v>
                </c:pt>
                <c:pt idx="12">
                  <c:v>165.83</c:v>
                </c:pt>
                <c:pt idx="13">
                  <c:v>166.69</c:v>
                </c:pt>
                <c:pt idx="14">
                  <c:v>167.7</c:v>
                </c:pt>
                <c:pt idx="15">
                  <c:v>165.86</c:v>
                </c:pt>
                <c:pt idx="16">
                  <c:v>162.85</c:v>
                </c:pt>
                <c:pt idx="17">
                  <c:v>162.99</c:v>
                </c:pt>
                <c:pt idx="18">
                  <c:v>162.81</c:v>
                </c:pt>
                <c:pt idx="19">
                  <c:v>162.84</c:v>
                </c:pt>
                <c:pt idx="20">
                  <c:v>164.25</c:v>
                </c:pt>
                <c:pt idx="21">
                  <c:v>162.99</c:v>
                </c:pt>
                <c:pt idx="22">
                  <c:v>163.02000000000001</c:v>
                </c:pt>
                <c:pt idx="23">
                  <c:v>163.63</c:v>
                </c:pt>
                <c:pt idx="24">
                  <c:v>163.29</c:v>
                </c:pt>
                <c:pt idx="25">
                  <c:v>161.02000000000001</c:v>
                </c:pt>
                <c:pt idx="26">
                  <c:v>161.72</c:v>
                </c:pt>
                <c:pt idx="27">
                  <c:v>163.13</c:v>
                </c:pt>
                <c:pt idx="28">
                  <c:v>163.71</c:v>
                </c:pt>
                <c:pt idx="29">
                  <c:v>165.84</c:v>
                </c:pt>
                <c:pt idx="30">
                  <c:v>153.25</c:v>
                </c:pt>
                <c:pt idx="31">
                  <c:v>155.36000000000001</c:v>
                </c:pt>
                <c:pt idx="32">
                  <c:v>159.82</c:v>
                </c:pt>
                <c:pt idx="33">
                  <c:v>153.24</c:v>
                </c:pt>
                <c:pt idx="34">
                  <c:v>150.62</c:v>
                </c:pt>
                <c:pt idx="35">
                  <c:v>150</c:v>
                </c:pt>
                <c:pt idx="36">
                  <c:v>150.97</c:v>
                </c:pt>
                <c:pt idx="37">
                  <c:v>148.69</c:v>
                </c:pt>
                <c:pt idx="38">
                  <c:v>151.72999999999999</c:v>
                </c:pt>
                <c:pt idx="39">
                  <c:v>154.36000000000001</c:v>
                </c:pt>
                <c:pt idx="40">
                  <c:v>153.62</c:v>
                </c:pt>
                <c:pt idx="41">
                  <c:v>153.91</c:v>
                </c:pt>
                <c:pt idx="42">
                  <c:v>157.47</c:v>
                </c:pt>
                <c:pt idx="43">
                  <c:v>156.91999999999999</c:v>
                </c:pt>
                <c:pt idx="44">
                  <c:v>157.75</c:v>
                </c:pt>
                <c:pt idx="45">
                  <c:v>155.38</c:v>
                </c:pt>
                <c:pt idx="46">
                  <c:v>154.93</c:v>
                </c:pt>
                <c:pt idx="47">
                  <c:v>154.58000000000001</c:v>
                </c:pt>
                <c:pt idx="48">
                  <c:v>155.35</c:v>
                </c:pt>
                <c:pt idx="49">
                  <c:v>155.91</c:v>
                </c:pt>
                <c:pt idx="50">
                  <c:v>156.31</c:v>
                </c:pt>
                <c:pt idx="51">
                  <c:v>154.46</c:v>
                </c:pt>
                <c:pt idx="52">
                  <c:v>156.12</c:v>
                </c:pt>
                <c:pt idx="53">
                  <c:v>155</c:v>
                </c:pt>
                <c:pt idx="54">
                  <c:v>154.47</c:v>
                </c:pt>
                <c:pt idx="55">
                  <c:v>157.30000000000001</c:v>
                </c:pt>
                <c:pt idx="56">
                  <c:v>155.66</c:v>
                </c:pt>
                <c:pt idx="57">
                  <c:v>154.22</c:v>
                </c:pt>
                <c:pt idx="58">
                  <c:v>154.13999999999999</c:v>
                </c:pt>
                <c:pt idx="59">
                  <c:v>148.44</c:v>
                </c:pt>
                <c:pt idx="60">
                  <c:v>146.36000000000001</c:v>
                </c:pt>
                <c:pt idx="61">
                  <c:v>149.61000000000001</c:v>
                </c:pt>
                <c:pt idx="62">
                  <c:v>151.33000000000001</c:v>
                </c:pt>
                <c:pt idx="63">
                  <c:v>152.49</c:v>
                </c:pt>
                <c:pt idx="64">
                  <c:v>153.66</c:v>
                </c:pt>
                <c:pt idx="65">
                  <c:v>153.18</c:v>
                </c:pt>
                <c:pt idx="66">
                  <c:v>152.61000000000001</c:v>
                </c:pt>
                <c:pt idx="67">
                  <c:v>152.94</c:v>
                </c:pt>
                <c:pt idx="68">
                  <c:v>153.25</c:v>
                </c:pt>
                <c:pt idx="69">
                  <c:v>152.43</c:v>
                </c:pt>
                <c:pt idx="70">
                  <c:v>153.58000000000001</c:v>
                </c:pt>
                <c:pt idx="71">
                  <c:v>155.21</c:v>
                </c:pt>
                <c:pt idx="72">
                  <c:v>155.4</c:v>
                </c:pt>
                <c:pt idx="73">
                  <c:v>154.41999999999999</c:v>
                </c:pt>
                <c:pt idx="74">
                  <c:v>153.22</c:v>
                </c:pt>
                <c:pt idx="75">
                  <c:v>153.66</c:v>
                </c:pt>
                <c:pt idx="76">
                  <c:v>155.03</c:v>
                </c:pt>
                <c:pt idx="77">
                  <c:v>155.22999999999999</c:v>
                </c:pt>
                <c:pt idx="78">
                  <c:v>156.44999999999999</c:v>
                </c:pt>
                <c:pt idx="79">
                  <c:v>155.26</c:v>
                </c:pt>
                <c:pt idx="80">
                  <c:v>156.66</c:v>
                </c:pt>
                <c:pt idx="81">
                  <c:v>157.1</c:v>
                </c:pt>
                <c:pt idx="82">
                  <c:v>155.22</c:v>
                </c:pt>
                <c:pt idx="83">
                  <c:v>152.38</c:v>
                </c:pt>
                <c:pt idx="84">
                  <c:v>150.72999999999999</c:v>
                </c:pt>
                <c:pt idx="85">
                  <c:v>149.79</c:v>
                </c:pt>
                <c:pt idx="86">
                  <c:v>151.32</c:v>
                </c:pt>
                <c:pt idx="87">
                  <c:v>152.19</c:v>
                </c:pt>
                <c:pt idx="88">
                  <c:v>152.28</c:v>
                </c:pt>
                <c:pt idx="89">
                  <c:v>152.01</c:v>
                </c:pt>
                <c:pt idx="90">
                  <c:v>152.41</c:v>
                </c:pt>
                <c:pt idx="91">
                  <c:v>152.75</c:v>
                </c:pt>
                <c:pt idx="92">
                  <c:v>155.91999999999999</c:v>
                </c:pt>
                <c:pt idx="93">
                  <c:v>155.56</c:v>
                </c:pt>
                <c:pt idx="94">
                  <c:v>156.01</c:v>
                </c:pt>
                <c:pt idx="95">
                  <c:v>155.27000000000001</c:v>
                </c:pt>
                <c:pt idx="96">
                  <c:v>155.79</c:v>
                </c:pt>
                <c:pt idx="97">
                  <c:v>156.28</c:v>
                </c:pt>
                <c:pt idx="98">
                  <c:v>157.69</c:v>
                </c:pt>
                <c:pt idx="99">
                  <c:v>156.9</c:v>
                </c:pt>
                <c:pt idx="100">
                  <c:v>156.82</c:v>
                </c:pt>
                <c:pt idx="101">
                  <c:v>155.16999999999999</c:v>
                </c:pt>
                <c:pt idx="102">
                  <c:v>164.78</c:v>
                </c:pt>
                <c:pt idx="103">
                  <c:v>162.97999999999999</c:v>
                </c:pt>
                <c:pt idx="104">
                  <c:v>163.69999999999999</c:v>
                </c:pt>
                <c:pt idx="105">
                  <c:v>164.36</c:v>
                </c:pt>
                <c:pt idx="106">
                  <c:v>167.93</c:v>
                </c:pt>
                <c:pt idx="107">
                  <c:v>169.1</c:v>
                </c:pt>
                <c:pt idx="108">
                  <c:v>169.56</c:v>
                </c:pt>
                <c:pt idx="109">
                  <c:v>168.3</c:v>
                </c:pt>
                <c:pt idx="110">
                  <c:v>166.22</c:v>
                </c:pt>
                <c:pt idx="111">
                  <c:v>168.11</c:v>
                </c:pt>
                <c:pt idx="112">
                  <c:v>167.26</c:v>
                </c:pt>
                <c:pt idx="113">
                  <c:v>164.74</c:v>
                </c:pt>
                <c:pt idx="114">
                  <c:v>167.33</c:v>
                </c:pt>
                <c:pt idx="115">
                  <c:v>171.04</c:v>
                </c:pt>
                <c:pt idx="116">
                  <c:v>170.74</c:v>
                </c:pt>
                <c:pt idx="117">
                  <c:v>170.59</c:v>
                </c:pt>
                <c:pt idx="118">
                  <c:v>171.53</c:v>
                </c:pt>
                <c:pt idx="119">
                  <c:v>173.33</c:v>
                </c:pt>
                <c:pt idx="120">
                  <c:v>173.82</c:v>
                </c:pt>
                <c:pt idx="121">
                  <c:v>172.78</c:v>
                </c:pt>
                <c:pt idx="122">
                  <c:v>174.42</c:v>
                </c:pt>
                <c:pt idx="123">
                  <c:v>174.72</c:v>
                </c:pt>
                <c:pt idx="124">
                  <c:v>176.64</c:v>
                </c:pt>
                <c:pt idx="125">
                  <c:v>176.25</c:v>
                </c:pt>
                <c:pt idx="126">
                  <c:v>177.8</c:v>
                </c:pt>
                <c:pt idx="127">
                  <c:v>178.84</c:v>
                </c:pt>
                <c:pt idx="128">
                  <c:v>178.93</c:v>
                </c:pt>
                <c:pt idx="129">
                  <c:v>179.29</c:v>
                </c:pt>
                <c:pt idx="130">
                  <c:v>178.41</c:v>
                </c:pt>
                <c:pt idx="131">
                  <c:v>176.49</c:v>
                </c:pt>
                <c:pt idx="132">
                  <c:v>176.79</c:v>
                </c:pt>
                <c:pt idx="133">
                  <c:v>175.45</c:v>
                </c:pt>
                <c:pt idx="134">
                  <c:v>177.17</c:v>
                </c:pt>
                <c:pt idx="135">
                  <c:v>178.06</c:v>
                </c:pt>
                <c:pt idx="136">
                  <c:v>178</c:v>
                </c:pt>
                <c:pt idx="137">
                  <c:v>178.76</c:v>
                </c:pt>
                <c:pt idx="138">
                  <c:v>178.43</c:v>
                </c:pt>
                <c:pt idx="139">
                  <c:v>178.13</c:v>
                </c:pt>
                <c:pt idx="140">
                  <c:v>176.96</c:v>
                </c:pt>
                <c:pt idx="141">
                  <c:v>175.79</c:v>
                </c:pt>
                <c:pt idx="142">
                  <c:v>178.5</c:v>
                </c:pt>
                <c:pt idx="143">
                  <c:v>178.06</c:v>
                </c:pt>
                <c:pt idx="144">
                  <c:v>177.4</c:v>
                </c:pt>
                <c:pt idx="145">
                  <c:v>176.46</c:v>
                </c:pt>
                <c:pt idx="146">
                  <c:v>177.2</c:v>
                </c:pt>
                <c:pt idx="147">
                  <c:v>174.16</c:v>
                </c:pt>
                <c:pt idx="148">
                  <c:v>176.19</c:v>
                </c:pt>
                <c:pt idx="149">
                  <c:v>174.21</c:v>
                </c:pt>
                <c:pt idx="150">
                  <c:v>176.58</c:v>
                </c:pt>
                <c:pt idx="151">
                  <c:v>176.69</c:v>
                </c:pt>
                <c:pt idx="152">
                  <c:v>177.73</c:v>
                </c:pt>
                <c:pt idx="153">
                  <c:v>179.71</c:v>
                </c:pt>
                <c:pt idx="154">
                  <c:v>181.62</c:v>
                </c:pt>
                <c:pt idx="155">
                  <c:v>185.42</c:v>
                </c:pt>
                <c:pt idx="156">
                  <c:v>186.05</c:v>
                </c:pt>
                <c:pt idx="157">
                  <c:v>185.98</c:v>
                </c:pt>
                <c:pt idx="158">
                  <c:v>188.64</c:v>
                </c:pt>
                <c:pt idx="159">
                  <c:v>188.16</c:v>
                </c:pt>
                <c:pt idx="160">
                  <c:v>188.89</c:v>
                </c:pt>
                <c:pt idx="161">
                  <c:v>189.69</c:v>
                </c:pt>
                <c:pt idx="162">
                  <c:v>191.08</c:v>
                </c:pt>
                <c:pt idx="163">
                  <c:v>190.72</c:v>
                </c:pt>
                <c:pt idx="164">
                  <c:v>190.9</c:v>
                </c:pt>
                <c:pt idx="165">
                  <c:v>190.85</c:v>
                </c:pt>
                <c:pt idx="166">
                  <c:v>191.17</c:v>
                </c:pt>
                <c:pt idx="167">
                  <c:v>192.12</c:v>
                </c:pt>
                <c:pt idx="168">
                  <c:v>193.22</c:v>
                </c:pt>
                <c:pt idx="169">
                  <c:v>193.72</c:v>
                </c:pt>
                <c:pt idx="170">
                  <c:v>191.88</c:v>
                </c:pt>
                <c:pt idx="171">
                  <c:v>192.94</c:v>
                </c:pt>
                <c:pt idx="172">
                  <c:v>192.47</c:v>
                </c:pt>
                <c:pt idx="173">
                  <c:v>190.4</c:v>
                </c:pt>
                <c:pt idx="174">
                  <c:v>190.3</c:v>
                </c:pt>
                <c:pt idx="175">
                  <c:v>186.93</c:v>
                </c:pt>
                <c:pt idx="176">
                  <c:v>186.6</c:v>
                </c:pt>
                <c:pt idx="177">
                  <c:v>189.05</c:v>
                </c:pt>
                <c:pt idx="178">
                  <c:v>188.87</c:v>
                </c:pt>
                <c:pt idx="179">
                  <c:v>186.26</c:v>
                </c:pt>
                <c:pt idx="180">
                  <c:v>186.86</c:v>
                </c:pt>
                <c:pt idx="181">
                  <c:v>186</c:v>
                </c:pt>
                <c:pt idx="182">
                  <c:v>186.97</c:v>
                </c:pt>
                <c:pt idx="183">
                  <c:v>186.57</c:v>
                </c:pt>
                <c:pt idx="184">
                  <c:v>188.41</c:v>
                </c:pt>
                <c:pt idx="185">
                  <c:v>193.83</c:v>
                </c:pt>
                <c:pt idx="186">
                  <c:v>194.39</c:v>
                </c:pt>
                <c:pt idx="187">
                  <c:v>195.25</c:v>
                </c:pt>
                <c:pt idx="188">
                  <c:v>195.93</c:v>
                </c:pt>
                <c:pt idx="189">
                  <c:v>199.58</c:v>
                </c:pt>
                <c:pt idx="190">
                  <c:v>200</c:v>
                </c:pt>
                <c:pt idx="191">
                  <c:v>202.51</c:v>
                </c:pt>
                <c:pt idx="192">
                  <c:v>203.07</c:v>
                </c:pt>
                <c:pt idx="193">
                  <c:v>203.9</c:v>
                </c:pt>
                <c:pt idx="194">
                  <c:v>206.05</c:v>
                </c:pt>
                <c:pt idx="195">
                  <c:v>206.67</c:v>
                </c:pt>
                <c:pt idx="196">
                  <c:v>207.56</c:v>
                </c:pt>
                <c:pt idx="197">
                  <c:v>206.92</c:v>
                </c:pt>
                <c:pt idx="198">
                  <c:v>205.34</c:v>
                </c:pt>
                <c:pt idx="199">
                  <c:v>205.42</c:v>
                </c:pt>
                <c:pt idx="200">
                  <c:v>205.33</c:v>
                </c:pt>
                <c:pt idx="201">
                  <c:v>202.48</c:v>
                </c:pt>
                <c:pt idx="202">
                  <c:v>201.93</c:v>
                </c:pt>
                <c:pt idx="203">
                  <c:v>201.62</c:v>
                </c:pt>
                <c:pt idx="204">
                  <c:v>199.96</c:v>
                </c:pt>
                <c:pt idx="205">
                  <c:v>206.54</c:v>
                </c:pt>
                <c:pt idx="206">
                  <c:v>210.01</c:v>
                </c:pt>
                <c:pt idx="207">
                  <c:v>211.58</c:v>
                </c:pt>
                <c:pt idx="208">
                  <c:v>214.17</c:v>
                </c:pt>
                <c:pt idx="209">
                  <c:v>209.3</c:v>
                </c:pt>
                <c:pt idx="210">
                  <c:v>210.33</c:v>
                </c:pt>
                <c:pt idx="211">
                  <c:v>208.31</c:v>
                </c:pt>
                <c:pt idx="212">
                  <c:v>206.37</c:v>
                </c:pt>
                <c:pt idx="213">
                  <c:v>207.32</c:v>
                </c:pt>
                <c:pt idx="214">
                  <c:v>205.78</c:v>
                </c:pt>
                <c:pt idx="215">
                  <c:v>207.78</c:v>
                </c:pt>
                <c:pt idx="216">
                  <c:v>207.63</c:v>
                </c:pt>
                <c:pt idx="217">
                  <c:v>207.56</c:v>
                </c:pt>
                <c:pt idx="218">
                  <c:v>206.91</c:v>
                </c:pt>
                <c:pt idx="219">
                  <c:v>206.95</c:v>
                </c:pt>
                <c:pt idx="220">
                  <c:v>207.35</c:v>
                </c:pt>
                <c:pt idx="221">
                  <c:v>204.31</c:v>
                </c:pt>
                <c:pt idx="222">
                  <c:v>204.79</c:v>
                </c:pt>
                <c:pt idx="223">
                  <c:v>207.49</c:v>
                </c:pt>
                <c:pt idx="224">
                  <c:v>205.75</c:v>
                </c:pt>
                <c:pt idx="225">
                  <c:v>204.39</c:v>
                </c:pt>
                <c:pt idx="226">
                  <c:v>209.72</c:v>
                </c:pt>
                <c:pt idx="227">
                  <c:v>213.65</c:v>
                </c:pt>
                <c:pt idx="228">
                  <c:v>218.55</c:v>
                </c:pt>
                <c:pt idx="229">
                  <c:v>219.57</c:v>
                </c:pt>
                <c:pt idx="230">
                  <c:v>218.66</c:v>
                </c:pt>
                <c:pt idx="231">
                  <c:v>218.21</c:v>
                </c:pt>
                <c:pt idx="232">
                  <c:v>218.01</c:v>
                </c:pt>
                <c:pt idx="233">
                  <c:v>218.49</c:v>
                </c:pt>
                <c:pt idx="234">
                  <c:v>220.14</c:v>
                </c:pt>
                <c:pt idx="235">
                  <c:v>221.49</c:v>
                </c:pt>
                <c:pt idx="236">
                  <c:v>224.44</c:v>
                </c:pt>
                <c:pt idx="237">
                  <c:v>227.72</c:v>
                </c:pt>
                <c:pt idx="238">
                  <c:v>227.29</c:v>
                </c:pt>
                <c:pt idx="239">
                  <c:v>227.25</c:v>
                </c:pt>
                <c:pt idx="240">
                  <c:v>230.75</c:v>
                </c:pt>
                <c:pt idx="241">
                  <c:v>233.1</c:v>
                </c:pt>
                <c:pt idx="242">
                  <c:v>234.47</c:v>
                </c:pt>
                <c:pt idx="243">
                  <c:v>237.79</c:v>
                </c:pt>
                <c:pt idx="244">
                  <c:v>239.99</c:v>
                </c:pt>
                <c:pt idx="245">
                  <c:v>238.64</c:v>
                </c:pt>
                <c:pt idx="246">
                  <c:v>238.35</c:v>
                </c:pt>
                <c:pt idx="247">
                  <c:v>240.86</c:v>
                </c:pt>
                <c:pt idx="248">
                  <c:v>244.55</c:v>
                </c:pt>
                <c:pt idx="249">
                  <c:v>243.45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4C-4E10-89AF-054062AB813B}"/>
            </c:ext>
          </c:extLst>
        </c:ser>
        <c:ser>
          <c:idx val="1"/>
          <c:order val="1"/>
          <c:tx>
            <c:strRef>
              <c:f>Data!$J$1</c:f>
              <c:strCache>
                <c:ptCount val="1"/>
                <c:pt idx="0">
                  <c:v>20d SMA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Data!$B$2:$B$251</c:f>
              <c:numCache>
                <c:formatCode>m/d/yyyy</c:formatCode>
                <c:ptCount val="250"/>
                <c:pt idx="0">
                  <c:v>45706</c:v>
                </c:pt>
                <c:pt idx="1">
                  <c:v>45707</c:v>
                </c:pt>
                <c:pt idx="2">
                  <c:v>45708</c:v>
                </c:pt>
                <c:pt idx="3">
                  <c:v>45709</c:v>
                </c:pt>
                <c:pt idx="4">
                  <c:v>45712</c:v>
                </c:pt>
                <c:pt idx="5">
                  <c:v>45713</c:v>
                </c:pt>
                <c:pt idx="6">
                  <c:v>45714</c:v>
                </c:pt>
                <c:pt idx="7">
                  <c:v>45715</c:v>
                </c:pt>
                <c:pt idx="8">
                  <c:v>45716</c:v>
                </c:pt>
                <c:pt idx="9">
                  <c:v>45719</c:v>
                </c:pt>
                <c:pt idx="10">
                  <c:v>45720</c:v>
                </c:pt>
                <c:pt idx="11">
                  <c:v>45721</c:v>
                </c:pt>
                <c:pt idx="12">
                  <c:v>45722</c:v>
                </c:pt>
                <c:pt idx="13">
                  <c:v>45723</c:v>
                </c:pt>
                <c:pt idx="14">
                  <c:v>45726</c:v>
                </c:pt>
                <c:pt idx="15">
                  <c:v>45727</c:v>
                </c:pt>
                <c:pt idx="16">
                  <c:v>45728</c:v>
                </c:pt>
                <c:pt idx="17">
                  <c:v>45729</c:v>
                </c:pt>
                <c:pt idx="18">
                  <c:v>45730</c:v>
                </c:pt>
                <c:pt idx="19">
                  <c:v>45733</c:v>
                </c:pt>
                <c:pt idx="20">
                  <c:v>45734</c:v>
                </c:pt>
                <c:pt idx="21">
                  <c:v>45735</c:v>
                </c:pt>
                <c:pt idx="22">
                  <c:v>45736</c:v>
                </c:pt>
                <c:pt idx="23">
                  <c:v>45737</c:v>
                </c:pt>
                <c:pt idx="24">
                  <c:v>45740</c:v>
                </c:pt>
                <c:pt idx="25">
                  <c:v>45741</c:v>
                </c:pt>
                <c:pt idx="26">
                  <c:v>45742</c:v>
                </c:pt>
                <c:pt idx="27">
                  <c:v>45743</c:v>
                </c:pt>
                <c:pt idx="28">
                  <c:v>45744</c:v>
                </c:pt>
                <c:pt idx="29">
                  <c:v>45747</c:v>
                </c:pt>
                <c:pt idx="30">
                  <c:v>45748</c:v>
                </c:pt>
                <c:pt idx="31">
                  <c:v>45749</c:v>
                </c:pt>
                <c:pt idx="32">
                  <c:v>45750</c:v>
                </c:pt>
                <c:pt idx="33">
                  <c:v>45751</c:v>
                </c:pt>
                <c:pt idx="34">
                  <c:v>45754</c:v>
                </c:pt>
                <c:pt idx="35">
                  <c:v>45755</c:v>
                </c:pt>
                <c:pt idx="36">
                  <c:v>45756</c:v>
                </c:pt>
                <c:pt idx="37">
                  <c:v>45757</c:v>
                </c:pt>
                <c:pt idx="38">
                  <c:v>45758</c:v>
                </c:pt>
                <c:pt idx="39">
                  <c:v>45761</c:v>
                </c:pt>
                <c:pt idx="40">
                  <c:v>45762</c:v>
                </c:pt>
                <c:pt idx="41">
                  <c:v>45763</c:v>
                </c:pt>
                <c:pt idx="42">
                  <c:v>45764</c:v>
                </c:pt>
                <c:pt idx="43">
                  <c:v>45768</c:v>
                </c:pt>
                <c:pt idx="44">
                  <c:v>45769</c:v>
                </c:pt>
                <c:pt idx="45">
                  <c:v>45770</c:v>
                </c:pt>
                <c:pt idx="46">
                  <c:v>45771</c:v>
                </c:pt>
                <c:pt idx="47">
                  <c:v>45772</c:v>
                </c:pt>
                <c:pt idx="48">
                  <c:v>45775</c:v>
                </c:pt>
                <c:pt idx="49">
                  <c:v>45776</c:v>
                </c:pt>
                <c:pt idx="50">
                  <c:v>45777</c:v>
                </c:pt>
                <c:pt idx="51">
                  <c:v>45778</c:v>
                </c:pt>
                <c:pt idx="52">
                  <c:v>45779</c:v>
                </c:pt>
                <c:pt idx="53">
                  <c:v>45782</c:v>
                </c:pt>
                <c:pt idx="54">
                  <c:v>45783</c:v>
                </c:pt>
                <c:pt idx="55">
                  <c:v>45784</c:v>
                </c:pt>
                <c:pt idx="56">
                  <c:v>45785</c:v>
                </c:pt>
                <c:pt idx="57">
                  <c:v>45786</c:v>
                </c:pt>
                <c:pt idx="58">
                  <c:v>45789</c:v>
                </c:pt>
                <c:pt idx="59">
                  <c:v>45790</c:v>
                </c:pt>
                <c:pt idx="60">
                  <c:v>45791</c:v>
                </c:pt>
                <c:pt idx="61">
                  <c:v>45792</c:v>
                </c:pt>
                <c:pt idx="62">
                  <c:v>45793</c:v>
                </c:pt>
                <c:pt idx="63">
                  <c:v>45796</c:v>
                </c:pt>
                <c:pt idx="64">
                  <c:v>45797</c:v>
                </c:pt>
                <c:pt idx="65">
                  <c:v>45798</c:v>
                </c:pt>
                <c:pt idx="66">
                  <c:v>45799</c:v>
                </c:pt>
                <c:pt idx="67">
                  <c:v>45800</c:v>
                </c:pt>
                <c:pt idx="68">
                  <c:v>45804</c:v>
                </c:pt>
                <c:pt idx="69">
                  <c:v>45805</c:v>
                </c:pt>
                <c:pt idx="70">
                  <c:v>45806</c:v>
                </c:pt>
                <c:pt idx="71">
                  <c:v>45807</c:v>
                </c:pt>
                <c:pt idx="72">
                  <c:v>45810</c:v>
                </c:pt>
                <c:pt idx="73">
                  <c:v>45811</c:v>
                </c:pt>
                <c:pt idx="74">
                  <c:v>45812</c:v>
                </c:pt>
                <c:pt idx="75">
                  <c:v>45813</c:v>
                </c:pt>
                <c:pt idx="76">
                  <c:v>45814</c:v>
                </c:pt>
                <c:pt idx="77">
                  <c:v>45817</c:v>
                </c:pt>
                <c:pt idx="78">
                  <c:v>45818</c:v>
                </c:pt>
                <c:pt idx="79">
                  <c:v>45819</c:v>
                </c:pt>
                <c:pt idx="80">
                  <c:v>45820</c:v>
                </c:pt>
                <c:pt idx="81">
                  <c:v>45821</c:v>
                </c:pt>
                <c:pt idx="82">
                  <c:v>45824</c:v>
                </c:pt>
                <c:pt idx="83">
                  <c:v>45825</c:v>
                </c:pt>
                <c:pt idx="84">
                  <c:v>45826</c:v>
                </c:pt>
                <c:pt idx="85">
                  <c:v>45828</c:v>
                </c:pt>
                <c:pt idx="86">
                  <c:v>45831</c:v>
                </c:pt>
                <c:pt idx="87">
                  <c:v>45832</c:v>
                </c:pt>
                <c:pt idx="88">
                  <c:v>45833</c:v>
                </c:pt>
                <c:pt idx="89">
                  <c:v>45834</c:v>
                </c:pt>
                <c:pt idx="90">
                  <c:v>45835</c:v>
                </c:pt>
                <c:pt idx="91">
                  <c:v>45838</c:v>
                </c:pt>
                <c:pt idx="92">
                  <c:v>45839</c:v>
                </c:pt>
                <c:pt idx="93">
                  <c:v>45840</c:v>
                </c:pt>
                <c:pt idx="94">
                  <c:v>45841</c:v>
                </c:pt>
                <c:pt idx="95">
                  <c:v>45845</c:v>
                </c:pt>
                <c:pt idx="96">
                  <c:v>45846</c:v>
                </c:pt>
                <c:pt idx="97">
                  <c:v>45847</c:v>
                </c:pt>
                <c:pt idx="98">
                  <c:v>45848</c:v>
                </c:pt>
                <c:pt idx="99">
                  <c:v>45849</c:v>
                </c:pt>
                <c:pt idx="100">
                  <c:v>45852</c:v>
                </c:pt>
                <c:pt idx="101">
                  <c:v>45853</c:v>
                </c:pt>
                <c:pt idx="102">
                  <c:v>45854</c:v>
                </c:pt>
                <c:pt idx="103">
                  <c:v>45855</c:v>
                </c:pt>
                <c:pt idx="104">
                  <c:v>45856</c:v>
                </c:pt>
                <c:pt idx="105">
                  <c:v>45859</c:v>
                </c:pt>
                <c:pt idx="106">
                  <c:v>45860</c:v>
                </c:pt>
                <c:pt idx="107">
                  <c:v>45861</c:v>
                </c:pt>
                <c:pt idx="108">
                  <c:v>45862</c:v>
                </c:pt>
                <c:pt idx="109">
                  <c:v>45863</c:v>
                </c:pt>
                <c:pt idx="110">
                  <c:v>45866</c:v>
                </c:pt>
                <c:pt idx="111">
                  <c:v>45867</c:v>
                </c:pt>
                <c:pt idx="112">
                  <c:v>45868</c:v>
                </c:pt>
                <c:pt idx="113">
                  <c:v>45869</c:v>
                </c:pt>
                <c:pt idx="114">
                  <c:v>45870</c:v>
                </c:pt>
                <c:pt idx="115">
                  <c:v>45873</c:v>
                </c:pt>
                <c:pt idx="116">
                  <c:v>45874</c:v>
                </c:pt>
                <c:pt idx="117">
                  <c:v>45875</c:v>
                </c:pt>
                <c:pt idx="118">
                  <c:v>45876</c:v>
                </c:pt>
                <c:pt idx="119">
                  <c:v>45877</c:v>
                </c:pt>
                <c:pt idx="120">
                  <c:v>45880</c:v>
                </c:pt>
                <c:pt idx="121">
                  <c:v>45881</c:v>
                </c:pt>
                <c:pt idx="122">
                  <c:v>45882</c:v>
                </c:pt>
                <c:pt idx="123">
                  <c:v>45883</c:v>
                </c:pt>
                <c:pt idx="124">
                  <c:v>45884</c:v>
                </c:pt>
                <c:pt idx="125">
                  <c:v>45887</c:v>
                </c:pt>
                <c:pt idx="126">
                  <c:v>45888</c:v>
                </c:pt>
                <c:pt idx="127">
                  <c:v>45889</c:v>
                </c:pt>
                <c:pt idx="128">
                  <c:v>45890</c:v>
                </c:pt>
                <c:pt idx="129">
                  <c:v>45891</c:v>
                </c:pt>
                <c:pt idx="130">
                  <c:v>45894</c:v>
                </c:pt>
                <c:pt idx="131">
                  <c:v>45895</c:v>
                </c:pt>
                <c:pt idx="132">
                  <c:v>45896</c:v>
                </c:pt>
                <c:pt idx="133">
                  <c:v>45897</c:v>
                </c:pt>
                <c:pt idx="134">
                  <c:v>45898</c:v>
                </c:pt>
                <c:pt idx="135">
                  <c:v>45902</c:v>
                </c:pt>
                <c:pt idx="136">
                  <c:v>45903</c:v>
                </c:pt>
                <c:pt idx="137">
                  <c:v>45904</c:v>
                </c:pt>
                <c:pt idx="138">
                  <c:v>45905</c:v>
                </c:pt>
                <c:pt idx="139">
                  <c:v>45908</c:v>
                </c:pt>
                <c:pt idx="140">
                  <c:v>45909</c:v>
                </c:pt>
                <c:pt idx="141">
                  <c:v>45910</c:v>
                </c:pt>
                <c:pt idx="142">
                  <c:v>45911</c:v>
                </c:pt>
                <c:pt idx="143">
                  <c:v>45912</c:v>
                </c:pt>
                <c:pt idx="144">
                  <c:v>45915</c:v>
                </c:pt>
                <c:pt idx="145">
                  <c:v>45916</c:v>
                </c:pt>
                <c:pt idx="146">
                  <c:v>45917</c:v>
                </c:pt>
                <c:pt idx="147">
                  <c:v>45918</c:v>
                </c:pt>
                <c:pt idx="148">
                  <c:v>45919</c:v>
                </c:pt>
                <c:pt idx="149">
                  <c:v>45922</c:v>
                </c:pt>
                <c:pt idx="150">
                  <c:v>45923</c:v>
                </c:pt>
                <c:pt idx="151">
                  <c:v>45924</c:v>
                </c:pt>
                <c:pt idx="152">
                  <c:v>45925</c:v>
                </c:pt>
                <c:pt idx="153">
                  <c:v>45926</c:v>
                </c:pt>
                <c:pt idx="154">
                  <c:v>45929</c:v>
                </c:pt>
                <c:pt idx="155">
                  <c:v>45930</c:v>
                </c:pt>
                <c:pt idx="156">
                  <c:v>45931</c:v>
                </c:pt>
                <c:pt idx="157">
                  <c:v>45932</c:v>
                </c:pt>
                <c:pt idx="158">
                  <c:v>45933</c:v>
                </c:pt>
                <c:pt idx="159">
                  <c:v>45936</c:v>
                </c:pt>
                <c:pt idx="160">
                  <c:v>45937</c:v>
                </c:pt>
                <c:pt idx="161">
                  <c:v>45938</c:v>
                </c:pt>
                <c:pt idx="162">
                  <c:v>45939</c:v>
                </c:pt>
                <c:pt idx="163">
                  <c:v>45940</c:v>
                </c:pt>
                <c:pt idx="164">
                  <c:v>45943</c:v>
                </c:pt>
                <c:pt idx="165">
                  <c:v>45944</c:v>
                </c:pt>
                <c:pt idx="166">
                  <c:v>45945</c:v>
                </c:pt>
                <c:pt idx="167">
                  <c:v>45946</c:v>
                </c:pt>
                <c:pt idx="168">
                  <c:v>45947</c:v>
                </c:pt>
                <c:pt idx="169">
                  <c:v>45950</c:v>
                </c:pt>
                <c:pt idx="170">
                  <c:v>45951</c:v>
                </c:pt>
                <c:pt idx="171">
                  <c:v>45952</c:v>
                </c:pt>
                <c:pt idx="172">
                  <c:v>45953</c:v>
                </c:pt>
                <c:pt idx="173">
                  <c:v>45954</c:v>
                </c:pt>
                <c:pt idx="174">
                  <c:v>45957</c:v>
                </c:pt>
                <c:pt idx="175">
                  <c:v>45958</c:v>
                </c:pt>
                <c:pt idx="176">
                  <c:v>45959</c:v>
                </c:pt>
                <c:pt idx="177">
                  <c:v>45960</c:v>
                </c:pt>
                <c:pt idx="178">
                  <c:v>45961</c:v>
                </c:pt>
                <c:pt idx="179">
                  <c:v>45964</c:v>
                </c:pt>
                <c:pt idx="180">
                  <c:v>45965</c:v>
                </c:pt>
                <c:pt idx="181">
                  <c:v>45966</c:v>
                </c:pt>
                <c:pt idx="182">
                  <c:v>45967</c:v>
                </c:pt>
                <c:pt idx="183">
                  <c:v>45968</c:v>
                </c:pt>
                <c:pt idx="184">
                  <c:v>45971</c:v>
                </c:pt>
                <c:pt idx="185">
                  <c:v>45972</c:v>
                </c:pt>
                <c:pt idx="186">
                  <c:v>45973</c:v>
                </c:pt>
                <c:pt idx="187">
                  <c:v>45974</c:v>
                </c:pt>
                <c:pt idx="188">
                  <c:v>45975</c:v>
                </c:pt>
                <c:pt idx="189">
                  <c:v>45978</c:v>
                </c:pt>
                <c:pt idx="190">
                  <c:v>45979</c:v>
                </c:pt>
                <c:pt idx="191">
                  <c:v>45980</c:v>
                </c:pt>
                <c:pt idx="192">
                  <c:v>45981</c:v>
                </c:pt>
                <c:pt idx="193">
                  <c:v>45982</c:v>
                </c:pt>
                <c:pt idx="194">
                  <c:v>45985</c:v>
                </c:pt>
                <c:pt idx="195">
                  <c:v>45986</c:v>
                </c:pt>
                <c:pt idx="196">
                  <c:v>45987</c:v>
                </c:pt>
                <c:pt idx="197">
                  <c:v>45989</c:v>
                </c:pt>
                <c:pt idx="198">
                  <c:v>45992</c:v>
                </c:pt>
                <c:pt idx="199">
                  <c:v>45993</c:v>
                </c:pt>
                <c:pt idx="200">
                  <c:v>45994</c:v>
                </c:pt>
                <c:pt idx="201">
                  <c:v>45995</c:v>
                </c:pt>
                <c:pt idx="202">
                  <c:v>45996</c:v>
                </c:pt>
                <c:pt idx="203">
                  <c:v>45999</c:v>
                </c:pt>
                <c:pt idx="204">
                  <c:v>46000</c:v>
                </c:pt>
                <c:pt idx="205">
                  <c:v>46001</c:v>
                </c:pt>
                <c:pt idx="206">
                  <c:v>46002</c:v>
                </c:pt>
                <c:pt idx="207">
                  <c:v>46003</c:v>
                </c:pt>
                <c:pt idx="208">
                  <c:v>46006</c:v>
                </c:pt>
                <c:pt idx="209">
                  <c:v>46007</c:v>
                </c:pt>
                <c:pt idx="210">
                  <c:v>46008</c:v>
                </c:pt>
                <c:pt idx="211">
                  <c:v>46009</c:v>
                </c:pt>
                <c:pt idx="212">
                  <c:v>46010</c:v>
                </c:pt>
                <c:pt idx="213">
                  <c:v>46013</c:v>
                </c:pt>
                <c:pt idx="214">
                  <c:v>46014</c:v>
                </c:pt>
                <c:pt idx="215">
                  <c:v>46015</c:v>
                </c:pt>
                <c:pt idx="216">
                  <c:v>46017</c:v>
                </c:pt>
                <c:pt idx="217">
                  <c:v>46020</c:v>
                </c:pt>
                <c:pt idx="218">
                  <c:v>46021</c:v>
                </c:pt>
                <c:pt idx="219">
                  <c:v>46022</c:v>
                </c:pt>
                <c:pt idx="220">
                  <c:v>46024</c:v>
                </c:pt>
                <c:pt idx="221">
                  <c:v>46027</c:v>
                </c:pt>
                <c:pt idx="222">
                  <c:v>46028</c:v>
                </c:pt>
                <c:pt idx="223">
                  <c:v>46029</c:v>
                </c:pt>
                <c:pt idx="224">
                  <c:v>46030</c:v>
                </c:pt>
                <c:pt idx="225">
                  <c:v>46031</c:v>
                </c:pt>
                <c:pt idx="226">
                  <c:v>46034</c:v>
                </c:pt>
                <c:pt idx="227">
                  <c:v>46035</c:v>
                </c:pt>
                <c:pt idx="228">
                  <c:v>46036</c:v>
                </c:pt>
                <c:pt idx="229">
                  <c:v>46037</c:v>
                </c:pt>
                <c:pt idx="230">
                  <c:v>46038</c:v>
                </c:pt>
                <c:pt idx="231">
                  <c:v>46042</c:v>
                </c:pt>
                <c:pt idx="232">
                  <c:v>46043</c:v>
                </c:pt>
                <c:pt idx="233">
                  <c:v>46044</c:v>
                </c:pt>
                <c:pt idx="234">
                  <c:v>46045</c:v>
                </c:pt>
                <c:pt idx="235">
                  <c:v>46048</c:v>
                </c:pt>
                <c:pt idx="236">
                  <c:v>46049</c:v>
                </c:pt>
                <c:pt idx="237">
                  <c:v>46050</c:v>
                </c:pt>
                <c:pt idx="238">
                  <c:v>46051</c:v>
                </c:pt>
                <c:pt idx="239">
                  <c:v>46052</c:v>
                </c:pt>
                <c:pt idx="240">
                  <c:v>46055</c:v>
                </c:pt>
                <c:pt idx="241">
                  <c:v>46056</c:v>
                </c:pt>
                <c:pt idx="242">
                  <c:v>46057</c:v>
                </c:pt>
                <c:pt idx="243">
                  <c:v>46058</c:v>
                </c:pt>
                <c:pt idx="244">
                  <c:v>46059</c:v>
                </c:pt>
                <c:pt idx="245">
                  <c:v>46062</c:v>
                </c:pt>
                <c:pt idx="246">
                  <c:v>46063</c:v>
                </c:pt>
                <c:pt idx="247">
                  <c:v>46064</c:v>
                </c:pt>
                <c:pt idx="248">
                  <c:v>46065</c:v>
                </c:pt>
                <c:pt idx="249">
                  <c:v>46066</c:v>
                </c:pt>
              </c:numCache>
            </c:numRef>
          </c:cat>
          <c:val>
            <c:numRef>
              <c:f>Data!$J$2:$J$251</c:f>
              <c:numCache>
                <c:formatCode>General</c:formatCode>
                <c:ptCount val="250"/>
                <c:pt idx="19">
                  <c:v>163.59550000000002</c:v>
                </c:pt>
                <c:pt idx="20">
                  <c:v>164.05849999999998</c:v>
                </c:pt>
                <c:pt idx="21">
                  <c:v>164.31350000000003</c:v>
                </c:pt>
                <c:pt idx="22">
                  <c:v>164.48050000000001</c:v>
                </c:pt>
                <c:pt idx="23">
                  <c:v>164.547</c:v>
                </c:pt>
                <c:pt idx="24">
                  <c:v>164.52450000000002</c:v>
                </c:pt>
                <c:pt idx="25">
                  <c:v>164.27100000000002</c:v>
                </c:pt>
                <c:pt idx="26">
                  <c:v>164.203</c:v>
                </c:pt>
                <c:pt idx="27">
                  <c:v>164.17299999999997</c:v>
                </c:pt>
                <c:pt idx="28">
                  <c:v>164.10750000000002</c:v>
                </c:pt>
                <c:pt idx="29">
                  <c:v>164.03550000000001</c:v>
                </c:pt>
                <c:pt idx="30">
                  <c:v>163.42699999999999</c:v>
                </c:pt>
                <c:pt idx="31">
                  <c:v>162.93900000000002</c:v>
                </c:pt>
                <c:pt idx="32">
                  <c:v>162.63850000000002</c:v>
                </c:pt>
                <c:pt idx="33">
                  <c:v>161.96600000000004</c:v>
                </c:pt>
                <c:pt idx="34">
                  <c:v>161.11200000000002</c:v>
                </c:pt>
                <c:pt idx="35">
                  <c:v>160.31900000000002</c:v>
                </c:pt>
                <c:pt idx="36">
                  <c:v>159.72500000000002</c:v>
                </c:pt>
                <c:pt idx="37">
                  <c:v>159.01</c:v>
                </c:pt>
                <c:pt idx="38">
                  <c:v>158.45599999999996</c:v>
                </c:pt>
                <c:pt idx="39">
                  <c:v>158.03199999999998</c:v>
                </c:pt>
                <c:pt idx="40">
                  <c:v>157.50049999999999</c:v>
                </c:pt>
                <c:pt idx="41">
                  <c:v>157.04649999999998</c:v>
                </c:pt>
                <c:pt idx="42">
                  <c:v>156.76899999999995</c:v>
                </c:pt>
                <c:pt idx="43">
                  <c:v>156.43349999999998</c:v>
                </c:pt>
                <c:pt idx="44">
                  <c:v>156.15649999999999</c:v>
                </c:pt>
                <c:pt idx="45">
                  <c:v>155.87449999999998</c:v>
                </c:pt>
                <c:pt idx="46">
                  <c:v>155.535</c:v>
                </c:pt>
                <c:pt idx="47">
                  <c:v>155.10749999999999</c:v>
                </c:pt>
                <c:pt idx="48">
                  <c:v>154.68950000000001</c:v>
                </c:pt>
                <c:pt idx="49">
                  <c:v>154.19299999999998</c:v>
                </c:pt>
                <c:pt idx="50">
                  <c:v>154.34599999999998</c:v>
                </c:pt>
                <c:pt idx="51">
                  <c:v>154.30099999999999</c:v>
                </c:pt>
                <c:pt idx="52">
                  <c:v>154.11599999999999</c:v>
                </c:pt>
                <c:pt idx="53">
                  <c:v>154.20400000000001</c:v>
                </c:pt>
                <c:pt idx="54">
                  <c:v>154.3965</c:v>
                </c:pt>
                <c:pt idx="55">
                  <c:v>154.76150000000001</c:v>
                </c:pt>
                <c:pt idx="56">
                  <c:v>154.99599999999998</c:v>
                </c:pt>
                <c:pt idx="57">
                  <c:v>155.27249999999998</c:v>
                </c:pt>
                <c:pt idx="58">
                  <c:v>155.39299999999997</c:v>
                </c:pt>
                <c:pt idx="59">
                  <c:v>155.09699999999998</c:v>
                </c:pt>
                <c:pt idx="60">
                  <c:v>154.73399999999998</c:v>
                </c:pt>
                <c:pt idx="61">
                  <c:v>154.51900000000001</c:v>
                </c:pt>
                <c:pt idx="62">
                  <c:v>154.21199999999999</c:v>
                </c:pt>
                <c:pt idx="63">
                  <c:v>153.99050000000003</c:v>
                </c:pt>
                <c:pt idx="64">
                  <c:v>153.786</c:v>
                </c:pt>
                <c:pt idx="65">
                  <c:v>153.67599999999999</c:v>
                </c:pt>
                <c:pt idx="66">
                  <c:v>153.56</c:v>
                </c:pt>
                <c:pt idx="67">
                  <c:v>153.47800000000001</c:v>
                </c:pt>
                <c:pt idx="68">
                  <c:v>153.37300000000002</c:v>
                </c:pt>
                <c:pt idx="69">
                  <c:v>153.19900000000001</c:v>
                </c:pt>
                <c:pt idx="70">
                  <c:v>153.0625</c:v>
                </c:pt>
                <c:pt idx="71">
                  <c:v>153.1</c:v>
                </c:pt>
                <c:pt idx="72">
                  <c:v>153.06400000000002</c:v>
                </c:pt>
                <c:pt idx="73">
                  <c:v>153.03500000000003</c:v>
                </c:pt>
                <c:pt idx="74">
                  <c:v>152.9725</c:v>
                </c:pt>
                <c:pt idx="75">
                  <c:v>152.79050000000001</c:v>
                </c:pt>
                <c:pt idx="76">
                  <c:v>152.75900000000004</c:v>
                </c:pt>
                <c:pt idx="77">
                  <c:v>152.80950000000001</c:v>
                </c:pt>
                <c:pt idx="78">
                  <c:v>152.92499999999998</c:v>
                </c:pt>
                <c:pt idx="79">
                  <c:v>153.26599999999999</c:v>
                </c:pt>
                <c:pt idx="80">
                  <c:v>153.78100000000001</c:v>
                </c:pt>
                <c:pt idx="81">
                  <c:v>154.15550000000002</c:v>
                </c:pt>
                <c:pt idx="82">
                  <c:v>154.35</c:v>
                </c:pt>
                <c:pt idx="83">
                  <c:v>154.34449999999998</c:v>
                </c:pt>
                <c:pt idx="84">
                  <c:v>154.19799999999998</c:v>
                </c:pt>
                <c:pt idx="85">
                  <c:v>154.02850000000001</c:v>
                </c:pt>
                <c:pt idx="86">
                  <c:v>153.964</c:v>
                </c:pt>
                <c:pt idx="87">
                  <c:v>153.9265</c:v>
                </c:pt>
                <c:pt idx="88">
                  <c:v>153.87800000000001</c:v>
                </c:pt>
                <c:pt idx="89">
                  <c:v>153.85700000000003</c:v>
                </c:pt>
                <c:pt idx="90">
                  <c:v>153.79850000000002</c:v>
                </c:pt>
                <c:pt idx="91">
                  <c:v>153.6755</c:v>
                </c:pt>
                <c:pt idx="92">
                  <c:v>153.70150000000004</c:v>
                </c:pt>
                <c:pt idx="93">
                  <c:v>153.75849999999997</c:v>
                </c:pt>
                <c:pt idx="94">
                  <c:v>153.89799999999997</c:v>
                </c:pt>
                <c:pt idx="95">
                  <c:v>153.97849999999997</c:v>
                </c:pt>
                <c:pt idx="96">
                  <c:v>154.01649999999998</c:v>
                </c:pt>
                <c:pt idx="97">
                  <c:v>154.06900000000002</c:v>
                </c:pt>
                <c:pt idx="98">
                  <c:v>154.13100000000003</c:v>
                </c:pt>
                <c:pt idx="99">
                  <c:v>154.21300000000002</c:v>
                </c:pt>
                <c:pt idx="100">
                  <c:v>154.22100000000003</c:v>
                </c:pt>
                <c:pt idx="101">
                  <c:v>154.12450000000004</c:v>
                </c:pt>
                <c:pt idx="102">
                  <c:v>154.60250000000005</c:v>
                </c:pt>
                <c:pt idx="103">
                  <c:v>155.13250000000002</c:v>
                </c:pt>
                <c:pt idx="104">
                  <c:v>155.78100000000001</c:v>
                </c:pt>
                <c:pt idx="105">
                  <c:v>156.5095</c:v>
                </c:pt>
                <c:pt idx="106">
                  <c:v>157.34</c:v>
                </c:pt>
                <c:pt idx="107">
                  <c:v>158.18549999999999</c:v>
                </c:pt>
                <c:pt idx="108">
                  <c:v>159.04949999999999</c:v>
                </c:pt>
                <c:pt idx="109">
                  <c:v>159.86399999999998</c:v>
                </c:pt>
                <c:pt idx="110">
                  <c:v>160.55449999999999</c:v>
                </c:pt>
                <c:pt idx="111">
                  <c:v>161.32249999999999</c:v>
                </c:pt>
                <c:pt idx="112">
                  <c:v>161.8895</c:v>
                </c:pt>
                <c:pt idx="113">
                  <c:v>162.34849999999997</c:v>
                </c:pt>
                <c:pt idx="114">
                  <c:v>162.9145</c:v>
                </c:pt>
                <c:pt idx="115">
                  <c:v>163.70300000000003</c:v>
                </c:pt>
                <c:pt idx="116">
                  <c:v>164.45049999999998</c:v>
                </c:pt>
                <c:pt idx="117">
                  <c:v>165.166</c:v>
                </c:pt>
                <c:pt idx="118">
                  <c:v>165.85799999999998</c:v>
                </c:pt>
                <c:pt idx="119">
                  <c:v>166.67949999999999</c:v>
                </c:pt>
                <c:pt idx="120">
                  <c:v>167.52950000000001</c:v>
                </c:pt>
                <c:pt idx="121">
                  <c:v>168.41000000000003</c:v>
                </c:pt>
                <c:pt idx="122">
                  <c:v>168.89200000000002</c:v>
                </c:pt>
                <c:pt idx="123">
                  <c:v>169.47900000000004</c:v>
                </c:pt>
                <c:pt idx="124">
                  <c:v>170.126</c:v>
                </c:pt>
                <c:pt idx="125">
                  <c:v>170.72049999999999</c:v>
                </c:pt>
                <c:pt idx="126">
                  <c:v>171.214</c:v>
                </c:pt>
                <c:pt idx="127">
                  <c:v>171.70099999999999</c:v>
                </c:pt>
                <c:pt idx="128">
                  <c:v>172.1695</c:v>
                </c:pt>
                <c:pt idx="129">
                  <c:v>172.71899999999999</c:v>
                </c:pt>
                <c:pt idx="130">
                  <c:v>173.32849999999999</c:v>
                </c:pt>
                <c:pt idx="131">
                  <c:v>173.7475</c:v>
                </c:pt>
                <c:pt idx="132">
                  <c:v>174.22399999999999</c:v>
                </c:pt>
                <c:pt idx="133">
                  <c:v>174.75949999999997</c:v>
                </c:pt>
                <c:pt idx="134">
                  <c:v>175.25149999999999</c:v>
                </c:pt>
                <c:pt idx="135">
                  <c:v>175.60249999999999</c:v>
                </c:pt>
                <c:pt idx="136">
                  <c:v>175.96549999999996</c:v>
                </c:pt>
                <c:pt idx="137">
                  <c:v>176.37399999999997</c:v>
                </c:pt>
                <c:pt idx="138">
                  <c:v>176.71899999999999</c:v>
                </c:pt>
                <c:pt idx="139">
                  <c:v>176.959</c:v>
                </c:pt>
                <c:pt idx="140">
                  <c:v>177.11600000000001</c:v>
                </c:pt>
                <c:pt idx="141">
                  <c:v>177.26649999999998</c:v>
                </c:pt>
                <c:pt idx="142">
                  <c:v>177.47050000000002</c:v>
                </c:pt>
                <c:pt idx="143">
                  <c:v>177.63749999999999</c:v>
                </c:pt>
                <c:pt idx="144">
                  <c:v>177.6755</c:v>
                </c:pt>
                <c:pt idx="145">
                  <c:v>177.68599999999998</c:v>
                </c:pt>
                <c:pt idx="146">
                  <c:v>177.65600000000001</c:v>
                </c:pt>
                <c:pt idx="147">
                  <c:v>177.42199999999997</c:v>
                </c:pt>
                <c:pt idx="148">
                  <c:v>177.285</c:v>
                </c:pt>
                <c:pt idx="149">
                  <c:v>177.03100000000001</c:v>
                </c:pt>
                <c:pt idx="150">
                  <c:v>176.93950000000001</c:v>
                </c:pt>
                <c:pt idx="151">
                  <c:v>176.9495</c:v>
                </c:pt>
                <c:pt idx="152">
                  <c:v>176.9965</c:v>
                </c:pt>
                <c:pt idx="153">
                  <c:v>177.20949999999999</c:v>
                </c:pt>
                <c:pt idx="154">
                  <c:v>177.43199999999999</c:v>
                </c:pt>
                <c:pt idx="155">
                  <c:v>177.8</c:v>
                </c:pt>
                <c:pt idx="156">
                  <c:v>178.20250000000001</c:v>
                </c:pt>
                <c:pt idx="157">
                  <c:v>178.56350000000003</c:v>
                </c:pt>
                <c:pt idx="158">
                  <c:v>179.07400000000001</c:v>
                </c:pt>
                <c:pt idx="159">
                  <c:v>179.57549999999998</c:v>
                </c:pt>
                <c:pt idx="160">
                  <c:v>180.17199999999997</c:v>
                </c:pt>
                <c:pt idx="161">
                  <c:v>180.86700000000002</c:v>
                </c:pt>
                <c:pt idx="162">
                  <c:v>181.49600000000001</c:v>
                </c:pt>
                <c:pt idx="163">
                  <c:v>182.12899999999996</c:v>
                </c:pt>
                <c:pt idx="164">
                  <c:v>182.804</c:v>
                </c:pt>
                <c:pt idx="165">
                  <c:v>183.52349999999996</c:v>
                </c:pt>
                <c:pt idx="166">
                  <c:v>184.22200000000001</c:v>
                </c:pt>
                <c:pt idx="167">
                  <c:v>185.11999999999998</c:v>
                </c:pt>
                <c:pt idx="168">
                  <c:v>185.97149999999999</c:v>
                </c:pt>
                <c:pt idx="169">
                  <c:v>186.94699999999997</c:v>
                </c:pt>
                <c:pt idx="170">
                  <c:v>187.71199999999999</c:v>
                </c:pt>
                <c:pt idx="171">
                  <c:v>188.52449999999999</c:v>
                </c:pt>
                <c:pt idx="172">
                  <c:v>189.26149999999998</c:v>
                </c:pt>
                <c:pt idx="173">
                  <c:v>189.79599999999996</c:v>
                </c:pt>
                <c:pt idx="174">
                  <c:v>190.23</c:v>
                </c:pt>
                <c:pt idx="175">
                  <c:v>190.30549999999997</c:v>
                </c:pt>
                <c:pt idx="176">
                  <c:v>190.33299999999997</c:v>
                </c:pt>
                <c:pt idx="177">
                  <c:v>190.48649999999998</c:v>
                </c:pt>
                <c:pt idx="178">
                  <c:v>190.49799999999999</c:v>
                </c:pt>
                <c:pt idx="179">
                  <c:v>190.40300000000002</c:v>
                </c:pt>
                <c:pt idx="180">
                  <c:v>190.3015</c:v>
                </c:pt>
                <c:pt idx="181">
                  <c:v>190.11700000000002</c:v>
                </c:pt>
                <c:pt idx="182">
                  <c:v>189.91149999999999</c:v>
                </c:pt>
                <c:pt idx="183">
                  <c:v>189.70400000000001</c:v>
                </c:pt>
                <c:pt idx="184">
                  <c:v>189.5795</c:v>
                </c:pt>
                <c:pt idx="185">
                  <c:v>189.7285</c:v>
                </c:pt>
                <c:pt idx="186">
                  <c:v>189.8895</c:v>
                </c:pt>
                <c:pt idx="187">
                  <c:v>190.04599999999999</c:v>
                </c:pt>
                <c:pt idx="188">
                  <c:v>190.18149999999997</c:v>
                </c:pt>
                <c:pt idx="189">
                  <c:v>190.47449999999998</c:v>
                </c:pt>
                <c:pt idx="190">
                  <c:v>190.88049999999996</c:v>
                </c:pt>
                <c:pt idx="191">
                  <c:v>191.35899999999998</c:v>
                </c:pt>
                <c:pt idx="192">
                  <c:v>191.88899999999995</c:v>
                </c:pt>
                <c:pt idx="193">
                  <c:v>192.56399999999999</c:v>
                </c:pt>
                <c:pt idx="194">
                  <c:v>193.35149999999999</c:v>
                </c:pt>
                <c:pt idx="195">
                  <c:v>194.33850000000001</c:v>
                </c:pt>
                <c:pt idx="196">
                  <c:v>195.38650000000001</c:v>
                </c:pt>
                <c:pt idx="197">
                  <c:v>196.28</c:v>
                </c:pt>
                <c:pt idx="198">
                  <c:v>197.10350000000005</c:v>
                </c:pt>
                <c:pt idx="199">
                  <c:v>198.06150000000005</c:v>
                </c:pt>
                <c:pt idx="200">
                  <c:v>198.98500000000004</c:v>
                </c:pt>
                <c:pt idx="201">
                  <c:v>199.80900000000003</c:v>
                </c:pt>
                <c:pt idx="202">
                  <c:v>200.55700000000002</c:v>
                </c:pt>
                <c:pt idx="203">
                  <c:v>201.30950000000001</c:v>
                </c:pt>
                <c:pt idx="204">
                  <c:v>201.887</c:v>
                </c:pt>
                <c:pt idx="205">
                  <c:v>202.52249999999998</c:v>
                </c:pt>
                <c:pt idx="206">
                  <c:v>203.30349999999999</c:v>
                </c:pt>
                <c:pt idx="207">
                  <c:v>204.11999999999998</c:v>
                </c:pt>
                <c:pt idx="208">
                  <c:v>205.03199999999998</c:v>
                </c:pt>
                <c:pt idx="209">
                  <c:v>205.51799999999997</c:v>
                </c:pt>
                <c:pt idx="210">
                  <c:v>206.03449999999998</c:v>
                </c:pt>
                <c:pt idx="211">
                  <c:v>206.3245</c:v>
                </c:pt>
                <c:pt idx="212">
                  <c:v>206.48949999999999</c:v>
                </c:pt>
                <c:pt idx="213">
                  <c:v>206.66050000000001</c:v>
                </c:pt>
                <c:pt idx="214">
                  <c:v>206.64699999999999</c:v>
                </c:pt>
                <c:pt idx="215">
                  <c:v>206.70250000000001</c:v>
                </c:pt>
                <c:pt idx="216">
                  <c:v>206.70600000000005</c:v>
                </c:pt>
                <c:pt idx="217">
                  <c:v>206.73800000000006</c:v>
                </c:pt>
                <c:pt idx="218">
                  <c:v>206.81650000000005</c:v>
                </c:pt>
                <c:pt idx="219">
                  <c:v>206.89300000000003</c:v>
                </c:pt>
                <c:pt idx="220">
                  <c:v>206.994</c:v>
                </c:pt>
                <c:pt idx="221">
                  <c:v>207.0855</c:v>
                </c:pt>
                <c:pt idx="222">
                  <c:v>207.22850000000003</c:v>
                </c:pt>
                <c:pt idx="223">
                  <c:v>207.52199999999999</c:v>
                </c:pt>
                <c:pt idx="224">
                  <c:v>207.81149999999997</c:v>
                </c:pt>
                <c:pt idx="225">
                  <c:v>207.70400000000001</c:v>
                </c:pt>
                <c:pt idx="226">
                  <c:v>207.68949999999995</c:v>
                </c:pt>
                <c:pt idx="227">
                  <c:v>207.79299999999995</c:v>
                </c:pt>
                <c:pt idx="228">
                  <c:v>208.01199999999994</c:v>
                </c:pt>
                <c:pt idx="229">
                  <c:v>208.52550000000002</c:v>
                </c:pt>
                <c:pt idx="230">
                  <c:v>208.94200000000001</c:v>
                </c:pt>
                <c:pt idx="231">
                  <c:v>209.43699999999998</c:v>
                </c:pt>
                <c:pt idx="232">
                  <c:v>210.01900000000001</c:v>
                </c:pt>
                <c:pt idx="233">
                  <c:v>210.57750000000001</c:v>
                </c:pt>
                <c:pt idx="234">
                  <c:v>211.2955</c:v>
                </c:pt>
                <c:pt idx="235">
                  <c:v>211.98099999999999</c:v>
                </c:pt>
                <c:pt idx="236">
                  <c:v>212.82149999999996</c:v>
                </c:pt>
                <c:pt idx="237">
                  <c:v>213.8295</c:v>
                </c:pt>
                <c:pt idx="238">
                  <c:v>214.84849999999997</c:v>
                </c:pt>
                <c:pt idx="239">
                  <c:v>215.86349999999999</c:v>
                </c:pt>
                <c:pt idx="240">
                  <c:v>217.0335</c:v>
                </c:pt>
                <c:pt idx="241">
                  <c:v>218.47300000000001</c:v>
                </c:pt>
                <c:pt idx="242">
                  <c:v>219.95700000000002</c:v>
                </c:pt>
                <c:pt idx="243">
                  <c:v>221.47199999999998</c:v>
                </c:pt>
                <c:pt idx="244">
                  <c:v>223.18399999999997</c:v>
                </c:pt>
                <c:pt idx="245">
                  <c:v>224.89649999999997</c:v>
                </c:pt>
                <c:pt idx="246">
                  <c:v>226.32799999999997</c:v>
                </c:pt>
                <c:pt idx="247">
                  <c:v>227.68849999999998</c:v>
                </c:pt>
                <c:pt idx="248">
                  <c:v>228.98849999999999</c:v>
                </c:pt>
                <c:pt idx="249">
                  <c:v>230.18249999999995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E4C-4E10-89AF-054062AB813B}"/>
            </c:ext>
          </c:extLst>
        </c:ser>
        <c:ser>
          <c:idx val="2"/>
          <c:order val="2"/>
          <c:tx>
            <c:strRef>
              <c:f>Data!$AB$1</c:f>
              <c:strCache>
                <c:ptCount val="1"/>
                <c:pt idx="0">
                  <c:v>100d SMA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Data!$B$2:$B$251</c:f>
              <c:numCache>
                <c:formatCode>m/d/yyyy</c:formatCode>
                <c:ptCount val="250"/>
                <c:pt idx="0">
                  <c:v>45706</c:v>
                </c:pt>
                <c:pt idx="1">
                  <c:v>45707</c:v>
                </c:pt>
                <c:pt idx="2">
                  <c:v>45708</c:v>
                </c:pt>
                <c:pt idx="3">
                  <c:v>45709</c:v>
                </c:pt>
                <c:pt idx="4">
                  <c:v>45712</c:v>
                </c:pt>
                <c:pt idx="5">
                  <c:v>45713</c:v>
                </c:pt>
                <c:pt idx="6">
                  <c:v>45714</c:v>
                </c:pt>
                <c:pt idx="7">
                  <c:v>45715</c:v>
                </c:pt>
                <c:pt idx="8">
                  <c:v>45716</c:v>
                </c:pt>
                <c:pt idx="9">
                  <c:v>45719</c:v>
                </c:pt>
                <c:pt idx="10">
                  <c:v>45720</c:v>
                </c:pt>
                <c:pt idx="11">
                  <c:v>45721</c:v>
                </c:pt>
                <c:pt idx="12">
                  <c:v>45722</c:v>
                </c:pt>
                <c:pt idx="13">
                  <c:v>45723</c:v>
                </c:pt>
                <c:pt idx="14">
                  <c:v>45726</c:v>
                </c:pt>
                <c:pt idx="15">
                  <c:v>45727</c:v>
                </c:pt>
                <c:pt idx="16">
                  <c:v>45728</c:v>
                </c:pt>
                <c:pt idx="17">
                  <c:v>45729</c:v>
                </c:pt>
                <c:pt idx="18">
                  <c:v>45730</c:v>
                </c:pt>
                <c:pt idx="19">
                  <c:v>45733</c:v>
                </c:pt>
                <c:pt idx="20">
                  <c:v>45734</c:v>
                </c:pt>
                <c:pt idx="21">
                  <c:v>45735</c:v>
                </c:pt>
                <c:pt idx="22">
                  <c:v>45736</c:v>
                </c:pt>
                <c:pt idx="23">
                  <c:v>45737</c:v>
                </c:pt>
                <c:pt idx="24">
                  <c:v>45740</c:v>
                </c:pt>
                <c:pt idx="25">
                  <c:v>45741</c:v>
                </c:pt>
                <c:pt idx="26">
                  <c:v>45742</c:v>
                </c:pt>
                <c:pt idx="27">
                  <c:v>45743</c:v>
                </c:pt>
                <c:pt idx="28">
                  <c:v>45744</c:v>
                </c:pt>
                <c:pt idx="29">
                  <c:v>45747</c:v>
                </c:pt>
                <c:pt idx="30">
                  <c:v>45748</c:v>
                </c:pt>
                <c:pt idx="31">
                  <c:v>45749</c:v>
                </c:pt>
                <c:pt idx="32">
                  <c:v>45750</c:v>
                </c:pt>
                <c:pt idx="33">
                  <c:v>45751</c:v>
                </c:pt>
                <c:pt idx="34">
                  <c:v>45754</c:v>
                </c:pt>
                <c:pt idx="35">
                  <c:v>45755</c:v>
                </c:pt>
                <c:pt idx="36">
                  <c:v>45756</c:v>
                </c:pt>
                <c:pt idx="37">
                  <c:v>45757</c:v>
                </c:pt>
                <c:pt idx="38">
                  <c:v>45758</c:v>
                </c:pt>
                <c:pt idx="39">
                  <c:v>45761</c:v>
                </c:pt>
                <c:pt idx="40">
                  <c:v>45762</c:v>
                </c:pt>
                <c:pt idx="41">
                  <c:v>45763</c:v>
                </c:pt>
                <c:pt idx="42">
                  <c:v>45764</c:v>
                </c:pt>
                <c:pt idx="43">
                  <c:v>45768</c:v>
                </c:pt>
                <c:pt idx="44">
                  <c:v>45769</c:v>
                </c:pt>
                <c:pt idx="45">
                  <c:v>45770</c:v>
                </c:pt>
                <c:pt idx="46">
                  <c:v>45771</c:v>
                </c:pt>
                <c:pt idx="47">
                  <c:v>45772</c:v>
                </c:pt>
                <c:pt idx="48">
                  <c:v>45775</c:v>
                </c:pt>
                <c:pt idx="49">
                  <c:v>45776</c:v>
                </c:pt>
                <c:pt idx="50">
                  <c:v>45777</c:v>
                </c:pt>
                <c:pt idx="51">
                  <c:v>45778</c:v>
                </c:pt>
                <c:pt idx="52">
                  <c:v>45779</c:v>
                </c:pt>
                <c:pt idx="53">
                  <c:v>45782</c:v>
                </c:pt>
                <c:pt idx="54">
                  <c:v>45783</c:v>
                </c:pt>
                <c:pt idx="55">
                  <c:v>45784</c:v>
                </c:pt>
                <c:pt idx="56">
                  <c:v>45785</c:v>
                </c:pt>
                <c:pt idx="57">
                  <c:v>45786</c:v>
                </c:pt>
                <c:pt idx="58">
                  <c:v>45789</c:v>
                </c:pt>
                <c:pt idx="59">
                  <c:v>45790</c:v>
                </c:pt>
                <c:pt idx="60">
                  <c:v>45791</c:v>
                </c:pt>
                <c:pt idx="61">
                  <c:v>45792</c:v>
                </c:pt>
                <c:pt idx="62">
                  <c:v>45793</c:v>
                </c:pt>
                <c:pt idx="63">
                  <c:v>45796</c:v>
                </c:pt>
                <c:pt idx="64">
                  <c:v>45797</c:v>
                </c:pt>
                <c:pt idx="65">
                  <c:v>45798</c:v>
                </c:pt>
                <c:pt idx="66">
                  <c:v>45799</c:v>
                </c:pt>
                <c:pt idx="67">
                  <c:v>45800</c:v>
                </c:pt>
                <c:pt idx="68">
                  <c:v>45804</c:v>
                </c:pt>
                <c:pt idx="69">
                  <c:v>45805</c:v>
                </c:pt>
                <c:pt idx="70">
                  <c:v>45806</c:v>
                </c:pt>
                <c:pt idx="71">
                  <c:v>45807</c:v>
                </c:pt>
                <c:pt idx="72">
                  <c:v>45810</c:v>
                </c:pt>
                <c:pt idx="73">
                  <c:v>45811</c:v>
                </c:pt>
                <c:pt idx="74">
                  <c:v>45812</c:v>
                </c:pt>
                <c:pt idx="75">
                  <c:v>45813</c:v>
                </c:pt>
                <c:pt idx="76">
                  <c:v>45814</c:v>
                </c:pt>
                <c:pt idx="77">
                  <c:v>45817</c:v>
                </c:pt>
                <c:pt idx="78">
                  <c:v>45818</c:v>
                </c:pt>
                <c:pt idx="79">
                  <c:v>45819</c:v>
                </c:pt>
                <c:pt idx="80">
                  <c:v>45820</c:v>
                </c:pt>
                <c:pt idx="81">
                  <c:v>45821</c:v>
                </c:pt>
                <c:pt idx="82">
                  <c:v>45824</c:v>
                </c:pt>
                <c:pt idx="83">
                  <c:v>45825</c:v>
                </c:pt>
                <c:pt idx="84">
                  <c:v>45826</c:v>
                </c:pt>
                <c:pt idx="85">
                  <c:v>45828</c:v>
                </c:pt>
                <c:pt idx="86">
                  <c:v>45831</c:v>
                </c:pt>
                <c:pt idx="87">
                  <c:v>45832</c:v>
                </c:pt>
                <c:pt idx="88">
                  <c:v>45833</c:v>
                </c:pt>
                <c:pt idx="89">
                  <c:v>45834</c:v>
                </c:pt>
                <c:pt idx="90">
                  <c:v>45835</c:v>
                </c:pt>
                <c:pt idx="91">
                  <c:v>45838</c:v>
                </c:pt>
                <c:pt idx="92">
                  <c:v>45839</c:v>
                </c:pt>
                <c:pt idx="93">
                  <c:v>45840</c:v>
                </c:pt>
                <c:pt idx="94">
                  <c:v>45841</c:v>
                </c:pt>
                <c:pt idx="95">
                  <c:v>45845</c:v>
                </c:pt>
                <c:pt idx="96">
                  <c:v>45846</c:v>
                </c:pt>
                <c:pt idx="97">
                  <c:v>45847</c:v>
                </c:pt>
                <c:pt idx="98">
                  <c:v>45848</c:v>
                </c:pt>
                <c:pt idx="99">
                  <c:v>45849</c:v>
                </c:pt>
                <c:pt idx="100">
                  <c:v>45852</c:v>
                </c:pt>
                <c:pt idx="101">
                  <c:v>45853</c:v>
                </c:pt>
                <c:pt idx="102">
                  <c:v>45854</c:v>
                </c:pt>
                <c:pt idx="103">
                  <c:v>45855</c:v>
                </c:pt>
                <c:pt idx="104">
                  <c:v>45856</c:v>
                </c:pt>
                <c:pt idx="105">
                  <c:v>45859</c:v>
                </c:pt>
                <c:pt idx="106">
                  <c:v>45860</c:v>
                </c:pt>
                <c:pt idx="107">
                  <c:v>45861</c:v>
                </c:pt>
                <c:pt idx="108">
                  <c:v>45862</c:v>
                </c:pt>
                <c:pt idx="109">
                  <c:v>45863</c:v>
                </c:pt>
                <c:pt idx="110">
                  <c:v>45866</c:v>
                </c:pt>
                <c:pt idx="111">
                  <c:v>45867</c:v>
                </c:pt>
                <c:pt idx="112">
                  <c:v>45868</c:v>
                </c:pt>
                <c:pt idx="113">
                  <c:v>45869</c:v>
                </c:pt>
                <c:pt idx="114">
                  <c:v>45870</c:v>
                </c:pt>
                <c:pt idx="115">
                  <c:v>45873</c:v>
                </c:pt>
                <c:pt idx="116">
                  <c:v>45874</c:v>
                </c:pt>
                <c:pt idx="117">
                  <c:v>45875</c:v>
                </c:pt>
                <c:pt idx="118">
                  <c:v>45876</c:v>
                </c:pt>
                <c:pt idx="119">
                  <c:v>45877</c:v>
                </c:pt>
                <c:pt idx="120">
                  <c:v>45880</c:v>
                </c:pt>
                <c:pt idx="121">
                  <c:v>45881</c:v>
                </c:pt>
                <c:pt idx="122">
                  <c:v>45882</c:v>
                </c:pt>
                <c:pt idx="123">
                  <c:v>45883</c:v>
                </c:pt>
                <c:pt idx="124">
                  <c:v>45884</c:v>
                </c:pt>
                <c:pt idx="125">
                  <c:v>45887</c:v>
                </c:pt>
                <c:pt idx="126">
                  <c:v>45888</c:v>
                </c:pt>
                <c:pt idx="127">
                  <c:v>45889</c:v>
                </c:pt>
                <c:pt idx="128">
                  <c:v>45890</c:v>
                </c:pt>
                <c:pt idx="129">
                  <c:v>45891</c:v>
                </c:pt>
                <c:pt idx="130">
                  <c:v>45894</c:v>
                </c:pt>
                <c:pt idx="131">
                  <c:v>45895</c:v>
                </c:pt>
                <c:pt idx="132">
                  <c:v>45896</c:v>
                </c:pt>
                <c:pt idx="133">
                  <c:v>45897</c:v>
                </c:pt>
                <c:pt idx="134">
                  <c:v>45898</c:v>
                </c:pt>
                <c:pt idx="135">
                  <c:v>45902</c:v>
                </c:pt>
                <c:pt idx="136">
                  <c:v>45903</c:v>
                </c:pt>
                <c:pt idx="137">
                  <c:v>45904</c:v>
                </c:pt>
                <c:pt idx="138">
                  <c:v>45905</c:v>
                </c:pt>
                <c:pt idx="139">
                  <c:v>45908</c:v>
                </c:pt>
                <c:pt idx="140">
                  <c:v>45909</c:v>
                </c:pt>
                <c:pt idx="141">
                  <c:v>45910</c:v>
                </c:pt>
                <c:pt idx="142">
                  <c:v>45911</c:v>
                </c:pt>
                <c:pt idx="143">
                  <c:v>45912</c:v>
                </c:pt>
                <c:pt idx="144">
                  <c:v>45915</c:v>
                </c:pt>
                <c:pt idx="145">
                  <c:v>45916</c:v>
                </c:pt>
                <c:pt idx="146">
                  <c:v>45917</c:v>
                </c:pt>
                <c:pt idx="147">
                  <c:v>45918</c:v>
                </c:pt>
                <c:pt idx="148">
                  <c:v>45919</c:v>
                </c:pt>
                <c:pt idx="149">
                  <c:v>45922</c:v>
                </c:pt>
                <c:pt idx="150">
                  <c:v>45923</c:v>
                </c:pt>
                <c:pt idx="151">
                  <c:v>45924</c:v>
                </c:pt>
                <c:pt idx="152">
                  <c:v>45925</c:v>
                </c:pt>
                <c:pt idx="153">
                  <c:v>45926</c:v>
                </c:pt>
                <c:pt idx="154">
                  <c:v>45929</c:v>
                </c:pt>
                <c:pt idx="155">
                  <c:v>45930</c:v>
                </c:pt>
                <c:pt idx="156">
                  <c:v>45931</c:v>
                </c:pt>
                <c:pt idx="157">
                  <c:v>45932</c:v>
                </c:pt>
                <c:pt idx="158">
                  <c:v>45933</c:v>
                </c:pt>
                <c:pt idx="159">
                  <c:v>45936</c:v>
                </c:pt>
                <c:pt idx="160">
                  <c:v>45937</c:v>
                </c:pt>
                <c:pt idx="161">
                  <c:v>45938</c:v>
                </c:pt>
                <c:pt idx="162">
                  <c:v>45939</c:v>
                </c:pt>
                <c:pt idx="163">
                  <c:v>45940</c:v>
                </c:pt>
                <c:pt idx="164">
                  <c:v>45943</c:v>
                </c:pt>
                <c:pt idx="165">
                  <c:v>45944</c:v>
                </c:pt>
                <c:pt idx="166">
                  <c:v>45945</c:v>
                </c:pt>
                <c:pt idx="167">
                  <c:v>45946</c:v>
                </c:pt>
                <c:pt idx="168">
                  <c:v>45947</c:v>
                </c:pt>
                <c:pt idx="169">
                  <c:v>45950</c:v>
                </c:pt>
                <c:pt idx="170">
                  <c:v>45951</c:v>
                </c:pt>
                <c:pt idx="171">
                  <c:v>45952</c:v>
                </c:pt>
                <c:pt idx="172">
                  <c:v>45953</c:v>
                </c:pt>
                <c:pt idx="173">
                  <c:v>45954</c:v>
                </c:pt>
                <c:pt idx="174">
                  <c:v>45957</c:v>
                </c:pt>
                <c:pt idx="175">
                  <c:v>45958</c:v>
                </c:pt>
                <c:pt idx="176">
                  <c:v>45959</c:v>
                </c:pt>
                <c:pt idx="177">
                  <c:v>45960</c:v>
                </c:pt>
                <c:pt idx="178">
                  <c:v>45961</c:v>
                </c:pt>
                <c:pt idx="179">
                  <c:v>45964</c:v>
                </c:pt>
                <c:pt idx="180">
                  <c:v>45965</c:v>
                </c:pt>
                <c:pt idx="181">
                  <c:v>45966</c:v>
                </c:pt>
                <c:pt idx="182">
                  <c:v>45967</c:v>
                </c:pt>
                <c:pt idx="183">
                  <c:v>45968</c:v>
                </c:pt>
                <c:pt idx="184">
                  <c:v>45971</c:v>
                </c:pt>
                <c:pt idx="185">
                  <c:v>45972</c:v>
                </c:pt>
                <c:pt idx="186">
                  <c:v>45973</c:v>
                </c:pt>
                <c:pt idx="187">
                  <c:v>45974</c:v>
                </c:pt>
                <c:pt idx="188">
                  <c:v>45975</c:v>
                </c:pt>
                <c:pt idx="189">
                  <c:v>45978</c:v>
                </c:pt>
                <c:pt idx="190">
                  <c:v>45979</c:v>
                </c:pt>
                <c:pt idx="191">
                  <c:v>45980</c:v>
                </c:pt>
                <c:pt idx="192">
                  <c:v>45981</c:v>
                </c:pt>
                <c:pt idx="193">
                  <c:v>45982</c:v>
                </c:pt>
                <c:pt idx="194">
                  <c:v>45985</c:v>
                </c:pt>
                <c:pt idx="195">
                  <c:v>45986</c:v>
                </c:pt>
                <c:pt idx="196">
                  <c:v>45987</c:v>
                </c:pt>
                <c:pt idx="197">
                  <c:v>45989</c:v>
                </c:pt>
                <c:pt idx="198">
                  <c:v>45992</c:v>
                </c:pt>
                <c:pt idx="199">
                  <c:v>45993</c:v>
                </c:pt>
                <c:pt idx="200">
                  <c:v>45994</c:v>
                </c:pt>
                <c:pt idx="201">
                  <c:v>45995</c:v>
                </c:pt>
                <c:pt idx="202">
                  <c:v>45996</c:v>
                </c:pt>
                <c:pt idx="203">
                  <c:v>45999</c:v>
                </c:pt>
                <c:pt idx="204">
                  <c:v>46000</c:v>
                </c:pt>
                <c:pt idx="205">
                  <c:v>46001</c:v>
                </c:pt>
                <c:pt idx="206">
                  <c:v>46002</c:v>
                </c:pt>
                <c:pt idx="207">
                  <c:v>46003</c:v>
                </c:pt>
                <c:pt idx="208">
                  <c:v>46006</c:v>
                </c:pt>
                <c:pt idx="209">
                  <c:v>46007</c:v>
                </c:pt>
                <c:pt idx="210">
                  <c:v>46008</c:v>
                </c:pt>
                <c:pt idx="211">
                  <c:v>46009</c:v>
                </c:pt>
                <c:pt idx="212">
                  <c:v>46010</c:v>
                </c:pt>
                <c:pt idx="213">
                  <c:v>46013</c:v>
                </c:pt>
                <c:pt idx="214">
                  <c:v>46014</c:v>
                </c:pt>
                <c:pt idx="215">
                  <c:v>46015</c:v>
                </c:pt>
                <c:pt idx="216">
                  <c:v>46017</c:v>
                </c:pt>
                <c:pt idx="217">
                  <c:v>46020</c:v>
                </c:pt>
                <c:pt idx="218">
                  <c:v>46021</c:v>
                </c:pt>
                <c:pt idx="219">
                  <c:v>46022</c:v>
                </c:pt>
                <c:pt idx="220">
                  <c:v>46024</c:v>
                </c:pt>
                <c:pt idx="221">
                  <c:v>46027</c:v>
                </c:pt>
                <c:pt idx="222">
                  <c:v>46028</c:v>
                </c:pt>
                <c:pt idx="223">
                  <c:v>46029</c:v>
                </c:pt>
                <c:pt idx="224">
                  <c:v>46030</c:v>
                </c:pt>
                <c:pt idx="225">
                  <c:v>46031</c:v>
                </c:pt>
                <c:pt idx="226">
                  <c:v>46034</c:v>
                </c:pt>
                <c:pt idx="227">
                  <c:v>46035</c:v>
                </c:pt>
                <c:pt idx="228">
                  <c:v>46036</c:v>
                </c:pt>
                <c:pt idx="229">
                  <c:v>46037</c:v>
                </c:pt>
                <c:pt idx="230">
                  <c:v>46038</c:v>
                </c:pt>
                <c:pt idx="231">
                  <c:v>46042</c:v>
                </c:pt>
                <c:pt idx="232">
                  <c:v>46043</c:v>
                </c:pt>
                <c:pt idx="233">
                  <c:v>46044</c:v>
                </c:pt>
                <c:pt idx="234">
                  <c:v>46045</c:v>
                </c:pt>
                <c:pt idx="235">
                  <c:v>46048</c:v>
                </c:pt>
                <c:pt idx="236">
                  <c:v>46049</c:v>
                </c:pt>
                <c:pt idx="237">
                  <c:v>46050</c:v>
                </c:pt>
                <c:pt idx="238">
                  <c:v>46051</c:v>
                </c:pt>
                <c:pt idx="239">
                  <c:v>46052</c:v>
                </c:pt>
                <c:pt idx="240">
                  <c:v>46055</c:v>
                </c:pt>
                <c:pt idx="241">
                  <c:v>46056</c:v>
                </c:pt>
                <c:pt idx="242">
                  <c:v>46057</c:v>
                </c:pt>
                <c:pt idx="243">
                  <c:v>46058</c:v>
                </c:pt>
                <c:pt idx="244">
                  <c:v>46059</c:v>
                </c:pt>
                <c:pt idx="245">
                  <c:v>46062</c:v>
                </c:pt>
                <c:pt idx="246">
                  <c:v>46063</c:v>
                </c:pt>
                <c:pt idx="247">
                  <c:v>46064</c:v>
                </c:pt>
                <c:pt idx="248">
                  <c:v>46065</c:v>
                </c:pt>
                <c:pt idx="249">
                  <c:v>46066</c:v>
                </c:pt>
              </c:numCache>
            </c:numRef>
          </c:cat>
          <c:val>
            <c:numRef>
              <c:f>Data!$AB$2:$AB$251</c:f>
              <c:numCache>
                <c:formatCode>General</c:formatCode>
                <c:ptCount val="250"/>
                <c:pt idx="99">
                  <c:v>156.84070000000003</c:v>
                </c:pt>
                <c:pt idx="100">
                  <c:v>156.85900000000001</c:v>
                </c:pt>
                <c:pt idx="101">
                  <c:v>156.83180000000002</c:v>
                </c:pt>
                <c:pt idx="102">
                  <c:v>156.8828</c:v>
                </c:pt>
                <c:pt idx="103">
                  <c:v>156.8896</c:v>
                </c:pt>
                <c:pt idx="104">
                  <c:v>156.88920000000005</c:v>
                </c:pt>
                <c:pt idx="105">
                  <c:v>156.87190000000004</c:v>
                </c:pt>
                <c:pt idx="106">
                  <c:v>156.92040000000006</c:v>
                </c:pt>
                <c:pt idx="107">
                  <c:v>156.97410000000008</c:v>
                </c:pt>
                <c:pt idx="108">
                  <c:v>157.01950000000005</c:v>
                </c:pt>
                <c:pt idx="109">
                  <c:v>157.02970000000002</c:v>
                </c:pt>
                <c:pt idx="110">
                  <c:v>157.03770000000003</c:v>
                </c:pt>
                <c:pt idx="111">
                  <c:v>157.06760000000003</c:v>
                </c:pt>
                <c:pt idx="112">
                  <c:v>157.08190000000002</c:v>
                </c:pt>
                <c:pt idx="113">
                  <c:v>157.06240000000003</c:v>
                </c:pt>
                <c:pt idx="114">
                  <c:v>157.05870000000002</c:v>
                </c:pt>
                <c:pt idx="115">
                  <c:v>157.11050000000003</c:v>
                </c:pt>
                <c:pt idx="116">
                  <c:v>157.18940000000003</c:v>
                </c:pt>
                <c:pt idx="117">
                  <c:v>157.26540000000003</c:v>
                </c:pt>
                <c:pt idx="118">
                  <c:v>157.35260000000005</c:v>
                </c:pt>
                <c:pt idx="119">
                  <c:v>157.45750000000004</c:v>
                </c:pt>
                <c:pt idx="120">
                  <c:v>157.55320000000003</c:v>
                </c:pt>
                <c:pt idx="121">
                  <c:v>157.65110000000004</c:v>
                </c:pt>
                <c:pt idx="122">
                  <c:v>157.76510000000005</c:v>
                </c:pt>
                <c:pt idx="123">
                  <c:v>157.87600000000003</c:v>
                </c:pt>
                <c:pt idx="124">
                  <c:v>158.00950000000003</c:v>
                </c:pt>
                <c:pt idx="125">
                  <c:v>158.16180000000003</c:v>
                </c:pt>
                <c:pt idx="126">
                  <c:v>158.32259999999999</c:v>
                </c:pt>
                <c:pt idx="127">
                  <c:v>158.47969999999998</c:v>
                </c:pt>
                <c:pt idx="128">
                  <c:v>158.6319</c:v>
                </c:pt>
                <c:pt idx="129">
                  <c:v>158.76640000000003</c:v>
                </c:pt>
                <c:pt idx="130">
                  <c:v>159.01800000000003</c:v>
                </c:pt>
                <c:pt idx="131">
                  <c:v>159.22930000000002</c:v>
                </c:pt>
                <c:pt idx="132">
                  <c:v>159.39900000000003</c:v>
                </c:pt>
                <c:pt idx="133">
                  <c:v>159.62110000000001</c:v>
                </c:pt>
                <c:pt idx="134">
                  <c:v>159.88660000000004</c:v>
                </c:pt>
                <c:pt idx="135">
                  <c:v>160.16720000000001</c:v>
                </c:pt>
                <c:pt idx="136">
                  <c:v>160.43750000000003</c:v>
                </c:pt>
                <c:pt idx="137">
                  <c:v>160.73820000000003</c:v>
                </c:pt>
                <c:pt idx="138">
                  <c:v>161.00520000000003</c:v>
                </c:pt>
                <c:pt idx="139">
                  <c:v>161.24290000000002</c:v>
                </c:pt>
                <c:pt idx="140">
                  <c:v>161.47630000000001</c:v>
                </c:pt>
                <c:pt idx="141">
                  <c:v>161.69510000000002</c:v>
                </c:pt>
                <c:pt idx="142">
                  <c:v>161.90540000000001</c:v>
                </c:pt>
                <c:pt idx="143">
                  <c:v>162.11680000000001</c:v>
                </c:pt>
                <c:pt idx="144">
                  <c:v>162.3133</c:v>
                </c:pt>
                <c:pt idx="145">
                  <c:v>162.5241</c:v>
                </c:pt>
                <c:pt idx="146">
                  <c:v>162.74680000000001</c:v>
                </c:pt>
                <c:pt idx="147">
                  <c:v>162.94259999999997</c:v>
                </c:pt>
                <c:pt idx="148">
                  <c:v>163.15100000000001</c:v>
                </c:pt>
                <c:pt idx="149">
                  <c:v>163.334</c:v>
                </c:pt>
                <c:pt idx="150">
                  <c:v>163.5367</c:v>
                </c:pt>
                <c:pt idx="151">
                  <c:v>163.75899999999999</c:v>
                </c:pt>
                <c:pt idx="152">
                  <c:v>163.9751</c:v>
                </c:pt>
                <c:pt idx="153">
                  <c:v>164.22219999999999</c:v>
                </c:pt>
                <c:pt idx="154">
                  <c:v>164.49369999999996</c:v>
                </c:pt>
                <c:pt idx="155">
                  <c:v>164.77489999999995</c:v>
                </c:pt>
                <c:pt idx="156">
                  <c:v>165.07879999999997</c:v>
                </c:pt>
                <c:pt idx="157">
                  <c:v>165.3964</c:v>
                </c:pt>
                <c:pt idx="158">
                  <c:v>165.7414</c:v>
                </c:pt>
                <c:pt idx="159">
                  <c:v>166.13859999999997</c:v>
                </c:pt>
                <c:pt idx="160">
                  <c:v>166.56389999999999</c:v>
                </c:pt>
                <c:pt idx="161">
                  <c:v>166.96469999999997</c:v>
                </c:pt>
                <c:pt idx="162">
                  <c:v>167.36219999999997</c:v>
                </c:pt>
                <c:pt idx="163">
                  <c:v>167.74450000000002</c:v>
                </c:pt>
                <c:pt idx="164">
                  <c:v>168.11690000000002</c:v>
                </c:pt>
                <c:pt idx="165">
                  <c:v>168.49359999999996</c:v>
                </c:pt>
                <c:pt idx="166">
                  <c:v>168.87919999999994</c:v>
                </c:pt>
                <c:pt idx="167">
                  <c:v>169.2709999999999</c:v>
                </c:pt>
                <c:pt idx="168">
                  <c:v>169.67069999999993</c:v>
                </c:pt>
                <c:pt idx="169">
                  <c:v>170.08359999999993</c:v>
                </c:pt>
                <c:pt idx="170">
                  <c:v>170.46659999999997</c:v>
                </c:pt>
                <c:pt idx="171">
                  <c:v>170.84389999999996</c:v>
                </c:pt>
                <c:pt idx="172">
                  <c:v>171.21459999999996</c:v>
                </c:pt>
                <c:pt idx="173">
                  <c:v>171.5744</c:v>
                </c:pt>
                <c:pt idx="174">
                  <c:v>171.94519999999997</c:v>
                </c:pt>
                <c:pt idx="175">
                  <c:v>172.27789999999996</c:v>
                </c:pt>
                <c:pt idx="176">
                  <c:v>172.59359999999998</c:v>
                </c:pt>
                <c:pt idx="177">
                  <c:v>172.93179999999995</c:v>
                </c:pt>
                <c:pt idx="178">
                  <c:v>173.25599999999994</c:v>
                </c:pt>
                <c:pt idx="179">
                  <c:v>173.56599999999992</c:v>
                </c:pt>
                <c:pt idx="180">
                  <c:v>173.86799999999991</c:v>
                </c:pt>
                <c:pt idx="181">
                  <c:v>174.15699999999993</c:v>
                </c:pt>
                <c:pt idx="182">
                  <c:v>174.47449999999992</c:v>
                </c:pt>
                <c:pt idx="183">
                  <c:v>174.81639999999993</c:v>
                </c:pt>
                <c:pt idx="184">
                  <c:v>175.19319999999993</c:v>
                </c:pt>
                <c:pt idx="185">
                  <c:v>175.63359999999997</c:v>
                </c:pt>
                <c:pt idx="186">
                  <c:v>176.06429999999997</c:v>
                </c:pt>
                <c:pt idx="187">
                  <c:v>176.49489999999994</c:v>
                </c:pt>
                <c:pt idx="188">
                  <c:v>176.93139999999997</c:v>
                </c:pt>
                <c:pt idx="189">
                  <c:v>177.40709999999996</c:v>
                </c:pt>
                <c:pt idx="190">
                  <c:v>177.88299999999998</c:v>
                </c:pt>
                <c:pt idx="191">
                  <c:v>178.38059999999999</c:v>
                </c:pt>
                <c:pt idx="192">
                  <c:v>178.85209999999995</c:v>
                </c:pt>
                <c:pt idx="193">
                  <c:v>179.33549999999997</c:v>
                </c:pt>
                <c:pt idx="194">
                  <c:v>179.83589999999995</c:v>
                </c:pt>
                <c:pt idx="195">
                  <c:v>180.34989999999993</c:v>
                </c:pt>
                <c:pt idx="196">
                  <c:v>180.86759999999995</c:v>
                </c:pt>
                <c:pt idx="197">
                  <c:v>181.37399999999994</c:v>
                </c:pt>
                <c:pt idx="198">
                  <c:v>181.85049999999993</c:v>
                </c:pt>
                <c:pt idx="199">
                  <c:v>182.33569999999992</c:v>
                </c:pt>
                <c:pt idx="200">
                  <c:v>182.82079999999991</c:v>
                </c:pt>
                <c:pt idx="201">
                  <c:v>183.29389999999992</c:v>
                </c:pt>
                <c:pt idx="202">
                  <c:v>183.66539999999995</c:v>
                </c:pt>
                <c:pt idx="203">
                  <c:v>184.05179999999993</c:v>
                </c:pt>
                <c:pt idx="204">
                  <c:v>184.41439999999992</c:v>
                </c:pt>
                <c:pt idx="205">
                  <c:v>184.83619999999991</c:v>
                </c:pt>
                <c:pt idx="206">
                  <c:v>185.25699999999989</c:v>
                </c:pt>
                <c:pt idx="207">
                  <c:v>185.6817999999999</c:v>
                </c:pt>
                <c:pt idx="208">
                  <c:v>186.1278999999999</c:v>
                </c:pt>
                <c:pt idx="209">
                  <c:v>186.53789999999989</c:v>
                </c:pt>
                <c:pt idx="210">
                  <c:v>186.97899999999993</c:v>
                </c:pt>
                <c:pt idx="211">
                  <c:v>187.38099999999994</c:v>
                </c:pt>
                <c:pt idx="212">
                  <c:v>187.77209999999997</c:v>
                </c:pt>
                <c:pt idx="213">
                  <c:v>188.19789999999989</c:v>
                </c:pt>
                <c:pt idx="214">
                  <c:v>188.58239999999989</c:v>
                </c:pt>
                <c:pt idx="215">
                  <c:v>188.9497999999999</c:v>
                </c:pt>
                <c:pt idx="216">
                  <c:v>189.31869999999992</c:v>
                </c:pt>
                <c:pt idx="217">
                  <c:v>189.68839999999992</c:v>
                </c:pt>
                <c:pt idx="218">
                  <c:v>190.04219999999998</c:v>
                </c:pt>
                <c:pt idx="219">
                  <c:v>190.37839999999997</c:v>
                </c:pt>
                <c:pt idx="220">
                  <c:v>190.71369999999996</c:v>
                </c:pt>
                <c:pt idx="221">
                  <c:v>191.02899999999994</c:v>
                </c:pt>
                <c:pt idx="222">
                  <c:v>191.33270000000002</c:v>
                </c:pt>
                <c:pt idx="223">
                  <c:v>191.66040000000001</c:v>
                </c:pt>
                <c:pt idx="224">
                  <c:v>191.95149999999998</c:v>
                </c:pt>
                <c:pt idx="225">
                  <c:v>192.23289999999997</c:v>
                </c:pt>
                <c:pt idx="226">
                  <c:v>192.55210000000002</c:v>
                </c:pt>
                <c:pt idx="227">
                  <c:v>192.90020000000004</c:v>
                </c:pt>
                <c:pt idx="228">
                  <c:v>193.29640000000003</c:v>
                </c:pt>
                <c:pt idx="229">
                  <c:v>193.69920000000005</c:v>
                </c:pt>
                <c:pt idx="230">
                  <c:v>194.10170000000005</c:v>
                </c:pt>
                <c:pt idx="231">
                  <c:v>194.51890000000003</c:v>
                </c:pt>
                <c:pt idx="232">
                  <c:v>194.93110000000001</c:v>
                </c:pt>
                <c:pt idx="233">
                  <c:v>195.36150000000001</c:v>
                </c:pt>
                <c:pt idx="234">
                  <c:v>195.7912</c:v>
                </c:pt>
                <c:pt idx="235">
                  <c:v>196.22550000000004</c:v>
                </c:pt>
                <c:pt idx="236">
                  <c:v>196.68990000000002</c:v>
                </c:pt>
                <c:pt idx="237">
                  <c:v>197.17950000000002</c:v>
                </c:pt>
                <c:pt idx="238">
                  <c:v>197.66810000000004</c:v>
                </c:pt>
                <c:pt idx="239">
                  <c:v>198.1593</c:v>
                </c:pt>
                <c:pt idx="240">
                  <c:v>198.69720000000001</c:v>
                </c:pt>
                <c:pt idx="241">
                  <c:v>199.27029999999999</c:v>
                </c:pt>
                <c:pt idx="242">
                  <c:v>199.83000000000004</c:v>
                </c:pt>
                <c:pt idx="243">
                  <c:v>200.4273</c:v>
                </c:pt>
                <c:pt idx="244">
                  <c:v>201.05320000000003</c:v>
                </c:pt>
                <c:pt idx="245">
                  <c:v>201.67500000000001</c:v>
                </c:pt>
                <c:pt idx="246">
                  <c:v>202.28650000000002</c:v>
                </c:pt>
                <c:pt idx="247">
                  <c:v>202.95349999999999</c:v>
                </c:pt>
                <c:pt idx="248">
                  <c:v>203.6371</c:v>
                </c:pt>
                <c:pt idx="249">
                  <c:v>204.3295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E4C-4E10-89AF-054062AB81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2945647"/>
        <c:axId val="612946127"/>
      </c:lineChart>
      <c:dateAx>
        <c:axId val="612945647"/>
        <c:scaling>
          <c:orientation val="minMax"/>
          <c:min val="45948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946127"/>
        <c:crosses val="autoZero"/>
        <c:auto val="1"/>
        <c:lblOffset val="100"/>
        <c:baseTimeUnit val="days"/>
      </c:dateAx>
      <c:valAx>
        <c:axId val="612946127"/>
        <c:scaling>
          <c:orientation val="minMax"/>
          <c:min val="1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945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Close + VWAP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Data!$C$1</c:f>
              <c:strCache>
                <c:ptCount val="1"/>
                <c:pt idx="0">
                  <c:v>Close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Data!$B$2:$B$251</c:f>
              <c:numCache>
                <c:formatCode>m/d/yyyy</c:formatCode>
                <c:ptCount val="250"/>
                <c:pt idx="0">
                  <c:v>45706</c:v>
                </c:pt>
                <c:pt idx="1">
                  <c:v>45707</c:v>
                </c:pt>
                <c:pt idx="2">
                  <c:v>45708</c:v>
                </c:pt>
                <c:pt idx="3">
                  <c:v>45709</c:v>
                </c:pt>
                <c:pt idx="4">
                  <c:v>45712</c:v>
                </c:pt>
                <c:pt idx="5">
                  <c:v>45713</c:v>
                </c:pt>
                <c:pt idx="6">
                  <c:v>45714</c:v>
                </c:pt>
                <c:pt idx="7">
                  <c:v>45715</c:v>
                </c:pt>
                <c:pt idx="8">
                  <c:v>45716</c:v>
                </c:pt>
                <c:pt idx="9">
                  <c:v>45719</c:v>
                </c:pt>
                <c:pt idx="10">
                  <c:v>45720</c:v>
                </c:pt>
                <c:pt idx="11">
                  <c:v>45721</c:v>
                </c:pt>
                <c:pt idx="12">
                  <c:v>45722</c:v>
                </c:pt>
                <c:pt idx="13">
                  <c:v>45723</c:v>
                </c:pt>
                <c:pt idx="14">
                  <c:v>45726</c:v>
                </c:pt>
                <c:pt idx="15">
                  <c:v>45727</c:v>
                </c:pt>
                <c:pt idx="16">
                  <c:v>45728</c:v>
                </c:pt>
                <c:pt idx="17">
                  <c:v>45729</c:v>
                </c:pt>
                <c:pt idx="18">
                  <c:v>45730</c:v>
                </c:pt>
                <c:pt idx="19">
                  <c:v>45733</c:v>
                </c:pt>
                <c:pt idx="20">
                  <c:v>45734</c:v>
                </c:pt>
                <c:pt idx="21">
                  <c:v>45735</c:v>
                </c:pt>
                <c:pt idx="22">
                  <c:v>45736</c:v>
                </c:pt>
                <c:pt idx="23">
                  <c:v>45737</c:v>
                </c:pt>
                <c:pt idx="24">
                  <c:v>45740</c:v>
                </c:pt>
                <c:pt idx="25">
                  <c:v>45741</c:v>
                </c:pt>
                <c:pt idx="26">
                  <c:v>45742</c:v>
                </c:pt>
                <c:pt idx="27">
                  <c:v>45743</c:v>
                </c:pt>
                <c:pt idx="28">
                  <c:v>45744</c:v>
                </c:pt>
                <c:pt idx="29">
                  <c:v>45747</c:v>
                </c:pt>
                <c:pt idx="30">
                  <c:v>45748</c:v>
                </c:pt>
                <c:pt idx="31">
                  <c:v>45749</c:v>
                </c:pt>
                <c:pt idx="32">
                  <c:v>45750</c:v>
                </c:pt>
                <c:pt idx="33">
                  <c:v>45751</c:v>
                </c:pt>
                <c:pt idx="34">
                  <c:v>45754</c:v>
                </c:pt>
                <c:pt idx="35">
                  <c:v>45755</c:v>
                </c:pt>
                <c:pt idx="36">
                  <c:v>45756</c:v>
                </c:pt>
                <c:pt idx="37">
                  <c:v>45757</c:v>
                </c:pt>
                <c:pt idx="38">
                  <c:v>45758</c:v>
                </c:pt>
                <c:pt idx="39">
                  <c:v>45761</c:v>
                </c:pt>
                <c:pt idx="40">
                  <c:v>45762</c:v>
                </c:pt>
                <c:pt idx="41">
                  <c:v>45763</c:v>
                </c:pt>
                <c:pt idx="42">
                  <c:v>45764</c:v>
                </c:pt>
                <c:pt idx="43">
                  <c:v>45768</c:v>
                </c:pt>
                <c:pt idx="44">
                  <c:v>45769</c:v>
                </c:pt>
                <c:pt idx="45">
                  <c:v>45770</c:v>
                </c:pt>
                <c:pt idx="46">
                  <c:v>45771</c:v>
                </c:pt>
                <c:pt idx="47">
                  <c:v>45772</c:v>
                </c:pt>
                <c:pt idx="48">
                  <c:v>45775</c:v>
                </c:pt>
                <c:pt idx="49">
                  <c:v>45776</c:v>
                </c:pt>
                <c:pt idx="50">
                  <c:v>45777</c:v>
                </c:pt>
                <c:pt idx="51">
                  <c:v>45778</c:v>
                </c:pt>
                <c:pt idx="52">
                  <c:v>45779</c:v>
                </c:pt>
                <c:pt idx="53">
                  <c:v>45782</c:v>
                </c:pt>
                <c:pt idx="54">
                  <c:v>45783</c:v>
                </c:pt>
                <c:pt idx="55">
                  <c:v>45784</c:v>
                </c:pt>
                <c:pt idx="56">
                  <c:v>45785</c:v>
                </c:pt>
                <c:pt idx="57">
                  <c:v>45786</c:v>
                </c:pt>
                <c:pt idx="58">
                  <c:v>45789</c:v>
                </c:pt>
                <c:pt idx="59">
                  <c:v>45790</c:v>
                </c:pt>
                <c:pt idx="60">
                  <c:v>45791</c:v>
                </c:pt>
                <c:pt idx="61">
                  <c:v>45792</c:v>
                </c:pt>
                <c:pt idx="62">
                  <c:v>45793</c:v>
                </c:pt>
                <c:pt idx="63">
                  <c:v>45796</c:v>
                </c:pt>
                <c:pt idx="64">
                  <c:v>45797</c:v>
                </c:pt>
                <c:pt idx="65">
                  <c:v>45798</c:v>
                </c:pt>
                <c:pt idx="66">
                  <c:v>45799</c:v>
                </c:pt>
                <c:pt idx="67">
                  <c:v>45800</c:v>
                </c:pt>
                <c:pt idx="68">
                  <c:v>45804</c:v>
                </c:pt>
                <c:pt idx="69">
                  <c:v>45805</c:v>
                </c:pt>
                <c:pt idx="70">
                  <c:v>45806</c:v>
                </c:pt>
                <c:pt idx="71">
                  <c:v>45807</c:v>
                </c:pt>
                <c:pt idx="72">
                  <c:v>45810</c:v>
                </c:pt>
                <c:pt idx="73">
                  <c:v>45811</c:v>
                </c:pt>
                <c:pt idx="74">
                  <c:v>45812</c:v>
                </c:pt>
                <c:pt idx="75">
                  <c:v>45813</c:v>
                </c:pt>
                <c:pt idx="76">
                  <c:v>45814</c:v>
                </c:pt>
                <c:pt idx="77">
                  <c:v>45817</c:v>
                </c:pt>
                <c:pt idx="78">
                  <c:v>45818</c:v>
                </c:pt>
                <c:pt idx="79">
                  <c:v>45819</c:v>
                </c:pt>
                <c:pt idx="80">
                  <c:v>45820</c:v>
                </c:pt>
                <c:pt idx="81">
                  <c:v>45821</c:v>
                </c:pt>
                <c:pt idx="82">
                  <c:v>45824</c:v>
                </c:pt>
                <c:pt idx="83">
                  <c:v>45825</c:v>
                </c:pt>
                <c:pt idx="84">
                  <c:v>45826</c:v>
                </c:pt>
                <c:pt idx="85">
                  <c:v>45828</c:v>
                </c:pt>
                <c:pt idx="86">
                  <c:v>45831</c:v>
                </c:pt>
                <c:pt idx="87">
                  <c:v>45832</c:v>
                </c:pt>
                <c:pt idx="88">
                  <c:v>45833</c:v>
                </c:pt>
                <c:pt idx="89">
                  <c:v>45834</c:v>
                </c:pt>
                <c:pt idx="90">
                  <c:v>45835</c:v>
                </c:pt>
                <c:pt idx="91">
                  <c:v>45838</c:v>
                </c:pt>
                <c:pt idx="92">
                  <c:v>45839</c:v>
                </c:pt>
                <c:pt idx="93">
                  <c:v>45840</c:v>
                </c:pt>
                <c:pt idx="94">
                  <c:v>45841</c:v>
                </c:pt>
                <c:pt idx="95">
                  <c:v>45845</c:v>
                </c:pt>
                <c:pt idx="96">
                  <c:v>45846</c:v>
                </c:pt>
                <c:pt idx="97">
                  <c:v>45847</c:v>
                </c:pt>
                <c:pt idx="98">
                  <c:v>45848</c:v>
                </c:pt>
                <c:pt idx="99">
                  <c:v>45849</c:v>
                </c:pt>
                <c:pt idx="100">
                  <c:v>45852</c:v>
                </c:pt>
                <c:pt idx="101">
                  <c:v>45853</c:v>
                </c:pt>
                <c:pt idx="102">
                  <c:v>45854</c:v>
                </c:pt>
                <c:pt idx="103">
                  <c:v>45855</c:v>
                </c:pt>
                <c:pt idx="104">
                  <c:v>45856</c:v>
                </c:pt>
                <c:pt idx="105">
                  <c:v>45859</c:v>
                </c:pt>
                <c:pt idx="106">
                  <c:v>45860</c:v>
                </c:pt>
                <c:pt idx="107">
                  <c:v>45861</c:v>
                </c:pt>
                <c:pt idx="108">
                  <c:v>45862</c:v>
                </c:pt>
                <c:pt idx="109">
                  <c:v>45863</c:v>
                </c:pt>
                <c:pt idx="110">
                  <c:v>45866</c:v>
                </c:pt>
                <c:pt idx="111">
                  <c:v>45867</c:v>
                </c:pt>
                <c:pt idx="112">
                  <c:v>45868</c:v>
                </c:pt>
                <c:pt idx="113">
                  <c:v>45869</c:v>
                </c:pt>
                <c:pt idx="114">
                  <c:v>45870</c:v>
                </c:pt>
                <c:pt idx="115">
                  <c:v>45873</c:v>
                </c:pt>
                <c:pt idx="116">
                  <c:v>45874</c:v>
                </c:pt>
                <c:pt idx="117">
                  <c:v>45875</c:v>
                </c:pt>
                <c:pt idx="118">
                  <c:v>45876</c:v>
                </c:pt>
                <c:pt idx="119">
                  <c:v>45877</c:v>
                </c:pt>
                <c:pt idx="120">
                  <c:v>45880</c:v>
                </c:pt>
                <c:pt idx="121">
                  <c:v>45881</c:v>
                </c:pt>
                <c:pt idx="122">
                  <c:v>45882</c:v>
                </c:pt>
                <c:pt idx="123">
                  <c:v>45883</c:v>
                </c:pt>
                <c:pt idx="124">
                  <c:v>45884</c:v>
                </c:pt>
                <c:pt idx="125">
                  <c:v>45887</c:v>
                </c:pt>
                <c:pt idx="126">
                  <c:v>45888</c:v>
                </c:pt>
                <c:pt idx="127">
                  <c:v>45889</c:v>
                </c:pt>
                <c:pt idx="128">
                  <c:v>45890</c:v>
                </c:pt>
                <c:pt idx="129">
                  <c:v>45891</c:v>
                </c:pt>
                <c:pt idx="130">
                  <c:v>45894</c:v>
                </c:pt>
                <c:pt idx="131">
                  <c:v>45895</c:v>
                </c:pt>
                <c:pt idx="132">
                  <c:v>45896</c:v>
                </c:pt>
                <c:pt idx="133">
                  <c:v>45897</c:v>
                </c:pt>
                <c:pt idx="134">
                  <c:v>45898</c:v>
                </c:pt>
                <c:pt idx="135">
                  <c:v>45902</c:v>
                </c:pt>
                <c:pt idx="136">
                  <c:v>45903</c:v>
                </c:pt>
                <c:pt idx="137">
                  <c:v>45904</c:v>
                </c:pt>
                <c:pt idx="138">
                  <c:v>45905</c:v>
                </c:pt>
                <c:pt idx="139">
                  <c:v>45908</c:v>
                </c:pt>
                <c:pt idx="140">
                  <c:v>45909</c:v>
                </c:pt>
                <c:pt idx="141">
                  <c:v>45910</c:v>
                </c:pt>
                <c:pt idx="142">
                  <c:v>45911</c:v>
                </c:pt>
                <c:pt idx="143">
                  <c:v>45912</c:v>
                </c:pt>
                <c:pt idx="144">
                  <c:v>45915</c:v>
                </c:pt>
                <c:pt idx="145">
                  <c:v>45916</c:v>
                </c:pt>
                <c:pt idx="146">
                  <c:v>45917</c:v>
                </c:pt>
                <c:pt idx="147">
                  <c:v>45918</c:v>
                </c:pt>
                <c:pt idx="148">
                  <c:v>45919</c:v>
                </c:pt>
                <c:pt idx="149">
                  <c:v>45922</c:v>
                </c:pt>
                <c:pt idx="150">
                  <c:v>45923</c:v>
                </c:pt>
                <c:pt idx="151">
                  <c:v>45924</c:v>
                </c:pt>
                <c:pt idx="152">
                  <c:v>45925</c:v>
                </c:pt>
                <c:pt idx="153">
                  <c:v>45926</c:v>
                </c:pt>
                <c:pt idx="154">
                  <c:v>45929</c:v>
                </c:pt>
                <c:pt idx="155">
                  <c:v>45930</c:v>
                </c:pt>
                <c:pt idx="156">
                  <c:v>45931</c:v>
                </c:pt>
                <c:pt idx="157">
                  <c:v>45932</c:v>
                </c:pt>
                <c:pt idx="158">
                  <c:v>45933</c:v>
                </c:pt>
                <c:pt idx="159">
                  <c:v>45936</c:v>
                </c:pt>
                <c:pt idx="160">
                  <c:v>45937</c:v>
                </c:pt>
                <c:pt idx="161">
                  <c:v>45938</c:v>
                </c:pt>
                <c:pt idx="162">
                  <c:v>45939</c:v>
                </c:pt>
                <c:pt idx="163">
                  <c:v>45940</c:v>
                </c:pt>
                <c:pt idx="164">
                  <c:v>45943</c:v>
                </c:pt>
                <c:pt idx="165">
                  <c:v>45944</c:v>
                </c:pt>
                <c:pt idx="166">
                  <c:v>45945</c:v>
                </c:pt>
                <c:pt idx="167">
                  <c:v>45946</c:v>
                </c:pt>
                <c:pt idx="168">
                  <c:v>45947</c:v>
                </c:pt>
                <c:pt idx="169">
                  <c:v>45950</c:v>
                </c:pt>
                <c:pt idx="170">
                  <c:v>45951</c:v>
                </c:pt>
                <c:pt idx="171">
                  <c:v>45952</c:v>
                </c:pt>
                <c:pt idx="172">
                  <c:v>45953</c:v>
                </c:pt>
                <c:pt idx="173">
                  <c:v>45954</c:v>
                </c:pt>
                <c:pt idx="174">
                  <c:v>45957</c:v>
                </c:pt>
                <c:pt idx="175">
                  <c:v>45958</c:v>
                </c:pt>
                <c:pt idx="176">
                  <c:v>45959</c:v>
                </c:pt>
                <c:pt idx="177">
                  <c:v>45960</c:v>
                </c:pt>
                <c:pt idx="178">
                  <c:v>45961</c:v>
                </c:pt>
                <c:pt idx="179">
                  <c:v>45964</c:v>
                </c:pt>
                <c:pt idx="180">
                  <c:v>45965</c:v>
                </c:pt>
                <c:pt idx="181">
                  <c:v>45966</c:v>
                </c:pt>
                <c:pt idx="182">
                  <c:v>45967</c:v>
                </c:pt>
                <c:pt idx="183">
                  <c:v>45968</c:v>
                </c:pt>
                <c:pt idx="184">
                  <c:v>45971</c:v>
                </c:pt>
                <c:pt idx="185">
                  <c:v>45972</c:v>
                </c:pt>
                <c:pt idx="186">
                  <c:v>45973</c:v>
                </c:pt>
                <c:pt idx="187">
                  <c:v>45974</c:v>
                </c:pt>
                <c:pt idx="188">
                  <c:v>45975</c:v>
                </c:pt>
                <c:pt idx="189">
                  <c:v>45978</c:v>
                </c:pt>
                <c:pt idx="190">
                  <c:v>45979</c:v>
                </c:pt>
                <c:pt idx="191">
                  <c:v>45980</c:v>
                </c:pt>
                <c:pt idx="192">
                  <c:v>45981</c:v>
                </c:pt>
                <c:pt idx="193">
                  <c:v>45982</c:v>
                </c:pt>
                <c:pt idx="194">
                  <c:v>45985</c:v>
                </c:pt>
                <c:pt idx="195">
                  <c:v>45986</c:v>
                </c:pt>
                <c:pt idx="196">
                  <c:v>45987</c:v>
                </c:pt>
                <c:pt idx="197">
                  <c:v>45989</c:v>
                </c:pt>
                <c:pt idx="198">
                  <c:v>45992</c:v>
                </c:pt>
                <c:pt idx="199">
                  <c:v>45993</c:v>
                </c:pt>
                <c:pt idx="200">
                  <c:v>45994</c:v>
                </c:pt>
                <c:pt idx="201">
                  <c:v>45995</c:v>
                </c:pt>
                <c:pt idx="202">
                  <c:v>45996</c:v>
                </c:pt>
                <c:pt idx="203">
                  <c:v>45999</c:v>
                </c:pt>
                <c:pt idx="204">
                  <c:v>46000</c:v>
                </c:pt>
                <c:pt idx="205">
                  <c:v>46001</c:v>
                </c:pt>
                <c:pt idx="206">
                  <c:v>46002</c:v>
                </c:pt>
                <c:pt idx="207">
                  <c:v>46003</c:v>
                </c:pt>
                <c:pt idx="208">
                  <c:v>46006</c:v>
                </c:pt>
                <c:pt idx="209">
                  <c:v>46007</c:v>
                </c:pt>
                <c:pt idx="210">
                  <c:v>46008</c:v>
                </c:pt>
                <c:pt idx="211">
                  <c:v>46009</c:v>
                </c:pt>
                <c:pt idx="212">
                  <c:v>46010</c:v>
                </c:pt>
                <c:pt idx="213">
                  <c:v>46013</c:v>
                </c:pt>
                <c:pt idx="214">
                  <c:v>46014</c:v>
                </c:pt>
                <c:pt idx="215">
                  <c:v>46015</c:v>
                </c:pt>
                <c:pt idx="216">
                  <c:v>46017</c:v>
                </c:pt>
                <c:pt idx="217">
                  <c:v>46020</c:v>
                </c:pt>
                <c:pt idx="218">
                  <c:v>46021</c:v>
                </c:pt>
                <c:pt idx="219">
                  <c:v>46022</c:v>
                </c:pt>
                <c:pt idx="220">
                  <c:v>46024</c:v>
                </c:pt>
                <c:pt idx="221">
                  <c:v>46027</c:v>
                </c:pt>
                <c:pt idx="222">
                  <c:v>46028</c:v>
                </c:pt>
                <c:pt idx="223">
                  <c:v>46029</c:v>
                </c:pt>
                <c:pt idx="224">
                  <c:v>46030</c:v>
                </c:pt>
                <c:pt idx="225">
                  <c:v>46031</c:v>
                </c:pt>
                <c:pt idx="226">
                  <c:v>46034</c:v>
                </c:pt>
                <c:pt idx="227">
                  <c:v>46035</c:v>
                </c:pt>
                <c:pt idx="228">
                  <c:v>46036</c:v>
                </c:pt>
                <c:pt idx="229">
                  <c:v>46037</c:v>
                </c:pt>
                <c:pt idx="230">
                  <c:v>46038</c:v>
                </c:pt>
                <c:pt idx="231">
                  <c:v>46042</c:v>
                </c:pt>
                <c:pt idx="232">
                  <c:v>46043</c:v>
                </c:pt>
                <c:pt idx="233">
                  <c:v>46044</c:v>
                </c:pt>
                <c:pt idx="234">
                  <c:v>46045</c:v>
                </c:pt>
                <c:pt idx="235">
                  <c:v>46048</c:v>
                </c:pt>
                <c:pt idx="236">
                  <c:v>46049</c:v>
                </c:pt>
                <c:pt idx="237">
                  <c:v>46050</c:v>
                </c:pt>
                <c:pt idx="238">
                  <c:v>46051</c:v>
                </c:pt>
                <c:pt idx="239">
                  <c:v>46052</c:v>
                </c:pt>
                <c:pt idx="240">
                  <c:v>46055</c:v>
                </c:pt>
                <c:pt idx="241">
                  <c:v>46056</c:v>
                </c:pt>
                <c:pt idx="242">
                  <c:v>46057</c:v>
                </c:pt>
                <c:pt idx="243">
                  <c:v>46058</c:v>
                </c:pt>
                <c:pt idx="244">
                  <c:v>46059</c:v>
                </c:pt>
                <c:pt idx="245">
                  <c:v>46062</c:v>
                </c:pt>
                <c:pt idx="246">
                  <c:v>46063</c:v>
                </c:pt>
                <c:pt idx="247">
                  <c:v>46064</c:v>
                </c:pt>
                <c:pt idx="248">
                  <c:v>46065</c:v>
                </c:pt>
                <c:pt idx="249">
                  <c:v>46066</c:v>
                </c:pt>
              </c:numCache>
            </c:numRef>
          </c:cat>
          <c:val>
            <c:numRef>
              <c:f>Data!$C$2:$C$251</c:f>
              <c:numCache>
                <c:formatCode>_([$$-409]* #,##0.00_);_([$$-409]* \(#,##0.00\);_([$$-409]* "-"??_);_(@_)</c:formatCode>
                <c:ptCount val="250"/>
                <c:pt idx="0">
                  <c:v>154.99</c:v>
                </c:pt>
                <c:pt idx="1">
                  <c:v>157.88999999999999</c:v>
                </c:pt>
                <c:pt idx="2">
                  <c:v>159.68</c:v>
                </c:pt>
                <c:pt idx="3">
                  <c:v>162.30000000000001</c:v>
                </c:pt>
                <c:pt idx="4">
                  <c:v>163.74</c:v>
                </c:pt>
                <c:pt idx="5">
                  <c:v>166.09</c:v>
                </c:pt>
                <c:pt idx="6">
                  <c:v>163.08000000000001</c:v>
                </c:pt>
                <c:pt idx="7">
                  <c:v>163.72999999999999</c:v>
                </c:pt>
                <c:pt idx="8">
                  <c:v>165.02</c:v>
                </c:pt>
                <c:pt idx="9">
                  <c:v>167.28</c:v>
                </c:pt>
                <c:pt idx="10">
                  <c:v>165.42</c:v>
                </c:pt>
                <c:pt idx="11">
                  <c:v>165.12</c:v>
                </c:pt>
                <c:pt idx="12">
                  <c:v>165.83</c:v>
                </c:pt>
                <c:pt idx="13">
                  <c:v>166.69</c:v>
                </c:pt>
                <c:pt idx="14">
                  <c:v>167.7</c:v>
                </c:pt>
                <c:pt idx="15">
                  <c:v>165.86</c:v>
                </c:pt>
                <c:pt idx="16">
                  <c:v>162.85</c:v>
                </c:pt>
                <c:pt idx="17">
                  <c:v>162.99</c:v>
                </c:pt>
                <c:pt idx="18">
                  <c:v>162.81</c:v>
                </c:pt>
                <c:pt idx="19">
                  <c:v>162.84</c:v>
                </c:pt>
                <c:pt idx="20">
                  <c:v>164.25</c:v>
                </c:pt>
                <c:pt idx="21">
                  <c:v>162.99</c:v>
                </c:pt>
                <c:pt idx="22">
                  <c:v>163.02000000000001</c:v>
                </c:pt>
                <c:pt idx="23">
                  <c:v>163.63</c:v>
                </c:pt>
                <c:pt idx="24">
                  <c:v>163.29</c:v>
                </c:pt>
                <c:pt idx="25">
                  <c:v>161.02000000000001</c:v>
                </c:pt>
                <c:pt idx="26">
                  <c:v>161.72</c:v>
                </c:pt>
                <c:pt idx="27">
                  <c:v>163.13</c:v>
                </c:pt>
                <c:pt idx="28">
                  <c:v>163.71</c:v>
                </c:pt>
                <c:pt idx="29">
                  <c:v>165.84</c:v>
                </c:pt>
                <c:pt idx="30">
                  <c:v>153.25</c:v>
                </c:pt>
                <c:pt idx="31">
                  <c:v>155.36000000000001</c:v>
                </c:pt>
                <c:pt idx="32">
                  <c:v>159.82</c:v>
                </c:pt>
                <c:pt idx="33">
                  <c:v>153.24</c:v>
                </c:pt>
                <c:pt idx="34">
                  <c:v>150.62</c:v>
                </c:pt>
                <c:pt idx="35">
                  <c:v>150</c:v>
                </c:pt>
                <c:pt idx="36">
                  <c:v>150.97</c:v>
                </c:pt>
                <c:pt idx="37">
                  <c:v>148.69</c:v>
                </c:pt>
                <c:pt idx="38">
                  <c:v>151.72999999999999</c:v>
                </c:pt>
                <c:pt idx="39">
                  <c:v>154.36000000000001</c:v>
                </c:pt>
                <c:pt idx="40">
                  <c:v>153.62</c:v>
                </c:pt>
                <c:pt idx="41">
                  <c:v>153.91</c:v>
                </c:pt>
                <c:pt idx="42">
                  <c:v>157.47</c:v>
                </c:pt>
                <c:pt idx="43">
                  <c:v>156.91999999999999</c:v>
                </c:pt>
                <c:pt idx="44">
                  <c:v>157.75</c:v>
                </c:pt>
                <c:pt idx="45">
                  <c:v>155.38</c:v>
                </c:pt>
                <c:pt idx="46">
                  <c:v>154.93</c:v>
                </c:pt>
                <c:pt idx="47">
                  <c:v>154.58000000000001</c:v>
                </c:pt>
                <c:pt idx="48">
                  <c:v>155.35</c:v>
                </c:pt>
                <c:pt idx="49">
                  <c:v>155.91</c:v>
                </c:pt>
                <c:pt idx="50">
                  <c:v>156.31</c:v>
                </c:pt>
                <c:pt idx="51">
                  <c:v>154.46</c:v>
                </c:pt>
                <c:pt idx="52">
                  <c:v>156.12</c:v>
                </c:pt>
                <c:pt idx="53">
                  <c:v>155</c:v>
                </c:pt>
                <c:pt idx="54">
                  <c:v>154.47</c:v>
                </c:pt>
                <c:pt idx="55">
                  <c:v>157.30000000000001</c:v>
                </c:pt>
                <c:pt idx="56">
                  <c:v>155.66</c:v>
                </c:pt>
                <c:pt idx="57">
                  <c:v>154.22</c:v>
                </c:pt>
                <c:pt idx="58">
                  <c:v>154.13999999999999</c:v>
                </c:pt>
                <c:pt idx="59">
                  <c:v>148.44</c:v>
                </c:pt>
                <c:pt idx="60">
                  <c:v>146.36000000000001</c:v>
                </c:pt>
                <c:pt idx="61">
                  <c:v>149.61000000000001</c:v>
                </c:pt>
                <c:pt idx="62">
                  <c:v>151.33000000000001</c:v>
                </c:pt>
                <c:pt idx="63">
                  <c:v>152.49</c:v>
                </c:pt>
                <c:pt idx="64">
                  <c:v>153.66</c:v>
                </c:pt>
                <c:pt idx="65">
                  <c:v>153.18</c:v>
                </c:pt>
                <c:pt idx="66">
                  <c:v>152.61000000000001</c:v>
                </c:pt>
                <c:pt idx="67">
                  <c:v>152.94</c:v>
                </c:pt>
                <c:pt idx="68">
                  <c:v>153.25</c:v>
                </c:pt>
                <c:pt idx="69">
                  <c:v>152.43</c:v>
                </c:pt>
                <c:pt idx="70">
                  <c:v>153.58000000000001</c:v>
                </c:pt>
                <c:pt idx="71">
                  <c:v>155.21</c:v>
                </c:pt>
                <c:pt idx="72">
                  <c:v>155.4</c:v>
                </c:pt>
                <c:pt idx="73">
                  <c:v>154.41999999999999</c:v>
                </c:pt>
                <c:pt idx="74">
                  <c:v>153.22</c:v>
                </c:pt>
                <c:pt idx="75">
                  <c:v>153.66</c:v>
                </c:pt>
                <c:pt idx="76">
                  <c:v>155.03</c:v>
                </c:pt>
                <c:pt idx="77">
                  <c:v>155.22999999999999</c:v>
                </c:pt>
                <c:pt idx="78">
                  <c:v>156.44999999999999</c:v>
                </c:pt>
                <c:pt idx="79">
                  <c:v>155.26</c:v>
                </c:pt>
                <c:pt idx="80">
                  <c:v>156.66</c:v>
                </c:pt>
                <c:pt idx="81">
                  <c:v>157.1</c:v>
                </c:pt>
                <c:pt idx="82">
                  <c:v>155.22</c:v>
                </c:pt>
                <c:pt idx="83">
                  <c:v>152.38</c:v>
                </c:pt>
                <c:pt idx="84">
                  <c:v>150.72999999999999</c:v>
                </c:pt>
                <c:pt idx="85">
                  <c:v>149.79</c:v>
                </c:pt>
                <c:pt idx="86">
                  <c:v>151.32</c:v>
                </c:pt>
                <c:pt idx="87">
                  <c:v>152.19</c:v>
                </c:pt>
                <c:pt idx="88">
                  <c:v>152.28</c:v>
                </c:pt>
                <c:pt idx="89">
                  <c:v>152.01</c:v>
                </c:pt>
                <c:pt idx="90">
                  <c:v>152.41</c:v>
                </c:pt>
                <c:pt idx="91">
                  <c:v>152.75</c:v>
                </c:pt>
                <c:pt idx="92">
                  <c:v>155.91999999999999</c:v>
                </c:pt>
                <c:pt idx="93">
                  <c:v>155.56</c:v>
                </c:pt>
                <c:pt idx="94">
                  <c:v>156.01</c:v>
                </c:pt>
                <c:pt idx="95">
                  <c:v>155.27000000000001</c:v>
                </c:pt>
                <c:pt idx="96">
                  <c:v>155.79</c:v>
                </c:pt>
                <c:pt idx="97">
                  <c:v>156.28</c:v>
                </c:pt>
                <c:pt idx="98">
                  <c:v>157.69</c:v>
                </c:pt>
                <c:pt idx="99">
                  <c:v>156.9</c:v>
                </c:pt>
                <c:pt idx="100">
                  <c:v>156.82</c:v>
                </c:pt>
                <c:pt idx="101">
                  <c:v>155.16999999999999</c:v>
                </c:pt>
                <c:pt idx="102">
                  <c:v>164.78</c:v>
                </c:pt>
                <c:pt idx="103">
                  <c:v>162.97999999999999</c:v>
                </c:pt>
                <c:pt idx="104">
                  <c:v>163.69999999999999</c:v>
                </c:pt>
                <c:pt idx="105">
                  <c:v>164.36</c:v>
                </c:pt>
                <c:pt idx="106">
                  <c:v>167.93</c:v>
                </c:pt>
                <c:pt idx="107">
                  <c:v>169.1</c:v>
                </c:pt>
                <c:pt idx="108">
                  <c:v>169.56</c:v>
                </c:pt>
                <c:pt idx="109">
                  <c:v>168.3</c:v>
                </c:pt>
                <c:pt idx="110">
                  <c:v>166.22</c:v>
                </c:pt>
                <c:pt idx="111">
                  <c:v>168.11</c:v>
                </c:pt>
                <c:pt idx="112">
                  <c:v>167.26</c:v>
                </c:pt>
                <c:pt idx="113">
                  <c:v>164.74</c:v>
                </c:pt>
                <c:pt idx="114">
                  <c:v>167.33</c:v>
                </c:pt>
                <c:pt idx="115">
                  <c:v>171.04</c:v>
                </c:pt>
                <c:pt idx="116">
                  <c:v>170.74</c:v>
                </c:pt>
                <c:pt idx="117">
                  <c:v>170.59</c:v>
                </c:pt>
                <c:pt idx="118">
                  <c:v>171.53</c:v>
                </c:pt>
                <c:pt idx="119">
                  <c:v>173.33</c:v>
                </c:pt>
                <c:pt idx="120">
                  <c:v>173.82</c:v>
                </c:pt>
                <c:pt idx="121">
                  <c:v>172.78</c:v>
                </c:pt>
                <c:pt idx="122">
                  <c:v>174.42</c:v>
                </c:pt>
                <c:pt idx="123">
                  <c:v>174.72</c:v>
                </c:pt>
                <c:pt idx="124">
                  <c:v>176.64</c:v>
                </c:pt>
                <c:pt idx="125">
                  <c:v>176.25</c:v>
                </c:pt>
                <c:pt idx="126">
                  <c:v>177.8</c:v>
                </c:pt>
                <c:pt idx="127">
                  <c:v>178.84</c:v>
                </c:pt>
                <c:pt idx="128">
                  <c:v>178.93</c:v>
                </c:pt>
                <c:pt idx="129">
                  <c:v>179.29</c:v>
                </c:pt>
                <c:pt idx="130">
                  <c:v>178.41</c:v>
                </c:pt>
                <c:pt idx="131">
                  <c:v>176.49</c:v>
                </c:pt>
                <c:pt idx="132">
                  <c:v>176.79</c:v>
                </c:pt>
                <c:pt idx="133">
                  <c:v>175.45</c:v>
                </c:pt>
                <c:pt idx="134">
                  <c:v>177.17</c:v>
                </c:pt>
                <c:pt idx="135">
                  <c:v>178.06</c:v>
                </c:pt>
                <c:pt idx="136">
                  <c:v>178</c:v>
                </c:pt>
                <c:pt idx="137">
                  <c:v>178.76</c:v>
                </c:pt>
                <c:pt idx="138">
                  <c:v>178.43</c:v>
                </c:pt>
                <c:pt idx="139">
                  <c:v>178.13</c:v>
                </c:pt>
                <c:pt idx="140">
                  <c:v>176.96</c:v>
                </c:pt>
                <c:pt idx="141">
                  <c:v>175.79</c:v>
                </c:pt>
                <c:pt idx="142">
                  <c:v>178.5</c:v>
                </c:pt>
                <c:pt idx="143">
                  <c:v>178.06</c:v>
                </c:pt>
                <c:pt idx="144">
                  <c:v>177.4</c:v>
                </c:pt>
                <c:pt idx="145">
                  <c:v>176.46</c:v>
                </c:pt>
                <c:pt idx="146">
                  <c:v>177.2</c:v>
                </c:pt>
                <c:pt idx="147">
                  <c:v>174.16</c:v>
                </c:pt>
                <c:pt idx="148">
                  <c:v>176.19</c:v>
                </c:pt>
                <c:pt idx="149">
                  <c:v>174.21</c:v>
                </c:pt>
                <c:pt idx="150">
                  <c:v>176.58</c:v>
                </c:pt>
                <c:pt idx="151">
                  <c:v>176.69</c:v>
                </c:pt>
                <c:pt idx="152">
                  <c:v>177.73</c:v>
                </c:pt>
                <c:pt idx="153">
                  <c:v>179.71</c:v>
                </c:pt>
                <c:pt idx="154">
                  <c:v>181.62</c:v>
                </c:pt>
                <c:pt idx="155">
                  <c:v>185.42</c:v>
                </c:pt>
                <c:pt idx="156">
                  <c:v>186.05</c:v>
                </c:pt>
                <c:pt idx="157">
                  <c:v>185.98</c:v>
                </c:pt>
                <c:pt idx="158">
                  <c:v>188.64</c:v>
                </c:pt>
                <c:pt idx="159">
                  <c:v>188.16</c:v>
                </c:pt>
                <c:pt idx="160">
                  <c:v>188.89</c:v>
                </c:pt>
                <c:pt idx="161">
                  <c:v>189.69</c:v>
                </c:pt>
                <c:pt idx="162">
                  <c:v>191.08</c:v>
                </c:pt>
                <c:pt idx="163">
                  <c:v>190.72</c:v>
                </c:pt>
                <c:pt idx="164">
                  <c:v>190.9</c:v>
                </c:pt>
                <c:pt idx="165">
                  <c:v>190.85</c:v>
                </c:pt>
                <c:pt idx="166">
                  <c:v>191.17</c:v>
                </c:pt>
                <c:pt idx="167">
                  <c:v>192.12</c:v>
                </c:pt>
                <c:pt idx="168">
                  <c:v>193.22</c:v>
                </c:pt>
                <c:pt idx="169">
                  <c:v>193.72</c:v>
                </c:pt>
                <c:pt idx="170">
                  <c:v>191.88</c:v>
                </c:pt>
                <c:pt idx="171">
                  <c:v>192.94</c:v>
                </c:pt>
                <c:pt idx="172">
                  <c:v>192.47</c:v>
                </c:pt>
                <c:pt idx="173">
                  <c:v>190.4</c:v>
                </c:pt>
                <c:pt idx="174">
                  <c:v>190.3</c:v>
                </c:pt>
                <c:pt idx="175">
                  <c:v>186.93</c:v>
                </c:pt>
                <c:pt idx="176">
                  <c:v>186.6</c:v>
                </c:pt>
                <c:pt idx="177">
                  <c:v>189.05</c:v>
                </c:pt>
                <c:pt idx="178">
                  <c:v>188.87</c:v>
                </c:pt>
                <c:pt idx="179">
                  <c:v>186.26</c:v>
                </c:pt>
                <c:pt idx="180">
                  <c:v>186.86</c:v>
                </c:pt>
                <c:pt idx="181">
                  <c:v>186</c:v>
                </c:pt>
                <c:pt idx="182">
                  <c:v>186.97</c:v>
                </c:pt>
                <c:pt idx="183">
                  <c:v>186.57</c:v>
                </c:pt>
                <c:pt idx="184">
                  <c:v>188.41</c:v>
                </c:pt>
                <c:pt idx="185">
                  <c:v>193.83</c:v>
                </c:pt>
                <c:pt idx="186">
                  <c:v>194.39</c:v>
                </c:pt>
                <c:pt idx="187">
                  <c:v>195.25</c:v>
                </c:pt>
                <c:pt idx="188">
                  <c:v>195.93</c:v>
                </c:pt>
                <c:pt idx="189">
                  <c:v>199.58</c:v>
                </c:pt>
                <c:pt idx="190">
                  <c:v>200</c:v>
                </c:pt>
                <c:pt idx="191">
                  <c:v>202.51</c:v>
                </c:pt>
                <c:pt idx="192">
                  <c:v>203.07</c:v>
                </c:pt>
                <c:pt idx="193">
                  <c:v>203.9</c:v>
                </c:pt>
                <c:pt idx="194">
                  <c:v>206.05</c:v>
                </c:pt>
                <c:pt idx="195">
                  <c:v>206.67</c:v>
                </c:pt>
                <c:pt idx="196">
                  <c:v>207.56</c:v>
                </c:pt>
                <c:pt idx="197">
                  <c:v>206.92</c:v>
                </c:pt>
                <c:pt idx="198">
                  <c:v>205.34</c:v>
                </c:pt>
                <c:pt idx="199">
                  <c:v>205.42</c:v>
                </c:pt>
                <c:pt idx="200">
                  <c:v>205.33</c:v>
                </c:pt>
                <c:pt idx="201">
                  <c:v>202.48</c:v>
                </c:pt>
                <c:pt idx="202">
                  <c:v>201.93</c:v>
                </c:pt>
                <c:pt idx="203">
                  <c:v>201.62</c:v>
                </c:pt>
                <c:pt idx="204">
                  <c:v>199.96</c:v>
                </c:pt>
                <c:pt idx="205">
                  <c:v>206.54</c:v>
                </c:pt>
                <c:pt idx="206">
                  <c:v>210.01</c:v>
                </c:pt>
                <c:pt idx="207">
                  <c:v>211.58</c:v>
                </c:pt>
                <c:pt idx="208">
                  <c:v>214.17</c:v>
                </c:pt>
                <c:pt idx="209">
                  <c:v>209.3</c:v>
                </c:pt>
                <c:pt idx="210">
                  <c:v>210.33</c:v>
                </c:pt>
                <c:pt idx="211">
                  <c:v>208.31</c:v>
                </c:pt>
                <c:pt idx="212">
                  <c:v>206.37</c:v>
                </c:pt>
                <c:pt idx="213">
                  <c:v>207.32</c:v>
                </c:pt>
                <c:pt idx="214">
                  <c:v>205.78</c:v>
                </c:pt>
                <c:pt idx="215">
                  <c:v>207.78</c:v>
                </c:pt>
                <c:pt idx="216">
                  <c:v>207.63</c:v>
                </c:pt>
                <c:pt idx="217">
                  <c:v>207.56</c:v>
                </c:pt>
                <c:pt idx="218">
                  <c:v>206.91</c:v>
                </c:pt>
                <c:pt idx="219">
                  <c:v>206.95</c:v>
                </c:pt>
                <c:pt idx="220">
                  <c:v>207.35</c:v>
                </c:pt>
                <c:pt idx="221">
                  <c:v>204.31</c:v>
                </c:pt>
                <c:pt idx="222">
                  <c:v>204.79</c:v>
                </c:pt>
                <c:pt idx="223">
                  <c:v>207.49</c:v>
                </c:pt>
                <c:pt idx="224">
                  <c:v>205.75</c:v>
                </c:pt>
                <c:pt idx="225">
                  <c:v>204.39</c:v>
                </c:pt>
                <c:pt idx="226">
                  <c:v>209.72</c:v>
                </c:pt>
                <c:pt idx="227">
                  <c:v>213.65</c:v>
                </c:pt>
                <c:pt idx="228">
                  <c:v>218.55</c:v>
                </c:pt>
                <c:pt idx="229">
                  <c:v>219.57</c:v>
                </c:pt>
                <c:pt idx="230">
                  <c:v>218.66</c:v>
                </c:pt>
                <c:pt idx="231">
                  <c:v>218.21</c:v>
                </c:pt>
                <c:pt idx="232">
                  <c:v>218.01</c:v>
                </c:pt>
                <c:pt idx="233">
                  <c:v>218.49</c:v>
                </c:pt>
                <c:pt idx="234">
                  <c:v>220.14</c:v>
                </c:pt>
                <c:pt idx="235">
                  <c:v>221.49</c:v>
                </c:pt>
                <c:pt idx="236">
                  <c:v>224.44</c:v>
                </c:pt>
                <c:pt idx="237">
                  <c:v>227.72</c:v>
                </c:pt>
                <c:pt idx="238">
                  <c:v>227.29</c:v>
                </c:pt>
                <c:pt idx="239">
                  <c:v>227.25</c:v>
                </c:pt>
                <c:pt idx="240">
                  <c:v>230.75</c:v>
                </c:pt>
                <c:pt idx="241">
                  <c:v>233.1</c:v>
                </c:pt>
                <c:pt idx="242">
                  <c:v>234.47</c:v>
                </c:pt>
                <c:pt idx="243">
                  <c:v>237.79</c:v>
                </c:pt>
                <c:pt idx="244">
                  <c:v>239.99</c:v>
                </c:pt>
                <c:pt idx="245">
                  <c:v>238.64</c:v>
                </c:pt>
                <c:pt idx="246">
                  <c:v>238.35</c:v>
                </c:pt>
                <c:pt idx="247">
                  <c:v>240.86</c:v>
                </c:pt>
                <c:pt idx="248">
                  <c:v>244.55</c:v>
                </c:pt>
                <c:pt idx="249">
                  <c:v>243.45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63-47DE-B018-245890E71849}"/>
            </c:ext>
          </c:extLst>
        </c:ser>
        <c:ser>
          <c:idx val="1"/>
          <c:order val="1"/>
          <c:tx>
            <c:strRef>
              <c:f>Data!$F$1</c:f>
              <c:strCache>
                <c:ptCount val="1"/>
                <c:pt idx="0">
                  <c:v>VWAP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Data!$B$2:$B$251</c:f>
              <c:numCache>
                <c:formatCode>m/d/yyyy</c:formatCode>
                <c:ptCount val="250"/>
                <c:pt idx="0">
                  <c:v>45706</c:v>
                </c:pt>
                <c:pt idx="1">
                  <c:v>45707</c:v>
                </c:pt>
                <c:pt idx="2">
                  <c:v>45708</c:v>
                </c:pt>
                <c:pt idx="3">
                  <c:v>45709</c:v>
                </c:pt>
                <c:pt idx="4">
                  <c:v>45712</c:v>
                </c:pt>
                <c:pt idx="5">
                  <c:v>45713</c:v>
                </c:pt>
                <c:pt idx="6">
                  <c:v>45714</c:v>
                </c:pt>
                <c:pt idx="7">
                  <c:v>45715</c:v>
                </c:pt>
                <c:pt idx="8">
                  <c:v>45716</c:v>
                </c:pt>
                <c:pt idx="9">
                  <c:v>45719</c:v>
                </c:pt>
                <c:pt idx="10">
                  <c:v>45720</c:v>
                </c:pt>
                <c:pt idx="11">
                  <c:v>45721</c:v>
                </c:pt>
                <c:pt idx="12">
                  <c:v>45722</c:v>
                </c:pt>
                <c:pt idx="13">
                  <c:v>45723</c:v>
                </c:pt>
                <c:pt idx="14">
                  <c:v>45726</c:v>
                </c:pt>
                <c:pt idx="15">
                  <c:v>45727</c:v>
                </c:pt>
                <c:pt idx="16">
                  <c:v>45728</c:v>
                </c:pt>
                <c:pt idx="17">
                  <c:v>45729</c:v>
                </c:pt>
                <c:pt idx="18">
                  <c:v>45730</c:v>
                </c:pt>
                <c:pt idx="19">
                  <c:v>45733</c:v>
                </c:pt>
                <c:pt idx="20">
                  <c:v>45734</c:v>
                </c:pt>
                <c:pt idx="21">
                  <c:v>45735</c:v>
                </c:pt>
                <c:pt idx="22">
                  <c:v>45736</c:v>
                </c:pt>
                <c:pt idx="23">
                  <c:v>45737</c:v>
                </c:pt>
                <c:pt idx="24">
                  <c:v>45740</c:v>
                </c:pt>
                <c:pt idx="25">
                  <c:v>45741</c:v>
                </c:pt>
                <c:pt idx="26">
                  <c:v>45742</c:v>
                </c:pt>
                <c:pt idx="27">
                  <c:v>45743</c:v>
                </c:pt>
                <c:pt idx="28">
                  <c:v>45744</c:v>
                </c:pt>
                <c:pt idx="29">
                  <c:v>45747</c:v>
                </c:pt>
                <c:pt idx="30">
                  <c:v>45748</c:v>
                </c:pt>
                <c:pt idx="31">
                  <c:v>45749</c:v>
                </c:pt>
                <c:pt idx="32">
                  <c:v>45750</c:v>
                </c:pt>
                <c:pt idx="33">
                  <c:v>45751</c:v>
                </c:pt>
                <c:pt idx="34">
                  <c:v>45754</c:v>
                </c:pt>
                <c:pt idx="35">
                  <c:v>45755</c:v>
                </c:pt>
                <c:pt idx="36">
                  <c:v>45756</c:v>
                </c:pt>
                <c:pt idx="37">
                  <c:v>45757</c:v>
                </c:pt>
                <c:pt idx="38">
                  <c:v>45758</c:v>
                </c:pt>
                <c:pt idx="39">
                  <c:v>45761</c:v>
                </c:pt>
                <c:pt idx="40">
                  <c:v>45762</c:v>
                </c:pt>
                <c:pt idx="41">
                  <c:v>45763</c:v>
                </c:pt>
                <c:pt idx="42">
                  <c:v>45764</c:v>
                </c:pt>
                <c:pt idx="43">
                  <c:v>45768</c:v>
                </c:pt>
                <c:pt idx="44">
                  <c:v>45769</c:v>
                </c:pt>
                <c:pt idx="45">
                  <c:v>45770</c:v>
                </c:pt>
                <c:pt idx="46">
                  <c:v>45771</c:v>
                </c:pt>
                <c:pt idx="47">
                  <c:v>45772</c:v>
                </c:pt>
                <c:pt idx="48">
                  <c:v>45775</c:v>
                </c:pt>
                <c:pt idx="49">
                  <c:v>45776</c:v>
                </c:pt>
                <c:pt idx="50">
                  <c:v>45777</c:v>
                </c:pt>
                <c:pt idx="51">
                  <c:v>45778</c:v>
                </c:pt>
                <c:pt idx="52">
                  <c:v>45779</c:v>
                </c:pt>
                <c:pt idx="53">
                  <c:v>45782</c:v>
                </c:pt>
                <c:pt idx="54">
                  <c:v>45783</c:v>
                </c:pt>
                <c:pt idx="55">
                  <c:v>45784</c:v>
                </c:pt>
                <c:pt idx="56">
                  <c:v>45785</c:v>
                </c:pt>
                <c:pt idx="57">
                  <c:v>45786</c:v>
                </c:pt>
                <c:pt idx="58">
                  <c:v>45789</c:v>
                </c:pt>
                <c:pt idx="59">
                  <c:v>45790</c:v>
                </c:pt>
                <c:pt idx="60">
                  <c:v>45791</c:v>
                </c:pt>
                <c:pt idx="61">
                  <c:v>45792</c:v>
                </c:pt>
                <c:pt idx="62">
                  <c:v>45793</c:v>
                </c:pt>
                <c:pt idx="63">
                  <c:v>45796</c:v>
                </c:pt>
                <c:pt idx="64">
                  <c:v>45797</c:v>
                </c:pt>
                <c:pt idx="65">
                  <c:v>45798</c:v>
                </c:pt>
                <c:pt idx="66">
                  <c:v>45799</c:v>
                </c:pt>
                <c:pt idx="67">
                  <c:v>45800</c:v>
                </c:pt>
                <c:pt idx="68">
                  <c:v>45804</c:v>
                </c:pt>
                <c:pt idx="69">
                  <c:v>45805</c:v>
                </c:pt>
                <c:pt idx="70">
                  <c:v>45806</c:v>
                </c:pt>
                <c:pt idx="71">
                  <c:v>45807</c:v>
                </c:pt>
                <c:pt idx="72">
                  <c:v>45810</c:v>
                </c:pt>
                <c:pt idx="73">
                  <c:v>45811</c:v>
                </c:pt>
                <c:pt idx="74">
                  <c:v>45812</c:v>
                </c:pt>
                <c:pt idx="75">
                  <c:v>45813</c:v>
                </c:pt>
                <c:pt idx="76">
                  <c:v>45814</c:v>
                </c:pt>
                <c:pt idx="77">
                  <c:v>45817</c:v>
                </c:pt>
                <c:pt idx="78">
                  <c:v>45818</c:v>
                </c:pt>
                <c:pt idx="79">
                  <c:v>45819</c:v>
                </c:pt>
                <c:pt idx="80">
                  <c:v>45820</c:v>
                </c:pt>
                <c:pt idx="81">
                  <c:v>45821</c:v>
                </c:pt>
                <c:pt idx="82">
                  <c:v>45824</c:v>
                </c:pt>
                <c:pt idx="83">
                  <c:v>45825</c:v>
                </c:pt>
                <c:pt idx="84">
                  <c:v>45826</c:v>
                </c:pt>
                <c:pt idx="85">
                  <c:v>45828</c:v>
                </c:pt>
                <c:pt idx="86">
                  <c:v>45831</c:v>
                </c:pt>
                <c:pt idx="87">
                  <c:v>45832</c:v>
                </c:pt>
                <c:pt idx="88">
                  <c:v>45833</c:v>
                </c:pt>
                <c:pt idx="89">
                  <c:v>45834</c:v>
                </c:pt>
                <c:pt idx="90">
                  <c:v>45835</c:v>
                </c:pt>
                <c:pt idx="91">
                  <c:v>45838</c:v>
                </c:pt>
                <c:pt idx="92">
                  <c:v>45839</c:v>
                </c:pt>
                <c:pt idx="93">
                  <c:v>45840</c:v>
                </c:pt>
                <c:pt idx="94">
                  <c:v>45841</c:v>
                </c:pt>
                <c:pt idx="95">
                  <c:v>45845</c:v>
                </c:pt>
                <c:pt idx="96">
                  <c:v>45846</c:v>
                </c:pt>
                <c:pt idx="97">
                  <c:v>45847</c:v>
                </c:pt>
                <c:pt idx="98">
                  <c:v>45848</c:v>
                </c:pt>
                <c:pt idx="99">
                  <c:v>45849</c:v>
                </c:pt>
                <c:pt idx="100">
                  <c:v>45852</c:v>
                </c:pt>
                <c:pt idx="101">
                  <c:v>45853</c:v>
                </c:pt>
                <c:pt idx="102">
                  <c:v>45854</c:v>
                </c:pt>
                <c:pt idx="103">
                  <c:v>45855</c:v>
                </c:pt>
                <c:pt idx="104">
                  <c:v>45856</c:v>
                </c:pt>
                <c:pt idx="105">
                  <c:v>45859</c:v>
                </c:pt>
                <c:pt idx="106">
                  <c:v>45860</c:v>
                </c:pt>
                <c:pt idx="107">
                  <c:v>45861</c:v>
                </c:pt>
                <c:pt idx="108">
                  <c:v>45862</c:v>
                </c:pt>
                <c:pt idx="109">
                  <c:v>45863</c:v>
                </c:pt>
                <c:pt idx="110">
                  <c:v>45866</c:v>
                </c:pt>
                <c:pt idx="111">
                  <c:v>45867</c:v>
                </c:pt>
                <c:pt idx="112">
                  <c:v>45868</c:v>
                </c:pt>
                <c:pt idx="113">
                  <c:v>45869</c:v>
                </c:pt>
                <c:pt idx="114">
                  <c:v>45870</c:v>
                </c:pt>
                <c:pt idx="115">
                  <c:v>45873</c:v>
                </c:pt>
                <c:pt idx="116">
                  <c:v>45874</c:v>
                </c:pt>
                <c:pt idx="117">
                  <c:v>45875</c:v>
                </c:pt>
                <c:pt idx="118">
                  <c:v>45876</c:v>
                </c:pt>
                <c:pt idx="119">
                  <c:v>45877</c:v>
                </c:pt>
                <c:pt idx="120">
                  <c:v>45880</c:v>
                </c:pt>
                <c:pt idx="121">
                  <c:v>45881</c:v>
                </c:pt>
                <c:pt idx="122">
                  <c:v>45882</c:v>
                </c:pt>
                <c:pt idx="123">
                  <c:v>45883</c:v>
                </c:pt>
                <c:pt idx="124">
                  <c:v>45884</c:v>
                </c:pt>
                <c:pt idx="125">
                  <c:v>45887</c:v>
                </c:pt>
                <c:pt idx="126">
                  <c:v>45888</c:v>
                </c:pt>
                <c:pt idx="127">
                  <c:v>45889</c:v>
                </c:pt>
                <c:pt idx="128">
                  <c:v>45890</c:v>
                </c:pt>
                <c:pt idx="129">
                  <c:v>45891</c:v>
                </c:pt>
                <c:pt idx="130">
                  <c:v>45894</c:v>
                </c:pt>
                <c:pt idx="131">
                  <c:v>45895</c:v>
                </c:pt>
                <c:pt idx="132">
                  <c:v>45896</c:v>
                </c:pt>
                <c:pt idx="133">
                  <c:v>45897</c:v>
                </c:pt>
                <c:pt idx="134">
                  <c:v>45898</c:v>
                </c:pt>
                <c:pt idx="135">
                  <c:v>45902</c:v>
                </c:pt>
                <c:pt idx="136">
                  <c:v>45903</c:v>
                </c:pt>
                <c:pt idx="137">
                  <c:v>45904</c:v>
                </c:pt>
                <c:pt idx="138">
                  <c:v>45905</c:v>
                </c:pt>
                <c:pt idx="139">
                  <c:v>45908</c:v>
                </c:pt>
                <c:pt idx="140">
                  <c:v>45909</c:v>
                </c:pt>
                <c:pt idx="141">
                  <c:v>45910</c:v>
                </c:pt>
                <c:pt idx="142">
                  <c:v>45911</c:v>
                </c:pt>
                <c:pt idx="143">
                  <c:v>45912</c:v>
                </c:pt>
                <c:pt idx="144">
                  <c:v>45915</c:v>
                </c:pt>
                <c:pt idx="145">
                  <c:v>45916</c:v>
                </c:pt>
                <c:pt idx="146">
                  <c:v>45917</c:v>
                </c:pt>
                <c:pt idx="147">
                  <c:v>45918</c:v>
                </c:pt>
                <c:pt idx="148">
                  <c:v>45919</c:v>
                </c:pt>
                <c:pt idx="149">
                  <c:v>45922</c:v>
                </c:pt>
                <c:pt idx="150">
                  <c:v>45923</c:v>
                </c:pt>
                <c:pt idx="151">
                  <c:v>45924</c:v>
                </c:pt>
                <c:pt idx="152">
                  <c:v>45925</c:v>
                </c:pt>
                <c:pt idx="153">
                  <c:v>45926</c:v>
                </c:pt>
                <c:pt idx="154">
                  <c:v>45929</c:v>
                </c:pt>
                <c:pt idx="155">
                  <c:v>45930</c:v>
                </c:pt>
                <c:pt idx="156">
                  <c:v>45931</c:v>
                </c:pt>
                <c:pt idx="157">
                  <c:v>45932</c:v>
                </c:pt>
                <c:pt idx="158">
                  <c:v>45933</c:v>
                </c:pt>
                <c:pt idx="159">
                  <c:v>45936</c:v>
                </c:pt>
                <c:pt idx="160">
                  <c:v>45937</c:v>
                </c:pt>
                <c:pt idx="161">
                  <c:v>45938</c:v>
                </c:pt>
                <c:pt idx="162">
                  <c:v>45939</c:v>
                </c:pt>
                <c:pt idx="163">
                  <c:v>45940</c:v>
                </c:pt>
                <c:pt idx="164">
                  <c:v>45943</c:v>
                </c:pt>
                <c:pt idx="165">
                  <c:v>45944</c:v>
                </c:pt>
                <c:pt idx="166">
                  <c:v>45945</c:v>
                </c:pt>
                <c:pt idx="167">
                  <c:v>45946</c:v>
                </c:pt>
                <c:pt idx="168">
                  <c:v>45947</c:v>
                </c:pt>
                <c:pt idx="169">
                  <c:v>45950</c:v>
                </c:pt>
                <c:pt idx="170">
                  <c:v>45951</c:v>
                </c:pt>
                <c:pt idx="171">
                  <c:v>45952</c:v>
                </c:pt>
                <c:pt idx="172">
                  <c:v>45953</c:v>
                </c:pt>
                <c:pt idx="173">
                  <c:v>45954</c:v>
                </c:pt>
                <c:pt idx="174">
                  <c:v>45957</c:v>
                </c:pt>
                <c:pt idx="175">
                  <c:v>45958</c:v>
                </c:pt>
                <c:pt idx="176">
                  <c:v>45959</c:v>
                </c:pt>
                <c:pt idx="177">
                  <c:v>45960</c:v>
                </c:pt>
                <c:pt idx="178">
                  <c:v>45961</c:v>
                </c:pt>
                <c:pt idx="179">
                  <c:v>45964</c:v>
                </c:pt>
                <c:pt idx="180">
                  <c:v>45965</c:v>
                </c:pt>
                <c:pt idx="181">
                  <c:v>45966</c:v>
                </c:pt>
                <c:pt idx="182">
                  <c:v>45967</c:v>
                </c:pt>
                <c:pt idx="183">
                  <c:v>45968</c:v>
                </c:pt>
                <c:pt idx="184">
                  <c:v>45971</c:v>
                </c:pt>
                <c:pt idx="185">
                  <c:v>45972</c:v>
                </c:pt>
                <c:pt idx="186">
                  <c:v>45973</c:v>
                </c:pt>
                <c:pt idx="187">
                  <c:v>45974</c:v>
                </c:pt>
                <c:pt idx="188">
                  <c:v>45975</c:v>
                </c:pt>
                <c:pt idx="189">
                  <c:v>45978</c:v>
                </c:pt>
                <c:pt idx="190">
                  <c:v>45979</c:v>
                </c:pt>
                <c:pt idx="191">
                  <c:v>45980</c:v>
                </c:pt>
                <c:pt idx="192">
                  <c:v>45981</c:v>
                </c:pt>
                <c:pt idx="193">
                  <c:v>45982</c:v>
                </c:pt>
                <c:pt idx="194">
                  <c:v>45985</c:v>
                </c:pt>
                <c:pt idx="195">
                  <c:v>45986</c:v>
                </c:pt>
                <c:pt idx="196">
                  <c:v>45987</c:v>
                </c:pt>
                <c:pt idx="197">
                  <c:v>45989</c:v>
                </c:pt>
                <c:pt idx="198">
                  <c:v>45992</c:v>
                </c:pt>
                <c:pt idx="199">
                  <c:v>45993</c:v>
                </c:pt>
                <c:pt idx="200">
                  <c:v>45994</c:v>
                </c:pt>
                <c:pt idx="201">
                  <c:v>45995</c:v>
                </c:pt>
                <c:pt idx="202">
                  <c:v>45996</c:v>
                </c:pt>
                <c:pt idx="203">
                  <c:v>45999</c:v>
                </c:pt>
                <c:pt idx="204">
                  <c:v>46000</c:v>
                </c:pt>
                <c:pt idx="205">
                  <c:v>46001</c:v>
                </c:pt>
                <c:pt idx="206">
                  <c:v>46002</c:v>
                </c:pt>
                <c:pt idx="207">
                  <c:v>46003</c:v>
                </c:pt>
                <c:pt idx="208">
                  <c:v>46006</c:v>
                </c:pt>
                <c:pt idx="209">
                  <c:v>46007</c:v>
                </c:pt>
                <c:pt idx="210">
                  <c:v>46008</c:v>
                </c:pt>
                <c:pt idx="211">
                  <c:v>46009</c:v>
                </c:pt>
                <c:pt idx="212">
                  <c:v>46010</c:v>
                </c:pt>
                <c:pt idx="213">
                  <c:v>46013</c:v>
                </c:pt>
                <c:pt idx="214">
                  <c:v>46014</c:v>
                </c:pt>
                <c:pt idx="215">
                  <c:v>46015</c:v>
                </c:pt>
                <c:pt idx="216">
                  <c:v>46017</c:v>
                </c:pt>
                <c:pt idx="217">
                  <c:v>46020</c:v>
                </c:pt>
                <c:pt idx="218">
                  <c:v>46021</c:v>
                </c:pt>
                <c:pt idx="219">
                  <c:v>46022</c:v>
                </c:pt>
                <c:pt idx="220">
                  <c:v>46024</c:v>
                </c:pt>
                <c:pt idx="221">
                  <c:v>46027</c:v>
                </c:pt>
                <c:pt idx="222">
                  <c:v>46028</c:v>
                </c:pt>
                <c:pt idx="223">
                  <c:v>46029</c:v>
                </c:pt>
                <c:pt idx="224">
                  <c:v>46030</c:v>
                </c:pt>
                <c:pt idx="225">
                  <c:v>46031</c:v>
                </c:pt>
                <c:pt idx="226">
                  <c:v>46034</c:v>
                </c:pt>
                <c:pt idx="227">
                  <c:v>46035</c:v>
                </c:pt>
                <c:pt idx="228">
                  <c:v>46036</c:v>
                </c:pt>
                <c:pt idx="229">
                  <c:v>46037</c:v>
                </c:pt>
                <c:pt idx="230">
                  <c:v>46038</c:v>
                </c:pt>
                <c:pt idx="231">
                  <c:v>46042</c:v>
                </c:pt>
                <c:pt idx="232">
                  <c:v>46043</c:v>
                </c:pt>
                <c:pt idx="233">
                  <c:v>46044</c:v>
                </c:pt>
                <c:pt idx="234">
                  <c:v>46045</c:v>
                </c:pt>
                <c:pt idx="235">
                  <c:v>46048</c:v>
                </c:pt>
                <c:pt idx="236">
                  <c:v>46049</c:v>
                </c:pt>
                <c:pt idx="237">
                  <c:v>46050</c:v>
                </c:pt>
                <c:pt idx="238">
                  <c:v>46051</c:v>
                </c:pt>
                <c:pt idx="239">
                  <c:v>46052</c:v>
                </c:pt>
                <c:pt idx="240">
                  <c:v>46055</c:v>
                </c:pt>
                <c:pt idx="241">
                  <c:v>46056</c:v>
                </c:pt>
                <c:pt idx="242">
                  <c:v>46057</c:v>
                </c:pt>
                <c:pt idx="243">
                  <c:v>46058</c:v>
                </c:pt>
                <c:pt idx="244">
                  <c:v>46059</c:v>
                </c:pt>
                <c:pt idx="245">
                  <c:v>46062</c:v>
                </c:pt>
                <c:pt idx="246">
                  <c:v>46063</c:v>
                </c:pt>
                <c:pt idx="247">
                  <c:v>46064</c:v>
                </c:pt>
                <c:pt idx="248">
                  <c:v>46065</c:v>
                </c:pt>
                <c:pt idx="249">
                  <c:v>46066</c:v>
                </c:pt>
              </c:numCache>
            </c:numRef>
          </c:cat>
          <c:val>
            <c:numRef>
              <c:f>Data!$F$2:$F$251</c:f>
              <c:numCache>
                <c:formatCode>General</c:formatCode>
                <c:ptCount val="250"/>
                <c:pt idx="0">
                  <c:v>154.99</c:v>
                </c:pt>
                <c:pt idx="1">
                  <c:v>156.30063866925494</c:v>
                </c:pt>
                <c:pt idx="2">
                  <c:v>157.28227011418804</c:v>
                </c:pt>
                <c:pt idx="3">
                  <c:v>158.96487947048183</c:v>
                </c:pt>
                <c:pt idx="4">
                  <c:v>159.98791922617099</c:v>
                </c:pt>
                <c:pt idx="5">
                  <c:v>161.24085127545965</c:v>
                </c:pt>
                <c:pt idx="6">
                  <c:v>161.53474036544605</c:v>
                </c:pt>
                <c:pt idx="7">
                  <c:v>161.76518375976292</c:v>
                </c:pt>
                <c:pt idx="8">
                  <c:v>162.19234706021939</c:v>
                </c:pt>
                <c:pt idx="9">
                  <c:v>162.65575139352592</c:v>
                </c:pt>
                <c:pt idx="10">
                  <c:v>162.94952831392072</c:v>
                </c:pt>
                <c:pt idx="11">
                  <c:v>163.10554817488642</c:v>
                </c:pt>
                <c:pt idx="12">
                  <c:v>163.27439727770277</c:v>
                </c:pt>
                <c:pt idx="13">
                  <c:v>163.51065393670822</c:v>
                </c:pt>
                <c:pt idx="14">
                  <c:v>163.97951773120579</c:v>
                </c:pt>
                <c:pt idx="15">
                  <c:v>164.09103572201863</c:v>
                </c:pt>
                <c:pt idx="16">
                  <c:v>164.03415944449011</c:v>
                </c:pt>
                <c:pt idx="17">
                  <c:v>164.00350522245805</c:v>
                </c:pt>
                <c:pt idx="18">
                  <c:v>163.96355970387273</c:v>
                </c:pt>
                <c:pt idx="19">
                  <c:v>163.92472800319857</c:v>
                </c:pt>
                <c:pt idx="20">
                  <c:v>163.93666015588849</c:v>
                </c:pt>
                <c:pt idx="21">
                  <c:v>163.90941450051818</c:v>
                </c:pt>
                <c:pt idx="22">
                  <c:v>163.87826647121253</c:v>
                </c:pt>
                <c:pt idx="23">
                  <c:v>163.8599295641082</c:v>
                </c:pt>
                <c:pt idx="24">
                  <c:v>163.84072934889122</c:v>
                </c:pt>
                <c:pt idx="25">
                  <c:v>163.75534011907664</c:v>
                </c:pt>
                <c:pt idx="26">
                  <c:v>163.69734767233146</c:v>
                </c:pt>
                <c:pt idx="27">
                  <c:v>163.68262907297719</c:v>
                </c:pt>
                <c:pt idx="28">
                  <c:v>163.68322172660217</c:v>
                </c:pt>
                <c:pt idx="29">
                  <c:v>163.77987248558236</c:v>
                </c:pt>
                <c:pt idx="30">
                  <c:v>162.96689758219233</c:v>
                </c:pt>
                <c:pt idx="31">
                  <c:v>162.71453395572709</c:v>
                </c:pt>
                <c:pt idx="32">
                  <c:v>162.5966894760721</c:v>
                </c:pt>
                <c:pt idx="33">
                  <c:v>162.14253438351793</c:v>
                </c:pt>
                <c:pt idx="34">
                  <c:v>161.56394049304012</c:v>
                </c:pt>
                <c:pt idx="35">
                  <c:v>161.19047603396319</c:v>
                </c:pt>
                <c:pt idx="36">
                  <c:v>160.69963109180753</c:v>
                </c:pt>
                <c:pt idx="37">
                  <c:v>160.28924819136796</c:v>
                </c:pt>
                <c:pt idx="38">
                  <c:v>160.08400356779632</c:v>
                </c:pt>
                <c:pt idx="39">
                  <c:v>159.94021616189156</c:v>
                </c:pt>
                <c:pt idx="40">
                  <c:v>159.78304819448365</c:v>
                </c:pt>
                <c:pt idx="41">
                  <c:v>159.67744440176696</c:v>
                </c:pt>
                <c:pt idx="42">
                  <c:v>159.62419129133545</c:v>
                </c:pt>
                <c:pt idx="43">
                  <c:v>159.58735908825079</c:v>
                </c:pt>
                <c:pt idx="44">
                  <c:v>159.55937839203932</c:v>
                </c:pt>
                <c:pt idx="45">
                  <c:v>159.4797690453604</c:v>
                </c:pt>
                <c:pt idx="46">
                  <c:v>159.40197252761479</c:v>
                </c:pt>
                <c:pt idx="47">
                  <c:v>159.31771140045709</c:v>
                </c:pt>
                <c:pt idx="48">
                  <c:v>159.27160949507333</c:v>
                </c:pt>
                <c:pt idx="49">
                  <c:v>159.23673386414154</c:v>
                </c:pt>
                <c:pt idx="50">
                  <c:v>159.18222184178916</c:v>
                </c:pt>
                <c:pt idx="51">
                  <c:v>159.11603142391925</c:v>
                </c:pt>
                <c:pt idx="52">
                  <c:v>159.08217000483546</c:v>
                </c:pt>
                <c:pt idx="53">
                  <c:v>159.04040339455659</c:v>
                </c:pt>
                <c:pt idx="54">
                  <c:v>158.96760965264895</c:v>
                </c:pt>
                <c:pt idx="55">
                  <c:v>158.94382117847113</c:v>
                </c:pt>
                <c:pt idx="56">
                  <c:v>158.89907477364966</c:v>
                </c:pt>
                <c:pt idx="57">
                  <c:v>158.84504780129498</c:v>
                </c:pt>
                <c:pt idx="58">
                  <c:v>158.77104624463976</c:v>
                </c:pt>
                <c:pt idx="59">
                  <c:v>158.58451319292737</c:v>
                </c:pt>
                <c:pt idx="60">
                  <c:v>158.3744462436149</c:v>
                </c:pt>
                <c:pt idx="61">
                  <c:v>158.25885056864695</c:v>
                </c:pt>
                <c:pt idx="62">
                  <c:v>158.16747400341427</c:v>
                </c:pt>
                <c:pt idx="63">
                  <c:v>158.0523101457388</c:v>
                </c:pt>
                <c:pt idx="64">
                  <c:v>158.00109619971707</c:v>
                </c:pt>
                <c:pt idx="65">
                  <c:v>157.94791677948243</c:v>
                </c:pt>
                <c:pt idx="66">
                  <c:v>157.88556106467755</c:v>
                </c:pt>
                <c:pt idx="67">
                  <c:v>157.83451435785182</c:v>
                </c:pt>
                <c:pt idx="68">
                  <c:v>157.78586508450866</c:v>
                </c:pt>
                <c:pt idx="69">
                  <c:v>157.71796254160137</c:v>
                </c:pt>
                <c:pt idx="70">
                  <c:v>157.67614995358076</c:v>
                </c:pt>
                <c:pt idx="71">
                  <c:v>157.62061053540941</c:v>
                </c:pt>
                <c:pt idx="72">
                  <c:v>157.59933822625521</c:v>
                </c:pt>
                <c:pt idx="73">
                  <c:v>157.56228602829358</c:v>
                </c:pt>
                <c:pt idx="74">
                  <c:v>157.51965982758026</c:v>
                </c:pt>
                <c:pt idx="75">
                  <c:v>157.49113916098557</c:v>
                </c:pt>
                <c:pt idx="76">
                  <c:v>157.4727627844612</c:v>
                </c:pt>
                <c:pt idx="77">
                  <c:v>157.45636324735378</c:v>
                </c:pt>
                <c:pt idx="78">
                  <c:v>157.44705413815737</c:v>
                </c:pt>
                <c:pt idx="79">
                  <c:v>157.42927995971687</c:v>
                </c:pt>
                <c:pt idx="80">
                  <c:v>157.42199662585693</c:v>
                </c:pt>
                <c:pt idx="81">
                  <c:v>157.41918296769299</c:v>
                </c:pt>
                <c:pt idx="82">
                  <c:v>157.39888304012294</c:v>
                </c:pt>
                <c:pt idx="83">
                  <c:v>157.3569770662732</c:v>
                </c:pt>
                <c:pt idx="84">
                  <c:v>157.28585028941339</c:v>
                </c:pt>
                <c:pt idx="85">
                  <c:v>157.07358460747241</c:v>
                </c:pt>
                <c:pt idx="86">
                  <c:v>157.02075427546811</c:v>
                </c:pt>
                <c:pt idx="87">
                  <c:v>156.9641981198024</c:v>
                </c:pt>
                <c:pt idx="88">
                  <c:v>156.92345101960581</c:v>
                </c:pt>
                <c:pt idx="89">
                  <c:v>156.88105951709852</c:v>
                </c:pt>
                <c:pt idx="90">
                  <c:v>156.82774616047661</c:v>
                </c:pt>
                <c:pt idx="91">
                  <c:v>156.78430781317104</c:v>
                </c:pt>
                <c:pt idx="92">
                  <c:v>156.77334991187197</c:v>
                </c:pt>
                <c:pt idx="93">
                  <c:v>156.76557341250933</c:v>
                </c:pt>
                <c:pt idx="94">
                  <c:v>156.76254372394087</c:v>
                </c:pt>
                <c:pt idx="95">
                  <c:v>156.75184433106253</c:v>
                </c:pt>
                <c:pt idx="96">
                  <c:v>156.74481702077631</c:v>
                </c:pt>
                <c:pt idx="97">
                  <c:v>156.74159674692086</c:v>
                </c:pt>
                <c:pt idx="98">
                  <c:v>156.74873885109815</c:v>
                </c:pt>
                <c:pt idx="99">
                  <c:v>156.75005902511145</c:v>
                </c:pt>
                <c:pt idx="100">
                  <c:v>156.75084002686282</c:v>
                </c:pt>
                <c:pt idx="101">
                  <c:v>156.73901726211537</c:v>
                </c:pt>
                <c:pt idx="102">
                  <c:v>156.92812976835179</c:v>
                </c:pt>
                <c:pt idx="103">
                  <c:v>156.99990247911978</c:v>
                </c:pt>
                <c:pt idx="104">
                  <c:v>157.06809097958168</c:v>
                </c:pt>
                <c:pt idx="105">
                  <c:v>157.13010768240355</c:v>
                </c:pt>
                <c:pt idx="106">
                  <c:v>157.23248587625025</c:v>
                </c:pt>
                <c:pt idx="107">
                  <c:v>157.3597109972462</c:v>
                </c:pt>
                <c:pt idx="108">
                  <c:v>157.44092319668604</c:v>
                </c:pt>
                <c:pt idx="109">
                  <c:v>157.50862519670034</c:v>
                </c:pt>
                <c:pt idx="110">
                  <c:v>157.57766249953085</c:v>
                </c:pt>
                <c:pt idx="111">
                  <c:v>157.65687273109387</c:v>
                </c:pt>
                <c:pt idx="112">
                  <c:v>157.71484885249026</c:v>
                </c:pt>
                <c:pt idx="113">
                  <c:v>157.78967076522125</c:v>
                </c:pt>
                <c:pt idx="114">
                  <c:v>157.87117067125331</c:v>
                </c:pt>
                <c:pt idx="115">
                  <c:v>158.02901423663005</c:v>
                </c:pt>
                <c:pt idx="116">
                  <c:v>158.12364703391225</c:v>
                </c:pt>
                <c:pt idx="117">
                  <c:v>158.22754925719937</c:v>
                </c:pt>
                <c:pt idx="118">
                  <c:v>158.34186900010121</c:v>
                </c:pt>
                <c:pt idx="119">
                  <c:v>158.4474012459753</c:v>
                </c:pt>
                <c:pt idx="120">
                  <c:v>158.54891103865498</c:v>
                </c:pt>
                <c:pt idx="121">
                  <c:v>158.65070497799445</c:v>
                </c:pt>
                <c:pt idx="122">
                  <c:v>158.73401356967187</c:v>
                </c:pt>
                <c:pt idx="123">
                  <c:v>158.85154739236694</c:v>
                </c:pt>
                <c:pt idx="124">
                  <c:v>159.00067986087956</c:v>
                </c:pt>
                <c:pt idx="125">
                  <c:v>159.1411871971398</c:v>
                </c:pt>
                <c:pt idx="126">
                  <c:v>159.29178738891343</c:v>
                </c:pt>
                <c:pt idx="127">
                  <c:v>159.44422071696695</c:v>
                </c:pt>
                <c:pt idx="128">
                  <c:v>159.59216077647082</c:v>
                </c:pt>
                <c:pt idx="129">
                  <c:v>159.75163041152777</c:v>
                </c:pt>
                <c:pt idx="130">
                  <c:v>159.84990357311386</c:v>
                </c:pt>
                <c:pt idx="131">
                  <c:v>159.97758535941114</c:v>
                </c:pt>
                <c:pt idx="132">
                  <c:v>160.06111707121346</c:v>
                </c:pt>
                <c:pt idx="133">
                  <c:v>160.14322034220407</c:v>
                </c:pt>
                <c:pt idx="134">
                  <c:v>160.24081833350388</c:v>
                </c:pt>
                <c:pt idx="135">
                  <c:v>160.37296616385723</c:v>
                </c:pt>
                <c:pt idx="136">
                  <c:v>160.47510706361246</c:v>
                </c:pt>
                <c:pt idx="137">
                  <c:v>160.59138743353876</c:v>
                </c:pt>
                <c:pt idx="138">
                  <c:v>160.73086731334317</c:v>
                </c:pt>
                <c:pt idx="139">
                  <c:v>160.84724113506206</c:v>
                </c:pt>
                <c:pt idx="140">
                  <c:v>160.92408531804145</c:v>
                </c:pt>
                <c:pt idx="141">
                  <c:v>161.00499827082459</c:v>
                </c:pt>
                <c:pt idx="142">
                  <c:v>161.08467045911976</c:v>
                </c:pt>
                <c:pt idx="143">
                  <c:v>161.1804891415818</c:v>
                </c:pt>
                <c:pt idx="144">
                  <c:v>161.24072764876831</c:v>
                </c:pt>
                <c:pt idx="145">
                  <c:v>161.33449557859535</c:v>
                </c:pt>
                <c:pt idx="146">
                  <c:v>161.41653580752646</c:v>
                </c:pt>
                <c:pt idx="147">
                  <c:v>161.4965058703053</c:v>
                </c:pt>
                <c:pt idx="148">
                  <c:v>161.7790388169185</c:v>
                </c:pt>
                <c:pt idx="149">
                  <c:v>161.84579284175328</c:v>
                </c:pt>
                <c:pt idx="150">
                  <c:v>161.93707026625515</c:v>
                </c:pt>
                <c:pt idx="151">
                  <c:v>162.00978298435018</c:v>
                </c:pt>
                <c:pt idx="152">
                  <c:v>162.10751888594277</c:v>
                </c:pt>
                <c:pt idx="153">
                  <c:v>162.21831413671586</c:v>
                </c:pt>
                <c:pt idx="154">
                  <c:v>162.33914900162614</c:v>
                </c:pt>
                <c:pt idx="155">
                  <c:v>162.53098289920484</c:v>
                </c:pt>
                <c:pt idx="156">
                  <c:v>162.74966253108676</c:v>
                </c:pt>
                <c:pt idx="157">
                  <c:v>162.87673876112092</c:v>
                </c:pt>
                <c:pt idx="158">
                  <c:v>163.03397542081922</c:v>
                </c:pt>
                <c:pt idx="159">
                  <c:v>163.1361907994627</c:v>
                </c:pt>
                <c:pt idx="160">
                  <c:v>163.29359746335092</c:v>
                </c:pt>
                <c:pt idx="161">
                  <c:v>163.39889319733967</c:v>
                </c:pt>
                <c:pt idx="162">
                  <c:v>163.54185602666396</c:v>
                </c:pt>
                <c:pt idx="163">
                  <c:v>163.72066783674217</c:v>
                </c:pt>
                <c:pt idx="164">
                  <c:v>163.86852383061895</c:v>
                </c:pt>
                <c:pt idx="165">
                  <c:v>164.11663374597271</c:v>
                </c:pt>
                <c:pt idx="166">
                  <c:v>164.28864316018087</c:v>
                </c:pt>
                <c:pt idx="167">
                  <c:v>164.48546945046888</c:v>
                </c:pt>
                <c:pt idx="168">
                  <c:v>164.6333920653064</c:v>
                </c:pt>
                <c:pt idx="169">
                  <c:v>164.78751857305761</c:v>
                </c:pt>
                <c:pt idx="170">
                  <c:v>164.90699322152224</c:v>
                </c:pt>
                <c:pt idx="171">
                  <c:v>165.0232677585432</c:v>
                </c:pt>
                <c:pt idx="172">
                  <c:v>165.18175644585855</c:v>
                </c:pt>
                <c:pt idx="173">
                  <c:v>165.29442552048548</c:v>
                </c:pt>
                <c:pt idx="174">
                  <c:v>165.40921705713259</c:v>
                </c:pt>
                <c:pt idx="175">
                  <c:v>165.524080143682</c:v>
                </c:pt>
                <c:pt idx="176">
                  <c:v>165.66561480507355</c:v>
                </c:pt>
                <c:pt idx="177">
                  <c:v>165.7704069623548</c:v>
                </c:pt>
                <c:pt idx="178">
                  <c:v>165.89837213224328</c:v>
                </c:pt>
                <c:pt idx="179">
                  <c:v>165.99468686779696</c:v>
                </c:pt>
                <c:pt idx="180">
                  <c:v>166.08859900022725</c:v>
                </c:pt>
                <c:pt idx="181">
                  <c:v>166.15117046911163</c:v>
                </c:pt>
                <c:pt idx="182">
                  <c:v>166.2384847018229</c:v>
                </c:pt>
                <c:pt idx="183">
                  <c:v>166.32579518603904</c:v>
                </c:pt>
                <c:pt idx="184">
                  <c:v>166.3981118518947</c:v>
                </c:pt>
                <c:pt idx="185">
                  <c:v>166.52349600595372</c:v>
                </c:pt>
                <c:pt idx="186">
                  <c:v>166.67287920794712</c:v>
                </c:pt>
                <c:pt idx="187">
                  <c:v>166.82230377456338</c:v>
                </c:pt>
                <c:pt idx="188">
                  <c:v>166.9770824202414</c:v>
                </c:pt>
                <c:pt idx="189">
                  <c:v>167.23545248626513</c:v>
                </c:pt>
                <c:pt idx="190">
                  <c:v>167.47785558435561</c:v>
                </c:pt>
                <c:pt idx="191">
                  <c:v>167.78058847068939</c:v>
                </c:pt>
                <c:pt idx="192">
                  <c:v>167.99951974328732</c:v>
                </c:pt>
                <c:pt idx="193">
                  <c:v>168.27419654552494</c:v>
                </c:pt>
                <c:pt idx="194">
                  <c:v>168.59584641740173</c:v>
                </c:pt>
                <c:pt idx="195">
                  <c:v>168.81955248896466</c:v>
                </c:pt>
                <c:pt idx="196">
                  <c:v>168.96803732040044</c:v>
                </c:pt>
                <c:pt idx="197">
                  <c:v>169.08953153495355</c:v>
                </c:pt>
                <c:pt idx="198">
                  <c:v>169.26310302357425</c:v>
                </c:pt>
                <c:pt idx="199">
                  <c:v>169.43377925524419</c:v>
                </c:pt>
                <c:pt idx="200">
                  <c:v>169.6018234630485</c:v>
                </c:pt>
                <c:pt idx="201">
                  <c:v>169.76753649189061</c:v>
                </c:pt>
                <c:pt idx="202">
                  <c:v>169.90639188763384</c:v>
                </c:pt>
                <c:pt idx="203">
                  <c:v>170.042723579669</c:v>
                </c:pt>
                <c:pt idx="204">
                  <c:v>170.16625672042247</c:v>
                </c:pt>
                <c:pt idx="205">
                  <c:v>170.3967895291533</c:v>
                </c:pt>
                <c:pt idx="206">
                  <c:v>170.59082316167087</c:v>
                </c:pt>
                <c:pt idx="207">
                  <c:v>170.74452334605357</c:v>
                </c:pt>
                <c:pt idx="208">
                  <c:v>170.94277454439495</c:v>
                </c:pt>
                <c:pt idx="209">
                  <c:v>171.14745754999672</c:v>
                </c:pt>
                <c:pt idx="210">
                  <c:v>171.32438370703167</c:v>
                </c:pt>
                <c:pt idx="211">
                  <c:v>171.47188791243386</c:v>
                </c:pt>
                <c:pt idx="212">
                  <c:v>171.92619580633405</c:v>
                </c:pt>
                <c:pt idx="213">
                  <c:v>172.07764181345465</c:v>
                </c:pt>
                <c:pt idx="214">
                  <c:v>172.20130917605059</c:v>
                </c:pt>
                <c:pt idx="215">
                  <c:v>172.24528028512978</c:v>
                </c:pt>
                <c:pt idx="216">
                  <c:v>172.28785977103479</c:v>
                </c:pt>
                <c:pt idx="217">
                  <c:v>172.3673540691363</c:v>
                </c:pt>
                <c:pt idx="218">
                  <c:v>172.43769508674453</c:v>
                </c:pt>
                <c:pt idx="219">
                  <c:v>172.51043768338937</c:v>
                </c:pt>
                <c:pt idx="220">
                  <c:v>172.62380596810368</c:v>
                </c:pt>
                <c:pt idx="221">
                  <c:v>172.77752935742888</c:v>
                </c:pt>
                <c:pt idx="222">
                  <c:v>172.90984962377271</c:v>
                </c:pt>
                <c:pt idx="223">
                  <c:v>173.04236701848203</c:v>
                </c:pt>
                <c:pt idx="224">
                  <c:v>173.15093344857567</c:v>
                </c:pt>
                <c:pt idx="225">
                  <c:v>173.24794370367752</c:v>
                </c:pt>
                <c:pt idx="226">
                  <c:v>173.46371615496872</c:v>
                </c:pt>
                <c:pt idx="227">
                  <c:v>173.69180007575488</c:v>
                </c:pt>
                <c:pt idx="228">
                  <c:v>173.95556137141844</c:v>
                </c:pt>
                <c:pt idx="229">
                  <c:v>174.14682065005081</c:v>
                </c:pt>
                <c:pt idx="230">
                  <c:v>174.3659914170392</c:v>
                </c:pt>
                <c:pt idx="231">
                  <c:v>174.66672268936443</c:v>
                </c:pt>
                <c:pt idx="232">
                  <c:v>174.97671234060277</c:v>
                </c:pt>
                <c:pt idx="233">
                  <c:v>175.25237210025975</c:v>
                </c:pt>
                <c:pt idx="234">
                  <c:v>175.40207144259509</c:v>
                </c:pt>
                <c:pt idx="235">
                  <c:v>175.55319919897374</c:v>
                </c:pt>
                <c:pt idx="236">
                  <c:v>175.74309489356918</c:v>
                </c:pt>
                <c:pt idx="237">
                  <c:v>175.96562713679481</c:v>
                </c:pt>
                <c:pt idx="238">
                  <c:v>176.19936152617478</c:v>
                </c:pt>
                <c:pt idx="239">
                  <c:v>176.46421747441318</c:v>
                </c:pt>
                <c:pt idx="240">
                  <c:v>176.67218428211166</c:v>
                </c:pt>
                <c:pt idx="241">
                  <c:v>176.91788534913371</c:v>
                </c:pt>
                <c:pt idx="242">
                  <c:v>177.14864661934999</c:v>
                </c:pt>
                <c:pt idx="243">
                  <c:v>177.43617748532716</c:v>
                </c:pt>
                <c:pt idx="244">
                  <c:v>177.67428103579482</c:v>
                </c:pt>
                <c:pt idx="245">
                  <c:v>177.93618754349382</c:v>
                </c:pt>
                <c:pt idx="246">
                  <c:v>178.12167103081165</c:v>
                </c:pt>
                <c:pt idx="247">
                  <c:v>178.31599851386173</c:v>
                </c:pt>
                <c:pt idx="248">
                  <c:v>178.62375339308556</c:v>
                </c:pt>
                <c:pt idx="249">
                  <c:v>179.01118019098607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B63-47DE-B018-245890E71849}"/>
            </c:ext>
          </c:extLst>
        </c:ser>
        <c:ser>
          <c:idx val="2"/>
          <c:order val="2"/>
          <c:tx>
            <c:strRef>
              <c:f>Data!$H$1</c:f>
              <c:strCache>
                <c:ptCount val="1"/>
                <c:pt idx="0">
                  <c:v>Plus 1 Sd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Data!$B$2:$B$251</c:f>
              <c:numCache>
                <c:formatCode>m/d/yyyy</c:formatCode>
                <c:ptCount val="250"/>
                <c:pt idx="0">
                  <c:v>45706</c:v>
                </c:pt>
                <c:pt idx="1">
                  <c:v>45707</c:v>
                </c:pt>
                <c:pt idx="2">
                  <c:v>45708</c:v>
                </c:pt>
                <c:pt idx="3">
                  <c:v>45709</c:v>
                </c:pt>
                <c:pt idx="4">
                  <c:v>45712</c:v>
                </c:pt>
                <c:pt idx="5">
                  <c:v>45713</c:v>
                </c:pt>
                <c:pt idx="6">
                  <c:v>45714</c:v>
                </c:pt>
                <c:pt idx="7">
                  <c:v>45715</c:v>
                </c:pt>
                <c:pt idx="8">
                  <c:v>45716</c:v>
                </c:pt>
                <c:pt idx="9">
                  <c:v>45719</c:v>
                </c:pt>
                <c:pt idx="10">
                  <c:v>45720</c:v>
                </c:pt>
                <c:pt idx="11">
                  <c:v>45721</c:v>
                </c:pt>
                <c:pt idx="12">
                  <c:v>45722</c:v>
                </c:pt>
                <c:pt idx="13">
                  <c:v>45723</c:v>
                </c:pt>
                <c:pt idx="14">
                  <c:v>45726</c:v>
                </c:pt>
                <c:pt idx="15">
                  <c:v>45727</c:v>
                </c:pt>
                <c:pt idx="16">
                  <c:v>45728</c:v>
                </c:pt>
                <c:pt idx="17">
                  <c:v>45729</c:v>
                </c:pt>
                <c:pt idx="18">
                  <c:v>45730</c:v>
                </c:pt>
                <c:pt idx="19">
                  <c:v>45733</c:v>
                </c:pt>
                <c:pt idx="20">
                  <c:v>45734</c:v>
                </c:pt>
                <c:pt idx="21">
                  <c:v>45735</c:v>
                </c:pt>
                <c:pt idx="22">
                  <c:v>45736</c:v>
                </c:pt>
                <c:pt idx="23">
                  <c:v>45737</c:v>
                </c:pt>
                <c:pt idx="24">
                  <c:v>45740</c:v>
                </c:pt>
                <c:pt idx="25">
                  <c:v>45741</c:v>
                </c:pt>
                <c:pt idx="26">
                  <c:v>45742</c:v>
                </c:pt>
                <c:pt idx="27">
                  <c:v>45743</c:v>
                </c:pt>
                <c:pt idx="28">
                  <c:v>45744</c:v>
                </c:pt>
                <c:pt idx="29">
                  <c:v>45747</c:v>
                </c:pt>
                <c:pt idx="30">
                  <c:v>45748</c:v>
                </c:pt>
                <c:pt idx="31">
                  <c:v>45749</c:v>
                </c:pt>
                <c:pt idx="32">
                  <c:v>45750</c:v>
                </c:pt>
                <c:pt idx="33">
                  <c:v>45751</c:v>
                </c:pt>
                <c:pt idx="34">
                  <c:v>45754</c:v>
                </c:pt>
                <c:pt idx="35">
                  <c:v>45755</c:v>
                </c:pt>
                <c:pt idx="36">
                  <c:v>45756</c:v>
                </c:pt>
                <c:pt idx="37">
                  <c:v>45757</c:v>
                </c:pt>
                <c:pt idx="38">
                  <c:v>45758</c:v>
                </c:pt>
                <c:pt idx="39">
                  <c:v>45761</c:v>
                </c:pt>
                <c:pt idx="40">
                  <c:v>45762</c:v>
                </c:pt>
                <c:pt idx="41">
                  <c:v>45763</c:v>
                </c:pt>
                <c:pt idx="42">
                  <c:v>45764</c:v>
                </c:pt>
                <c:pt idx="43">
                  <c:v>45768</c:v>
                </c:pt>
                <c:pt idx="44">
                  <c:v>45769</c:v>
                </c:pt>
                <c:pt idx="45">
                  <c:v>45770</c:v>
                </c:pt>
                <c:pt idx="46">
                  <c:v>45771</c:v>
                </c:pt>
                <c:pt idx="47">
                  <c:v>45772</c:v>
                </c:pt>
                <c:pt idx="48">
                  <c:v>45775</c:v>
                </c:pt>
                <c:pt idx="49">
                  <c:v>45776</c:v>
                </c:pt>
                <c:pt idx="50">
                  <c:v>45777</c:v>
                </c:pt>
                <c:pt idx="51">
                  <c:v>45778</c:v>
                </c:pt>
                <c:pt idx="52">
                  <c:v>45779</c:v>
                </c:pt>
                <c:pt idx="53">
                  <c:v>45782</c:v>
                </c:pt>
                <c:pt idx="54">
                  <c:v>45783</c:v>
                </c:pt>
                <c:pt idx="55">
                  <c:v>45784</c:v>
                </c:pt>
                <c:pt idx="56">
                  <c:v>45785</c:v>
                </c:pt>
                <c:pt idx="57">
                  <c:v>45786</c:v>
                </c:pt>
                <c:pt idx="58">
                  <c:v>45789</c:v>
                </c:pt>
                <c:pt idx="59">
                  <c:v>45790</c:v>
                </c:pt>
                <c:pt idx="60">
                  <c:v>45791</c:v>
                </c:pt>
                <c:pt idx="61">
                  <c:v>45792</c:v>
                </c:pt>
                <c:pt idx="62">
                  <c:v>45793</c:v>
                </c:pt>
                <c:pt idx="63">
                  <c:v>45796</c:v>
                </c:pt>
                <c:pt idx="64">
                  <c:v>45797</c:v>
                </c:pt>
                <c:pt idx="65">
                  <c:v>45798</c:v>
                </c:pt>
                <c:pt idx="66">
                  <c:v>45799</c:v>
                </c:pt>
                <c:pt idx="67">
                  <c:v>45800</c:v>
                </c:pt>
                <c:pt idx="68">
                  <c:v>45804</c:v>
                </c:pt>
                <c:pt idx="69">
                  <c:v>45805</c:v>
                </c:pt>
                <c:pt idx="70">
                  <c:v>45806</c:v>
                </c:pt>
                <c:pt idx="71">
                  <c:v>45807</c:v>
                </c:pt>
                <c:pt idx="72">
                  <c:v>45810</c:v>
                </c:pt>
                <c:pt idx="73">
                  <c:v>45811</c:v>
                </c:pt>
                <c:pt idx="74">
                  <c:v>45812</c:v>
                </c:pt>
                <c:pt idx="75">
                  <c:v>45813</c:v>
                </c:pt>
                <c:pt idx="76">
                  <c:v>45814</c:v>
                </c:pt>
                <c:pt idx="77">
                  <c:v>45817</c:v>
                </c:pt>
                <c:pt idx="78">
                  <c:v>45818</c:v>
                </c:pt>
                <c:pt idx="79">
                  <c:v>45819</c:v>
                </c:pt>
                <c:pt idx="80">
                  <c:v>45820</c:v>
                </c:pt>
                <c:pt idx="81">
                  <c:v>45821</c:v>
                </c:pt>
                <c:pt idx="82">
                  <c:v>45824</c:v>
                </c:pt>
                <c:pt idx="83">
                  <c:v>45825</c:v>
                </c:pt>
                <c:pt idx="84">
                  <c:v>45826</c:v>
                </c:pt>
                <c:pt idx="85">
                  <c:v>45828</c:v>
                </c:pt>
                <c:pt idx="86">
                  <c:v>45831</c:v>
                </c:pt>
                <c:pt idx="87">
                  <c:v>45832</c:v>
                </c:pt>
                <c:pt idx="88">
                  <c:v>45833</c:v>
                </c:pt>
                <c:pt idx="89">
                  <c:v>45834</c:v>
                </c:pt>
                <c:pt idx="90">
                  <c:v>45835</c:v>
                </c:pt>
                <c:pt idx="91">
                  <c:v>45838</c:v>
                </c:pt>
                <c:pt idx="92">
                  <c:v>45839</c:v>
                </c:pt>
                <c:pt idx="93">
                  <c:v>45840</c:v>
                </c:pt>
                <c:pt idx="94">
                  <c:v>45841</c:v>
                </c:pt>
                <c:pt idx="95">
                  <c:v>45845</c:v>
                </c:pt>
                <c:pt idx="96">
                  <c:v>45846</c:v>
                </c:pt>
                <c:pt idx="97">
                  <c:v>45847</c:v>
                </c:pt>
                <c:pt idx="98">
                  <c:v>45848</c:v>
                </c:pt>
                <c:pt idx="99">
                  <c:v>45849</c:v>
                </c:pt>
                <c:pt idx="100">
                  <c:v>45852</c:v>
                </c:pt>
                <c:pt idx="101">
                  <c:v>45853</c:v>
                </c:pt>
                <c:pt idx="102">
                  <c:v>45854</c:v>
                </c:pt>
                <c:pt idx="103">
                  <c:v>45855</c:v>
                </c:pt>
                <c:pt idx="104">
                  <c:v>45856</c:v>
                </c:pt>
                <c:pt idx="105">
                  <c:v>45859</c:v>
                </c:pt>
                <c:pt idx="106">
                  <c:v>45860</c:v>
                </c:pt>
                <c:pt idx="107">
                  <c:v>45861</c:v>
                </c:pt>
                <c:pt idx="108">
                  <c:v>45862</c:v>
                </c:pt>
                <c:pt idx="109">
                  <c:v>45863</c:v>
                </c:pt>
                <c:pt idx="110">
                  <c:v>45866</c:v>
                </c:pt>
                <c:pt idx="111">
                  <c:v>45867</c:v>
                </c:pt>
                <c:pt idx="112">
                  <c:v>45868</c:v>
                </c:pt>
                <c:pt idx="113">
                  <c:v>45869</c:v>
                </c:pt>
                <c:pt idx="114">
                  <c:v>45870</c:v>
                </c:pt>
                <c:pt idx="115">
                  <c:v>45873</c:v>
                </c:pt>
                <c:pt idx="116">
                  <c:v>45874</c:v>
                </c:pt>
                <c:pt idx="117">
                  <c:v>45875</c:v>
                </c:pt>
                <c:pt idx="118">
                  <c:v>45876</c:v>
                </c:pt>
                <c:pt idx="119">
                  <c:v>45877</c:v>
                </c:pt>
                <c:pt idx="120">
                  <c:v>45880</c:v>
                </c:pt>
                <c:pt idx="121">
                  <c:v>45881</c:v>
                </c:pt>
                <c:pt idx="122">
                  <c:v>45882</c:v>
                </c:pt>
                <c:pt idx="123">
                  <c:v>45883</c:v>
                </c:pt>
                <c:pt idx="124">
                  <c:v>45884</c:v>
                </c:pt>
                <c:pt idx="125">
                  <c:v>45887</c:v>
                </c:pt>
                <c:pt idx="126">
                  <c:v>45888</c:v>
                </c:pt>
                <c:pt idx="127">
                  <c:v>45889</c:v>
                </c:pt>
                <c:pt idx="128">
                  <c:v>45890</c:v>
                </c:pt>
                <c:pt idx="129">
                  <c:v>45891</c:v>
                </c:pt>
                <c:pt idx="130">
                  <c:v>45894</c:v>
                </c:pt>
                <c:pt idx="131">
                  <c:v>45895</c:v>
                </c:pt>
                <c:pt idx="132">
                  <c:v>45896</c:v>
                </c:pt>
                <c:pt idx="133">
                  <c:v>45897</c:v>
                </c:pt>
                <c:pt idx="134">
                  <c:v>45898</c:v>
                </c:pt>
                <c:pt idx="135">
                  <c:v>45902</c:v>
                </c:pt>
                <c:pt idx="136">
                  <c:v>45903</c:v>
                </c:pt>
                <c:pt idx="137">
                  <c:v>45904</c:v>
                </c:pt>
                <c:pt idx="138">
                  <c:v>45905</c:v>
                </c:pt>
                <c:pt idx="139">
                  <c:v>45908</c:v>
                </c:pt>
                <c:pt idx="140">
                  <c:v>45909</c:v>
                </c:pt>
                <c:pt idx="141">
                  <c:v>45910</c:v>
                </c:pt>
                <c:pt idx="142">
                  <c:v>45911</c:v>
                </c:pt>
                <c:pt idx="143">
                  <c:v>45912</c:v>
                </c:pt>
                <c:pt idx="144">
                  <c:v>45915</c:v>
                </c:pt>
                <c:pt idx="145">
                  <c:v>45916</c:v>
                </c:pt>
                <c:pt idx="146">
                  <c:v>45917</c:v>
                </c:pt>
                <c:pt idx="147">
                  <c:v>45918</c:v>
                </c:pt>
                <c:pt idx="148">
                  <c:v>45919</c:v>
                </c:pt>
                <c:pt idx="149">
                  <c:v>45922</c:v>
                </c:pt>
                <c:pt idx="150">
                  <c:v>45923</c:v>
                </c:pt>
                <c:pt idx="151">
                  <c:v>45924</c:v>
                </c:pt>
                <c:pt idx="152">
                  <c:v>45925</c:v>
                </c:pt>
                <c:pt idx="153">
                  <c:v>45926</c:v>
                </c:pt>
                <c:pt idx="154">
                  <c:v>45929</c:v>
                </c:pt>
                <c:pt idx="155">
                  <c:v>45930</c:v>
                </c:pt>
                <c:pt idx="156">
                  <c:v>45931</c:v>
                </c:pt>
                <c:pt idx="157">
                  <c:v>45932</c:v>
                </c:pt>
                <c:pt idx="158">
                  <c:v>45933</c:v>
                </c:pt>
                <c:pt idx="159">
                  <c:v>45936</c:v>
                </c:pt>
                <c:pt idx="160">
                  <c:v>45937</c:v>
                </c:pt>
                <c:pt idx="161">
                  <c:v>45938</c:v>
                </c:pt>
                <c:pt idx="162">
                  <c:v>45939</c:v>
                </c:pt>
                <c:pt idx="163">
                  <c:v>45940</c:v>
                </c:pt>
                <c:pt idx="164">
                  <c:v>45943</c:v>
                </c:pt>
                <c:pt idx="165">
                  <c:v>45944</c:v>
                </c:pt>
                <c:pt idx="166">
                  <c:v>45945</c:v>
                </c:pt>
                <c:pt idx="167">
                  <c:v>45946</c:v>
                </c:pt>
                <c:pt idx="168">
                  <c:v>45947</c:v>
                </c:pt>
                <c:pt idx="169">
                  <c:v>45950</c:v>
                </c:pt>
                <c:pt idx="170">
                  <c:v>45951</c:v>
                </c:pt>
                <c:pt idx="171">
                  <c:v>45952</c:v>
                </c:pt>
                <c:pt idx="172">
                  <c:v>45953</c:v>
                </c:pt>
                <c:pt idx="173">
                  <c:v>45954</c:v>
                </c:pt>
                <c:pt idx="174">
                  <c:v>45957</c:v>
                </c:pt>
                <c:pt idx="175">
                  <c:v>45958</c:v>
                </c:pt>
                <c:pt idx="176">
                  <c:v>45959</c:v>
                </c:pt>
                <c:pt idx="177">
                  <c:v>45960</c:v>
                </c:pt>
                <c:pt idx="178">
                  <c:v>45961</c:v>
                </c:pt>
                <c:pt idx="179">
                  <c:v>45964</c:v>
                </c:pt>
                <c:pt idx="180">
                  <c:v>45965</c:v>
                </c:pt>
                <c:pt idx="181">
                  <c:v>45966</c:v>
                </c:pt>
                <c:pt idx="182">
                  <c:v>45967</c:v>
                </c:pt>
                <c:pt idx="183">
                  <c:v>45968</c:v>
                </c:pt>
                <c:pt idx="184">
                  <c:v>45971</c:v>
                </c:pt>
                <c:pt idx="185">
                  <c:v>45972</c:v>
                </c:pt>
                <c:pt idx="186">
                  <c:v>45973</c:v>
                </c:pt>
                <c:pt idx="187">
                  <c:v>45974</c:v>
                </c:pt>
                <c:pt idx="188">
                  <c:v>45975</c:v>
                </c:pt>
                <c:pt idx="189">
                  <c:v>45978</c:v>
                </c:pt>
                <c:pt idx="190">
                  <c:v>45979</c:v>
                </c:pt>
                <c:pt idx="191">
                  <c:v>45980</c:v>
                </c:pt>
                <c:pt idx="192">
                  <c:v>45981</c:v>
                </c:pt>
                <c:pt idx="193">
                  <c:v>45982</c:v>
                </c:pt>
                <c:pt idx="194">
                  <c:v>45985</c:v>
                </c:pt>
                <c:pt idx="195">
                  <c:v>45986</c:v>
                </c:pt>
                <c:pt idx="196">
                  <c:v>45987</c:v>
                </c:pt>
                <c:pt idx="197">
                  <c:v>45989</c:v>
                </c:pt>
                <c:pt idx="198">
                  <c:v>45992</c:v>
                </c:pt>
                <c:pt idx="199">
                  <c:v>45993</c:v>
                </c:pt>
                <c:pt idx="200">
                  <c:v>45994</c:v>
                </c:pt>
                <c:pt idx="201">
                  <c:v>45995</c:v>
                </c:pt>
                <c:pt idx="202">
                  <c:v>45996</c:v>
                </c:pt>
                <c:pt idx="203">
                  <c:v>45999</c:v>
                </c:pt>
                <c:pt idx="204">
                  <c:v>46000</c:v>
                </c:pt>
                <c:pt idx="205">
                  <c:v>46001</c:v>
                </c:pt>
                <c:pt idx="206">
                  <c:v>46002</c:v>
                </c:pt>
                <c:pt idx="207">
                  <c:v>46003</c:v>
                </c:pt>
                <c:pt idx="208">
                  <c:v>46006</c:v>
                </c:pt>
                <c:pt idx="209">
                  <c:v>46007</c:v>
                </c:pt>
                <c:pt idx="210">
                  <c:v>46008</c:v>
                </c:pt>
                <c:pt idx="211">
                  <c:v>46009</c:v>
                </c:pt>
                <c:pt idx="212">
                  <c:v>46010</c:v>
                </c:pt>
                <c:pt idx="213">
                  <c:v>46013</c:v>
                </c:pt>
                <c:pt idx="214">
                  <c:v>46014</c:v>
                </c:pt>
                <c:pt idx="215">
                  <c:v>46015</c:v>
                </c:pt>
                <c:pt idx="216">
                  <c:v>46017</c:v>
                </c:pt>
                <c:pt idx="217">
                  <c:v>46020</c:v>
                </c:pt>
                <c:pt idx="218">
                  <c:v>46021</c:v>
                </c:pt>
                <c:pt idx="219">
                  <c:v>46022</c:v>
                </c:pt>
                <c:pt idx="220">
                  <c:v>46024</c:v>
                </c:pt>
                <c:pt idx="221">
                  <c:v>46027</c:v>
                </c:pt>
                <c:pt idx="222">
                  <c:v>46028</c:v>
                </c:pt>
                <c:pt idx="223">
                  <c:v>46029</c:v>
                </c:pt>
                <c:pt idx="224">
                  <c:v>46030</c:v>
                </c:pt>
                <c:pt idx="225">
                  <c:v>46031</c:v>
                </c:pt>
                <c:pt idx="226">
                  <c:v>46034</c:v>
                </c:pt>
                <c:pt idx="227">
                  <c:v>46035</c:v>
                </c:pt>
                <c:pt idx="228">
                  <c:v>46036</c:v>
                </c:pt>
                <c:pt idx="229">
                  <c:v>46037</c:v>
                </c:pt>
                <c:pt idx="230">
                  <c:v>46038</c:v>
                </c:pt>
                <c:pt idx="231">
                  <c:v>46042</c:v>
                </c:pt>
                <c:pt idx="232">
                  <c:v>46043</c:v>
                </c:pt>
                <c:pt idx="233">
                  <c:v>46044</c:v>
                </c:pt>
                <c:pt idx="234">
                  <c:v>46045</c:v>
                </c:pt>
                <c:pt idx="235">
                  <c:v>46048</c:v>
                </c:pt>
                <c:pt idx="236">
                  <c:v>46049</c:v>
                </c:pt>
                <c:pt idx="237">
                  <c:v>46050</c:v>
                </c:pt>
                <c:pt idx="238">
                  <c:v>46051</c:v>
                </c:pt>
                <c:pt idx="239">
                  <c:v>46052</c:v>
                </c:pt>
                <c:pt idx="240">
                  <c:v>46055</c:v>
                </c:pt>
                <c:pt idx="241">
                  <c:v>46056</c:v>
                </c:pt>
                <c:pt idx="242">
                  <c:v>46057</c:v>
                </c:pt>
                <c:pt idx="243">
                  <c:v>46058</c:v>
                </c:pt>
                <c:pt idx="244">
                  <c:v>46059</c:v>
                </c:pt>
                <c:pt idx="245">
                  <c:v>46062</c:v>
                </c:pt>
                <c:pt idx="246">
                  <c:v>46063</c:v>
                </c:pt>
                <c:pt idx="247">
                  <c:v>46064</c:v>
                </c:pt>
                <c:pt idx="248">
                  <c:v>46065</c:v>
                </c:pt>
                <c:pt idx="249">
                  <c:v>46066</c:v>
                </c:pt>
              </c:numCache>
            </c:numRef>
          </c:cat>
          <c:val>
            <c:numRef>
              <c:f>Data!$H$2:$H$251</c:f>
              <c:numCache>
                <c:formatCode>General</c:formatCode>
                <c:ptCount val="250"/>
                <c:pt idx="0">
                  <c:v>154.99</c:v>
                </c:pt>
                <c:pt idx="1">
                  <c:v>157.75063866925493</c:v>
                </c:pt>
                <c:pt idx="2">
                  <c:v>159.21474693595502</c:v>
                </c:pt>
                <c:pt idx="3">
                  <c:v>161.6266317128966</c:v>
                </c:pt>
                <c:pt idx="4">
                  <c:v>163.10369200350891</c:v>
                </c:pt>
                <c:pt idx="5">
                  <c:v>164.9456743331628</c:v>
                </c:pt>
                <c:pt idx="6">
                  <c:v>165.05776666192958</c:v>
                </c:pt>
                <c:pt idx="7">
                  <c:v>165.17268192557313</c:v>
                </c:pt>
                <c:pt idx="8">
                  <c:v>165.59653765127726</c:v>
                </c:pt>
                <c:pt idx="9">
                  <c:v>166.27478993988046</c:v>
                </c:pt>
                <c:pt idx="10">
                  <c:v>166.509097421468</c:v>
                </c:pt>
                <c:pt idx="11">
                  <c:v>166.58093264602371</c:v>
                </c:pt>
                <c:pt idx="12">
                  <c:v>166.70584460634279</c:v>
                </c:pt>
                <c:pt idx="13">
                  <c:v>166.94480059422099</c:v>
                </c:pt>
                <c:pt idx="14">
                  <c:v>167.47037525081643</c:v>
                </c:pt>
                <c:pt idx="15">
                  <c:v>167.51359666924805</c:v>
                </c:pt>
                <c:pt idx="16">
                  <c:v>167.3616761573029</c:v>
                </c:pt>
                <c:pt idx="17">
                  <c:v>167.24161147438454</c:v>
                </c:pt>
                <c:pt idx="18">
                  <c:v>167.12129768243813</c:v>
                </c:pt>
                <c:pt idx="19">
                  <c:v>167.00738671768514</c:v>
                </c:pt>
                <c:pt idx="20">
                  <c:v>166.94825415453744</c:v>
                </c:pt>
                <c:pt idx="21">
                  <c:v>166.8547543201133</c:v>
                </c:pt>
                <c:pt idx="22">
                  <c:v>166.76127398510175</c:v>
                </c:pt>
                <c:pt idx="23">
                  <c:v>166.68225868500582</c:v>
                </c:pt>
                <c:pt idx="24">
                  <c:v>166.60659974354098</c:v>
                </c:pt>
                <c:pt idx="25">
                  <c:v>166.51125707254926</c:v>
                </c:pt>
                <c:pt idx="26">
                  <c:v>166.42176991258899</c:v>
                </c:pt>
                <c:pt idx="27">
                  <c:v>166.35843164188154</c:v>
                </c:pt>
                <c:pt idx="28">
                  <c:v>166.31312752689814</c:v>
                </c:pt>
                <c:pt idx="29">
                  <c:v>166.40233631861335</c:v>
                </c:pt>
                <c:pt idx="30">
                  <c:v>166.11726422586958</c:v>
                </c:pt>
                <c:pt idx="31">
                  <c:v>166.09882856465225</c:v>
                </c:pt>
                <c:pt idx="32">
                  <c:v>165.9711441509221</c:v>
                </c:pt>
                <c:pt idx="33">
                  <c:v>165.83982531169931</c:v>
                </c:pt>
                <c:pt idx="34">
                  <c:v>165.71358026102982</c:v>
                </c:pt>
                <c:pt idx="35">
                  <c:v>165.74646381833642</c:v>
                </c:pt>
                <c:pt idx="36">
                  <c:v>165.52788586136924</c:v>
                </c:pt>
                <c:pt idx="37">
                  <c:v>165.479972552243</c:v>
                </c:pt>
                <c:pt idx="38">
                  <c:v>165.42291990104337</c:v>
                </c:pt>
                <c:pt idx="39">
                  <c:v>165.31231058003985</c:v>
                </c:pt>
                <c:pt idx="40">
                  <c:v>165.2040187233938</c:v>
                </c:pt>
                <c:pt idx="41">
                  <c:v>165.13083095906424</c:v>
                </c:pt>
                <c:pt idx="42">
                  <c:v>165.03282790577367</c:v>
                </c:pt>
                <c:pt idx="43">
                  <c:v>164.95939239887869</c:v>
                </c:pt>
                <c:pt idx="44">
                  <c:v>164.88497150686618</c:v>
                </c:pt>
                <c:pt idx="45">
                  <c:v>164.7952397959682</c:v>
                </c:pt>
                <c:pt idx="46">
                  <c:v>164.71458079562453</c:v>
                </c:pt>
                <c:pt idx="47">
                  <c:v>164.63250501889584</c:v>
                </c:pt>
                <c:pt idx="48">
                  <c:v>164.57177076190229</c:v>
                </c:pt>
                <c:pt idx="49">
                  <c:v>164.51248397573704</c:v>
                </c:pt>
                <c:pt idx="50">
                  <c:v>164.42794127721768</c:v>
                </c:pt>
                <c:pt idx="51">
                  <c:v>164.36066555130864</c:v>
                </c:pt>
                <c:pt idx="52">
                  <c:v>164.29860946629165</c:v>
                </c:pt>
                <c:pt idx="53">
                  <c:v>164.2443284985853</c:v>
                </c:pt>
                <c:pt idx="54">
                  <c:v>164.1667484115888</c:v>
                </c:pt>
                <c:pt idx="55">
                  <c:v>164.10353823177482</c:v>
                </c:pt>
                <c:pt idx="56">
                  <c:v>164.03587834578968</c:v>
                </c:pt>
                <c:pt idx="57">
                  <c:v>163.97942460076209</c:v>
                </c:pt>
                <c:pt idx="58">
                  <c:v>163.90297761239438</c:v>
                </c:pt>
                <c:pt idx="59">
                  <c:v>163.85282458959162</c:v>
                </c:pt>
                <c:pt idx="60">
                  <c:v>163.8369586229347</c:v>
                </c:pt>
                <c:pt idx="61">
                  <c:v>163.79687296762398</c:v>
                </c:pt>
                <c:pt idx="62">
                  <c:v>163.73510212429449</c:v>
                </c:pt>
                <c:pt idx="63">
                  <c:v>163.62535741445768</c:v>
                </c:pt>
                <c:pt idx="64">
                  <c:v>163.56112824168341</c:v>
                </c:pt>
                <c:pt idx="65">
                  <c:v>163.50067053670398</c:v>
                </c:pt>
                <c:pt idx="66">
                  <c:v>163.438227851264</c:v>
                </c:pt>
                <c:pt idx="67">
                  <c:v>163.38129649765156</c:v>
                </c:pt>
                <c:pt idx="68">
                  <c:v>163.32197382431823</c:v>
                </c:pt>
                <c:pt idx="69">
                  <c:v>163.25355912099513</c:v>
                </c:pt>
                <c:pt idx="70">
                  <c:v>163.19604814615082</c:v>
                </c:pt>
                <c:pt idx="71">
                  <c:v>163.11061111868088</c:v>
                </c:pt>
                <c:pt idx="72">
                  <c:v>163.0587006139902</c:v>
                </c:pt>
                <c:pt idx="73">
                  <c:v>162.99833787486364</c:v>
                </c:pt>
                <c:pt idx="74">
                  <c:v>162.94391453480861</c:v>
                </c:pt>
                <c:pt idx="75">
                  <c:v>162.89879241465405</c:v>
                </c:pt>
                <c:pt idx="76">
                  <c:v>162.8530797195632</c:v>
                </c:pt>
                <c:pt idx="77">
                  <c:v>162.80855617782845</c:v>
                </c:pt>
                <c:pt idx="78">
                  <c:v>162.76665974811922</c:v>
                </c:pt>
                <c:pt idx="79">
                  <c:v>162.72152481510432</c:v>
                </c:pt>
                <c:pt idx="80">
                  <c:v>162.68228507787023</c:v>
                </c:pt>
                <c:pt idx="81">
                  <c:v>162.64747089596511</c:v>
                </c:pt>
                <c:pt idx="82">
                  <c:v>162.60143925551705</c:v>
                </c:pt>
                <c:pt idx="83">
                  <c:v>162.55768569336652</c:v>
                </c:pt>
                <c:pt idx="84">
                  <c:v>162.50558336933284</c:v>
                </c:pt>
                <c:pt idx="85">
                  <c:v>162.32523573854422</c:v>
                </c:pt>
                <c:pt idx="86">
                  <c:v>162.27998874501856</c:v>
                </c:pt>
                <c:pt idx="87">
                  <c:v>162.21994279264521</c:v>
                </c:pt>
                <c:pt idx="88">
                  <c:v>162.1742676386925</c:v>
                </c:pt>
                <c:pt idx="89">
                  <c:v>162.12928504790628</c:v>
                </c:pt>
                <c:pt idx="90">
                  <c:v>162.06889104822122</c:v>
                </c:pt>
                <c:pt idx="91">
                  <c:v>162.0149986556419</c:v>
                </c:pt>
                <c:pt idx="92">
                  <c:v>161.97682122002365</c:v>
                </c:pt>
                <c:pt idx="93">
                  <c:v>161.94308513394679</c:v>
                </c:pt>
                <c:pt idx="94">
                  <c:v>161.91348759463125</c:v>
                </c:pt>
                <c:pt idx="95">
                  <c:v>161.87844725514711</c:v>
                </c:pt>
                <c:pt idx="96">
                  <c:v>161.84604528580056</c:v>
                </c:pt>
                <c:pt idx="97">
                  <c:v>161.81704042914498</c:v>
                </c:pt>
                <c:pt idx="98">
                  <c:v>161.79921367525012</c:v>
                </c:pt>
                <c:pt idx="99">
                  <c:v>161.77522156079127</c:v>
                </c:pt>
                <c:pt idx="100">
                  <c:v>161.75106405674242</c:v>
                </c:pt>
                <c:pt idx="101">
                  <c:v>161.71739154454565</c:v>
                </c:pt>
                <c:pt idx="102">
                  <c:v>161.9433212627344</c:v>
                </c:pt>
                <c:pt idx="103">
                  <c:v>162.02605102385928</c:v>
                </c:pt>
                <c:pt idx="104">
                  <c:v>162.11290266609495</c:v>
                </c:pt>
                <c:pt idx="105">
                  <c:v>162.20090114254515</c:v>
                </c:pt>
                <c:pt idx="106">
                  <c:v>162.3861170674989</c:v>
                </c:pt>
                <c:pt idx="107">
                  <c:v>162.61463786679644</c:v>
                </c:pt>
                <c:pt idx="108">
                  <c:v>162.80060415592698</c:v>
                </c:pt>
                <c:pt idx="109">
                  <c:v>162.9429548108636</c:v>
                </c:pt>
                <c:pt idx="110">
                  <c:v>163.04961288040059</c:v>
                </c:pt>
                <c:pt idx="111">
                  <c:v>163.19342102944267</c:v>
                </c:pt>
                <c:pt idx="112">
                  <c:v>163.29926301665247</c:v>
                </c:pt>
                <c:pt idx="113">
                  <c:v>163.38736294236574</c:v>
                </c:pt>
                <c:pt idx="114">
                  <c:v>163.51377252991298</c:v>
                </c:pt>
                <c:pt idx="115">
                  <c:v>163.77673799833295</c:v>
                </c:pt>
                <c:pt idx="116">
                  <c:v>163.96512826875508</c:v>
                </c:pt>
                <c:pt idx="117">
                  <c:v>164.15515234515027</c:v>
                </c:pt>
                <c:pt idx="118">
                  <c:v>164.36781926463513</c:v>
                </c:pt>
                <c:pt idx="119">
                  <c:v>164.6006509090937</c:v>
                </c:pt>
                <c:pt idx="120">
                  <c:v>164.83207324193506</c:v>
                </c:pt>
                <c:pt idx="121">
                  <c:v>165.03721301209717</c:v>
                </c:pt>
                <c:pt idx="122">
                  <c:v>165.24881969748105</c:v>
                </c:pt>
                <c:pt idx="123">
                  <c:v>165.49345034784039</c:v>
                </c:pt>
                <c:pt idx="124">
                  <c:v>165.80047926215605</c:v>
                </c:pt>
                <c:pt idx="125">
                  <c:v>166.08241218556108</c:v>
                </c:pt>
                <c:pt idx="126">
                  <c:v>166.39724632935449</c:v>
                </c:pt>
                <c:pt idx="127">
                  <c:v>166.72582827549925</c:v>
                </c:pt>
                <c:pt idx="128">
                  <c:v>167.04189162275719</c:v>
                </c:pt>
                <c:pt idx="129">
                  <c:v>167.36737950342734</c:v>
                </c:pt>
                <c:pt idx="130">
                  <c:v>167.60651233972706</c:v>
                </c:pt>
                <c:pt idx="131">
                  <c:v>167.83598289726501</c:v>
                </c:pt>
                <c:pt idx="132">
                  <c:v>168.02122873594305</c:v>
                </c:pt>
                <c:pt idx="133">
                  <c:v>168.18078981282758</c:v>
                </c:pt>
                <c:pt idx="134">
                  <c:v>168.37725151934487</c:v>
                </c:pt>
                <c:pt idx="135">
                  <c:v>168.61731444818014</c:v>
                </c:pt>
                <c:pt idx="136">
                  <c:v>168.82156680392157</c:v>
                </c:pt>
                <c:pt idx="137">
                  <c:v>169.04681843382173</c:v>
                </c:pt>
                <c:pt idx="138">
                  <c:v>169.28551386721153</c:v>
                </c:pt>
                <c:pt idx="139">
                  <c:v>169.49251514896758</c:v>
                </c:pt>
                <c:pt idx="140">
                  <c:v>169.64059119335136</c:v>
                </c:pt>
                <c:pt idx="141">
                  <c:v>169.77564744588534</c:v>
                </c:pt>
                <c:pt idx="142">
                  <c:v>169.94087241488637</c:v>
                </c:pt>
                <c:pt idx="143">
                  <c:v>170.11296199580721</c:v>
                </c:pt>
                <c:pt idx="144">
                  <c:v>170.2382260301226</c:v>
                </c:pt>
                <c:pt idx="145">
                  <c:v>170.3836134438171</c:v>
                </c:pt>
                <c:pt idx="146">
                  <c:v>170.5234463872101</c:v>
                </c:pt>
                <c:pt idx="147">
                  <c:v>170.62812751667457</c:v>
                </c:pt>
                <c:pt idx="148">
                  <c:v>170.95373835120981</c:v>
                </c:pt>
                <c:pt idx="149">
                  <c:v>171.04312200020405</c:v>
                </c:pt>
                <c:pt idx="150">
                  <c:v>171.17835935234226</c:v>
                </c:pt>
                <c:pt idx="151">
                  <c:v>171.29439918863898</c:v>
                </c:pt>
                <c:pt idx="152">
                  <c:v>171.44451246895025</c:v>
                </c:pt>
                <c:pt idx="153">
                  <c:v>171.62779239409372</c:v>
                </c:pt>
                <c:pt idx="154">
                  <c:v>171.84170149293899</c:v>
                </c:pt>
                <c:pt idx="155">
                  <c:v>172.17544456698474</c:v>
                </c:pt>
                <c:pt idx="156">
                  <c:v>172.5394121743106</c:v>
                </c:pt>
                <c:pt idx="157">
                  <c:v>172.8046666738226</c:v>
                </c:pt>
                <c:pt idx="158">
                  <c:v>173.13432100767187</c:v>
                </c:pt>
                <c:pt idx="159">
                  <c:v>173.39419353951126</c:v>
                </c:pt>
                <c:pt idx="160">
                  <c:v>173.71353386300041</c:v>
                </c:pt>
                <c:pt idx="161">
                  <c:v>173.98593212121179</c:v>
                </c:pt>
                <c:pt idx="162">
                  <c:v>174.31001271883645</c:v>
                </c:pt>
                <c:pt idx="163">
                  <c:v>174.65688601879083</c:v>
                </c:pt>
                <c:pt idx="164">
                  <c:v>174.96851621241962</c:v>
                </c:pt>
                <c:pt idx="165">
                  <c:v>175.37307472983468</c:v>
                </c:pt>
                <c:pt idx="166">
                  <c:v>175.69978253314605</c:v>
                </c:pt>
                <c:pt idx="167">
                  <c:v>176.05841223655474</c:v>
                </c:pt>
                <c:pt idx="168">
                  <c:v>176.37718443521902</c:v>
                </c:pt>
                <c:pt idx="169">
                  <c:v>176.70241245819639</c:v>
                </c:pt>
                <c:pt idx="170">
                  <c:v>176.96167960118021</c:v>
                </c:pt>
                <c:pt idx="171">
                  <c:v>177.22622320784069</c:v>
                </c:pt>
                <c:pt idx="172">
                  <c:v>177.52147046535387</c:v>
                </c:pt>
                <c:pt idx="173">
                  <c:v>177.74133474381875</c:v>
                </c:pt>
                <c:pt idx="174">
                  <c:v>177.95848084235203</c:v>
                </c:pt>
                <c:pt idx="175">
                  <c:v>178.13782532838354</c:v>
                </c:pt>
                <c:pt idx="176">
                  <c:v>178.33862889429184</c:v>
                </c:pt>
                <c:pt idx="177">
                  <c:v>178.52408172730389</c:v>
                </c:pt>
                <c:pt idx="178">
                  <c:v>178.72825449245943</c:v>
                </c:pt>
                <c:pt idx="179">
                  <c:v>178.87449402969878</c:v>
                </c:pt>
                <c:pt idx="180">
                  <c:v>179.02178904984132</c:v>
                </c:pt>
                <c:pt idx="181">
                  <c:v>179.1287740997455</c:v>
                </c:pt>
                <c:pt idx="182">
                  <c:v>179.26703396374327</c:v>
                </c:pt>
                <c:pt idx="183">
                  <c:v>179.40030380891127</c:v>
                </c:pt>
                <c:pt idx="184">
                  <c:v>179.53259919060875</c:v>
                </c:pt>
                <c:pt idx="185">
                  <c:v>179.76896588176007</c:v>
                </c:pt>
                <c:pt idx="186">
                  <c:v>180.03171995599547</c:v>
                </c:pt>
                <c:pt idx="187">
                  <c:v>180.30012126949842</c:v>
                </c:pt>
                <c:pt idx="188">
                  <c:v>180.57740435775895</c:v>
                </c:pt>
                <c:pt idx="189">
                  <c:v>180.99626246814267</c:v>
                </c:pt>
                <c:pt idx="190">
                  <c:v>181.39868132411004</c:v>
                </c:pt>
                <c:pt idx="191">
                  <c:v>181.88675548931485</c:v>
                </c:pt>
                <c:pt idx="192">
                  <c:v>182.2915127071654</c:v>
                </c:pt>
                <c:pt idx="193">
                  <c:v>182.75586990096136</c:v>
                </c:pt>
                <c:pt idx="194">
                  <c:v>183.28786812545206</c:v>
                </c:pt>
                <c:pt idx="195">
                  <c:v>183.72236072763511</c:v>
                </c:pt>
                <c:pt idx="196">
                  <c:v>184.08552749420551</c:v>
                </c:pt>
                <c:pt idx="197">
                  <c:v>184.406071383408</c:v>
                </c:pt>
                <c:pt idx="198">
                  <c:v>184.75304221457841</c:v>
                </c:pt>
                <c:pt idx="199">
                  <c:v>185.09233518355379</c:v>
                </c:pt>
                <c:pt idx="200">
                  <c:v>185.42252207457693</c:v>
                </c:pt>
                <c:pt idx="201">
                  <c:v>185.71517697471486</c:v>
                </c:pt>
                <c:pt idx="202">
                  <c:v>185.97171218467278</c:v>
                </c:pt>
                <c:pt idx="203">
                  <c:v>186.219251236134</c:v>
                </c:pt>
                <c:pt idx="204">
                  <c:v>186.43558859376617</c:v>
                </c:pt>
                <c:pt idx="205">
                  <c:v>186.81997257281753</c:v>
                </c:pt>
                <c:pt idx="206">
                  <c:v>187.20105292293198</c:v>
                </c:pt>
                <c:pt idx="207">
                  <c:v>187.55372078398332</c:v>
                </c:pt>
                <c:pt idx="208">
                  <c:v>187.97489426258423</c:v>
                </c:pt>
                <c:pt idx="209">
                  <c:v>188.34070368245898</c:v>
                </c:pt>
                <c:pt idx="210">
                  <c:v>188.68465121581244</c:v>
                </c:pt>
                <c:pt idx="211">
                  <c:v>188.97364065586427</c:v>
                </c:pt>
                <c:pt idx="212">
                  <c:v>189.54697450743225</c:v>
                </c:pt>
                <c:pt idx="213">
                  <c:v>189.82278730747001</c:v>
                </c:pt>
                <c:pt idx="214">
                  <c:v>190.05351186677566</c:v>
                </c:pt>
                <c:pt idx="215">
                  <c:v>190.21931605709776</c:v>
                </c:pt>
                <c:pt idx="216">
                  <c:v>190.37897125505947</c:v>
                </c:pt>
                <c:pt idx="217">
                  <c:v>190.571676218341</c:v>
                </c:pt>
                <c:pt idx="218">
                  <c:v>190.74653428290117</c:v>
                </c:pt>
                <c:pt idx="219">
                  <c:v>190.9212840362797</c:v>
                </c:pt>
                <c:pt idx="220">
                  <c:v>191.13722542828174</c:v>
                </c:pt>
                <c:pt idx="221">
                  <c:v>191.36679770579173</c:v>
                </c:pt>
                <c:pt idx="222">
                  <c:v>191.57653052750337</c:v>
                </c:pt>
                <c:pt idx="223">
                  <c:v>191.80534211749861</c:v>
                </c:pt>
                <c:pt idx="224">
                  <c:v>191.99415175585517</c:v>
                </c:pt>
                <c:pt idx="225">
                  <c:v>192.15936100752955</c:v>
                </c:pt>
                <c:pt idx="226">
                  <c:v>192.48239215532288</c:v>
                </c:pt>
                <c:pt idx="227">
                  <c:v>192.84869538794112</c:v>
                </c:pt>
                <c:pt idx="228">
                  <c:v>193.29318317654804</c:v>
                </c:pt>
                <c:pt idx="229">
                  <c:v>193.67015595135931</c:v>
                </c:pt>
                <c:pt idx="230">
                  <c:v>194.06090112207605</c:v>
                </c:pt>
                <c:pt idx="231">
                  <c:v>194.52420721682427</c:v>
                </c:pt>
                <c:pt idx="232">
                  <c:v>194.99049989832002</c:v>
                </c:pt>
                <c:pt idx="233">
                  <c:v>195.42262551859878</c:v>
                </c:pt>
                <c:pt idx="234">
                  <c:v>195.7397324296557</c:v>
                </c:pt>
                <c:pt idx="235">
                  <c:v>196.06633204203933</c:v>
                </c:pt>
                <c:pt idx="236">
                  <c:v>196.45523897921089</c:v>
                </c:pt>
                <c:pt idx="237">
                  <c:v>196.90415135801737</c:v>
                </c:pt>
                <c:pt idx="238">
                  <c:v>197.3534174808932</c:v>
                </c:pt>
                <c:pt idx="239">
                  <c:v>197.82734813894612</c:v>
                </c:pt>
                <c:pt idx="240">
                  <c:v>198.27373531774731</c:v>
                </c:pt>
                <c:pt idx="241">
                  <c:v>198.77544054525941</c:v>
                </c:pt>
                <c:pt idx="242">
                  <c:v>199.26916648682644</c:v>
                </c:pt>
                <c:pt idx="243">
                  <c:v>199.84761761313922</c:v>
                </c:pt>
                <c:pt idx="244">
                  <c:v>200.39208480119748</c:v>
                </c:pt>
                <c:pt idx="245">
                  <c:v>200.93641908386067</c:v>
                </c:pt>
                <c:pt idx="246">
                  <c:v>201.39301851906944</c:v>
                </c:pt>
                <c:pt idx="247">
                  <c:v>201.8769521161968</c:v>
                </c:pt>
                <c:pt idx="248">
                  <c:v>202.50558746797688</c:v>
                </c:pt>
                <c:pt idx="249">
                  <c:v>203.19242904925594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B63-47DE-B018-245890E71849}"/>
            </c:ext>
          </c:extLst>
        </c:ser>
        <c:ser>
          <c:idx val="3"/>
          <c:order val="3"/>
          <c:tx>
            <c:strRef>
              <c:f>Data!$I$1</c:f>
              <c:strCache>
                <c:ptCount val="1"/>
                <c:pt idx="0">
                  <c:v>Minus 1 Sd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Data!$B$2:$B$251</c:f>
              <c:numCache>
                <c:formatCode>m/d/yyyy</c:formatCode>
                <c:ptCount val="250"/>
                <c:pt idx="0">
                  <c:v>45706</c:v>
                </c:pt>
                <c:pt idx="1">
                  <c:v>45707</c:v>
                </c:pt>
                <c:pt idx="2">
                  <c:v>45708</c:v>
                </c:pt>
                <c:pt idx="3">
                  <c:v>45709</c:v>
                </c:pt>
                <c:pt idx="4">
                  <c:v>45712</c:v>
                </c:pt>
                <c:pt idx="5">
                  <c:v>45713</c:v>
                </c:pt>
                <c:pt idx="6">
                  <c:v>45714</c:v>
                </c:pt>
                <c:pt idx="7">
                  <c:v>45715</c:v>
                </c:pt>
                <c:pt idx="8">
                  <c:v>45716</c:v>
                </c:pt>
                <c:pt idx="9">
                  <c:v>45719</c:v>
                </c:pt>
                <c:pt idx="10">
                  <c:v>45720</c:v>
                </c:pt>
                <c:pt idx="11">
                  <c:v>45721</c:v>
                </c:pt>
                <c:pt idx="12">
                  <c:v>45722</c:v>
                </c:pt>
                <c:pt idx="13">
                  <c:v>45723</c:v>
                </c:pt>
                <c:pt idx="14">
                  <c:v>45726</c:v>
                </c:pt>
                <c:pt idx="15">
                  <c:v>45727</c:v>
                </c:pt>
                <c:pt idx="16">
                  <c:v>45728</c:v>
                </c:pt>
                <c:pt idx="17">
                  <c:v>45729</c:v>
                </c:pt>
                <c:pt idx="18">
                  <c:v>45730</c:v>
                </c:pt>
                <c:pt idx="19">
                  <c:v>45733</c:v>
                </c:pt>
                <c:pt idx="20">
                  <c:v>45734</c:v>
                </c:pt>
                <c:pt idx="21">
                  <c:v>45735</c:v>
                </c:pt>
                <c:pt idx="22">
                  <c:v>45736</c:v>
                </c:pt>
                <c:pt idx="23">
                  <c:v>45737</c:v>
                </c:pt>
                <c:pt idx="24">
                  <c:v>45740</c:v>
                </c:pt>
                <c:pt idx="25">
                  <c:v>45741</c:v>
                </c:pt>
                <c:pt idx="26">
                  <c:v>45742</c:v>
                </c:pt>
                <c:pt idx="27">
                  <c:v>45743</c:v>
                </c:pt>
                <c:pt idx="28">
                  <c:v>45744</c:v>
                </c:pt>
                <c:pt idx="29">
                  <c:v>45747</c:v>
                </c:pt>
                <c:pt idx="30">
                  <c:v>45748</c:v>
                </c:pt>
                <c:pt idx="31">
                  <c:v>45749</c:v>
                </c:pt>
                <c:pt idx="32">
                  <c:v>45750</c:v>
                </c:pt>
                <c:pt idx="33">
                  <c:v>45751</c:v>
                </c:pt>
                <c:pt idx="34">
                  <c:v>45754</c:v>
                </c:pt>
                <c:pt idx="35">
                  <c:v>45755</c:v>
                </c:pt>
                <c:pt idx="36">
                  <c:v>45756</c:v>
                </c:pt>
                <c:pt idx="37">
                  <c:v>45757</c:v>
                </c:pt>
                <c:pt idx="38">
                  <c:v>45758</c:v>
                </c:pt>
                <c:pt idx="39">
                  <c:v>45761</c:v>
                </c:pt>
                <c:pt idx="40">
                  <c:v>45762</c:v>
                </c:pt>
                <c:pt idx="41">
                  <c:v>45763</c:v>
                </c:pt>
                <c:pt idx="42">
                  <c:v>45764</c:v>
                </c:pt>
                <c:pt idx="43">
                  <c:v>45768</c:v>
                </c:pt>
                <c:pt idx="44">
                  <c:v>45769</c:v>
                </c:pt>
                <c:pt idx="45">
                  <c:v>45770</c:v>
                </c:pt>
                <c:pt idx="46">
                  <c:v>45771</c:v>
                </c:pt>
                <c:pt idx="47">
                  <c:v>45772</c:v>
                </c:pt>
                <c:pt idx="48">
                  <c:v>45775</c:v>
                </c:pt>
                <c:pt idx="49">
                  <c:v>45776</c:v>
                </c:pt>
                <c:pt idx="50">
                  <c:v>45777</c:v>
                </c:pt>
                <c:pt idx="51">
                  <c:v>45778</c:v>
                </c:pt>
                <c:pt idx="52">
                  <c:v>45779</c:v>
                </c:pt>
                <c:pt idx="53">
                  <c:v>45782</c:v>
                </c:pt>
                <c:pt idx="54">
                  <c:v>45783</c:v>
                </c:pt>
                <c:pt idx="55">
                  <c:v>45784</c:v>
                </c:pt>
                <c:pt idx="56">
                  <c:v>45785</c:v>
                </c:pt>
                <c:pt idx="57">
                  <c:v>45786</c:v>
                </c:pt>
                <c:pt idx="58">
                  <c:v>45789</c:v>
                </c:pt>
                <c:pt idx="59">
                  <c:v>45790</c:v>
                </c:pt>
                <c:pt idx="60">
                  <c:v>45791</c:v>
                </c:pt>
                <c:pt idx="61">
                  <c:v>45792</c:v>
                </c:pt>
                <c:pt idx="62">
                  <c:v>45793</c:v>
                </c:pt>
                <c:pt idx="63">
                  <c:v>45796</c:v>
                </c:pt>
                <c:pt idx="64">
                  <c:v>45797</c:v>
                </c:pt>
                <c:pt idx="65">
                  <c:v>45798</c:v>
                </c:pt>
                <c:pt idx="66">
                  <c:v>45799</c:v>
                </c:pt>
                <c:pt idx="67">
                  <c:v>45800</c:v>
                </c:pt>
                <c:pt idx="68">
                  <c:v>45804</c:v>
                </c:pt>
                <c:pt idx="69">
                  <c:v>45805</c:v>
                </c:pt>
                <c:pt idx="70">
                  <c:v>45806</c:v>
                </c:pt>
                <c:pt idx="71">
                  <c:v>45807</c:v>
                </c:pt>
                <c:pt idx="72">
                  <c:v>45810</c:v>
                </c:pt>
                <c:pt idx="73">
                  <c:v>45811</c:v>
                </c:pt>
                <c:pt idx="74">
                  <c:v>45812</c:v>
                </c:pt>
                <c:pt idx="75">
                  <c:v>45813</c:v>
                </c:pt>
                <c:pt idx="76">
                  <c:v>45814</c:v>
                </c:pt>
                <c:pt idx="77">
                  <c:v>45817</c:v>
                </c:pt>
                <c:pt idx="78">
                  <c:v>45818</c:v>
                </c:pt>
                <c:pt idx="79">
                  <c:v>45819</c:v>
                </c:pt>
                <c:pt idx="80">
                  <c:v>45820</c:v>
                </c:pt>
                <c:pt idx="81">
                  <c:v>45821</c:v>
                </c:pt>
                <c:pt idx="82">
                  <c:v>45824</c:v>
                </c:pt>
                <c:pt idx="83">
                  <c:v>45825</c:v>
                </c:pt>
                <c:pt idx="84">
                  <c:v>45826</c:v>
                </c:pt>
                <c:pt idx="85">
                  <c:v>45828</c:v>
                </c:pt>
                <c:pt idx="86">
                  <c:v>45831</c:v>
                </c:pt>
                <c:pt idx="87">
                  <c:v>45832</c:v>
                </c:pt>
                <c:pt idx="88">
                  <c:v>45833</c:v>
                </c:pt>
                <c:pt idx="89">
                  <c:v>45834</c:v>
                </c:pt>
                <c:pt idx="90">
                  <c:v>45835</c:v>
                </c:pt>
                <c:pt idx="91">
                  <c:v>45838</c:v>
                </c:pt>
                <c:pt idx="92">
                  <c:v>45839</c:v>
                </c:pt>
                <c:pt idx="93">
                  <c:v>45840</c:v>
                </c:pt>
                <c:pt idx="94">
                  <c:v>45841</c:v>
                </c:pt>
                <c:pt idx="95">
                  <c:v>45845</c:v>
                </c:pt>
                <c:pt idx="96">
                  <c:v>45846</c:v>
                </c:pt>
                <c:pt idx="97">
                  <c:v>45847</c:v>
                </c:pt>
                <c:pt idx="98">
                  <c:v>45848</c:v>
                </c:pt>
                <c:pt idx="99">
                  <c:v>45849</c:v>
                </c:pt>
                <c:pt idx="100">
                  <c:v>45852</c:v>
                </c:pt>
                <c:pt idx="101">
                  <c:v>45853</c:v>
                </c:pt>
                <c:pt idx="102">
                  <c:v>45854</c:v>
                </c:pt>
                <c:pt idx="103">
                  <c:v>45855</c:v>
                </c:pt>
                <c:pt idx="104">
                  <c:v>45856</c:v>
                </c:pt>
                <c:pt idx="105">
                  <c:v>45859</c:v>
                </c:pt>
                <c:pt idx="106">
                  <c:v>45860</c:v>
                </c:pt>
                <c:pt idx="107">
                  <c:v>45861</c:v>
                </c:pt>
                <c:pt idx="108">
                  <c:v>45862</c:v>
                </c:pt>
                <c:pt idx="109">
                  <c:v>45863</c:v>
                </c:pt>
                <c:pt idx="110">
                  <c:v>45866</c:v>
                </c:pt>
                <c:pt idx="111">
                  <c:v>45867</c:v>
                </c:pt>
                <c:pt idx="112">
                  <c:v>45868</c:v>
                </c:pt>
                <c:pt idx="113">
                  <c:v>45869</c:v>
                </c:pt>
                <c:pt idx="114">
                  <c:v>45870</c:v>
                </c:pt>
                <c:pt idx="115">
                  <c:v>45873</c:v>
                </c:pt>
                <c:pt idx="116">
                  <c:v>45874</c:v>
                </c:pt>
                <c:pt idx="117">
                  <c:v>45875</c:v>
                </c:pt>
                <c:pt idx="118">
                  <c:v>45876</c:v>
                </c:pt>
                <c:pt idx="119">
                  <c:v>45877</c:v>
                </c:pt>
                <c:pt idx="120">
                  <c:v>45880</c:v>
                </c:pt>
                <c:pt idx="121">
                  <c:v>45881</c:v>
                </c:pt>
                <c:pt idx="122">
                  <c:v>45882</c:v>
                </c:pt>
                <c:pt idx="123">
                  <c:v>45883</c:v>
                </c:pt>
                <c:pt idx="124">
                  <c:v>45884</c:v>
                </c:pt>
                <c:pt idx="125">
                  <c:v>45887</c:v>
                </c:pt>
                <c:pt idx="126">
                  <c:v>45888</c:v>
                </c:pt>
                <c:pt idx="127">
                  <c:v>45889</c:v>
                </c:pt>
                <c:pt idx="128">
                  <c:v>45890</c:v>
                </c:pt>
                <c:pt idx="129">
                  <c:v>45891</c:v>
                </c:pt>
                <c:pt idx="130">
                  <c:v>45894</c:v>
                </c:pt>
                <c:pt idx="131">
                  <c:v>45895</c:v>
                </c:pt>
                <c:pt idx="132">
                  <c:v>45896</c:v>
                </c:pt>
                <c:pt idx="133">
                  <c:v>45897</c:v>
                </c:pt>
                <c:pt idx="134">
                  <c:v>45898</c:v>
                </c:pt>
                <c:pt idx="135">
                  <c:v>45902</c:v>
                </c:pt>
                <c:pt idx="136">
                  <c:v>45903</c:v>
                </c:pt>
                <c:pt idx="137">
                  <c:v>45904</c:v>
                </c:pt>
                <c:pt idx="138">
                  <c:v>45905</c:v>
                </c:pt>
                <c:pt idx="139">
                  <c:v>45908</c:v>
                </c:pt>
                <c:pt idx="140">
                  <c:v>45909</c:v>
                </c:pt>
                <c:pt idx="141">
                  <c:v>45910</c:v>
                </c:pt>
                <c:pt idx="142">
                  <c:v>45911</c:v>
                </c:pt>
                <c:pt idx="143">
                  <c:v>45912</c:v>
                </c:pt>
                <c:pt idx="144">
                  <c:v>45915</c:v>
                </c:pt>
                <c:pt idx="145">
                  <c:v>45916</c:v>
                </c:pt>
                <c:pt idx="146">
                  <c:v>45917</c:v>
                </c:pt>
                <c:pt idx="147">
                  <c:v>45918</c:v>
                </c:pt>
                <c:pt idx="148">
                  <c:v>45919</c:v>
                </c:pt>
                <c:pt idx="149">
                  <c:v>45922</c:v>
                </c:pt>
                <c:pt idx="150">
                  <c:v>45923</c:v>
                </c:pt>
                <c:pt idx="151">
                  <c:v>45924</c:v>
                </c:pt>
                <c:pt idx="152">
                  <c:v>45925</c:v>
                </c:pt>
                <c:pt idx="153">
                  <c:v>45926</c:v>
                </c:pt>
                <c:pt idx="154">
                  <c:v>45929</c:v>
                </c:pt>
                <c:pt idx="155">
                  <c:v>45930</c:v>
                </c:pt>
                <c:pt idx="156">
                  <c:v>45931</c:v>
                </c:pt>
                <c:pt idx="157">
                  <c:v>45932</c:v>
                </c:pt>
                <c:pt idx="158">
                  <c:v>45933</c:v>
                </c:pt>
                <c:pt idx="159">
                  <c:v>45936</c:v>
                </c:pt>
                <c:pt idx="160">
                  <c:v>45937</c:v>
                </c:pt>
                <c:pt idx="161">
                  <c:v>45938</c:v>
                </c:pt>
                <c:pt idx="162">
                  <c:v>45939</c:v>
                </c:pt>
                <c:pt idx="163">
                  <c:v>45940</c:v>
                </c:pt>
                <c:pt idx="164">
                  <c:v>45943</c:v>
                </c:pt>
                <c:pt idx="165">
                  <c:v>45944</c:v>
                </c:pt>
                <c:pt idx="166">
                  <c:v>45945</c:v>
                </c:pt>
                <c:pt idx="167">
                  <c:v>45946</c:v>
                </c:pt>
                <c:pt idx="168">
                  <c:v>45947</c:v>
                </c:pt>
                <c:pt idx="169">
                  <c:v>45950</c:v>
                </c:pt>
                <c:pt idx="170">
                  <c:v>45951</c:v>
                </c:pt>
                <c:pt idx="171">
                  <c:v>45952</c:v>
                </c:pt>
                <c:pt idx="172">
                  <c:v>45953</c:v>
                </c:pt>
                <c:pt idx="173">
                  <c:v>45954</c:v>
                </c:pt>
                <c:pt idx="174">
                  <c:v>45957</c:v>
                </c:pt>
                <c:pt idx="175">
                  <c:v>45958</c:v>
                </c:pt>
                <c:pt idx="176">
                  <c:v>45959</c:v>
                </c:pt>
                <c:pt idx="177">
                  <c:v>45960</c:v>
                </c:pt>
                <c:pt idx="178">
                  <c:v>45961</c:v>
                </c:pt>
                <c:pt idx="179">
                  <c:v>45964</c:v>
                </c:pt>
                <c:pt idx="180">
                  <c:v>45965</c:v>
                </c:pt>
                <c:pt idx="181">
                  <c:v>45966</c:v>
                </c:pt>
                <c:pt idx="182">
                  <c:v>45967</c:v>
                </c:pt>
                <c:pt idx="183">
                  <c:v>45968</c:v>
                </c:pt>
                <c:pt idx="184">
                  <c:v>45971</c:v>
                </c:pt>
                <c:pt idx="185">
                  <c:v>45972</c:v>
                </c:pt>
                <c:pt idx="186">
                  <c:v>45973</c:v>
                </c:pt>
                <c:pt idx="187">
                  <c:v>45974</c:v>
                </c:pt>
                <c:pt idx="188">
                  <c:v>45975</c:v>
                </c:pt>
                <c:pt idx="189">
                  <c:v>45978</c:v>
                </c:pt>
                <c:pt idx="190">
                  <c:v>45979</c:v>
                </c:pt>
                <c:pt idx="191">
                  <c:v>45980</c:v>
                </c:pt>
                <c:pt idx="192">
                  <c:v>45981</c:v>
                </c:pt>
                <c:pt idx="193">
                  <c:v>45982</c:v>
                </c:pt>
                <c:pt idx="194">
                  <c:v>45985</c:v>
                </c:pt>
                <c:pt idx="195">
                  <c:v>45986</c:v>
                </c:pt>
                <c:pt idx="196">
                  <c:v>45987</c:v>
                </c:pt>
                <c:pt idx="197">
                  <c:v>45989</c:v>
                </c:pt>
                <c:pt idx="198">
                  <c:v>45992</c:v>
                </c:pt>
                <c:pt idx="199">
                  <c:v>45993</c:v>
                </c:pt>
                <c:pt idx="200">
                  <c:v>45994</c:v>
                </c:pt>
                <c:pt idx="201">
                  <c:v>45995</c:v>
                </c:pt>
                <c:pt idx="202">
                  <c:v>45996</c:v>
                </c:pt>
                <c:pt idx="203">
                  <c:v>45999</c:v>
                </c:pt>
                <c:pt idx="204">
                  <c:v>46000</c:v>
                </c:pt>
                <c:pt idx="205">
                  <c:v>46001</c:v>
                </c:pt>
                <c:pt idx="206">
                  <c:v>46002</c:v>
                </c:pt>
                <c:pt idx="207">
                  <c:v>46003</c:v>
                </c:pt>
                <c:pt idx="208">
                  <c:v>46006</c:v>
                </c:pt>
                <c:pt idx="209">
                  <c:v>46007</c:v>
                </c:pt>
                <c:pt idx="210">
                  <c:v>46008</c:v>
                </c:pt>
                <c:pt idx="211">
                  <c:v>46009</c:v>
                </c:pt>
                <c:pt idx="212">
                  <c:v>46010</c:v>
                </c:pt>
                <c:pt idx="213">
                  <c:v>46013</c:v>
                </c:pt>
                <c:pt idx="214">
                  <c:v>46014</c:v>
                </c:pt>
                <c:pt idx="215">
                  <c:v>46015</c:v>
                </c:pt>
                <c:pt idx="216">
                  <c:v>46017</c:v>
                </c:pt>
                <c:pt idx="217">
                  <c:v>46020</c:v>
                </c:pt>
                <c:pt idx="218">
                  <c:v>46021</c:v>
                </c:pt>
                <c:pt idx="219">
                  <c:v>46022</c:v>
                </c:pt>
                <c:pt idx="220">
                  <c:v>46024</c:v>
                </c:pt>
                <c:pt idx="221">
                  <c:v>46027</c:v>
                </c:pt>
                <c:pt idx="222">
                  <c:v>46028</c:v>
                </c:pt>
                <c:pt idx="223">
                  <c:v>46029</c:v>
                </c:pt>
                <c:pt idx="224">
                  <c:v>46030</c:v>
                </c:pt>
                <c:pt idx="225">
                  <c:v>46031</c:v>
                </c:pt>
                <c:pt idx="226">
                  <c:v>46034</c:v>
                </c:pt>
                <c:pt idx="227">
                  <c:v>46035</c:v>
                </c:pt>
                <c:pt idx="228">
                  <c:v>46036</c:v>
                </c:pt>
                <c:pt idx="229">
                  <c:v>46037</c:v>
                </c:pt>
                <c:pt idx="230">
                  <c:v>46038</c:v>
                </c:pt>
                <c:pt idx="231">
                  <c:v>46042</c:v>
                </c:pt>
                <c:pt idx="232">
                  <c:v>46043</c:v>
                </c:pt>
                <c:pt idx="233">
                  <c:v>46044</c:v>
                </c:pt>
                <c:pt idx="234">
                  <c:v>46045</c:v>
                </c:pt>
                <c:pt idx="235">
                  <c:v>46048</c:v>
                </c:pt>
                <c:pt idx="236">
                  <c:v>46049</c:v>
                </c:pt>
                <c:pt idx="237">
                  <c:v>46050</c:v>
                </c:pt>
                <c:pt idx="238">
                  <c:v>46051</c:v>
                </c:pt>
                <c:pt idx="239">
                  <c:v>46052</c:v>
                </c:pt>
                <c:pt idx="240">
                  <c:v>46055</c:v>
                </c:pt>
                <c:pt idx="241">
                  <c:v>46056</c:v>
                </c:pt>
                <c:pt idx="242">
                  <c:v>46057</c:v>
                </c:pt>
                <c:pt idx="243">
                  <c:v>46058</c:v>
                </c:pt>
                <c:pt idx="244">
                  <c:v>46059</c:v>
                </c:pt>
                <c:pt idx="245">
                  <c:v>46062</c:v>
                </c:pt>
                <c:pt idx="246">
                  <c:v>46063</c:v>
                </c:pt>
                <c:pt idx="247">
                  <c:v>46064</c:v>
                </c:pt>
                <c:pt idx="248">
                  <c:v>46065</c:v>
                </c:pt>
                <c:pt idx="249">
                  <c:v>46066</c:v>
                </c:pt>
              </c:numCache>
            </c:numRef>
          </c:cat>
          <c:val>
            <c:numRef>
              <c:f>Data!$I$2:$I$251</c:f>
              <c:numCache>
                <c:formatCode>General</c:formatCode>
                <c:ptCount val="250"/>
                <c:pt idx="0">
                  <c:v>154.99</c:v>
                </c:pt>
                <c:pt idx="1">
                  <c:v>154.85063866925495</c:v>
                </c:pt>
                <c:pt idx="2">
                  <c:v>155.34979329242105</c:v>
                </c:pt>
                <c:pt idx="3">
                  <c:v>156.30312722806707</c:v>
                </c:pt>
                <c:pt idx="4">
                  <c:v>156.87214644883306</c:v>
                </c:pt>
                <c:pt idx="5">
                  <c:v>157.5360282177565</c:v>
                </c:pt>
                <c:pt idx="6">
                  <c:v>158.01171406896253</c:v>
                </c:pt>
                <c:pt idx="7">
                  <c:v>158.35768559395271</c:v>
                </c:pt>
                <c:pt idx="8">
                  <c:v>158.78815646916152</c:v>
                </c:pt>
                <c:pt idx="9">
                  <c:v>159.03671284717137</c:v>
                </c:pt>
                <c:pt idx="10">
                  <c:v>159.38995920637345</c:v>
                </c:pt>
                <c:pt idx="11">
                  <c:v>159.63016370374913</c:v>
                </c:pt>
                <c:pt idx="12">
                  <c:v>159.84294994906276</c:v>
                </c:pt>
                <c:pt idx="13">
                  <c:v>160.07650727919545</c:v>
                </c:pt>
                <c:pt idx="14">
                  <c:v>160.48866021159515</c:v>
                </c:pt>
                <c:pt idx="15">
                  <c:v>160.66847477478922</c:v>
                </c:pt>
                <c:pt idx="16">
                  <c:v>160.70664273167733</c:v>
                </c:pt>
                <c:pt idx="17">
                  <c:v>160.76539897053155</c:v>
                </c:pt>
                <c:pt idx="18">
                  <c:v>160.80582172530734</c:v>
                </c:pt>
                <c:pt idx="19">
                  <c:v>160.842069288712</c:v>
                </c:pt>
                <c:pt idx="20">
                  <c:v>160.92506615723954</c:v>
                </c:pt>
                <c:pt idx="21">
                  <c:v>160.96407468092306</c:v>
                </c:pt>
                <c:pt idx="22">
                  <c:v>160.9952589573233</c:v>
                </c:pt>
                <c:pt idx="23">
                  <c:v>161.03760044321058</c:v>
                </c:pt>
                <c:pt idx="24">
                  <c:v>161.07485895424145</c:v>
                </c:pt>
                <c:pt idx="25">
                  <c:v>160.99942316560401</c:v>
                </c:pt>
                <c:pt idx="26">
                  <c:v>160.97292543207394</c:v>
                </c:pt>
                <c:pt idx="27">
                  <c:v>161.00682650407285</c:v>
                </c:pt>
                <c:pt idx="28">
                  <c:v>161.0533159263062</c:v>
                </c:pt>
                <c:pt idx="29">
                  <c:v>161.15740865255137</c:v>
                </c:pt>
                <c:pt idx="30">
                  <c:v>159.81653093851509</c:v>
                </c:pt>
                <c:pt idx="31">
                  <c:v>159.33023934680193</c:v>
                </c:pt>
                <c:pt idx="32">
                  <c:v>159.2222348012221</c:v>
                </c:pt>
                <c:pt idx="33">
                  <c:v>158.44524345533654</c:v>
                </c:pt>
                <c:pt idx="34">
                  <c:v>157.41430072505042</c:v>
                </c:pt>
                <c:pt idx="35">
                  <c:v>156.63448824958996</c:v>
                </c:pt>
                <c:pt idx="36">
                  <c:v>155.87137632224582</c:v>
                </c:pt>
                <c:pt idx="37">
                  <c:v>155.09852383049292</c:v>
                </c:pt>
                <c:pt idx="38">
                  <c:v>154.74508723454926</c:v>
                </c:pt>
                <c:pt idx="39">
                  <c:v>154.56812174374326</c:v>
                </c:pt>
                <c:pt idx="40">
                  <c:v>154.36207766557351</c:v>
                </c:pt>
                <c:pt idx="41">
                  <c:v>154.22405784446968</c:v>
                </c:pt>
                <c:pt idx="42">
                  <c:v>154.21555467689723</c:v>
                </c:pt>
                <c:pt idx="43">
                  <c:v>154.21532577762289</c:v>
                </c:pt>
                <c:pt idx="44">
                  <c:v>154.23378527721246</c:v>
                </c:pt>
                <c:pt idx="45">
                  <c:v>154.1642982947526</c:v>
                </c:pt>
                <c:pt idx="46">
                  <c:v>154.08936425960505</c:v>
                </c:pt>
                <c:pt idx="47">
                  <c:v>154.00291778201833</c:v>
                </c:pt>
                <c:pt idx="48">
                  <c:v>153.97144822824438</c:v>
                </c:pt>
                <c:pt idx="49">
                  <c:v>153.96098375254604</c:v>
                </c:pt>
                <c:pt idx="50">
                  <c:v>153.93650240636063</c:v>
                </c:pt>
                <c:pt idx="51">
                  <c:v>153.87139729652986</c:v>
                </c:pt>
                <c:pt idx="52">
                  <c:v>153.86573054337927</c:v>
                </c:pt>
                <c:pt idx="53">
                  <c:v>153.83647829052788</c:v>
                </c:pt>
                <c:pt idx="54">
                  <c:v>153.76847089370909</c:v>
                </c:pt>
                <c:pt idx="55">
                  <c:v>153.78410412516743</c:v>
                </c:pt>
                <c:pt idx="56">
                  <c:v>153.76227120150963</c:v>
                </c:pt>
                <c:pt idx="57">
                  <c:v>153.71067100182788</c:v>
                </c:pt>
                <c:pt idx="58">
                  <c:v>153.63911487688515</c:v>
                </c:pt>
                <c:pt idx="59">
                  <c:v>153.31620179626313</c:v>
                </c:pt>
                <c:pt idx="60">
                  <c:v>152.91193386429509</c:v>
                </c:pt>
                <c:pt idx="61">
                  <c:v>152.72082816966991</c:v>
                </c:pt>
                <c:pt idx="62">
                  <c:v>152.59984588253405</c:v>
                </c:pt>
                <c:pt idx="63">
                  <c:v>152.47926287701992</c:v>
                </c:pt>
                <c:pt idx="64">
                  <c:v>152.44106415775073</c:v>
                </c:pt>
                <c:pt idx="65">
                  <c:v>152.39516302226087</c:v>
                </c:pt>
                <c:pt idx="66">
                  <c:v>152.33289427809109</c:v>
                </c:pt>
                <c:pt idx="67">
                  <c:v>152.28773221805207</c:v>
                </c:pt>
                <c:pt idx="68">
                  <c:v>152.24975634469908</c:v>
                </c:pt>
                <c:pt idx="69">
                  <c:v>152.1823659622076</c:v>
                </c:pt>
                <c:pt idx="70">
                  <c:v>152.15625176101071</c:v>
                </c:pt>
                <c:pt idx="71">
                  <c:v>152.13060995213795</c:v>
                </c:pt>
                <c:pt idx="72">
                  <c:v>152.13997583852023</c:v>
                </c:pt>
                <c:pt idx="73">
                  <c:v>152.12623418172353</c:v>
                </c:pt>
                <c:pt idx="74">
                  <c:v>152.0954051203519</c:v>
                </c:pt>
                <c:pt idx="75">
                  <c:v>152.08348590731708</c:v>
                </c:pt>
                <c:pt idx="76">
                  <c:v>152.09244584935919</c:v>
                </c:pt>
                <c:pt idx="77">
                  <c:v>152.10417031687911</c:v>
                </c:pt>
                <c:pt idx="78">
                  <c:v>152.12744852819552</c:v>
                </c:pt>
                <c:pt idx="79">
                  <c:v>152.13703510432941</c:v>
                </c:pt>
                <c:pt idx="80">
                  <c:v>152.16170817384364</c:v>
                </c:pt>
                <c:pt idx="81">
                  <c:v>152.19089503942087</c:v>
                </c:pt>
                <c:pt idx="82">
                  <c:v>152.19632682472883</c:v>
                </c:pt>
                <c:pt idx="83">
                  <c:v>152.15626843917988</c:v>
                </c:pt>
                <c:pt idx="84">
                  <c:v>152.06611720949394</c:v>
                </c:pt>
                <c:pt idx="85">
                  <c:v>151.8219334764006</c:v>
                </c:pt>
                <c:pt idx="86">
                  <c:v>151.76151980591766</c:v>
                </c:pt>
                <c:pt idx="87">
                  <c:v>151.7084534469596</c:v>
                </c:pt>
                <c:pt idx="88">
                  <c:v>151.67263440051912</c:v>
                </c:pt>
                <c:pt idx="89">
                  <c:v>151.63283398629076</c:v>
                </c:pt>
                <c:pt idx="90">
                  <c:v>151.586601272732</c:v>
                </c:pt>
                <c:pt idx="91">
                  <c:v>151.55361697070018</c:v>
                </c:pt>
                <c:pt idx="92">
                  <c:v>151.5698786037203</c:v>
                </c:pt>
                <c:pt idx="93">
                  <c:v>151.58806169107186</c:v>
                </c:pt>
                <c:pt idx="94">
                  <c:v>151.61159985325048</c:v>
                </c:pt>
                <c:pt idx="95">
                  <c:v>151.62524140697795</c:v>
                </c:pt>
                <c:pt idx="96">
                  <c:v>151.64358875575206</c:v>
                </c:pt>
                <c:pt idx="97">
                  <c:v>151.66615306469674</c:v>
                </c:pt>
                <c:pt idx="98">
                  <c:v>151.69826402694619</c:v>
                </c:pt>
                <c:pt idx="99">
                  <c:v>151.72489648943164</c:v>
                </c:pt>
                <c:pt idx="100">
                  <c:v>151.75061599698321</c:v>
                </c:pt>
                <c:pt idx="101">
                  <c:v>151.76064297968509</c:v>
                </c:pt>
                <c:pt idx="102">
                  <c:v>151.91293827396919</c:v>
                </c:pt>
                <c:pt idx="103">
                  <c:v>151.97375393438028</c:v>
                </c:pt>
                <c:pt idx="104">
                  <c:v>152.02327929306841</c:v>
                </c:pt>
                <c:pt idx="105">
                  <c:v>152.05931422226195</c:v>
                </c:pt>
                <c:pt idx="106">
                  <c:v>152.0788546850016</c:v>
                </c:pt>
                <c:pt idx="107">
                  <c:v>152.10478412769595</c:v>
                </c:pt>
                <c:pt idx="108">
                  <c:v>152.08124223744511</c:v>
                </c:pt>
                <c:pt idx="109">
                  <c:v>152.07429558253708</c:v>
                </c:pt>
                <c:pt idx="110">
                  <c:v>152.1057121186611</c:v>
                </c:pt>
                <c:pt idx="111">
                  <c:v>152.12032443274506</c:v>
                </c:pt>
                <c:pt idx="112">
                  <c:v>152.13043468832805</c:v>
                </c:pt>
                <c:pt idx="113">
                  <c:v>152.19197858807675</c:v>
                </c:pt>
                <c:pt idx="114">
                  <c:v>152.22856881259364</c:v>
                </c:pt>
                <c:pt idx="115">
                  <c:v>152.28129047492715</c:v>
                </c:pt>
                <c:pt idx="116">
                  <c:v>152.28216579906942</c:v>
                </c:pt>
                <c:pt idx="117">
                  <c:v>152.29994616924847</c:v>
                </c:pt>
                <c:pt idx="118">
                  <c:v>152.31591873556729</c:v>
                </c:pt>
                <c:pt idx="119">
                  <c:v>152.2941515828569</c:v>
                </c:pt>
                <c:pt idx="120">
                  <c:v>152.26574883537489</c:v>
                </c:pt>
                <c:pt idx="121">
                  <c:v>152.26419694389173</c:v>
                </c:pt>
                <c:pt idx="122">
                  <c:v>152.21920744186269</c:v>
                </c:pt>
                <c:pt idx="123">
                  <c:v>152.20964443689348</c:v>
                </c:pt>
                <c:pt idx="124">
                  <c:v>152.20088045960307</c:v>
                </c:pt>
                <c:pt idx="125">
                  <c:v>152.19996220871852</c:v>
                </c:pt>
                <c:pt idx="126">
                  <c:v>152.18632844847238</c:v>
                </c:pt>
                <c:pt idx="127">
                  <c:v>152.16261315843465</c:v>
                </c:pt>
                <c:pt idx="128">
                  <c:v>152.14242993018445</c:v>
                </c:pt>
                <c:pt idx="129">
                  <c:v>152.1358813196282</c:v>
                </c:pt>
                <c:pt idx="130">
                  <c:v>152.09329480650067</c:v>
                </c:pt>
                <c:pt idx="131">
                  <c:v>152.11918782155726</c:v>
                </c:pt>
                <c:pt idx="132">
                  <c:v>152.10100540648386</c:v>
                </c:pt>
                <c:pt idx="133">
                  <c:v>152.10565087158056</c:v>
                </c:pt>
                <c:pt idx="134">
                  <c:v>152.1043851476629</c:v>
                </c:pt>
                <c:pt idx="135">
                  <c:v>152.12861787953432</c:v>
                </c:pt>
                <c:pt idx="136">
                  <c:v>152.12864732330334</c:v>
                </c:pt>
                <c:pt idx="137">
                  <c:v>152.13595643325579</c:v>
                </c:pt>
                <c:pt idx="138">
                  <c:v>152.1762207594748</c:v>
                </c:pt>
                <c:pt idx="139">
                  <c:v>152.20196712115654</c:v>
                </c:pt>
                <c:pt idx="140">
                  <c:v>152.20757944273154</c:v>
                </c:pt>
                <c:pt idx="141">
                  <c:v>152.23434909576383</c:v>
                </c:pt>
                <c:pt idx="142">
                  <c:v>152.22846850335316</c:v>
                </c:pt>
                <c:pt idx="143">
                  <c:v>152.24801628735639</c:v>
                </c:pt>
                <c:pt idx="144">
                  <c:v>152.24322926741402</c:v>
                </c:pt>
                <c:pt idx="145">
                  <c:v>152.28537771337361</c:v>
                </c:pt>
                <c:pt idx="146">
                  <c:v>152.30962522784282</c:v>
                </c:pt>
                <c:pt idx="147">
                  <c:v>152.36488422393603</c:v>
                </c:pt>
                <c:pt idx="148">
                  <c:v>152.60433928262719</c:v>
                </c:pt>
                <c:pt idx="149">
                  <c:v>152.64846368330251</c:v>
                </c:pt>
                <c:pt idx="150">
                  <c:v>152.69578118016804</c:v>
                </c:pt>
                <c:pt idx="151">
                  <c:v>152.72516678006139</c:v>
                </c:pt>
                <c:pt idx="152">
                  <c:v>152.77052530293528</c:v>
                </c:pt>
                <c:pt idx="153">
                  <c:v>152.80883587933801</c:v>
                </c:pt>
                <c:pt idx="154">
                  <c:v>152.83659651031329</c:v>
                </c:pt>
                <c:pt idx="155">
                  <c:v>152.88652123142495</c:v>
                </c:pt>
                <c:pt idx="156">
                  <c:v>152.95991288786291</c:v>
                </c:pt>
                <c:pt idx="157">
                  <c:v>152.94881084841924</c:v>
                </c:pt>
                <c:pt idx="158">
                  <c:v>152.93362983396656</c:v>
                </c:pt>
                <c:pt idx="159">
                  <c:v>152.87818805941413</c:v>
                </c:pt>
                <c:pt idx="160">
                  <c:v>152.87366106370143</c:v>
                </c:pt>
                <c:pt idx="161">
                  <c:v>152.81185427346756</c:v>
                </c:pt>
                <c:pt idx="162">
                  <c:v>152.77369933449148</c:v>
                </c:pt>
                <c:pt idx="163">
                  <c:v>152.7844496546935</c:v>
                </c:pt>
                <c:pt idx="164">
                  <c:v>152.76853144881829</c:v>
                </c:pt>
                <c:pt idx="165">
                  <c:v>152.86019276211073</c:v>
                </c:pt>
                <c:pt idx="166">
                  <c:v>152.87750378721569</c:v>
                </c:pt>
                <c:pt idx="167">
                  <c:v>152.91252666438302</c:v>
                </c:pt>
                <c:pt idx="168">
                  <c:v>152.88959969539377</c:v>
                </c:pt>
                <c:pt idx="169">
                  <c:v>152.87262468791883</c:v>
                </c:pt>
                <c:pt idx="170">
                  <c:v>152.85230684186428</c:v>
                </c:pt>
                <c:pt idx="171">
                  <c:v>152.82031230924571</c:v>
                </c:pt>
                <c:pt idx="172">
                  <c:v>152.84204242636324</c:v>
                </c:pt>
                <c:pt idx="173">
                  <c:v>152.8475162971522</c:v>
                </c:pt>
                <c:pt idx="174">
                  <c:v>152.85995327191316</c:v>
                </c:pt>
                <c:pt idx="175">
                  <c:v>152.91033495898046</c:v>
                </c:pt>
                <c:pt idx="176">
                  <c:v>152.99260071585525</c:v>
                </c:pt>
                <c:pt idx="177">
                  <c:v>153.0167321974057</c:v>
                </c:pt>
                <c:pt idx="178">
                  <c:v>153.06848977202714</c:v>
                </c:pt>
                <c:pt idx="179">
                  <c:v>153.11487970589513</c:v>
                </c:pt>
                <c:pt idx="180">
                  <c:v>153.15540895061318</c:v>
                </c:pt>
                <c:pt idx="181">
                  <c:v>153.17356683847777</c:v>
                </c:pt>
                <c:pt idx="182">
                  <c:v>153.20993543990252</c:v>
                </c:pt>
                <c:pt idx="183">
                  <c:v>153.25128656316681</c:v>
                </c:pt>
                <c:pt idx="184">
                  <c:v>153.26362451318064</c:v>
                </c:pt>
                <c:pt idx="185">
                  <c:v>153.27802613014737</c:v>
                </c:pt>
                <c:pt idx="186">
                  <c:v>153.31403845989877</c:v>
                </c:pt>
                <c:pt idx="187">
                  <c:v>153.34448627962834</c:v>
                </c:pt>
                <c:pt idx="188">
                  <c:v>153.37676048272385</c:v>
                </c:pt>
                <c:pt idx="189">
                  <c:v>153.47464250438759</c:v>
                </c:pt>
                <c:pt idx="190">
                  <c:v>153.55702984460117</c:v>
                </c:pt>
                <c:pt idx="191">
                  <c:v>153.67442145206394</c:v>
                </c:pt>
                <c:pt idx="192">
                  <c:v>153.70752677940925</c:v>
                </c:pt>
                <c:pt idx="193">
                  <c:v>153.79252319008853</c:v>
                </c:pt>
                <c:pt idx="194">
                  <c:v>153.9038247093514</c:v>
                </c:pt>
                <c:pt idx="195">
                  <c:v>153.91674425029422</c:v>
                </c:pt>
                <c:pt idx="196">
                  <c:v>153.85054714659537</c:v>
                </c:pt>
                <c:pt idx="197">
                  <c:v>153.7729916864991</c:v>
                </c:pt>
                <c:pt idx="198">
                  <c:v>153.77316383257008</c:v>
                </c:pt>
                <c:pt idx="199">
                  <c:v>153.77522332693459</c:v>
                </c:pt>
                <c:pt idx="200">
                  <c:v>153.78112485152008</c:v>
                </c:pt>
                <c:pt idx="201">
                  <c:v>153.81989600906635</c:v>
                </c:pt>
                <c:pt idx="202">
                  <c:v>153.84107159059491</c:v>
                </c:pt>
                <c:pt idx="203">
                  <c:v>153.866195923204</c:v>
                </c:pt>
                <c:pt idx="204">
                  <c:v>153.89692484707876</c:v>
                </c:pt>
                <c:pt idx="205">
                  <c:v>153.97360648548906</c:v>
                </c:pt>
                <c:pt idx="206">
                  <c:v>153.98059340040976</c:v>
                </c:pt>
                <c:pt idx="207">
                  <c:v>153.93532590812381</c:v>
                </c:pt>
                <c:pt idx="208">
                  <c:v>153.91065482620567</c:v>
                </c:pt>
                <c:pt idx="209">
                  <c:v>153.95421141753445</c:v>
                </c:pt>
                <c:pt idx="210">
                  <c:v>153.96411619825091</c:v>
                </c:pt>
                <c:pt idx="211">
                  <c:v>153.97013516900344</c:v>
                </c:pt>
                <c:pt idx="212">
                  <c:v>154.30541710523585</c:v>
                </c:pt>
                <c:pt idx="213">
                  <c:v>154.33249631943929</c:v>
                </c:pt>
                <c:pt idx="214">
                  <c:v>154.34910648532551</c:v>
                </c:pt>
                <c:pt idx="215">
                  <c:v>154.2712445131618</c:v>
                </c:pt>
                <c:pt idx="216">
                  <c:v>154.19674828701011</c:v>
                </c:pt>
                <c:pt idx="217">
                  <c:v>154.1630319199316</c:v>
                </c:pt>
                <c:pt idx="218">
                  <c:v>154.12885589058789</c:v>
                </c:pt>
                <c:pt idx="219">
                  <c:v>154.09959133049904</c:v>
                </c:pt>
                <c:pt idx="220">
                  <c:v>154.11038650792563</c:v>
                </c:pt>
                <c:pt idx="221">
                  <c:v>154.18826100906603</c:v>
                </c:pt>
                <c:pt idx="222">
                  <c:v>154.24316872004206</c:v>
                </c:pt>
                <c:pt idx="223">
                  <c:v>154.27939191946544</c:v>
                </c:pt>
                <c:pt idx="224">
                  <c:v>154.30771514129617</c:v>
                </c:pt>
                <c:pt idx="225">
                  <c:v>154.33652639982549</c:v>
                </c:pt>
                <c:pt idx="226">
                  <c:v>154.44504015461456</c:v>
                </c:pt>
                <c:pt idx="227">
                  <c:v>154.53490476356865</c:v>
                </c:pt>
                <c:pt idx="228">
                  <c:v>154.61793956628884</c:v>
                </c:pt>
                <c:pt idx="229">
                  <c:v>154.62348534874232</c:v>
                </c:pt>
                <c:pt idx="230">
                  <c:v>154.67108171200235</c:v>
                </c:pt>
                <c:pt idx="231">
                  <c:v>154.8092381619046</c:v>
                </c:pt>
                <c:pt idx="232">
                  <c:v>154.96292478288552</c:v>
                </c:pt>
                <c:pt idx="233">
                  <c:v>155.08211868192072</c:v>
                </c:pt>
                <c:pt idx="234">
                  <c:v>155.06441045553447</c:v>
                </c:pt>
                <c:pt idx="235">
                  <c:v>155.04006635590815</c:v>
                </c:pt>
                <c:pt idx="236">
                  <c:v>155.03095080792747</c:v>
                </c:pt>
                <c:pt idx="237">
                  <c:v>155.02710291557224</c:v>
                </c:pt>
                <c:pt idx="238">
                  <c:v>155.04530557145637</c:v>
                </c:pt>
                <c:pt idx="239">
                  <c:v>155.10108680988023</c:v>
                </c:pt>
                <c:pt idx="240">
                  <c:v>155.07063324647601</c:v>
                </c:pt>
                <c:pt idx="241">
                  <c:v>155.06033015300801</c:v>
                </c:pt>
                <c:pt idx="242">
                  <c:v>155.02812675187354</c:v>
                </c:pt>
                <c:pt idx="243">
                  <c:v>155.02473735751511</c:v>
                </c:pt>
                <c:pt idx="244">
                  <c:v>154.95647727039216</c:v>
                </c:pt>
                <c:pt idx="245">
                  <c:v>154.93595600312696</c:v>
                </c:pt>
                <c:pt idx="246">
                  <c:v>154.85032354255387</c:v>
                </c:pt>
                <c:pt idx="247">
                  <c:v>154.75504491152665</c:v>
                </c:pt>
                <c:pt idx="248">
                  <c:v>154.74191931819425</c:v>
                </c:pt>
                <c:pt idx="249">
                  <c:v>154.8299313327162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B63-47DE-B018-245890E718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6625391"/>
        <c:axId val="236628271"/>
      </c:lineChart>
      <c:dateAx>
        <c:axId val="236625391"/>
        <c:scaling>
          <c:orientation val="minMax"/>
          <c:min val="45948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628271"/>
        <c:crosses val="autoZero"/>
        <c:auto val="1"/>
        <c:lblOffset val="100"/>
        <c:baseTimeUnit val="days"/>
      </c:dateAx>
      <c:valAx>
        <c:axId val="236628271"/>
        <c:scaling>
          <c:orientation val="minMax"/>
          <c:min val="1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625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Bollinger Bands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Data!$C$1</c:f>
              <c:strCache>
                <c:ptCount val="1"/>
                <c:pt idx="0">
                  <c:v>Close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Data!$B$2:$B$251</c:f>
              <c:numCache>
                <c:formatCode>m/d/yyyy</c:formatCode>
                <c:ptCount val="250"/>
                <c:pt idx="0">
                  <c:v>45706</c:v>
                </c:pt>
                <c:pt idx="1">
                  <c:v>45707</c:v>
                </c:pt>
                <c:pt idx="2">
                  <c:v>45708</c:v>
                </c:pt>
                <c:pt idx="3">
                  <c:v>45709</c:v>
                </c:pt>
                <c:pt idx="4">
                  <c:v>45712</c:v>
                </c:pt>
                <c:pt idx="5">
                  <c:v>45713</c:v>
                </c:pt>
                <c:pt idx="6">
                  <c:v>45714</c:v>
                </c:pt>
                <c:pt idx="7">
                  <c:v>45715</c:v>
                </c:pt>
                <c:pt idx="8">
                  <c:v>45716</c:v>
                </c:pt>
                <c:pt idx="9">
                  <c:v>45719</c:v>
                </c:pt>
                <c:pt idx="10">
                  <c:v>45720</c:v>
                </c:pt>
                <c:pt idx="11">
                  <c:v>45721</c:v>
                </c:pt>
                <c:pt idx="12">
                  <c:v>45722</c:v>
                </c:pt>
                <c:pt idx="13">
                  <c:v>45723</c:v>
                </c:pt>
                <c:pt idx="14">
                  <c:v>45726</c:v>
                </c:pt>
                <c:pt idx="15">
                  <c:v>45727</c:v>
                </c:pt>
                <c:pt idx="16">
                  <c:v>45728</c:v>
                </c:pt>
                <c:pt idx="17">
                  <c:v>45729</c:v>
                </c:pt>
                <c:pt idx="18">
                  <c:v>45730</c:v>
                </c:pt>
                <c:pt idx="19">
                  <c:v>45733</c:v>
                </c:pt>
                <c:pt idx="20">
                  <c:v>45734</c:v>
                </c:pt>
                <c:pt idx="21">
                  <c:v>45735</c:v>
                </c:pt>
                <c:pt idx="22">
                  <c:v>45736</c:v>
                </c:pt>
                <c:pt idx="23">
                  <c:v>45737</c:v>
                </c:pt>
                <c:pt idx="24">
                  <c:v>45740</c:v>
                </c:pt>
                <c:pt idx="25">
                  <c:v>45741</c:v>
                </c:pt>
                <c:pt idx="26">
                  <c:v>45742</c:v>
                </c:pt>
                <c:pt idx="27">
                  <c:v>45743</c:v>
                </c:pt>
                <c:pt idx="28">
                  <c:v>45744</c:v>
                </c:pt>
                <c:pt idx="29">
                  <c:v>45747</c:v>
                </c:pt>
                <c:pt idx="30">
                  <c:v>45748</c:v>
                </c:pt>
                <c:pt idx="31">
                  <c:v>45749</c:v>
                </c:pt>
                <c:pt idx="32">
                  <c:v>45750</c:v>
                </c:pt>
                <c:pt idx="33">
                  <c:v>45751</c:v>
                </c:pt>
                <c:pt idx="34">
                  <c:v>45754</c:v>
                </c:pt>
                <c:pt idx="35">
                  <c:v>45755</c:v>
                </c:pt>
                <c:pt idx="36">
                  <c:v>45756</c:v>
                </c:pt>
                <c:pt idx="37">
                  <c:v>45757</c:v>
                </c:pt>
                <c:pt idx="38">
                  <c:v>45758</c:v>
                </c:pt>
                <c:pt idx="39">
                  <c:v>45761</c:v>
                </c:pt>
                <c:pt idx="40">
                  <c:v>45762</c:v>
                </c:pt>
                <c:pt idx="41">
                  <c:v>45763</c:v>
                </c:pt>
                <c:pt idx="42">
                  <c:v>45764</c:v>
                </c:pt>
                <c:pt idx="43">
                  <c:v>45768</c:v>
                </c:pt>
                <c:pt idx="44">
                  <c:v>45769</c:v>
                </c:pt>
                <c:pt idx="45">
                  <c:v>45770</c:v>
                </c:pt>
                <c:pt idx="46">
                  <c:v>45771</c:v>
                </c:pt>
                <c:pt idx="47">
                  <c:v>45772</c:v>
                </c:pt>
                <c:pt idx="48">
                  <c:v>45775</c:v>
                </c:pt>
                <c:pt idx="49">
                  <c:v>45776</c:v>
                </c:pt>
                <c:pt idx="50">
                  <c:v>45777</c:v>
                </c:pt>
                <c:pt idx="51">
                  <c:v>45778</c:v>
                </c:pt>
                <c:pt idx="52">
                  <c:v>45779</c:v>
                </c:pt>
                <c:pt idx="53">
                  <c:v>45782</c:v>
                </c:pt>
                <c:pt idx="54">
                  <c:v>45783</c:v>
                </c:pt>
                <c:pt idx="55">
                  <c:v>45784</c:v>
                </c:pt>
                <c:pt idx="56">
                  <c:v>45785</c:v>
                </c:pt>
                <c:pt idx="57">
                  <c:v>45786</c:v>
                </c:pt>
                <c:pt idx="58">
                  <c:v>45789</c:v>
                </c:pt>
                <c:pt idx="59">
                  <c:v>45790</c:v>
                </c:pt>
                <c:pt idx="60">
                  <c:v>45791</c:v>
                </c:pt>
                <c:pt idx="61">
                  <c:v>45792</c:v>
                </c:pt>
                <c:pt idx="62">
                  <c:v>45793</c:v>
                </c:pt>
                <c:pt idx="63">
                  <c:v>45796</c:v>
                </c:pt>
                <c:pt idx="64">
                  <c:v>45797</c:v>
                </c:pt>
                <c:pt idx="65">
                  <c:v>45798</c:v>
                </c:pt>
                <c:pt idx="66">
                  <c:v>45799</c:v>
                </c:pt>
                <c:pt idx="67">
                  <c:v>45800</c:v>
                </c:pt>
                <c:pt idx="68">
                  <c:v>45804</c:v>
                </c:pt>
                <c:pt idx="69">
                  <c:v>45805</c:v>
                </c:pt>
                <c:pt idx="70">
                  <c:v>45806</c:v>
                </c:pt>
                <c:pt idx="71">
                  <c:v>45807</c:v>
                </c:pt>
                <c:pt idx="72">
                  <c:v>45810</c:v>
                </c:pt>
                <c:pt idx="73">
                  <c:v>45811</c:v>
                </c:pt>
                <c:pt idx="74">
                  <c:v>45812</c:v>
                </c:pt>
                <c:pt idx="75">
                  <c:v>45813</c:v>
                </c:pt>
                <c:pt idx="76">
                  <c:v>45814</c:v>
                </c:pt>
                <c:pt idx="77">
                  <c:v>45817</c:v>
                </c:pt>
                <c:pt idx="78">
                  <c:v>45818</c:v>
                </c:pt>
                <c:pt idx="79">
                  <c:v>45819</c:v>
                </c:pt>
                <c:pt idx="80">
                  <c:v>45820</c:v>
                </c:pt>
                <c:pt idx="81">
                  <c:v>45821</c:v>
                </c:pt>
                <c:pt idx="82">
                  <c:v>45824</c:v>
                </c:pt>
                <c:pt idx="83">
                  <c:v>45825</c:v>
                </c:pt>
                <c:pt idx="84">
                  <c:v>45826</c:v>
                </c:pt>
                <c:pt idx="85">
                  <c:v>45828</c:v>
                </c:pt>
                <c:pt idx="86">
                  <c:v>45831</c:v>
                </c:pt>
                <c:pt idx="87">
                  <c:v>45832</c:v>
                </c:pt>
                <c:pt idx="88">
                  <c:v>45833</c:v>
                </c:pt>
                <c:pt idx="89">
                  <c:v>45834</c:v>
                </c:pt>
                <c:pt idx="90">
                  <c:v>45835</c:v>
                </c:pt>
                <c:pt idx="91">
                  <c:v>45838</c:v>
                </c:pt>
                <c:pt idx="92">
                  <c:v>45839</c:v>
                </c:pt>
                <c:pt idx="93">
                  <c:v>45840</c:v>
                </c:pt>
                <c:pt idx="94">
                  <c:v>45841</c:v>
                </c:pt>
                <c:pt idx="95">
                  <c:v>45845</c:v>
                </c:pt>
                <c:pt idx="96">
                  <c:v>45846</c:v>
                </c:pt>
                <c:pt idx="97">
                  <c:v>45847</c:v>
                </c:pt>
                <c:pt idx="98">
                  <c:v>45848</c:v>
                </c:pt>
                <c:pt idx="99">
                  <c:v>45849</c:v>
                </c:pt>
                <c:pt idx="100">
                  <c:v>45852</c:v>
                </c:pt>
                <c:pt idx="101">
                  <c:v>45853</c:v>
                </c:pt>
                <c:pt idx="102">
                  <c:v>45854</c:v>
                </c:pt>
                <c:pt idx="103">
                  <c:v>45855</c:v>
                </c:pt>
                <c:pt idx="104">
                  <c:v>45856</c:v>
                </c:pt>
                <c:pt idx="105">
                  <c:v>45859</c:v>
                </c:pt>
                <c:pt idx="106">
                  <c:v>45860</c:v>
                </c:pt>
                <c:pt idx="107">
                  <c:v>45861</c:v>
                </c:pt>
                <c:pt idx="108">
                  <c:v>45862</c:v>
                </c:pt>
                <c:pt idx="109">
                  <c:v>45863</c:v>
                </c:pt>
                <c:pt idx="110">
                  <c:v>45866</c:v>
                </c:pt>
                <c:pt idx="111">
                  <c:v>45867</c:v>
                </c:pt>
                <c:pt idx="112">
                  <c:v>45868</c:v>
                </c:pt>
                <c:pt idx="113">
                  <c:v>45869</c:v>
                </c:pt>
                <c:pt idx="114">
                  <c:v>45870</c:v>
                </c:pt>
                <c:pt idx="115">
                  <c:v>45873</c:v>
                </c:pt>
                <c:pt idx="116">
                  <c:v>45874</c:v>
                </c:pt>
                <c:pt idx="117">
                  <c:v>45875</c:v>
                </c:pt>
                <c:pt idx="118">
                  <c:v>45876</c:v>
                </c:pt>
                <c:pt idx="119">
                  <c:v>45877</c:v>
                </c:pt>
                <c:pt idx="120">
                  <c:v>45880</c:v>
                </c:pt>
                <c:pt idx="121">
                  <c:v>45881</c:v>
                </c:pt>
                <c:pt idx="122">
                  <c:v>45882</c:v>
                </c:pt>
                <c:pt idx="123">
                  <c:v>45883</c:v>
                </c:pt>
                <c:pt idx="124">
                  <c:v>45884</c:v>
                </c:pt>
                <c:pt idx="125">
                  <c:v>45887</c:v>
                </c:pt>
                <c:pt idx="126">
                  <c:v>45888</c:v>
                </c:pt>
                <c:pt idx="127">
                  <c:v>45889</c:v>
                </c:pt>
                <c:pt idx="128">
                  <c:v>45890</c:v>
                </c:pt>
                <c:pt idx="129">
                  <c:v>45891</c:v>
                </c:pt>
                <c:pt idx="130">
                  <c:v>45894</c:v>
                </c:pt>
                <c:pt idx="131">
                  <c:v>45895</c:v>
                </c:pt>
                <c:pt idx="132">
                  <c:v>45896</c:v>
                </c:pt>
                <c:pt idx="133">
                  <c:v>45897</c:v>
                </c:pt>
                <c:pt idx="134">
                  <c:v>45898</c:v>
                </c:pt>
                <c:pt idx="135">
                  <c:v>45902</c:v>
                </c:pt>
                <c:pt idx="136">
                  <c:v>45903</c:v>
                </c:pt>
                <c:pt idx="137">
                  <c:v>45904</c:v>
                </c:pt>
                <c:pt idx="138">
                  <c:v>45905</c:v>
                </c:pt>
                <c:pt idx="139">
                  <c:v>45908</c:v>
                </c:pt>
                <c:pt idx="140">
                  <c:v>45909</c:v>
                </c:pt>
                <c:pt idx="141">
                  <c:v>45910</c:v>
                </c:pt>
                <c:pt idx="142">
                  <c:v>45911</c:v>
                </c:pt>
                <c:pt idx="143">
                  <c:v>45912</c:v>
                </c:pt>
                <c:pt idx="144">
                  <c:v>45915</c:v>
                </c:pt>
                <c:pt idx="145">
                  <c:v>45916</c:v>
                </c:pt>
                <c:pt idx="146">
                  <c:v>45917</c:v>
                </c:pt>
                <c:pt idx="147">
                  <c:v>45918</c:v>
                </c:pt>
                <c:pt idx="148">
                  <c:v>45919</c:v>
                </c:pt>
                <c:pt idx="149">
                  <c:v>45922</c:v>
                </c:pt>
                <c:pt idx="150">
                  <c:v>45923</c:v>
                </c:pt>
                <c:pt idx="151">
                  <c:v>45924</c:v>
                </c:pt>
                <c:pt idx="152">
                  <c:v>45925</c:v>
                </c:pt>
                <c:pt idx="153">
                  <c:v>45926</c:v>
                </c:pt>
                <c:pt idx="154">
                  <c:v>45929</c:v>
                </c:pt>
                <c:pt idx="155">
                  <c:v>45930</c:v>
                </c:pt>
                <c:pt idx="156">
                  <c:v>45931</c:v>
                </c:pt>
                <c:pt idx="157">
                  <c:v>45932</c:v>
                </c:pt>
                <c:pt idx="158">
                  <c:v>45933</c:v>
                </c:pt>
                <c:pt idx="159">
                  <c:v>45936</c:v>
                </c:pt>
                <c:pt idx="160">
                  <c:v>45937</c:v>
                </c:pt>
                <c:pt idx="161">
                  <c:v>45938</c:v>
                </c:pt>
                <c:pt idx="162">
                  <c:v>45939</c:v>
                </c:pt>
                <c:pt idx="163">
                  <c:v>45940</c:v>
                </c:pt>
                <c:pt idx="164">
                  <c:v>45943</c:v>
                </c:pt>
                <c:pt idx="165">
                  <c:v>45944</c:v>
                </c:pt>
                <c:pt idx="166">
                  <c:v>45945</c:v>
                </c:pt>
                <c:pt idx="167">
                  <c:v>45946</c:v>
                </c:pt>
                <c:pt idx="168">
                  <c:v>45947</c:v>
                </c:pt>
                <c:pt idx="169">
                  <c:v>45950</c:v>
                </c:pt>
                <c:pt idx="170">
                  <c:v>45951</c:v>
                </c:pt>
                <c:pt idx="171">
                  <c:v>45952</c:v>
                </c:pt>
                <c:pt idx="172">
                  <c:v>45953</c:v>
                </c:pt>
                <c:pt idx="173">
                  <c:v>45954</c:v>
                </c:pt>
                <c:pt idx="174">
                  <c:v>45957</c:v>
                </c:pt>
                <c:pt idx="175">
                  <c:v>45958</c:v>
                </c:pt>
                <c:pt idx="176">
                  <c:v>45959</c:v>
                </c:pt>
                <c:pt idx="177">
                  <c:v>45960</c:v>
                </c:pt>
                <c:pt idx="178">
                  <c:v>45961</c:v>
                </c:pt>
                <c:pt idx="179">
                  <c:v>45964</c:v>
                </c:pt>
                <c:pt idx="180">
                  <c:v>45965</c:v>
                </c:pt>
                <c:pt idx="181">
                  <c:v>45966</c:v>
                </c:pt>
                <c:pt idx="182">
                  <c:v>45967</c:v>
                </c:pt>
                <c:pt idx="183">
                  <c:v>45968</c:v>
                </c:pt>
                <c:pt idx="184">
                  <c:v>45971</c:v>
                </c:pt>
                <c:pt idx="185">
                  <c:v>45972</c:v>
                </c:pt>
                <c:pt idx="186">
                  <c:v>45973</c:v>
                </c:pt>
                <c:pt idx="187">
                  <c:v>45974</c:v>
                </c:pt>
                <c:pt idx="188">
                  <c:v>45975</c:v>
                </c:pt>
                <c:pt idx="189">
                  <c:v>45978</c:v>
                </c:pt>
                <c:pt idx="190">
                  <c:v>45979</c:v>
                </c:pt>
                <c:pt idx="191">
                  <c:v>45980</c:v>
                </c:pt>
                <c:pt idx="192">
                  <c:v>45981</c:v>
                </c:pt>
                <c:pt idx="193">
                  <c:v>45982</c:v>
                </c:pt>
                <c:pt idx="194">
                  <c:v>45985</c:v>
                </c:pt>
                <c:pt idx="195">
                  <c:v>45986</c:v>
                </c:pt>
                <c:pt idx="196">
                  <c:v>45987</c:v>
                </c:pt>
                <c:pt idx="197">
                  <c:v>45989</c:v>
                </c:pt>
                <c:pt idx="198">
                  <c:v>45992</c:v>
                </c:pt>
                <c:pt idx="199">
                  <c:v>45993</c:v>
                </c:pt>
                <c:pt idx="200">
                  <c:v>45994</c:v>
                </c:pt>
                <c:pt idx="201">
                  <c:v>45995</c:v>
                </c:pt>
                <c:pt idx="202">
                  <c:v>45996</c:v>
                </c:pt>
                <c:pt idx="203">
                  <c:v>45999</c:v>
                </c:pt>
                <c:pt idx="204">
                  <c:v>46000</c:v>
                </c:pt>
                <c:pt idx="205">
                  <c:v>46001</c:v>
                </c:pt>
                <c:pt idx="206">
                  <c:v>46002</c:v>
                </c:pt>
                <c:pt idx="207">
                  <c:v>46003</c:v>
                </c:pt>
                <c:pt idx="208">
                  <c:v>46006</c:v>
                </c:pt>
                <c:pt idx="209">
                  <c:v>46007</c:v>
                </c:pt>
                <c:pt idx="210">
                  <c:v>46008</c:v>
                </c:pt>
                <c:pt idx="211">
                  <c:v>46009</c:v>
                </c:pt>
                <c:pt idx="212">
                  <c:v>46010</c:v>
                </c:pt>
                <c:pt idx="213">
                  <c:v>46013</c:v>
                </c:pt>
                <c:pt idx="214">
                  <c:v>46014</c:v>
                </c:pt>
                <c:pt idx="215">
                  <c:v>46015</c:v>
                </c:pt>
                <c:pt idx="216">
                  <c:v>46017</c:v>
                </c:pt>
                <c:pt idx="217">
                  <c:v>46020</c:v>
                </c:pt>
                <c:pt idx="218">
                  <c:v>46021</c:v>
                </c:pt>
                <c:pt idx="219">
                  <c:v>46022</c:v>
                </c:pt>
                <c:pt idx="220">
                  <c:v>46024</c:v>
                </c:pt>
                <c:pt idx="221">
                  <c:v>46027</c:v>
                </c:pt>
                <c:pt idx="222">
                  <c:v>46028</c:v>
                </c:pt>
                <c:pt idx="223">
                  <c:v>46029</c:v>
                </c:pt>
                <c:pt idx="224">
                  <c:v>46030</c:v>
                </c:pt>
                <c:pt idx="225">
                  <c:v>46031</c:v>
                </c:pt>
                <c:pt idx="226">
                  <c:v>46034</c:v>
                </c:pt>
                <c:pt idx="227">
                  <c:v>46035</c:v>
                </c:pt>
                <c:pt idx="228">
                  <c:v>46036</c:v>
                </c:pt>
                <c:pt idx="229">
                  <c:v>46037</c:v>
                </c:pt>
                <c:pt idx="230">
                  <c:v>46038</c:v>
                </c:pt>
                <c:pt idx="231">
                  <c:v>46042</c:v>
                </c:pt>
                <c:pt idx="232">
                  <c:v>46043</c:v>
                </c:pt>
                <c:pt idx="233">
                  <c:v>46044</c:v>
                </c:pt>
                <c:pt idx="234">
                  <c:v>46045</c:v>
                </c:pt>
                <c:pt idx="235">
                  <c:v>46048</c:v>
                </c:pt>
                <c:pt idx="236">
                  <c:v>46049</c:v>
                </c:pt>
                <c:pt idx="237">
                  <c:v>46050</c:v>
                </c:pt>
                <c:pt idx="238">
                  <c:v>46051</c:v>
                </c:pt>
                <c:pt idx="239">
                  <c:v>46052</c:v>
                </c:pt>
                <c:pt idx="240">
                  <c:v>46055</c:v>
                </c:pt>
                <c:pt idx="241">
                  <c:v>46056</c:v>
                </c:pt>
                <c:pt idx="242">
                  <c:v>46057</c:v>
                </c:pt>
                <c:pt idx="243">
                  <c:v>46058</c:v>
                </c:pt>
                <c:pt idx="244">
                  <c:v>46059</c:v>
                </c:pt>
                <c:pt idx="245">
                  <c:v>46062</c:v>
                </c:pt>
                <c:pt idx="246">
                  <c:v>46063</c:v>
                </c:pt>
                <c:pt idx="247">
                  <c:v>46064</c:v>
                </c:pt>
                <c:pt idx="248">
                  <c:v>46065</c:v>
                </c:pt>
                <c:pt idx="249">
                  <c:v>46066</c:v>
                </c:pt>
              </c:numCache>
            </c:numRef>
          </c:cat>
          <c:val>
            <c:numRef>
              <c:f>Data!$C$2:$C$251</c:f>
              <c:numCache>
                <c:formatCode>_([$$-409]* #,##0.00_);_([$$-409]* \(#,##0.00\);_([$$-409]* "-"??_);_(@_)</c:formatCode>
                <c:ptCount val="250"/>
                <c:pt idx="0">
                  <c:v>154.99</c:v>
                </c:pt>
                <c:pt idx="1">
                  <c:v>157.88999999999999</c:v>
                </c:pt>
                <c:pt idx="2">
                  <c:v>159.68</c:v>
                </c:pt>
                <c:pt idx="3">
                  <c:v>162.30000000000001</c:v>
                </c:pt>
                <c:pt idx="4">
                  <c:v>163.74</c:v>
                </c:pt>
                <c:pt idx="5">
                  <c:v>166.09</c:v>
                </c:pt>
                <c:pt idx="6">
                  <c:v>163.08000000000001</c:v>
                </c:pt>
                <c:pt idx="7">
                  <c:v>163.72999999999999</c:v>
                </c:pt>
                <c:pt idx="8">
                  <c:v>165.02</c:v>
                </c:pt>
                <c:pt idx="9">
                  <c:v>167.28</c:v>
                </c:pt>
                <c:pt idx="10">
                  <c:v>165.42</c:v>
                </c:pt>
                <c:pt idx="11">
                  <c:v>165.12</c:v>
                </c:pt>
                <c:pt idx="12">
                  <c:v>165.83</c:v>
                </c:pt>
                <c:pt idx="13">
                  <c:v>166.69</c:v>
                </c:pt>
                <c:pt idx="14">
                  <c:v>167.7</c:v>
                </c:pt>
                <c:pt idx="15">
                  <c:v>165.86</c:v>
                </c:pt>
                <c:pt idx="16">
                  <c:v>162.85</c:v>
                </c:pt>
                <c:pt idx="17">
                  <c:v>162.99</c:v>
                </c:pt>
                <c:pt idx="18">
                  <c:v>162.81</c:v>
                </c:pt>
                <c:pt idx="19">
                  <c:v>162.84</c:v>
                </c:pt>
                <c:pt idx="20">
                  <c:v>164.25</c:v>
                </c:pt>
                <c:pt idx="21">
                  <c:v>162.99</c:v>
                </c:pt>
                <c:pt idx="22">
                  <c:v>163.02000000000001</c:v>
                </c:pt>
                <c:pt idx="23">
                  <c:v>163.63</c:v>
                </c:pt>
                <c:pt idx="24">
                  <c:v>163.29</c:v>
                </c:pt>
                <c:pt idx="25">
                  <c:v>161.02000000000001</c:v>
                </c:pt>
                <c:pt idx="26">
                  <c:v>161.72</c:v>
                </c:pt>
                <c:pt idx="27">
                  <c:v>163.13</c:v>
                </c:pt>
                <c:pt idx="28">
                  <c:v>163.71</c:v>
                </c:pt>
                <c:pt idx="29">
                  <c:v>165.84</c:v>
                </c:pt>
                <c:pt idx="30">
                  <c:v>153.25</c:v>
                </c:pt>
                <c:pt idx="31">
                  <c:v>155.36000000000001</c:v>
                </c:pt>
                <c:pt idx="32">
                  <c:v>159.82</c:v>
                </c:pt>
                <c:pt idx="33">
                  <c:v>153.24</c:v>
                </c:pt>
                <c:pt idx="34">
                  <c:v>150.62</c:v>
                </c:pt>
                <c:pt idx="35">
                  <c:v>150</c:v>
                </c:pt>
                <c:pt idx="36">
                  <c:v>150.97</c:v>
                </c:pt>
                <c:pt idx="37">
                  <c:v>148.69</c:v>
                </c:pt>
                <c:pt idx="38">
                  <c:v>151.72999999999999</c:v>
                </c:pt>
                <c:pt idx="39">
                  <c:v>154.36000000000001</c:v>
                </c:pt>
                <c:pt idx="40">
                  <c:v>153.62</c:v>
                </c:pt>
                <c:pt idx="41">
                  <c:v>153.91</c:v>
                </c:pt>
                <c:pt idx="42">
                  <c:v>157.47</c:v>
                </c:pt>
                <c:pt idx="43">
                  <c:v>156.91999999999999</c:v>
                </c:pt>
                <c:pt idx="44">
                  <c:v>157.75</c:v>
                </c:pt>
                <c:pt idx="45">
                  <c:v>155.38</c:v>
                </c:pt>
                <c:pt idx="46">
                  <c:v>154.93</c:v>
                </c:pt>
                <c:pt idx="47">
                  <c:v>154.58000000000001</c:v>
                </c:pt>
                <c:pt idx="48">
                  <c:v>155.35</c:v>
                </c:pt>
                <c:pt idx="49">
                  <c:v>155.91</c:v>
                </c:pt>
                <c:pt idx="50">
                  <c:v>156.31</c:v>
                </c:pt>
                <c:pt idx="51">
                  <c:v>154.46</c:v>
                </c:pt>
                <c:pt idx="52">
                  <c:v>156.12</c:v>
                </c:pt>
                <c:pt idx="53">
                  <c:v>155</c:v>
                </c:pt>
                <c:pt idx="54">
                  <c:v>154.47</c:v>
                </c:pt>
                <c:pt idx="55">
                  <c:v>157.30000000000001</c:v>
                </c:pt>
                <c:pt idx="56">
                  <c:v>155.66</c:v>
                </c:pt>
                <c:pt idx="57">
                  <c:v>154.22</c:v>
                </c:pt>
                <c:pt idx="58">
                  <c:v>154.13999999999999</c:v>
                </c:pt>
                <c:pt idx="59">
                  <c:v>148.44</c:v>
                </c:pt>
                <c:pt idx="60">
                  <c:v>146.36000000000001</c:v>
                </c:pt>
                <c:pt idx="61">
                  <c:v>149.61000000000001</c:v>
                </c:pt>
                <c:pt idx="62">
                  <c:v>151.33000000000001</c:v>
                </c:pt>
                <c:pt idx="63">
                  <c:v>152.49</c:v>
                </c:pt>
                <c:pt idx="64">
                  <c:v>153.66</c:v>
                </c:pt>
                <c:pt idx="65">
                  <c:v>153.18</c:v>
                </c:pt>
                <c:pt idx="66">
                  <c:v>152.61000000000001</c:v>
                </c:pt>
                <c:pt idx="67">
                  <c:v>152.94</c:v>
                </c:pt>
                <c:pt idx="68">
                  <c:v>153.25</c:v>
                </c:pt>
                <c:pt idx="69">
                  <c:v>152.43</c:v>
                </c:pt>
                <c:pt idx="70">
                  <c:v>153.58000000000001</c:v>
                </c:pt>
                <c:pt idx="71">
                  <c:v>155.21</c:v>
                </c:pt>
                <c:pt idx="72">
                  <c:v>155.4</c:v>
                </c:pt>
                <c:pt idx="73">
                  <c:v>154.41999999999999</c:v>
                </c:pt>
                <c:pt idx="74">
                  <c:v>153.22</c:v>
                </c:pt>
                <c:pt idx="75">
                  <c:v>153.66</c:v>
                </c:pt>
                <c:pt idx="76">
                  <c:v>155.03</c:v>
                </c:pt>
                <c:pt idx="77">
                  <c:v>155.22999999999999</c:v>
                </c:pt>
                <c:pt idx="78">
                  <c:v>156.44999999999999</c:v>
                </c:pt>
                <c:pt idx="79">
                  <c:v>155.26</c:v>
                </c:pt>
                <c:pt idx="80">
                  <c:v>156.66</c:v>
                </c:pt>
                <c:pt idx="81">
                  <c:v>157.1</c:v>
                </c:pt>
                <c:pt idx="82">
                  <c:v>155.22</c:v>
                </c:pt>
                <c:pt idx="83">
                  <c:v>152.38</c:v>
                </c:pt>
                <c:pt idx="84">
                  <c:v>150.72999999999999</c:v>
                </c:pt>
                <c:pt idx="85">
                  <c:v>149.79</c:v>
                </c:pt>
                <c:pt idx="86">
                  <c:v>151.32</c:v>
                </c:pt>
                <c:pt idx="87">
                  <c:v>152.19</c:v>
                </c:pt>
                <c:pt idx="88">
                  <c:v>152.28</c:v>
                </c:pt>
                <c:pt idx="89">
                  <c:v>152.01</c:v>
                </c:pt>
                <c:pt idx="90">
                  <c:v>152.41</c:v>
                </c:pt>
                <c:pt idx="91">
                  <c:v>152.75</c:v>
                </c:pt>
                <c:pt idx="92">
                  <c:v>155.91999999999999</c:v>
                </c:pt>
                <c:pt idx="93">
                  <c:v>155.56</c:v>
                </c:pt>
                <c:pt idx="94">
                  <c:v>156.01</c:v>
                </c:pt>
                <c:pt idx="95">
                  <c:v>155.27000000000001</c:v>
                </c:pt>
                <c:pt idx="96">
                  <c:v>155.79</c:v>
                </c:pt>
                <c:pt idx="97">
                  <c:v>156.28</c:v>
                </c:pt>
                <c:pt idx="98">
                  <c:v>157.69</c:v>
                </c:pt>
                <c:pt idx="99">
                  <c:v>156.9</c:v>
                </c:pt>
                <c:pt idx="100">
                  <c:v>156.82</c:v>
                </c:pt>
                <c:pt idx="101">
                  <c:v>155.16999999999999</c:v>
                </c:pt>
                <c:pt idx="102">
                  <c:v>164.78</c:v>
                </c:pt>
                <c:pt idx="103">
                  <c:v>162.97999999999999</c:v>
                </c:pt>
                <c:pt idx="104">
                  <c:v>163.69999999999999</c:v>
                </c:pt>
                <c:pt idx="105">
                  <c:v>164.36</c:v>
                </c:pt>
                <c:pt idx="106">
                  <c:v>167.93</c:v>
                </c:pt>
                <c:pt idx="107">
                  <c:v>169.1</c:v>
                </c:pt>
                <c:pt idx="108">
                  <c:v>169.56</c:v>
                </c:pt>
                <c:pt idx="109">
                  <c:v>168.3</c:v>
                </c:pt>
                <c:pt idx="110">
                  <c:v>166.22</c:v>
                </c:pt>
                <c:pt idx="111">
                  <c:v>168.11</c:v>
                </c:pt>
                <c:pt idx="112">
                  <c:v>167.26</c:v>
                </c:pt>
                <c:pt idx="113">
                  <c:v>164.74</c:v>
                </c:pt>
                <c:pt idx="114">
                  <c:v>167.33</c:v>
                </c:pt>
                <c:pt idx="115">
                  <c:v>171.04</c:v>
                </c:pt>
                <c:pt idx="116">
                  <c:v>170.74</c:v>
                </c:pt>
                <c:pt idx="117">
                  <c:v>170.59</c:v>
                </c:pt>
                <c:pt idx="118">
                  <c:v>171.53</c:v>
                </c:pt>
                <c:pt idx="119">
                  <c:v>173.33</c:v>
                </c:pt>
                <c:pt idx="120">
                  <c:v>173.82</c:v>
                </c:pt>
                <c:pt idx="121">
                  <c:v>172.78</c:v>
                </c:pt>
                <c:pt idx="122">
                  <c:v>174.42</c:v>
                </c:pt>
                <c:pt idx="123">
                  <c:v>174.72</c:v>
                </c:pt>
                <c:pt idx="124">
                  <c:v>176.64</c:v>
                </c:pt>
                <c:pt idx="125">
                  <c:v>176.25</c:v>
                </c:pt>
                <c:pt idx="126">
                  <c:v>177.8</c:v>
                </c:pt>
                <c:pt idx="127">
                  <c:v>178.84</c:v>
                </c:pt>
                <c:pt idx="128">
                  <c:v>178.93</c:v>
                </c:pt>
                <c:pt idx="129">
                  <c:v>179.29</c:v>
                </c:pt>
                <c:pt idx="130">
                  <c:v>178.41</c:v>
                </c:pt>
                <c:pt idx="131">
                  <c:v>176.49</c:v>
                </c:pt>
                <c:pt idx="132">
                  <c:v>176.79</c:v>
                </c:pt>
                <c:pt idx="133">
                  <c:v>175.45</c:v>
                </c:pt>
                <c:pt idx="134">
                  <c:v>177.17</c:v>
                </c:pt>
                <c:pt idx="135">
                  <c:v>178.06</c:v>
                </c:pt>
                <c:pt idx="136">
                  <c:v>178</c:v>
                </c:pt>
                <c:pt idx="137">
                  <c:v>178.76</c:v>
                </c:pt>
                <c:pt idx="138">
                  <c:v>178.43</c:v>
                </c:pt>
                <c:pt idx="139">
                  <c:v>178.13</c:v>
                </c:pt>
                <c:pt idx="140">
                  <c:v>176.96</c:v>
                </c:pt>
                <c:pt idx="141">
                  <c:v>175.79</c:v>
                </c:pt>
                <c:pt idx="142">
                  <c:v>178.5</c:v>
                </c:pt>
                <c:pt idx="143">
                  <c:v>178.06</c:v>
                </c:pt>
                <c:pt idx="144">
                  <c:v>177.4</c:v>
                </c:pt>
                <c:pt idx="145">
                  <c:v>176.46</c:v>
                </c:pt>
                <c:pt idx="146">
                  <c:v>177.2</c:v>
                </c:pt>
                <c:pt idx="147">
                  <c:v>174.16</c:v>
                </c:pt>
                <c:pt idx="148">
                  <c:v>176.19</c:v>
                </c:pt>
                <c:pt idx="149">
                  <c:v>174.21</c:v>
                </c:pt>
                <c:pt idx="150">
                  <c:v>176.58</c:v>
                </c:pt>
                <c:pt idx="151">
                  <c:v>176.69</c:v>
                </c:pt>
                <c:pt idx="152">
                  <c:v>177.73</c:v>
                </c:pt>
                <c:pt idx="153">
                  <c:v>179.71</c:v>
                </c:pt>
                <c:pt idx="154">
                  <c:v>181.62</c:v>
                </c:pt>
                <c:pt idx="155">
                  <c:v>185.42</c:v>
                </c:pt>
                <c:pt idx="156">
                  <c:v>186.05</c:v>
                </c:pt>
                <c:pt idx="157">
                  <c:v>185.98</c:v>
                </c:pt>
                <c:pt idx="158">
                  <c:v>188.64</c:v>
                </c:pt>
                <c:pt idx="159">
                  <c:v>188.16</c:v>
                </c:pt>
                <c:pt idx="160">
                  <c:v>188.89</c:v>
                </c:pt>
                <c:pt idx="161">
                  <c:v>189.69</c:v>
                </c:pt>
                <c:pt idx="162">
                  <c:v>191.08</c:v>
                </c:pt>
                <c:pt idx="163">
                  <c:v>190.72</c:v>
                </c:pt>
                <c:pt idx="164">
                  <c:v>190.9</c:v>
                </c:pt>
                <c:pt idx="165">
                  <c:v>190.85</c:v>
                </c:pt>
                <c:pt idx="166">
                  <c:v>191.17</c:v>
                </c:pt>
                <c:pt idx="167">
                  <c:v>192.12</c:v>
                </c:pt>
                <c:pt idx="168">
                  <c:v>193.22</c:v>
                </c:pt>
                <c:pt idx="169">
                  <c:v>193.72</c:v>
                </c:pt>
                <c:pt idx="170">
                  <c:v>191.88</c:v>
                </c:pt>
                <c:pt idx="171">
                  <c:v>192.94</c:v>
                </c:pt>
                <c:pt idx="172">
                  <c:v>192.47</c:v>
                </c:pt>
                <c:pt idx="173">
                  <c:v>190.4</c:v>
                </c:pt>
                <c:pt idx="174">
                  <c:v>190.3</c:v>
                </c:pt>
                <c:pt idx="175">
                  <c:v>186.93</c:v>
                </c:pt>
                <c:pt idx="176">
                  <c:v>186.6</c:v>
                </c:pt>
                <c:pt idx="177">
                  <c:v>189.05</c:v>
                </c:pt>
                <c:pt idx="178">
                  <c:v>188.87</c:v>
                </c:pt>
                <c:pt idx="179">
                  <c:v>186.26</c:v>
                </c:pt>
                <c:pt idx="180">
                  <c:v>186.86</c:v>
                </c:pt>
                <c:pt idx="181">
                  <c:v>186</c:v>
                </c:pt>
                <c:pt idx="182">
                  <c:v>186.97</c:v>
                </c:pt>
                <c:pt idx="183">
                  <c:v>186.57</c:v>
                </c:pt>
                <c:pt idx="184">
                  <c:v>188.41</c:v>
                </c:pt>
                <c:pt idx="185">
                  <c:v>193.83</c:v>
                </c:pt>
                <c:pt idx="186">
                  <c:v>194.39</c:v>
                </c:pt>
                <c:pt idx="187">
                  <c:v>195.25</c:v>
                </c:pt>
                <c:pt idx="188">
                  <c:v>195.93</c:v>
                </c:pt>
                <c:pt idx="189">
                  <c:v>199.58</c:v>
                </c:pt>
                <c:pt idx="190">
                  <c:v>200</c:v>
                </c:pt>
                <c:pt idx="191">
                  <c:v>202.51</c:v>
                </c:pt>
                <c:pt idx="192">
                  <c:v>203.07</c:v>
                </c:pt>
                <c:pt idx="193">
                  <c:v>203.9</c:v>
                </c:pt>
                <c:pt idx="194">
                  <c:v>206.05</c:v>
                </c:pt>
                <c:pt idx="195">
                  <c:v>206.67</c:v>
                </c:pt>
                <c:pt idx="196">
                  <c:v>207.56</c:v>
                </c:pt>
                <c:pt idx="197">
                  <c:v>206.92</c:v>
                </c:pt>
                <c:pt idx="198">
                  <c:v>205.34</c:v>
                </c:pt>
                <c:pt idx="199">
                  <c:v>205.42</c:v>
                </c:pt>
                <c:pt idx="200">
                  <c:v>205.33</c:v>
                </c:pt>
                <c:pt idx="201">
                  <c:v>202.48</c:v>
                </c:pt>
                <c:pt idx="202">
                  <c:v>201.93</c:v>
                </c:pt>
                <c:pt idx="203">
                  <c:v>201.62</c:v>
                </c:pt>
                <c:pt idx="204">
                  <c:v>199.96</c:v>
                </c:pt>
                <c:pt idx="205">
                  <c:v>206.54</c:v>
                </c:pt>
                <c:pt idx="206">
                  <c:v>210.01</c:v>
                </c:pt>
                <c:pt idx="207">
                  <c:v>211.58</c:v>
                </c:pt>
                <c:pt idx="208">
                  <c:v>214.17</c:v>
                </c:pt>
                <c:pt idx="209">
                  <c:v>209.3</c:v>
                </c:pt>
                <c:pt idx="210">
                  <c:v>210.33</c:v>
                </c:pt>
                <c:pt idx="211">
                  <c:v>208.31</c:v>
                </c:pt>
                <c:pt idx="212">
                  <c:v>206.37</c:v>
                </c:pt>
                <c:pt idx="213">
                  <c:v>207.32</c:v>
                </c:pt>
                <c:pt idx="214">
                  <c:v>205.78</c:v>
                </c:pt>
                <c:pt idx="215">
                  <c:v>207.78</c:v>
                </c:pt>
                <c:pt idx="216">
                  <c:v>207.63</c:v>
                </c:pt>
                <c:pt idx="217">
                  <c:v>207.56</c:v>
                </c:pt>
                <c:pt idx="218">
                  <c:v>206.91</c:v>
                </c:pt>
                <c:pt idx="219">
                  <c:v>206.95</c:v>
                </c:pt>
                <c:pt idx="220">
                  <c:v>207.35</c:v>
                </c:pt>
                <c:pt idx="221">
                  <c:v>204.31</c:v>
                </c:pt>
                <c:pt idx="222">
                  <c:v>204.79</c:v>
                </c:pt>
                <c:pt idx="223">
                  <c:v>207.49</c:v>
                </c:pt>
                <c:pt idx="224">
                  <c:v>205.75</c:v>
                </c:pt>
                <c:pt idx="225">
                  <c:v>204.39</c:v>
                </c:pt>
                <c:pt idx="226">
                  <c:v>209.72</c:v>
                </c:pt>
                <c:pt idx="227">
                  <c:v>213.65</c:v>
                </c:pt>
                <c:pt idx="228">
                  <c:v>218.55</c:v>
                </c:pt>
                <c:pt idx="229">
                  <c:v>219.57</c:v>
                </c:pt>
                <c:pt idx="230">
                  <c:v>218.66</c:v>
                </c:pt>
                <c:pt idx="231">
                  <c:v>218.21</c:v>
                </c:pt>
                <c:pt idx="232">
                  <c:v>218.01</c:v>
                </c:pt>
                <c:pt idx="233">
                  <c:v>218.49</c:v>
                </c:pt>
                <c:pt idx="234">
                  <c:v>220.14</c:v>
                </c:pt>
                <c:pt idx="235">
                  <c:v>221.49</c:v>
                </c:pt>
                <c:pt idx="236">
                  <c:v>224.44</c:v>
                </c:pt>
                <c:pt idx="237">
                  <c:v>227.72</c:v>
                </c:pt>
                <c:pt idx="238">
                  <c:v>227.29</c:v>
                </c:pt>
                <c:pt idx="239">
                  <c:v>227.25</c:v>
                </c:pt>
                <c:pt idx="240">
                  <c:v>230.75</c:v>
                </c:pt>
                <c:pt idx="241">
                  <c:v>233.1</c:v>
                </c:pt>
                <c:pt idx="242">
                  <c:v>234.47</c:v>
                </c:pt>
                <c:pt idx="243">
                  <c:v>237.79</c:v>
                </c:pt>
                <c:pt idx="244">
                  <c:v>239.99</c:v>
                </c:pt>
                <c:pt idx="245">
                  <c:v>238.64</c:v>
                </c:pt>
                <c:pt idx="246">
                  <c:v>238.35</c:v>
                </c:pt>
                <c:pt idx="247">
                  <c:v>240.86</c:v>
                </c:pt>
                <c:pt idx="248">
                  <c:v>244.55</c:v>
                </c:pt>
                <c:pt idx="249">
                  <c:v>243.45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23-4657-915A-8E4A79E92512}"/>
            </c:ext>
          </c:extLst>
        </c:ser>
        <c:ser>
          <c:idx val="1"/>
          <c:order val="1"/>
          <c:tx>
            <c:strRef>
              <c:f>Data!$J$1</c:f>
              <c:strCache>
                <c:ptCount val="1"/>
                <c:pt idx="0">
                  <c:v>20d SMA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Data!$B$2:$B$251</c:f>
              <c:numCache>
                <c:formatCode>m/d/yyyy</c:formatCode>
                <c:ptCount val="250"/>
                <c:pt idx="0">
                  <c:v>45706</c:v>
                </c:pt>
                <c:pt idx="1">
                  <c:v>45707</c:v>
                </c:pt>
                <c:pt idx="2">
                  <c:v>45708</c:v>
                </c:pt>
                <c:pt idx="3">
                  <c:v>45709</c:v>
                </c:pt>
                <c:pt idx="4">
                  <c:v>45712</c:v>
                </c:pt>
                <c:pt idx="5">
                  <c:v>45713</c:v>
                </c:pt>
                <c:pt idx="6">
                  <c:v>45714</c:v>
                </c:pt>
                <c:pt idx="7">
                  <c:v>45715</c:v>
                </c:pt>
                <c:pt idx="8">
                  <c:v>45716</c:v>
                </c:pt>
                <c:pt idx="9">
                  <c:v>45719</c:v>
                </c:pt>
                <c:pt idx="10">
                  <c:v>45720</c:v>
                </c:pt>
                <c:pt idx="11">
                  <c:v>45721</c:v>
                </c:pt>
                <c:pt idx="12">
                  <c:v>45722</c:v>
                </c:pt>
                <c:pt idx="13">
                  <c:v>45723</c:v>
                </c:pt>
                <c:pt idx="14">
                  <c:v>45726</c:v>
                </c:pt>
                <c:pt idx="15">
                  <c:v>45727</c:v>
                </c:pt>
                <c:pt idx="16">
                  <c:v>45728</c:v>
                </c:pt>
                <c:pt idx="17">
                  <c:v>45729</c:v>
                </c:pt>
                <c:pt idx="18">
                  <c:v>45730</c:v>
                </c:pt>
                <c:pt idx="19">
                  <c:v>45733</c:v>
                </c:pt>
                <c:pt idx="20">
                  <c:v>45734</c:v>
                </c:pt>
                <c:pt idx="21">
                  <c:v>45735</c:v>
                </c:pt>
                <c:pt idx="22">
                  <c:v>45736</c:v>
                </c:pt>
                <c:pt idx="23">
                  <c:v>45737</c:v>
                </c:pt>
                <c:pt idx="24">
                  <c:v>45740</c:v>
                </c:pt>
                <c:pt idx="25">
                  <c:v>45741</c:v>
                </c:pt>
                <c:pt idx="26">
                  <c:v>45742</c:v>
                </c:pt>
                <c:pt idx="27">
                  <c:v>45743</c:v>
                </c:pt>
                <c:pt idx="28">
                  <c:v>45744</c:v>
                </c:pt>
                <c:pt idx="29">
                  <c:v>45747</c:v>
                </c:pt>
                <c:pt idx="30">
                  <c:v>45748</c:v>
                </c:pt>
                <c:pt idx="31">
                  <c:v>45749</c:v>
                </c:pt>
                <c:pt idx="32">
                  <c:v>45750</c:v>
                </c:pt>
                <c:pt idx="33">
                  <c:v>45751</c:v>
                </c:pt>
                <c:pt idx="34">
                  <c:v>45754</c:v>
                </c:pt>
                <c:pt idx="35">
                  <c:v>45755</c:v>
                </c:pt>
                <c:pt idx="36">
                  <c:v>45756</c:v>
                </c:pt>
                <c:pt idx="37">
                  <c:v>45757</c:v>
                </c:pt>
                <c:pt idx="38">
                  <c:v>45758</c:v>
                </c:pt>
                <c:pt idx="39">
                  <c:v>45761</c:v>
                </c:pt>
                <c:pt idx="40">
                  <c:v>45762</c:v>
                </c:pt>
                <c:pt idx="41">
                  <c:v>45763</c:v>
                </c:pt>
                <c:pt idx="42">
                  <c:v>45764</c:v>
                </c:pt>
                <c:pt idx="43">
                  <c:v>45768</c:v>
                </c:pt>
                <c:pt idx="44">
                  <c:v>45769</c:v>
                </c:pt>
                <c:pt idx="45">
                  <c:v>45770</c:v>
                </c:pt>
                <c:pt idx="46">
                  <c:v>45771</c:v>
                </c:pt>
                <c:pt idx="47">
                  <c:v>45772</c:v>
                </c:pt>
                <c:pt idx="48">
                  <c:v>45775</c:v>
                </c:pt>
                <c:pt idx="49">
                  <c:v>45776</c:v>
                </c:pt>
                <c:pt idx="50">
                  <c:v>45777</c:v>
                </c:pt>
                <c:pt idx="51">
                  <c:v>45778</c:v>
                </c:pt>
                <c:pt idx="52">
                  <c:v>45779</c:v>
                </c:pt>
                <c:pt idx="53">
                  <c:v>45782</c:v>
                </c:pt>
                <c:pt idx="54">
                  <c:v>45783</c:v>
                </c:pt>
                <c:pt idx="55">
                  <c:v>45784</c:v>
                </c:pt>
                <c:pt idx="56">
                  <c:v>45785</c:v>
                </c:pt>
                <c:pt idx="57">
                  <c:v>45786</c:v>
                </c:pt>
                <c:pt idx="58">
                  <c:v>45789</c:v>
                </c:pt>
                <c:pt idx="59">
                  <c:v>45790</c:v>
                </c:pt>
                <c:pt idx="60">
                  <c:v>45791</c:v>
                </c:pt>
                <c:pt idx="61">
                  <c:v>45792</c:v>
                </c:pt>
                <c:pt idx="62">
                  <c:v>45793</c:v>
                </c:pt>
                <c:pt idx="63">
                  <c:v>45796</c:v>
                </c:pt>
                <c:pt idx="64">
                  <c:v>45797</c:v>
                </c:pt>
                <c:pt idx="65">
                  <c:v>45798</c:v>
                </c:pt>
                <c:pt idx="66">
                  <c:v>45799</c:v>
                </c:pt>
                <c:pt idx="67">
                  <c:v>45800</c:v>
                </c:pt>
                <c:pt idx="68">
                  <c:v>45804</c:v>
                </c:pt>
                <c:pt idx="69">
                  <c:v>45805</c:v>
                </c:pt>
                <c:pt idx="70">
                  <c:v>45806</c:v>
                </c:pt>
                <c:pt idx="71">
                  <c:v>45807</c:v>
                </c:pt>
                <c:pt idx="72">
                  <c:v>45810</c:v>
                </c:pt>
                <c:pt idx="73">
                  <c:v>45811</c:v>
                </c:pt>
                <c:pt idx="74">
                  <c:v>45812</c:v>
                </c:pt>
                <c:pt idx="75">
                  <c:v>45813</c:v>
                </c:pt>
                <c:pt idx="76">
                  <c:v>45814</c:v>
                </c:pt>
                <c:pt idx="77">
                  <c:v>45817</c:v>
                </c:pt>
                <c:pt idx="78">
                  <c:v>45818</c:v>
                </c:pt>
                <c:pt idx="79">
                  <c:v>45819</c:v>
                </c:pt>
                <c:pt idx="80">
                  <c:v>45820</c:v>
                </c:pt>
                <c:pt idx="81">
                  <c:v>45821</c:v>
                </c:pt>
                <c:pt idx="82">
                  <c:v>45824</c:v>
                </c:pt>
                <c:pt idx="83">
                  <c:v>45825</c:v>
                </c:pt>
                <c:pt idx="84">
                  <c:v>45826</c:v>
                </c:pt>
                <c:pt idx="85">
                  <c:v>45828</c:v>
                </c:pt>
                <c:pt idx="86">
                  <c:v>45831</c:v>
                </c:pt>
                <c:pt idx="87">
                  <c:v>45832</c:v>
                </c:pt>
                <c:pt idx="88">
                  <c:v>45833</c:v>
                </c:pt>
                <c:pt idx="89">
                  <c:v>45834</c:v>
                </c:pt>
                <c:pt idx="90">
                  <c:v>45835</c:v>
                </c:pt>
                <c:pt idx="91">
                  <c:v>45838</c:v>
                </c:pt>
                <c:pt idx="92">
                  <c:v>45839</c:v>
                </c:pt>
                <c:pt idx="93">
                  <c:v>45840</c:v>
                </c:pt>
                <c:pt idx="94">
                  <c:v>45841</c:v>
                </c:pt>
                <c:pt idx="95">
                  <c:v>45845</c:v>
                </c:pt>
                <c:pt idx="96">
                  <c:v>45846</c:v>
                </c:pt>
                <c:pt idx="97">
                  <c:v>45847</c:v>
                </c:pt>
                <c:pt idx="98">
                  <c:v>45848</c:v>
                </c:pt>
                <c:pt idx="99">
                  <c:v>45849</c:v>
                </c:pt>
                <c:pt idx="100">
                  <c:v>45852</c:v>
                </c:pt>
                <c:pt idx="101">
                  <c:v>45853</c:v>
                </c:pt>
                <c:pt idx="102">
                  <c:v>45854</c:v>
                </c:pt>
                <c:pt idx="103">
                  <c:v>45855</c:v>
                </c:pt>
                <c:pt idx="104">
                  <c:v>45856</c:v>
                </c:pt>
                <c:pt idx="105">
                  <c:v>45859</c:v>
                </c:pt>
                <c:pt idx="106">
                  <c:v>45860</c:v>
                </c:pt>
                <c:pt idx="107">
                  <c:v>45861</c:v>
                </c:pt>
                <c:pt idx="108">
                  <c:v>45862</c:v>
                </c:pt>
                <c:pt idx="109">
                  <c:v>45863</c:v>
                </c:pt>
                <c:pt idx="110">
                  <c:v>45866</c:v>
                </c:pt>
                <c:pt idx="111">
                  <c:v>45867</c:v>
                </c:pt>
                <c:pt idx="112">
                  <c:v>45868</c:v>
                </c:pt>
                <c:pt idx="113">
                  <c:v>45869</c:v>
                </c:pt>
                <c:pt idx="114">
                  <c:v>45870</c:v>
                </c:pt>
                <c:pt idx="115">
                  <c:v>45873</c:v>
                </c:pt>
                <c:pt idx="116">
                  <c:v>45874</c:v>
                </c:pt>
                <c:pt idx="117">
                  <c:v>45875</c:v>
                </c:pt>
                <c:pt idx="118">
                  <c:v>45876</c:v>
                </c:pt>
                <c:pt idx="119">
                  <c:v>45877</c:v>
                </c:pt>
                <c:pt idx="120">
                  <c:v>45880</c:v>
                </c:pt>
                <c:pt idx="121">
                  <c:v>45881</c:v>
                </c:pt>
                <c:pt idx="122">
                  <c:v>45882</c:v>
                </c:pt>
                <c:pt idx="123">
                  <c:v>45883</c:v>
                </c:pt>
                <c:pt idx="124">
                  <c:v>45884</c:v>
                </c:pt>
                <c:pt idx="125">
                  <c:v>45887</c:v>
                </c:pt>
                <c:pt idx="126">
                  <c:v>45888</c:v>
                </c:pt>
                <c:pt idx="127">
                  <c:v>45889</c:v>
                </c:pt>
                <c:pt idx="128">
                  <c:v>45890</c:v>
                </c:pt>
                <c:pt idx="129">
                  <c:v>45891</c:v>
                </c:pt>
                <c:pt idx="130">
                  <c:v>45894</c:v>
                </c:pt>
                <c:pt idx="131">
                  <c:v>45895</c:v>
                </c:pt>
                <c:pt idx="132">
                  <c:v>45896</c:v>
                </c:pt>
                <c:pt idx="133">
                  <c:v>45897</c:v>
                </c:pt>
                <c:pt idx="134">
                  <c:v>45898</c:v>
                </c:pt>
                <c:pt idx="135">
                  <c:v>45902</c:v>
                </c:pt>
                <c:pt idx="136">
                  <c:v>45903</c:v>
                </c:pt>
                <c:pt idx="137">
                  <c:v>45904</c:v>
                </c:pt>
                <c:pt idx="138">
                  <c:v>45905</c:v>
                </c:pt>
                <c:pt idx="139">
                  <c:v>45908</c:v>
                </c:pt>
                <c:pt idx="140">
                  <c:v>45909</c:v>
                </c:pt>
                <c:pt idx="141">
                  <c:v>45910</c:v>
                </c:pt>
                <c:pt idx="142">
                  <c:v>45911</c:v>
                </c:pt>
                <c:pt idx="143">
                  <c:v>45912</c:v>
                </c:pt>
                <c:pt idx="144">
                  <c:v>45915</c:v>
                </c:pt>
                <c:pt idx="145">
                  <c:v>45916</c:v>
                </c:pt>
                <c:pt idx="146">
                  <c:v>45917</c:v>
                </c:pt>
                <c:pt idx="147">
                  <c:v>45918</c:v>
                </c:pt>
                <c:pt idx="148">
                  <c:v>45919</c:v>
                </c:pt>
                <c:pt idx="149">
                  <c:v>45922</c:v>
                </c:pt>
                <c:pt idx="150">
                  <c:v>45923</c:v>
                </c:pt>
                <c:pt idx="151">
                  <c:v>45924</c:v>
                </c:pt>
                <c:pt idx="152">
                  <c:v>45925</c:v>
                </c:pt>
                <c:pt idx="153">
                  <c:v>45926</c:v>
                </c:pt>
                <c:pt idx="154">
                  <c:v>45929</c:v>
                </c:pt>
                <c:pt idx="155">
                  <c:v>45930</c:v>
                </c:pt>
                <c:pt idx="156">
                  <c:v>45931</c:v>
                </c:pt>
                <c:pt idx="157">
                  <c:v>45932</c:v>
                </c:pt>
                <c:pt idx="158">
                  <c:v>45933</c:v>
                </c:pt>
                <c:pt idx="159">
                  <c:v>45936</c:v>
                </c:pt>
                <c:pt idx="160">
                  <c:v>45937</c:v>
                </c:pt>
                <c:pt idx="161">
                  <c:v>45938</c:v>
                </c:pt>
                <c:pt idx="162">
                  <c:v>45939</c:v>
                </c:pt>
                <c:pt idx="163">
                  <c:v>45940</c:v>
                </c:pt>
                <c:pt idx="164">
                  <c:v>45943</c:v>
                </c:pt>
                <c:pt idx="165">
                  <c:v>45944</c:v>
                </c:pt>
                <c:pt idx="166">
                  <c:v>45945</c:v>
                </c:pt>
                <c:pt idx="167">
                  <c:v>45946</c:v>
                </c:pt>
                <c:pt idx="168">
                  <c:v>45947</c:v>
                </c:pt>
                <c:pt idx="169">
                  <c:v>45950</c:v>
                </c:pt>
                <c:pt idx="170">
                  <c:v>45951</c:v>
                </c:pt>
                <c:pt idx="171">
                  <c:v>45952</c:v>
                </c:pt>
                <c:pt idx="172">
                  <c:v>45953</c:v>
                </c:pt>
                <c:pt idx="173">
                  <c:v>45954</c:v>
                </c:pt>
                <c:pt idx="174">
                  <c:v>45957</c:v>
                </c:pt>
                <c:pt idx="175">
                  <c:v>45958</c:v>
                </c:pt>
                <c:pt idx="176">
                  <c:v>45959</c:v>
                </c:pt>
                <c:pt idx="177">
                  <c:v>45960</c:v>
                </c:pt>
                <c:pt idx="178">
                  <c:v>45961</c:v>
                </c:pt>
                <c:pt idx="179">
                  <c:v>45964</c:v>
                </c:pt>
                <c:pt idx="180">
                  <c:v>45965</c:v>
                </c:pt>
                <c:pt idx="181">
                  <c:v>45966</c:v>
                </c:pt>
                <c:pt idx="182">
                  <c:v>45967</c:v>
                </c:pt>
                <c:pt idx="183">
                  <c:v>45968</c:v>
                </c:pt>
                <c:pt idx="184">
                  <c:v>45971</c:v>
                </c:pt>
                <c:pt idx="185">
                  <c:v>45972</c:v>
                </c:pt>
                <c:pt idx="186">
                  <c:v>45973</c:v>
                </c:pt>
                <c:pt idx="187">
                  <c:v>45974</c:v>
                </c:pt>
                <c:pt idx="188">
                  <c:v>45975</c:v>
                </c:pt>
                <c:pt idx="189">
                  <c:v>45978</c:v>
                </c:pt>
                <c:pt idx="190">
                  <c:v>45979</c:v>
                </c:pt>
                <c:pt idx="191">
                  <c:v>45980</c:v>
                </c:pt>
                <c:pt idx="192">
                  <c:v>45981</c:v>
                </c:pt>
                <c:pt idx="193">
                  <c:v>45982</c:v>
                </c:pt>
                <c:pt idx="194">
                  <c:v>45985</c:v>
                </c:pt>
                <c:pt idx="195">
                  <c:v>45986</c:v>
                </c:pt>
                <c:pt idx="196">
                  <c:v>45987</c:v>
                </c:pt>
                <c:pt idx="197">
                  <c:v>45989</c:v>
                </c:pt>
                <c:pt idx="198">
                  <c:v>45992</c:v>
                </c:pt>
                <c:pt idx="199">
                  <c:v>45993</c:v>
                </c:pt>
                <c:pt idx="200">
                  <c:v>45994</c:v>
                </c:pt>
                <c:pt idx="201">
                  <c:v>45995</c:v>
                </c:pt>
                <c:pt idx="202">
                  <c:v>45996</c:v>
                </c:pt>
                <c:pt idx="203">
                  <c:v>45999</c:v>
                </c:pt>
                <c:pt idx="204">
                  <c:v>46000</c:v>
                </c:pt>
                <c:pt idx="205">
                  <c:v>46001</c:v>
                </c:pt>
                <c:pt idx="206">
                  <c:v>46002</c:v>
                </c:pt>
                <c:pt idx="207">
                  <c:v>46003</c:v>
                </c:pt>
                <c:pt idx="208">
                  <c:v>46006</c:v>
                </c:pt>
                <c:pt idx="209">
                  <c:v>46007</c:v>
                </c:pt>
                <c:pt idx="210">
                  <c:v>46008</c:v>
                </c:pt>
                <c:pt idx="211">
                  <c:v>46009</c:v>
                </c:pt>
                <c:pt idx="212">
                  <c:v>46010</c:v>
                </c:pt>
                <c:pt idx="213">
                  <c:v>46013</c:v>
                </c:pt>
                <c:pt idx="214">
                  <c:v>46014</c:v>
                </c:pt>
                <c:pt idx="215">
                  <c:v>46015</c:v>
                </c:pt>
                <c:pt idx="216">
                  <c:v>46017</c:v>
                </c:pt>
                <c:pt idx="217">
                  <c:v>46020</c:v>
                </c:pt>
                <c:pt idx="218">
                  <c:v>46021</c:v>
                </c:pt>
                <c:pt idx="219">
                  <c:v>46022</c:v>
                </c:pt>
                <c:pt idx="220">
                  <c:v>46024</c:v>
                </c:pt>
                <c:pt idx="221">
                  <c:v>46027</c:v>
                </c:pt>
                <c:pt idx="222">
                  <c:v>46028</c:v>
                </c:pt>
                <c:pt idx="223">
                  <c:v>46029</c:v>
                </c:pt>
                <c:pt idx="224">
                  <c:v>46030</c:v>
                </c:pt>
                <c:pt idx="225">
                  <c:v>46031</c:v>
                </c:pt>
                <c:pt idx="226">
                  <c:v>46034</c:v>
                </c:pt>
                <c:pt idx="227">
                  <c:v>46035</c:v>
                </c:pt>
                <c:pt idx="228">
                  <c:v>46036</c:v>
                </c:pt>
                <c:pt idx="229">
                  <c:v>46037</c:v>
                </c:pt>
                <c:pt idx="230">
                  <c:v>46038</c:v>
                </c:pt>
                <c:pt idx="231">
                  <c:v>46042</c:v>
                </c:pt>
                <c:pt idx="232">
                  <c:v>46043</c:v>
                </c:pt>
                <c:pt idx="233">
                  <c:v>46044</c:v>
                </c:pt>
                <c:pt idx="234">
                  <c:v>46045</c:v>
                </c:pt>
                <c:pt idx="235">
                  <c:v>46048</c:v>
                </c:pt>
                <c:pt idx="236">
                  <c:v>46049</c:v>
                </c:pt>
                <c:pt idx="237">
                  <c:v>46050</c:v>
                </c:pt>
                <c:pt idx="238">
                  <c:v>46051</c:v>
                </c:pt>
                <c:pt idx="239">
                  <c:v>46052</c:v>
                </c:pt>
                <c:pt idx="240">
                  <c:v>46055</c:v>
                </c:pt>
                <c:pt idx="241">
                  <c:v>46056</c:v>
                </c:pt>
                <c:pt idx="242">
                  <c:v>46057</c:v>
                </c:pt>
                <c:pt idx="243">
                  <c:v>46058</c:v>
                </c:pt>
                <c:pt idx="244">
                  <c:v>46059</c:v>
                </c:pt>
                <c:pt idx="245">
                  <c:v>46062</c:v>
                </c:pt>
                <c:pt idx="246">
                  <c:v>46063</c:v>
                </c:pt>
                <c:pt idx="247">
                  <c:v>46064</c:v>
                </c:pt>
                <c:pt idx="248">
                  <c:v>46065</c:v>
                </c:pt>
                <c:pt idx="249">
                  <c:v>46066</c:v>
                </c:pt>
              </c:numCache>
            </c:numRef>
          </c:cat>
          <c:val>
            <c:numRef>
              <c:f>Data!$J$2:$J$251</c:f>
              <c:numCache>
                <c:formatCode>General</c:formatCode>
                <c:ptCount val="250"/>
                <c:pt idx="19">
                  <c:v>163.59550000000002</c:v>
                </c:pt>
                <c:pt idx="20">
                  <c:v>164.05849999999998</c:v>
                </c:pt>
                <c:pt idx="21">
                  <c:v>164.31350000000003</c:v>
                </c:pt>
                <c:pt idx="22">
                  <c:v>164.48050000000001</c:v>
                </c:pt>
                <c:pt idx="23">
                  <c:v>164.547</c:v>
                </c:pt>
                <c:pt idx="24">
                  <c:v>164.52450000000002</c:v>
                </c:pt>
                <c:pt idx="25">
                  <c:v>164.27100000000002</c:v>
                </c:pt>
                <c:pt idx="26">
                  <c:v>164.203</c:v>
                </c:pt>
                <c:pt idx="27">
                  <c:v>164.17299999999997</c:v>
                </c:pt>
                <c:pt idx="28">
                  <c:v>164.10750000000002</c:v>
                </c:pt>
                <c:pt idx="29">
                  <c:v>164.03550000000001</c:v>
                </c:pt>
                <c:pt idx="30">
                  <c:v>163.42699999999999</c:v>
                </c:pt>
                <c:pt idx="31">
                  <c:v>162.93900000000002</c:v>
                </c:pt>
                <c:pt idx="32">
                  <c:v>162.63850000000002</c:v>
                </c:pt>
                <c:pt idx="33">
                  <c:v>161.96600000000004</c:v>
                </c:pt>
                <c:pt idx="34">
                  <c:v>161.11200000000002</c:v>
                </c:pt>
                <c:pt idx="35">
                  <c:v>160.31900000000002</c:v>
                </c:pt>
                <c:pt idx="36">
                  <c:v>159.72500000000002</c:v>
                </c:pt>
                <c:pt idx="37">
                  <c:v>159.01</c:v>
                </c:pt>
                <c:pt idx="38">
                  <c:v>158.45599999999996</c:v>
                </c:pt>
                <c:pt idx="39">
                  <c:v>158.03199999999998</c:v>
                </c:pt>
                <c:pt idx="40">
                  <c:v>157.50049999999999</c:v>
                </c:pt>
                <c:pt idx="41">
                  <c:v>157.04649999999998</c:v>
                </c:pt>
                <c:pt idx="42">
                  <c:v>156.76899999999995</c:v>
                </c:pt>
                <c:pt idx="43">
                  <c:v>156.43349999999998</c:v>
                </c:pt>
                <c:pt idx="44">
                  <c:v>156.15649999999999</c:v>
                </c:pt>
                <c:pt idx="45">
                  <c:v>155.87449999999998</c:v>
                </c:pt>
                <c:pt idx="46">
                  <c:v>155.535</c:v>
                </c:pt>
                <c:pt idx="47">
                  <c:v>155.10749999999999</c:v>
                </c:pt>
                <c:pt idx="48">
                  <c:v>154.68950000000001</c:v>
                </c:pt>
                <c:pt idx="49">
                  <c:v>154.19299999999998</c:v>
                </c:pt>
                <c:pt idx="50">
                  <c:v>154.34599999999998</c:v>
                </c:pt>
                <c:pt idx="51">
                  <c:v>154.30099999999999</c:v>
                </c:pt>
                <c:pt idx="52">
                  <c:v>154.11599999999999</c:v>
                </c:pt>
                <c:pt idx="53">
                  <c:v>154.20400000000001</c:v>
                </c:pt>
                <c:pt idx="54">
                  <c:v>154.3965</c:v>
                </c:pt>
                <c:pt idx="55">
                  <c:v>154.76150000000001</c:v>
                </c:pt>
                <c:pt idx="56">
                  <c:v>154.99599999999998</c:v>
                </c:pt>
                <c:pt idx="57">
                  <c:v>155.27249999999998</c:v>
                </c:pt>
                <c:pt idx="58">
                  <c:v>155.39299999999997</c:v>
                </c:pt>
                <c:pt idx="59">
                  <c:v>155.09699999999998</c:v>
                </c:pt>
                <c:pt idx="60">
                  <c:v>154.73399999999998</c:v>
                </c:pt>
                <c:pt idx="61">
                  <c:v>154.51900000000001</c:v>
                </c:pt>
                <c:pt idx="62">
                  <c:v>154.21199999999999</c:v>
                </c:pt>
                <c:pt idx="63">
                  <c:v>153.99050000000003</c:v>
                </c:pt>
                <c:pt idx="64">
                  <c:v>153.786</c:v>
                </c:pt>
                <c:pt idx="65">
                  <c:v>153.67599999999999</c:v>
                </c:pt>
                <c:pt idx="66">
                  <c:v>153.56</c:v>
                </c:pt>
                <c:pt idx="67">
                  <c:v>153.47800000000001</c:v>
                </c:pt>
                <c:pt idx="68">
                  <c:v>153.37300000000002</c:v>
                </c:pt>
                <c:pt idx="69">
                  <c:v>153.19900000000001</c:v>
                </c:pt>
                <c:pt idx="70">
                  <c:v>153.0625</c:v>
                </c:pt>
                <c:pt idx="71">
                  <c:v>153.1</c:v>
                </c:pt>
                <c:pt idx="72">
                  <c:v>153.06400000000002</c:v>
                </c:pt>
                <c:pt idx="73">
                  <c:v>153.03500000000003</c:v>
                </c:pt>
                <c:pt idx="74">
                  <c:v>152.9725</c:v>
                </c:pt>
                <c:pt idx="75">
                  <c:v>152.79050000000001</c:v>
                </c:pt>
                <c:pt idx="76">
                  <c:v>152.75900000000004</c:v>
                </c:pt>
                <c:pt idx="77">
                  <c:v>152.80950000000001</c:v>
                </c:pt>
                <c:pt idx="78">
                  <c:v>152.92499999999998</c:v>
                </c:pt>
                <c:pt idx="79">
                  <c:v>153.26599999999999</c:v>
                </c:pt>
                <c:pt idx="80">
                  <c:v>153.78100000000001</c:v>
                </c:pt>
                <c:pt idx="81">
                  <c:v>154.15550000000002</c:v>
                </c:pt>
                <c:pt idx="82">
                  <c:v>154.35</c:v>
                </c:pt>
                <c:pt idx="83">
                  <c:v>154.34449999999998</c:v>
                </c:pt>
                <c:pt idx="84">
                  <c:v>154.19799999999998</c:v>
                </c:pt>
                <c:pt idx="85">
                  <c:v>154.02850000000001</c:v>
                </c:pt>
                <c:pt idx="86">
                  <c:v>153.964</c:v>
                </c:pt>
                <c:pt idx="87">
                  <c:v>153.9265</c:v>
                </c:pt>
                <c:pt idx="88">
                  <c:v>153.87800000000001</c:v>
                </c:pt>
                <c:pt idx="89">
                  <c:v>153.85700000000003</c:v>
                </c:pt>
                <c:pt idx="90">
                  <c:v>153.79850000000002</c:v>
                </c:pt>
                <c:pt idx="91">
                  <c:v>153.6755</c:v>
                </c:pt>
                <c:pt idx="92">
                  <c:v>153.70150000000004</c:v>
                </c:pt>
                <c:pt idx="93">
                  <c:v>153.75849999999997</c:v>
                </c:pt>
                <c:pt idx="94">
                  <c:v>153.89799999999997</c:v>
                </c:pt>
                <c:pt idx="95">
                  <c:v>153.97849999999997</c:v>
                </c:pt>
                <c:pt idx="96">
                  <c:v>154.01649999999998</c:v>
                </c:pt>
                <c:pt idx="97">
                  <c:v>154.06900000000002</c:v>
                </c:pt>
                <c:pt idx="98">
                  <c:v>154.13100000000003</c:v>
                </c:pt>
                <c:pt idx="99">
                  <c:v>154.21300000000002</c:v>
                </c:pt>
                <c:pt idx="100">
                  <c:v>154.22100000000003</c:v>
                </c:pt>
                <c:pt idx="101">
                  <c:v>154.12450000000004</c:v>
                </c:pt>
                <c:pt idx="102">
                  <c:v>154.60250000000005</c:v>
                </c:pt>
                <c:pt idx="103">
                  <c:v>155.13250000000002</c:v>
                </c:pt>
                <c:pt idx="104">
                  <c:v>155.78100000000001</c:v>
                </c:pt>
                <c:pt idx="105">
                  <c:v>156.5095</c:v>
                </c:pt>
                <c:pt idx="106">
                  <c:v>157.34</c:v>
                </c:pt>
                <c:pt idx="107">
                  <c:v>158.18549999999999</c:v>
                </c:pt>
                <c:pt idx="108">
                  <c:v>159.04949999999999</c:v>
                </c:pt>
                <c:pt idx="109">
                  <c:v>159.86399999999998</c:v>
                </c:pt>
                <c:pt idx="110">
                  <c:v>160.55449999999999</c:v>
                </c:pt>
                <c:pt idx="111">
                  <c:v>161.32249999999999</c:v>
                </c:pt>
                <c:pt idx="112">
                  <c:v>161.8895</c:v>
                </c:pt>
                <c:pt idx="113">
                  <c:v>162.34849999999997</c:v>
                </c:pt>
                <c:pt idx="114">
                  <c:v>162.9145</c:v>
                </c:pt>
                <c:pt idx="115">
                  <c:v>163.70300000000003</c:v>
                </c:pt>
                <c:pt idx="116">
                  <c:v>164.45049999999998</c:v>
                </c:pt>
                <c:pt idx="117">
                  <c:v>165.166</c:v>
                </c:pt>
                <c:pt idx="118">
                  <c:v>165.85799999999998</c:v>
                </c:pt>
                <c:pt idx="119">
                  <c:v>166.67949999999999</c:v>
                </c:pt>
                <c:pt idx="120">
                  <c:v>167.52950000000001</c:v>
                </c:pt>
                <c:pt idx="121">
                  <c:v>168.41000000000003</c:v>
                </c:pt>
                <c:pt idx="122">
                  <c:v>168.89200000000002</c:v>
                </c:pt>
                <c:pt idx="123">
                  <c:v>169.47900000000004</c:v>
                </c:pt>
                <c:pt idx="124">
                  <c:v>170.126</c:v>
                </c:pt>
                <c:pt idx="125">
                  <c:v>170.72049999999999</c:v>
                </c:pt>
                <c:pt idx="126">
                  <c:v>171.214</c:v>
                </c:pt>
                <c:pt idx="127">
                  <c:v>171.70099999999999</c:v>
                </c:pt>
                <c:pt idx="128">
                  <c:v>172.1695</c:v>
                </c:pt>
                <c:pt idx="129">
                  <c:v>172.71899999999999</c:v>
                </c:pt>
                <c:pt idx="130">
                  <c:v>173.32849999999999</c:v>
                </c:pt>
                <c:pt idx="131">
                  <c:v>173.7475</c:v>
                </c:pt>
                <c:pt idx="132">
                  <c:v>174.22399999999999</c:v>
                </c:pt>
                <c:pt idx="133">
                  <c:v>174.75949999999997</c:v>
                </c:pt>
                <c:pt idx="134">
                  <c:v>175.25149999999999</c:v>
                </c:pt>
                <c:pt idx="135">
                  <c:v>175.60249999999999</c:v>
                </c:pt>
                <c:pt idx="136">
                  <c:v>175.96549999999996</c:v>
                </c:pt>
                <c:pt idx="137">
                  <c:v>176.37399999999997</c:v>
                </c:pt>
                <c:pt idx="138">
                  <c:v>176.71899999999999</c:v>
                </c:pt>
                <c:pt idx="139">
                  <c:v>176.959</c:v>
                </c:pt>
                <c:pt idx="140">
                  <c:v>177.11600000000001</c:v>
                </c:pt>
                <c:pt idx="141">
                  <c:v>177.26649999999998</c:v>
                </c:pt>
                <c:pt idx="142">
                  <c:v>177.47050000000002</c:v>
                </c:pt>
                <c:pt idx="143">
                  <c:v>177.63749999999999</c:v>
                </c:pt>
                <c:pt idx="144">
                  <c:v>177.6755</c:v>
                </c:pt>
                <c:pt idx="145">
                  <c:v>177.68599999999998</c:v>
                </c:pt>
                <c:pt idx="146">
                  <c:v>177.65600000000001</c:v>
                </c:pt>
                <c:pt idx="147">
                  <c:v>177.42199999999997</c:v>
                </c:pt>
                <c:pt idx="148">
                  <c:v>177.285</c:v>
                </c:pt>
                <c:pt idx="149">
                  <c:v>177.03100000000001</c:v>
                </c:pt>
                <c:pt idx="150">
                  <c:v>176.93950000000001</c:v>
                </c:pt>
                <c:pt idx="151">
                  <c:v>176.9495</c:v>
                </c:pt>
                <c:pt idx="152">
                  <c:v>176.9965</c:v>
                </c:pt>
                <c:pt idx="153">
                  <c:v>177.20949999999999</c:v>
                </c:pt>
                <c:pt idx="154">
                  <c:v>177.43199999999999</c:v>
                </c:pt>
                <c:pt idx="155">
                  <c:v>177.8</c:v>
                </c:pt>
                <c:pt idx="156">
                  <c:v>178.20250000000001</c:v>
                </c:pt>
                <c:pt idx="157">
                  <c:v>178.56350000000003</c:v>
                </c:pt>
                <c:pt idx="158">
                  <c:v>179.07400000000001</c:v>
                </c:pt>
                <c:pt idx="159">
                  <c:v>179.57549999999998</c:v>
                </c:pt>
                <c:pt idx="160">
                  <c:v>180.17199999999997</c:v>
                </c:pt>
                <c:pt idx="161">
                  <c:v>180.86700000000002</c:v>
                </c:pt>
                <c:pt idx="162">
                  <c:v>181.49600000000001</c:v>
                </c:pt>
                <c:pt idx="163">
                  <c:v>182.12899999999996</c:v>
                </c:pt>
                <c:pt idx="164">
                  <c:v>182.804</c:v>
                </c:pt>
                <c:pt idx="165">
                  <c:v>183.52349999999996</c:v>
                </c:pt>
                <c:pt idx="166">
                  <c:v>184.22200000000001</c:v>
                </c:pt>
                <c:pt idx="167">
                  <c:v>185.11999999999998</c:v>
                </c:pt>
                <c:pt idx="168">
                  <c:v>185.97149999999999</c:v>
                </c:pt>
                <c:pt idx="169">
                  <c:v>186.94699999999997</c:v>
                </c:pt>
                <c:pt idx="170">
                  <c:v>187.71199999999999</c:v>
                </c:pt>
                <c:pt idx="171">
                  <c:v>188.52449999999999</c:v>
                </c:pt>
                <c:pt idx="172">
                  <c:v>189.26149999999998</c:v>
                </c:pt>
                <c:pt idx="173">
                  <c:v>189.79599999999996</c:v>
                </c:pt>
                <c:pt idx="174">
                  <c:v>190.23</c:v>
                </c:pt>
                <c:pt idx="175">
                  <c:v>190.30549999999997</c:v>
                </c:pt>
                <c:pt idx="176">
                  <c:v>190.33299999999997</c:v>
                </c:pt>
                <c:pt idx="177">
                  <c:v>190.48649999999998</c:v>
                </c:pt>
                <c:pt idx="178">
                  <c:v>190.49799999999999</c:v>
                </c:pt>
                <c:pt idx="179">
                  <c:v>190.40300000000002</c:v>
                </c:pt>
                <c:pt idx="180">
                  <c:v>190.3015</c:v>
                </c:pt>
                <c:pt idx="181">
                  <c:v>190.11700000000002</c:v>
                </c:pt>
                <c:pt idx="182">
                  <c:v>189.91149999999999</c:v>
                </c:pt>
                <c:pt idx="183">
                  <c:v>189.70400000000001</c:v>
                </c:pt>
                <c:pt idx="184">
                  <c:v>189.5795</c:v>
                </c:pt>
                <c:pt idx="185">
                  <c:v>189.7285</c:v>
                </c:pt>
                <c:pt idx="186">
                  <c:v>189.8895</c:v>
                </c:pt>
                <c:pt idx="187">
                  <c:v>190.04599999999999</c:v>
                </c:pt>
                <c:pt idx="188">
                  <c:v>190.18149999999997</c:v>
                </c:pt>
                <c:pt idx="189">
                  <c:v>190.47449999999998</c:v>
                </c:pt>
                <c:pt idx="190">
                  <c:v>190.88049999999996</c:v>
                </c:pt>
                <c:pt idx="191">
                  <c:v>191.35899999999998</c:v>
                </c:pt>
                <c:pt idx="192">
                  <c:v>191.88899999999995</c:v>
                </c:pt>
                <c:pt idx="193">
                  <c:v>192.56399999999999</c:v>
                </c:pt>
                <c:pt idx="194">
                  <c:v>193.35149999999999</c:v>
                </c:pt>
                <c:pt idx="195">
                  <c:v>194.33850000000001</c:v>
                </c:pt>
                <c:pt idx="196">
                  <c:v>195.38650000000001</c:v>
                </c:pt>
                <c:pt idx="197">
                  <c:v>196.28</c:v>
                </c:pt>
                <c:pt idx="198">
                  <c:v>197.10350000000005</c:v>
                </c:pt>
                <c:pt idx="199">
                  <c:v>198.06150000000005</c:v>
                </c:pt>
                <c:pt idx="200">
                  <c:v>198.98500000000004</c:v>
                </c:pt>
                <c:pt idx="201">
                  <c:v>199.80900000000003</c:v>
                </c:pt>
                <c:pt idx="202">
                  <c:v>200.55700000000002</c:v>
                </c:pt>
                <c:pt idx="203">
                  <c:v>201.30950000000001</c:v>
                </c:pt>
                <c:pt idx="204">
                  <c:v>201.887</c:v>
                </c:pt>
                <c:pt idx="205">
                  <c:v>202.52249999999998</c:v>
                </c:pt>
                <c:pt idx="206">
                  <c:v>203.30349999999999</c:v>
                </c:pt>
                <c:pt idx="207">
                  <c:v>204.11999999999998</c:v>
                </c:pt>
                <c:pt idx="208">
                  <c:v>205.03199999999998</c:v>
                </c:pt>
                <c:pt idx="209">
                  <c:v>205.51799999999997</c:v>
                </c:pt>
                <c:pt idx="210">
                  <c:v>206.03449999999998</c:v>
                </c:pt>
                <c:pt idx="211">
                  <c:v>206.3245</c:v>
                </c:pt>
                <c:pt idx="212">
                  <c:v>206.48949999999999</c:v>
                </c:pt>
                <c:pt idx="213">
                  <c:v>206.66050000000001</c:v>
                </c:pt>
                <c:pt idx="214">
                  <c:v>206.64699999999999</c:v>
                </c:pt>
                <c:pt idx="215">
                  <c:v>206.70250000000001</c:v>
                </c:pt>
                <c:pt idx="216">
                  <c:v>206.70600000000005</c:v>
                </c:pt>
                <c:pt idx="217">
                  <c:v>206.73800000000006</c:v>
                </c:pt>
                <c:pt idx="218">
                  <c:v>206.81650000000005</c:v>
                </c:pt>
                <c:pt idx="219">
                  <c:v>206.89300000000003</c:v>
                </c:pt>
                <c:pt idx="220">
                  <c:v>206.994</c:v>
                </c:pt>
                <c:pt idx="221">
                  <c:v>207.0855</c:v>
                </c:pt>
                <c:pt idx="222">
                  <c:v>207.22850000000003</c:v>
                </c:pt>
                <c:pt idx="223">
                  <c:v>207.52199999999999</c:v>
                </c:pt>
                <c:pt idx="224">
                  <c:v>207.81149999999997</c:v>
                </c:pt>
                <c:pt idx="225">
                  <c:v>207.70400000000001</c:v>
                </c:pt>
                <c:pt idx="226">
                  <c:v>207.68949999999995</c:v>
                </c:pt>
                <c:pt idx="227">
                  <c:v>207.79299999999995</c:v>
                </c:pt>
                <c:pt idx="228">
                  <c:v>208.01199999999994</c:v>
                </c:pt>
                <c:pt idx="229">
                  <c:v>208.52550000000002</c:v>
                </c:pt>
                <c:pt idx="230">
                  <c:v>208.94200000000001</c:v>
                </c:pt>
                <c:pt idx="231">
                  <c:v>209.43699999999998</c:v>
                </c:pt>
                <c:pt idx="232">
                  <c:v>210.01900000000001</c:v>
                </c:pt>
                <c:pt idx="233">
                  <c:v>210.57750000000001</c:v>
                </c:pt>
                <c:pt idx="234">
                  <c:v>211.2955</c:v>
                </c:pt>
                <c:pt idx="235">
                  <c:v>211.98099999999999</c:v>
                </c:pt>
                <c:pt idx="236">
                  <c:v>212.82149999999996</c:v>
                </c:pt>
                <c:pt idx="237">
                  <c:v>213.8295</c:v>
                </c:pt>
                <c:pt idx="238">
                  <c:v>214.84849999999997</c:v>
                </c:pt>
                <c:pt idx="239">
                  <c:v>215.86349999999999</c:v>
                </c:pt>
                <c:pt idx="240">
                  <c:v>217.0335</c:v>
                </c:pt>
                <c:pt idx="241">
                  <c:v>218.47300000000001</c:v>
                </c:pt>
                <c:pt idx="242">
                  <c:v>219.95700000000002</c:v>
                </c:pt>
                <c:pt idx="243">
                  <c:v>221.47199999999998</c:v>
                </c:pt>
                <c:pt idx="244">
                  <c:v>223.18399999999997</c:v>
                </c:pt>
                <c:pt idx="245">
                  <c:v>224.89649999999997</c:v>
                </c:pt>
                <c:pt idx="246">
                  <c:v>226.32799999999997</c:v>
                </c:pt>
                <c:pt idx="247">
                  <c:v>227.68849999999998</c:v>
                </c:pt>
                <c:pt idx="248">
                  <c:v>228.98849999999999</c:v>
                </c:pt>
                <c:pt idx="249">
                  <c:v>230.18249999999995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723-4657-915A-8E4A79E92512}"/>
            </c:ext>
          </c:extLst>
        </c:ser>
        <c:ser>
          <c:idx val="2"/>
          <c:order val="2"/>
          <c:tx>
            <c:strRef>
              <c:f>Data!$L$1</c:f>
              <c:strCache>
                <c:ptCount val="1"/>
                <c:pt idx="0">
                  <c:v>Upper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Data!$B$2:$B$251</c:f>
              <c:numCache>
                <c:formatCode>m/d/yyyy</c:formatCode>
                <c:ptCount val="250"/>
                <c:pt idx="0">
                  <c:v>45706</c:v>
                </c:pt>
                <c:pt idx="1">
                  <c:v>45707</c:v>
                </c:pt>
                <c:pt idx="2">
                  <c:v>45708</c:v>
                </c:pt>
                <c:pt idx="3">
                  <c:v>45709</c:v>
                </c:pt>
                <c:pt idx="4">
                  <c:v>45712</c:v>
                </c:pt>
                <c:pt idx="5">
                  <c:v>45713</c:v>
                </c:pt>
                <c:pt idx="6">
                  <c:v>45714</c:v>
                </c:pt>
                <c:pt idx="7">
                  <c:v>45715</c:v>
                </c:pt>
                <c:pt idx="8">
                  <c:v>45716</c:v>
                </c:pt>
                <c:pt idx="9">
                  <c:v>45719</c:v>
                </c:pt>
                <c:pt idx="10">
                  <c:v>45720</c:v>
                </c:pt>
                <c:pt idx="11">
                  <c:v>45721</c:v>
                </c:pt>
                <c:pt idx="12">
                  <c:v>45722</c:v>
                </c:pt>
                <c:pt idx="13">
                  <c:v>45723</c:v>
                </c:pt>
                <c:pt idx="14">
                  <c:v>45726</c:v>
                </c:pt>
                <c:pt idx="15">
                  <c:v>45727</c:v>
                </c:pt>
                <c:pt idx="16">
                  <c:v>45728</c:v>
                </c:pt>
                <c:pt idx="17">
                  <c:v>45729</c:v>
                </c:pt>
                <c:pt idx="18">
                  <c:v>45730</c:v>
                </c:pt>
                <c:pt idx="19">
                  <c:v>45733</c:v>
                </c:pt>
                <c:pt idx="20">
                  <c:v>45734</c:v>
                </c:pt>
                <c:pt idx="21">
                  <c:v>45735</c:v>
                </c:pt>
                <c:pt idx="22">
                  <c:v>45736</c:v>
                </c:pt>
                <c:pt idx="23">
                  <c:v>45737</c:v>
                </c:pt>
                <c:pt idx="24">
                  <c:v>45740</c:v>
                </c:pt>
                <c:pt idx="25">
                  <c:v>45741</c:v>
                </c:pt>
                <c:pt idx="26">
                  <c:v>45742</c:v>
                </c:pt>
                <c:pt idx="27">
                  <c:v>45743</c:v>
                </c:pt>
                <c:pt idx="28">
                  <c:v>45744</c:v>
                </c:pt>
                <c:pt idx="29">
                  <c:v>45747</c:v>
                </c:pt>
                <c:pt idx="30">
                  <c:v>45748</c:v>
                </c:pt>
                <c:pt idx="31">
                  <c:v>45749</c:v>
                </c:pt>
                <c:pt idx="32">
                  <c:v>45750</c:v>
                </c:pt>
                <c:pt idx="33">
                  <c:v>45751</c:v>
                </c:pt>
                <c:pt idx="34">
                  <c:v>45754</c:v>
                </c:pt>
                <c:pt idx="35">
                  <c:v>45755</c:v>
                </c:pt>
                <c:pt idx="36">
                  <c:v>45756</c:v>
                </c:pt>
                <c:pt idx="37">
                  <c:v>45757</c:v>
                </c:pt>
                <c:pt idx="38">
                  <c:v>45758</c:v>
                </c:pt>
                <c:pt idx="39">
                  <c:v>45761</c:v>
                </c:pt>
                <c:pt idx="40">
                  <c:v>45762</c:v>
                </c:pt>
                <c:pt idx="41">
                  <c:v>45763</c:v>
                </c:pt>
                <c:pt idx="42">
                  <c:v>45764</c:v>
                </c:pt>
                <c:pt idx="43">
                  <c:v>45768</c:v>
                </c:pt>
                <c:pt idx="44">
                  <c:v>45769</c:v>
                </c:pt>
                <c:pt idx="45">
                  <c:v>45770</c:v>
                </c:pt>
                <c:pt idx="46">
                  <c:v>45771</c:v>
                </c:pt>
                <c:pt idx="47">
                  <c:v>45772</c:v>
                </c:pt>
                <c:pt idx="48">
                  <c:v>45775</c:v>
                </c:pt>
                <c:pt idx="49">
                  <c:v>45776</c:v>
                </c:pt>
                <c:pt idx="50">
                  <c:v>45777</c:v>
                </c:pt>
                <c:pt idx="51">
                  <c:v>45778</c:v>
                </c:pt>
                <c:pt idx="52">
                  <c:v>45779</c:v>
                </c:pt>
                <c:pt idx="53">
                  <c:v>45782</c:v>
                </c:pt>
                <c:pt idx="54">
                  <c:v>45783</c:v>
                </c:pt>
                <c:pt idx="55">
                  <c:v>45784</c:v>
                </c:pt>
                <c:pt idx="56">
                  <c:v>45785</c:v>
                </c:pt>
                <c:pt idx="57">
                  <c:v>45786</c:v>
                </c:pt>
                <c:pt idx="58">
                  <c:v>45789</c:v>
                </c:pt>
                <c:pt idx="59">
                  <c:v>45790</c:v>
                </c:pt>
                <c:pt idx="60">
                  <c:v>45791</c:v>
                </c:pt>
                <c:pt idx="61">
                  <c:v>45792</c:v>
                </c:pt>
                <c:pt idx="62">
                  <c:v>45793</c:v>
                </c:pt>
                <c:pt idx="63">
                  <c:v>45796</c:v>
                </c:pt>
                <c:pt idx="64">
                  <c:v>45797</c:v>
                </c:pt>
                <c:pt idx="65">
                  <c:v>45798</c:v>
                </c:pt>
                <c:pt idx="66">
                  <c:v>45799</c:v>
                </c:pt>
                <c:pt idx="67">
                  <c:v>45800</c:v>
                </c:pt>
                <c:pt idx="68">
                  <c:v>45804</c:v>
                </c:pt>
                <c:pt idx="69">
                  <c:v>45805</c:v>
                </c:pt>
                <c:pt idx="70">
                  <c:v>45806</c:v>
                </c:pt>
                <c:pt idx="71">
                  <c:v>45807</c:v>
                </c:pt>
                <c:pt idx="72">
                  <c:v>45810</c:v>
                </c:pt>
                <c:pt idx="73">
                  <c:v>45811</c:v>
                </c:pt>
                <c:pt idx="74">
                  <c:v>45812</c:v>
                </c:pt>
                <c:pt idx="75">
                  <c:v>45813</c:v>
                </c:pt>
                <c:pt idx="76">
                  <c:v>45814</c:v>
                </c:pt>
                <c:pt idx="77">
                  <c:v>45817</c:v>
                </c:pt>
                <c:pt idx="78">
                  <c:v>45818</c:v>
                </c:pt>
                <c:pt idx="79">
                  <c:v>45819</c:v>
                </c:pt>
                <c:pt idx="80">
                  <c:v>45820</c:v>
                </c:pt>
                <c:pt idx="81">
                  <c:v>45821</c:v>
                </c:pt>
                <c:pt idx="82">
                  <c:v>45824</c:v>
                </c:pt>
                <c:pt idx="83">
                  <c:v>45825</c:v>
                </c:pt>
                <c:pt idx="84">
                  <c:v>45826</c:v>
                </c:pt>
                <c:pt idx="85">
                  <c:v>45828</c:v>
                </c:pt>
                <c:pt idx="86">
                  <c:v>45831</c:v>
                </c:pt>
                <c:pt idx="87">
                  <c:v>45832</c:v>
                </c:pt>
                <c:pt idx="88">
                  <c:v>45833</c:v>
                </c:pt>
                <c:pt idx="89">
                  <c:v>45834</c:v>
                </c:pt>
                <c:pt idx="90">
                  <c:v>45835</c:v>
                </c:pt>
                <c:pt idx="91">
                  <c:v>45838</c:v>
                </c:pt>
                <c:pt idx="92">
                  <c:v>45839</c:v>
                </c:pt>
                <c:pt idx="93">
                  <c:v>45840</c:v>
                </c:pt>
                <c:pt idx="94">
                  <c:v>45841</c:v>
                </c:pt>
                <c:pt idx="95">
                  <c:v>45845</c:v>
                </c:pt>
                <c:pt idx="96">
                  <c:v>45846</c:v>
                </c:pt>
                <c:pt idx="97">
                  <c:v>45847</c:v>
                </c:pt>
                <c:pt idx="98">
                  <c:v>45848</c:v>
                </c:pt>
                <c:pt idx="99">
                  <c:v>45849</c:v>
                </c:pt>
                <c:pt idx="100">
                  <c:v>45852</c:v>
                </c:pt>
                <c:pt idx="101">
                  <c:v>45853</c:v>
                </c:pt>
                <c:pt idx="102">
                  <c:v>45854</c:v>
                </c:pt>
                <c:pt idx="103">
                  <c:v>45855</c:v>
                </c:pt>
                <c:pt idx="104">
                  <c:v>45856</c:v>
                </c:pt>
                <c:pt idx="105">
                  <c:v>45859</c:v>
                </c:pt>
                <c:pt idx="106">
                  <c:v>45860</c:v>
                </c:pt>
                <c:pt idx="107">
                  <c:v>45861</c:v>
                </c:pt>
                <c:pt idx="108">
                  <c:v>45862</c:v>
                </c:pt>
                <c:pt idx="109">
                  <c:v>45863</c:v>
                </c:pt>
                <c:pt idx="110">
                  <c:v>45866</c:v>
                </c:pt>
                <c:pt idx="111">
                  <c:v>45867</c:v>
                </c:pt>
                <c:pt idx="112">
                  <c:v>45868</c:v>
                </c:pt>
                <c:pt idx="113">
                  <c:v>45869</c:v>
                </c:pt>
                <c:pt idx="114">
                  <c:v>45870</c:v>
                </c:pt>
                <c:pt idx="115">
                  <c:v>45873</c:v>
                </c:pt>
                <c:pt idx="116">
                  <c:v>45874</c:v>
                </c:pt>
                <c:pt idx="117">
                  <c:v>45875</c:v>
                </c:pt>
                <c:pt idx="118">
                  <c:v>45876</c:v>
                </c:pt>
                <c:pt idx="119">
                  <c:v>45877</c:v>
                </c:pt>
                <c:pt idx="120">
                  <c:v>45880</c:v>
                </c:pt>
                <c:pt idx="121">
                  <c:v>45881</c:v>
                </c:pt>
                <c:pt idx="122">
                  <c:v>45882</c:v>
                </c:pt>
                <c:pt idx="123">
                  <c:v>45883</c:v>
                </c:pt>
                <c:pt idx="124">
                  <c:v>45884</c:v>
                </c:pt>
                <c:pt idx="125">
                  <c:v>45887</c:v>
                </c:pt>
                <c:pt idx="126">
                  <c:v>45888</c:v>
                </c:pt>
                <c:pt idx="127">
                  <c:v>45889</c:v>
                </c:pt>
                <c:pt idx="128">
                  <c:v>45890</c:v>
                </c:pt>
                <c:pt idx="129">
                  <c:v>45891</c:v>
                </c:pt>
                <c:pt idx="130">
                  <c:v>45894</c:v>
                </c:pt>
                <c:pt idx="131">
                  <c:v>45895</c:v>
                </c:pt>
                <c:pt idx="132">
                  <c:v>45896</c:v>
                </c:pt>
                <c:pt idx="133">
                  <c:v>45897</c:v>
                </c:pt>
                <c:pt idx="134">
                  <c:v>45898</c:v>
                </c:pt>
                <c:pt idx="135">
                  <c:v>45902</c:v>
                </c:pt>
                <c:pt idx="136">
                  <c:v>45903</c:v>
                </c:pt>
                <c:pt idx="137">
                  <c:v>45904</c:v>
                </c:pt>
                <c:pt idx="138">
                  <c:v>45905</c:v>
                </c:pt>
                <c:pt idx="139">
                  <c:v>45908</c:v>
                </c:pt>
                <c:pt idx="140">
                  <c:v>45909</c:v>
                </c:pt>
                <c:pt idx="141">
                  <c:v>45910</c:v>
                </c:pt>
                <c:pt idx="142">
                  <c:v>45911</c:v>
                </c:pt>
                <c:pt idx="143">
                  <c:v>45912</c:v>
                </c:pt>
                <c:pt idx="144">
                  <c:v>45915</c:v>
                </c:pt>
                <c:pt idx="145">
                  <c:v>45916</c:v>
                </c:pt>
                <c:pt idx="146">
                  <c:v>45917</c:v>
                </c:pt>
                <c:pt idx="147">
                  <c:v>45918</c:v>
                </c:pt>
                <c:pt idx="148">
                  <c:v>45919</c:v>
                </c:pt>
                <c:pt idx="149">
                  <c:v>45922</c:v>
                </c:pt>
                <c:pt idx="150">
                  <c:v>45923</c:v>
                </c:pt>
                <c:pt idx="151">
                  <c:v>45924</c:v>
                </c:pt>
                <c:pt idx="152">
                  <c:v>45925</c:v>
                </c:pt>
                <c:pt idx="153">
                  <c:v>45926</c:v>
                </c:pt>
                <c:pt idx="154">
                  <c:v>45929</c:v>
                </c:pt>
                <c:pt idx="155">
                  <c:v>45930</c:v>
                </c:pt>
                <c:pt idx="156">
                  <c:v>45931</c:v>
                </c:pt>
                <c:pt idx="157">
                  <c:v>45932</c:v>
                </c:pt>
                <c:pt idx="158">
                  <c:v>45933</c:v>
                </c:pt>
                <c:pt idx="159">
                  <c:v>45936</c:v>
                </c:pt>
                <c:pt idx="160">
                  <c:v>45937</c:v>
                </c:pt>
                <c:pt idx="161">
                  <c:v>45938</c:v>
                </c:pt>
                <c:pt idx="162">
                  <c:v>45939</c:v>
                </c:pt>
                <c:pt idx="163">
                  <c:v>45940</c:v>
                </c:pt>
                <c:pt idx="164">
                  <c:v>45943</c:v>
                </c:pt>
                <c:pt idx="165">
                  <c:v>45944</c:v>
                </c:pt>
                <c:pt idx="166">
                  <c:v>45945</c:v>
                </c:pt>
                <c:pt idx="167">
                  <c:v>45946</c:v>
                </c:pt>
                <c:pt idx="168">
                  <c:v>45947</c:v>
                </c:pt>
                <c:pt idx="169">
                  <c:v>45950</c:v>
                </c:pt>
                <c:pt idx="170">
                  <c:v>45951</c:v>
                </c:pt>
                <c:pt idx="171">
                  <c:v>45952</c:v>
                </c:pt>
                <c:pt idx="172">
                  <c:v>45953</c:v>
                </c:pt>
                <c:pt idx="173">
                  <c:v>45954</c:v>
                </c:pt>
                <c:pt idx="174">
                  <c:v>45957</c:v>
                </c:pt>
                <c:pt idx="175">
                  <c:v>45958</c:v>
                </c:pt>
                <c:pt idx="176">
                  <c:v>45959</c:v>
                </c:pt>
                <c:pt idx="177">
                  <c:v>45960</c:v>
                </c:pt>
                <c:pt idx="178">
                  <c:v>45961</c:v>
                </c:pt>
                <c:pt idx="179">
                  <c:v>45964</c:v>
                </c:pt>
                <c:pt idx="180">
                  <c:v>45965</c:v>
                </c:pt>
                <c:pt idx="181">
                  <c:v>45966</c:v>
                </c:pt>
                <c:pt idx="182">
                  <c:v>45967</c:v>
                </c:pt>
                <c:pt idx="183">
                  <c:v>45968</c:v>
                </c:pt>
                <c:pt idx="184">
                  <c:v>45971</c:v>
                </c:pt>
                <c:pt idx="185">
                  <c:v>45972</c:v>
                </c:pt>
                <c:pt idx="186">
                  <c:v>45973</c:v>
                </c:pt>
                <c:pt idx="187">
                  <c:v>45974</c:v>
                </c:pt>
                <c:pt idx="188">
                  <c:v>45975</c:v>
                </c:pt>
                <c:pt idx="189">
                  <c:v>45978</c:v>
                </c:pt>
                <c:pt idx="190">
                  <c:v>45979</c:v>
                </c:pt>
                <c:pt idx="191">
                  <c:v>45980</c:v>
                </c:pt>
                <c:pt idx="192">
                  <c:v>45981</c:v>
                </c:pt>
                <c:pt idx="193">
                  <c:v>45982</c:v>
                </c:pt>
                <c:pt idx="194">
                  <c:v>45985</c:v>
                </c:pt>
                <c:pt idx="195">
                  <c:v>45986</c:v>
                </c:pt>
                <c:pt idx="196">
                  <c:v>45987</c:v>
                </c:pt>
                <c:pt idx="197">
                  <c:v>45989</c:v>
                </c:pt>
                <c:pt idx="198">
                  <c:v>45992</c:v>
                </c:pt>
                <c:pt idx="199">
                  <c:v>45993</c:v>
                </c:pt>
                <c:pt idx="200">
                  <c:v>45994</c:v>
                </c:pt>
                <c:pt idx="201">
                  <c:v>45995</c:v>
                </c:pt>
                <c:pt idx="202">
                  <c:v>45996</c:v>
                </c:pt>
                <c:pt idx="203">
                  <c:v>45999</c:v>
                </c:pt>
                <c:pt idx="204">
                  <c:v>46000</c:v>
                </c:pt>
                <c:pt idx="205">
                  <c:v>46001</c:v>
                </c:pt>
                <c:pt idx="206">
                  <c:v>46002</c:v>
                </c:pt>
                <c:pt idx="207">
                  <c:v>46003</c:v>
                </c:pt>
                <c:pt idx="208">
                  <c:v>46006</c:v>
                </c:pt>
                <c:pt idx="209">
                  <c:v>46007</c:v>
                </c:pt>
                <c:pt idx="210">
                  <c:v>46008</c:v>
                </c:pt>
                <c:pt idx="211">
                  <c:v>46009</c:v>
                </c:pt>
                <c:pt idx="212">
                  <c:v>46010</c:v>
                </c:pt>
                <c:pt idx="213">
                  <c:v>46013</c:v>
                </c:pt>
                <c:pt idx="214">
                  <c:v>46014</c:v>
                </c:pt>
                <c:pt idx="215">
                  <c:v>46015</c:v>
                </c:pt>
                <c:pt idx="216">
                  <c:v>46017</c:v>
                </c:pt>
                <c:pt idx="217">
                  <c:v>46020</c:v>
                </c:pt>
                <c:pt idx="218">
                  <c:v>46021</c:v>
                </c:pt>
                <c:pt idx="219">
                  <c:v>46022</c:v>
                </c:pt>
                <c:pt idx="220">
                  <c:v>46024</c:v>
                </c:pt>
                <c:pt idx="221">
                  <c:v>46027</c:v>
                </c:pt>
                <c:pt idx="222">
                  <c:v>46028</c:v>
                </c:pt>
                <c:pt idx="223">
                  <c:v>46029</c:v>
                </c:pt>
                <c:pt idx="224">
                  <c:v>46030</c:v>
                </c:pt>
                <c:pt idx="225">
                  <c:v>46031</c:v>
                </c:pt>
                <c:pt idx="226">
                  <c:v>46034</c:v>
                </c:pt>
                <c:pt idx="227">
                  <c:v>46035</c:v>
                </c:pt>
                <c:pt idx="228">
                  <c:v>46036</c:v>
                </c:pt>
                <c:pt idx="229">
                  <c:v>46037</c:v>
                </c:pt>
                <c:pt idx="230">
                  <c:v>46038</c:v>
                </c:pt>
                <c:pt idx="231">
                  <c:v>46042</c:v>
                </c:pt>
                <c:pt idx="232">
                  <c:v>46043</c:v>
                </c:pt>
                <c:pt idx="233">
                  <c:v>46044</c:v>
                </c:pt>
                <c:pt idx="234">
                  <c:v>46045</c:v>
                </c:pt>
                <c:pt idx="235">
                  <c:v>46048</c:v>
                </c:pt>
                <c:pt idx="236">
                  <c:v>46049</c:v>
                </c:pt>
                <c:pt idx="237">
                  <c:v>46050</c:v>
                </c:pt>
                <c:pt idx="238">
                  <c:v>46051</c:v>
                </c:pt>
                <c:pt idx="239">
                  <c:v>46052</c:v>
                </c:pt>
                <c:pt idx="240">
                  <c:v>46055</c:v>
                </c:pt>
                <c:pt idx="241">
                  <c:v>46056</c:v>
                </c:pt>
                <c:pt idx="242">
                  <c:v>46057</c:v>
                </c:pt>
                <c:pt idx="243">
                  <c:v>46058</c:v>
                </c:pt>
                <c:pt idx="244">
                  <c:v>46059</c:v>
                </c:pt>
                <c:pt idx="245">
                  <c:v>46062</c:v>
                </c:pt>
                <c:pt idx="246">
                  <c:v>46063</c:v>
                </c:pt>
                <c:pt idx="247">
                  <c:v>46064</c:v>
                </c:pt>
                <c:pt idx="248">
                  <c:v>46065</c:v>
                </c:pt>
                <c:pt idx="249">
                  <c:v>46066</c:v>
                </c:pt>
              </c:numCache>
            </c:numRef>
          </c:cat>
          <c:val>
            <c:numRef>
              <c:f>Data!$L$2:$L$251</c:f>
              <c:numCache>
                <c:formatCode>General</c:formatCode>
                <c:ptCount val="250"/>
                <c:pt idx="19">
                  <c:v>169.92098221585977</c:v>
                </c:pt>
                <c:pt idx="20">
                  <c:v>168.91739428617359</c:v>
                </c:pt>
                <c:pt idx="21">
                  <c:v>168.25872642936341</c:v>
                </c:pt>
                <c:pt idx="22">
                  <c:v>167.83903649204845</c:v>
                </c:pt>
                <c:pt idx="23">
                  <c:v>167.77383550377471</c:v>
                </c:pt>
                <c:pt idx="24">
                  <c:v>167.78116587656442</c:v>
                </c:pt>
                <c:pt idx="25">
                  <c:v>167.79306219497374</c:v>
                </c:pt>
                <c:pt idx="26">
                  <c:v>167.87135744111578</c:v>
                </c:pt>
                <c:pt idx="27">
                  <c:v>167.86736612325191</c:v>
                </c:pt>
                <c:pt idx="28">
                  <c:v>167.78504995672535</c:v>
                </c:pt>
                <c:pt idx="29">
                  <c:v>167.5018463246054</c:v>
                </c:pt>
                <c:pt idx="30">
                  <c:v>169.30431804213632</c:v>
                </c:pt>
                <c:pt idx="31">
                  <c:v>169.76813233295803</c:v>
                </c:pt>
                <c:pt idx="32">
                  <c:v>169.46091283140396</c:v>
                </c:pt>
                <c:pt idx="33">
                  <c:v>169.69785182421259</c:v>
                </c:pt>
                <c:pt idx="34">
                  <c:v>169.8807113618461</c:v>
                </c:pt>
                <c:pt idx="35">
                  <c:v>170.09097905937392</c:v>
                </c:pt>
                <c:pt idx="36">
                  <c:v>170.26341194468074</c:v>
                </c:pt>
                <c:pt idx="37">
                  <c:v>170.51206022735423</c:v>
                </c:pt>
                <c:pt idx="38">
                  <c:v>170.25102731975147</c:v>
                </c:pt>
                <c:pt idx="39">
                  <c:v>169.77302048823964</c:v>
                </c:pt>
                <c:pt idx="40">
                  <c:v>169.01659669800904</c:v>
                </c:pt>
                <c:pt idx="41">
                  <c:v>168.36562266453262</c:v>
                </c:pt>
                <c:pt idx="42">
                  <c:v>167.73822565995187</c:v>
                </c:pt>
                <c:pt idx="43">
                  <c:v>166.91894710790299</c:v>
                </c:pt>
                <c:pt idx="44">
                  <c:v>166.16096063671495</c:v>
                </c:pt>
                <c:pt idx="45">
                  <c:v>165.61624625003134</c:v>
                </c:pt>
                <c:pt idx="46">
                  <c:v>164.88435629644601</c:v>
                </c:pt>
                <c:pt idx="47">
                  <c:v>163.74977766031009</c:v>
                </c:pt>
                <c:pt idx="48">
                  <c:v>162.33057866455351</c:v>
                </c:pt>
                <c:pt idx="49">
                  <c:v>159.8042597328473</c:v>
                </c:pt>
                <c:pt idx="50">
                  <c:v>160.01556565680667</c:v>
                </c:pt>
                <c:pt idx="51">
                  <c:v>159.95093115933841</c:v>
                </c:pt>
                <c:pt idx="52">
                  <c:v>159.22106621432391</c:v>
                </c:pt>
                <c:pt idx="53">
                  <c:v>159.30616218356184</c:v>
                </c:pt>
                <c:pt idx="54">
                  <c:v>159.21175765829716</c:v>
                </c:pt>
                <c:pt idx="55">
                  <c:v>159.27051914879618</c:v>
                </c:pt>
                <c:pt idx="56">
                  <c:v>159.14850032478847</c:v>
                </c:pt>
                <c:pt idx="57">
                  <c:v>158.21807562956269</c:v>
                </c:pt>
                <c:pt idx="58">
                  <c:v>157.89166574921811</c:v>
                </c:pt>
                <c:pt idx="59">
                  <c:v>159.07537893461247</c:v>
                </c:pt>
                <c:pt idx="60">
                  <c:v>160.29133521904535</c:v>
                </c:pt>
                <c:pt idx="61">
                  <c:v>160.52515088230828</c:v>
                </c:pt>
                <c:pt idx="62">
                  <c:v>160.21072126724565</c:v>
                </c:pt>
                <c:pt idx="63">
                  <c:v>159.89460909541199</c:v>
                </c:pt>
                <c:pt idx="64">
                  <c:v>159.41892725620386</c:v>
                </c:pt>
                <c:pt idx="65">
                  <c:v>159.26360432611892</c:v>
                </c:pt>
                <c:pt idx="66">
                  <c:v>159.13430193883173</c:v>
                </c:pt>
                <c:pt idx="67">
                  <c:v>159.03735475241129</c:v>
                </c:pt>
                <c:pt idx="68">
                  <c:v>158.86237001466424</c:v>
                </c:pt>
                <c:pt idx="69">
                  <c:v>158.56909222698417</c:v>
                </c:pt>
                <c:pt idx="70">
                  <c:v>158.23477782458917</c:v>
                </c:pt>
                <c:pt idx="71">
                  <c:v>158.32554051598592</c:v>
                </c:pt>
                <c:pt idx="72">
                  <c:v>158.21127275769464</c:v>
                </c:pt>
                <c:pt idx="73">
                  <c:v>158.14272995205874</c:v>
                </c:pt>
                <c:pt idx="74">
                  <c:v>158.03670202058163</c:v>
                </c:pt>
                <c:pt idx="75">
                  <c:v>157.44491714367851</c:v>
                </c:pt>
                <c:pt idx="76">
                  <c:v>157.33959017112312</c:v>
                </c:pt>
                <c:pt idx="77">
                  <c:v>157.47931110854324</c:v>
                </c:pt>
                <c:pt idx="78">
                  <c:v>157.84114097695164</c:v>
                </c:pt>
                <c:pt idx="79">
                  <c:v>157.80382883395964</c:v>
                </c:pt>
                <c:pt idx="80">
                  <c:v>157.22478555478827</c:v>
                </c:pt>
                <c:pt idx="81">
                  <c:v>157.30600188148861</c:v>
                </c:pt>
                <c:pt idx="82">
                  <c:v>157.23517079673209</c:v>
                </c:pt>
                <c:pt idx="83">
                  <c:v>157.24497890782482</c:v>
                </c:pt>
                <c:pt idx="84">
                  <c:v>157.51073523494438</c:v>
                </c:pt>
                <c:pt idx="85">
                  <c:v>157.86590743073677</c:v>
                </c:pt>
                <c:pt idx="86">
                  <c:v>157.94256572940023</c:v>
                </c:pt>
                <c:pt idx="87">
                  <c:v>157.95947082610456</c:v>
                </c:pt>
                <c:pt idx="88">
                  <c:v>157.96815042832361</c:v>
                </c:pt>
                <c:pt idx="89">
                  <c:v>157.98261242662676</c:v>
                </c:pt>
                <c:pt idx="90">
                  <c:v>157.97353495100407</c:v>
                </c:pt>
                <c:pt idx="91">
                  <c:v>157.82028226207362</c:v>
                </c:pt>
                <c:pt idx="92">
                  <c:v>157.89803127437918</c:v>
                </c:pt>
                <c:pt idx="93">
                  <c:v>158.0264825136523</c:v>
                </c:pt>
                <c:pt idx="94">
                  <c:v>158.27291702176944</c:v>
                </c:pt>
                <c:pt idx="95">
                  <c:v>158.39403847225904</c:v>
                </c:pt>
                <c:pt idx="96">
                  <c:v>158.48292810308192</c:v>
                </c:pt>
                <c:pt idx="97">
                  <c:v>158.61938182319267</c:v>
                </c:pt>
                <c:pt idx="98">
                  <c:v>158.84869301337224</c:v>
                </c:pt>
                <c:pt idx="99">
                  <c:v>159.06832198509508</c:v>
                </c:pt>
                <c:pt idx="100">
                  <c:v>159.09379407581147</c:v>
                </c:pt>
                <c:pt idx="101">
                  <c:v>158.8308293328744</c:v>
                </c:pt>
                <c:pt idx="102">
                  <c:v>161.29861316951468</c:v>
                </c:pt>
                <c:pt idx="103">
                  <c:v>162.70815595561831</c:v>
                </c:pt>
                <c:pt idx="104">
                  <c:v>163.9658921158051</c:v>
                </c:pt>
                <c:pt idx="105">
                  <c:v>165.03570844961675</c:v>
                </c:pt>
                <c:pt idx="106">
                  <c:v>166.90979238624274</c:v>
                </c:pt>
                <c:pt idx="107">
                  <c:v>168.7733489938131</c:v>
                </c:pt>
                <c:pt idx="108">
                  <c:v>170.40093389968629</c:v>
                </c:pt>
                <c:pt idx="109">
                  <c:v>171.42446329430385</c:v>
                </c:pt>
                <c:pt idx="110">
                  <c:v>171.88783504127954</c:v>
                </c:pt>
                <c:pt idx="111">
                  <c:v>172.50980648171353</c:v>
                </c:pt>
                <c:pt idx="112">
                  <c:v>173.07339156449203</c:v>
                </c:pt>
                <c:pt idx="113">
                  <c:v>173.18679909941687</c:v>
                </c:pt>
                <c:pt idx="114">
                  <c:v>173.53927833824511</c:v>
                </c:pt>
                <c:pt idx="115">
                  <c:v>174.27962586730015</c:v>
                </c:pt>
                <c:pt idx="116">
                  <c:v>174.78274380786974</c:v>
                </c:pt>
                <c:pt idx="117">
                  <c:v>175.08976286867457</c:v>
                </c:pt>
                <c:pt idx="118">
                  <c:v>175.51329819103969</c:v>
                </c:pt>
                <c:pt idx="119">
                  <c:v>175.91222777164273</c:v>
                </c:pt>
                <c:pt idx="120">
                  <c:v>176.04243127820075</c:v>
                </c:pt>
                <c:pt idx="121">
                  <c:v>174.95598953156579</c:v>
                </c:pt>
                <c:pt idx="122">
                  <c:v>175.72588030331235</c:v>
                </c:pt>
                <c:pt idx="123">
                  <c:v>176.19044474210406</c:v>
                </c:pt>
                <c:pt idx="124">
                  <c:v>176.98499302107516</c:v>
                </c:pt>
                <c:pt idx="125">
                  <c:v>177.5362016088626</c:v>
                </c:pt>
                <c:pt idx="126">
                  <c:v>178.58559669913762</c:v>
                </c:pt>
                <c:pt idx="127">
                  <c:v>179.74116993797884</c:v>
                </c:pt>
                <c:pt idx="128">
                  <c:v>180.75768398792937</c:v>
                </c:pt>
                <c:pt idx="129">
                  <c:v>181.66368121876141</c:v>
                </c:pt>
                <c:pt idx="130">
                  <c:v>182.06746844448381</c:v>
                </c:pt>
                <c:pt idx="131">
                  <c:v>182.23286293923402</c:v>
                </c:pt>
                <c:pt idx="132">
                  <c:v>182.23234669842066</c:v>
                </c:pt>
                <c:pt idx="133">
                  <c:v>181.41581943502206</c:v>
                </c:pt>
                <c:pt idx="134">
                  <c:v>180.98649057035888</c:v>
                </c:pt>
                <c:pt idx="135">
                  <c:v>181.10685186681266</c:v>
                </c:pt>
                <c:pt idx="136">
                  <c:v>181.06211797046254</c:v>
                </c:pt>
                <c:pt idx="137">
                  <c:v>180.9383810902292</c:v>
                </c:pt>
                <c:pt idx="138">
                  <c:v>180.75415551125354</c:v>
                </c:pt>
                <c:pt idx="139">
                  <c:v>180.70614993449408</c:v>
                </c:pt>
                <c:pt idx="140">
                  <c:v>180.56026540941991</c:v>
                </c:pt>
                <c:pt idx="141">
                  <c:v>180.12651306585161</c:v>
                </c:pt>
                <c:pt idx="142">
                  <c:v>180.04323538639736</c:v>
                </c:pt>
                <c:pt idx="143">
                  <c:v>179.86954296317828</c:v>
                </c:pt>
                <c:pt idx="144">
                  <c:v>179.861440481686</c:v>
                </c:pt>
                <c:pt idx="145">
                  <c:v>179.84496076364238</c:v>
                </c:pt>
                <c:pt idx="146">
                  <c:v>179.82494250245307</c:v>
                </c:pt>
                <c:pt idx="147">
                  <c:v>180.02040112781927</c:v>
                </c:pt>
                <c:pt idx="148">
                  <c:v>179.83714667125128</c:v>
                </c:pt>
                <c:pt idx="149">
                  <c:v>179.74874597008159</c:v>
                </c:pt>
                <c:pt idx="150">
                  <c:v>179.58399756445741</c:v>
                </c:pt>
                <c:pt idx="151">
                  <c:v>179.58834723635948</c:v>
                </c:pt>
                <c:pt idx="152">
                  <c:v>179.65678312699785</c:v>
                </c:pt>
                <c:pt idx="153">
                  <c:v>180.02600380511203</c:v>
                </c:pt>
                <c:pt idx="154">
                  <c:v>180.86990389014798</c:v>
                </c:pt>
                <c:pt idx="155">
                  <c:v>182.75976230330278</c:v>
                </c:pt>
                <c:pt idx="156">
                  <c:v>184.38615885557292</c:v>
                </c:pt>
                <c:pt idx="157">
                  <c:v>185.6598453158725</c:v>
                </c:pt>
                <c:pt idx="158">
                  <c:v>187.47834574303207</c:v>
                </c:pt>
                <c:pt idx="159">
                  <c:v>188.89035621551878</c:v>
                </c:pt>
                <c:pt idx="160">
                  <c:v>190.27613068215689</c:v>
                </c:pt>
                <c:pt idx="161">
                  <c:v>191.59496463748638</c:v>
                </c:pt>
                <c:pt idx="162">
                  <c:v>193.08059666971621</c:v>
                </c:pt>
                <c:pt idx="163">
                  <c:v>194.29215385000725</c:v>
                </c:pt>
                <c:pt idx="164">
                  <c:v>195.35436573172271</c:v>
                </c:pt>
                <c:pt idx="165">
                  <c:v>196.19189129071785</c:v>
                </c:pt>
                <c:pt idx="166">
                  <c:v>196.96267601280081</c:v>
                </c:pt>
                <c:pt idx="167">
                  <c:v>197.39791684713913</c:v>
                </c:pt>
                <c:pt idx="168">
                  <c:v>198.00140532403572</c:v>
                </c:pt>
                <c:pt idx="169">
                  <c:v>198.0928070473538</c:v>
                </c:pt>
                <c:pt idx="170">
                  <c:v>197.92286232762365</c:v>
                </c:pt>
                <c:pt idx="171">
                  <c:v>197.56112134114059</c:v>
                </c:pt>
                <c:pt idx="172">
                  <c:v>196.88514541893733</c:v>
                </c:pt>
                <c:pt idx="173">
                  <c:v>195.95906622251923</c:v>
                </c:pt>
                <c:pt idx="174">
                  <c:v>195.04359915677503</c:v>
                </c:pt>
                <c:pt idx="175">
                  <c:v>194.8407628891481</c:v>
                </c:pt>
                <c:pt idx="176">
                  <c:v>194.76511295694928</c:v>
                </c:pt>
                <c:pt idx="177">
                  <c:v>194.4742035998178</c:v>
                </c:pt>
                <c:pt idx="178">
                  <c:v>194.46455279211452</c:v>
                </c:pt>
                <c:pt idx="179">
                  <c:v>194.68388087344553</c:v>
                </c:pt>
                <c:pt idx="180">
                  <c:v>194.82293095653765</c:v>
                </c:pt>
                <c:pt idx="181">
                  <c:v>195.02786914807083</c:v>
                </c:pt>
                <c:pt idx="182">
                  <c:v>194.99368053077302</c:v>
                </c:pt>
                <c:pt idx="183">
                  <c:v>194.98228680340009</c:v>
                </c:pt>
                <c:pt idx="184">
                  <c:v>194.85647072191992</c:v>
                </c:pt>
                <c:pt idx="185">
                  <c:v>195.31568562049756</c:v>
                </c:pt>
                <c:pt idx="186">
                  <c:v>195.82622415429677</c:v>
                </c:pt>
                <c:pt idx="187">
                  <c:v>196.38190071692549</c:v>
                </c:pt>
                <c:pt idx="188">
                  <c:v>196.90713446429911</c:v>
                </c:pt>
                <c:pt idx="189">
                  <c:v>198.27404242922384</c:v>
                </c:pt>
                <c:pt idx="190">
                  <c:v>199.75884853064343</c:v>
                </c:pt>
                <c:pt idx="191">
                  <c:v>201.62743482153977</c:v>
                </c:pt>
                <c:pt idx="192">
                  <c:v>203.4159823503492</c:v>
                </c:pt>
                <c:pt idx="193">
                  <c:v>205.24696229717563</c:v>
                </c:pt>
                <c:pt idx="194">
                  <c:v>207.3320628604408</c:v>
                </c:pt>
                <c:pt idx="195">
                  <c:v>209.17146510088966</c:v>
                </c:pt>
                <c:pt idx="196">
                  <c:v>210.86509408140296</c:v>
                </c:pt>
                <c:pt idx="197">
                  <c:v>212.27303269354633</c:v>
                </c:pt>
                <c:pt idx="198">
                  <c:v>213.18587776999544</c:v>
                </c:pt>
                <c:pt idx="199">
                  <c:v>213.70072904951391</c:v>
                </c:pt>
                <c:pt idx="200">
                  <c:v>214.00836075653692</c:v>
                </c:pt>
                <c:pt idx="201">
                  <c:v>213.59004556418367</c:v>
                </c:pt>
                <c:pt idx="202">
                  <c:v>212.95882855787596</c:v>
                </c:pt>
                <c:pt idx="203">
                  <c:v>211.82008709362287</c:v>
                </c:pt>
                <c:pt idx="204">
                  <c:v>210.5137395804831</c:v>
                </c:pt>
                <c:pt idx="205">
                  <c:v>210.49819960633712</c:v>
                </c:pt>
                <c:pt idx="206">
                  <c:v>210.97959899554934</c:v>
                </c:pt>
                <c:pt idx="207">
                  <c:v>211.66202262414782</c:v>
                </c:pt>
                <c:pt idx="208">
                  <c:v>212.81161601000701</c:v>
                </c:pt>
                <c:pt idx="209">
                  <c:v>213.07479018464429</c:v>
                </c:pt>
                <c:pt idx="210">
                  <c:v>213.41328459539665</c:v>
                </c:pt>
                <c:pt idx="211">
                  <c:v>213.57482841361431</c:v>
                </c:pt>
                <c:pt idx="212">
                  <c:v>213.57633427208509</c:v>
                </c:pt>
                <c:pt idx="213">
                  <c:v>213.64860560881846</c:v>
                </c:pt>
                <c:pt idx="214">
                  <c:v>213.6411121102343</c:v>
                </c:pt>
                <c:pt idx="215">
                  <c:v>213.71497272252881</c:v>
                </c:pt>
                <c:pt idx="216">
                  <c:v>213.72034440047119</c:v>
                </c:pt>
                <c:pt idx="217">
                  <c:v>213.76228748962077</c:v>
                </c:pt>
                <c:pt idx="218">
                  <c:v>213.81002866283504</c:v>
                </c:pt>
                <c:pt idx="219">
                  <c:v>213.85561324201589</c:v>
                </c:pt>
                <c:pt idx="220">
                  <c:v>213.9196545197054</c:v>
                </c:pt>
                <c:pt idx="221">
                  <c:v>213.80534484470007</c:v>
                </c:pt>
                <c:pt idx="222">
                  <c:v>213.59905157489689</c:v>
                </c:pt>
                <c:pt idx="223">
                  <c:v>213.31971134518659</c:v>
                </c:pt>
                <c:pt idx="224">
                  <c:v>212.48941800292661</c:v>
                </c:pt>
                <c:pt idx="225">
                  <c:v>212.59873788341812</c:v>
                </c:pt>
                <c:pt idx="226">
                  <c:v>212.55711791952962</c:v>
                </c:pt>
                <c:pt idx="227">
                  <c:v>213.07897787597173</c:v>
                </c:pt>
                <c:pt idx="228">
                  <c:v>214.6104068252555</c:v>
                </c:pt>
                <c:pt idx="229">
                  <c:v>216.90423115629534</c:v>
                </c:pt>
                <c:pt idx="230">
                  <c:v>218.45041533091941</c:v>
                </c:pt>
                <c:pt idx="231">
                  <c:v>219.79931248322495</c:v>
                </c:pt>
                <c:pt idx="232">
                  <c:v>220.94803982877488</c:v>
                </c:pt>
                <c:pt idx="233">
                  <c:v>222.05373058417061</c:v>
                </c:pt>
                <c:pt idx="234">
                  <c:v>223.29294091133826</c:v>
                </c:pt>
                <c:pt idx="235">
                  <c:v>224.67894164836423</c:v>
                </c:pt>
                <c:pt idx="236">
                  <c:v>226.49472281341389</c:v>
                </c:pt>
                <c:pt idx="237">
                  <c:v>228.7821022730775</c:v>
                </c:pt>
                <c:pt idx="238">
                  <c:v>230.5734038487563</c:v>
                </c:pt>
                <c:pt idx="239">
                  <c:v>232.05544897407188</c:v>
                </c:pt>
                <c:pt idx="240">
                  <c:v>233.99848843594003</c:v>
                </c:pt>
                <c:pt idx="241">
                  <c:v>235.7746775578494</c:v>
                </c:pt>
                <c:pt idx="242">
                  <c:v>237.40790931125008</c:v>
                </c:pt>
                <c:pt idx="243">
                  <c:v>239.6131014578846</c:v>
                </c:pt>
                <c:pt idx="244">
                  <c:v>241.53920336379619</c:v>
                </c:pt>
                <c:pt idx="245">
                  <c:v>242.23134142899553</c:v>
                </c:pt>
                <c:pt idx="246">
                  <c:v>243.10546684348412</c:v>
                </c:pt>
                <c:pt idx="247">
                  <c:v>244.55000555180894</c:v>
                </c:pt>
                <c:pt idx="248">
                  <c:v>246.86216339500368</c:v>
                </c:pt>
                <c:pt idx="249">
                  <c:v>248.58951453822766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723-4657-915A-8E4A79E92512}"/>
            </c:ext>
          </c:extLst>
        </c:ser>
        <c:ser>
          <c:idx val="3"/>
          <c:order val="3"/>
          <c:tx>
            <c:strRef>
              <c:f>Data!$M$1</c:f>
              <c:strCache>
                <c:ptCount val="1"/>
                <c:pt idx="0">
                  <c:v>Lower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Data!$B$2:$B$251</c:f>
              <c:numCache>
                <c:formatCode>m/d/yyyy</c:formatCode>
                <c:ptCount val="250"/>
                <c:pt idx="0">
                  <c:v>45706</c:v>
                </c:pt>
                <c:pt idx="1">
                  <c:v>45707</c:v>
                </c:pt>
                <c:pt idx="2">
                  <c:v>45708</c:v>
                </c:pt>
                <c:pt idx="3">
                  <c:v>45709</c:v>
                </c:pt>
                <c:pt idx="4">
                  <c:v>45712</c:v>
                </c:pt>
                <c:pt idx="5">
                  <c:v>45713</c:v>
                </c:pt>
                <c:pt idx="6">
                  <c:v>45714</c:v>
                </c:pt>
                <c:pt idx="7">
                  <c:v>45715</c:v>
                </c:pt>
                <c:pt idx="8">
                  <c:v>45716</c:v>
                </c:pt>
                <c:pt idx="9">
                  <c:v>45719</c:v>
                </c:pt>
                <c:pt idx="10">
                  <c:v>45720</c:v>
                </c:pt>
                <c:pt idx="11">
                  <c:v>45721</c:v>
                </c:pt>
                <c:pt idx="12">
                  <c:v>45722</c:v>
                </c:pt>
                <c:pt idx="13">
                  <c:v>45723</c:v>
                </c:pt>
                <c:pt idx="14">
                  <c:v>45726</c:v>
                </c:pt>
                <c:pt idx="15">
                  <c:v>45727</c:v>
                </c:pt>
                <c:pt idx="16">
                  <c:v>45728</c:v>
                </c:pt>
                <c:pt idx="17">
                  <c:v>45729</c:v>
                </c:pt>
                <c:pt idx="18">
                  <c:v>45730</c:v>
                </c:pt>
                <c:pt idx="19">
                  <c:v>45733</c:v>
                </c:pt>
                <c:pt idx="20">
                  <c:v>45734</c:v>
                </c:pt>
                <c:pt idx="21">
                  <c:v>45735</c:v>
                </c:pt>
                <c:pt idx="22">
                  <c:v>45736</c:v>
                </c:pt>
                <c:pt idx="23">
                  <c:v>45737</c:v>
                </c:pt>
                <c:pt idx="24">
                  <c:v>45740</c:v>
                </c:pt>
                <c:pt idx="25">
                  <c:v>45741</c:v>
                </c:pt>
                <c:pt idx="26">
                  <c:v>45742</c:v>
                </c:pt>
                <c:pt idx="27">
                  <c:v>45743</c:v>
                </c:pt>
                <c:pt idx="28">
                  <c:v>45744</c:v>
                </c:pt>
                <c:pt idx="29">
                  <c:v>45747</c:v>
                </c:pt>
                <c:pt idx="30">
                  <c:v>45748</c:v>
                </c:pt>
                <c:pt idx="31">
                  <c:v>45749</c:v>
                </c:pt>
                <c:pt idx="32">
                  <c:v>45750</c:v>
                </c:pt>
                <c:pt idx="33">
                  <c:v>45751</c:v>
                </c:pt>
                <c:pt idx="34">
                  <c:v>45754</c:v>
                </c:pt>
                <c:pt idx="35">
                  <c:v>45755</c:v>
                </c:pt>
                <c:pt idx="36">
                  <c:v>45756</c:v>
                </c:pt>
                <c:pt idx="37">
                  <c:v>45757</c:v>
                </c:pt>
                <c:pt idx="38">
                  <c:v>45758</c:v>
                </c:pt>
                <c:pt idx="39">
                  <c:v>45761</c:v>
                </c:pt>
                <c:pt idx="40">
                  <c:v>45762</c:v>
                </c:pt>
                <c:pt idx="41">
                  <c:v>45763</c:v>
                </c:pt>
                <c:pt idx="42">
                  <c:v>45764</c:v>
                </c:pt>
                <c:pt idx="43">
                  <c:v>45768</c:v>
                </c:pt>
                <c:pt idx="44">
                  <c:v>45769</c:v>
                </c:pt>
                <c:pt idx="45">
                  <c:v>45770</c:v>
                </c:pt>
                <c:pt idx="46">
                  <c:v>45771</c:v>
                </c:pt>
                <c:pt idx="47">
                  <c:v>45772</c:v>
                </c:pt>
                <c:pt idx="48">
                  <c:v>45775</c:v>
                </c:pt>
                <c:pt idx="49">
                  <c:v>45776</c:v>
                </c:pt>
                <c:pt idx="50">
                  <c:v>45777</c:v>
                </c:pt>
                <c:pt idx="51">
                  <c:v>45778</c:v>
                </c:pt>
                <c:pt idx="52">
                  <c:v>45779</c:v>
                </c:pt>
                <c:pt idx="53">
                  <c:v>45782</c:v>
                </c:pt>
                <c:pt idx="54">
                  <c:v>45783</c:v>
                </c:pt>
                <c:pt idx="55">
                  <c:v>45784</c:v>
                </c:pt>
                <c:pt idx="56">
                  <c:v>45785</c:v>
                </c:pt>
                <c:pt idx="57">
                  <c:v>45786</c:v>
                </c:pt>
                <c:pt idx="58">
                  <c:v>45789</c:v>
                </c:pt>
                <c:pt idx="59">
                  <c:v>45790</c:v>
                </c:pt>
                <c:pt idx="60">
                  <c:v>45791</c:v>
                </c:pt>
                <c:pt idx="61">
                  <c:v>45792</c:v>
                </c:pt>
                <c:pt idx="62">
                  <c:v>45793</c:v>
                </c:pt>
                <c:pt idx="63">
                  <c:v>45796</c:v>
                </c:pt>
                <c:pt idx="64">
                  <c:v>45797</c:v>
                </c:pt>
                <c:pt idx="65">
                  <c:v>45798</c:v>
                </c:pt>
                <c:pt idx="66">
                  <c:v>45799</c:v>
                </c:pt>
                <c:pt idx="67">
                  <c:v>45800</c:v>
                </c:pt>
                <c:pt idx="68">
                  <c:v>45804</c:v>
                </c:pt>
                <c:pt idx="69">
                  <c:v>45805</c:v>
                </c:pt>
                <c:pt idx="70">
                  <c:v>45806</c:v>
                </c:pt>
                <c:pt idx="71">
                  <c:v>45807</c:v>
                </c:pt>
                <c:pt idx="72">
                  <c:v>45810</c:v>
                </c:pt>
                <c:pt idx="73">
                  <c:v>45811</c:v>
                </c:pt>
                <c:pt idx="74">
                  <c:v>45812</c:v>
                </c:pt>
                <c:pt idx="75">
                  <c:v>45813</c:v>
                </c:pt>
                <c:pt idx="76">
                  <c:v>45814</c:v>
                </c:pt>
                <c:pt idx="77">
                  <c:v>45817</c:v>
                </c:pt>
                <c:pt idx="78">
                  <c:v>45818</c:v>
                </c:pt>
                <c:pt idx="79">
                  <c:v>45819</c:v>
                </c:pt>
                <c:pt idx="80">
                  <c:v>45820</c:v>
                </c:pt>
                <c:pt idx="81">
                  <c:v>45821</c:v>
                </c:pt>
                <c:pt idx="82">
                  <c:v>45824</c:v>
                </c:pt>
                <c:pt idx="83">
                  <c:v>45825</c:v>
                </c:pt>
                <c:pt idx="84">
                  <c:v>45826</c:v>
                </c:pt>
                <c:pt idx="85">
                  <c:v>45828</c:v>
                </c:pt>
                <c:pt idx="86">
                  <c:v>45831</c:v>
                </c:pt>
                <c:pt idx="87">
                  <c:v>45832</c:v>
                </c:pt>
                <c:pt idx="88">
                  <c:v>45833</c:v>
                </c:pt>
                <c:pt idx="89">
                  <c:v>45834</c:v>
                </c:pt>
                <c:pt idx="90">
                  <c:v>45835</c:v>
                </c:pt>
                <c:pt idx="91">
                  <c:v>45838</c:v>
                </c:pt>
                <c:pt idx="92">
                  <c:v>45839</c:v>
                </c:pt>
                <c:pt idx="93">
                  <c:v>45840</c:v>
                </c:pt>
                <c:pt idx="94">
                  <c:v>45841</c:v>
                </c:pt>
                <c:pt idx="95">
                  <c:v>45845</c:v>
                </c:pt>
                <c:pt idx="96">
                  <c:v>45846</c:v>
                </c:pt>
                <c:pt idx="97">
                  <c:v>45847</c:v>
                </c:pt>
                <c:pt idx="98">
                  <c:v>45848</c:v>
                </c:pt>
                <c:pt idx="99">
                  <c:v>45849</c:v>
                </c:pt>
                <c:pt idx="100">
                  <c:v>45852</c:v>
                </c:pt>
                <c:pt idx="101">
                  <c:v>45853</c:v>
                </c:pt>
                <c:pt idx="102">
                  <c:v>45854</c:v>
                </c:pt>
                <c:pt idx="103">
                  <c:v>45855</c:v>
                </c:pt>
                <c:pt idx="104">
                  <c:v>45856</c:v>
                </c:pt>
                <c:pt idx="105">
                  <c:v>45859</c:v>
                </c:pt>
                <c:pt idx="106">
                  <c:v>45860</c:v>
                </c:pt>
                <c:pt idx="107">
                  <c:v>45861</c:v>
                </c:pt>
                <c:pt idx="108">
                  <c:v>45862</c:v>
                </c:pt>
                <c:pt idx="109">
                  <c:v>45863</c:v>
                </c:pt>
                <c:pt idx="110">
                  <c:v>45866</c:v>
                </c:pt>
                <c:pt idx="111">
                  <c:v>45867</c:v>
                </c:pt>
                <c:pt idx="112">
                  <c:v>45868</c:v>
                </c:pt>
                <c:pt idx="113">
                  <c:v>45869</c:v>
                </c:pt>
                <c:pt idx="114">
                  <c:v>45870</c:v>
                </c:pt>
                <c:pt idx="115">
                  <c:v>45873</c:v>
                </c:pt>
                <c:pt idx="116">
                  <c:v>45874</c:v>
                </c:pt>
                <c:pt idx="117">
                  <c:v>45875</c:v>
                </c:pt>
                <c:pt idx="118">
                  <c:v>45876</c:v>
                </c:pt>
                <c:pt idx="119">
                  <c:v>45877</c:v>
                </c:pt>
                <c:pt idx="120">
                  <c:v>45880</c:v>
                </c:pt>
                <c:pt idx="121">
                  <c:v>45881</c:v>
                </c:pt>
                <c:pt idx="122">
                  <c:v>45882</c:v>
                </c:pt>
                <c:pt idx="123">
                  <c:v>45883</c:v>
                </c:pt>
                <c:pt idx="124">
                  <c:v>45884</c:v>
                </c:pt>
                <c:pt idx="125">
                  <c:v>45887</c:v>
                </c:pt>
                <c:pt idx="126">
                  <c:v>45888</c:v>
                </c:pt>
                <c:pt idx="127">
                  <c:v>45889</c:v>
                </c:pt>
                <c:pt idx="128">
                  <c:v>45890</c:v>
                </c:pt>
                <c:pt idx="129">
                  <c:v>45891</c:v>
                </c:pt>
                <c:pt idx="130">
                  <c:v>45894</c:v>
                </c:pt>
                <c:pt idx="131">
                  <c:v>45895</c:v>
                </c:pt>
                <c:pt idx="132">
                  <c:v>45896</c:v>
                </c:pt>
                <c:pt idx="133">
                  <c:v>45897</c:v>
                </c:pt>
                <c:pt idx="134">
                  <c:v>45898</c:v>
                </c:pt>
                <c:pt idx="135">
                  <c:v>45902</c:v>
                </c:pt>
                <c:pt idx="136">
                  <c:v>45903</c:v>
                </c:pt>
                <c:pt idx="137">
                  <c:v>45904</c:v>
                </c:pt>
                <c:pt idx="138">
                  <c:v>45905</c:v>
                </c:pt>
                <c:pt idx="139">
                  <c:v>45908</c:v>
                </c:pt>
                <c:pt idx="140">
                  <c:v>45909</c:v>
                </c:pt>
                <c:pt idx="141">
                  <c:v>45910</c:v>
                </c:pt>
                <c:pt idx="142">
                  <c:v>45911</c:v>
                </c:pt>
                <c:pt idx="143">
                  <c:v>45912</c:v>
                </c:pt>
                <c:pt idx="144">
                  <c:v>45915</c:v>
                </c:pt>
                <c:pt idx="145">
                  <c:v>45916</c:v>
                </c:pt>
                <c:pt idx="146">
                  <c:v>45917</c:v>
                </c:pt>
                <c:pt idx="147">
                  <c:v>45918</c:v>
                </c:pt>
                <c:pt idx="148">
                  <c:v>45919</c:v>
                </c:pt>
                <c:pt idx="149">
                  <c:v>45922</c:v>
                </c:pt>
                <c:pt idx="150">
                  <c:v>45923</c:v>
                </c:pt>
                <c:pt idx="151">
                  <c:v>45924</c:v>
                </c:pt>
                <c:pt idx="152">
                  <c:v>45925</c:v>
                </c:pt>
                <c:pt idx="153">
                  <c:v>45926</c:v>
                </c:pt>
                <c:pt idx="154">
                  <c:v>45929</c:v>
                </c:pt>
                <c:pt idx="155">
                  <c:v>45930</c:v>
                </c:pt>
                <c:pt idx="156">
                  <c:v>45931</c:v>
                </c:pt>
                <c:pt idx="157">
                  <c:v>45932</c:v>
                </c:pt>
                <c:pt idx="158">
                  <c:v>45933</c:v>
                </c:pt>
                <c:pt idx="159">
                  <c:v>45936</c:v>
                </c:pt>
                <c:pt idx="160">
                  <c:v>45937</c:v>
                </c:pt>
                <c:pt idx="161">
                  <c:v>45938</c:v>
                </c:pt>
                <c:pt idx="162">
                  <c:v>45939</c:v>
                </c:pt>
                <c:pt idx="163">
                  <c:v>45940</c:v>
                </c:pt>
                <c:pt idx="164">
                  <c:v>45943</c:v>
                </c:pt>
                <c:pt idx="165">
                  <c:v>45944</c:v>
                </c:pt>
                <c:pt idx="166">
                  <c:v>45945</c:v>
                </c:pt>
                <c:pt idx="167">
                  <c:v>45946</c:v>
                </c:pt>
                <c:pt idx="168">
                  <c:v>45947</c:v>
                </c:pt>
                <c:pt idx="169">
                  <c:v>45950</c:v>
                </c:pt>
                <c:pt idx="170">
                  <c:v>45951</c:v>
                </c:pt>
                <c:pt idx="171">
                  <c:v>45952</c:v>
                </c:pt>
                <c:pt idx="172">
                  <c:v>45953</c:v>
                </c:pt>
                <c:pt idx="173">
                  <c:v>45954</c:v>
                </c:pt>
                <c:pt idx="174">
                  <c:v>45957</c:v>
                </c:pt>
                <c:pt idx="175">
                  <c:v>45958</c:v>
                </c:pt>
                <c:pt idx="176">
                  <c:v>45959</c:v>
                </c:pt>
                <c:pt idx="177">
                  <c:v>45960</c:v>
                </c:pt>
                <c:pt idx="178">
                  <c:v>45961</c:v>
                </c:pt>
                <c:pt idx="179">
                  <c:v>45964</c:v>
                </c:pt>
                <c:pt idx="180">
                  <c:v>45965</c:v>
                </c:pt>
                <c:pt idx="181">
                  <c:v>45966</c:v>
                </c:pt>
                <c:pt idx="182">
                  <c:v>45967</c:v>
                </c:pt>
                <c:pt idx="183">
                  <c:v>45968</c:v>
                </c:pt>
                <c:pt idx="184">
                  <c:v>45971</c:v>
                </c:pt>
                <c:pt idx="185">
                  <c:v>45972</c:v>
                </c:pt>
                <c:pt idx="186">
                  <c:v>45973</c:v>
                </c:pt>
                <c:pt idx="187">
                  <c:v>45974</c:v>
                </c:pt>
                <c:pt idx="188">
                  <c:v>45975</c:v>
                </c:pt>
                <c:pt idx="189">
                  <c:v>45978</c:v>
                </c:pt>
                <c:pt idx="190">
                  <c:v>45979</c:v>
                </c:pt>
                <c:pt idx="191">
                  <c:v>45980</c:v>
                </c:pt>
                <c:pt idx="192">
                  <c:v>45981</c:v>
                </c:pt>
                <c:pt idx="193">
                  <c:v>45982</c:v>
                </c:pt>
                <c:pt idx="194">
                  <c:v>45985</c:v>
                </c:pt>
                <c:pt idx="195">
                  <c:v>45986</c:v>
                </c:pt>
                <c:pt idx="196">
                  <c:v>45987</c:v>
                </c:pt>
                <c:pt idx="197">
                  <c:v>45989</c:v>
                </c:pt>
                <c:pt idx="198">
                  <c:v>45992</c:v>
                </c:pt>
                <c:pt idx="199">
                  <c:v>45993</c:v>
                </c:pt>
                <c:pt idx="200">
                  <c:v>45994</c:v>
                </c:pt>
                <c:pt idx="201">
                  <c:v>45995</c:v>
                </c:pt>
                <c:pt idx="202">
                  <c:v>45996</c:v>
                </c:pt>
                <c:pt idx="203">
                  <c:v>45999</c:v>
                </c:pt>
                <c:pt idx="204">
                  <c:v>46000</c:v>
                </c:pt>
                <c:pt idx="205">
                  <c:v>46001</c:v>
                </c:pt>
                <c:pt idx="206">
                  <c:v>46002</c:v>
                </c:pt>
                <c:pt idx="207">
                  <c:v>46003</c:v>
                </c:pt>
                <c:pt idx="208">
                  <c:v>46006</c:v>
                </c:pt>
                <c:pt idx="209">
                  <c:v>46007</c:v>
                </c:pt>
                <c:pt idx="210">
                  <c:v>46008</c:v>
                </c:pt>
                <c:pt idx="211">
                  <c:v>46009</c:v>
                </c:pt>
                <c:pt idx="212">
                  <c:v>46010</c:v>
                </c:pt>
                <c:pt idx="213">
                  <c:v>46013</c:v>
                </c:pt>
                <c:pt idx="214">
                  <c:v>46014</c:v>
                </c:pt>
                <c:pt idx="215">
                  <c:v>46015</c:v>
                </c:pt>
                <c:pt idx="216">
                  <c:v>46017</c:v>
                </c:pt>
                <c:pt idx="217">
                  <c:v>46020</c:v>
                </c:pt>
                <c:pt idx="218">
                  <c:v>46021</c:v>
                </c:pt>
                <c:pt idx="219">
                  <c:v>46022</c:v>
                </c:pt>
                <c:pt idx="220">
                  <c:v>46024</c:v>
                </c:pt>
                <c:pt idx="221">
                  <c:v>46027</c:v>
                </c:pt>
                <c:pt idx="222">
                  <c:v>46028</c:v>
                </c:pt>
                <c:pt idx="223">
                  <c:v>46029</c:v>
                </c:pt>
                <c:pt idx="224">
                  <c:v>46030</c:v>
                </c:pt>
                <c:pt idx="225">
                  <c:v>46031</c:v>
                </c:pt>
                <c:pt idx="226">
                  <c:v>46034</c:v>
                </c:pt>
                <c:pt idx="227">
                  <c:v>46035</c:v>
                </c:pt>
                <c:pt idx="228">
                  <c:v>46036</c:v>
                </c:pt>
                <c:pt idx="229">
                  <c:v>46037</c:v>
                </c:pt>
                <c:pt idx="230">
                  <c:v>46038</c:v>
                </c:pt>
                <c:pt idx="231">
                  <c:v>46042</c:v>
                </c:pt>
                <c:pt idx="232">
                  <c:v>46043</c:v>
                </c:pt>
                <c:pt idx="233">
                  <c:v>46044</c:v>
                </c:pt>
                <c:pt idx="234">
                  <c:v>46045</c:v>
                </c:pt>
                <c:pt idx="235">
                  <c:v>46048</c:v>
                </c:pt>
                <c:pt idx="236">
                  <c:v>46049</c:v>
                </c:pt>
                <c:pt idx="237">
                  <c:v>46050</c:v>
                </c:pt>
                <c:pt idx="238">
                  <c:v>46051</c:v>
                </c:pt>
                <c:pt idx="239">
                  <c:v>46052</c:v>
                </c:pt>
                <c:pt idx="240">
                  <c:v>46055</c:v>
                </c:pt>
                <c:pt idx="241">
                  <c:v>46056</c:v>
                </c:pt>
                <c:pt idx="242">
                  <c:v>46057</c:v>
                </c:pt>
                <c:pt idx="243">
                  <c:v>46058</c:v>
                </c:pt>
                <c:pt idx="244">
                  <c:v>46059</c:v>
                </c:pt>
                <c:pt idx="245">
                  <c:v>46062</c:v>
                </c:pt>
                <c:pt idx="246">
                  <c:v>46063</c:v>
                </c:pt>
                <c:pt idx="247">
                  <c:v>46064</c:v>
                </c:pt>
                <c:pt idx="248">
                  <c:v>46065</c:v>
                </c:pt>
                <c:pt idx="249">
                  <c:v>46066</c:v>
                </c:pt>
              </c:numCache>
            </c:numRef>
          </c:cat>
          <c:val>
            <c:numRef>
              <c:f>Data!$M$2:$M$251</c:f>
              <c:numCache>
                <c:formatCode>General</c:formatCode>
                <c:ptCount val="250"/>
                <c:pt idx="19">
                  <c:v>157.27001778414026</c:v>
                </c:pt>
                <c:pt idx="20">
                  <c:v>159.19960571382637</c:v>
                </c:pt>
                <c:pt idx="21">
                  <c:v>160.36827357063666</c:v>
                </c:pt>
                <c:pt idx="22">
                  <c:v>161.12196350795156</c:v>
                </c:pt>
                <c:pt idx="23">
                  <c:v>161.32016449622529</c:v>
                </c:pt>
                <c:pt idx="24">
                  <c:v>161.26783412343562</c:v>
                </c:pt>
                <c:pt idx="25">
                  <c:v>160.74893780502629</c:v>
                </c:pt>
                <c:pt idx="26">
                  <c:v>160.53464255888423</c:v>
                </c:pt>
                <c:pt idx="27">
                  <c:v>160.47863387674803</c:v>
                </c:pt>
                <c:pt idx="28">
                  <c:v>160.42995004327469</c:v>
                </c:pt>
                <c:pt idx="29">
                  <c:v>160.56915367539463</c:v>
                </c:pt>
                <c:pt idx="30">
                  <c:v>157.54968195786367</c:v>
                </c:pt>
                <c:pt idx="31">
                  <c:v>156.10986766704201</c:v>
                </c:pt>
                <c:pt idx="32">
                  <c:v>155.81608716859608</c:v>
                </c:pt>
                <c:pt idx="33">
                  <c:v>154.23414817578748</c:v>
                </c:pt>
                <c:pt idx="34">
                  <c:v>152.34328863815395</c:v>
                </c:pt>
                <c:pt idx="35">
                  <c:v>150.54702094062611</c:v>
                </c:pt>
                <c:pt idx="36">
                  <c:v>149.18658805531931</c:v>
                </c:pt>
                <c:pt idx="37">
                  <c:v>147.50793977264576</c:v>
                </c:pt>
                <c:pt idx="38">
                  <c:v>146.66097268024845</c:v>
                </c:pt>
                <c:pt idx="39">
                  <c:v>146.29097951176033</c:v>
                </c:pt>
                <c:pt idx="40">
                  <c:v>145.98440330199094</c:v>
                </c:pt>
                <c:pt idx="41">
                  <c:v>145.72737733546734</c:v>
                </c:pt>
                <c:pt idx="42">
                  <c:v>145.79977434004803</c:v>
                </c:pt>
                <c:pt idx="43">
                  <c:v>145.94805289209697</c:v>
                </c:pt>
                <c:pt idx="44">
                  <c:v>146.15203936328504</c:v>
                </c:pt>
                <c:pt idx="45">
                  <c:v>146.13275374996863</c:v>
                </c:pt>
                <c:pt idx="46">
                  <c:v>146.18564370355398</c:v>
                </c:pt>
                <c:pt idx="47">
                  <c:v>146.46522233968989</c:v>
                </c:pt>
                <c:pt idx="48">
                  <c:v>147.04842133544651</c:v>
                </c:pt>
                <c:pt idx="49">
                  <c:v>148.58174026715267</c:v>
                </c:pt>
                <c:pt idx="50">
                  <c:v>148.67643434319328</c:v>
                </c:pt>
                <c:pt idx="51">
                  <c:v>148.65106884066157</c:v>
                </c:pt>
                <c:pt idx="52">
                  <c:v>149.01093378567606</c:v>
                </c:pt>
                <c:pt idx="53">
                  <c:v>149.10183781643818</c:v>
                </c:pt>
                <c:pt idx="54">
                  <c:v>149.58124234170285</c:v>
                </c:pt>
                <c:pt idx="55">
                  <c:v>150.25248085120384</c:v>
                </c:pt>
                <c:pt idx="56">
                  <c:v>150.84349967521149</c:v>
                </c:pt>
                <c:pt idx="57">
                  <c:v>152.32692437043727</c:v>
                </c:pt>
                <c:pt idx="58">
                  <c:v>152.89433425078184</c:v>
                </c:pt>
                <c:pt idx="59">
                  <c:v>151.11862106538749</c:v>
                </c:pt>
                <c:pt idx="60">
                  <c:v>149.17666478095461</c:v>
                </c:pt>
                <c:pt idx="61">
                  <c:v>148.51284911769173</c:v>
                </c:pt>
                <c:pt idx="62">
                  <c:v>148.21327873275433</c:v>
                </c:pt>
                <c:pt idx="63">
                  <c:v>148.08639090458806</c:v>
                </c:pt>
                <c:pt idx="64">
                  <c:v>148.15307274379614</c:v>
                </c:pt>
                <c:pt idx="65">
                  <c:v>148.08839567388105</c:v>
                </c:pt>
                <c:pt idx="66">
                  <c:v>147.98569806116828</c:v>
                </c:pt>
                <c:pt idx="67">
                  <c:v>147.91864524758873</c:v>
                </c:pt>
                <c:pt idx="68">
                  <c:v>147.8836299853358</c:v>
                </c:pt>
                <c:pt idx="69">
                  <c:v>147.82890777301586</c:v>
                </c:pt>
                <c:pt idx="70">
                  <c:v>147.89022217541083</c:v>
                </c:pt>
                <c:pt idx="71">
                  <c:v>147.87445948401407</c:v>
                </c:pt>
                <c:pt idx="72">
                  <c:v>147.9167272423054</c:v>
                </c:pt>
                <c:pt idx="73">
                  <c:v>147.92727004794131</c:v>
                </c:pt>
                <c:pt idx="74">
                  <c:v>147.90829797941836</c:v>
                </c:pt>
                <c:pt idx="75">
                  <c:v>148.13608285632151</c:v>
                </c:pt>
                <c:pt idx="76">
                  <c:v>148.17840982887697</c:v>
                </c:pt>
                <c:pt idx="77">
                  <c:v>148.13968889145679</c:v>
                </c:pt>
                <c:pt idx="78">
                  <c:v>148.00885902304833</c:v>
                </c:pt>
                <c:pt idx="79">
                  <c:v>148.72817116604034</c:v>
                </c:pt>
                <c:pt idx="80">
                  <c:v>150.33721444521174</c:v>
                </c:pt>
                <c:pt idx="81">
                  <c:v>151.00499811851142</c:v>
                </c:pt>
                <c:pt idx="82">
                  <c:v>151.4648292032679</c:v>
                </c:pt>
                <c:pt idx="83">
                  <c:v>151.44402109217515</c:v>
                </c:pt>
                <c:pt idx="84">
                  <c:v>150.88526476505558</c:v>
                </c:pt>
                <c:pt idx="85">
                  <c:v>150.19109256926325</c:v>
                </c:pt>
                <c:pt idx="86">
                  <c:v>149.98543427059977</c:v>
                </c:pt>
                <c:pt idx="87">
                  <c:v>149.89352917389544</c:v>
                </c:pt>
                <c:pt idx="88">
                  <c:v>149.78784957167642</c:v>
                </c:pt>
                <c:pt idx="89">
                  <c:v>149.7313875733733</c:v>
                </c:pt>
                <c:pt idx="90">
                  <c:v>149.62346504899597</c:v>
                </c:pt>
                <c:pt idx="91">
                  <c:v>149.53071773792638</c:v>
                </c:pt>
                <c:pt idx="92">
                  <c:v>149.5049687256209</c:v>
                </c:pt>
                <c:pt idx="93">
                  <c:v>149.49051748634764</c:v>
                </c:pt>
                <c:pt idx="94">
                  <c:v>149.52308297823049</c:v>
                </c:pt>
                <c:pt idx="95">
                  <c:v>149.5629615277409</c:v>
                </c:pt>
                <c:pt idx="96">
                  <c:v>149.55007189691804</c:v>
                </c:pt>
                <c:pt idx="97">
                  <c:v>149.51861817680737</c:v>
                </c:pt>
                <c:pt idx="98">
                  <c:v>149.41330698662782</c:v>
                </c:pt>
                <c:pt idx="99">
                  <c:v>149.35767801490496</c:v>
                </c:pt>
                <c:pt idx="100">
                  <c:v>149.34820592418859</c:v>
                </c:pt>
                <c:pt idx="101">
                  <c:v>149.41817066712568</c:v>
                </c:pt>
                <c:pt idx="102">
                  <c:v>147.90638683048542</c:v>
                </c:pt>
                <c:pt idx="103">
                  <c:v>147.55684404438173</c:v>
                </c:pt>
                <c:pt idx="104">
                  <c:v>147.59610788419491</c:v>
                </c:pt>
                <c:pt idx="105">
                  <c:v>147.98329155038326</c:v>
                </c:pt>
                <c:pt idx="106">
                  <c:v>147.77020761375726</c:v>
                </c:pt>
                <c:pt idx="107">
                  <c:v>147.59765100618688</c:v>
                </c:pt>
                <c:pt idx="108">
                  <c:v>147.6980661003137</c:v>
                </c:pt>
                <c:pt idx="109">
                  <c:v>148.3035367056961</c:v>
                </c:pt>
                <c:pt idx="110">
                  <c:v>149.22116495872044</c:v>
                </c:pt>
                <c:pt idx="111">
                  <c:v>150.13519351828646</c:v>
                </c:pt>
                <c:pt idx="112">
                  <c:v>150.70560843550797</c:v>
                </c:pt>
                <c:pt idx="113">
                  <c:v>151.51020090058307</c:v>
                </c:pt>
                <c:pt idx="114">
                  <c:v>152.2897216617549</c:v>
                </c:pt>
                <c:pt idx="115">
                  <c:v>153.12637413269991</c:v>
                </c:pt>
                <c:pt idx="116">
                  <c:v>154.11825619213022</c:v>
                </c:pt>
                <c:pt idx="117">
                  <c:v>155.24223713132542</c:v>
                </c:pt>
                <c:pt idx="118">
                  <c:v>156.20270180896026</c:v>
                </c:pt>
                <c:pt idx="119">
                  <c:v>157.44677222835725</c:v>
                </c:pt>
                <c:pt idx="120">
                  <c:v>159.01656872179927</c:v>
                </c:pt>
                <c:pt idx="121">
                  <c:v>161.86401046843426</c:v>
                </c:pt>
                <c:pt idx="122">
                  <c:v>162.0581196966877</c:v>
                </c:pt>
                <c:pt idx="123">
                  <c:v>162.76755525789602</c:v>
                </c:pt>
                <c:pt idx="124">
                  <c:v>163.26700697892485</c:v>
                </c:pt>
                <c:pt idx="125">
                  <c:v>163.90479839113738</c:v>
                </c:pt>
                <c:pt idx="126">
                  <c:v>163.84240330086237</c:v>
                </c:pt>
                <c:pt idx="127">
                  <c:v>163.66083006202115</c:v>
                </c:pt>
                <c:pt idx="128">
                  <c:v>163.58131601207063</c:v>
                </c:pt>
                <c:pt idx="129">
                  <c:v>163.77431878123858</c:v>
                </c:pt>
                <c:pt idx="130">
                  <c:v>164.58953155551617</c:v>
                </c:pt>
                <c:pt idx="131">
                  <c:v>165.26213706076598</c:v>
                </c:pt>
                <c:pt idx="132">
                  <c:v>166.21565330157932</c:v>
                </c:pt>
                <c:pt idx="133">
                  <c:v>168.10318056497789</c:v>
                </c:pt>
                <c:pt idx="134">
                  <c:v>169.5165094296411</c:v>
                </c:pt>
                <c:pt idx="135">
                  <c:v>170.09814813318732</c:v>
                </c:pt>
                <c:pt idx="136">
                  <c:v>170.86888202953739</c:v>
                </c:pt>
                <c:pt idx="137">
                  <c:v>171.80961890977073</c:v>
                </c:pt>
                <c:pt idx="138">
                  <c:v>172.68384448874644</c:v>
                </c:pt>
                <c:pt idx="139">
                  <c:v>173.21185006550593</c:v>
                </c:pt>
                <c:pt idx="140">
                  <c:v>173.67173459058012</c:v>
                </c:pt>
                <c:pt idx="141">
                  <c:v>174.40648693414835</c:v>
                </c:pt>
                <c:pt idx="142">
                  <c:v>174.89776461360267</c:v>
                </c:pt>
                <c:pt idx="143">
                  <c:v>175.4054570368217</c:v>
                </c:pt>
                <c:pt idx="144">
                  <c:v>175.489559518314</c:v>
                </c:pt>
                <c:pt idx="145">
                  <c:v>175.52703923635758</c:v>
                </c:pt>
                <c:pt idx="146">
                  <c:v>175.48705749754694</c:v>
                </c:pt>
                <c:pt idx="147">
                  <c:v>174.82359887218067</c:v>
                </c:pt>
                <c:pt idx="148">
                  <c:v>174.73285332874872</c:v>
                </c:pt>
                <c:pt idx="149">
                  <c:v>174.31325402991843</c:v>
                </c:pt>
                <c:pt idx="150">
                  <c:v>174.29500243554261</c:v>
                </c:pt>
                <c:pt idx="151">
                  <c:v>174.31065276364052</c:v>
                </c:pt>
                <c:pt idx="152">
                  <c:v>174.33621687300214</c:v>
                </c:pt>
                <c:pt idx="153">
                  <c:v>174.39299619488796</c:v>
                </c:pt>
                <c:pt idx="154">
                  <c:v>173.99409610985199</c:v>
                </c:pt>
                <c:pt idx="155">
                  <c:v>172.84023769669724</c:v>
                </c:pt>
                <c:pt idx="156">
                  <c:v>172.01884114442711</c:v>
                </c:pt>
                <c:pt idx="157">
                  <c:v>171.46715468412756</c:v>
                </c:pt>
                <c:pt idx="158">
                  <c:v>170.66965425696796</c:v>
                </c:pt>
                <c:pt idx="159">
                  <c:v>170.26064378448118</c:v>
                </c:pt>
                <c:pt idx="160">
                  <c:v>170.06786931784305</c:v>
                </c:pt>
                <c:pt idx="161">
                  <c:v>170.13903536251365</c:v>
                </c:pt>
                <c:pt idx="162">
                  <c:v>169.9114033302838</c:v>
                </c:pt>
                <c:pt idx="163">
                  <c:v>169.96584614999267</c:v>
                </c:pt>
                <c:pt idx="164">
                  <c:v>170.2536342682773</c:v>
                </c:pt>
                <c:pt idx="165">
                  <c:v>170.85510870928206</c:v>
                </c:pt>
                <c:pt idx="166">
                  <c:v>171.4813239871992</c:v>
                </c:pt>
                <c:pt idx="167">
                  <c:v>172.84208315286082</c:v>
                </c:pt>
                <c:pt idx="168">
                  <c:v>173.94159467596427</c:v>
                </c:pt>
                <c:pt idx="169">
                  <c:v>175.80119295264615</c:v>
                </c:pt>
                <c:pt idx="170">
                  <c:v>177.50113767237633</c:v>
                </c:pt>
                <c:pt idx="171">
                  <c:v>179.48787865885939</c:v>
                </c:pt>
                <c:pt idx="172">
                  <c:v>181.63785458106264</c:v>
                </c:pt>
                <c:pt idx="173">
                  <c:v>183.6329337774807</c:v>
                </c:pt>
                <c:pt idx="174">
                  <c:v>185.41640084322495</c:v>
                </c:pt>
                <c:pt idx="175">
                  <c:v>185.77023711085184</c:v>
                </c:pt>
                <c:pt idx="176">
                  <c:v>185.90088704305066</c:v>
                </c:pt>
                <c:pt idx="177">
                  <c:v>186.49879640018216</c:v>
                </c:pt>
                <c:pt idx="178">
                  <c:v>186.53144720788546</c:v>
                </c:pt>
                <c:pt idx="179">
                  <c:v>186.12211912655451</c:v>
                </c:pt>
                <c:pt idx="180">
                  <c:v>185.78006904346236</c:v>
                </c:pt>
                <c:pt idx="181">
                  <c:v>185.2061308519292</c:v>
                </c:pt>
                <c:pt idx="182">
                  <c:v>184.82931946922696</c:v>
                </c:pt>
                <c:pt idx="183">
                  <c:v>184.42571319659993</c:v>
                </c:pt>
                <c:pt idx="184">
                  <c:v>184.30252927808007</c:v>
                </c:pt>
                <c:pt idx="185">
                  <c:v>184.14131437950243</c:v>
                </c:pt>
                <c:pt idx="186">
                  <c:v>183.95277584570323</c:v>
                </c:pt>
                <c:pt idx="187">
                  <c:v>183.7100992830745</c:v>
                </c:pt>
                <c:pt idx="188">
                  <c:v>183.45586553570084</c:v>
                </c:pt>
                <c:pt idx="189">
                  <c:v>182.67495757077612</c:v>
                </c:pt>
                <c:pt idx="190">
                  <c:v>182.00215146935648</c:v>
                </c:pt>
                <c:pt idx="191">
                  <c:v>181.0905651784602</c:v>
                </c:pt>
                <c:pt idx="192">
                  <c:v>180.36201764965071</c:v>
                </c:pt>
                <c:pt idx="193">
                  <c:v>179.88103770282436</c:v>
                </c:pt>
                <c:pt idx="194">
                  <c:v>179.37093713955917</c:v>
                </c:pt>
                <c:pt idx="195">
                  <c:v>179.50553489911036</c:v>
                </c:pt>
                <c:pt idx="196">
                  <c:v>179.90790591859707</c:v>
                </c:pt>
                <c:pt idx="197">
                  <c:v>180.28696730645368</c:v>
                </c:pt>
                <c:pt idx="198">
                  <c:v>181.02112223000466</c:v>
                </c:pt>
                <c:pt idx="199">
                  <c:v>182.42227095048619</c:v>
                </c:pt>
                <c:pt idx="200">
                  <c:v>183.96163924346317</c:v>
                </c:pt>
                <c:pt idx="201">
                  <c:v>186.02795443581638</c:v>
                </c:pt>
                <c:pt idx="202">
                  <c:v>188.15517144212407</c:v>
                </c:pt>
                <c:pt idx="203">
                  <c:v>190.79891290637715</c:v>
                </c:pt>
                <c:pt idx="204">
                  <c:v>193.2602604195169</c:v>
                </c:pt>
                <c:pt idx="205">
                  <c:v>194.54680039366283</c:v>
                </c:pt>
                <c:pt idx="206">
                  <c:v>195.62740100445063</c:v>
                </c:pt>
                <c:pt idx="207">
                  <c:v>196.57797737585213</c:v>
                </c:pt>
                <c:pt idx="208">
                  <c:v>197.25238398999295</c:v>
                </c:pt>
                <c:pt idx="209">
                  <c:v>197.96120981535566</c:v>
                </c:pt>
                <c:pt idx="210">
                  <c:v>198.65571540460331</c:v>
                </c:pt>
                <c:pt idx="211">
                  <c:v>199.07417158638569</c:v>
                </c:pt>
                <c:pt idx="212">
                  <c:v>199.40266572791489</c:v>
                </c:pt>
                <c:pt idx="213">
                  <c:v>199.67239439118157</c:v>
                </c:pt>
                <c:pt idx="214">
                  <c:v>199.65288788976568</c:v>
                </c:pt>
                <c:pt idx="215">
                  <c:v>199.69002727747122</c:v>
                </c:pt>
                <c:pt idx="216">
                  <c:v>199.6916555995289</c:v>
                </c:pt>
                <c:pt idx="217">
                  <c:v>199.71371251037934</c:v>
                </c:pt>
                <c:pt idx="218">
                  <c:v>199.82297133716506</c:v>
                </c:pt>
                <c:pt idx="219">
                  <c:v>199.93038675798417</c:v>
                </c:pt>
                <c:pt idx="220">
                  <c:v>200.0683454802946</c:v>
                </c:pt>
                <c:pt idx="221">
                  <c:v>200.36565515529992</c:v>
                </c:pt>
                <c:pt idx="222">
                  <c:v>200.85794842510316</c:v>
                </c:pt>
                <c:pt idx="223">
                  <c:v>201.72428865481339</c:v>
                </c:pt>
                <c:pt idx="224">
                  <c:v>203.13358199707332</c:v>
                </c:pt>
                <c:pt idx="225">
                  <c:v>202.80926211658189</c:v>
                </c:pt>
                <c:pt idx="226">
                  <c:v>202.82188208047029</c:v>
                </c:pt>
                <c:pt idx="227">
                  <c:v>202.50702212402817</c:v>
                </c:pt>
                <c:pt idx="228">
                  <c:v>201.41359317474439</c:v>
                </c:pt>
                <c:pt idx="229">
                  <c:v>200.14676884370471</c:v>
                </c:pt>
                <c:pt idx="230">
                  <c:v>199.4335846690806</c:v>
                </c:pt>
                <c:pt idx="231">
                  <c:v>199.07468751677501</c:v>
                </c:pt>
                <c:pt idx="232">
                  <c:v>199.08996017122513</c:v>
                </c:pt>
                <c:pt idx="233">
                  <c:v>199.10126941582942</c:v>
                </c:pt>
                <c:pt idx="234">
                  <c:v>199.29805908866174</c:v>
                </c:pt>
                <c:pt idx="235">
                  <c:v>199.28305835163576</c:v>
                </c:pt>
                <c:pt idx="236">
                  <c:v>199.14827718658603</c:v>
                </c:pt>
                <c:pt idx="237">
                  <c:v>198.87689772692249</c:v>
                </c:pt>
                <c:pt idx="238">
                  <c:v>199.12359615124365</c:v>
                </c:pt>
                <c:pt idx="239">
                  <c:v>199.6715510259281</c:v>
                </c:pt>
                <c:pt idx="240">
                  <c:v>200.06851156405997</c:v>
                </c:pt>
                <c:pt idx="241">
                  <c:v>201.17132244215063</c:v>
                </c:pt>
                <c:pt idx="242">
                  <c:v>202.50609068874996</c:v>
                </c:pt>
                <c:pt idx="243">
                  <c:v>203.33089854211536</c:v>
                </c:pt>
                <c:pt idx="244">
                  <c:v>204.82879663620375</c:v>
                </c:pt>
                <c:pt idx="245">
                  <c:v>207.56165857100441</c:v>
                </c:pt>
                <c:pt idx="246">
                  <c:v>209.55053315651583</c:v>
                </c:pt>
                <c:pt idx="247">
                  <c:v>210.82699444819102</c:v>
                </c:pt>
                <c:pt idx="248">
                  <c:v>211.1148366049963</c:v>
                </c:pt>
                <c:pt idx="249">
                  <c:v>211.77548546177223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723-4657-915A-8E4A79E925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80037599"/>
        <c:axId val="1780043839"/>
      </c:lineChart>
      <c:dateAx>
        <c:axId val="1780037599"/>
        <c:scaling>
          <c:orientation val="minMax"/>
          <c:min val="45948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043839"/>
        <c:crosses val="autoZero"/>
        <c:auto val="1"/>
        <c:lblOffset val="100"/>
        <c:baseTimeUnit val="days"/>
      </c:dateAx>
      <c:valAx>
        <c:axId val="1780043839"/>
        <c:scaling>
          <c:orientation val="minMax"/>
          <c:min val="17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037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MACD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Data!$AA$1</c:f>
              <c:strCache>
                <c:ptCount val="1"/>
                <c:pt idx="0">
                  <c:v>Histogram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Data!$B$2:$B$251</c:f>
              <c:numCache>
                <c:formatCode>m/d/yyyy</c:formatCode>
                <c:ptCount val="250"/>
                <c:pt idx="0">
                  <c:v>45706</c:v>
                </c:pt>
                <c:pt idx="1">
                  <c:v>45707</c:v>
                </c:pt>
                <c:pt idx="2">
                  <c:v>45708</c:v>
                </c:pt>
                <c:pt idx="3">
                  <c:v>45709</c:v>
                </c:pt>
                <c:pt idx="4">
                  <c:v>45712</c:v>
                </c:pt>
                <c:pt idx="5">
                  <c:v>45713</c:v>
                </c:pt>
                <c:pt idx="6">
                  <c:v>45714</c:v>
                </c:pt>
                <c:pt idx="7">
                  <c:v>45715</c:v>
                </c:pt>
                <c:pt idx="8">
                  <c:v>45716</c:v>
                </c:pt>
                <c:pt idx="9">
                  <c:v>45719</c:v>
                </c:pt>
                <c:pt idx="10">
                  <c:v>45720</c:v>
                </c:pt>
                <c:pt idx="11">
                  <c:v>45721</c:v>
                </c:pt>
                <c:pt idx="12">
                  <c:v>45722</c:v>
                </c:pt>
                <c:pt idx="13">
                  <c:v>45723</c:v>
                </c:pt>
                <c:pt idx="14">
                  <c:v>45726</c:v>
                </c:pt>
                <c:pt idx="15">
                  <c:v>45727</c:v>
                </c:pt>
                <c:pt idx="16">
                  <c:v>45728</c:v>
                </c:pt>
                <c:pt idx="17">
                  <c:v>45729</c:v>
                </c:pt>
                <c:pt idx="18">
                  <c:v>45730</c:v>
                </c:pt>
                <c:pt idx="19">
                  <c:v>45733</c:v>
                </c:pt>
                <c:pt idx="20">
                  <c:v>45734</c:v>
                </c:pt>
                <c:pt idx="21">
                  <c:v>45735</c:v>
                </c:pt>
                <c:pt idx="22">
                  <c:v>45736</c:v>
                </c:pt>
                <c:pt idx="23">
                  <c:v>45737</c:v>
                </c:pt>
                <c:pt idx="24">
                  <c:v>45740</c:v>
                </c:pt>
                <c:pt idx="25">
                  <c:v>45741</c:v>
                </c:pt>
                <c:pt idx="26">
                  <c:v>45742</c:v>
                </c:pt>
                <c:pt idx="27">
                  <c:v>45743</c:v>
                </c:pt>
                <c:pt idx="28">
                  <c:v>45744</c:v>
                </c:pt>
                <c:pt idx="29">
                  <c:v>45747</c:v>
                </c:pt>
                <c:pt idx="30">
                  <c:v>45748</c:v>
                </c:pt>
                <c:pt idx="31">
                  <c:v>45749</c:v>
                </c:pt>
                <c:pt idx="32">
                  <c:v>45750</c:v>
                </c:pt>
                <c:pt idx="33">
                  <c:v>45751</c:v>
                </c:pt>
                <c:pt idx="34">
                  <c:v>45754</c:v>
                </c:pt>
                <c:pt idx="35">
                  <c:v>45755</c:v>
                </c:pt>
                <c:pt idx="36">
                  <c:v>45756</c:v>
                </c:pt>
                <c:pt idx="37">
                  <c:v>45757</c:v>
                </c:pt>
                <c:pt idx="38">
                  <c:v>45758</c:v>
                </c:pt>
                <c:pt idx="39">
                  <c:v>45761</c:v>
                </c:pt>
                <c:pt idx="40">
                  <c:v>45762</c:v>
                </c:pt>
                <c:pt idx="41">
                  <c:v>45763</c:v>
                </c:pt>
                <c:pt idx="42">
                  <c:v>45764</c:v>
                </c:pt>
                <c:pt idx="43">
                  <c:v>45768</c:v>
                </c:pt>
                <c:pt idx="44">
                  <c:v>45769</c:v>
                </c:pt>
                <c:pt idx="45">
                  <c:v>45770</c:v>
                </c:pt>
                <c:pt idx="46">
                  <c:v>45771</c:v>
                </c:pt>
                <c:pt idx="47">
                  <c:v>45772</c:v>
                </c:pt>
                <c:pt idx="48">
                  <c:v>45775</c:v>
                </c:pt>
                <c:pt idx="49">
                  <c:v>45776</c:v>
                </c:pt>
                <c:pt idx="50">
                  <c:v>45777</c:v>
                </c:pt>
                <c:pt idx="51">
                  <c:v>45778</c:v>
                </c:pt>
                <c:pt idx="52">
                  <c:v>45779</c:v>
                </c:pt>
                <c:pt idx="53">
                  <c:v>45782</c:v>
                </c:pt>
                <c:pt idx="54">
                  <c:v>45783</c:v>
                </c:pt>
                <c:pt idx="55">
                  <c:v>45784</c:v>
                </c:pt>
                <c:pt idx="56">
                  <c:v>45785</c:v>
                </c:pt>
                <c:pt idx="57">
                  <c:v>45786</c:v>
                </c:pt>
                <c:pt idx="58">
                  <c:v>45789</c:v>
                </c:pt>
                <c:pt idx="59">
                  <c:v>45790</c:v>
                </c:pt>
                <c:pt idx="60">
                  <c:v>45791</c:v>
                </c:pt>
                <c:pt idx="61">
                  <c:v>45792</c:v>
                </c:pt>
                <c:pt idx="62">
                  <c:v>45793</c:v>
                </c:pt>
                <c:pt idx="63">
                  <c:v>45796</c:v>
                </c:pt>
                <c:pt idx="64">
                  <c:v>45797</c:v>
                </c:pt>
                <c:pt idx="65">
                  <c:v>45798</c:v>
                </c:pt>
                <c:pt idx="66">
                  <c:v>45799</c:v>
                </c:pt>
                <c:pt idx="67">
                  <c:v>45800</c:v>
                </c:pt>
                <c:pt idx="68">
                  <c:v>45804</c:v>
                </c:pt>
                <c:pt idx="69">
                  <c:v>45805</c:v>
                </c:pt>
                <c:pt idx="70">
                  <c:v>45806</c:v>
                </c:pt>
                <c:pt idx="71">
                  <c:v>45807</c:v>
                </c:pt>
                <c:pt idx="72">
                  <c:v>45810</c:v>
                </c:pt>
                <c:pt idx="73">
                  <c:v>45811</c:v>
                </c:pt>
                <c:pt idx="74">
                  <c:v>45812</c:v>
                </c:pt>
                <c:pt idx="75">
                  <c:v>45813</c:v>
                </c:pt>
                <c:pt idx="76">
                  <c:v>45814</c:v>
                </c:pt>
                <c:pt idx="77">
                  <c:v>45817</c:v>
                </c:pt>
                <c:pt idx="78">
                  <c:v>45818</c:v>
                </c:pt>
                <c:pt idx="79">
                  <c:v>45819</c:v>
                </c:pt>
                <c:pt idx="80">
                  <c:v>45820</c:v>
                </c:pt>
                <c:pt idx="81">
                  <c:v>45821</c:v>
                </c:pt>
                <c:pt idx="82">
                  <c:v>45824</c:v>
                </c:pt>
                <c:pt idx="83">
                  <c:v>45825</c:v>
                </c:pt>
                <c:pt idx="84">
                  <c:v>45826</c:v>
                </c:pt>
                <c:pt idx="85">
                  <c:v>45828</c:v>
                </c:pt>
                <c:pt idx="86">
                  <c:v>45831</c:v>
                </c:pt>
                <c:pt idx="87">
                  <c:v>45832</c:v>
                </c:pt>
                <c:pt idx="88">
                  <c:v>45833</c:v>
                </c:pt>
                <c:pt idx="89">
                  <c:v>45834</c:v>
                </c:pt>
                <c:pt idx="90">
                  <c:v>45835</c:v>
                </c:pt>
                <c:pt idx="91">
                  <c:v>45838</c:v>
                </c:pt>
                <c:pt idx="92">
                  <c:v>45839</c:v>
                </c:pt>
                <c:pt idx="93">
                  <c:v>45840</c:v>
                </c:pt>
                <c:pt idx="94">
                  <c:v>45841</c:v>
                </c:pt>
                <c:pt idx="95">
                  <c:v>45845</c:v>
                </c:pt>
                <c:pt idx="96">
                  <c:v>45846</c:v>
                </c:pt>
                <c:pt idx="97">
                  <c:v>45847</c:v>
                </c:pt>
                <c:pt idx="98">
                  <c:v>45848</c:v>
                </c:pt>
                <c:pt idx="99">
                  <c:v>45849</c:v>
                </c:pt>
                <c:pt idx="100">
                  <c:v>45852</c:v>
                </c:pt>
                <c:pt idx="101">
                  <c:v>45853</c:v>
                </c:pt>
                <c:pt idx="102">
                  <c:v>45854</c:v>
                </c:pt>
                <c:pt idx="103">
                  <c:v>45855</c:v>
                </c:pt>
                <c:pt idx="104">
                  <c:v>45856</c:v>
                </c:pt>
                <c:pt idx="105">
                  <c:v>45859</c:v>
                </c:pt>
                <c:pt idx="106">
                  <c:v>45860</c:v>
                </c:pt>
                <c:pt idx="107">
                  <c:v>45861</c:v>
                </c:pt>
                <c:pt idx="108">
                  <c:v>45862</c:v>
                </c:pt>
                <c:pt idx="109">
                  <c:v>45863</c:v>
                </c:pt>
                <c:pt idx="110">
                  <c:v>45866</c:v>
                </c:pt>
                <c:pt idx="111">
                  <c:v>45867</c:v>
                </c:pt>
                <c:pt idx="112">
                  <c:v>45868</c:v>
                </c:pt>
                <c:pt idx="113">
                  <c:v>45869</c:v>
                </c:pt>
                <c:pt idx="114">
                  <c:v>45870</c:v>
                </c:pt>
                <c:pt idx="115">
                  <c:v>45873</c:v>
                </c:pt>
                <c:pt idx="116">
                  <c:v>45874</c:v>
                </c:pt>
                <c:pt idx="117">
                  <c:v>45875</c:v>
                </c:pt>
                <c:pt idx="118">
                  <c:v>45876</c:v>
                </c:pt>
                <c:pt idx="119">
                  <c:v>45877</c:v>
                </c:pt>
                <c:pt idx="120">
                  <c:v>45880</c:v>
                </c:pt>
                <c:pt idx="121">
                  <c:v>45881</c:v>
                </c:pt>
                <c:pt idx="122">
                  <c:v>45882</c:v>
                </c:pt>
                <c:pt idx="123">
                  <c:v>45883</c:v>
                </c:pt>
                <c:pt idx="124">
                  <c:v>45884</c:v>
                </c:pt>
                <c:pt idx="125">
                  <c:v>45887</c:v>
                </c:pt>
                <c:pt idx="126">
                  <c:v>45888</c:v>
                </c:pt>
                <c:pt idx="127">
                  <c:v>45889</c:v>
                </c:pt>
                <c:pt idx="128">
                  <c:v>45890</c:v>
                </c:pt>
                <c:pt idx="129">
                  <c:v>45891</c:v>
                </c:pt>
                <c:pt idx="130">
                  <c:v>45894</c:v>
                </c:pt>
                <c:pt idx="131">
                  <c:v>45895</c:v>
                </c:pt>
                <c:pt idx="132">
                  <c:v>45896</c:v>
                </c:pt>
                <c:pt idx="133">
                  <c:v>45897</c:v>
                </c:pt>
                <c:pt idx="134">
                  <c:v>45898</c:v>
                </c:pt>
                <c:pt idx="135">
                  <c:v>45902</c:v>
                </c:pt>
                <c:pt idx="136">
                  <c:v>45903</c:v>
                </c:pt>
                <c:pt idx="137">
                  <c:v>45904</c:v>
                </c:pt>
                <c:pt idx="138">
                  <c:v>45905</c:v>
                </c:pt>
                <c:pt idx="139">
                  <c:v>45908</c:v>
                </c:pt>
                <c:pt idx="140">
                  <c:v>45909</c:v>
                </c:pt>
                <c:pt idx="141">
                  <c:v>45910</c:v>
                </c:pt>
                <c:pt idx="142">
                  <c:v>45911</c:v>
                </c:pt>
                <c:pt idx="143">
                  <c:v>45912</c:v>
                </c:pt>
                <c:pt idx="144">
                  <c:v>45915</c:v>
                </c:pt>
                <c:pt idx="145">
                  <c:v>45916</c:v>
                </c:pt>
                <c:pt idx="146">
                  <c:v>45917</c:v>
                </c:pt>
                <c:pt idx="147">
                  <c:v>45918</c:v>
                </c:pt>
                <c:pt idx="148">
                  <c:v>45919</c:v>
                </c:pt>
                <c:pt idx="149">
                  <c:v>45922</c:v>
                </c:pt>
                <c:pt idx="150">
                  <c:v>45923</c:v>
                </c:pt>
                <c:pt idx="151">
                  <c:v>45924</c:v>
                </c:pt>
                <c:pt idx="152">
                  <c:v>45925</c:v>
                </c:pt>
                <c:pt idx="153">
                  <c:v>45926</c:v>
                </c:pt>
                <c:pt idx="154">
                  <c:v>45929</c:v>
                </c:pt>
                <c:pt idx="155">
                  <c:v>45930</c:v>
                </c:pt>
                <c:pt idx="156">
                  <c:v>45931</c:v>
                </c:pt>
                <c:pt idx="157">
                  <c:v>45932</c:v>
                </c:pt>
                <c:pt idx="158">
                  <c:v>45933</c:v>
                </c:pt>
                <c:pt idx="159">
                  <c:v>45936</c:v>
                </c:pt>
                <c:pt idx="160">
                  <c:v>45937</c:v>
                </c:pt>
                <c:pt idx="161">
                  <c:v>45938</c:v>
                </c:pt>
                <c:pt idx="162">
                  <c:v>45939</c:v>
                </c:pt>
                <c:pt idx="163">
                  <c:v>45940</c:v>
                </c:pt>
                <c:pt idx="164">
                  <c:v>45943</c:v>
                </c:pt>
                <c:pt idx="165">
                  <c:v>45944</c:v>
                </c:pt>
                <c:pt idx="166">
                  <c:v>45945</c:v>
                </c:pt>
                <c:pt idx="167">
                  <c:v>45946</c:v>
                </c:pt>
                <c:pt idx="168">
                  <c:v>45947</c:v>
                </c:pt>
                <c:pt idx="169">
                  <c:v>45950</c:v>
                </c:pt>
                <c:pt idx="170">
                  <c:v>45951</c:v>
                </c:pt>
                <c:pt idx="171">
                  <c:v>45952</c:v>
                </c:pt>
                <c:pt idx="172">
                  <c:v>45953</c:v>
                </c:pt>
                <c:pt idx="173">
                  <c:v>45954</c:v>
                </c:pt>
                <c:pt idx="174">
                  <c:v>45957</c:v>
                </c:pt>
                <c:pt idx="175">
                  <c:v>45958</c:v>
                </c:pt>
                <c:pt idx="176">
                  <c:v>45959</c:v>
                </c:pt>
                <c:pt idx="177">
                  <c:v>45960</c:v>
                </c:pt>
                <c:pt idx="178">
                  <c:v>45961</c:v>
                </c:pt>
                <c:pt idx="179">
                  <c:v>45964</c:v>
                </c:pt>
                <c:pt idx="180">
                  <c:v>45965</c:v>
                </c:pt>
                <c:pt idx="181">
                  <c:v>45966</c:v>
                </c:pt>
                <c:pt idx="182">
                  <c:v>45967</c:v>
                </c:pt>
                <c:pt idx="183">
                  <c:v>45968</c:v>
                </c:pt>
                <c:pt idx="184">
                  <c:v>45971</c:v>
                </c:pt>
                <c:pt idx="185">
                  <c:v>45972</c:v>
                </c:pt>
                <c:pt idx="186">
                  <c:v>45973</c:v>
                </c:pt>
                <c:pt idx="187">
                  <c:v>45974</c:v>
                </c:pt>
                <c:pt idx="188">
                  <c:v>45975</c:v>
                </c:pt>
                <c:pt idx="189">
                  <c:v>45978</c:v>
                </c:pt>
                <c:pt idx="190">
                  <c:v>45979</c:v>
                </c:pt>
                <c:pt idx="191">
                  <c:v>45980</c:v>
                </c:pt>
                <c:pt idx="192">
                  <c:v>45981</c:v>
                </c:pt>
                <c:pt idx="193">
                  <c:v>45982</c:v>
                </c:pt>
                <c:pt idx="194">
                  <c:v>45985</c:v>
                </c:pt>
                <c:pt idx="195">
                  <c:v>45986</c:v>
                </c:pt>
                <c:pt idx="196">
                  <c:v>45987</c:v>
                </c:pt>
                <c:pt idx="197">
                  <c:v>45989</c:v>
                </c:pt>
                <c:pt idx="198">
                  <c:v>45992</c:v>
                </c:pt>
                <c:pt idx="199">
                  <c:v>45993</c:v>
                </c:pt>
                <c:pt idx="200">
                  <c:v>45994</c:v>
                </c:pt>
                <c:pt idx="201">
                  <c:v>45995</c:v>
                </c:pt>
                <c:pt idx="202">
                  <c:v>45996</c:v>
                </c:pt>
                <c:pt idx="203">
                  <c:v>45999</c:v>
                </c:pt>
                <c:pt idx="204">
                  <c:v>46000</c:v>
                </c:pt>
                <c:pt idx="205">
                  <c:v>46001</c:v>
                </c:pt>
                <c:pt idx="206">
                  <c:v>46002</c:v>
                </c:pt>
                <c:pt idx="207">
                  <c:v>46003</c:v>
                </c:pt>
                <c:pt idx="208">
                  <c:v>46006</c:v>
                </c:pt>
                <c:pt idx="209">
                  <c:v>46007</c:v>
                </c:pt>
                <c:pt idx="210">
                  <c:v>46008</c:v>
                </c:pt>
                <c:pt idx="211">
                  <c:v>46009</c:v>
                </c:pt>
                <c:pt idx="212">
                  <c:v>46010</c:v>
                </c:pt>
                <c:pt idx="213">
                  <c:v>46013</c:v>
                </c:pt>
                <c:pt idx="214">
                  <c:v>46014</c:v>
                </c:pt>
                <c:pt idx="215">
                  <c:v>46015</c:v>
                </c:pt>
                <c:pt idx="216">
                  <c:v>46017</c:v>
                </c:pt>
                <c:pt idx="217">
                  <c:v>46020</c:v>
                </c:pt>
                <c:pt idx="218">
                  <c:v>46021</c:v>
                </c:pt>
                <c:pt idx="219">
                  <c:v>46022</c:v>
                </c:pt>
                <c:pt idx="220">
                  <c:v>46024</c:v>
                </c:pt>
                <c:pt idx="221">
                  <c:v>46027</c:v>
                </c:pt>
                <c:pt idx="222">
                  <c:v>46028</c:v>
                </c:pt>
                <c:pt idx="223">
                  <c:v>46029</c:v>
                </c:pt>
                <c:pt idx="224">
                  <c:v>46030</c:v>
                </c:pt>
                <c:pt idx="225">
                  <c:v>46031</c:v>
                </c:pt>
                <c:pt idx="226">
                  <c:v>46034</c:v>
                </c:pt>
                <c:pt idx="227">
                  <c:v>46035</c:v>
                </c:pt>
                <c:pt idx="228">
                  <c:v>46036</c:v>
                </c:pt>
                <c:pt idx="229">
                  <c:v>46037</c:v>
                </c:pt>
                <c:pt idx="230">
                  <c:v>46038</c:v>
                </c:pt>
                <c:pt idx="231">
                  <c:v>46042</c:v>
                </c:pt>
                <c:pt idx="232">
                  <c:v>46043</c:v>
                </c:pt>
                <c:pt idx="233">
                  <c:v>46044</c:v>
                </c:pt>
                <c:pt idx="234">
                  <c:v>46045</c:v>
                </c:pt>
                <c:pt idx="235">
                  <c:v>46048</c:v>
                </c:pt>
                <c:pt idx="236">
                  <c:v>46049</c:v>
                </c:pt>
                <c:pt idx="237">
                  <c:v>46050</c:v>
                </c:pt>
                <c:pt idx="238">
                  <c:v>46051</c:v>
                </c:pt>
                <c:pt idx="239">
                  <c:v>46052</c:v>
                </c:pt>
                <c:pt idx="240">
                  <c:v>46055</c:v>
                </c:pt>
                <c:pt idx="241">
                  <c:v>46056</c:v>
                </c:pt>
                <c:pt idx="242">
                  <c:v>46057</c:v>
                </c:pt>
                <c:pt idx="243">
                  <c:v>46058</c:v>
                </c:pt>
                <c:pt idx="244">
                  <c:v>46059</c:v>
                </c:pt>
                <c:pt idx="245">
                  <c:v>46062</c:v>
                </c:pt>
                <c:pt idx="246">
                  <c:v>46063</c:v>
                </c:pt>
                <c:pt idx="247">
                  <c:v>46064</c:v>
                </c:pt>
                <c:pt idx="248">
                  <c:v>46065</c:v>
                </c:pt>
                <c:pt idx="249">
                  <c:v>46066</c:v>
                </c:pt>
              </c:numCache>
            </c:numRef>
          </c:cat>
          <c:val>
            <c:numRef>
              <c:f>Data!$AA$2:$AA$251</c:f>
              <c:numCache>
                <c:formatCode>General</c:formatCode>
                <c:ptCount val="250"/>
                <c:pt idx="35">
                  <c:v>-1.5134030974465027</c:v>
                </c:pt>
                <c:pt idx="36">
                  <c:v>-1.4941646983218702</c:v>
                </c:pt>
                <c:pt idx="37">
                  <c:v>-1.1916887513977619</c:v>
                </c:pt>
                <c:pt idx="38">
                  <c:v>-0.75099042813859462</c:v>
                </c:pt>
                <c:pt idx="39">
                  <c:v>-0.46011299949983719</c:v>
                </c:pt>
                <c:pt idx="40">
                  <c:v>-0.21160779622811887</c:v>
                </c:pt>
                <c:pt idx="41">
                  <c:v>0.20647832133427357</c:v>
                </c:pt>
                <c:pt idx="42">
                  <c:v>0.44617650135745635</c:v>
                </c:pt>
                <c:pt idx="43">
                  <c:v>0.64855065297001602</c:v>
                </c:pt>
                <c:pt idx="44">
                  <c:v>0.61122733688343933</c:v>
                </c:pt>
                <c:pt idx="45">
                  <c:v>0.54675964544837363</c:v>
                </c:pt>
                <c:pt idx="46">
                  <c:v>0.47379347888334999</c:v>
                </c:pt>
                <c:pt idx="47">
                  <c:v>0.46972155207069965</c:v>
                </c:pt>
                <c:pt idx="48">
                  <c:v>0.49457235732993876</c:v>
                </c:pt>
                <c:pt idx="49">
                  <c:v>0.52491059379479688</c:v>
                </c:pt>
                <c:pt idx="50">
                  <c:v>0.41231174433162066</c:v>
                </c:pt>
                <c:pt idx="51">
                  <c:v>0.4390855744424722</c:v>
                </c:pt>
                <c:pt idx="52">
                  <c:v>0.37339810134161522</c:v>
                </c:pt>
                <c:pt idx="53">
                  <c:v>0.29000249239288189</c:v>
                </c:pt>
                <c:pt idx="54">
                  <c:v>0.4136458786698729</c:v>
                </c:pt>
                <c:pt idx="55">
                  <c:v>0.37436796562837271</c:v>
                </c:pt>
                <c:pt idx="56">
                  <c:v>0.24694342403244574</c:v>
                </c:pt>
                <c:pt idx="57">
                  <c:v>0.15717927714926627</c:v>
                </c:pt>
                <c:pt idx="58">
                  <c:v>-0.26328799304523198</c:v>
                </c:pt>
                <c:pt idx="59">
                  <c:v>-0.63737195544047731</c:v>
                </c:pt>
                <c:pt idx="60">
                  <c:v>-0.62117281188628115</c:v>
                </c:pt>
                <c:pt idx="61">
                  <c:v>-0.45742621158856211</c:v>
                </c:pt>
                <c:pt idx="62">
                  <c:v>-0.24447891611311579</c:v>
                </c:pt>
                <c:pt idx="63">
                  <c:v>-1.0661233642695445E-2</c:v>
                </c:pt>
                <c:pt idx="64">
                  <c:v>0.11870564759795887</c:v>
                </c:pt>
                <c:pt idx="65">
                  <c:v>0.16980902056669378</c:v>
                </c:pt>
                <c:pt idx="66">
                  <c:v>0.22622828784052862</c:v>
                </c:pt>
                <c:pt idx="67">
                  <c:v>0.28122989015427136</c:v>
                </c:pt>
                <c:pt idx="68">
                  <c:v>0.25970471273606632</c:v>
                </c:pt>
                <c:pt idx="69">
                  <c:v>0.3164712958685183</c:v>
                </c:pt>
                <c:pt idx="70">
                  <c:v>0.44924501619415858</c:v>
                </c:pt>
                <c:pt idx="71">
                  <c:v>0.52977696362965232</c:v>
                </c:pt>
                <c:pt idx="72">
                  <c:v>0.49746902662196379</c:v>
                </c:pt>
                <c:pt idx="73">
                  <c:v>0.38095515298223859</c:v>
                </c:pt>
                <c:pt idx="74">
                  <c:v>0.32156317419587599</c:v>
                </c:pt>
                <c:pt idx="75">
                  <c:v>0.35970503796806047</c:v>
                </c:pt>
                <c:pt idx="76">
                  <c:v>0.38149325797700573</c:v>
                </c:pt>
                <c:pt idx="77">
                  <c:v>0.45611367319260687</c:v>
                </c:pt>
                <c:pt idx="78">
                  <c:v>0.40509641423995157</c:v>
                </c:pt>
                <c:pt idx="79">
                  <c:v>0.4423707567583296</c:v>
                </c:pt>
                <c:pt idx="80">
                  <c:v>0.47075737225639525</c:v>
                </c:pt>
                <c:pt idx="81">
                  <c:v>0.34295532801817918</c:v>
                </c:pt>
                <c:pt idx="82">
                  <c:v>6.1910230246008863E-2</c:v>
                </c:pt>
                <c:pt idx="83">
                  <c:v>-0.22464988223457941</c:v>
                </c:pt>
                <c:pt idx="84">
                  <c:v>-0.45382218064227642</c:v>
                </c:pt>
                <c:pt idx="85">
                  <c:v>-0.47634733622589887</c:v>
                </c:pt>
                <c:pt idx="86">
                  <c:v>-0.40920322641634327</c:v>
                </c:pt>
                <c:pt idx="87">
                  <c:v>-0.33822108427876152</c:v>
                </c:pt>
                <c:pt idx="88">
                  <c:v>-0.29075782372447412</c:v>
                </c:pt>
                <c:pt idx="89">
                  <c:v>-0.21710331440531083</c:v>
                </c:pt>
                <c:pt idx="90">
                  <c:v>-0.1342279663160556</c:v>
                </c:pt>
                <c:pt idx="91">
                  <c:v>0.13099228347584113</c:v>
                </c:pt>
                <c:pt idx="92">
                  <c:v>0.27102459011002233</c:v>
                </c:pt>
                <c:pt idx="93">
                  <c:v>0.37632538218907041</c:v>
                </c:pt>
                <c:pt idx="94">
                  <c:v>0.3775363506722707</c:v>
                </c:pt>
                <c:pt idx="95">
                  <c:v>0.39299212801101774</c:v>
                </c:pt>
                <c:pt idx="96">
                  <c:v>0.41375581971657416</c:v>
                </c:pt>
                <c:pt idx="97">
                  <c:v>0.4945271597912696</c:v>
                </c:pt>
                <c:pt idx="98">
                  <c:v>0.4671499763787621</c:v>
                </c:pt>
                <c:pt idx="99">
                  <c:v>0.41766836284233355</c:v>
                </c:pt>
                <c:pt idx="100">
                  <c:v>0.25578034580603243</c:v>
                </c:pt>
                <c:pt idx="101">
                  <c:v>0.74992852952995148</c:v>
                </c:pt>
                <c:pt idx="102">
                  <c:v>0.89949464705190274</c:v>
                </c:pt>
                <c:pt idx="103">
                  <c:v>0.98401328068648031</c:v>
                </c:pt>
                <c:pt idx="104">
                  <c:v>1.0172589800228571</c:v>
                </c:pt>
                <c:pt idx="105">
                  <c:v>1.2000158656914417</c:v>
                </c:pt>
                <c:pt idx="106">
                  <c:v>1.3110055764433017</c:v>
                </c:pt>
                <c:pt idx="107">
                  <c:v>1.3228961600707363</c:v>
                </c:pt>
                <c:pt idx="108">
                  <c:v>1.1592684769341495</c:v>
                </c:pt>
                <c:pt idx="109">
                  <c:v>0.83923428639038011</c:v>
                </c:pt>
                <c:pt idx="110">
                  <c:v>0.68938758885891582</c:v>
                </c:pt>
                <c:pt idx="111">
                  <c:v>0.47763467373822133</c:v>
                </c:pt>
                <c:pt idx="112">
                  <c:v>0.13051645385859167</c:v>
                </c:pt>
                <c:pt idx="113">
                  <c:v>4.2561182798694031E-2</c:v>
                </c:pt>
                <c:pt idx="114">
                  <c:v>0.19303376581747322</c:v>
                </c:pt>
                <c:pt idx="115">
                  <c:v>0.22871149230378318</c:v>
                </c:pt>
                <c:pt idx="116">
                  <c:v>0.1996191111025003</c:v>
                </c:pt>
                <c:pt idx="117">
                  <c:v>0.20056143313191255</c:v>
                </c:pt>
                <c:pt idx="118">
                  <c:v>0.27470559800718997</c:v>
                </c:pt>
                <c:pt idx="119">
                  <c:v>0.30661725095642556</c:v>
                </c:pt>
                <c:pt idx="120">
                  <c:v>0.21204565365286854</c:v>
                </c:pt>
                <c:pt idx="121">
                  <c:v>0.21370244897562118</c:v>
                </c:pt>
                <c:pt idx="122">
                  <c:v>0.18958374396977185</c:v>
                </c:pt>
                <c:pt idx="123">
                  <c:v>0.25352631276633275</c:v>
                </c:pt>
                <c:pt idx="124">
                  <c:v>0.22131536566678811</c:v>
                </c:pt>
                <c:pt idx="125">
                  <c:v>0.2538276540001374</c:v>
                </c:pt>
                <c:pt idx="126">
                  <c:v>0.29207733141243208</c:v>
                </c:pt>
                <c:pt idx="127">
                  <c:v>0.27062549790692003</c:v>
                </c:pt>
                <c:pt idx="128">
                  <c:v>0.22949241350755756</c:v>
                </c:pt>
                <c:pt idx="129">
                  <c:v>9.8522803824675265E-2</c:v>
                </c:pt>
                <c:pt idx="130">
                  <c:v>-0.14848387989597178</c:v>
                </c:pt>
                <c:pt idx="131">
                  <c:v>-0.31325821661929076</c:v>
                </c:pt>
                <c:pt idx="132">
                  <c:v>-0.52180015816193359</c:v>
                </c:pt>
                <c:pt idx="133">
                  <c:v>-0.55037133391922133</c:v>
                </c:pt>
                <c:pt idx="134">
                  <c:v>-0.51635682542047778</c:v>
                </c:pt>
                <c:pt idx="135">
                  <c:v>-0.50434781823153507</c:v>
                </c:pt>
                <c:pt idx="136">
                  <c:v>-0.45328096991961386</c:v>
                </c:pt>
                <c:pt idx="137">
                  <c:v>-0.44893856658191833</c:v>
                </c:pt>
                <c:pt idx="138">
                  <c:v>-0.47117202439083261</c:v>
                </c:pt>
                <c:pt idx="139">
                  <c:v>-0.56334467367860919</c:v>
                </c:pt>
                <c:pt idx="140">
                  <c:v>-0.69323803419003571</c:v>
                </c:pt>
                <c:pt idx="141">
                  <c:v>-0.59077221580813921</c:v>
                </c:pt>
                <c:pt idx="142">
                  <c:v>-0.54771874480243987</c:v>
                </c:pt>
                <c:pt idx="143">
                  <c:v>-0.55695224044468583</c:v>
                </c:pt>
                <c:pt idx="144">
                  <c:v>-0.6150736977689224</c:v>
                </c:pt>
                <c:pt idx="145">
                  <c:v>-0.59217480693661306</c:v>
                </c:pt>
                <c:pt idx="146">
                  <c:v>-0.75957541226191649</c:v>
                </c:pt>
                <c:pt idx="147">
                  <c:v>-0.71218985715100258</c:v>
                </c:pt>
                <c:pt idx="148">
                  <c:v>-0.7869501340410805</c:v>
                </c:pt>
                <c:pt idx="149">
                  <c:v>-0.65494953867534145</c:v>
                </c:pt>
                <c:pt idx="150">
                  <c:v>-0.54301008127972827</c:v>
                </c:pt>
                <c:pt idx="151">
                  <c:v>-0.38892455067748122</c:v>
                </c:pt>
                <c:pt idx="152">
                  <c:v>-0.15562505431194706</c:v>
                </c:pt>
                <c:pt idx="153">
                  <c:v>0.11098174056709853</c:v>
                </c:pt>
                <c:pt idx="154">
                  <c:v>0.50485137092975974</c:v>
                </c:pt>
                <c:pt idx="155">
                  <c:v>0.75438693152310865</c:v>
                </c:pt>
                <c:pt idx="156">
                  <c:v>0.85398386189033948</c:v>
                </c:pt>
                <c:pt idx="157">
                  <c:v>1.0266569482175878</c:v>
                </c:pt>
                <c:pt idx="158">
                  <c:v>1.0333535216223781</c:v>
                </c:pt>
                <c:pt idx="159">
                  <c:v>1.0105323383009965</c:v>
                </c:pt>
                <c:pt idx="160">
                  <c:v>0.97257034991611624</c:v>
                </c:pt>
                <c:pt idx="161">
                  <c:v>0.96254416549814259</c:v>
                </c:pt>
                <c:pt idx="162">
                  <c:v>0.85667844641804836</c:v>
                </c:pt>
                <c:pt idx="163">
                  <c:v>0.72880101465503078</c:v>
                </c:pt>
                <c:pt idx="164">
                  <c:v>0.57749146648877492</c:v>
                </c:pt>
                <c:pt idx="165">
                  <c:v>0.44172333400445751</c:v>
                </c:pt>
                <c:pt idx="166">
                  <c:v>0.3620118010088218</c:v>
                </c:pt>
                <c:pt idx="167">
                  <c:v>0.3303616203032691</c:v>
                </c:pt>
                <c:pt idx="168">
                  <c:v>0.29145095963353151</c:v>
                </c:pt>
                <c:pt idx="169">
                  <c:v>0.10003172288539464</c:v>
                </c:pt>
                <c:pt idx="170">
                  <c:v>7.9008104695197368E-3</c:v>
                </c:pt>
                <c:pt idx="171">
                  <c:v>-0.11482748230773909</c:v>
                </c:pt>
                <c:pt idx="172">
                  <c:v>-0.35214654746828922</c:v>
                </c:pt>
                <c:pt idx="173">
                  <c:v>-0.52232482028527638</c:v>
                </c:pt>
                <c:pt idx="174">
                  <c:v>-0.84899279569013908</c:v>
                </c:pt>
                <c:pt idx="175">
                  <c:v>-1.060680285583171</c:v>
                </c:pt>
                <c:pt idx="176">
                  <c:v>-1.0093726163448058</c:v>
                </c:pt>
                <c:pt idx="177">
                  <c:v>-0.96145420070191756</c:v>
                </c:pt>
                <c:pt idx="178">
                  <c:v>-1.0710576405526995</c:v>
                </c:pt>
                <c:pt idx="179">
                  <c:v>-1.0663512764231351</c:v>
                </c:pt>
                <c:pt idx="180">
                  <c:v>-1.0809878160063258</c:v>
                </c:pt>
                <c:pt idx="181">
                  <c:v>-0.98773072663130801</c:v>
                </c:pt>
                <c:pt idx="182">
                  <c:v>-0.91691565290410271</c:v>
                </c:pt>
                <c:pt idx="183">
                  <c:v>-0.71883763979454418</c:v>
                </c:pt>
                <c:pt idx="184">
                  <c:v>-0.2212716456743018</c:v>
                </c:pt>
                <c:pt idx="185">
                  <c:v>0.12827485798175453</c:v>
                </c:pt>
                <c:pt idx="186">
                  <c:v>0.38557474210570319</c:v>
                </c:pt>
                <c:pt idx="187">
                  <c:v>0.55920216480907348</c:v>
                </c:pt>
                <c:pt idx="188">
                  <c:v>0.85954739998498542</c:v>
                </c:pt>
                <c:pt idx="189">
                  <c:v>1.015482175037683</c:v>
                </c:pt>
                <c:pt idx="190">
                  <c:v>1.2037933408934638</c:v>
                </c:pt>
                <c:pt idx="191">
                  <c:v>1.2753376858154253</c:v>
                </c:pt>
                <c:pt idx="192">
                  <c:v>1.2842683934135457</c:v>
                </c:pt>
                <c:pt idx="193">
                  <c:v>1.334798132505163</c:v>
                </c:pt>
                <c:pt idx="194">
                  <c:v>1.3080691856232471</c:v>
                </c:pt>
                <c:pt idx="195">
                  <c:v>1.2485665816471458</c:v>
                </c:pt>
                <c:pt idx="196">
                  <c:v>1.0711545477198614</c:v>
                </c:pt>
                <c:pt idx="197">
                  <c:v>0.76670941748721244</c:v>
                </c:pt>
                <c:pt idx="198">
                  <c:v>0.50279175641443796</c:v>
                </c:pt>
                <c:pt idx="199">
                  <c:v>0.26611596079401245</c:v>
                </c:pt>
                <c:pt idx="200">
                  <c:v>-0.11782150927000323</c:v>
                </c:pt>
                <c:pt idx="201">
                  <c:v>-0.42688394150210485</c:v>
                </c:pt>
                <c:pt idx="202">
                  <c:v>-0.65652539302396384</c:v>
                </c:pt>
                <c:pt idx="203">
                  <c:v>-0.90900662010512434</c:v>
                </c:pt>
                <c:pt idx="204">
                  <c:v>-0.63463853307997109</c:v>
                </c:pt>
                <c:pt idx="205">
                  <c:v>-0.24146079611583016</c:v>
                </c:pt>
                <c:pt idx="206">
                  <c:v>8.4870277780920045E-2</c:v>
                </c:pt>
                <c:pt idx="207">
                  <c:v>0.41709692473533355</c:v>
                </c:pt>
                <c:pt idx="208">
                  <c:v>0.25857251251296764</c:v>
                </c:pt>
                <c:pt idx="209">
                  <c:v>0.17669983292870262</c:v>
                </c:pt>
                <c:pt idx="210">
                  <c:v>-4.7883733782648097E-2</c:v>
                </c:pt>
                <c:pt idx="211">
                  <c:v>-0.34492812828157815</c:v>
                </c:pt>
                <c:pt idx="212">
                  <c:v>-0.48659879842683562</c:v>
                </c:pt>
                <c:pt idx="213">
                  <c:v>-0.68125454342330949</c:v>
                </c:pt>
                <c:pt idx="214">
                  <c:v>-0.67144888421637638</c:v>
                </c:pt>
                <c:pt idx="215">
                  <c:v>-0.66968241616978208</c:v>
                </c:pt>
                <c:pt idx="216">
                  <c:v>-0.66641560377671905</c:v>
                </c:pt>
                <c:pt idx="217">
                  <c:v>-0.69787500536883096</c:v>
                </c:pt>
                <c:pt idx="218">
                  <c:v>-0.70382618497559601</c:v>
                </c:pt>
                <c:pt idx="219">
                  <c:v>-0.66889881333016721</c:v>
                </c:pt>
                <c:pt idx="220">
                  <c:v>-0.82818871607827926</c:v>
                </c:pt>
                <c:pt idx="221">
                  <c:v>-0.87433421763878938</c:v>
                </c:pt>
                <c:pt idx="222">
                  <c:v>-0.70347597884572188</c:v>
                </c:pt>
                <c:pt idx="223">
                  <c:v>-0.68730773416355495</c:v>
                </c:pt>
                <c:pt idx="224">
                  <c:v>-0.74312652144500491</c:v>
                </c:pt>
                <c:pt idx="225">
                  <c:v>-0.41250536607363864</c:v>
                </c:pt>
                <c:pt idx="226">
                  <c:v>5.4592605302405728E-2</c:v>
                </c:pt>
                <c:pt idx="227">
                  <c:v>0.64452425976527561</c:v>
                </c:pt>
                <c:pt idx="228">
                  <c:v>1.0314389581859009</c:v>
                </c:pt>
                <c:pt idx="229">
                  <c:v>1.1453049046213883</c:v>
                </c:pt>
                <c:pt idx="230">
                  <c:v>1.1088058858863898</c:v>
                </c:pt>
                <c:pt idx="231">
                  <c:v>0.99340158196197859</c:v>
                </c:pt>
                <c:pt idx="232">
                  <c:v>0.87572250648476224</c:v>
                </c:pt>
                <c:pt idx="233">
                  <c:v>0.83545729779378819</c:v>
                </c:pt>
                <c:pt idx="234">
                  <c:v>0.824774894500655</c:v>
                </c:pt>
                <c:pt idx="235">
                  <c:v>0.93342284303808309</c:v>
                </c:pt>
                <c:pt idx="236">
                  <c:v>1.1301016088838045</c:v>
                </c:pt>
                <c:pt idx="237">
                  <c:v>1.1323068967499115</c:v>
                </c:pt>
                <c:pt idx="238">
                  <c:v>1.0348125037907847</c:v>
                </c:pt>
                <c:pt idx="239">
                  <c:v>1.1034950824722918</c:v>
                </c:pt>
                <c:pt idx="240">
                  <c:v>1.1968283114307825</c:v>
                </c:pt>
                <c:pt idx="241">
                  <c:v>1.2354502839760499</c:v>
                </c:pt>
                <c:pt idx="242">
                  <c:v>1.3593842766554527</c:v>
                </c:pt>
                <c:pt idx="243">
                  <c:v>1.4557192708815174</c:v>
                </c:pt>
                <c:pt idx="244">
                  <c:v>1.2998351227423548</c:v>
                </c:pt>
                <c:pt idx="245">
                  <c:v>1.0587207435696104</c:v>
                </c:pt>
                <c:pt idx="246">
                  <c:v>0.95310174090550426</c:v>
                </c:pt>
                <c:pt idx="247">
                  <c:v>1.011077869546825</c:v>
                </c:pt>
                <c:pt idx="248">
                  <c:v>0.8605619919902896</c:v>
                </c:pt>
                <c:pt idx="249">
                  <c:v>-5.7576095293415896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C6-4FC5-872A-54900FF200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581074319"/>
        <c:axId val="581077679"/>
      </c:barChart>
      <c:lineChart>
        <c:grouping val="standard"/>
        <c:varyColors val="0"/>
        <c:ser>
          <c:idx val="0"/>
          <c:order val="0"/>
          <c:tx>
            <c:strRef>
              <c:f>Data!$Y$1</c:f>
              <c:strCache>
                <c:ptCount val="1"/>
                <c:pt idx="0">
                  <c:v>MACD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Data!$B$2:$B$251</c:f>
              <c:numCache>
                <c:formatCode>m/d/yyyy</c:formatCode>
                <c:ptCount val="250"/>
                <c:pt idx="0">
                  <c:v>45706</c:v>
                </c:pt>
                <c:pt idx="1">
                  <c:v>45707</c:v>
                </c:pt>
                <c:pt idx="2">
                  <c:v>45708</c:v>
                </c:pt>
                <c:pt idx="3">
                  <c:v>45709</c:v>
                </c:pt>
                <c:pt idx="4">
                  <c:v>45712</c:v>
                </c:pt>
                <c:pt idx="5">
                  <c:v>45713</c:v>
                </c:pt>
                <c:pt idx="6">
                  <c:v>45714</c:v>
                </c:pt>
                <c:pt idx="7">
                  <c:v>45715</c:v>
                </c:pt>
                <c:pt idx="8">
                  <c:v>45716</c:v>
                </c:pt>
                <c:pt idx="9">
                  <c:v>45719</c:v>
                </c:pt>
                <c:pt idx="10">
                  <c:v>45720</c:v>
                </c:pt>
                <c:pt idx="11">
                  <c:v>45721</c:v>
                </c:pt>
                <c:pt idx="12">
                  <c:v>45722</c:v>
                </c:pt>
                <c:pt idx="13">
                  <c:v>45723</c:v>
                </c:pt>
                <c:pt idx="14">
                  <c:v>45726</c:v>
                </c:pt>
                <c:pt idx="15">
                  <c:v>45727</c:v>
                </c:pt>
                <c:pt idx="16">
                  <c:v>45728</c:v>
                </c:pt>
                <c:pt idx="17">
                  <c:v>45729</c:v>
                </c:pt>
                <c:pt idx="18">
                  <c:v>45730</c:v>
                </c:pt>
                <c:pt idx="19">
                  <c:v>45733</c:v>
                </c:pt>
                <c:pt idx="20">
                  <c:v>45734</c:v>
                </c:pt>
                <c:pt idx="21">
                  <c:v>45735</c:v>
                </c:pt>
                <c:pt idx="22">
                  <c:v>45736</c:v>
                </c:pt>
                <c:pt idx="23">
                  <c:v>45737</c:v>
                </c:pt>
                <c:pt idx="24">
                  <c:v>45740</c:v>
                </c:pt>
                <c:pt idx="25">
                  <c:v>45741</c:v>
                </c:pt>
                <c:pt idx="26">
                  <c:v>45742</c:v>
                </c:pt>
                <c:pt idx="27">
                  <c:v>45743</c:v>
                </c:pt>
                <c:pt idx="28">
                  <c:v>45744</c:v>
                </c:pt>
                <c:pt idx="29">
                  <c:v>45747</c:v>
                </c:pt>
                <c:pt idx="30">
                  <c:v>45748</c:v>
                </c:pt>
                <c:pt idx="31">
                  <c:v>45749</c:v>
                </c:pt>
                <c:pt idx="32">
                  <c:v>45750</c:v>
                </c:pt>
                <c:pt idx="33">
                  <c:v>45751</c:v>
                </c:pt>
                <c:pt idx="34">
                  <c:v>45754</c:v>
                </c:pt>
                <c:pt idx="35">
                  <c:v>45755</c:v>
                </c:pt>
                <c:pt idx="36">
                  <c:v>45756</c:v>
                </c:pt>
                <c:pt idx="37">
                  <c:v>45757</c:v>
                </c:pt>
                <c:pt idx="38">
                  <c:v>45758</c:v>
                </c:pt>
                <c:pt idx="39">
                  <c:v>45761</c:v>
                </c:pt>
                <c:pt idx="40">
                  <c:v>45762</c:v>
                </c:pt>
                <c:pt idx="41">
                  <c:v>45763</c:v>
                </c:pt>
                <c:pt idx="42">
                  <c:v>45764</c:v>
                </c:pt>
                <c:pt idx="43">
                  <c:v>45768</c:v>
                </c:pt>
                <c:pt idx="44">
                  <c:v>45769</c:v>
                </c:pt>
                <c:pt idx="45">
                  <c:v>45770</c:v>
                </c:pt>
                <c:pt idx="46">
                  <c:v>45771</c:v>
                </c:pt>
                <c:pt idx="47">
                  <c:v>45772</c:v>
                </c:pt>
                <c:pt idx="48">
                  <c:v>45775</c:v>
                </c:pt>
                <c:pt idx="49">
                  <c:v>45776</c:v>
                </c:pt>
                <c:pt idx="50">
                  <c:v>45777</c:v>
                </c:pt>
                <c:pt idx="51">
                  <c:v>45778</c:v>
                </c:pt>
                <c:pt idx="52">
                  <c:v>45779</c:v>
                </c:pt>
                <c:pt idx="53">
                  <c:v>45782</c:v>
                </c:pt>
                <c:pt idx="54">
                  <c:v>45783</c:v>
                </c:pt>
                <c:pt idx="55">
                  <c:v>45784</c:v>
                </c:pt>
                <c:pt idx="56">
                  <c:v>45785</c:v>
                </c:pt>
                <c:pt idx="57">
                  <c:v>45786</c:v>
                </c:pt>
                <c:pt idx="58">
                  <c:v>45789</c:v>
                </c:pt>
                <c:pt idx="59">
                  <c:v>45790</c:v>
                </c:pt>
                <c:pt idx="60">
                  <c:v>45791</c:v>
                </c:pt>
                <c:pt idx="61">
                  <c:v>45792</c:v>
                </c:pt>
                <c:pt idx="62">
                  <c:v>45793</c:v>
                </c:pt>
                <c:pt idx="63">
                  <c:v>45796</c:v>
                </c:pt>
                <c:pt idx="64">
                  <c:v>45797</c:v>
                </c:pt>
                <c:pt idx="65">
                  <c:v>45798</c:v>
                </c:pt>
                <c:pt idx="66">
                  <c:v>45799</c:v>
                </c:pt>
                <c:pt idx="67">
                  <c:v>45800</c:v>
                </c:pt>
                <c:pt idx="68">
                  <c:v>45804</c:v>
                </c:pt>
                <c:pt idx="69">
                  <c:v>45805</c:v>
                </c:pt>
                <c:pt idx="70">
                  <c:v>45806</c:v>
                </c:pt>
                <c:pt idx="71">
                  <c:v>45807</c:v>
                </c:pt>
                <c:pt idx="72">
                  <c:v>45810</c:v>
                </c:pt>
                <c:pt idx="73">
                  <c:v>45811</c:v>
                </c:pt>
                <c:pt idx="74">
                  <c:v>45812</c:v>
                </c:pt>
                <c:pt idx="75">
                  <c:v>45813</c:v>
                </c:pt>
                <c:pt idx="76">
                  <c:v>45814</c:v>
                </c:pt>
                <c:pt idx="77">
                  <c:v>45817</c:v>
                </c:pt>
                <c:pt idx="78">
                  <c:v>45818</c:v>
                </c:pt>
                <c:pt idx="79">
                  <c:v>45819</c:v>
                </c:pt>
                <c:pt idx="80">
                  <c:v>45820</c:v>
                </c:pt>
                <c:pt idx="81">
                  <c:v>45821</c:v>
                </c:pt>
                <c:pt idx="82">
                  <c:v>45824</c:v>
                </c:pt>
                <c:pt idx="83">
                  <c:v>45825</c:v>
                </c:pt>
                <c:pt idx="84">
                  <c:v>45826</c:v>
                </c:pt>
                <c:pt idx="85">
                  <c:v>45828</c:v>
                </c:pt>
                <c:pt idx="86">
                  <c:v>45831</c:v>
                </c:pt>
                <c:pt idx="87">
                  <c:v>45832</c:v>
                </c:pt>
                <c:pt idx="88">
                  <c:v>45833</c:v>
                </c:pt>
                <c:pt idx="89">
                  <c:v>45834</c:v>
                </c:pt>
                <c:pt idx="90">
                  <c:v>45835</c:v>
                </c:pt>
                <c:pt idx="91">
                  <c:v>45838</c:v>
                </c:pt>
                <c:pt idx="92">
                  <c:v>45839</c:v>
                </c:pt>
                <c:pt idx="93">
                  <c:v>45840</c:v>
                </c:pt>
                <c:pt idx="94">
                  <c:v>45841</c:v>
                </c:pt>
                <c:pt idx="95">
                  <c:v>45845</c:v>
                </c:pt>
                <c:pt idx="96">
                  <c:v>45846</c:v>
                </c:pt>
                <c:pt idx="97">
                  <c:v>45847</c:v>
                </c:pt>
                <c:pt idx="98">
                  <c:v>45848</c:v>
                </c:pt>
                <c:pt idx="99">
                  <c:v>45849</c:v>
                </c:pt>
                <c:pt idx="100">
                  <c:v>45852</c:v>
                </c:pt>
                <c:pt idx="101">
                  <c:v>45853</c:v>
                </c:pt>
                <c:pt idx="102">
                  <c:v>45854</c:v>
                </c:pt>
                <c:pt idx="103">
                  <c:v>45855</c:v>
                </c:pt>
                <c:pt idx="104">
                  <c:v>45856</c:v>
                </c:pt>
                <c:pt idx="105">
                  <c:v>45859</c:v>
                </c:pt>
                <c:pt idx="106">
                  <c:v>45860</c:v>
                </c:pt>
                <c:pt idx="107">
                  <c:v>45861</c:v>
                </c:pt>
                <c:pt idx="108">
                  <c:v>45862</c:v>
                </c:pt>
                <c:pt idx="109">
                  <c:v>45863</c:v>
                </c:pt>
                <c:pt idx="110">
                  <c:v>45866</c:v>
                </c:pt>
                <c:pt idx="111">
                  <c:v>45867</c:v>
                </c:pt>
                <c:pt idx="112">
                  <c:v>45868</c:v>
                </c:pt>
                <c:pt idx="113">
                  <c:v>45869</c:v>
                </c:pt>
                <c:pt idx="114">
                  <c:v>45870</c:v>
                </c:pt>
                <c:pt idx="115">
                  <c:v>45873</c:v>
                </c:pt>
                <c:pt idx="116">
                  <c:v>45874</c:v>
                </c:pt>
                <c:pt idx="117">
                  <c:v>45875</c:v>
                </c:pt>
                <c:pt idx="118">
                  <c:v>45876</c:v>
                </c:pt>
                <c:pt idx="119">
                  <c:v>45877</c:v>
                </c:pt>
                <c:pt idx="120">
                  <c:v>45880</c:v>
                </c:pt>
                <c:pt idx="121">
                  <c:v>45881</c:v>
                </c:pt>
                <c:pt idx="122">
                  <c:v>45882</c:v>
                </c:pt>
                <c:pt idx="123">
                  <c:v>45883</c:v>
                </c:pt>
                <c:pt idx="124">
                  <c:v>45884</c:v>
                </c:pt>
                <c:pt idx="125">
                  <c:v>45887</c:v>
                </c:pt>
                <c:pt idx="126">
                  <c:v>45888</c:v>
                </c:pt>
                <c:pt idx="127">
                  <c:v>45889</c:v>
                </c:pt>
                <c:pt idx="128">
                  <c:v>45890</c:v>
                </c:pt>
                <c:pt idx="129">
                  <c:v>45891</c:v>
                </c:pt>
                <c:pt idx="130">
                  <c:v>45894</c:v>
                </c:pt>
                <c:pt idx="131">
                  <c:v>45895</c:v>
                </c:pt>
                <c:pt idx="132">
                  <c:v>45896</c:v>
                </c:pt>
                <c:pt idx="133">
                  <c:v>45897</c:v>
                </c:pt>
                <c:pt idx="134">
                  <c:v>45898</c:v>
                </c:pt>
                <c:pt idx="135">
                  <c:v>45902</c:v>
                </c:pt>
                <c:pt idx="136">
                  <c:v>45903</c:v>
                </c:pt>
                <c:pt idx="137">
                  <c:v>45904</c:v>
                </c:pt>
                <c:pt idx="138">
                  <c:v>45905</c:v>
                </c:pt>
                <c:pt idx="139">
                  <c:v>45908</c:v>
                </c:pt>
                <c:pt idx="140">
                  <c:v>45909</c:v>
                </c:pt>
                <c:pt idx="141">
                  <c:v>45910</c:v>
                </c:pt>
                <c:pt idx="142">
                  <c:v>45911</c:v>
                </c:pt>
                <c:pt idx="143">
                  <c:v>45912</c:v>
                </c:pt>
                <c:pt idx="144">
                  <c:v>45915</c:v>
                </c:pt>
                <c:pt idx="145">
                  <c:v>45916</c:v>
                </c:pt>
                <c:pt idx="146">
                  <c:v>45917</c:v>
                </c:pt>
                <c:pt idx="147">
                  <c:v>45918</c:v>
                </c:pt>
                <c:pt idx="148">
                  <c:v>45919</c:v>
                </c:pt>
                <c:pt idx="149">
                  <c:v>45922</c:v>
                </c:pt>
                <c:pt idx="150">
                  <c:v>45923</c:v>
                </c:pt>
                <c:pt idx="151">
                  <c:v>45924</c:v>
                </c:pt>
                <c:pt idx="152">
                  <c:v>45925</c:v>
                </c:pt>
                <c:pt idx="153">
                  <c:v>45926</c:v>
                </c:pt>
                <c:pt idx="154">
                  <c:v>45929</c:v>
                </c:pt>
                <c:pt idx="155">
                  <c:v>45930</c:v>
                </c:pt>
                <c:pt idx="156">
                  <c:v>45931</c:v>
                </c:pt>
                <c:pt idx="157">
                  <c:v>45932</c:v>
                </c:pt>
                <c:pt idx="158">
                  <c:v>45933</c:v>
                </c:pt>
                <c:pt idx="159">
                  <c:v>45936</c:v>
                </c:pt>
                <c:pt idx="160">
                  <c:v>45937</c:v>
                </c:pt>
                <c:pt idx="161">
                  <c:v>45938</c:v>
                </c:pt>
                <c:pt idx="162">
                  <c:v>45939</c:v>
                </c:pt>
                <c:pt idx="163">
                  <c:v>45940</c:v>
                </c:pt>
                <c:pt idx="164">
                  <c:v>45943</c:v>
                </c:pt>
                <c:pt idx="165">
                  <c:v>45944</c:v>
                </c:pt>
                <c:pt idx="166">
                  <c:v>45945</c:v>
                </c:pt>
                <c:pt idx="167">
                  <c:v>45946</c:v>
                </c:pt>
                <c:pt idx="168">
                  <c:v>45947</c:v>
                </c:pt>
                <c:pt idx="169">
                  <c:v>45950</c:v>
                </c:pt>
                <c:pt idx="170">
                  <c:v>45951</c:v>
                </c:pt>
                <c:pt idx="171">
                  <c:v>45952</c:v>
                </c:pt>
                <c:pt idx="172">
                  <c:v>45953</c:v>
                </c:pt>
                <c:pt idx="173">
                  <c:v>45954</c:v>
                </c:pt>
                <c:pt idx="174">
                  <c:v>45957</c:v>
                </c:pt>
                <c:pt idx="175">
                  <c:v>45958</c:v>
                </c:pt>
                <c:pt idx="176">
                  <c:v>45959</c:v>
                </c:pt>
                <c:pt idx="177">
                  <c:v>45960</c:v>
                </c:pt>
                <c:pt idx="178">
                  <c:v>45961</c:v>
                </c:pt>
                <c:pt idx="179">
                  <c:v>45964</c:v>
                </c:pt>
                <c:pt idx="180">
                  <c:v>45965</c:v>
                </c:pt>
                <c:pt idx="181">
                  <c:v>45966</c:v>
                </c:pt>
                <c:pt idx="182">
                  <c:v>45967</c:v>
                </c:pt>
                <c:pt idx="183">
                  <c:v>45968</c:v>
                </c:pt>
                <c:pt idx="184">
                  <c:v>45971</c:v>
                </c:pt>
                <c:pt idx="185">
                  <c:v>45972</c:v>
                </c:pt>
                <c:pt idx="186">
                  <c:v>45973</c:v>
                </c:pt>
                <c:pt idx="187">
                  <c:v>45974</c:v>
                </c:pt>
                <c:pt idx="188">
                  <c:v>45975</c:v>
                </c:pt>
                <c:pt idx="189">
                  <c:v>45978</c:v>
                </c:pt>
                <c:pt idx="190">
                  <c:v>45979</c:v>
                </c:pt>
                <c:pt idx="191">
                  <c:v>45980</c:v>
                </c:pt>
                <c:pt idx="192">
                  <c:v>45981</c:v>
                </c:pt>
                <c:pt idx="193">
                  <c:v>45982</c:v>
                </c:pt>
                <c:pt idx="194">
                  <c:v>45985</c:v>
                </c:pt>
                <c:pt idx="195">
                  <c:v>45986</c:v>
                </c:pt>
                <c:pt idx="196">
                  <c:v>45987</c:v>
                </c:pt>
                <c:pt idx="197">
                  <c:v>45989</c:v>
                </c:pt>
                <c:pt idx="198">
                  <c:v>45992</c:v>
                </c:pt>
                <c:pt idx="199">
                  <c:v>45993</c:v>
                </c:pt>
                <c:pt idx="200">
                  <c:v>45994</c:v>
                </c:pt>
                <c:pt idx="201">
                  <c:v>45995</c:v>
                </c:pt>
                <c:pt idx="202">
                  <c:v>45996</c:v>
                </c:pt>
                <c:pt idx="203">
                  <c:v>45999</c:v>
                </c:pt>
                <c:pt idx="204">
                  <c:v>46000</c:v>
                </c:pt>
                <c:pt idx="205">
                  <c:v>46001</c:v>
                </c:pt>
                <c:pt idx="206">
                  <c:v>46002</c:v>
                </c:pt>
                <c:pt idx="207">
                  <c:v>46003</c:v>
                </c:pt>
                <c:pt idx="208">
                  <c:v>46006</c:v>
                </c:pt>
                <c:pt idx="209">
                  <c:v>46007</c:v>
                </c:pt>
                <c:pt idx="210">
                  <c:v>46008</c:v>
                </c:pt>
                <c:pt idx="211">
                  <c:v>46009</c:v>
                </c:pt>
                <c:pt idx="212">
                  <c:v>46010</c:v>
                </c:pt>
                <c:pt idx="213">
                  <c:v>46013</c:v>
                </c:pt>
                <c:pt idx="214">
                  <c:v>46014</c:v>
                </c:pt>
                <c:pt idx="215">
                  <c:v>46015</c:v>
                </c:pt>
                <c:pt idx="216">
                  <c:v>46017</c:v>
                </c:pt>
                <c:pt idx="217">
                  <c:v>46020</c:v>
                </c:pt>
                <c:pt idx="218">
                  <c:v>46021</c:v>
                </c:pt>
                <c:pt idx="219">
                  <c:v>46022</c:v>
                </c:pt>
                <c:pt idx="220">
                  <c:v>46024</c:v>
                </c:pt>
                <c:pt idx="221">
                  <c:v>46027</c:v>
                </c:pt>
                <c:pt idx="222">
                  <c:v>46028</c:v>
                </c:pt>
                <c:pt idx="223">
                  <c:v>46029</c:v>
                </c:pt>
                <c:pt idx="224">
                  <c:v>46030</c:v>
                </c:pt>
                <c:pt idx="225">
                  <c:v>46031</c:v>
                </c:pt>
                <c:pt idx="226">
                  <c:v>46034</c:v>
                </c:pt>
                <c:pt idx="227">
                  <c:v>46035</c:v>
                </c:pt>
                <c:pt idx="228">
                  <c:v>46036</c:v>
                </c:pt>
                <c:pt idx="229">
                  <c:v>46037</c:v>
                </c:pt>
                <c:pt idx="230">
                  <c:v>46038</c:v>
                </c:pt>
                <c:pt idx="231">
                  <c:v>46042</c:v>
                </c:pt>
                <c:pt idx="232">
                  <c:v>46043</c:v>
                </c:pt>
                <c:pt idx="233">
                  <c:v>46044</c:v>
                </c:pt>
                <c:pt idx="234">
                  <c:v>46045</c:v>
                </c:pt>
                <c:pt idx="235">
                  <c:v>46048</c:v>
                </c:pt>
                <c:pt idx="236">
                  <c:v>46049</c:v>
                </c:pt>
                <c:pt idx="237">
                  <c:v>46050</c:v>
                </c:pt>
                <c:pt idx="238">
                  <c:v>46051</c:v>
                </c:pt>
                <c:pt idx="239">
                  <c:v>46052</c:v>
                </c:pt>
                <c:pt idx="240">
                  <c:v>46055</c:v>
                </c:pt>
                <c:pt idx="241">
                  <c:v>46056</c:v>
                </c:pt>
                <c:pt idx="242">
                  <c:v>46057</c:v>
                </c:pt>
                <c:pt idx="243">
                  <c:v>46058</c:v>
                </c:pt>
                <c:pt idx="244">
                  <c:v>46059</c:v>
                </c:pt>
                <c:pt idx="245">
                  <c:v>46062</c:v>
                </c:pt>
                <c:pt idx="246">
                  <c:v>46063</c:v>
                </c:pt>
                <c:pt idx="247">
                  <c:v>46064</c:v>
                </c:pt>
                <c:pt idx="248">
                  <c:v>46065</c:v>
                </c:pt>
                <c:pt idx="249">
                  <c:v>46066</c:v>
                </c:pt>
              </c:numCache>
            </c:numRef>
          </c:cat>
          <c:val>
            <c:numRef>
              <c:f>Data!$Y$2:$Y$251</c:f>
              <c:numCache>
                <c:formatCode>General</c:formatCode>
                <c:ptCount val="250"/>
                <c:pt idx="25">
                  <c:v>-0.38612168034484284</c:v>
                </c:pt>
                <c:pt idx="26">
                  <c:v>-0.34318752941052821</c:v>
                </c:pt>
                <c:pt idx="27">
                  <c:v>-0.25937088660546692</c:v>
                </c:pt>
                <c:pt idx="28">
                  <c:v>-2.0832253221414021E-2</c:v>
                </c:pt>
                <c:pt idx="29">
                  <c:v>-0.83803609027694392</c:v>
                </c:pt>
                <c:pt idx="30">
                  <c:v>-1.3004261496193124</c:v>
                </c:pt>
                <c:pt idx="31">
                  <c:v>-1.2920944166297659</c:v>
                </c:pt>
                <c:pt idx="32">
                  <c:v>-1.7957422678017281</c:v>
                </c:pt>
                <c:pt idx="33">
                  <c:v>-2.3788767122492516</c:v>
                </c:pt>
                <c:pt idx="34">
                  <c:v>-2.8580974113206707</c:v>
                </c:pt>
                <c:pt idx="35">
                  <c:v>-3.1236053959342485</c:v>
                </c:pt>
                <c:pt idx="36">
                  <c:v>-3.4779081713900837</c:v>
                </c:pt>
                <c:pt idx="37">
                  <c:v>-3.4733544123154161</c:v>
                </c:pt>
                <c:pt idx="38">
                  <c:v>-3.2204036960908979</c:v>
                </c:pt>
                <c:pt idx="39">
                  <c:v>-3.0445545173271</c:v>
                </c:pt>
                <c:pt idx="40">
                  <c:v>-2.8489512631124114</c:v>
                </c:pt>
                <c:pt idx="41">
                  <c:v>-2.3792455652164506</c:v>
                </c:pt>
                <c:pt idx="42">
                  <c:v>-2.0280032598539037</c:v>
                </c:pt>
                <c:pt idx="43">
                  <c:v>-1.6634914449988401</c:v>
                </c:pt>
                <c:pt idx="44">
                  <c:v>-1.5480079268645568</c:v>
                </c:pt>
                <c:pt idx="45">
                  <c:v>-1.4757857069375291</c:v>
                </c:pt>
                <c:pt idx="46">
                  <c:v>-1.4303035037817153</c:v>
                </c:pt>
                <c:pt idx="47">
                  <c:v>-1.3169450425766911</c:v>
                </c:pt>
                <c:pt idx="48">
                  <c:v>-1.1684511479849675</c:v>
                </c:pt>
                <c:pt idx="49">
                  <c:v>-1.0068852630714105</c:v>
                </c:pt>
                <c:pt idx="50">
                  <c:v>-1.0164061764516816</c:v>
                </c:pt>
                <c:pt idx="51">
                  <c:v>-0.87986095273021192</c:v>
                </c:pt>
                <c:pt idx="52">
                  <c:v>-0.85219890049566516</c:v>
                </c:pt>
                <c:pt idx="53">
                  <c:v>-0.8630938863461779</c:v>
                </c:pt>
                <c:pt idx="54">
                  <c:v>-0.63603903040171872</c:v>
                </c:pt>
                <c:pt idx="55">
                  <c:v>-0.58172495203612584</c:v>
                </c:pt>
                <c:pt idx="56">
                  <c:v>-0.64741363762394144</c:v>
                </c:pt>
                <c:pt idx="57">
                  <c:v>-0.69788296521980442</c:v>
                </c:pt>
                <c:pt idx="58">
                  <c:v>-1.1841722336756106</c:v>
                </c:pt>
                <c:pt idx="59">
                  <c:v>-1.7175991849309753</c:v>
                </c:pt>
                <c:pt idx="60">
                  <c:v>-1.8566932443483495</c:v>
                </c:pt>
                <c:pt idx="61">
                  <c:v>-1.8073031969477711</c:v>
                </c:pt>
                <c:pt idx="62">
                  <c:v>-1.6554756305006038</c:v>
                </c:pt>
                <c:pt idx="63">
                  <c:v>-1.4243232564408572</c:v>
                </c:pt>
                <c:pt idx="64">
                  <c:v>-1.2652799633007135</c:v>
                </c:pt>
                <c:pt idx="65">
                  <c:v>-1.1717243351903051</c:v>
                </c:pt>
                <c:pt idx="66">
                  <c:v>-1.0587479959563382</c:v>
                </c:pt>
                <c:pt idx="67">
                  <c:v>-0.93343892110402749</c:v>
                </c:pt>
                <c:pt idx="68">
                  <c:v>-0.89003792033821583</c:v>
                </c:pt>
                <c:pt idx="69">
                  <c:v>-0.75415351323863433</c:v>
                </c:pt>
                <c:pt idx="70">
                  <c:v>-0.50906853886445447</c:v>
                </c:pt>
                <c:pt idx="71">
                  <c:v>-0.29609235052154759</c:v>
                </c:pt>
                <c:pt idx="72">
                  <c:v>-0.20403303087374525</c:v>
                </c:pt>
                <c:pt idx="73">
                  <c:v>-0.22530811626791092</c:v>
                </c:pt>
                <c:pt idx="74">
                  <c:v>-0.20430930150530457</c:v>
                </c:pt>
                <c:pt idx="75">
                  <c:v>-7.624117824110499E-2</c:v>
                </c:pt>
                <c:pt idx="76">
                  <c:v>4.0920356262091673E-2</c:v>
                </c:pt>
                <c:pt idx="77">
                  <c:v>0.22956918977584451</c:v>
                </c:pt>
                <c:pt idx="78">
                  <c:v>0.2798260343831771</c:v>
                </c:pt>
                <c:pt idx="79">
                  <c:v>0.42769306609113755</c:v>
                </c:pt>
                <c:pt idx="80">
                  <c:v>0.57376902465330204</c:v>
                </c:pt>
                <c:pt idx="81">
                  <c:v>0.53170581241963077</c:v>
                </c:pt>
                <c:pt idx="82">
                  <c:v>0.26613827220896269</c:v>
                </c:pt>
                <c:pt idx="83">
                  <c:v>-7.6584310830270397E-2</c:v>
                </c:pt>
                <c:pt idx="84">
                  <c:v>-0.41921215439853654</c:v>
                </c:pt>
                <c:pt idx="85">
                  <c:v>-0.56082414403863368</c:v>
                </c:pt>
                <c:pt idx="86">
                  <c:v>-0.59598084083316394</c:v>
                </c:pt>
                <c:pt idx="87">
                  <c:v>-0.60955396976527254</c:v>
                </c:pt>
                <c:pt idx="88">
                  <c:v>-0.63478016514210367</c:v>
                </c:pt>
                <c:pt idx="89">
                  <c:v>-0.61540148442426812</c:v>
                </c:pt>
                <c:pt idx="90">
                  <c:v>-0.56608312791402682</c:v>
                </c:pt>
                <c:pt idx="91">
                  <c:v>-0.26811480725316983</c:v>
                </c:pt>
                <c:pt idx="92">
                  <c:v>-6.0326353091483043E-2</c:v>
                </c:pt>
                <c:pt idx="93">
                  <c:v>0.13905578453483258</c:v>
                </c:pt>
                <c:pt idx="94">
                  <c:v>0.23465084068610054</c:v>
                </c:pt>
                <c:pt idx="95">
                  <c:v>0.34835465002760202</c:v>
                </c:pt>
                <c:pt idx="96">
                  <c:v>0.47255729666230195</c:v>
                </c:pt>
                <c:pt idx="97">
                  <c:v>0.67696042668481482</c:v>
                </c:pt>
                <c:pt idx="98">
                  <c:v>0.7663707373669979</c:v>
                </c:pt>
                <c:pt idx="99">
                  <c:v>0.82130621454115271</c:v>
                </c:pt>
                <c:pt idx="100">
                  <c:v>0.72336328395635974</c:v>
                </c:pt>
                <c:pt idx="101">
                  <c:v>1.4049936000627667</c:v>
                </c:pt>
                <c:pt idx="102">
                  <c:v>1.7794333793476937</c:v>
                </c:pt>
                <c:pt idx="103">
                  <c:v>2.1099553331538914</c:v>
                </c:pt>
                <c:pt idx="104">
                  <c:v>2.3975157774959825</c:v>
                </c:pt>
                <c:pt idx="105">
                  <c:v>2.8802766295874278</c:v>
                </c:pt>
                <c:pt idx="106">
                  <c:v>3.3190177344501137</c:v>
                </c:pt>
                <c:pt idx="107">
                  <c:v>3.6616323580952326</c:v>
                </c:pt>
                <c:pt idx="108">
                  <c:v>3.7878217941921832</c:v>
                </c:pt>
                <c:pt idx="109">
                  <c:v>3.6775961752460091</c:v>
                </c:pt>
                <c:pt idx="110">
                  <c:v>3.7000963749292737</c:v>
                </c:pt>
                <c:pt idx="111">
                  <c:v>3.6077521282431348</c:v>
                </c:pt>
                <c:pt idx="112">
                  <c:v>3.2932630218281531</c:v>
                </c:pt>
                <c:pt idx="113">
                  <c:v>3.2159480464679291</c:v>
                </c:pt>
                <c:pt idx="114">
                  <c:v>3.4146790709410766</c:v>
                </c:pt>
                <c:pt idx="115">
                  <c:v>3.5075346705033326</c:v>
                </c:pt>
                <c:pt idx="116">
                  <c:v>3.5283470670776751</c:v>
                </c:pt>
                <c:pt idx="117">
                  <c:v>3.5794297473900656</c:v>
                </c:pt>
                <c:pt idx="118">
                  <c:v>3.7222503117671408</c:v>
                </c:pt>
                <c:pt idx="119">
                  <c:v>3.830816277455483</c:v>
                </c:pt>
                <c:pt idx="120">
                  <c:v>3.7892560935651431</c:v>
                </c:pt>
                <c:pt idx="121">
                  <c:v>3.8443385011318014</c:v>
                </c:pt>
                <c:pt idx="122">
                  <c:v>3.867615732118395</c:v>
                </c:pt>
                <c:pt idx="123">
                  <c:v>3.9949398791065391</c:v>
                </c:pt>
                <c:pt idx="124">
                  <c:v>4.018057773423692</c:v>
                </c:pt>
                <c:pt idx="125">
                  <c:v>4.1140269752570759</c:v>
                </c:pt>
                <c:pt idx="126">
                  <c:v>4.2252959855224788</c:v>
                </c:pt>
                <c:pt idx="127">
                  <c:v>4.2715005264936963</c:v>
                </c:pt>
                <c:pt idx="128">
                  <c:v>4.2877405454712232</c:v>
                </c:pt>
                <c:pt idx="129">
                  <c:v>4.1814016367445106</c:v>
                </c:pt>
                <c:pt idx="130">
                  <c:v>3.897273983049871</c:v>
                </c:pt>
                <c:pt idx="131">
                  <c:v>3.6541850921717298</c:v>
                </c:pt>
                <c:pt idx="132">
                  <c:v>3.3151931110886039</c:v>
                </c:pt>
                <c:pt idx="133">
                  <c:v>3.1490291018515109</c:v>
                </c:pt>
                <c:pt idx="134">
                  <c:v>3.0539544039951352</c:v>
                </c:pt>
                <c:pt idx="135">
                  <c:v>2.9398764566261946</c:v>
                </c:pt>
                <c:pt idx="136">
                  <c:v>2.8776230624582126</c:v>
                </c:pt>
                <c:pt idx="137">
                  <c:v>2.7697308241504288</c:v>
                </c:pt>
                <c:pt idx="138">
                  <c:v>2.6297043602438066</c:v>
                </c:pt>
                <c:pt idx="139">
                  <c:v>2.3966955425363778</c:v>
                </c:pt>
                <c:pt idx="140">
                  <c:v>2.0934926734774422</c:v>
                </c:pt>
                <c:pt idx="141">
                  <c:v>2.048265437907304</c:v>
                </c:pt>
                <c:pt idx="142">
                  <c:v>1.9543892227123933</c:v>
                </c:pt>
                <c:pt idx="143">
                  <c:v>1.805917666958976</c:v>
                </c:pt>
                <c:pt idx="144">
                  <c:v>1.5940277851925089</c:v>
                </c:pt>
                <c:pt idx="145">
                  <c:v>1.4688829742906648</c:v>
                </c:pt>
                <c:pt idx="146">
                  <c:v>1.1115885158998822</c:v>
                </c:pt>
                <c:pt idx="147">
                  <c:v>0.98092660672304532</c:v>
                </c:pt>
                <c:pt idx="148">
                  <c:v>0.70942879632269751</c:v>
                </c:pt>
                <c:pt idx="149">
                  <c:v>0.67769200701960131</c:v>
                </c:pt>
                <c:pt idx="150">
                  <c:v>0.65387894409528258</c:v>
                </c:pt>
                <c:pt idx="151">
                  <c:v>0.71073333702815944</c:v>
                </c:pt>
                <c:pt idx="152">
                  <c:v>0.90512656981570672</c:v>
                </c:pt>
                <c:pt idx="153">
                  <c:v>1.1994787998365268</c:v>
                </c:pt>
                <c:pt idx="154">
                  <c:v>1.7195612729316281</c:v>
                </c:pt>
                <c:pt idx="155">
                  <c:v>2.1576935664057544</c:v>
                </c:pt>
                <c:pt idx="156">
                  <c:v>2.4707864622455702</c:v>
                </c:pt>
                <c:pt idx="157">
                  <c:v>2.9001237856272155</c:v>
                </c:pt>
                <c:pt idx="158">
                  <c:v>3.1651587394376008</c:v>
                </c:pt>
                <c:pt idx="159">
                  <c:v>3.3949706406914686</c:v>
                </c:pt>
                <c:pt idx="160">
                  <c:v>3.6001512397856175</c:v>
                </c:pt>
                <c:pt idx="161">
                  <c:v>3.8307610967421795</c:v>
                </c:pt>
                <c:pt idx="162">
                  <c:v>3.9390649892665976</c:v>
                </c:pt>
                <c:pt idx="163">
                  <c:v>3.993387811167338</c:v>
                </c:pt>
                <c:pt idx="164">
                  <c:v>3.9864511296232763</c:v>
                </c:pt>
                <c:pt idx="165">
                  <c:v>3.9611138306400733</c:v>
                </c:pt>
                <c:pt idx="166">
                  <c:v>3.9719052478966432</c:v>
                </c:pt>
                <c:pt idx="167">
                  <c:v>4.0228454722669085</c:v>
                </c:pt>
                <c:pt idx="168">
                  <c:v>4.0567975515055537</c:v>
                </c:pt>
                <c:pt idx="169">
                  <c:v>3.8903862454787657</c:v>
                </c:pt>
                <c:pt idx="170">
                  <c:v>3.8002305356802708</c:v>
                </c:pt>
                <c:pt idx="171">
                  <c:v>3.6487953723260773</c:v>
                </c:pt>
                <c:pt idx="172">
                  <c:v>3.3234396702984554</c:v>
                </c:pt>
                <c:pt idx="173">
                  <c:v>3.0226801924101494</c:v>
                </c:pt>
                <c:pt idx="174">
                  <c:v>2.483764018082752</c:v>
                </c:pt>
                <c:pt idx="175">
                  <c:v>2.0069064567939279</c:v>
                </c:pt>
                <c:pt idx="176">
                  <c:v>1.8058709719460921</c:v>
                </c:pt>
                <c:pt idx="177">
                  <c:v>1.6134258374135015</c:v>
                </c:pt>
                <c:pt idx="178">
                  <c:v>1.2360579874245445</c:v>
                </c:pt>
                <c:pt idx="179">
                  <c:v>0.97417653244832536</c:v>
                </c:pt>
                <c:pt idx="180">
                  <c:v>0.68929303886355342</c:v>
                </c:pt>
                <c:pt idx="181">
                  <c:v>0.53561744658074417</c:v>
                </c:pt>
                <c:pt idx="182">
                  <c:v>0.37720360708192402</c:v>
                </c:pt>
                <c:pt idx="183">
                  <c:v>0.39557221024284672</c:v>
                </c:pt>
                <c:pt idx="184">
                  <c:v>0.83782029294451377</c:v>
                </c:pt>
                <c:pt idx="185">
                  <c:v>1.2194355110960089</c:v>
                </c:pt>
                <c:pt idx="186">
                  <c:v>1.5731290807463836</c:v>
                </c:pt>
                <c:pt idx="187">
                  <c:v>1.8865570446520223</c:v>
                </c:pt>
                <c:pt idx="188">
                  <c:v>2.4017891298241807</c:v>
                </c:pt>
                <c:pt idx="189">
                  <c:v>2.8115944486362991</c:v>
                </c:pt>
                <c:pt idx="190">
                  <c:v>3.3008539497154459</c:v>
                </c:pt>
                <c:pt idx="191">
                  <c:v>3.6912327160912639</c:v>
                </c:pt>
                <c:pt idx="192">
                  <c:v>4.0212305220427709</c:v>
                </c:pt>
                <c:pt idx="193">
                  <c:v>4.405459794260679</c:v>
                </c:pt>
                <c:pt idx="194">
                  <c:v>4.7057481437845752</c:v>
                </c:pt>
                <c:pt idx="195">
                  <c:v>4.9583871852202606</c:v>
                </c:pt>
                <c:pt idx="196">
                  <c:v>5.0487637882229421</c:v>
                </c:pt>
                <c:pt idx="197">
                  <c:v>4.9359960123620965</c:v>
                </c:pt>
                <c:pt idx="198">
                  <c:v>4.7977762903929317</c:v>
                </c:pt>
                <c:pt idx="199">
                  <c:v>4.6276294849710098</c:v>
                </c:pt>
                <c:pt idx="200">
                  <c:v>4.2142366375894937</c:v>
                </c:pt>
                <c:pt idx="201">
                  <c:v>3.7984532199818659</c:v>
                </c:pt>
                <c:pt idx="202">
                  <c:v>3.4046804202040164</c:v>
                </c:pt>
                <c:pt idx="203">
                  <c:v>2.9249475380965748</c:v>
                </c:pt>
                <c:pt idx="204">
                  <c:v>3.040655991851736</c:v>
                </c:pt>
                <c:pt idx="205">
                  <c:v>3.3734685297869191</c:v>
                </c:pt>
                <c:pt idx="206">
                  <c:v>3.7210171731288995</c:v>
                </c:pt>
                <c:pt idx="207">
                  <c:v>4.1575180512671466</c:v>
                </c:pt>
                <c:pt idx="208">
                  <c:v>4.0636367671730227</c:v>
                </c:pt>
                <c:pt idx="209">
                  <c:v>4.0259390458209339</c:v>
                </c:pt>
                <c:pt idx="210">
                  <c:v>3.7893845456639212</c:v>
                </c:pt>
                <c:pt idx="211">
                  <c:v>3.406108119094597</c:v>
                </c:pt>
                <c:pt idx="212">
                  <c:v>3.1427877493426308</c:v>
                </c:pt>
                <c:pt idx="213">
                  <c:v>2.7778183684903297</c:v>
                </c:pt>
                <c:pt idx="214">
                  <c:v>2.6197618066431687</c:v>
                </c:pt>
                <c:pt idx="215">
                  <c:v>2.4541076706473177</c:v>
                </c:pt>
                <c:pt idx="216">
                  <c:v>2.2907705820962008</c:v>
                </c:pt>
                <c:pt idx="217">
                  <c:v>2.0848424291618812</c:v>
                </c:pt>
                <c:pt idx="218">
                  <c:v>1.9029347033112174</c:v>
                </c:pt>
                <c:pt idx="219">
                  <c:v>1.7706373716241046</c:v>
                </c:pt>
                <c:pt idx="220">
                  <c:v>1.4043002898564225</c:v>
                </c:pt>
                <c:pt idx="221">
                  <c:v>1.1395712338862154</c:v>
                </c:pt>
                <c:pt idx="222">
                  <c:v>1.1345604779678524</c:v>
                </c:pt>
                <c:pt idx="223">
                  <c:v>0.9789017891091305</c:v>
                </c:pt>
                <c:pt idx="224">
                  <c:v>0.7373013714664296</c:v>
                </c:pt>
                <c:pt idx="225">
                  <c:v>0.96479618531938627</c:v>
                </c:pt>
                <c:pt idx="226">
                  <c:v>1.4455423080210323</c:v>
                </c:pt>
                <c:pt idx="227">
                  <c:v>2.1966050274252211</c:v>
                </c:pt>
                <c:pt idx="228">
                  <c:v>2.8413794653923219</c:v>
                </c:pt>
                <c:pt idx="229">
                  <c:v>3.2415716379831565</c:v>
                </c:pt>
                <c:pt idx="230">
                  <c:v>3.4822740907197556</c:v>
                </c:pt>
                <c:pt idx="231">
                  <c:v>3.6152201822858387</c:v>
                </c:pt>
                <c:pt idx="232">
                  <c:v>3.7164717334298132</c:v>
                </c:pt>
                <c:pt idx="233">
                  <c:v>3.8850708491872865</c:v>
                </c:pt>
                <c:pt idx="234">
                  <c:v>4.0805821695193174</c:v>
                </c:pt>
                <c:pt idx="235">
                  <c:v>4.4225858288162669</c:v>
                </c:pt>
                <c:pt idx="236">
                  <c:v>4.9017899968829397</c:v>
                </c:pt>
                <c:pt idx="237">
                  <c:v>5.187072008936525</c:v>
                </c:pt>
                <c:pt idx="238">
                  <c:v>5.3482807419250946</c:v>
                </c:pt>
                <c:pt idx="239">
                  <c:v>5.6928370912246749</c:v>
                </c:pt>
                <c:pt idx="240">
                  <c:v>6.0853773980408619</c:v>
                </c:pt>
                <c:pt idx="241">
                  <c:v>6.4328619415801427</c:v>
                </c:pt>
                <c:pt idx="242">
                  <c:v>6.8966420034234091</c:v>
                </c:pt>
                <c:pt idx="243">
                  <c:v>7.3569068153698538</c:v>
                </c:pt>
                <c:pt idx="244">
                  <c:v>7.5259814479162799</c:v>
                </c:pt>
                <c:pt idx="245">
                  <c:v>7.5495472546359395</c:v>
                </c:pt>
                <c:pt idx="246">
                  <c:v>7.6822036871982107</c:v>
                </c:pt>
                <c:pt idx="247">
                  <c:v>7.9929492832262383</c:v>
                </c:pt>
                <c:pt idx="248">
                  <c:v>8.0575739036672758</c:v>
                </c:pt>
                <c:pt idx="24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C6-4FC5-872A-54900FF200FC}"/>
            </c:ext>
          </c:extLst>
        </c:ser>
        <c:ser>
          <c:idx val="1"/>
          <c:order val="1"/>
          <c:tx>
            <c:strRef>
              <c:f>Data!$Z$1</c:f>
              <c:strCache>
                <c:ptCount val="1"/>
                <c:pt idx="0">
                  <c:v>Signal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Data!$B$2:$B$251</c:f>
              <c:numCache>
                <c:formatCode>m/d/yyyy</c:formatCode>
                <c:ptCount val="250"/>
                <c:pt idx="0">
                  <c:v>45706</c:v>
                </c:pt>
                <c:pt idx="1">
                  <c:v>45707</c:v>
                </c:pt>
                <c:pt idx="2">
                  <c:v>45708</c:v>
                </c:pt>
                <c:pt idx="3">
                  <c:v>45709</c:v>
                </c:pt>
                <c:pt idx="4">
                  <c:v>45712</c:v>
                </c:pt>
                <c:pt idx="5">
                  <c:v>45713</c:v>
                </c:pt>
                <c:pt idx="6">
                  <c:v>45714</c:v>
                </c:pt>
                <c:pt idx="7">
                  <c:v>45715</c:v>
                </c:pt>
                <c:pt idx="8">
                  <c:v>45716</c:v>
                </c:pt>
                <c:pt idx="9">
                  <c:v>45719</c:v>
                </c:pt>
                <c:pt idx="10">
                  <c:v>45720</c:v>
                </c:pt>
                <c:pt idx="11">
                  <c:v>45721</c:v>
                </c:pt>
                <c:pt idx="12">
                  <c:v>45722</c:v>
                </c:pt>
                <c:pt idx="13">
                  <c:v>45723</c:v>
                </c:pt>
                <c:pt idx="14">
                  <c:v>45726</c:v>
                </c:pt>
                <c:pt idx="15">
                  <c:v>45727</c:v>
                </c:pt>
                <c:pt idx="16">
                  <c:v>45728</c:v>
                </c:pt>
                <c:pt idx="17">
                  <c:v>45729</c:v>
                </c:pt>
                <c:pt idx="18">
                  <c:v>45730</c:v>
                </c:pt>
                <c:pt idx="19">
                  <c:v>45733</c:v>
                </c:pt>
                <c:pt idx="20">
                  <c:v>45734</c:v>
                </c:pt>
                <c:pt idx="21">
                  <c:v>45735</c:v>
                </c:pt>
                <c:pt idx="22">
                  <c:v>45736</c:v>
                </c:pt>
                <c:pt idx="23">
                  <c:v>45737</c:v>
                </c:pt>
                <c:pt idx="24">
                  <c:v>45740</c:v>
                </c:pt>
                <c:pt idx="25">
                  <c:v>45741</c:v>
                </c:pt>
                <c:pt idx="26">
                  <c:v>45742</c:v>
                </c:pt>
                <c:pt idx="27">
                  <c:v>45743</c:v>
                </c:pt>
                <c:pt idx="28">
                  <c:v>45744</c:v>
                </c:pt>
                <c:pt idx="29">
                  <c:v>45747</c:v>
                </c:pt>
                <c:pt idx="30">
                  <c:v>45748</c:v>
                </c:pt>
                <c:pt idx="31">
                  <c:v>45749</c:v>
                </c:pt>
                <c:pt idx="32">
                  <c:v>45750</c:v>
                </c:pt>
                <c:pt idx="33">
                  <c:v>45751</c:v>
                </c:pt>
                <c:pt idx="34">
                  <c:v>45754</c:v>
                </c:pt>
                <c:pt idx="35">
                  <c:v>45755</c:v>
                </c:pt>
                <c:pt idx="36">
                  <c:v>45756</c:v>
                </c:pt>
                <c:pt idx="37">
                  <c:v>45757</c:v>
                </c:pt>
                <c:pt idx="38">
                  <c:v>45758</c:v>
                </c:pt>
                <c:pt idx="39">
                  <c:v>45761</c:v>
                </c:pt>
                <c:pt idx="40">
                  <c:v>45762</c:v>
                </c:pt>
                <c:pt idx="41">
                  <c:v>45763</c:v>
                </c:pt>
                <c:pt idx="42">
                  <c:v>45764</c:v>
                </c:pt>
                <c:pt idx="43">
                  <c:v>45768</c:v>
                </c:pt>
                <c:pt idx="44">
                  <c:v>45769</c:v>
                </c:pt>
                <c:pt idx="45">
                  <c:v>45770</c:v>
                </c:pt>
                <c:pt idx="46">
                  <c:v>45771</c:v>
                </c:pt>
                <c:pt idx="47">
                  <c:v>45772</c:v>
                </c:pt>
                <c:pt idx="48">
                  <c:v>45775</c:v>
                </c:pt>
                <c:pt idx="49">
                  <c:v>45776</c:v>
                </c:pt>
                <c:pt idx="50">
                  <c:v>45777</c:v>
                </c:pt>
                <c:pt idx="51">
                  <c:v>45778</c:v>
                </c:pt>
                <c:pt idx="52">
                  <c:v>45779</c:v>
                </c:pt>
                <c:pt idx="53">
                  <c:v>45782</c:v>
                </c:pt>
                <c:pt idx="54">
                  <c:v>45783</c:v>
                </c:pt>
                <c:pt idx="55">
                  <c:v>45784</c:v>
                </c:pt>
                <c:pt idx="56">
                  <c:v>45785</c:v>
                </c:pt>
                <c:pt idx="57">
                  <c:v>45786</c:v>
                </c:pt>
                <c:pt idx="58">
                  <c:v>45789</c:v>
                </c:pt>
                <c:pt idx="59">
                  <c:v>45790</c:v>
                </c:pt>
                <c:pt idx="60">
                  <c:v>45791</c:v>
                </c:pt>
                <c:pt idx="61">
                  <c:v>45792</c:v>
                </c:pt>
                <c:pt idx="62">
                  <c:v>45793</c:v>
                </c:pt>
                <c:pt idx="63">
                  <c:v>45796</c:v>
                </c:pt>
                <c:pt idx="64">
                  <c:v>45797</c:v>
                </c:pt>
                <c:pt idx="65">
                  <c:v>45798</c:v>
                </c:pt>
                <c:pt idx="66">
                  <c:v>45799</c:v>
                </c:pt>
                <c:pt idx="67">
                  <c:v>45800</c:v>
                </c:pt>
                <c:pt idx="68">
                  <c:v>45804</c:v>
                </c:pt>
                <c:pt idx="69">
                  <c:v>45805</c:v>
                </c:pt>
                <c:pt idx="70">
                  <c:v>45806</c:v>
                </c:pt>
                <c:pt idx="71">
                  <c:v>45807</c:v>
                </c:pt>
                <c:pt idx="72">
                  <c:v>45810</c:v>
                </c:pt>
                <c:pt idx="73">
                  <c:v>45811</c:v>
                </c:pt>
                <c:pt idx="74">
                  <c:v>45812</c:v>
                </c:pt>
                <c:pt idx="75">
                  <c:v>45813</c:v>
                </c:pt>
                <c:pt idx="76">
                  <c:v>45814</c:v>
                </c:pt>
                <c:pt idx="77">
                  <c:v>45817</c:v>
                </c:pt>
                <c:pt idx="78">
                  <c:v>45818</c:v>
                </c:pt>
                <c:pt idx="79">
                  <c:v>45819</c:v>
                </c:pt>
                <c:pt idx="80">
                  <c:v>45820</c:v>
                </c:pt>
                <c:pt idx="81">
                  <c:v>45821</c:v>
                </c:pt>
                <c:pt idx="82">
                  <c:v>45824</c:v>
                </c:pt>
                <c:pt idx="83">
                  <c:v>45825</c:v>
                </c:pt>
                <c:pt idx="84">
                  <c:v>45826</c:v>
                </c:pt>
                <c:pt idx="85">
                  <c:v>45828</c:v>
                </c:pt>
                <c:pt idx="86">
                  <c:v>45831</c:v>
                </c:pt>
                <c:pt idx="87">
                  <c:v>45832</c:v>
                </c:pt>
                <c:pt idx="88">
                  <c:v>45833</c:v>
                </c:pt>
                <c:pt idx="89">
                  <c:v>45834</c:v>
                </c:pt>
                <c:pt idx="90">
                  <c:v>45835</c:v>
                </c:pt>
                <c:pt idx="91">
                  <c:v>45838</c:v>
                </c:pt>
                <c:pt idx="92">
                  <c:v>45839</c:v>
                </c:pt>
                <c:pt idx="93">
                  <c:v>45840</c:v>
                </c:pt>
                <c:pt idx="94">
                  <c:v>45841</c:v>
                </c:pt>
                <c:pt idx="95">
                  <c:v>45845</c:v>
                </c:pt>
                <c:pt idx="96">
                  <c:v>45846</c:v>
                </c:pt>
                <c:pt idx="97">
                  <c:v>45847</c:v>
                </c:pt>
                <c:pt idx="98">
                  <c:v>45848</c:v>
                </c:pt>
                <c:pt idx="99">
                  <c:v>45849</c:v>
                </c:pt>
                <c:pt idx="100">
                  <c:v>45852</c:v>
                </c:pt>
                <c:pt idx="101">
                  <c:v>45853</c:v>
                </c:pt>
                <c:pt idx="102">
                  <c:v>45854</c:v>
                </c:pt>
                <c:pt idx="103">
                  <c:v>45855</c:v>
                </c:pt>
                <c:pt idx="104">
                  <c:v>45856</c:v>
                </c:pt>
                <c:pt idx="105">
                  <c:v>45859</c:v>
                </c:pt>
                <c:pt idx="106">
                  <c:v>45860</c:v>
                </c:pt>
                <c:pt idx="107">
                  <c:v>45861</c:v>
                </c:pt>
                <c:pt idx="108">
                  <c:v>45862</c:v>
                </c:pt>
                <c:pt idx="109">
                  <c:v>45863</c:v>
                </c:pt>
                <c:pt idx="110">
                  <c:v>45866</c:v>
                </c:pt>
                <c:pt idx="111">
                  <c:v>45867</c:v>
                </c:pt>
                <c:pt idx="112">
                  <c:v>45868</c:v>
                </c:pt>
                <c:pt idx="113">
                  <c:v>45869</c:v>
                </c:pt>
                <c:pt idx="114">
                  <c:v>45870</c:v>
                </c:pt>
                <c:pt idx="115">
                  <c:v>45873</c:v>
                </c:pt>
                <c:pt idx="116">
                  <c:v>45874</c:v>
                </c:pt>
                <c:pt idx="117">
                  <c:v>45875</c:v>
                </c:pt>
                <c:pt idx="118">
                  <c:v>45876</c:v>
                </c:pt>
                <c:pt idx="119">
                  <c:v>45877</c:v>
                </c:pt>
                <c:pt idx="120">
                  <c:v>45880</c:v>
                </c:pt>
                <c:pt idx="121">
                  <c:v>45881</c:v>
                </c:pt>
                <c:pt idx="122">
                  <c:v>45882</c:v>
                </c:pt>
                <c:pt idx="123">
                  <c:v>45883</c:v>
                </c:pt>
                <c:pt idx="124">
                  <c:v>45884</c:v>
                </c:pt>
                <c:pt idx="125">
                  <c:v>45887</c:v>
                </c:pt>
                <c:pt idx="126">
                  <c:v>45888</c:v>
                </c:pt>
                <c:pt idx="127">
                  <c:v>45889</c:v>
                </c:pt>
                <c:pt idx="128">
                  <c:v>45890</c:v>
                </c:pt>
                <c:pt idx="129">
                  <c:v>45891</c:v>
                </c:pt>
                <c:pt idx="130">
                  <c:v>45894</c:v>
                </c:pt>
                <c:pt idx="131">
                  <c:v>45895</c:v>
                </c:pt>
                <c:pt idx="132">
                  <c:v>45896</c:v>
                </c:pt>
                <c:pt idx="133">
                  <c:v>45897</c:v>
                </c:pt>
                <c:pt idx="134">
                  <c:v>45898</c:v>
                </c:pt>
                <c:pt idx="135">
                  <c:v>45902</c:v>
                </c:pt>
                <c:pt idx="136">
                  <c:v>45903</c:v>
                </c:pt>
                <c:pt idx="137">
                  <c:v>45904</c:v>
                </c:pt>
                <c:pt idx="138">
                  <c:v>45905</c:v>
                </c:pt>
                <c:pt idx="139">
                  <c:v>45908</c:v>
                </c:pt>
                <c:pt idx="140">
                  <c:v>45909</c:v>
                </c:pt>
                <c:pt idx="141">
                  <c:v>45910</c:v>
                </c:pt>
                <c:pt idx="142">
                  <c:v>45911</c:v>
                </c:pt>
                <c:pt idx="143">
                  <c:v>45912</c:v>
                </c:pt>
                <c:pt idx="144">
                  <c:v>45915</c:v>
                </c:pt>
                <c:pt idx="145">
                  <c:v>45916</c:v>
                </c:pt>
                <c:pt idx="146">
                  <c:v>45917</c:v>
                </c:pt>
                <c:pt idx="147">
                  <c:v>45918</c:v>
                </c:pt>
                <c:pt idx="148">
                  <c:v>45919</c:v>
                </c:pt>
                <c:pt idx="149">
                  <c:v>45922</c:v>
                </c:pt>
                <c:pt idx="150">
                  <c:v>45923</c:v>
                </c:pt>
                <c:pt idx="151">
                  <c:v>45924</c:v>
                </c:pt>
                <c:pt idx="152">
                  <c:v>45925</c:v>
                </c:pt>
                <c:pt idx="153">
                  <c:v>45926</c:v>
                </c:pt>
                <c:pt idx="154">
                  <c:v>45929</c:v>
                </c:pt>
                <c:pt idx="155">
                  <c:v>45930</c:v>
                </c:pt>
                <c:pt idx="156">
                  <c:v>45931</c:v>
                </c:pt>
                <c:pt idx="157">
                  <c:v>45932</c:v>
                </c:pt>
                <c:pt idx="158">
                  <c:v>45933</c:v>
                </c:pt>
                <c:pt idx="159">
                  <c:v>45936</c:v>
                </c:pt>
                <c:pt idx="160">
                  <c:v>45937</c:v>
                </c:pt>
                <c:pt idx="161">
                  <c:v>45938</c:v>
                </c:pt>
                <c:pt idx="162">
                  <c:v>45939</c:v>
                </c:pt>
                <c:pt idx="163">
                  <c:v>45940</c:v>
                </c:pt>
                <c:pt idx="164">
                  <c:v>45943</c:v>
                </c:pt>
                <c:pt idx="165">
                  <c:v>45944</c:v>
                </c:pt>
                <c:pt idx="166">
                  <c:v>45945</c:v>
                </c:pt>
                <c:pt idx="167">
                  <c:v>45946</c:v>
                </c:pt>
                <c:pt idx="168">
                  <c:v>45947</c:v>
                </c:pt>
                <c:pt idx="169">
                  <c:v>45950</c:v>
                </c:pt>
                <c:pt idx="170">
                  <c:v>45951</c:v>
                </c:pt>
                <c:pt idx="171">
                  <c:v>45952</c:v>
                </c:pt>
                <c:pt idx="172">
                  <c:v>45953</c:v>
                </c:pt>
                <c:pt idx="173">
                  <c:v>45954</c:v>
                </c:pt>
                <c:pt idx="174">
                  <c:v>45957</c:v>
                </c:pt>
                <c:pt idx="175">
                  <c:v>45958</c:v>
                </c:pt>
                <c:pt idx="176">
                  <c:v>45959</c:v>
                </c:pt>
                <c:pt idx="177">
                  <c:v>45960</c:v>
                </c:pt>
                <c:pt idx="178">
                  <c:v>45961</c:v>
                </c:pt>
                <c:pt idx="179">
                  <c:v>45964</c:v>
                </c:pt>
                <c:pt idx="180">
                  <c:v>45965</c:v>
                </c:pt>
                <c:pt idx="181">
                  <c:v>45966</c:v>
                </c:pt>
                <c:pt idx="182">
                  <c:v>45967</c:v>
                </c:pt>
                <c:pt idx="183">
                  <c:v>45968</c:v>
                </c:pt>
                <c:pt idx="184">
                  <c:v>45971</c:v>
                </c:pt>
                <c:pt idx="185">
                  <c:v>45972</c:v>
                </c:pt>
                <c:pt idx="186">
                  <c:v>45973</c:v>
                </c:pt>
                <c:pt idx="187">
                  <c:v>45974</c:v>
                </c:pt>
                <c:pt idx="188">
                  <c:v>45975</c:v>
                </c:pt>
                <c:pt idx="189">
                  <c:v>45978</c:v>
                </c:pt>
                <c:pt idx="190">
                  <c:v>45979</c:v>
                </c:pt>
                <c:pt idx="191">
                  <c:v>45980</c:v>
                </c:pt>
                <c:pt idx="192">
                  <c:v>45981</c:v>
                </c:pt>
                <c:pt idx="193">
                  <c:v>45982</c:v>
                </c:pt>
                <c:pt idx="194">
                  <c:v>45985</c:v>
                </c:pt>
                <c:pt idx="195">
                  <c:v>45986</c:v>
                </c:pt>
                <c:pt idx="196">
                  <c:v>45987</c:v>
                </c:pt>
                <c:pt idx="197">
                  <c:v>45989</c:v>
                </c:pt>
                <c:pt idx="198">
                  <c:v>45992</c:v>
                </c:pt>
                <c:pt idx="199">
                  <c:v>45993</c:v>
                </c:pt>
                <c:pt idx="200">
                  <c:v>45994</c:v>
                </c:pt>
                <c:pt idx="201">
                  <c:v>45995</c:v>
                </c:pt>
                <c:pt idx="202">
                  <c:v>45996</c:v>
                </c:pt>
                <c:pt idx="203">
                  <c:v>45999</c:v>
                </c:pt>
                <c:pt idx="204">
                  <c:v>46000</c:v>
                </c:pt>
                <c:pt idx="205">
                  <c:v>46001</c:v>
                </c:pt>
                <c:pt idx="206">
                  <c:v>46002</c:v>
                </c:pt>
                <c:pt idx="207">
                  <c:v>46003</c:v>
                </c:pt>
                <c:pt idx="208">
                  <c:v>46006</c:v>
                </c:pt>
                <c:pt idx="209">
                  <c:v>46007</c:v>
                </c:pt>
                <c:pt idx="210">
                  <c:v>46008</c:v>
                </c:pt>
                <c:pt idx="211">
                  <c:v>46009</c:v>
                </c:pt>
                <c:pt idx="212">
                  <c:v>46010</c:v>
                </c:pt>
                <c:pt idx="213">
                  <c:v>46013</c:v>
                </c:pt>
                <c:pt idx="214">
                  <c:v>46014</c:v>
                </c:pt>
                <c:pt idx="215">
                  <c:v>46015</c:v>
                </c:pt>
                <c:pt idx="216">
                  <c:v>46017</c:v>
                </c:pt>
                <c:pt idx="217">
                  <c:v>46020</c:v>
                </c:pt>
                <c:pt idx="218">
                  <c:v>46021</c:v>
                </c:pt>
                <c:pt idx="219">
                  <c:v>46022</c:v>
                </c:pt>
                <c:pt idx="220">
                  <c:v>46024</c:v>
                </c:pt>
                <c:pt idx="221">
                  <c:v>46027</c:v>
                </c:pt>
                <c:pt idx="222">
                  <c:v>46028</c:v>
                </c:pt>
                <c:pt idx="223">
                  <c:v>46029</c:v>
                </c:pt>
                <c:pt idx="224">
                  <c:v>46030</c:v>
                </c:pt>
                <c:pt idx="225">
                  <c:v>46031</c:v>
                </c:pt>
                <c:pt idx="226">
                  <c:v>46034</c:v>
                </c:pt>
                <c:pt idx="227">
                  <c:v>46035</c:v>
                </c:pt>
                <c:pt idx="228">
                  <c:v>46036</c:v>
                </c:pt>
                <c:pt idx="229">
                  <c:v>46037</c:v>
                </c:pt>
                <c:pt idx="230">
                  <c:v>46038</c:v>
                </c:pt>
                <c:pt idx="231">
                  <c:v>46042</c:v>
                </c:pt>
                <c:pt idx="232">
                  <c:v>46043</c:v>
                </c:pt>
                <c:pt idx="233">
                  <c:v>46044</c:v>
                </c:pt>
                <c:pt idx="234">
                  <c:v>46045</c:v>
                </c:pt>
                <c:pt idx="235">
                  <c:v>46048</c:v>
                </c:pt>
                <c:pt idx="236">
                  <c:v>46049</c:v>
                </c:pt>
                <c:pt idx="237">
                  <c:v>46050</c:v>
                </c:pt>
                <c:pt idx="238">
                  <c:v>46051</c:v>
                </c:pt>
                <c:pt idx="239">
                  <c:v>46052</c:v>
                </c:pt>
                <c:pt idx="240">
                  <c:v>46055</c:v>
                </c:pt>
                <c:pt idx="241">
                  <c:v>46056</c:v>
                </c:pt>
                <c:pt idx="242">
                  <c:v>46057</c:v>
                </c:pt>
                <c:pt idx="243">
                  <c:v>46058</c:v>
                </c:pt>
                <c:pt idx="244">
                  <c:v>46059</c:v>
                </c:pt>
                <c:pt idx="245">
                  <c:v>46062</c:v>
                </c:pt>
                <c:pt idx="246">
                  <c:v>46063</c:v>
                </c:pt>
                <c:pt idx="247">
                  <c:v>46064</c:v>
                </c:pt>
                <c:pt idx="248">
                  <c:v>46065</c:v>
                </c:pt>
                <c:pt idx="249">
                  <c:v>46066</c:v>
                </c:pt>
              </c:numCache>
            </c:numRef>
          </c:cat>
          <c:val>
            <c:numRef>
              <c:f>Data!$Z$2:$Z$251</c:f>
              <c:numCache>
                <c:formatCode>General</c:formatCode>
                <c:ptCount val="250"/>
                <c:pt idx="34">
                  <c:v>-1.2318515241261201</c:v>
                </c:pt>
                <c:pt idx="35">
                  <c:v>-1.6102022984877458</c:v>
                </c:pt>
                <c:pt idx="36">
                  <c:v>-1.9837434730682135</c:v>
                </c:pt>
                <c:pt idx="37">
                  <c:v>-2.2816656609176542</c:v>
                </c:pt>
                <c:pt idx="38">
                  <c:v>-2.4694132679523033</c:v>
                </c:pt>
                <c:pt idx="39">
                  <c:v>-2.5844415178272628</c:v>
                </c:pt>
                <c:pt idx="40">
                  <c:v>-2.6373434668842926</c:v>
                </c:pt>
                <c:pt idx="41">
                  <c:v>-2.5857238865507242</c:v>
                </c:pt>
                <c:pt idx="42">
                  <c:v>-2.4741797612113601</c:v>
                </c:pt>
                <c:pt idx="43">
                  <c:v>-2.3120420979688561</c:v>
                </c:pt>
                <c:pt idx="44">
                  <c:v>-2.1592352637479961</c:v>
                </c:pt>
                <c:pt idx="45">
                  <c:v>-2.0225453523859027</c:v>
                </c:pt>
                <c:pt idx="46">
                  <c:v>-1.9040969826650653</c:v>
                </c:pt>
                <c:pt idx="47">
                  <c:v>-1.7866665946473907</c:v>
                </c:pt>
                <c:pt idx="48">
                  <c:v>-1.6630235053149063</c:v>
                </c:pt>
                <c:pt idx="49">
                  <c:v>-1.5317958568662073</c:v>
                </c:pt>
                <c:pt idx="50">
                  <c:v>-1.4287179207833023</c:v>
                </c:pt>
                <c:pt idx="51">
                  <c:v>-1.3189465271726841</c:v>
                </c:pt>
                <c:pt idx="52">
                  <c:v>-1.2255970018372804</c:v>
                </c:pt>
                <c:pt idx="53">
                  <c:v>-1.1530963787390598</c:v>
                </c:pt>
                <c:pt idx="54">
                  <c:v>-1.0496849090715916</c:v>
                </c:pt>
                <c:pt idx="55">
                  <c:v>-0.95609291766449855</c:v>
                </c:pt>
                <c:pt idx="56">
                  <c:v>-0.89435706165638718</c:v>
                </c:pt>
                <c:pt idx="57">
                  <c:v>-0.85506224236907069</c:v>
                </c:pt>
                <c:pt idx="58">
                  <c:v>-0.92088424063037866</c:v>
                </c:pt>
                <c:pt idx="59">
                  <c:v>-1.080227229490498</c:v>
                </c:pt>
                <c:pt idx="60">
                  <c:v>-1.2355204324620683</c:v>
                </c:pt>
                <c:pt idx="61">
                  <c:v>-1.349876985359209</c:v>
                </c:pt>
                <c:pt idx="62">
                  <c:v>-1.410996714387488</c:v>
                </c:pt>
                <c:pt idx="63">
                  <c:v>-1.4136620227981618</c:v>
                </c:pt>
                <c:pt idx="64">
                  <c:v>-1.3839856108986723</c:v>
                </c:pt>
                <c:pt idx="65">
                  <c:v>-1.3415333557569988</c:v>
                </c:pt>
                <c:pt idx="66">
                  <c:v>-1.2849762837968668</c:v>
                </c:pt>
                <c:pt idx="67">
                  <c:v>-1.2146688112582988</c:v>
                </c:pt>
                <c:pt idx="68">
                  <c:v>-1.1497426330742821</c:v>
                </c:pt>
                <c:pt idx="69">
                  <c:v>-1.0706248091071526</c:v>
                </c:pt>
                <c:pt idx="70">
                  <c:v>-0.95831355505861304</c:v>
                </c:pt>
                <c:pt idx="71">
                  <c:v>-0.82586931415119991</c:v>
                </c:pt>
                <c:pt idx="72">
                  <c:v>-0.70150205749570904</c:v>
                </c:pt>
                <c:pt idx="73">
                  <c:v>-0.60626326925014951</c:v>
                </c:pt>
                <c:pt idx="74">
                  <c:v>-0.52587247570118056</c:v>
                </c:pt>
                <c:pt idx="75">
                  <c:v>-0.43594621620916546</c:v>
                </c:pt>
                <c:pt idx="76">
                  <c:v>-0.34057290171491406</c:v>
                </c:pt>
                <c:pt idx="77">
                  <c:v>-0.22654448341676237</c:v>
                </c:pt>
                <c:pt idx="78">
                  <c:v>-0.12527037985677447</c:v>
                </c:pt>
                <c:pt idx="79">
                  <c:v>-1.4677690667192059E-2</c:v>
                </c:pt>
                <c:pt idx="80">
                  <c:v>0.10301165239690677</c:v>
                </c:pt>
                <c:pt idx="81">
                  <c:v>0.18875048440145159</c:v>
                </c:pt>
                <c:pt idx="82">
                  <c:v>0.20422804196295383</c:v>
                </c:pt>
                <c:pt idx="83">
                  <c:v>0.14806557140430901</c:v>
                </c:pt>
                <c:pt idx="84">
                  <c:v>3.4610026243739891E-2</c:v>
                </c:pt>
                <c:pt idx="85">
                  <c:v>-8.4476807812734825E-2</c:v>
                </c:pt>
                <c:pt idx="86">
                  <c:v>-0.18677761441682067</c:v>
                </c:pt>
                <c:pt idx="87">
                  <c:v>-0.27133288548651102</c:v>
                </c:pt>
                <c:pt idx="88">
                  <c:v>-0.34402234141762955</c:v>
                </c:pt>
                <c:pt idx="89">
                  <c:v>-0.39829817001895729</c:v>
                </c:pt>
                <c:pt idx="90">
                  <c:v>-0.43185516159797122</c:v>
                </c:pt>
                <c:pt idx="91">
                  <c:v>-0.39910709072901096</c:v>
                </c:pt>
                <c:pt idx="92">
                  <c:v>-0.33135094320150538</c:v>
                </c:pt>
                <c:pt idx="93">
                  <c:v>-0.23726959765423783</c:v>
                </c:pt>
                <c:pt idx="94">
                  <c:v>-0.14288550998617017</c:v>
                </c:pt>
                <c:pt idx="95">
                  <c:v>-4.4637477983415733E-2</c:v>
                </c:pt>
                <c:pt idx="96">
                  <c:v>5.8801476945727814E-2</c:v>
                </c:pt>
                <c:pt idx="97">
                  <c:v>0.18243326689354522</c:v>
                </c:pt>
                <c:pt idx="98">
                  <c:v>0.2992207609882358</c:v>
                </c:pt>
                <c:pt idx="99">
                  <c:v>0.40363785169881916</c:v>
                </c:pt>
                <c:pt idx="100">
                  <c:v>0.46758293815032731</c:v>
                </c:pt>
                <c:pt idx="101">
                  <c:v>0.65506507053281526</c:v>
                </c:pt>
                <c:pt idx="102">
                  <c:v>0.879938732295791</c:v>
                </c:pt>
                <c:pt idx="103">
                  <c:v>1.1259420524674111</c:v>
                </c:pt>
                <c:pt idx="104">
                  <c:v>1.3802567974731255</c:v>
                </c:pt>
                <c:pt idx="105">
                  <c:v>1.6802607638959861</c:v>
                </c:pt>
                <c:pt idx="106">
                  <c:v>2.008012158006812</c:v>
                </c:pt>
                <c:pt idx="107">
                  <c:v>2.3387361980244963</c:v>
                </c:pt>
                <c:pt idx="108">
                  <c:v>2.6285533172580338</c:v>
                </c:pt>
                <c:pt idx="109">
                  <c:v>2.838361888855629</c:v>
                </c:pt>
                <c:pt idx="110">
                  <c:v>3.0107087860703579</c:v>
                </c:pt>
                <c:pt idx="111">
                  <c:v>3.1301174545049135</c:v>
                </c:pt>
                <c:pt idx="112">
                  <c:v>3.1627465679695614</c:v>
                </c:pt>
                <c:pt idx="113">
                  <c:v>3.1733868636692351</c:v>
                </c:pt>
                <c:pt idx="114">
                  <c:v>3.2216453051236034</c:v>
                </c:pt>
                <c:pt idx="115">
                  <c:v>3.2788231781995494</c:v>
                </c:pt>
                <c:pt idx="116">
                  <c:v>3.3287279559751748</c:v>
                </c:pt>
                <c:pt idx="117">
                  <c:v>3.378868314258153</c:v>
                </c:pt>
                <c:pt idx="118">
                  <c:v>3.4475447137599509</c:v>
                </c:pt>
                <c:pt idx="119">
                  <c:v>3.5241990264990575</c:v>
                </c:pt>
                <c:pt idx="120">
                  <c:v>3.5772104399122746</c:v>
                </c:pt>
                <c:pt idx="121">
                  <c:v>3.6306360521561802</c:v>
                </c:pt>
                <c:pt idx="122">
                  <c:v>3.6780319881486232</c:v>
                </c:pt>
                <c:pt idx="123">
                  <c:v>3.7414135663402064</c:v>
                </c:pt>
                <c:pt idx="124">
                  <c:v>3.7967424077569039</c:v>
                </c:pt>
                <c:pt idx="125">
                  <c:v>3.8601993212569385</c:v>
                </c:pt>
                <c:pt idx="126">
                  <c:v>3.9332186541100467</c:v>
                </c:pt>
                <c:pt idx="127">
                  <c:v>4.0008750285867762</c:v>
                </c:pt>
                <c:pt idx="128">
                  <c:v>4.0582481319636656</c:v>
                </c:pt>
                <c:pt idx="129">
                  <c:v>4.0828788329198353</c:v>
                </c:pt>
                <c:pt idx="130">
                  <c:v>4.0457578629458428</c:v>
                </c:pt>
                <c:pt idx="131">
                  <c:v>3.9674433087910206</c:v>
                </c:pt>
                <c:pt idx="132">
                  <c:v>3.8369932692505375</c:v>
                </c:pt>
                <c:pt idx="133">
                  <c:v>3.6994004357707322</c:v>
                </c:pt>
                <c:pt idx="134">
                  <c:v>3.570311229415613</c:v>
                </c:pt>
                <c:pt idx="135">
                  <c:v>3.4442242748577296</c:v>
                </c:pt>
                <c:pt idx="136">
                  <c:v>3.3309040323778265</c:v>
                </c:pt>
                <c:pt idx="137">
                  <c:v>3.2186693907323471</c:v>
                </c:pt>
                <c:pt idx="138">
                  <c:v>3.1008763846346392</c:v>
                </c:pt>
                <c:pt idx="139">
                  <c:v>2.960040216214987</c:v>
                </c:pt>
                <c:pt idx="140">
                  <c:v>2.7867307076674779</c:v>
                </c:pt>
                <c:pt idx="141">
                  <c:v>2.6390376537154432</c:v>
                </c:pt>
                <c:pt idx="142">
                  <c:v>2.5021079675148332</c:v>
                </c:pt>
                <c:pt idx="143">
                  <c:v>2.3628699074036619</c:v>
                </c:pt>
                <c:pt idx="144">
                  <c:v>2.2091014829614313</c:v>
                </c:pt>
                <c:pt idx="145">
                  <c:v>2.0610577812272779</c:v>
                </c:pt>
                <c:pt idx="146">
                  <c:v>1.8711639281617987</c:v>
                </c:pt>
                <c:pt idx="147">
                  <c:v>1.6931164638740479</c:v>
                </c:pt>
                <c:pt idx="148">
                  <c:v>1.496378930363778</c:v>
                </c:pt>
                <c:pt idx="149">
                  <c:v>1.3326415456949428</c:v>
                </c:pt>
                <c:pt idx="150">
                  <c:v>1.1968890253750109</c:v>
                </c:pt>
                <c:pt idx="151">
                  <c:v>1.0996578877056407</c:v>
                </c:pt>
                <c:pt idx="152">
                  <c:v>1.0607516241276538</c:v>
                </c:pt>
                <c:pt idx="153">
                  <c:v>1.0884970592694283</c:v>
                </c:pt>
                <c:pt idx="154">
                  <c:v>1.2147099020018683</c:v>
                </c:pt>
                <c:pt idx="155">
                  <c:v>1.4033066348826457</c:v>
                </c:pt>
                <c:pt idx="156">
                  <c:v>1.6168026003552307</c:v>
                </c:pt>
                <c:pt idx="157">
                  <c:v>1.8734668374096277</c:v>
                </c:pt>
                <c:pt idx="158">
                  <c:v>2.1318052178152227</c:v>
                </c:pt>
                <c:pt idx="159">
                  <c:v>2.3844383023904721</c:v>
                </c:pt>
                <c:pt idx="160">
                  <c:v>2.6275808898695012</c:v>
                </c:pt>
                <c:pt idx="161">
                  <c:v>2.8682169312440369</c:v>
                </c:pt>
                <c:pt idx="162">
                  <c:v>3.0823865428485493</c:v>
                </c:pt>
                <c:pt idx="163">
                  <c:v>3.2645867965123072</c:v>
                </c:pt>
                <c:pt idx="164">
                  <c:v>3.4089596631345014</c:v>
                </c:pt>
                <c:pt idx="165">
                  <c:v>3.5193904966356158</c:v>
                </c:pt>
                <c:pt idx="166">
                  <c:v>3.6098934468878214</c:v>
                </c:pt>
                <c:pt idx="167">
                  <c:v>3.6924838519636394</c:v>
                </c:pt>
                <c:pt idx="168">
                  <c:v>3.7653465918720221</c:v>
                </c:pt>
                <c:pt idx="169">
                  <c:v>3.790354522593371</c:v>
                </c:pt>
                <c:pt idx="170">
                  <c:v>3.7923297252107511</c:v>
                </c:pt>
                <c:pt idx="171">
                  <c:v>3.7636228546338164</c:v>
                </c:pt>
                <c:pt idx="172">
                  <c:v>3.6755862177667447</c:v>
                </c:pt>
                <c:pt idx="173">
                  <c:v>3.5450050126954258</c:v>
                </c:pt>
                <c:pt idx="174">
                  <c:v>3.3327568137728911</c:v>
                </c:pt>
                <c:pt idx="175">
                  <c:v>3.0675867423770988</c:v>
                </c:pt>
                <c:pt idx="176">
                  <c:v>2.8152435882908979</c:v>
                </c:pt>
                <c:pt idx="177">
                  <c:v>2.5748800381154191</c:v>
                </c:pt>
                <c:pt idx="178">
                  <c:v>2.307115627977244</c:v>
                </c:pt>
                <c:pt idx="179">
                  <c:v>2.0405278088714605</c:v>
                </c:pt>
                <c:pt idx="180">
                  <c:v>1.7702808548698792</c:v>
                </c:pt>
                <c:pt idx="181">
                  <c:v>1.5233481732120522</c:v>
                </c:pt>
                <c:pt idx="182">
                  <c:v>1.2941192599860267</c:v>
                </c:pt>
                <c:pt idx="183">
                  <c:v>1.1144098500373909</c:v>
                </c:pt>
                <c:pt idx="184">
                  <c:v>1.0590919386188156</c:v>
                </c:pt>
                <c:pt idx="185">
                  <c:v>1.0911606531142544</c:v>
                </c:pt>
                <c:pt idx="186">
                  <c:v>1.1875543386406804</c:v>
                </c:pt>
                <c:pt idx="187">
                  <c:v>1.3273548798429489</c:v>
                </c:pt>
                <c:pt idx="188">
                  <c:v>1.5422417298391953</c:v>
                </c:pt>
                <c:pt idx="189">
                  <c:v>1.7961122735986161</c:v>
                </c:pt>
                <c:pt idx="190">
                  <c:v>2.0970606088219821</c:v>
                </c:pt>
                <c:pt idx="191">
                  <c:v>2.4158950302758386</c:v>
                </c:pt>
                <c:pt idx="192">
                  <c:v>2.7369621286292252</c:v>
                </c:pt>
                <c:pt idx="193">
                  <c:v>3.070661661755516</c:v>
                </c:pt>
                <c:pt idx="194">
                  <c:v>3.397678958161328</c:v>
                </c:pt>
                <c:pt idx="195">
                  <c:v>3.7098206035731147</c:v>
                </c:pt>
                <c:pt idx="196">
                  <c:v>3.9776092405030807</c:v>
                </c:pt>
                <c:pt idx="197">
                  <c:v>4.1692865948748841</c:v>
                </c:pt>
                <c:pt idx="198">
                  <c:v>4.2949845339784938</c:v>
                </c:pt>
                <c:pt idx="199">
                  <c:v>4.3615135241769973</c:v>
                </c:pt>
                <c:pt idx="200">
                  <c:v>4.332058146859497</c:v>
                </c:pt>
                <c:pt idx="201">
                  <c:v>4.2253371614839708</c:v>
                </c:pt>
                <c:pt idx="202">
                  <c:v>4.0612058132279802</c:v>
                </c:pt>
                <c:pt idx="203">
                  <c:v>3.8339541582016992</c:v>
                </c:pt>
                <c:pt idx="204">
                  <c:v>3.6752945249317071</c:v>
                </c:pt>
                <c:pt idx="205">
                  <c:v>3.6149293259027493</c:v>
                </c:pt>
                <c:pt idx="206">
                  <c:v>3.6361468953479794</c:v>
                </c:pt>
                <c:pt idx="207">
                  <c:v>3.740421126531813</c:v>
                </c:pt>
                <c:pt idx="208">
                  <c:v>3.805064254660055</c:v>
                </c:pt>
                <c:pt idx="209">
                  <c:v>3.8492392128922313</c:v>
                </c:pt>
                <c:pt idx="210">
                  <c:v>3.8372682794465693</c:v>
                </c:pt>
                <c:pt idx="211">
                  <c:v>3.7510362473761751</c:v>
                </c:pt>
                <c:pt idx="212">
                  <c:v>3.6293865477694665</c:v>
                </c:pt>
                <c:pt idx="213">
                  <c:v>3.4590729119136392</c:v>
                </c:pt>
                <c:pt idx="214">
                  <c:v>3.2912106908595451</c:v>
                </c:pt>
                <c:pt idx="215">
                  <c:v>3.1237900868170998</c:v>
                </c:pt>
                <c:pt idx="216">
                  <c:v>2.9571861858729198</c:v>
                </c:pt>
                <c:pt idx="217">
                  <c:v>2.7827174345307122</c:v>
                </c:pt>
                <c:pt idx="218">
                  <c:v>2.6067608882868134</c:v>
                </c:pt>
                <c:pt idx="219">
                  <c:v>2.4395361849542718</c:v>
                </c:pt>
                <c:pt idx="220">
                  <c:v>2.2324890059347018</c:v>
                </c:pt>
                <c:pt idx="221">
                  <c:v>2.0139054515250048</c:v>
                </c:pt>
                <c:pt idx="222">
                  <c:v>1.8380364568135743</c:v>
                </c:pt>
                <c:pt idx="223">
                  <c:v>1.6662095232726855</c:v>
                </c:pt>
                <c:pt idx="224">
                  <c:v>1.4804278929114345</c:v>
                </c:pt>
                <c:pt idx="225">
                  <c:v>1.3773015513930249</c:v>
                </c:pt>
                <c:pt idx="226">
                  <c:v>1.3909497027186266</c:v>
                </c:pt>
                <c:pt idx="227">
                  <c:v>1.5520807676599455</c:v>
                </c:pt>
                <c:pt idx="228">
                  <c:v>1.809940507206421</c:v>
                </c:pt>
                <c:pt idx="229">
                  <c:v>2.0962667333617682</c:v>
                </c:pt>
                <c:pt idx="230">
                  <c:v>2.3734682048333657</c:v>
                </c:pt>
                <c:pt idx="231">
                  <c:v>2.6218186003238602</c:v>
                </c:pt>
                <c:pt idx="232">
                  <c:v>2.8407492269450509</c:v>
                </c:pt>
                <c:pt idx="233">
                  <c:v>3.0496135513934983</c:v>
                </c:pt>
                <c:pt idx="234">
                  <c:v>3.2558072750186624</c:v>
                </c:pt>
                <c:pt idx="235">
                  <c:v>3.4891629857781838</c:v>
                </c:pt>
                <c:pt idx="236">
                  <c:v>3.7716883879991352</c:v>
                </c:pt>
                <c:pt idx="237">
                  <c:v>4.0547651121866135</c:v>
                </c:pt>
                <c:pt idx="238">
                  <c:v>4.3134682381343099</c:v>
                </c:pt>
                <c:pt idx="239">
                  <c:v>4.5893420087523831</c:v>
                </c:pt>
                <c:pt idx="240">
                  <c:v>4.8885490866100794</c:v>
                </c:pt>
                <c:pt idx="241">
                  <c:v>5.1974116576040927</c:v>
                </c:pt>
                <c:pt idx="242">
                  <c:v>5.5372577267679564</c:v>
                </c:pt>
                <c:pt idx="243">
                  <c:v>5.9011875444883364</c:v>
                </c:pt>
                <c:pt idx="244">
                  <c:v>6.2261463251739251</c:v>
                </c:pt>
                <c:pt idx="245">
                  <c:v>6.490826511066329</c:v>
                </c:pt>
                <c:pt idx="246">
                  <c:v>6.7291019462927064</c:v>
                </c:pt>
                <c:pt idx="247">
                  <c:v>6.9818714136794133</c:v>
                </c:pt>
                <c:pt idx="248">
                  <c:v>7.1970119116769862</c:v>
                </c:pt>
                <c:pt idx="249">
                  <c:v>5.7576095293415896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C6-4FC5-872A-54900FF200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61178463"/>
        <c:axId val="1761175583"/>
      </c:lineChart>
      <c:dateAx>
        <c:axId val="1761178463"/>
        <c:scaling>
          <c:orientation val="minMax"/>
          <c:max val="46064"/>
          <c:min val="45948"/>
        </c:scaling>
        <c:delete val="0"/>
        <c:axPos val="b"/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1175583"/>
        <c:crosses val="autoZero"/>
        <c:auto val="1"/>
        <c:lblOffset val="100"/>
        <c:baseTimeUnit val="days"/>
      </c:dateAx>
      <c:valAx>
        <c:axId val="1761175583"/>
        <c:scaling>
          <c:orientation val="minMax"/>
          <c:min val="-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1178463"/>
        <c:crosses val="autoZero"/>
        <c:crossBetween val="between"/>
      </c:valAx>
      <c:valAx>
        <c:axId val="581077679"/>
        <c:scaling>
          <c:orientation val="minMax"/>
          <c:min val="-4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1074319"/>
        <c:crosses val="max"/>
        <c:crossBetween val="between"/>
      </c:valAx>
      <c:dateAx>
        <c:axId val="581074319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581077679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1st Quarter Forecast: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Forecast!$B$1</c:f>
              <c:strCache>
                <c:ptCount val="1"/>
                <c:pt idx="0">
                  <c:v>Average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Forecast!$A$2:$A$120</c:f>
              <c:numCache>
                <c:formatCode>m/d/yyyy</c:formatCode>
                <c:ptCount val="119"/>
                <c:pt idx="0">
                  <c:v>45292</c:v>
                </c:pt>
                <c:pt idx="1">
                  <c:v>45299</c:v>
                </c:pt>
                <c:pt idx="2">
                  <c:v>45306</c:v>
                </c:pt>
                <c:pt idx="3">
                  <c:v>45313</c:v>
                </c:pt>
                <c:pt idx="4">
                  <c:v>45320</c:v>
                </c:pt>
                <c:pt idx="5">
                  <c:v>45327</c:v>
                </c:pt>
                <c:pt idx="6">
                  <c:v>45334</c:v>
                </c:pt>
                <c:pt idx="7">
                  <c:v>45341</c:v>
                </c:pt>
                <c:pt idx="8">
                  <c:v>45348</c:v>
                </c:pt>
                <c:pt idx="9">
                  <c:v>45355</c:v>
                </c:pt>
                <c:pt idx="10">
                  <c:v>45362</c:v>
                </c:pt>
                <c:pt idx="11">
                  <c:v>45369</c:v>
                </c:pt>
                <c:pt idx="12">
                  <c:v>45376</c:v>
                </c:pt>
                <c:pt idx="13">
                  <c:v>45383</c:v>
                </c:pt>
                <c:pt idx="14">
                  <c:v>45390</c:v>
                </c:pt>
                <c:pt idx="15">
                  <c:v>45397</c:v>
                </c:pt>
                <c:pt idx="16">
                  <c:v>45404</c:v>
                </c:pt>
                <c:pt idx="17">
                  <c:v>45411</c:v>
                </c:pt>
                <c:pt idx="18">
                  <c:v>45418</c:v>
                </c:pt>
                <c:pt idx="19">
                  <c:v>45425</c:v>
                </c:pt>
                <c:pt idx="20">
                  <c:v>45432</c:v>
                </c:pt>
                <c:pt idx="21">
                  <c:v>45439</c:v>
                </c:pt>
                <c:pt idx="22">
                  <c:v>45446</c:v>
                </c:pt>
                <c:pt idx="23">
                  <c:v>45453</c:v>
                </c:pt>
                <c:pt idx="24">
                  <c:v>45460</c:v>
                </c:pt>
                <c:pt idx="25">
                  <c:v>45467</c:v>
                </c:pt>
                <c:pt idx="26">
                  <c:v>45474</c:v>
                </c:pt>
                <c:pt idx="27">
                  <c:v>45481</c:v>
                </c:pt>
                <c:pt idx="28">
                  <c:v>45488</c:v>
                </c:pt>
                <c:pt idx="29">
                  <c:v>45495</c:v>
                </c:pt>
                <c:pt idx="30">
                  <c:v>45502</c:v>
                </c:pt>
                <c:pt idx="31">
                  <c:v>45509</c:v>
                </c:pt>
                <c:pt idx="32">
                  <c:v>45516</c:v>
                </c:pt>
                <c:pt idx="33">
                  <c:v>45523</c:v>
                </c:pt>
                <c:pt idx="34">
                  <c:v>45530</c:v>
                </c:pt>
                <c:pt idx="35">
                  <c:v>45537</c:v>
                </c:pt>
                <c:pt idx="36">
                  <c:v>45544</c:v>
                </c:pt>
                <c:pt idx="37">
                  <c:v>45551</c:v>
                </c:pt>
                <c:pt idx="38">
                  <c:v>45558</c:v>
                </c:pt>
                <c:pt idx="39">
                  <c:v>45565</c:v>
                </c:pt>
                <c:pt idx="40">
                  <c:v>45572</c:v>
                </c:pt>
                <c:pt idx="41">
                  <c:v>45579</c:v>
                </c:pt>
                <c:pt idx="42">
                  <c:v>45586</c:v>
                </c:pt>
                <c:pt idx="43">
                  <c:v>45593</c:v>
                </c:pt>
                <c:pt idx="44">
                  <c:v>45600</c:v>
                </c:pt>
                <c:pt idx="45">
                  <c:v>45607</c:v>
                </c:pt>
                <c:pt idx="46">
                  <c:v>45614</c:v>
                </c:pt>
                <c:pt idx="47">
                  <c:v>45621</c:v>
                </c:pt>
                <c:pt idx="48">
                  <c:v>45628</c:v>
                </c:pt>
                <c:pt idx="49">
                  <c:v>45635</c:v>
                </c:pt>
                <c:pt idx="50">
                  <c:v>45642</c:v>
                </c:pt>
                <c:pt idx="51">
                  <c:v>45649</c:v>
                </c:pt>
                <c:pt idx="52">
                  <c:v>45656</c:v>
                </c:pt>
                <c:pt idx="53">
                  <c:v>45663</c:v>
                </c:pt>
                <c:pt idx="54">
                  <c:v>45670</c:v>
                </c:pt>
                <c:pt idx="55">
                  <c:v>45677</c:v>
                </c:pt>
                <c:pt idx="56">
                  <c:v>45684</c:v>
                </c:pt>
                <c:pt idx="57">
                  <c:v>45691</c:v>
                </c:pt>
                <c:pt idx="58">
                  <c:v>45698</c:v>
                </c:pt>
                <c:pt idx="59">
                  <c:v>45705</c:v>
                </c:pt>
                <c:pt idx="60">
                  <c:v>45712</c:v>
                </c:pt>
                <c:pt idx="61">
                  <c:v>45719</c:v>
                </c:pt>
                <c:pt idx="62">
                  <c:v>45726</c:v>
                </c:pt>
                <c:pt idx="63">
                  <c:v>45733</c:v>
                </c:pt>
                <c:pt idx="64">
                  <c:v>45740</c:v>
                </c:pt>
                <c:pt idx="65">
                  <c:v>45747</c:v>
                </c:pt>
                <c:pt idx="66">
                  <c:v>45754</c:v>
                </c:pt>
                <c:pt idx="67">
                  <c:v>45761</c:v>
                </c:pt>
                <c:pt idx="68">
                  <c:v>45768</c:v>
                </c:pt>
                <c:pt idx="69">
                  <c:v>45775</c:v>
                </c:pt>
                <c:pt idx="70">
                  <c:v>45782</c:v>
                </c:pt>
                <c:pt idx="71">
                  <c:v>45789</c:v>
                </c:pt>
                <c:pt idx="72">
                  <c:v>45796</c:v>
                </c:pt>
                <c:pt idx="73">
                  <c:v>45803</c:v>
                </c:pt>
                <c:pt idx="74">
                  <c:v>45810</c:v>
                </c:pt>
                <c:pt idx="75">
                  <c:v>45817</c:v>
                </c:pt>
                <c:pt idx="76">
                  <c:v>45824</c:v>
                </c:pt>
                <c:pt idx="77">
                  <c:v>45831</c:v>
                </c:pt>
                <c:pt idx="78">
                  <c:v>45838</c:v>
                </c:pt>
                <c:pt idx="79">
                  <c:v>45845</c:v>
                </c:pt>
                <c:pt idx="80">
                  <c:v>45852</c:v>
                </c:pt>
                <c:pt idx="81">
                  <c:v>45859</c:v>
                </c:pt>
                <c:pt idx="82">
                  <c:v>45866</c:v>
                </c:pt>
                <c:pt idx="83">
                  <c:v>45873</c:v>
                </c:pt>
                <c:pt idx="84">
                  <c:v>45880</c:v>
                </c:pt>
                <c:pt idx="85">
                  <c:v>45887</c:v>
                </c:pt>
                <c:pt idx="86">
                  <c:v>45894</c:v>
                </c:pt>
                <c:pt idx="87">
                  <c:v>45901</c:v>
                </c:pt>
                <c:pt idx="88">
                  <c:v>45908</c:v>
                </c:pt>
                <c:pt idx="89">
                  <c:v>45915</c:v>
                </c:pt>
                <c:pt idx="90">
                  <c:v>45922</c:v>
                </c:pt>
                <c:pt idx="91">
                  <c:v>45929</c:v>
                </c:pt>
                <c:pt idx="92">
                  <c:v>45936</c:v>
                </c:pt>
                <c:pt idx="93">
                  <c:v>45943</c:v>
                </c:pt>
                <c:pt idx="94">
                  <c:v>45950</c:v>
                </c:pt>
                <c:pt idx="95">
                  <c:v>45957</c:v>
                </c:pt>
                <c:pt idx="96">
                  <c:v>45964</c:v>
                </c:pt>
                <c:pt idx="97">
                  <c:v>45971</c:v>
                </c:pt>
                <c:pt idx="98">
                  <c:v>45978</c:v>
                </c:pt>
                <c:pt idx="99">
                  <c:v>45985</c:v>
                </c:pt>
                <c:pt idx="100">
                  <c:v>45992</c:v>
                </c:pt>
                <c:pt idx="101">
                  <c:v>45999</c:v>
                </c:pt>
                <c:pt idx="102">
                  <c:v>46006</c:v>
                </c:pt>
                <c:pt idx="103">
                  <c:v>46013</c:v>
                </c:pt>
                <c:pt idx="104">
                  <c:v>46020</c:v>
                </c:pt>
                <c:pt idx="105">
                  <c:v>46027</c:v>
                </c:pt>
                <c:pt idx="106">
                  <c:v>46034</c:v>
                </c:pt>
                <c:pt idx="107">
                  <c:v>46041</c:v>
                </c:pt>
                <c:pt idx="108">
                  <c:v>46048</c:v>
                </c:pt>
                <c:pt idx="109">
                  <c:v>46055</c:v>
                </c:pt>
                <c:pt idx="110">
                  <c:v>46062</c:v>
                </c:pt>
                <c:pt idx="111">
                  <c:v>46069</c:v>
                </c:pt>
                <c:pt idx="112">
                  <c:v>46076</c:v>
                </c:pt>
                <c:pt idx="113">
                  <c:v>46083</c:v>
                </c:pt>
                <c:pt idx="114">
                  <c:v>46090</c:v>
                </c:pt>
                <c:pt idx="115">
                  <c:v>46097</c:v>
                </c:pt>
                <c:pt idx="116">
                  <c:v>46104</c:v>
                </c:pt>
                <c:pt idx="117">
                  <c:v>46111</c:v>
                </c:pt>
                <c:pt idx="118">
                  <c:v>46118</c:v>
                </c:pt>
              </c:numCache>
            </c:numRef>
          </c:cat>
          <c:val>
            <c:numRef>
              <c:f>Forecast!$B$2:$B$120</c:f>
              <c:numCache>
                <c:formatCode>General</c:formatCode>
                <c:ptCount val="119"/>
                <c:pt idx="0">
                  <c:v>160.67500000000001</c:v>
                </c:pt>
                <c:pt idx="1">
                  <c:v>161.714</c:v>
                </c:pt>
                <c:pt idx="2">
                  <c:v>160.96</c:v>
                </c:pt>
                <c:pt idx="3">
                  <c:v>160.06</c:v>
                </c:pt>
                <c:pt idx="4">
                  <c:v>158.4</c:v>
                </c:pt>
                <c:pt idx="5">
                  <c:v>157</c:v>
                </c:pt>
                <c:pt idx="6">
                  <c:v>156.90600000000001</c:v>
                </c:pt>
                <c:pt idx="7">
                  <c:v>159.70750000000001</c:v>
                </c:pt>
                <c:pt idx="8">
                  <c:v>161.364</c:v>
                </c:pt>
                <c:pt idx="9">
                  <c:v>159.50800000000001</c:v>
                </c:pt>
                <c:pt idx="10">
                  <c:v>160.49199999999999</c:v>
                </c:pt>
                <c:pt idx="11">
                  <c:v>155.94200000000001</c:v>
                </c:pt>
                <c:pt idx="12">
                  <c:v>156.785</c:v>
                </c:pt>
                <c:pt idx="13">
                  <c:v>154.93199999999999</c:v>
                </c:pt>
                <c:pt idx="14">
                  <c:v>150.078</c:v>
                </c:pt>
                <c:pt idx="15">
                  <c:v>146.09200000000001</c:v>
                </c:pt>
                <c:pt idx="16">
                  <c:v>148.03399999999999</c:v>
                </c:pt>
                <c:pt idx="17">
                  <c:v>148.35599999999999</c:v>
                </c:pt>
                <c:pt idx="18">
                  <c:v>149.202</c:v>
                </c:pt>
                <c:pt idx="19">
                  <c:v>152.83799999999999</c:v>
                </c:pt>
                <c:pt idx="20">
                  <c:v>150.536</c:v>
                </c:pt>
                <c:pt idx="21">
                  <c:v>145.1925</c:v>
                </c:pt>
                <c:pt idx="22">
                  <c:v>147.00200000000001</c:v>
                </c:pt>
                <c:pt idx="23">
                  <c:v>146.05799999999999</c:v>
                </c:pt>
                <c:pt idx="24">
                  <c:v>147.0325</c:v>
                </c:pt>
                <c:pt idx="25">
                  <c:v>147.018</c:v>
                </c:pt>
                <c:pt idx="26">
                  <c:v>146.16</c:v>
                </c:pt>
                <c:pt idx="27">
                  <c:v>148.30799999999999</c:v>
                </c:pt>
                <c:pt idx="28">
                  <c:v>153.38800000000001</c:v>
                </c:pt>
                <c:pt idx="29">
                  <c:v>156.63</c:v>
                </c:pt>
                <c:pt idx="30">
                  <c:v>160.52799999999999</c:v>
                </c:pt>
                <c:pt idx="31">
                  <c:v>159.99199999999999</c:v>
                </c:pt>
                <c:pt idx="32">
                  <c:v>159.04599999999999</c:v>
                </c:pt>
                <c:pt idx="33">
                  <c:v>161.54</c:v>
                </c:pt>
                <c:pt idx="34">
                  <c:v>164.31399999999999</c:v>
                </c:pt>
                <c:pt idx="35">
                  <c:v>165.9725</c:v>
                </c:pt>
                <c:pt idx="36">
                  <c:v>165.79400000000001</c:v>
                </c:pt>
                <c:pt idx="37">
                  <c:v>165.83799999999999</c:v>
                </c:pt>
                <c:pt idx="38">
                  <c:v>161.87799999999999</c:v>
                </c:pt>
                <c:pt idx="39">
                  <c:v>161.202</c:v>
                </c:pt>
                <c:pt idx="40">
                  <c:v>160.36799999999999</c:v>
                </c:pt>
                <c:pt idx="41">
                  <c:v>163.91399999999999</c:v>
                </c:pt>
                <c:pt idx="42">
                  <c:v>163.33799999999999</c:v>
                </c:pt>
                <c:pt idx="43">
                  <c:v>160.458</c:v>
                </c:pt>
                <c:pt idx="44">
                  <c:v>157.334</c:v>
                </c:pt>
                <c:pt idx="45">
                  <c:v>153.358</c:v>
                </c:pt>
                <c:pt idx="46">
                  <c:v>154.31</c:v>
                </c:pt>
                <c:pt idx="47">
                  <c:v>155.17750000000001</c:v>
                </c:pt>
                <c:pt idx="48">
                  <c:v>151.292</c:v>
                </c:pt>
                <c:pt idx="49">
                  <c:v>147.666</c:v>
                </c:pt>
                <c:pt idx="50">
                  <c:v>144.61199999999999</c:v>
                </c:pt>
                <c:pt idx="51">
                  <c:v>145.4375</c:v>
                </c:pt>
                <c:pt idx="52">
                  <c:v>144.04250000000002</c:v>
                </c:pt>
                <c:pt idx="53">
                  <c:v>143.55500000000001</c:v>
                </c:pt>
                <c:pt idx="54">
                  <c:v>145.798</c:v>
                </c:pt>
                <c:pt idx="55">
                  <c:v>146.72</c:v>
                </c:pt>
                <c:pt idx="56">
                  <c:v>151.88800000000001</c:v>
                </c:pt>
                <c:pt idx="57">
                  <c:v>153.33600000000001</c:v>
                </c:pt>
                <c:pt idx="58">
                  <c:v>155.80600000000001</c:v>
                </c:pt>
                <c:pt idx="59">
                  <c:v>158.715</c:v>
                </c:pt>
                <c:pt idx="60">
                  <c:v>164.33199999999999</c:v>
                </c:pt>
                <c:pt idx="61">
                  <c:v>166.06800000000001</c:v>
                </c:pt>
                <c:pt idx="62">
                  <c:v>164.44200000000001</c:v>
                </c:pt>
                <c:pt idx="63">
                  <c:v>163.346</c:v>
                </c:pt>
                <c:pt idx="64">
                  <c:v>162.57400000000001</c:v>
                </c:pt>
                <c:pt idx="65">
                  <c:v>157.50200000000001</c:v>
                </c:pt>
                <c:pt idx="66">
                  <c:v>150.40199999999999</c:v>
                </c:pt>
                <c:pt idx="67">
                  <c:v>154.84</c:v>
                </c:pt>
                <c:pt idx="68">
                  <c:v>155.91200000000001</c:v>
                </c:pt>
                <c:pt idx="69">
                  <c:v>155.63</c:v>
                </c:pt>
                <c:pt idx="70">
                  <c:v>155.33000000000001</c:v>
                </c:pt>
                <c:pt idx="71">
                  <c:v>149.976</c:v>
                </c:pt>
                <c:pt idx="72">
                  <c:v>152.976</c:v>
                </c:pt>
                <c:pt idx="73">
                  <c:v>153.61750000000001</c:v>
                </c:pt>
                <c:pt idx="74">
                  <c:v>154.346</c:v>
                </c:pt>
                <c:pt idx="75">
                  <c:v>156.13999999999999</c:v>
                </c:pt>
                <c:pt idx="76">
                  <c:v>152.03</c:v>
                </c:pt>
                <c:pt idx="77">
                  <c:v>152.042</c:v>
                </c:pt>
                <c:pt idx="78">
                  <c:v>155.06</c:v>
                </c:pt>
                <c:pt idx="79">
                  <c:v>156.386</c:v>
                </c:pt>
                <c:pt idx="80">
                  <c:v>160.69</c:v>
                </c:pt>
                <c:pt idx="81">
                  <c:v>167.85</c:v>
                </c:pt>
                <c:pt idx="82">
                  <c:v>166.732</c:v>
                </c:pt>
                <c:pt idx="83">
                  <c:v>171.446</c:v>
                </c:pt>
                <c:pt idx="84">
                  <c:v>174.476</c:v>
                </c:pt>
                <c:pt idx="85">
                  <c:v>178.22200000000001</c:v>
                </c:pt>
                <c:pt idx="86">
                  <c:v>176.86199999999999</c:v>
                </c:pt>
                <c:pt idx="87">
                  <c:v>178.3125</c:v>
                </c:pt>
                <c:pt idx="88">
                  <c:v>177.488</c:v>
                </c:pt>
                <c:pt idx="89">
                  <c:v>176.28200000000001</c:v>
                </c:pt>
                <c:pt idx="90">
                  <c:v>176.98400000000001</c:v>
                </c:pt>
                <c:pt idx="91">
                  <c:v>185.542</c:v>
                </c:pt>
                <c:pt idx="92">
                  <c:v>189.708</c:v>
                </c:pt>
                <c:pt idx="93">
                  <c:v>191.65199999999999</c:v>
                </c:pt>
                <c:pt idx="94">
                  <c:v>192.28200000000001</c:v>
                </c:pt>
                <c:pt idx="95">
                  <c:v>188.35</c:v>
                </c:pt>
                <c:pt idx="96">
                  <c:v>186.53200000000001</c:v>
                </c:pt>
                <c:pt idx="97">
                  <c:v>193.56200000000001</c:v>
                </c:pt>
                <c:pt idx="98">
                  <c:v>201.81200000000001</c:v>
                </c:pt>
                <c:pt idx="99">
                  <c:v>206.8</c:v>
                </c:pt>
                <c:pt idx="100">
                  <c:v>204.1</c:v>
                </c:pt>
                <c:pt idx="101">
                  <c:v>205.94200000000001</c:v>
                </c:pt>
                <c:pt idx="102">
                  <c:v>209.696</c:v>
                </c:pt>
                <c:pt idx="103">
                  <c:v>207.1275</c:v>
                </c:pt>
                <c:pt idx="104">
                  <c:v>207.1925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4B-4400-B5D2-E1DE96277FBC}"/>
            </c:ext>
          </c:extLst>
        </c:ser>
        <c:ser>
          <c:idx val="1"/>
          <c:order val="1"/>
          <c:tx>
            <c:strRef>
              <c:f>Forecast!$C$1</c:f>
              <c:strCache>
                <c:ptCount val="1"/>
                <c:pt idx="0">
                  <c:v>Jan. 2026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Forecast!$A$2:$A$120</c:f>
              <c:numCache>
                <c:formatCode>m/d/yyyy</c:formatCode>
                <c:ptCount val="119"/>
                <c:pt idx="0">
                  <c:v>45292</c:v>
                </c:pt>
                <c:pt idx="1">
                  <c:v>45299</c:v>
                </c:pt>
                <c:pt idx="2">
                  <c:v>45306</c:v>
                </c:pt>
                <c:pt idx="3">
                  <c:v>45313</c:v>
                </c:pt>
                <c:pt idx="4">
                  <c:v>45320</c:v>
                </c:pt>
                <c:pt idx="5">
                  <c:v>45327</c:v>
                </c:pt>
                <c:pt idx="6">
                  <c:v>45334</c:v>
                </c:pt>
                <c:pt idx="7">
                  <c:v>45341</c:v>
                </c:pt>
                <c:pt idx="8">
                  <c:v>45348</c:v>
                </c:pt>
                <c:pt idx="9">
                  <c:v>45355</c:v>
                </c:pt>
                <c:pt idx="10">
                  <c:v>45362</c:v>
                </c:pt>
                <c:pt idx="11">
                  <c:v>45369</c:v>
                </c:pt>
                <c:pt idx="12">
                  <c:v>45376</c:v>
                </c:pt>
                <c:pt idx="13">
                  <c:v>45383</c:v>
                </c:pt>
                <c:pt idx="14">
                  <c:v>45390</c:v>
                </c:pt>
                <c:pt idx="15">
                  <c:v>45397</c:v>
                </c:pt>
                <c:pt idx="16">
                  <c:v>45404</c:v>
                </c:pt>
                <c:pt idx="17">
                  <c:v>45411</c:v>
                </c:pt>
                <c:pt idx="18">
                  <c:v>45418</c:v>
                </c:pt>
                <c:pt idx="19">
                  <c:v>45425</c:v>
                </c:pt>
                <c:pt idx="20">
                  <c:v>45432</c:v>
                </c:pt>
                <c:pt idx="21">
                  <c:v>45439</c:v>
                </c:pt>
                <c:pt idx="22">
                  <c:v>45446</c:v>
                </c:pt>
                <c:pt idx="23">
                  <c:v>45453</c:v>
                </c:pt>
                <c:pt idx="24">
                  <c:v>45460</c:v>
                </c:pt>
                <c:pt idx="25">
                  <c:v>45467</c:v>
                </c:pt>
                <c:pt idx="26">
                  <c:v>45474</c:v>
                </c:pt>
                <c:pt idx="27">
                  <c:v>45481</c:v>
                </c:pt>
                <c:pt idx="28">
                  <c:v>45488</c:v>
                </c:pt>
                <c:pt idx="29">
                  <c:v>45495</c:v>
                </c:pt>
                <c:pt idx="30">
                  <c:v>45502</c:v>
                </c:pt>
                <c:pt idx="31">
                  <c:v>45509</c:v>
                </c:pt>
                <c:pt idx="32">
                  <c:v>45516</c:v>
                </c:pt>
                <c:pt idx="33">
                  <c:v>45523</c:v>
                </c:pt>
                <c:pt idx="34">
                  <c:v>45530</c:v>
                </c:pt>
                <c:pt idx="35">
                  <c:v>45537</c:v>
                </c:pt>
                <c:pt idx="36">
                  <c:v>45544</c:v>
                </c:pt>
                <c:pt idx="37">
                  <c:v>45551</c:v>
                </c:pt>
                <c:pt idx="38">
                  <c:v>45558</c:v>
                </c:pt>
                <c:pt idx="39">
                  <c:v>45565</c:v>
                </c:pt>
                <c:pt idx="40">
                  <c:v>45572</c:v>
                </c:pt>
                <c:pt idx="41">
                  <c:v>45579</c:v>
                </c:pt>
                <c:pt idx="42">
                  <c:v>45586</c:v>
                </c:pt>
                <c:pt idx="43">
                  <c:v>45593</c:v>
                </c:pt>
                <c:pt idx="44">
                  <c:v>45600</c:v>
                </c:pt>
                <c:pt idx="45">
                  <c:v>45607</c:v>
                </c:pt>
                <c:pt idx="46">
                  <c:v>45614</c:v>
                </c:pt>
                <c:pt idx="47">
                  <c:v>45621</c:v>
                </c:pt>
                <c:pt idx="48">
                  <c:v>45628</c:v>
                </c:pt>
                <c:pt idx="49">
                  <c:v>45635</c:v>
                </c:pt>
                <c:pt idx="50">
                  <c:v>45642</c:v>
                </c:pt>
                <c:pt idx="51">
                  <c:v>45649</c:v>
                </c:pt>
                <c:pt idx="52">
                  <c:v>45656</c:v>
                </c:pt>
                <c:pt idx="53">
                  <c:v>45663</c:v>
                </c:pt>
                <c:pt idx="54">
                  <c:v>45670</c:v>
                </c:pt>
                <c:pt idx="55">
                  <c:v>45677</c:v>
                </c:pt>
                <c:pt idx="56">
                  <c:v>45684</c:v>
                </c:pt>
                <c:pt idx="57">
                  <c:v>45691</c:v>
                </c:pt>
                <c:pt idx="58">
                  <c:v>45698</c:v>
                </c:pt>
                <c:pt idx="59">
                  <c:v>45705</c:v>
                </c:pt>
                <c:pt idx="60">
                  <c:v>45712</c:v>
                </c:pt>
                <c:pt idx="61">
                  <c:v>45719</c:v>
                </c:pt>
                <c:pt idx="62">
                  <c:v>45726</c:v>
                </c:pt>
                <c:pt idx="63">
                  <c:v>45733</c:v>
                </c:pt>
                <c:pt idx="64">
                  <c:v>45740</c:v>
                </c:pt>
                <c:pt idx="65">
                  <c:v>45747</c:v>
                </c:pt>
                <c:pt idx="66">
                  <c:v>45754</c:v>
                </c:pt>
                <c:pt idx="67">
                  <c:v>45761</c:v>
                </c:pt>
                <c:pt idx="68">
                  <c:v>45768</c:v>
                </c:pt>
                <c:pt idx="69">
                  <c:v>45775</c:v>
                </c:pt>
                <c:pt idx="70">
                  <c:v>45782</c:v>
                </c:pt>
                <c:pt idx="71">
                  <c:v>45789</c:v>
                </c:pt>
                <c:pt idx="72">
                  <c:v>45796</c:v>
                </c:pt>
                <c:pt idx="73">
                  <c:v>45803</c:v>
                </c:pt>
                <c:pt idx="74">
                  <c:v>45810</c:v>
                </c:pt>
                <c:pt idx="75">
                  <c:v>45817</c:v>
                </c:pt>
                <c:pt idx="76">
                  <c:v>45824</c:v>
                </c:pt>
                <c:pt idx="77">
                  <c:v>45831</c:v>
                </c:pt>
                <c:pt idx="78">
                  <c:v>45838</c:v>
                </c:pt>
                <c:pt idx="79">
                  <c:v>45845</c:v>
                </c:pt>
                <c:pt idx="80">
                  <c:v>45852</c:v>
                </c:pt>
                <c:pt idx="81">
                  <c:v>45859</c:v>
                </c:pt>
                <c:pt idx="82">
                  <c:v>45866</c:v>
                </c:pt>
                <c:pt idx="83">
                  <c:v>45873</c:v>
                </c:pt>
                <c:pt idx="84">
                  <c:v>45880</c:v>
                </c:pt>
                <c:pt idx="85">
                  <c:v>45887</c:v>
                </c:pt>
                <c:pt idx="86">
                  <c:v>45894</c:v>
                </c:pt>
                <c:pt idx="87">
                  <c:v>45901</c:v>
                </c:pt>
                <c:pt idx="88">
                  <c:v>45908</c:v>
                </c:pt>
                <c:pt idx="89">
                  <c:v>45915</c:v>
                </c:pt>
                <c:pt idx="90">
                  <c:v>45922</c:v>
                </c:pt>
                <c:pt idx="91">
                  <c:v>45929</c:v>
                </c:pt>
                <c:pt idx="92">
                  <c:v>45936</c:v>
                </c:pt>
                <c:pt idx="93">
                  <c:v>45943</c:v>
                </c:pt>
                <c:pt idx="94">
                  <c:v>45950</c:v>
                </c:pt>
                <c:pt idx="95">
                  <c:v>45957</c:v>
                </c:pt>
                <c:pt idx="96">
                  <c:v>45964</c:v>
                </c:pt>
                <c:pt idx="97">
                  <c:v>45971</c:v>
                </c:pt>
                <c:pt idx="98">
                  <c:v>45978</c:v>
                </c:pt>
                <c:pt idx="99">
                  <c:v>45985</c:v>
                </c:pt>
                <c:pt idx="100">
                  <c:v>45992</c:v>
                </c:pt>
                <c:pt idx="101">
                  <c:v>45999</c:v>
                </c:pt>
                <c:pt idx="102">
                  <c:v>46006</c:v>
                </c:pt>
                <c:pt idx="103">
                  <c:v>46013</c:v>
                </c:pt>
                <c:pt idx="104">
                  <c:v>46020</c:v>
                </c:pt>
                <c:pt idx="105">
                  <c:v>46027</c:v>
                </c:pt>
                <c:pt idx="106">
                  <c:v>46034</c:v>
                </c:pt>
                <c:pt idx="107">
                  <c:v>46041</c:v>
                </c:pt>
                <c:pt idx="108">
                  <c:v>46048</c:v>
                </c:pt>
                <c:pt idx="109">
                  <c:v>46055</c:v>
                </c:pt>
                <c:pt idx="110">
                  <c:v>46062</c:v>
                </c:pt>
                <c:pt idx="111">
                  <c:v>46069</c:v>
                </c:pt>
                <c:pt idx="112">
                  <c:v>46076</c:v>
                </c:pt>
                <c:pt idx="113">
                  <c:v>46083</c:v>
                </c:pt>
                <c:pt idx="114">
                  <c:v>46090</c:v>
                </c:pt>
                <c:pt idx="115">
                  <c:v>46097</c:v>
                </c:pt>
                <c:pt idx="116">
                  <c:v>46104</c:v>
                </c:pt>
                <c:pt idx="117">
                  <c:v>46111</c:v>
                </c:pt>
                <c:pt idx="118">
                  <c:v>46118</c:v>
                </c:pt>
              </c:numCache>
            </c:numRef>
          </c:cat>
          <c:val>
            <c:numRef>
              <c:f>Forecast!$C$2:$C$120</c:f>
              <c:numCache>
                <c:formatCode>General</c:formatCode>
                <c:ptCount val="119"/>
                <c:pt idx="105">
                  <c:v>205.346</c:v>
                </c:pt>
                <c:pt idx="106">
                  <c:v>216.03</c:v>
                </c:pt>
                <c:pt idx="107">
                  <c:v>218.71250000000001</c:v>
                </c:pt>
                <c:pt idx="108">
                  <c:v>225.63800000000001</c:v>
                </c:pt>
                <c:pt idx="109">
                  <c:v>235.22</c:v>
                </c:pt>
                <c:pt idx="110">
                  <c:v>241.17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D4B-4400-B5D2-E1DE96277FBC}"/>
            </c:ext>
          </c:extLst>
        </c:ser>
        <c:ser>
          <c:idx val="2"/>
          <c:order val="2"/>
          <c:tx>
            <c:strRef>
              <c:f>Forecast!$D$1</c:f>
              <c:strCache>
                <c:ptCount val="1"/>
                <c:pt idx="0">
                  <c:v>XL Forecast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Pt>
            <c:idx val="117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BD4B-4400-B5D2-E1DE96277FBC}"/>
              </c:ext>
            </c:extLst>
          </c:dPt>
          <c:cat>
            <c:numRef>
              <c:f>Forecast!$A$2:$A$120</c:f>
              <c:numCache>
                <c:formatCode>m/d/yyyy</c:formatCode>
                <c:ptCount val="119"/>
                <c:pt idx="0">
                  <c:v>45292</c:v>
                </c:pt>
                <c:pt idx="1">
                  <c:v>45299</c:v>
                </c:pt>
                <c:pt idx="2">
                  <c:v>45306</c:v>
                </c:pt>
                <c:pt idx="3">
                  <c:v>45313</c:v>
                </c:pt>
                <c:pt idx="4">
                  <c:v>45320</c:v>
                </c:pt>
                <c:pt idx="5">
                  <c:v>45327</c:v>
                </c:pt>
                <c:pt idx="6">
                  <c:v>45334</c:v>
                </c:pt>
                <c:pt idx="7">
                  <c:v>45341</c:v>
                </c:pt>
                <c:pt idx="8">
                  <c:v>45348</c:v>
                </c:pt>
                <c:pt idx="9">
                  <c:v>45355</c:v>
                </c:pt>
                <c:pt idx="10">
                  <c:v>45362</c:v>
                </c:pt>
                <c:pt idx="11">
                  <c:v>45369</c:v>
                </c:pt>
                <c:pt idx="12">
                  <c:v>45376</c:v>
                </c:pt>
                <c:pt idx="13">
                  <c:v>45383</c:v>
                </c:pt>
                <c:pt idx="14">
                  <c:v>45390</c:v>
                </c:pt>
                <c:pt idx="15">
                  <c:v>45397</c:v>
                </c:pt>
                <c:pt idx="16">
                  <c:v>45404</c:v>
                </c:pt>
                <c:pt idx="17">
                  <c:v>45411</c:v>
                </c:pt>
                <c:pt idx="18">
                  <c:v>45418</c:v>
                </c:pt>
                <c:pt idx="19">
                  <c:v>45425</c:v>
                </c:pt>
                <c:pt idx="20">
                  <c:v>45432</c:v>
                </c:pt>
                <c:pt idx="21">
                  <c:v>45439</c:v>
                </c:pt>
                <c:pt idx="22">
                  <c:v>45446</c:v>
                </c:pt>
                <c:pt idx="23">
                  <c:v>45453</c:v>
                </c:pt>
                <c:pt idx="24">
                  <c:v>45460</c:v>
                </c:pt>
                <c:pt idx="25">
                  <c:v>45467</c:v>
                </c:pt>
                <c:pt idx="26">
                  <c:v>45474</c:v>
                </c:pt>
                <c:pt idx="27">
                  <c:v>45481</c:v>
                </c:pt>
                <c:pt idx="28">
                  <c:v>45488</c:v>
                </c:pt>
                <c:pt idx="29">
                  <c:v>45495</c:v>
                </c:pt>
                <c:pt idx="30">
                  <c:v>45502</c:v>
                </c:pt>
                <c:pt idx="31">
                  <c:v>45509</c:v>
                </c:pt>
                <c:pt idx="32">
                  <c:v>45516</c:v>
                </c:pt>
                <c:pt idx="33">
                  <c:v>45523</c:v>
                </c:pt>
                <c:pt idx="34">
                  <c:v>45530</c:v>
                </c:pt>
                <c:pt idx="35">
                  <c:v>45537</c:v>
                </c:pt>
                <c:pt idx="36">
                  <c:v>45544</c:v>
                </c:pt>
                <c:pt idx="37">
                  <c:v>45551</c:v>
                </c:pt>
                <c:pt idx="38">
                  <c:v>45558</c:v>
                </c:pt>
                <c:pt idx="39">
                  <c:v>45565</c:v>
                </c:pt>
                <c:pt idx="40">
                  <c:v>45572</c:v>
                </c:pt>
                <c:pt idx="41">
                  <c:v>45579</c:v>
                </c:pt>
                <c:pt idx="42">
                  <c:v>45586</c:v>
                </c:pt>
                <c:pt idx="43">
                  <c:v>45593</c:v>
                </c:pt>
                <c:pt idx="44">
                  <c:v>45600</c:v>
                </c:pt>
                <c:pt idx="45">
                  <c:v>45607</c:v>
                </c:pt>
                <c:pt idx="46">
                  <c:v>45614</c:v>
                </c:pt>
                <c:pt idx="47">
                  <c:v>45621</c:v>
                </c:pt>
                <c:pt idx="48">
                  <c:v>45628</c:v>
                </c:pt>
                <c:pt idx="49">
                  <c:v>45635</c:v>
                </c:pt>
                <c:pt idx="50">
                  <c:v>45642</c:v>
                </c:pt>
                <c:pt idx="51">
                  <c:v>45649</c:v>
                </c:pt>
                <c:pt idx="52">
                  <c:v>45656</c:v>
                </c:pt>
                <c:pt idx="53">
                  <c:v>45663</c:v>
                </c:pt>
                <c:pt idx="54">
                  <c:v>45670</c:v>
                </c:pt>
                <c:pt idx="55">
                  <c:v>45677</c:v>
                </c:pt>
                <c:pt idx="56">
                  <c:v>45684</c:v>
                </c:pt>
                <c:pt idx="57">
                  <c:v>45691</c:v>
                </c:pt>
                <c:pt idx="58">
                  <c:v>45698</c:v>
                </c:pt>
                <c:pt idx="59">
                  <c:v>45705</c:v>
                </c:pt>
                <c:pt idx="60">
                  <c:v>45712</c:v>
                </c:pt>
                <c:pt idx="61">
                  <c:v>45719</c:v>
                </c:pt>
                <c:pt idx="62">
                  <c:v>45726</c:v>
                </c:pt>
                <c:pt idx="63">
                  <c:v>45733</c:v>
                </c:pt>
                <c:pt idx="64">
                  <c:v>45740</c:v>
                </c:pt>
                <c:pt idx="65">
                  <c:v>45747</c:v>
                </c:pt>
                <c:pt idx="66">
                  <c:v>45754</c:v>
                </c:pt>
                <c:pt idx="67">
                  <c:v>45761</c:v>
                </c:pt>
                <c:pt idx="68">
                  <c:v>45768</c:v>
                </c:pt>
                <c:pt idx="69">
                  <c:v>45775</c:v>
                </c:pt>
                <c:pt idx="70">
                  <c:v>45782</c:v>
                </c:pt>
                <c:pt idx="71">
                  <c:v>45789</c:v>
                </c:pt>
                <c:pt idx="72">
                  <c:v>45796</c:v>
                </c:pt>
                <c:pt idx="73">
                  <c:v>45803</c:v>
                </c:pt>
                <c:pt idx="74">
                  <c:v>45810</c:v>
                </c:pt>
                <c:pt idx="75">
                  <c:v>45817</c:v>
                </c:pt>
                <c:pt idx="76">
                  <c:v>45824</c:v>
                </c:pt>
                <c:pt idx="77">
                  <c:v>45831</c:v>
                </c:pt>
                <c:pt idx="78">
                  <c:v>45838</c:v>
                </c:pt>
                <c:pt idx="79">
                  <c:v>45845</c:v>
                </c:pt>
                <c:pt idx="80">
                  <c:v>45852</c:v>
                </c:pt>
                <c:pt idx="81">
                  <c:v>45859</c:v>
                </c:pt>
                <c:pt idx="82">
                  <c:v>45866</c:v>
                </c:pt>
                <c:pt idx="83">
                  <c:v>45873</c:v>
                </c:pt>
                <c:pt idx="84">
                  <c:v>45880</c:v>
                </c:pt>
                <c:pt idx="85">
                  <c:v>45887</c:v>
                </c:pt>
                <c:pt idx="86">
                  <c:v>45894</c:v>
                </c:pt>
                <c:pt idx="87">
                  <c:v>45901</c:v>
                </c:pt>
                <c:pt idx="88">
                  <c:v>45908</c:v>
                </c:pt>
                <c:pt idx="89">
                  <c:v>45915</c:v>
                </c:pt>
                <c:pt idx="90">
                  <c:v>45922</c:v>
                </c:pt>
                <c:pt idx="91">
                  <c:v>45929</c:v>
                </c:pt>
                <c:pt idx="92">
                  <c:v>45936</c:v>
                </c:pt>
                <c:pt idx="93">
                  <c:v>45943</c:v>
                </c:pt>
                <c:pt idx="94">
                  <c:v>45950</c:v>
                </c:pt>
                <c:pt idx="95">
                  <c:v>45957</c:v>
                </c:pt>
                <c:pt idx="96">
                  <c:v>45964</c:v>
                </c:pt>
                <c:pt idx="97">
                  <c:v>45971</c:v>
                </c:pt>
                <c:pt idx="98">
                  <c:v>45978</c:v>
                </c:pt>
                <c:pt idx="99">
                  <c:v>45985</c:v>
                </c:pt>
                <c:pt idx="100">
                  <c:v>45992</c:v>
                </c:pt>
                <c:pt idx="101">
                  <c:v>45999</c:v>
                </c:pt>
                <c:pt idx="102">
                  <c:v>46006</c:v>
                </c:pt>
                <c:pt idx="103">
                  <c:v>46013</c:v>
                </c:pt>
                <c:pt idx="104">
                  <c:v>46020</c:v>
                </c:pt>
                <c:pt idx="105">
                  <c:v>46027</c:v>
                </c:pt>
                <c:pt idx="106">
                  <c:v>46034</c:v>
                </c:pt>
                <c:pt idx="107">
                  <c:v>46041</c:v>
                </c:pt>
                <c:pt idx="108">
                  <c:v>46048</c:v>
                </c:pt>
                <c:pt idx="109">
                  <c:v>46055</c:v>
                </c:pt>
                <c:pt idx="110">
                  <c:v>46062</c:v>
                </c:pt>
                <c:pt idx="111">
                  <c:v>46069</c:v>
                </c:pt>
                <c:pt idx="112">
                  <c:v>46076</c:v>
                </c:pt>
                <c:pt idx="113">
                  <c:v>46083</c:v>
                </c:pt>
                <c:pt idx="114">
                  <c:v>46090</c:v>
                </c:pt>
                <c:pt idx="115">
                  <c:v>46097</c:v>
                </c:pt>
                <c:pt idx="116">
                  <c:v>46104</c:v>
                </c:pt>
                <c:pt idx="117">
                  <c:v>46111</c:v>
                </c:pt>
                <c:pt idx="118">
                  <c:v>46118</c:v>
                </c:pt>
              </c:numCache>
            </c:numRef>
          </c:cat>
          <c:val>
            <c:numRef>
              <c:f>Forecast!$D$2:$D$120</c:f>
              <c:numCache>
                <c:formatCode>General</c:formatCode>
                <c:ptCount val="119"/>
                <c:pt idx="105">
                  <c:v>207.54126685672819</c:v>
                </c:pt>
                <c:pt idx="106">
                  <c:v>207.90792497066039</c:v>
                </c:pt>
                <c:pt idx="107">
                  <c:v>208.29523556319467</c:v>
                </c:pt>
                <c:pt idx="108">
                  <c:v>208.70203273659749</c:v>
                </c:pt>
                <c:pt idx="109">
                  <c:v>209.12761555037855</c:v>
                </c:pt>
                <c:pt idx="110">
                  <c:v>216.27092359965314</c:v>
                </c:pt>
                <c:pt idx="111">
                  <c:v>217.78346945612378</c:v>
                </c:pt>
                <c:pt idx="112">
                  <c:v>219.29593038872713</c:v>
                </c:pt>
                <c:pt idx="113">
                  <c:v>220.80841031341083</c:v>
                </c:pt>
                <c:pt idx="114">
                  <c:v>222.32104640413323</c:v>
                </c:pt>
                <c:pt idx="115">
                  <c:v>223.83355204829257</c:v>
                </c:pt>
                <c:pt idx="116">
                  <c:v>225.34644836306347</c:v>
                </c:pt>
                <c:pt idx="117">
                  <c:v>226.85898348246138</c:v>
                </c:pt>
                <c:pt idx="118">
                  <c:v>228.3717918566681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D4B-4400-B5D2-E1DE96277FBC}"/>
            </c:ext>
          </c:extLst>
        </c:ser>
        <c:ser>
          <c:idx val="3"/>
          <c:order val="3"/>
          <c:tx>
            <c:strRef>
              <c:f>Forecast!$E$1</c:f>
              <c:strCache>
                <c:ptCount val="1"/>
                <c:pt idx="0">
                  <c:v>Calc Forecast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Forecast!$A$2:$A$120</c:f>
              <c:numCache>
                <c:formatCode>m/d/yyyy</c:formatCode>
                <c:ptCount val="119"/>
                <c:pt idx="0">
                  <c:v>45292</c:v>
                </c:pt>
                <c:pt idx="1">
                  <c:v>45299</c:v>
                </c:pt>
                <c:pt idx="2">
                  <c:v>45306</c:v>
                </c:pt>
                <c:pt idx="3">
                  <c:v>45313</c:v>
                </c:pt>
                <c:pt idx="4">
                  <c:v>45320</c:v>
                </c:pt>
                <c:pt idx="5">
                  <c:v>45327</c:v>
                </c:pt>
                <c:pt idx="6">
                  <c:v>45334</c:v>
                </c:pt>
                <c:pt idx="7">
                  <c:v>45341</c:v>
                </c:pt>
                <c:pt idx="8">
                  <c:v>45348</c:v>
                </c:pt>
                <c:pt idx="9">
                  <c:v>45355</c:v>
                </c:pt>
                <c:pt idx="10">
                  <c:v>45362</c:v>
                </c:pt>
                <c:pt idx="11">
                  <c:v>45369</c:v>
                </c:pt>
                <c:pt idx="12">
                  <c:v>45376</c:v>
                </c:pt>
                <c:pt idx="13">
                  <c:v>45383</c:v>
                </c:pt>
                <c:pt idx="14">
                  <c:v>45390</c:v>
                </c:pt>
                <c:pt idx="15">
                  <c:v>45397</c:v>
                </c:pt>
                <c:pt idx="16">
                  <c:v>45404</c:v>
                </c:pt>
                <c:pt idx="17">
                  <c:v>45411</c:v>
                </c:pt>
                <c:pt idx="18">
                  <c:v>45418</c:v>
                </c:pt>
                <c:pt idx="19">
                  <c:v>45425</c:v>
                </c:pt>
                <c:pt idx="20">
                  <c:v>45432</c:v>
                </c:pt>
                <c:pt idx="21">
                  <c:v>45439</c:v>
                </c:pt>
                <c:pt idx="22">
                  <c:v>45446</c:v>
                </c:pt>
                <c:pt idx="23">
                  <c:v>45453</c:v>
                </c:pt>
                <c:pt idx="24">
                  <c:v>45460</c:v>
                </c:pt>
                <c:pt idx="25">
                  <c:v>45467</c:v>
                </c:pt>
                <c:pt idx="26">
                  <c:v>45474</c:v>
                </c:pt>
                <c:pt idx="27">
                  <c:v>45481</c:v>
                </c:pt>
                <c:pt idx="28">
                  <c:v>45488</c:v>
                </c:pt>
                <c:pt idx="29">
                  <c:v>45495</c:v>
                </c:pt>
                <c:pt idx="30">
                  <c:v>45502</c:v>
                </c:pt>
                <c:pt idx="31">
                  <c:v>45509</c:v>
                </c:pt>
                <c:pt idx="32">
                  <c:v>45516</c:v>
                </c:pt>
                <c:pt idx="33">
                  <c:v>45523</c:v>
                </c:pt>
                <c:pt idx="34">
                  <c:v>45530</c:v>
                </c:pt>
                <c:pt idx="35">
                  <c:v>45537</c:v>
                </c:pt>
                <c:pt idx="36">
                  <c:v>45544</c:v>
                </c:pt>
                <c:pt idx="37">
                  <c:v>45551</c:v>
                </c:pt>
                <c:pt idx="38">
                  <c:v>45558</c:v>
                </c:pt>
                <c:pt idx="39">
                  <c:v>45565</c:v>
                </c:pt>
                <c:pt idx="40">
                  <c:v>45572</c:v>
                </c:pt>
                <c:pt idx="41">
                  <c:v>45579</c:v>
                </c:pt>
                <c:pt idx="42">
                  <c:v>45586</c:v>
                </c:pt>
                <c:pt idx="43">
                  <c:v>45593</c:v>
                </c:pt>
                <c:pt idx="44">
                  <c:v>45600</c:v>
                </c:pt>
                <c:pt idx="45">
                  <c:v>45607</c:v>
                </c:pt>
                <c:pt idx="46">
                  <c:v>45614</c:v>
                </c:pt>
                <c:pt idx="47">
                  <c:v>45621</c:v>
                </c:pt>
                <c:pt idx="48">
                  <c:v>45628</c:v>
                </c:pt>
                <c:pt idx="49">
                  <c:v>45635</c:v>
                </c:pt>
                <c:pt idx="50">
                  <c:v>45642</c:v>
                </c:pt>
                <c:pt idx="51">
                  <c:v>45649</c:v>
                </c:pt>
                <c:pt idx="52">
                  <c:v>45656</c:v>
                </c:pt>
                <c:pt idx="53">
                  <c:v>45663</c:v>
                </c:pt>
                <c:pt idx="54">
                  <c:v>45670</c:v>
                </c:pt>
                <c:pt idx="55">
                  <c:v>45677</c:v>
                </c:pt>
                <c:pt idx="56">
                  <c:v>45684</c:v>
                </c:pt>
                <c:pt idx="57">
                  <c:v>45691</c:v>
                </c:pt>
                <c:pt idx="58">
                  <c:v>45698</c:v>
                </c:pt>
                <c:pt idx="59">
                  <c:v>45705</c:v>
                </c:pt>
                <c:pt idx="60">
                  <c:v>45712</c:v>
                </c:pt>
                <c:pt idx="61">
                  <c:v>45719</c:v>
                </c:pt>
                <c:pt idx="62">
                  <c:v>45726</c:v>
                </c:pt>
                <c:pt idx="63">
                  <c:v>45733</c:v>
                </c:pt>
                <c:pt idx="64">
                  <c:v>45740</c:v>
                </c:pt>
                <c:pt idx="65">
                  <c:v>45747</c:v>
                </c:pt>
                <c:pt idx="66">
                  <c:v>45754</c:v>
                </c:pt>
                <c:pt idx="67">
                  <c:v>45761</c:v>
                </c:pt>
                <c:pt idx="68">
                  <c:v>45768</c:v>
                </c:pt>
                <c:pt idx="69">
                  <c:v>45775</c:v>
                </c:pt>
                <c:pt idx="70">
                  <c:v>45782</c:v>
                </c:pt>
                <c:pt idx="71">
                  <c:v>45789</c:v>
                </c:pt>
                <c:pt idx="72">
                  <c:v>45796</c:v>
                </c:pt>
                <c:pt idx="73">
                  <c:v>45803</c:v>
                </c:pt>
                <c:pt idx="74">
                  <c:v>45810</c:v>
                </c:pt>
                <c:pt idx="75">
                  <c:v>45817</c:v>
                </c:pt>
                <c:pt idx="76">
                  <c:v>45824</c:v>
                </c:pt>
                <c:pt idx="77">
                  <c:v>45831</c:v>
                </c:pt>
                <c:pt idx="78">
                  <c:v>45838</c:v>
                </c:pt>
                <c:pt idx="79">
                  <c:v>45845</c:v>
                </c:pt>
                <c:pt idx="80">
                  <c:v>45852</c:v>
                </c:pt>
                <c:pt idx="81">
                  <c:v>45859</c:v>
                </c:pt>
                <c:pt idx="82">
                  <c:v>45866</c:v>
                </c:pt>
                <c:pt idx="83">
                  <c:v>45873</c:v>
                </c:pt>
                <c:pt idx="84">
                  <c:v>45880</c:v>
                </c:pt>
                <c:pt idx="85">
                  <c:v>45887</c:v>
                </c:pt>
                <c:pt idx="86">
                  <c:v>45894</c:v>
                </c:pt>
                <c:pt idx="87">
                  <c:v>45901</c:v>
                </c:pt>
                <c:pt idx="88">
                  <c:v>45908</c:v>
                </c:pt>
                <c:pt idx="89">
                  <c:v>45915</c:v>
                </c:pt>
                <c:pt idx="90">
                  <c:v>45922</c:v>
                </c:pt>
                <c:pt idx="91">
                  <c:v>45929</c:v>
                </c:pt>
                <c:pt idx="92">
                  <c:v>45936</c:v>
                </c:pt>
                <c:pt idx="93">
                  <c:v>45943</c:v>
                </c:pt>
                <c:pt idx="94">
                  <c:v>45950</c:v>
                </c:pt>
                <c:pt idx="95">
                  <c:v>45957</c:v>
                </c:pt>
                <c:pt idx="96">
                  <c:v>45964</c:v>
                </c:pt>
                <c:pt idx="97">
                  <c:v>45971</c:v>
                </c:pt>
                <c:pt idx="98">
                  <c:v>45978</c:v>
                </c:pt>
                <c:pt idx="99">
                  <c:v>45985</c:v>
                </c:pt>
                <c:pt idx="100">
                  <c:v>45992</c:v>
                </c:pt>
                <c:pt idx="101">
                  <c:v>45999</c:v>
                </c:pt>
                <c:pt idx="102">
                  <c:v>46006</c:v>
                </c:pt>
                <c:pt idx="103">
                  <c:v>46013</c:v>
                </c:pt>
                <c:pt idx="104">
                  <c:v>46020</c:v>
                </c:pt>
                <c:pt idx="105">
                  <c:v>46027</c:v>
                </c:pt>
                <c:pt idx="106">
                  <c:v>46034</c:v>
                </c:pt>
                <c:pt idx="107">
                  <c:v>46041</c:v>
                </c:pt>
                <c:pt idx="108">
                  <c:v>46048</c:v>
                </c:pt>
                <c:pt idx="109">
                  <c:v>46055</c:v>
                </c:pt>
                <c:pt idx="110">
                  <c:v>46062</c:v>
                </c:pt>
                <c:pt idx="111">
                  <c:v>46069</c:v>
                </c:pt>
                <c:pt idx="112">
                  <c:v>46076</c:v>
                </c:pt>
                <c:pt idx="113">
                  <c:v>46083</c:v>
                </c:pt>
                <c:pt idx="114">
                  <c:v>46090</c:v>
                </c:pt>
                <c:pt idx="115">
                  <c:v>46097</c:v>
                </c:pt>
                <c:pt idx="116">
                  <c:v>46104</c:v>
                </c:pt>
                <c:pt idx="117">
                  <c:v>46111</c:v>
                </c:pt>
                <c:pt idx="118">
                  <c:v>46118</c:v>
                </c:pt>
              </c:numCache>
            </c:numRef>
          </c:cat>
          <c:val>
            <c:numRef>
              <c:f>Forecast!$E$2:$E$120</c:f>
              <c:numCache>
                <c:formatCode>General</c:formatCode>
                <c:ptCount val="119"/>
                <c:pt idx="105">
                  <c:v>209.13519612130199</c:v>
                </c:pt>
                <c:pt idx="106">
                  <c:v>207.62079139830001</c:v>
                </c:pt>
                <c:pt idx="107">
                  <c:v>206.983361229699</c:v>
                </c:pt>
                <c:pt idx="108">
                  <c:v>206.10245859115901</c:v>
                </c:pt>
                <c:pt idx="109">
                  <c:v>208.412927244787</c:v>
                </c:pt>
                <c:pt idx="110">
                  <c:v>210.27115681074</c:v>
                </c:pt>
                <c:pt idx="111">
                  <c:v>209.60050972867501</c:v>
                </c:pt>
                <c:pt idx="112">
                  <c:v>209.56279361684801</c:v>
                </c:pt>
                <c:pt idx="113">
                  <c:v>205.22510187355201</c:v>
                </c:pt>
                <c:pt idx="114">
                  <c:v>205.209722245151</c:v>
                </c:pt>
                <c:pt idx="115">
                  <c:v>203.75569319264301</c:v>
                </c:pt>
                <c:pt idx="116">
                  <c:v>198.735574549163</c:v>
                </c:pt>
                <c:pt idx="117">
                  <c:v>194.18439835422399</c:v>
                </c:pt>
                <c:pt idx="118">
                  <c:v>197.05752306043101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D4B-4400-B5D2-E1DE96277FBC}"/>
            </c:ext>
          </c:extLst>
        </c:ser>
        <c:ser>
          <c:idx val="4"/>
          <c:order val="4"/>
          <c:tx>
            <c:strRef>
              <c:f>Forecast!$F$1</c:f>
              <c:strCache>
                <c:ptCount val="1"/>
                <c:pt idx="0">
                  <c:v>GS Simple ML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Forecast!$A$2:$A$120</c:f>
              <c:numCache>
                <c:formatCode>m/d/yyyy</c:formatCode>
                <c:ptCount val="119"/>
                <c:pt idx="0">
                  <c:v>45292</c:v>
                </c:pt>
                <c:pt idx="1">
                  <c:v>45299</c:v>
                </c:pt>
                <c:pt idx="2">
                  <c:v>45306</c:v>
                </c:pt>
                <c:pt idx="3">
                  <c:v>45313</c:v>
                </c:pt>
                <c:pt idx="4">
                  <c:v>45320</c:v>
                </c:pt>
                <c:pt idx="5">
                  <c:v>45327</c:v>
                </c:pt>
                <c:pt idx="6">
                  <c:v>45334</c:v>
                </c:pt>
                <c:pt idx="7">
                  <c:v>45341</c:v>
                </c:pt>
                <c:pt idx="8">
                  <c:v>45348</c:v>
                </c:pt>
                <c:pt idx="9">
                  <c:v>45355</c:v>
                </c:pt>
                <c:pt idx="10">
                  <c:v>45362</c:v>
                </c:pt>
                <c:pt idx="11">
                  <c:v>45369</c:v>
                </c:pt>
                <c:pt idx="12">
                  <c:v>45376</c:v>
                </c:pt>
                <c:pt idx="13">
                  <c:v>45383</c:v>
                </c:pt>
                <c:pt idx="14">
                  <c:v>45390</c:v>
                </c:pt>
                <c:pt idx="15">
                  <c:v>45397</c:v>
                </c:pt>
                <c:pt idx="16">
                  <c:v>45404</c:v>
                </c:pt>
                <c:pt idx="17">
                  <c:v>45411</c:v>
                </c:pt>
                <c:pt idx="18">
                  <c:v>45418</c:v>
                </c:pt>
                <c:pt idx="19">
                  <c:v>45425</c:v>
                </c:pt>
                <c:pt idx="20">
                  <c:v>45432</c:v>
                </c:pt>
                <c:pt idx="21">
                  <c:v>45439</c:v>
                </c:pt>
                <c:pt idx="22">
                  <c:v>45446</c:v>
                </c:pt>
                <c:pt idx="23">
                  <c:v>45453</c:v>
                </c:pt>
                <c:pt idx="24">
                  <c:v>45460</c:v>
                </c:pt>
                <c:pt idx="25">
                  <c:v>45467</c:v>
                </c:pt>
                <c:pt idx="26">
                  <c:v>45474</c:v>
                </c:pt>
                <c:pt idx="27">
                  <c:v>45481</c:v>
                </c:pt>
                <c:pt idx="28">
                  <c:v>45488</c:v>
                </c:pt>
                <c:pt idx="29">
                  <c:v>45495</c:v>
                </c:pt>
                <c:pt idx="30">
                  <c:v>45502</c:v>
                </c:pt>
                <c:pt idx="31">
                  <c:v>45509</c:v>
                </c:pt>
                <c:pt idx="32">
                  <c:v>45516</c:v>
                </c:pt>
                <c:pt idx="33">
                  <c:v>45523</c:v>
                </c:pt>
                <c:pt idx="34">
                  <c:v>45530</c:v>
                </c:pt>
                <c:pt idx="35">
                  <c:v>45537</c:v>
                </c:pt>
                <c:pt idx="36">
                  <c:v>45544</c:v>
                </c:pt>
                <c:pt idx="37">
                  <c:v>45551</c:v>
                </c:pt>
                <c:pt idx="38">
                  <c:v>45558</c:v>
                </c:pt>
                <c:pt idx="39">
                  <c:v>45565</c:v>
                </c:pt>
                <c:pt idx="40">
                  <c:v>45572</c:v>
                </c:pt>
                <c:pt idx="41">
                  <c:v>45579</c:v>
                </c:pt>
                <c:pt idx="42">
                  <c:v>45586</c:v>
                </c:pt>
                <c:pt idx="43">
                  <c:v>45593</c:v>
                </c:pt>
                <c:pt idx="44">
                  <c:v>45600</c:v>
                </c:pt>
                <c:pt idx="45">
                  <c:v>45607</c:v>
                </c:pt>
                <c:pt idx="46">
                  <c:v>45614</c:v>
                </c:pt>
                <c:pt idx="47">
                  <c:v>45621</c:v>
                </c:pt>
                <c:pt idx="48">
                  <c:v>45628</c:v>
                </c:pt>
                <c:pt idx="49">
                  <c:v>45635</c:v>
                </c:pt>
                <c:pt idx="50">
                  <c:v>45642</c:v>
                </c:pt>
                <c:pt idx="51">
                  <c:v>45649</c:v>
                </c:pt>
                <c:pt idx="52">
                  <c:v>45656</c:v>
                </c:pt>
                <c:pt idx="53">
                  <c:v>45663</c:v>
                </c:pt>
                <c:pt idx="54">
                  <c:v>45670</c:v>
                </c:pt>
                <c:pt idx="55">
                  <c:v>45677</c:v>
                </c:pt>
                <c:pt idx="56">
                  <c:v>45684</c:v>
                </c:pt>
                <c:pt idx="57">
                  <c:v>45691</c:v>
                </c:pt>
                <c:pt idx="58">
                  <c:v>45698</c:v>
                </c:pt>
                <c:pt idx="59">
                  <c:v>45705</c:v>
                </c:pt>
                <c:pt idx="60">
                  <c:v>45712</c:v>
                </c:pt>
                <c:pt idx="61">
                  <c:v>45719</c:v>
                </c:pt>
                <c:pt idx="62">
                  <c:v>45726</c:v>
                </c:pt>
                <c:pt idx="63">
                  <c:v>45733</c:v>
                </c:pt>
                <c:pt idx="64">
                  <c:v>45740</c:v>
                </c:pt>
                <c:pt idx="65">
                  <c:v>45747</c:v>
                </c:pt>
                <c:pt idx="66">
                  <c:v>45754</c:v>
                </c:pt>
                <c:pt idx="67">
                  <c:v>45761</c:v>
                </c:pt>
                <c:pt idx="68">
                  <c:v>45768</c:v>
                </c:pt>
                <c:pt idx="69">
                  <c:v>45775</c:v>
                </c:pt>
                <c:pt idx="70">
                  <c:v>45782</c:v>
                </c:pt>
                <c:pt idx="71">
                  <c:v>45789</c:v>
                </c:pt>
                <c:pt idx="72">
                  <c:v>45796</c:v>
                </c:pt>
                <c:pt idx="73">
                  <c:v>45803</c:v>
                </c:pt>
                <c:pt idx="74">
                  <c:v>45810</c:v>
                </c:pt>
                <c:pt idx="75">
                  <c:v>45817</c:v>
                </c:pt>
                <c:pt idx="76">
                  <c:v>45824</c:v>
                </c:pt>
                <c:pt idx="77">
                  <c:v>45831</c:v>
                </c:pt>
                <c:pt idx="78">
                  <c:v>45838</c:v>
                </c:pt>
                <c:pt idx="79">
                  <c:v>45845</c:v>
                </c:pt>
                <c:pt idx="80">
                  <c:v>45852</c:v>
                </c:pt>
                <c:pt idx="81">
                  <c:v>45859</c:v>
                </c:pt>
                <c:pt idx="82">
                  <c:v>45866</c:v>
                </c:pt>
                <c:pt idx="83">
                  <c:v>45873</c:v>
                </c:pt>
                <c:pt idx="84">
                  <c:v>45880</c:v>
                </c:pt>
                <c:pt idx="85">
                  <c:v>45887</c:v>
                </c:pt>
                <c:pt idx="86">
                  <c:v>45894</c:v>
                </c:pt>
                <c:pt idx="87">
                  <c:v>45901</c:v>
                </c:pt>
                <c:pt idx="88">
                  <c:v>45908</c:v>
                </c:pt>
                <c:pt idx="89">
                  <c:v>45915</c:v>
                </c:pt>
                <c:pt idx="90">
                  <c:v>45922</c:v>
                </c:pt>
                <c:pt idx="91">
                  <c:v>45929</c:v>
                </c:pt>
                <c:pt idx="92">
                  <c:v>45936</c:v>
                </c:pt>
                <c:pt idx="93">
                  <c:v>45943</c:v>
                </c:pt>
                <c:pt idx="94">
                  <c:v>45950</c:v>
                </c:pt>
                <c:pt idx="95">
                  <c:v>45957</c:v>
                </c:pt>
                <c:pt idx="96">
                  <c:v>45964</c:v>
                </c:pt>
                <c:pt idx="97">
                  <c:v>45971</c:v>
                </c:pt>
                <c:pt idx="98">
                  <c:v>45978</c:v>
                </c:pt>
                <c:pt idx="99">
                  <c:v>45985</c:v>
                </c:pt>
                <c:pt idx="100">
                  <c:v>45992</c:v>
                </c:pt>
                <c:pt idx="101">
                  <c:v>45999</c:v>
                </c:pt>
                <c:pt idx="102">
                  <c:v>46006</c:v>
                </c:pt>
                <c:pt idx="103">
                  <c:v>46013</c:v>
                </c:pt>
                <c:pt idx="104">
                  <c:v>46020</c:v>
                </c:pt>
                <c:pt idx="105">
                  <c:v>46027</c:v>
                </c:pt>
                <c:pt idx="106">
                  <c:v>46034</c:v>
                </c:pt>
                <c:pt idx="107">
                  <c:v>46041</c:v>
                </c:pt>
                <c:pt idx="108">
                  <c:v>46048</c:v>
                </c:pt>
                <c:pt idx="109">
                  <c:v>46055</c:v>
                </c:pt>
                <c:pt idx="110">
                  <c:v>46062</c:v>
                </c:pt>
                <c:pt idx="111">
                  <c:v>46069</c:v>
                </c:pt>
                <c:pt idx="112">
                  <c:v>46076</c:v>
                </c:pt>
                <c:pt idx="113">
                  <c:v>46083</c:v>
                </c:pt>
                <c:pt idx="114">
                  <c:v>46090</c:v>
                </c:pt>
                <c:pt idx="115">
                  <c:v>46097</c:v>
                </c:pt>
                <c:pt idx="116">
                  <c:v>46104</c:v>
                </c:pt>
                <c:pt idx="117">
                  <c:v>46111</c:v>
                </c:pt>
                <c:pt idx="118">
                  <c:v>46118</c:v>
                </c:pt>
              </c:numCache>
            </c:numRef>
          </c:cat>
          <c:val>
            <c:numRef>
              <c:f>Forecast!$F$2:$F$120</c:f>
              <c:numCache>
                <c:formatCode>General</c:formatCode>
                <c:ptCount val="119"/>
                <c:pt idx="105">
                  <c:v>214.25338199999999</c:v>
                </c:pt>
                <c:pt idx="106">
                  <c:v>214.724277</c:v>
                </c:pt>
                <c:pt idx="107">
                  <c:v>215.19017199999999</c:v>
                </c:pt>
                <c:pt idx="108">
                  <c:v>215.65784600000001</c:v>
                </c:pt>
                <c:pt idx="109">
                  <c:v>216.125079</c:v>
                </c:pt>
                <c:pt idx="110">
                  <c:v>216.59241599999999</c:v>
                </c:pt>
                <c:pt idx="111">
                  <c:v>219.00757899999999</c:v>
                </c:pt>
                <c:pt idx="112">
                  <c:v>217.52704600000001</c:v>
                </c:pt>
                <c:pt idx="113">
                  <c:v>223.553192</c:v>
                </c:pt>
                <c:pt idx="114">
                  <c:v>225.76502300000001</c:v>
                </c:pt>
                <c:pt idx="115">
                  <c:v>223.66619600000001</c:v>
                </c:pt>
                <c:pt idx="116">
                  <c:v>219.39631399999999</c:v>
                </c:pt>
                <c:pt idx="117">
                  <c:v>221.82826</c:v>
                </c:pt>
                <c:pt idx="118">
                  <c:v>220.33094800000001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D4B-4400-B5D2-E1DE96277F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78987951"/>
        <c:axId val="1778989871"/>
      </c:lineChart>
      <c:dateAx>
        <c:axId val="1778987951"/>
        <c:scaling>
          <c:orientation val="minMax"/>
          <c:min val="45809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989871"/>
        <c:crosses val="autoZero"/>
        <c:auto val="1"/>
        <c:lblOffset val="100"/>
        <c:baseTimeUnit val="days"/>
      </c:dateAx>
      <c:valAx>
        <c:axId val="1778989871"/>
        <c:scaling>
          <c:orientation val="minMax"/>
          <c:max val="250"/>
          <c:min val="1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987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Rolling!$B$1</c:f>
              <c:strCache>
                <c:ptCount val="1"/>
                <c:pt idx="0">
                  <c:v>Average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Rolling!$A$2:$A$120</c:f>
              <c:numCache>
                <c:formatCode>yyyy\-mm\-dd;@</c:formatCode>
                <c:ptCount val="119"/>
                <c:pt idx="0">
                  <c:v>45292</c:v>
                </c:pt>
                <c:pt idx="1">
                  <c:v>45299</c:v>
                </c:pt>
                <c:pt idx="2">
                  <c:v>45306</c:v>
                </c:pt>
                <c:pt idx="3">
                  <c:v>45313</c:v>
                </c:pt>
                <c:pt idx="4">
                  <c:v>45320</c:v>
                </c:pt>
                <c:pt idx="5">
                  <c:v>45327</c:v>
                </c:pt>
                <c:pt idx="6">
                  <c:v>45334</c:v>
                </c:pt>
                <c:pt idx="7">
                  <c:v>45341</c:v>
                </c:pt>
                <c:pt idx="8">
                  <c:v>45348</c:v>
                </c:pt>
                <c:pt idx="9">
                  <c:v>45355</c:v>
                </c:pt>
                <c:pt idx="10">
                  <c:v>45362</c:v>
                </c:pt>
                <c:pt idx="11">
                  <c:v>45369</c:v>
                </c:pt>
                <c:pt idx="12">
                  <c:v>45376</c:v>
                </c:pt>
                <c:pt idx="13">
                  <c:v>45383</c:v>
                </c:pt>
                <c:pt idx="14">
                  <c:v>45390</c:v>
                </c:pt>
                <c:pt idx="15">
                  <c:v>45397</c:v>
                </c:pt>
                <c:pt idx="16">
                  <c:v>45404</c:v>
                </c:pt>
                <c:pt idx="17">
                  <c:v>45411</c:v>
                </c:pt>
                <c:pt idx="18">
                  <c:v>45418</c:v>
                </c:pt>
                <c:pt idx="19">
                  <c:v>45425</c:v>
                </c:pt>
                <c:pt idx="20">
                  <c:v>45432</c:v>
                </c:pt>
                <c:pt idx="21">
                  <c:v>45439</c:v>
                </c:pt>
                <c:pt idx="22">
                  <c:v>45446</c:v>
                </c:pt>
                <c:pt idx="23">
                  <c:v>45453</c:v>
                </c:pt>
                <c:pt idx="24">
                  <c:v>45460</c:v>
                </c:pt>
                <c:pt idx="25">
                  <c:v>45467</c:v>
                </c:pt>
                <c:pt idx="26">
                  <c:v>45474</c:v>
                </c:pt>
                <c:pt idx="27">
                  <c:v>45481</c:v>
                </c:pt>
                <c:pt idx="28">
                  <c:v>45488</c:v>
                </c:pt>
                <c:pt idx="29">
                  <c:v>45495</c:v>
                </c:pt>
                <c:pt idx="30">
                  <c:v>45502</c:v>
                </c:pt>
                <c:pt idx="31">
                  <c:v>45509</c:v>
                </c:pt>
                <c:pt idx="32">
                  <c:v>45516</c:v>
                </c:pt>
                <c:pt idx="33">
                  <c:v>45523</c:v>
                </c:pt>
                <c:pt idx="34">
                  <c:v>45530</c:v>
                </c:pt>
                <c:pt idx="35">
                  <c:v>45537</c:v>
                </c:pt>
                <c:pt idx="36">
                  <c:v>45544</c:v>
                </c:pt>
                <c:pt idx="37">
                  <c:v>45551</c:v>
                </c:pt>
                <c:pt idx="38">
                  <c:v>45558</c:v>
                </c:pt>
                <c:pt idx="39">
                  <c:v>45565</c:v>
                </c:pt>
                <c:pt idx="40">
                  <c:v>45572</c:v>
                </c:pt>
                <c:pt idx="41">
                  <c:v>45579</c:v>
                </c:pt>
                <c:pt idx="42">
                  <c:v>45586</c:v>
                </c:pt>
                <c:pt idx="43">
                  <c:v>45593</c:v>
                </c:pt>
                <c:pt idx="44">
                  <c:v>45600</c:v>
                </c:pt>
                <c:pt idx="45">
                  <c:v>45607</c:v>
                </c:pt>
                <c:pt idx="46">
                  <c:v>45614</c:v>
                </c:pt>
                <c:pt idx="47">
                  <c:v>45621</c:v>
                </c:pt>
                <c:pt idx="48">
                  <c:v>45628</c:v>
                </c:pt>
                <c:pt idx="49">
                  <c:v>45635</c:v>
                </c:pt>
                <c:pt idx="50">
                  <c:v>45642</c:v>
                </c:pt>
                <c:pt idx="51">
                  <c:v>45649</c:v>
                </c:pt>
                <c:pt idx="52">
                  <c:v>45656</c:v>
                </c:pt>
                <c:pt idx="53">
                  <c:v>45663</c:v>
                </c:pt>
                <c:pt idx="54">
                  <c:v>45670</c:v>
                </c:pt>
                <c:pt idx="55">
                  <c:v>45677</c:v>
                </c:pt>
                <c:pt idx="56">
                  <c:v>45684</c:v>
                </c:pt>
                <c:pt idx="57">
                  <c:v>45691</c:v>
                </c:pt>
                <c:pt idx="58">
                  <c:v>45698</c:v>
                </c:pt>
                <c:pt idx="59">
                  <c:v>45705</c:v>
                </c:pt>
                <c:pt idx="60">
                  <c:v>45712</c:v>
                </c:pt>
                <c:pt idx="61">
                  <c:v>45719</c:v>
                </c:pt>
                <c:pt idx="62">
                  <c:v>45726</c:v>
                </c:pt>
                <c:pt idx="63">
                  <c:v>45733</c:v>
                </c:pt>
                <c:pt idx="64">
                  <c:v>45740</c:v>
                </c:pt>
                <c:pt idx="65">
                  <c:v>45747</c:v>
                </c:pt>
                <c:pt idx="66">
                  <c:v>45754</c:v>
                </c:pt>
                <c:pt idx="67">
                  <c:v>45761</c:v>
                </c:pt>
                <c:pt idx="68">
                  <c:v>45768</c:v>
                </c:pt>
                <c:pt idx="69">
                  <c:v>45775</c:v>
                </c:pt>
                <c:pt idx="70">
                  <c:v>45782</c:v>
                </c:pt>
                <c:pt idx="71">
                  <c:v>45789</c:v>
                </c:pt>
                <c:pt idx="72">
                  <c:v>45796</c:v>
                </c:pt>
                <c:pt idx="73">
                  <c:v>45803</c:v>
                </c:pt>
                <c:pt idx="74">
                  <c:v>45810</c:v>
                </c:pt>
                <c:pt idx="75">
                  <c:v>45817</c:v>
                </c:pt>
                <c:pt idx="76">
                  <c:v>45824</c:v>
                </c:pt>
                <c:pt idx="77">
                  <c:v>45831</c:v>
                </c:pt>
                <c:pt idx="78">
                  <c:v>45838</c:v>
                </c:pt>
                <c:pt idx="79">
                  <c:v>45845</c:v>
                </c:pt>
                <c:pt idx="80">
                  <c:v>45852</c:v>
                </c:pt>
                <c:pt idx="81">
                  <c:v>45859</c:v>
                </c:pt>
                <c:pt idx="82">
                  <c:v>45866</c:v>
                </c:pt>
                <c:pt idx="83">
                  <c:v>45873</c:v>
                </c:pt>
                <c:pt idx="84">
                  <c:v>45880</c:v>
                </c:pt>
                <c:pt idx="85">
                  <c:v>45887</c:v>
                </c:pt>
                <c:pt idx="86">
                  <c:v>45894</c:v>
                </c:pt>
                <c:pt idx="87">
                  <c:v>45901</c:v>
                </c:pt>
                <c:pt idx="88">
                  <c:v>45908</c:v>
                </c:pt>
                <c:pt idx="89">
                  <c:v>45915</c:v>
                </c:pt>
                <c:pt idx="90">
                  <c:v>45922</c:v>
                </c:pt>
                <c:pt idx="91">
                  <c:v>45929</c:v>
                </c:pt>
                <c:pt idx="92">
                  <c:v>45936</c:v>
                </c:pt>
                <c:pt idx="93">
                  <c:v>45943</c:v>
                </c:pt>
                <c:pt idx="94">
                  <c:v>45950</c:v>
                </c:pt>
                <c:pt idx="95">
                  <c:v>45957</c:v>
                </c:pt>
                <c:pt idx="96">
                  <c:v>45964</c:v>
                </c:pt>
                <c:pt idx="97">
                  <c:v>45971</c:v>
                </c:pt>
                <c:pt idx="98">
                  <c:v>45978</c:v>
                </c:pt>
                <c:pt idx="99">
                  <c:v>45985</c:v>
                </c:pt>
                <c:pt idx="100">
                  <c:v>45992</c:v>
                </c:pt>
                <c:pt idx="101">
                  <c:v>45999</c:v>
                </c:pt>
                <c:pt idx="102">
                  <c:v>46006</c:v>
                </c:pt>
                <c:pt idx="103">
                  <c:v>46013</c:v>
                </c:pt>
                <c:pt idx="104">
                  <c:v>46020</c:v>
                </c:pt>
                <c:pt idx="105">
                  <c:v>46027</c:v>
                </c:pt>
                <c:pt idx="106">
                  <c:v>46034</c:v>
                </c:pt>
                <c:pt idx="107">
                  <c:v>46041</c:v>
                </c:pt>
                <c:pt idx="108">
                  <c:v>46048</c:v>
                </c:pt>
                <c:pt idx="109">
                  <c:v>46055</c:v>
                </c:pt>
                <c:pt idx="110">
                  <c:v>46062</c:v>
                </c:pt>
                <c:pt idx="111">
                  <c:v>46069</c:v>
                </c:pt>
                <c:pt idx="112">
                  <c:v>46076</c:v>
                </c:pt>
                <c:pt idx="113">
                  <c:v>46083</c:v>
                </c:pt>
                <c:pt idx="114">
                  <c:v>46090</c:v>
                </c:pt>
                <c:pt idx="115">
                  <c:v>46097</c:v>
                </c:pt>
                <c:pt idx="116">
                  <c:v>46104</c:v>
                </c:pt>
                <c:pt idx="117">
                  <c:v>46111</c:v>
                </c:pt>
                <c:pt idx="118">
                  <c:v>46118</c:v>
                </c:pt>
              </c:numCache>
            </c:numRef>
          </c:cat>
          <c:val>
            <c:numRef>
              <c:f>Rolling!$B$2:$B$120</c:f>
              <c:numCache>
                <c:formatCode>General</c:formatCode>
                <c:ptCount val="119"/>
                <c:pt idx="0">
                  <c:v>160.67500000000001</c:v>
                </c:pt>
                <c:pt idx="1">
                  <c:v>161.714</c:v>
                </c:pt>
                <c:pt idx="2">
                  <c:v>160.96</c:v>
                </c:pt>
                <c:pt idx="3">
                  <c:v>160.06</c:v>
                </c:pt>
                <c:pt idx="4">
                  <c:v>158.4</c:v>
                </c:pt>
                <c:pt idx="5">
                  <c:v>157</c:v>
                </c:pt>
                <c:pt idx="6">
                  <c:v>156.90600000000001</c:v>
                </c:pt>
                <c:pt idx="7">
                  <c:v>159.70750000000001</c:v>
                </c:pt>
                <c:pt idx="8">
                  <c:v>161.364</c:v>
                </c:pt>
                <c:pt idx="9">
                  <c:v>159.50800000000001</c:v>
                </c:pt>
                <c:pt idx="10">
                  <c:v>160.49199999999999</c:v>
                </c:pt>
                <c:pt idx="11">
                  <c:v>155.94200000000001</c:v>
                </c:pt>
                <c:pt idx="12">
                  <c:v>156.785</c:v>
                </c:pt>
                <c:pt idx="13">
                  <c:v>154.93199999999999</c:v>
                </c:pt>
                <c:pt idx="14">
                  <c:v>150.078</c:v>
                </c:pt>
                <c:pt idx="15">
                  <c:v>146.09200000000001</c:v>
                </c:pt>
                <c:pt idx="16">
                  <c:v>148.03399999999999</c:v>
                </c:pt>
                <c:pt idx="17">
                  <c:v>148.35599999999999</c:v>
                </c:pt>
                <c:pt idx="18">
                  <c:v>149.202</c:v>
                </c:pt>
                <c:pt idx="19">
                  <c:v>152.83799999999999</c:v>
                </c:pt>
                <c:pt idx="20">
                  <c:v>150.536</c:v>
                </c:pt>
                <c:pt idx="21">
                  <c:v>145.1925</c:v>
                </c:pt>
                <c:pt idx="22">
                  <c:v>147.00200000000001</c:v>
                </c:pt>
                <c:pt idx="23">
                  <c:v>146.05799999999999</c:v>
                </c:pt>
                <c:pt idx="24">
                  <c:v>147.0325</c:v>
                </c:pt>
                <c:pt idx="25">
                  <c:v>147.018</c:v>
                </c:pt>
                <c:pt idx="26">
                  <c:v>146.16</c:v>
                </c:pt>
                <c:pt idx="27">
                  <c:v>148.30799999999999</c:v>
                </c:pt>
                <c:pt idx="28">
                  <c:v>153.38800000000001</c:v>
                </c:pt>
                <c:pt idx="29">
                  <c:v>156.63</c:v>
                </c:pt>
                <c:pt idx="30">
                  <c:v>160.52799999999999</c:v>
                </c:pt>
                <c:pt idx="31">
                  <c:v>159.99199999999999</c:v>
                </c:pt>
                <c:pt idx="32">
                  <c:v>159.04599999999999</c:v>
                </c:pt>
                <c:pt idx="33">
                  <c:v>161.54</c:v>
                </c:pt>
                <c:pt idx="34">
                  <c:v>164.31399999999999</c:v>
                </c:pt>
                <c:pt idx="35">
                  <c:v>165.9725</c:v>
                </c:pt>
                <c:pt idx="36">
                  <c:v>165.79400000000001</c:v>
                </c:pt>
                <c:pt idx="37">
                  <c:v>165.83799999999999</c:v>
                </c:pt>
                <c:pt idx="38">
                  <c:v>161.87799999999999</c:v>
                </c:pt>
                <c:pt idx="39">
                  <c:v>161.202</c:v>
                </c:pt>
                <c:pt idx="40">
                  <c:v>160.36799999999999</c:v>
                </c:pt>
                <c:pt idx="41">
                  <c:v>163.91399999999999</c:v>
                </c:pt>
                <c:pt idx="42">
                  <c:v>163.33799999999999</c:v>
                </c:pt>
                <c:pt idx="43">
                  <c:v>160.458</c:v>
                </c:pt>
                <c:pt idx="44">
                  <c:v>157.334</c:v>
                </c:pt>
                <c:pt idx="45">
                  <c:v>153.358</c:v>
                </c:pt>
                <c:pt idx="46">
                  <c:v>154.31</c:v>
                </c:pt>
                <c:pt idx="47">
                  <c:v>155.17750000000001</c:v>
                </c:pt>
                <c:pt idx="48">
                  <c:v>151.292</c:v>
                </c:pt>
                <c:pt idx="49">
                  <c:v>147.666</c:v>
                </c:pt>
                <c:pt idx="50">
                  <c:v>144.61199999999999</c:v>
                </c:pt>
                <c:pt idx="51">
                  <c:v>145.4375</c:v>
                </c:pt>
                <c:pt idx="52">
                  <c:v>144.04250000000002</c:v>
                </c:pt>
                <c:pt idx="53">
                  <c:v>143.55500000000001</c:v>
                </c:pt>
                <c:pt idx="54">
                  <c:v>145.798</c:v>
                </c:pt>
                <c:pt idx="55">
                  <c:v>146.72</c:v>
                </c:pt>
                <c:pt idx="56">
                  <c:v>151.88800000000001</c:v>
                </c:pt>
                <c:pt idx="57">
                  <c:v>153.33600000000001</c:v>
                </c:pt>
                <c:pt idx="58">
                  <c:v>155.80600000000001</c:v>
                </c:pt>
                <c:pt idx="59">
                  <c:v>158.715</c:v>
                </c:pt>
                <c:pt idx="60">
                  <c:v>164.33199999999999</c:v>
                </c:pt>
                <c:pt idx="61">
                  <c:v>166.06800000000001</c:v>
                </c:pt>
                <c:pt idx="62">
                  <c:v>164.44200000000001</c:v>
                </c:pt>
                <c:pt idx="63">
                  <c:v>163.346</c:v>
                </c:pt>
                <c:pt idx="64">
                  <c:v>162.57400000000001</c:v>
                </c:pt>
                <c:pt idx="65">
                  <c:v>157.50200000000001</c:v>
                </c:pt>
                <c:pt idx="66">
                  <c:v>150.40199999999999</c:v>
                </c:pt>
                <c:pt idx="67">
                  <c:v>154.84</c:v>
                </c:pt>
                <c:pt idx="68">
                  <c:v>155.91200000000001</c:v>
                </c:pt>
                <c:pt idx="69">
                  <c:v>155.63</c:v>
                </c:pt>
                <c:pt idx="70">
                  <c:v>155.33000000000001</c:v>
                </c:pt>
                <c:pt idx="71">
                  <c:v>149.976</c:v>
                </c:pt>
                <c:pt idx="72">
                  <c:v>152.976</c:v>
                </c:pt>
                <c:pt idx="73">
                  <c:v>153.61750000000001</c:v>
                </c:pt>
                <c:pt idx="74">
                  <c:v>154.346</c:v>
                </c:pt>
                <c:pt idx="75">
                  <c:v>156.13999999999999</c:v>
                </c:pt>
                <c:pt idx="76">
                  <c:v>152.03</c:v>
                </c:pt>
                <c:pt idx="77">
                  <c:v>152.042</c:v>
                </c:pt>
                <c:pt idx="78">
                  <c:v>155.06</c:v>
                </c:pt>
                <c:pt idx="79">
                  <c:v>156.386</c:v>
                </c:pt>
                <c:pt idx="80">
                  <c:v>160.69</c:v>
                </c:pt>
                <c:pt idx="81">
                  <c:v>167.85</c:v>
                </c:pt>
                <c:pt idx="82">
                  <c:v>166.732</c:v>
                </c:pt>
                <c:pt idx="83">
                  <c:v>171.446</c:v>
                </c:pt>
                <c:pt idx="84">
                  <c:v>174.476</c:v>
                </c:pt>
                <c:pt idx="85">
                  <c:v>178.22200000000001</c:v>
                </c:pt>
                <c:pt idx="86">
                  <c:v>176.86199999999999</c:v>
                </c:pt>
                <c:pt idx="87">
                  <c:v>178.3125</c:v>
                </c:pt>
                <c:pt idx="88">
                  <c:v>177.488</c:v>
                </c:pt>
                <c:pt idx="89">
                  <c:v>176.28200000000001</c:v>
                </c:pt>
                <c:pt idx="90">
                  <c:v>176.98400000000001</c:v>
                </c:pt>
                <c:pt idx="91">
                  <c:v>185.542</c:v>
                </c:pt>
                <c:pt idx="92">
                  <c:v>189.708</c:v>
                </c:pt>
                <c:pt idx="93">
                  <c:v>191.65199999999999</c:v>
                </c:pt>
                <c:pt idx="94">
                  <c:v>192.28200000000001</c:v>
                </c:pt>
                <c:pt idx="95">
                  <c:v>188.35</c:v>
                </c:pt>
                <c:pt idx="96">
                  <c:v>186.53200000000001</c:v>
                </c:pt>
                <c:pt idx="97">
                  <c:v>193.56200000000001</c:v>
                </c:pt>
                <c:pt idx="98">
                  <c:v>201.81200000000001</c:v>
                </c:pt>
                <c:pt idx="99">
                  <c:v>206.8</c:v>
                </c:pt>
                <c:pt idx="100">
                  <c:v>204.1</c:v>
                </c:pt>
                <c:pt idx="101">
                  <c:v>205.94200000000001</c:v>
                </c:pt>
                <c:pt idx="102">
                  <c:v>209.696</c:v>
                </c:pt>
                <c:pt idx="103">
                  <c:v>207.1275</c:v>
                </c:pt>
                <c:pt idx="104">
                  <c:v>207.1925</c:v>
                </c:pt>
                <c:pt idx="105">
                  <c:v>205.346</c:v>
                </c:pt>
                <c:pt idx="106">
                  <c:v>216.03</c:v>
                </c:pt>
                <c:pt idx="107">
                  <c:v>218.71250000000001</c:v>
                </c:pt>
                <c:pt idx="108">
                  <c:v>225.63800000000001</c:v>
                </c:pt>
                <c:pt idx="109">
                  <c:v>235.22</c:v>
                </c:pt>
                <c:pt idx="110">
                  <c:v>241.17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78-4442-86AE-5A993E8A0761}"/>
            </c:ext>
          </c:extLst>
        </c:ser>
        <c:ser>
          <c:idx val="1"/>
          <c:order val="1"/>
          <c:tx>
            <c:strRef>
              <c:f>Rolling!$C$1</c:f>
              <c:strCache>
                <c:ptCount val="1"/>
                <c:pt idx="0">
                  <c:v>Forecast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Rolling!$A$2:$A$120</c:f>
              <c:numCache>
                <c:formatCode>yyyy\-mm\-dd;@</c:formatCode>
                <c:ptCount val="119"/>
                <c:pt idx="0">
                  <c:v>45292</c:v>
                </c:pt>
                <c:pt idx="1">
                  <c:v>45299</c:v>
                </c:pt>
                <c:pt idx="2">
                  <c:v>45306</c:v>
                </c:pt>
                <c:pt idx="3">
                  <c:v>45313</c:v>
                </c:pt>
                <c:pt idx="4">
                  <c:v>45320</c:v>
                </c:pt>
                <c:pt idx="5">
                  <c:v>45327</c:v>
                </c:pt>
                <c:pt idx="6">
                  <c:v>45334</c:v>
                </c:pt>
                <c:pt idx="7">
                  <c:v>45341</c:v>
                </c:pt>
                <c:pt idx="8">
                  <c:v>45348</c:v>
                </c:pt>
                <c:pt idx="9">
                  <c:v>45355</c:v>
                </c:pt>
                <c:pt idx="10">
                  <c:v>45362</c:v>
                </c:pt>
                <c:pt idx="11">
                  <c:v>45369</c:v>
                </c:pt>
                <c:pt idx="12">
                  <c:v>45376</c:v>
                </c:pt>
                <c:pt idx="13">
                  <c:v>45383</c:v>
                </c:pt>
                <c:pt idx="14">
                  <c:v>45390</c:v>
                </c:pt>
                <c:pt idx="15">
                  <c:v>45397</c:v>
                </c:pt>
                <c:pt idx="16">
                  <c:v>45404</c:v>
                </c:pt>
                <c:pt idx="17">
                  <c:v>45411</c:v>
                </c:pt>
                <c:pt idx="18">
                  <c:v>45418</c:v>
                </c:pt>
                <c:pt idx="19">
                  <c:v>45425</c:v>
                </c:pt>
                <c:pt idx="20">
                  <c:v>45432</c:v>
                </c:pt>
                <c:pt idx="21">
                  <c:v>45439</c:v>
                </c:pt>
                <c:pt idx="22">
                  <c:v>45446</c:v>
                </c:pt>
                <c:pt idx="23">
                  <c:v>45453</c:v>
                </c:pt>
                <c:pt idx="24">
                  <c:v>45460</c:v>
                </c:pt>
                <c:pt idx="25">
                  <c:v>45467</c:v>
                </c:pt>
                <c:pt idx="26">
                  <c:v>45474</c:v>
                </c:pt>
                <c:pt idx="27">
                  <c:v>45481</c:v>
                </c:pt>
                <c:pt idx="28">
                  <c:v>45488</c:v>
                </c:pt>
                <c:pt idx="29">
                  <c:v>45495</c:v>
                </c:pt>
                <c:pt idx="30">
                  <c:v>45502</c:v>
                </c:pt>
                <c:pt idx="31">
                  <c:v>45509</c:v>
                </c:pt>
                <c:pt idx="32">
                  <c:v>45516</c:v>
                </c:pt>
                <c:pt idx="33">
                  <c:v>45523</c:v>
                </c:pt>
                <c:pt idx="34">
                  <c:v>45530</c:v>
                </c:pt>
                <c:pt idx="35">
                  <c:v>45537</c:v>
                </c:pt>
                <c:pt idx="36">
                  <c:v>45544</c:v>
                </c:pt>
                <c:pt idx="37">
                  <c:v>45551</c:v>
                </c:pt>
                <c:pt idx="38">
                  <c:v>45558</c:v>
                </c:pt>
                <c:pt idx="39">
                  <c:v>45565</c:v>
                </c:pt>
                <c:pt idx="40">
                  <c:v>45572</c:v>
                </c:pt>
                <c:pt idx="41">
                  <c:v>45579</c:v>
                </c:pt>
                <c:pt idx="42">
                  <c:v>45586</c:v>
                </c:pt>
                <c:pt idx="43">
                  <c:v>45593</c:v>
                </c:pt>
                <c:pt idx="44">
                  <c:v>45600</c:v>
                </c:pt>
                <c:pt idx="45">
                  <c:v>45607</c:v>
                </c:pt>
                <c:pt idx="46">
                  <c:v>45614</c:v>
                </c:pt>
                <c:pt idx="47">
                  <c:v>45621</c:v>
                </c:pt>
                <c:pt idx="48">
                  <c:v>45628</c:v>
                </c:pt>
                <c:pt idx="49">
                  <c:v>45635</c:v>
                </c:pt>
                <c:pt idx="50">
                  <c:v>45642</c:v>
                </c:pt>
                <c:pt idx="51">
                  <c:v>45649</c:v>
                </c:pt>
                <c:pt idx="52">
                  <c:v>45656</c:v>
                </c:pt>
                <c:pt idx="53">
                  <c:v>45663</c:v>
                </c:pt>
                <c:pt idx="54">
                  <c:v>45670</c:v>
                </c:pt>
                <c:pt idx="55">
                  <c:v>45677</c:v>
                </c:pt>
                <c:pt idx="56">
                  <c:v>45684</c:v>
                </c:pt>
                <c:pt idx="57">
                  <c:v>45691</c:v>
                </c:pt>
                <c:pt idx="58">
                  <c:v>45698</c:v>
                </c:pt>
                <c:pt idx="59">
                  <c:v>45705</c:v>
                </c:pt>
                <c:pt idx="60">
                  <c:v>45712</c:v>
                </c:pt>
                <c:pt idx="61">
                  <c:v>45719</c:v>
                </c:pt>
                <c:pt idx="62">
                  <c:v>45726</c:v>
                </c:pt>
                <c:pt idx="63">
                  <c:v>45733</c:v>
                </c:pt>
                <c:pt idx="64">
                  <c:v>45740</c:v>
                </c:pt>
                <c:pt idx="65">
                  <c:v>45747</c:v>
                </c:pt>
                <c:pt idx="66">
                  <c:v>45754</c:v>
                </c:pt>
                <c:pt idx="67">
                  <c:v>45761</c:v>
                </c:pt>
                <c:pt idx="68">
                  <c:v>45768</c:v>
                </c:pt>
                <c:pt idx="69">
                  <c:v>45775</c:v>
                </c:pt>
                <c:pt idx="70">
                  <c:v>45782</c:v>
                </c:pt>
                <c:pt idx="71">
                  <c:v>45789</c:v>
                </c:pt>
                <c:pt idx="72">
                  <c:v>45796</c:v>
                </c:pt>
                <c:pt idx="73">
                  <c:v>45803</c:v>
                </c:pt>
                <c:pt idx="74">
                  <c:v>45810</c:v>
                </c:pt>
                <c:pt idx="75">
                  <c:v>45817</c:v>
                </c:pt>
                <c:pt idx="76">
                  <c:v>45824</c:v>
                </c:pt>
                <c:pt idx="77">
                  <c:v>45831</c:v>
                </c:pt>
                <c:pt idx="78">
                  <c:v>45838</c:v>
                </c:pt>
                <c:pt idx="79">
                  <c:v>45845</c:v>
                </c:pt>
                <c:pt idx="80">
                  <c:v>45852</c:v>
                </c:pt>
                <c:pt idx="81">
                  <c:v>45859</c:v>
                </c:pt>
                <c:pt idx="82">
                  <c:v>45866</c:v>
                </c:pt>
                <c:pt idx="83">
                  <c:v>45873</c:v>
                </c:pt>
                <c:pt idx="84">
                  <c:v>45880</c:v>
                </c:pt>
                <c:pt idx="85">
                  <c:v>45887</c:v>
                </c:pt>
                <c:pt idx="86">
                  <c:v>45894</c:v>
                </c:pt>
                <c:pt idx="87">
                  <c:v>45901</c:v>
                </c:pt>
                <c:pt idx="88">
                  <c:v>45908</c:v>
                </c:pt>
                <c:pt idx="89">
                  <c:v>45915</c:v>
                </c:pt>
                <c:pt idx="90">
                  <c:v>45922</c:v>
                </c:pt>
                <c:pt idx="91">
                  <c:v>45929</c:v>
                </c:pt>
                <c:pt idx="92">
                  <c:v>45936</c:v>
                </c:pt>
                <c:pt idx="93">
                  <c:v>45943</c:v>
                </c:pt>
                <c:pt idx="94">
                  <c:v>45950</c:v>
                </c:pt>
                <c:pt idx="95">
                  <c:v>45957</c:v>
                </c:pt>
                <c:pt idx="96">
                  <c:v>45964</c:v>
                </c:pt>
                <c:pt idx="97">
                  <c:v>45971</c:v>
                </c:pt>
                <c:pt idx="98">
                  <c:v>45978</c:v>
                </c:pt>
                <c:pt idx="99">
                  <c:v>45985</c:v>
                </c:pt>
                <c:pt idx="100">
                  <c:v>45992</c:v>
                </c:pt>
                <c:pt idx="101">
                  <c:v>45999</c:v>
                </c:pt>
                <c:pt idx="102">
                  <c:v>46006</c:v>
                </c:pt>
                <c:pt idx="103">
                  <c:v>46013</c:v>
                </c:pt>
                <c:pt idx="104">
                  <c:v>46020</c:v>
                </c:pt>
                <c:pt idx="105">
                  <c:v>46027</c:v>
                </c:pt>
                <c:pt idx="106">
                  <c:v>46034</c:v>
                </c:pt>
                <c:pt idx="107">
                  <c:v>46041</c:v>
                </c:pt>
                <c:pt idx="108">
                  <c:v>46048</c:v>
                </c:pt>
                <c:pt idx="109">
                  <c:v>46055</c:v>
                </c:pt>
                <c:pt idx="110">
                  <c:v>46062</c:v>
                </c:pt>
                <c:pt idx="111">
                  <c:v>46069</c:v>
                </c:pt>
                <c:pt idx="112">
                  <c:v>46076</c:v>
                </c:pt>
                <c:pt idx="113">
                  <c:v>46083</c:v>
                </c:pt>
                <c:pt idx="114">
                  <c:v>46090</c:v>
                </c:pt>
                <c:pt idx="115">
                  <c:v>46097</c:v>
                </c:pt>
                <c:pt idx="116">
                  <c:v>46104</c:v>
                </c:pt>
                <c:pt idx="117">
                  <c:v>46111</c:v>
                </c:pt>
                <c:pt idx="118">
                  <c:v>46118</c:v>
                </c:pt>
              </c:numCache>
            </c:numRef>
          </c:cat>
          <c:val>
            <c:numRef>
              <c:f>Rolling!$C$2:$C$120</c:f>
              <c:numCache>
                <c:formatCode>General</c:formatCode>
                <c:ptCount val="119"/>
                <c:pt idx="111">
                  <c:v>241.63446464987715</c:v>
                </c:pt>
                <c:pt idx="112">
                  <c:v>242.11903768455693</c:v>
                </c:pt>
                <c:pt idx="113">
                  <c:v>242.62627329719211</c:v>
                </c:pt>
                <c:pt idx="114">
                  <c:v>243.15521476273494</c:v>
                </c:pt>
                <c:pt idx="115">
                  <c:v>243.70532928250944</c:v>
                </c:pt>
                <c:pt idx="116">
                  <c:v>244.27368345215001</c:v>
                </c:pt>
                <c:pt idx="117">
                  <c:v>244.85925736574745</c:v>
                </c:pt>
                <c:pt idx="118">
                  <c:v>245.46615111490453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A78-4442-86AE-5A993E8A0761}"/>
            </c:ext>
          </c:extLst>
        </c:ser>
        <c:ser>
          <c:idx val="2"/>
          <c:order val="2"/>
          <c:tx>
            <c:strRef>
              <c:f>Rolling!$E$1</c:f>
              <c:strCache>
                <c:ptCount val="1"/>
                <c:pt idx="0">
                  <c:v>Lower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Rolling!$A$2:$A$120</c:f>
              <c:numCache>
                <c:formatCode>yyyy\-mm\-dd;@</c:formatCode>
                <c:ptCount val="119"/>
                <c:pt idx="0">
                  <c:v>45292</c:v>
                </c:pt>
                <c:pt idx="1">
                  <c:v>45299</c:v>
                </c:pt>
                <c:pt idx="2">
                  <c:v>45306</c:v>
                </c:pt>
                <c:pt idx="3">
                  <c:v>45313</c:v>
                </c:pt>
                <c:pt idx="4">
                  <c:v>45320</c:v>
                </c:pt>
                <c:pt idx="5">
                  <c:v>45327</c:v>
                </c:pt>
                <c:pt idx="6">
                  <c:v>45334</c:v>
                </c:pt>
                <c:pt idx="7">
                  <c:v>45341</c:v>
                </c:pt>
                <c:pt idx="8">
                  <c:v>45348</c:v>
                </c:pt>
                <c:pt idx="9">
                  <c:v>45355</c:v>
                </c:pt>
                <c:pt idx="10">
                  <c:v>45362</c:v>
                </c:pt>
                <c:pt idx="11">
                  <c:v>45369</c:v>
                </c:pt>
                <c:pt idx="12">
                  <c:v>45376</c:v>
                </c:pt>
                <c:pt idx="13">
                  <c:v>45383</c:v>
                </c:pt>
                <c:pt idx="14">
                  <c:v>45390</c:v>
                </c:pt>
                <c:pt idx="15">
                  <c:v>45397</c:v>
                </c:pt>
                <c:pt idx="16">
                  <c:v>45404</c:v>
                </c:pt>
                <c:pt idx="17">
                  <c:v>45411</c:v>
                </c:pt>
                <c:pt idx="18">
                  <c:v>45418</c:v>
                </c:pt>
                <c:pt idx="19">
                  <c:v>45425</c:v>
                </c:pt>
                <c:pt idx="20">
                  <c:v>45432</c:v>
                </c:pt>
                <c:pt idx="21">
                  <c:v>45439</c:v>
                </c:pt>
                <c:pt idx="22">
                  <c:v>45446</c:v>
                </c:pt>
                <c:pt idx="23">
                  <c:v>45453</c:v>
                </c:pt>
                <c:pt idx="24">
                  <c:v>45460</c:v>
                </c:pt>
                <c:pt idx="25">
                  <c:v>45467</c:v>
                </c:pt>
                <c:pt idx="26">
                  <c:v>45474</c:v>
                </c:pt>
                <c:pt idx="27">
                  <c:v>45481</c:v>
                </c:pt>
                <c:pt idx="28">
                  <c:v>45488</c:v>
                </c:pt>
                <c:pt idx="29">
                  <c:v>45495</c:v>
                </c:pt>
                <c:pt idx="30">
                  <c:v>45502</c:v>
                </c:pt>
                <c:pt idx="31">
                  <c:v>45509</c:v>
                </c:pt>
                <c:pt idx="32">
                  <c:v>45516</c:v>
                </c:pt>
                <c:pt idx="33">
                  <c:v>45523</c:v>
                </c:pt>
                <c:pt idx="34">
                  <c:v>45530</c:v>
                </c:pt>
                <c:pt idx="35">
                  <c:v>45537</c:v>
                </c:pt>
                <c:pt idx="36">
                  <c:v>45544</c:v>
                </c:pt>
                <c:pt idx="37">
                  <c:v>45551</c:v>
                </c:pt>
                <c:pt idx="38">
                  <c:v>45558</c:v>
                </c:pt>
                <c:pt idx="39">
                  <c:v>45565</c:v>
                </c:pt>
                <c:pt idx="40">
                  <c:v>45572</c:v>
                </c:pt>
                <c:pt idx="41">
                  <c:v>45579</c:v>
                </c:pt>
                <c:pt idx="42">
                  <c:v>45586</c:v>
                </c:pt>
                <c:pt idx="43">
                  <c:v>45593</c:v>
                </c:pt>
                <c:pt idx="44">
                  <c:v>45600</c:v>
                </c:pt>
                <c:pt idx="45">
                  <c:v>45607</c:v>
                </c:pt>
                <c:pt idx="46">
                  <c:v>45614</c:v>
                </c:pt>
                <c:pt idx="47">
                  <c:v>45621</c:v>
                </c:pt>
                <c:pt idx="48">
                  <c:v>45628</c:v>
                </c:pt>
                <c:pt idx="49">
                  <c:v>45635</c:v>
                </c:pt>
                <c:pt idx="50">
                  <c:v>45642</c:v>
                </c:pt>
                <c:pt idx="51">
                  <c:v>45649</c:v>
                </c:pt>
                <c:pt idx="52">
                  <c:v>45656</c:v>
                </c:pt>
                <c:pt idx="53">
                  <c:v>45663</c:v>
                </c:pt>
                <c:pt idx="54">
                  <c:v>45670</c:v>
                </c:pt>
                <c:pt idx="55">
                  <c:v>45677</c:v>
                </c:pt>
                <c:pt idx="56">
                  <c:v>45684</c:v>
                </c:pt>
                <c:pt idx="57">
                  <c:v>45691</c:v>
                </c:pt>
                <c:pt idx="58">
                  <c:v>45698</c:v>
                </c:pt>
                <c:pt idx="59">
                  <c:v>45705</c:v>
                </c:pt>
                <c:pt idx="60">
                  <c:v>45712</c:v>
                </c:pt>
                <c:pt idx="61">
                  <c:v>45719</c:v>
                </c:pt>
                <c:pt idx="62">
                  <c:v>45726</c:v>
                </c:pt>
                <c:pt idx="63">
                  <c:v>45733</c:v>
                </c:pt>
                <c:pt idx="64">
                  <c:v>45740</c:v>
                </c:pt>
                <c:pt idx="65">
                  <c:v>45747</c:v>
                </c:pt>
                <c:pt idx="66">
                  <c:v>45754</c:v>
                </c:pt>
                <c:pt idx="67">
                  <c:v>45761</c:v>
                </c:pt>
                <c:pt idx="68">
                  <c:v>45768</c:v>
                </c:pt>
                <c:pt idx="69">
                  <c:v>45775</c:v>
                </c:pt>
                <c:pt idx="70">
                  <c:v>45782</c:v>
                </c:pt>
                <c:pt idx="71">
                  <c:v>45789</c:v>
                </c:pt>
                <c:pt idx="72">
                  <c:v>45796</c:v>
                </c:pt>
                <c:pt idx="73">
                  <c:v>45803</c:v>
                </c:pt>
                <c:pt idx="74">
                  <c:v>45810</c:v>
                </c:pt>
                <c:pt idx="75">
                  <c:v>45817</c:v>
                </c:pt>
                <c:pt idx="76">
                  <c:v>45824</c:v>
                </c:pt>
                <c:pt idx="77">
                  <c:v>45831</c:v>
                </c:pt>
                <c:pt idx="78">
                  <c:v>45838</c:v>
                </c:pt>
                <c:pt idx="79">
                  <c:v>45845</c:v>
                </c:pt>
                <c:pt idx="80">
                  <c:v>45852</c:v>
                </c:pt>
                <c:pt idx="81">
                  <c:v>45859</c:v>
                </c:pt>
                <c:pt idx="82">
                  <c:v>45866</c:v>
                </c:pt>
                <c:pt idx="83">
                  <c:v>45873</c:v>
                </c:pt>
                <c:pt idx="84">
                  <c:v>45880</c:v>
                </c:pt>
                <c:pt idx="85">
                  <c:v>45887</c:v>
                </c:pt>
                <c:pt idx="86">
                  <c:v>45894</c:v>
                </c:pt>
                <c:pt idx="87">
                  <c:v>45901</c:v>
                </c:pt>
                <c:pt idx="88">
                  <c:v>45908</c:v>
                </c:pt>
                <c:pt idx="89">
                  <c:v>45915</c:v>
                </c:pt>
                <c:pt idx="90">
                  <c:v>45922</c:v>
                </c:pt>
                <c:pt idx="91">
                  <c:v>45929</c:v>
                </c:pt>
                <c:pt idx="92">
                  <c:v>45936</c:v>
                </c:pt>
                <c:pt idx="93">
                  <c:v>45943</c:v>
                </c:pt>
                <c:pt idx="94">
                  <c:v>45950</c:v>
                </c:pt>
                <c:pt idx="95">
                  <c:v>45957</c:v>
                </c:pt>
                <c:pt idx="96">
                  <c:v>45964</c:v>
                </c:pt>
                <c:pt idx="97">
                  <c:v>45971</c:v>
                </c:pt>
                <c:pt idx="98">
                  <c:v>45978</c:v>
                </c:pt>
                <c:pt idx="99">
                  <c:v>45985</c:v>
                </c:pt>
                <c:pt idx="100">
                  <c:v>45992</c:v>
                </c:pt>
                <c:pt idx="101">
                  <c:v>45999</c:v>
                </c:pt>
                <c:pt idx="102">
                  <c:v>46006</c:v>
                </c:pt>
                <c:pt idx="103">
                  <c:v>46013</c:v>
                </c:pt>
                <c:pt idx="104">
                  <c:v>46020</c:v>
                </c:pt>
                <c:pt idx="105">
                  <c:v>46027</c:v>
                </c:pt>
                <c:pt idx="106">
                  <c:v>46034</c:v>
                </c:pt>
                <c:pt idx="107">
                  <c:v>46041</c:v>
                </c:pt>
                <c:pt idx="108">
                  <c:v>46048</c:v>
                </c:pt>
                <c:pt idx="109">
                  <c:v>46055</c:v>
                </c:pt>
                <c:pt idx="110">
                  <c:v>46062</c:v>
                </c:pt>
                <c:pt idx="111">
                  <c:v>46069</c:v>
                </c:pt>
                <c:pt idx="112">
                  <c:v>46076</c:v>
                </c:pt>
                <c:pt idx="113">
                  <c:v>46083</c:v>
                </c:pt>
                <c:pt idx="114">
                  <c:v>46090</c:v>
                </c:pt>
                <c:pt idx="115">
                  <c:v>46097</c:v>
                </c:pt>
                <c:pt idx="116">
                  <c:v>46104</c:v>
                </c:pt>
                <c:pt idx="117">
                  <c:v>46111</c:v>
                </c:pt>
                <c:pt idx="118">
                  <c:v>46118</c:v>
                </c:pt>
              </c:numCache>
            </c:numRef>
          </c:cat>
          <c:val>
            <c:numRef>
              <c:f>Rolling!$E$2:$E$120</c:f>
              <c:numCache>
                <c:formatCode>General</c:formatCode>
                <c:ptCount val="119"/>
                <c:pt idx="111">
                  <c:v>234.44346114515841</c:v>
                </c:pt>
                <c:pt idx="112">
                  <c:v>233.43557973854507</c:v>
                </c:pt>
                <c:pt idx="113">
                  <c:v>232.6496319921516</c:v>
                </c:pt>
                <c:pt idx="114">
                  <c:v>232.01967619881589</c:v>
                </c:pt>
                <c:pt idx="115">
                  <c:v>231.51500891078504</c:v>
                </c:pt>
                <c:pt idx="116">
                  <c:v>231.07807212693956</c:v>
                </c:pt>
                <c:pt idx="117">
                  <c:v>229.89550474812694</c:v>
                </c:pt>
                <c:pt idx="118">
                  <c:v>230.36641133350358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A78-4442-86AE-5A993E8A0761}"/>
            </c:ext>
          </c:extLst>
        </c:ser>
        <c:ser>
          <c:idx val="3"/>
          <c:order val="3"/>
          <c:tx>
            <c:strRef>
              <c:f>Rolling!$F$1</c:f>
              <c:strCache>
                <c:ptCount val="1"/>
                <c:pt idx="0">
                  <c:v>Upper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Rolling!$A$2:$A$120</c:f>
              <c:numCache>
                <c:formatCode>yyyy\-mm\-dd;@</c:formatCode>
                <c:ptCount val="119"/>
                <c:pt idx="0">
                  <c:v>45292</c:v>
                </c:pt>
                <c:pt idx="1">
                  <c:v>45299</c:v>
                </c:pt>
                <c:pt idx="2">
                  <c:v>45306</c:v>
                </c:pt>
                <c:pt idx="3">
                  <c:v>45313</c:v>
                </c:pt>
                <c:pt idx="4">
                  <c:v>45320</c:v>
                </c:pt>
                <c:pt idx="5">
                  <c:v>45327</c:v>
                </c:pt>
                <c:pt idx="6">
                  <c:v>45334</c:v>
                </c:pt>
                <c:pt idx="7">
                  <c:v>45341</c:v>
                </c:pt>
                <c:pt idx="8">
                  <c:v>45348</c:v>
                </c:pt>
                <c:pt idx="9">
                  <c:v>45355</c:v>
                </c:pt>
                <c:pt idx="10">
                  <c:v>45362</c:v>
                </c:pt>
                <c:pt idx="11">
                  <c:v>45369</c:v>
                </c:pt>
                <c:pt idx="12">
                  <c:v>45376</c:v>
                </c:pt>
                <c:pt idx="13">
                  <c:v>45383</c:v>
                </c:pt>
                <c:pt idx="14">
                  <c:v>45390</c:v>
                </c:pt>
                <c:pt idx="15">
                  <c:v>45397</c:v>
                </c:pt>
                <c:pt idx="16">
                  <c:v>45404</c:v>
                </c:pt>
                <c:pt idx="17">
                  <c:v>45411</c:v>
                </c:pt>
                <c:pt idx="18">
                  <c:v>45418</c:v>
                </c:pt>
                <c:pt idx="19">
                  <c:v>45425</c:v>
                </c:pt>
                <c:pt idx="20">
                  <c:v>45432</c:v>
                </c:pt>
                <c:pt idx="21">
                  <c:v>45439</c:v>
                </c:pt>
                <c:pt idx="22">
                  <c:v>45446</c:v>
                </c:pt>
                <c:pt idx="23">
                  <c:v>45453</c:v>
                </c:pt>
                <c:pt idx="24">
                  <c:v>45460</c:v>
                </c:pt>
                <c:pt idx="25">
                  <c:v>45467</c:v>
                </c:pt>
                <c:pt idx="26">
                  <c:v>45474</c:v>
                </c:pt>
                <c:pt idx="27">
                  <c:v>45481</c:v>
                </c:pt>
                <c:pt idx="28">
                  <c:v>45488</c:v>
                </c:pt>
                <c:pt idx="29">
                  <c:v>45495</c:v>
                </c:pt>
                <c:pt idx="30">
                  <c:v>45502</c:v>
                </c:pt>
                <c:pt idx="31">
                  <c:v>45509</c:v>
                </c:pt>
                <c:pt idx="32">
                  <c:v>45516</c:v>
                </c:pt>
                <c:pt idx="33">
                  <c:v>45523</c:v>
                </c:pt>
                <c:pt idx="34">
                  <c:v>45530</c:v>
                </c:pt>
                <c:pt idx="35">
                  <c:v>45537</c:v>
                </c:pt>
                <c:pt idx="36">
                  <c:v>45544</c:v>
                </c:pt>
                <c:pt idx="37">
                  <c:v>45551</c:v>
                </c:pt>
                <c:pt idx="38">
                  <c:v>45558</c:v>
                </c:pt>
                <c:pt idx="39">
                  <c:v>45565</c:v>
                </c:pt>
                <c:pt idx="40">
                  <c:v>45572</c:v>
                </c:pt>
                <c:pt idx="41">
                  <c:v>45579</c:v>
                </c:pt>
                <c:pt idx="42">
                  <c:v>45586</c:v>
                </c:pt>
                <c:pt idx="43">
                  <c:v>45593</c:v>
                </c:pt>
                <c:pt idx="44">
                  <c:v>45600</c:v>
                </c:pt>
                <c:pt idx="45">
                  <c:v>45607</c:v>
                </c:pt>
                <c:pt idx="46">
                  <c:v>45614</c:v>
                </c:pt>
                <c:pt idx="47">
                  <c:v>45621</c:v>
                </c:pt>
                <c:pt idx="48">
                  <c:v>45628</c:v>
                </c:pt>
                <c:pt idx="49">
                  <c:v>45635</c:v>
                </c:pt>
                <c:pt idx="50">
                  <c:v>45642</c:v>
                </c:pt>
                <c:pt idx="51">
                  <c:v>45649</c:v>
                </c:pt>
                <c:pt idx="52">
                  <c:v>45656</c:v>
                </c:pt>
                <c:pt idx="53">
                  <c:v>45663</c:v>
                </c:pt>
                <c:pt idx="54">
                  <c:v>45670</c:v>
                </c:pt>
                <c:pt idx="55">
                  <c:v>45677</c:v>
                </c:pt>
                <c:pt idx="56">
                  <c:v>45684</c:v>
                </c:pt>
                <c:pt idx="57">
                  <c:v>45691</c:v>
                </c:pt>
                <c:pt idx="58">
                  <c:v>45698</c:v>
                </c:pt>
                <c:pt idx="59">
                  <c:v>45705</c:v>
                </c:pt>
                <c:pt idx="60">
                  <c:v>45712</c:v>
                </c:pt>
                <c:pt idx="61">
                  <c:v>45719</c:v>
                </c:pt>
                <c:pt idx="62">
                  <c:v>45726</c:v>
                </c:pt>
                <c:pt idx="63">
                  <c:v>45733</c:v>
                </c:pt>
                <c:pt idx="64">
                  <c:v>45740</c:v>
                </c:pt>
                <c:pt idx="65">
                  <c:v>45747</c:v>
                </c:pt>
                <c:pt idx="66">
                  <c:v>45754</c:v>
                </c:pt>
                <c:pt idx="67">
                  <c:v>45761</c:v>
                </c:pt>
                <c:pt idx="68">
                  <c:v>45768</c:v>
                </c:pt>
                <c:pt idx="69">
                  <c:v>45775</c:v>
                </c:pt>
                <c:pt idx="70">
                  <c:v>45782</c:v>
                </c:pt>
                <c:pt idx="71">
                  <c:v>45789</c:v>
                </c:pt>
                <c:pt idx="72">
                  <c:v>45796</c:v>
                </c:pt>
                <c:pt idx="73">
                  <c:v>45803</c:v>
                </c:pt>
                <c:pt idx="74">
                  <c:v>45810</c:v>
                </c:pt>
                <c:pt idx="75">
                  <c:v>45817</c:v>
                </c:pt>
                <c:pt idx="76">
                  <c:v>45824</c:v>
                </c:pt>
                <c:pt idx="77">
                  <c:v>45831</c:v>
                </c:pt>
                <c:pt idx="78">
                  <c:v>45838</c:v>
                </c:pt>
                <c:pt idx="79">
                  <c:v>45845</c:v>
                </c:pt>
                <c:pt idx="80">
                  <c:v>45852</c:v>
                </c:pt>
                <c:pt idx="81">
                  <c:v>45859</c:v>
                </c:pt>
                <c:pt idx="82">
                  <c:v>45866</c:v>
                </c:pt>
                <c:pt idx="83">
                  <c:v>45873</c:v>
                </c:pt>
                <c:pt idx="84">
                  <c:v>45880</c:v>
                </c:pt>
                <c:pt idx="85">
                  <c:v>45887</c:v>
                </c:pt>
                <c:pt idx="86">
                  <c:v>45894</c:v>
                </c:pt>
                <c:pt idx="87">
                  <c:v>45901</c:v>
                </c:pt>
                <c:pt idx="88">
                  <c:v>45908</c:v>
                </c:pt>
                <c:pt idx="89">
                  <c:v>45915</c:v>
                </c:pt>
                <c:pt idx="90">
                  <c:v>45922</c:v>
                </c:pt>
                <c:pt idx="91">
                  <c:v>45929</c:v>
                </c:pt>
                <c:pt idx="92">
                  <c:v>45936</c:v>
                </c:pt>
                <c:pt idx="93">
                  <c:v>45943</c:v>
                </c:pt>
                <c:pt idx="94">
                  <c:v>45950</c:v>
                </c:pt>
                <c:pt idx="95">
                  <c:v>45957</c:v>
                </c:pt>
                <c:pt idx="96">
                  <c:v>45964</c:v>
                </c:pt>
                <c:pt idx="97">
                  <c:v>45971</c:v>
                </c:pt>
                <c:pt idx="98">
                  <c:v>45978</c:v>
                </c:pt>
                <c:pt idx="99">
                  <c:v>45985</c:v>
                </c:pt>
                <c:pt idx="100">
                  <c:v>45992</c:v>
                </c:pt>
                <c:pt idx="101">
                  <c:v>45999</c:v>
                </c:pt>
                <c:pt idx="102">
                  <c:v>46006</c:v>
                </c:pt>
                <c:pt idx="103">
                  <c:v>46013</c:v>
                </c:pt>
                <c:pt idx="104">
                  <c:v>46020</c:v>
                </c:pt>
                <c:pt idx="105">
                  <c:v>46027</c:v>
                </c:pt>
                <c:pt idx="106">
                  <c:v>46034</c:v>
                </c:pt>
                <c:pt idx="107">
                  <c:v>46041</c:v>
                </c:pt>
                <c:pt idx="108">
                  <c:v>46048</c:v>
                </c:pt>
                <c:pt idx="109">
                  <c:v>46055</c:v>
                </c:pt>
                <c:pt idx="110">
                  <c:v>46062</c:v>
                </c:pt>
                <c:pt idx="111">
                  <c:v>46069</c:v>
                </c:pt>
                <c:pt idx="112">
                  <c:v>46076</c:v>
                </c:pt>
                <c:pt idx="113">
                  <c:v>46083</c:v>
                </c:pt>
                <c:pt idx="114">
                  <c:v>46090</c:v>
                </c:pt>
                <c:pt idx="115">
                  <c:v>46097</c:v>
                </c:pt>
                <c:pt idx="116">
                  <c:v>46104</c:v>
                </c:pt>
                <c:pt idx="117">
                  <c:v>46111</c:v>
                </c:pt>
                <c:pt idx="118">
                  <c:v>46118</c:v>
                </c:pt>
              </c:numCache>
            </c:numRef>
          </c:cat>
          <c:val>
            <c:numRef>
              <c:f>Rolling!$F$2:$F$120</c:f>
              <c:numCache>
                <c:formatCode>General</c:formatCode>
                <c:ptCount val="119"/>
                <c:pt idx="111">
                  <c:v>248.82546815459588</c:v>
                </c:pt>
                <c:pt idx="112">
                  <c:v>250.80249563056879</c:v>
                </c:pt>
                <c:pt idx="113">
                  <c:v>252.60291460223263</c:v>
                </c:pt>
                <c:pt idx="114">
                  <c:v>254.290753326654</c:v>
                </c:pt>
                <c:pt idx="115">
                  <c:v>255.89564965423384</c:v>
                </c:pt>
                <c:pt idx="116">
                  <c:v>257.46929477736046</c:v>
                </c:pt>
                <c:pt idx="117">
                  <c:v>259.82300998336797</c:v>
                </c:pt>
                <c:pt idx="118">
                  <c:v>260.56589089630552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A78-4442-86AE-5A993E8A07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0003439"/>
        <c:axId val="610001039"/>
      </c:lineChart>
      <c:dateAx>
        <c:axId val="610003439"/>
        <c:scaling>
          <c:orientation val="minMax"/>
          <c:min val="45809"/>
        </c:scaling>
        <c:delete val="0"/>
        <c:axPos val="b"/>
        <c:numFmt formatCode="yyyy\-mm\-dd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0001039"/>
        <c:crosses val="autoZero"/>
        <c:auto val="1"/>
        <c:lblOffset val="100"/>
        <c:baseTimeUnit val="days"/>
      </c:dateAx>
      <c:valAx>
        <c:axId val="610001039"/>
        <c:scaling>
          <c:orientation val="minMax"/>
          <c:min val="14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0003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Dividends 2000 - 2025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Dividends!$B$1</c:f>
              <c:strCache>
                <c:ptCount val="1"/>
                <c:pt idx="0">
                  <c:v>Dividends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Dividends!$A$2:$A$106</c:f>
              <c:numCache>
                <c:formatCode>yyyy\-mm\-dd</c:formatCode>
                <c:ptCount val="105"/>
                <c:pt idx="0">
                  <c:v>36567</c:v>
                </c:pt>
                <c:pt idx="1">
                  <c:v>36665</c:v>
                </c:pt>
                <c:pt idx="2">
                  <c:v>36756</c:v>
                </c:pt>
                <c:pt idx="3">
                  <c:v>36847</c:v>
                </c:pt>
                <c:pt idx="4">
                  <c:v>36937</c:v>
                </c:pt>
                <c:pt idx="5">
                  <c:v>37029</c:v>
                </c:pt>
                <c:pt idx="6">
                  <c:v>37120</c:v>
                </c:pt>
                <c:pt idx="7">
                  <c:v>37211</c:v>
                </c:pt>
                <c:pt idx="8">
                  <c:v>37301</c:v>
                </c:pt>
                <c:pt idx="9">
                  <c:v>37393</c:v>
                </c:pt>
                <c:pt idx="10">
                  <c:v>37484</c:v>
                </c:pt>
                <c:pt idx="11">
                  <c:v>37575</c:v>
                </c:pt>
                <c:pt idx="12">
                  <c:v>37665</c:v>
                </c:pt>
                <c:pt idx="13">
                  <c:v>37757</c:v>
                </c:pt>
                <c:pt idx="14">
                  <c:v>37848</c:v>
                </c:pt>
                <c:pt idx="15">
                  <c:v>37939</c:v>
                </c:pt>
                <c:pt idx="16">
                  <c:v>38029</c:v>
                </c:pt>
                <c:pt idx="17">
                  <c:v>38121</c:v>
                </c:pt>
                <c:pt idx="18">
                  <c:v>38212</c:v>
                </c:pt>
                <c:pt idx="19">
                  <c:v>38303</c:v>
                </c:pt>
                <c:pt idx="20">
                  <c:v>38394</c:v>
                </c:pt>
                <c:pt idx="21">
                  <c:v>38485</c:v>
                </c:pt>
                <c:pt idx="22">
                  <c:v>38583</c:v>
                </c:pt>
                <c:pt idx="23">
                  <c:v>38674</c:v>
                </c:pt>
                <c:pt idx="24">
                  <c:v>38772</c:v>
                </c:pt>
                <c:pt idx="25">
                  <c:v>38862</c:v>
                </c:pt>
                <c:pt idx="26">
                  <c:v>38954</c:v>
                </c:pt>
                <c:pt idx="27">
                  <c:v>39045</c:v>
                </c:pt>
                <c:pt idx="28">
                  <c:v>39136</c:v>
                </c:pt>
                <c:pt idx="29">
                  <c:v>39226</c:v>
                </c:pt>
                <c:pt idx="30">
                  <c:v>39318</c:v>
                </c:pt>
                <c:pt idx="31">
                  <c:v>39409</c:v>
                </c:pt>
                <c:pt idx="32">
                  <c:v>39500</c:v>
                </c:pt>
                <c:pt idx="33">
                  <c:v>39590</c:v>
                </c:pt>
                <c:pt idx="34">
                  <c:v>39682</c:v>
                </c:pt>
                <c:pt idx="35">
                  <c:v>39773</c:v>
                </c:pt>
                <c:pt idx="36">
                  <c:v>39864</c:v>
                </c:pt>
                <c:pt idx="37">
                  <c:v>39954</c:v>
                </c:pt>
                <c:pt idx="38">
                  <c:v>40046</c:v>
                </c:pt>
                <c:pt idx="39">
                  <c:v>40137</c:v>
                </c:pt>
                <c:pt idx="40">
                  <c:v>40228</c:v>
                </c:pt>
                <c:pt idx="41">
                  <c:v>40325</c:v>
                </c:pt>
                <c:pt idx="42">
                  <c:v>40417</c:v>
                </c:pt>
                <c:pt idx="43">
                  <c:v>40508</c:v>
                </c:pt>
                <c:pt idx="44">
                  <c:v>40599</c:v>
                </c:pt>
                <c:pt idx="45">
                  <c:v>40689</c:v>
                </c:pt>
                <c:pt idx="46">
                  <c:v>40781</c:v>
                </c:pt>
                <c:pt idx="47">
                  <c:v>40872</c:v>
                </c:pt>
                <c:pt idx="48">
                  <c:v>40963</c:v>
                </c:pt>
                <c:pt idx="49">
                  <c:v>41053</c:v>
                </c:pt>
                <c:pt idx="50">
                  <c:v>41145</c:v>
                </c:pt>
                <c:pt idx="51">
                  <c:v>41236</c:v>
                </c:pt>
                <c:pt idx="52">
                  <c:v>41327</c:v>
                </c:pt>
                <c:pt idx="53">
                  <c:v>41417</c:v>
                </c:pt>
                <c:pt idx="54">
                  <c:v>41509</c:v>
                </c:pt>
                <c:pt idx="55">
                  <c:v>41600</c:v>
                </c:pt>
                <c:pt idx="56">
                  <c:v>41691</c:v>
                </c:pt>
                <c:pt idx="57">
                  <c:v>41781</c:v>
                </c:pt>
                <c:pt idx="58">
                  <c:v>41873</c:v>
                </c:pt>
                <c:pt idx="59">
                  <c:v>41964</c:v>
                </c:pt>
                <c:pt idx="60">
                  <c:v>42055</c:v>
                </c:pt>
                <c:pt idx="61">
                  <c:v>42145</c:v>
                </c:pt>
                <c:pt idx="62">
                  <c:v>42237</c:v>
                </c:pt>
                <c:pt idx="63">
                  <c:v>42328</c:v>
                </c:pt>
                <c:pt idx="64">
                  <c:v>42419</c:v>
                </c:pt>
                <c:pt idx="65">
                  <c:v>42510</c:v>
                </c:pt>
                <c:pt idx="66">
                  <c:v>42601</c:v>
                </c:pt>
                <c:pt idx="67">
                  <c:v>42692</c:v>
                </c:pt>
                <c:pt idx="68">
                  <c:v>42790</c:v>
                </c:pt>
                <c:pt idx="69">
                  <c:v>42880</c:v>
                </c:pt>
                <c:pt idx="70">
                  <c:v>42972</c:v>
                </c:pt>
                <c:pt idx="71">
                  <c:v>43066</c:v>
                </c:pt>
                <c:pt idx="72">
                  <c:v>43157</c:v>
                </c:pt>
                <c:pt idx="73">
                  <c:v>43245</c:v>
                </c:pt>
                <c:pt idx="74">
                  <c:v>43339</c:v>
                </c:pt>
                <c:pt idx="75">
                  <c:v>43430</c:v>
                </c:pt>
                <c:pt idx="76">
                  <c:v>43521</c:v>
                </c:pt>
                <c:pt idx="77">
                  <c:v>43609</c:v>
                </c:pt>
                <c:pt idx="78">
                  <c:v>43703</c:v>
                </c:pt>
                <c:pt idx="79">
                  <c:v>43794</c:v>
                </c:pt>
                <c:pt idx="80">
                  <c:v>43885</c:v>
                </c:pt>
                <c:pt idx="81">
                  <c:v>43973</c:v>
                </c:pt>
                <c:pt idx="82">
                  <c:v>44067</c:v>
                </c:pt>
                <c:pt idx="83">
                  <c:v>44158</c:v>
                </c:pt>
                <c:pt idx="84">
                  <c:v>44249</c:v>
                </c:pt>
                <c:pt idx="85">
                  <c:v>44340</c:v>
                </c:pt>
                <c:pt idx="86">
                  <c:v>44431</c:v>
                </c:pt>
                <c:pt idx="87">
                  <c:v>44522</c:v>
                </c:pt>
                <c:pt idx="88">
                  <c:v>44610</c:v>
                </c:pt>
                <c:pt idx="89">
                  <c:v>44704</c:v>
                </c:pt>
                <c:pt idx="90">
                  <c:v>44795</c:v>
                </c:pt>
                <c:pt idx="91">
                  <c:v>44886</c:v>
                </c:pt>
                <c:pt idx="92">
                  <c:v>44974</c:v>
                </c:pt>
                <c:pt idx="93">
                  <c:v>45068</c:v>
                </c:pt>
                <c:pt idx="94">
                  <c:v>45163</c:v>
                </c:pt>
                <c:pt idx="95">
                  <c:v>45250</c:v>
                </c:pt>
                <c:pt idx="96">
                  <c:v>45338</c:v>
                </c:pt>
                <c:pt idx="97">
                  <c:v>45432</c:v>
                </c:pt>
                <c:pt idx="98">
                  <c:v>45531</c:v>
                </c:pt>
                <c:pt idx="99">
                  <c:v>45622</c:v>
                </c:pt>
                <c:pt idx="100">
                  <c:v>45706</c:v>
                </c:pt>
                <c:pt idx="101">
                  <c:v>45804</c:v>
                </c:pt>
                <c:pt idx="102">
                  <c:v>45895</c:v>
                </c:pt>
                <c:pt idx="103">
                  <c:v>45986</c:v>
                </c:pt>
              </c:numCache>
            </c:numRef>
          </c:cat>
          <c:val>
            <c:numRef>
              <c:f>Dividends!$B$2:$B$106</c:f>
              <c:numCache>
                <c:formatCode>General</c:formatCode>
                <c:ptCount val="105"/>
                <c:pt idx="0">
                  <c:v>0.14000000000000001</c:v>
                </c:pt>
                <c:pt idx="1">
                  <c:v>0.16</c:v>
                </c:pt>
                <c:pt idx="2">
                  <c:v>0.16</c:v>
                </c:pt>
                <c:pt idx="3">
                  <c:v>0.16</c:v>
                </c:pt>
                <c:pt idx="4">
                  <c:v>0.16</c:v>
                </c:pt>
                <c:pt idx="5">
                  <c:v>0.18</c:v>
                </c:pt>
                <c:pt idx="6">
                  <c:v>0.18</c:v>
                </c:pt>
                <c:pt idx="7">
                  <c:v>0.18</c:v>
                </c:pt>
                <c:pt idx="8">
                  <c:v>0.18</c:v>
                </c:pt>
                <c:pt idx="9">
                  <c:v>0.20499999999999999</c:v>
                </c:pt>
                <c:pt idx="10">
                  <c:v>0.20499999999999999</c:v>
                </c:pt>
                <c:pt idx="11">
                  <c:v>0.20499999999999999</c:v>
                </c:pt>
                <c:pt idx="12">
                  <c:v>0.20499999999999999</c:v>
                </c:pt>
                <c:pt idx="13">
                  <c:v>0.24</c:v>
                </c:pt>
                <c:pt idx="14">
                  <c:v>0.24</c:v>
                </c:pt>
                <c:pt idx="15">
                  <c:v>0.24</c:v>
                </c:pt>
                <c:pt idx="16">
                  <c:v>0.24</c:v>
                </c:pt>
                <c:pt idx="17">
                  <c:v>0.28499999999999998</c:v>
                </c:pt>
                <c:pt idx="18">
                  <c:v>0.28499999999999998</c:v>
                </c:pt>
                <c:pt idx="19">
                  <c:v>0.28499999999999998</c:v>
                </c:pt>
                <c:pt idx="20">
                  <c:v>0.28499999999999998</c:v>
                </c:pt>
                <c:pt idx="21">
                  <c:v>0.33</c:v>
                </c:pt>
                <c:pt idx="22">
                  <c:v>0.33</c:v>
                </c:pt>
                <c:pt idx="23">
                  <c:v>0.33</c:v>
                </c:pt>
                <c:pt idx="24">
                  <c:v>0.33</c:v>
                </c:pt>
                <c:pt idx="25">
                  <c:v>0.375</c:v>
                </c:pt>
                <c:pt idx="26">
                  <c:v>0.375</c:v>
                </c:pt>
                <c:pt idx="27">
                  <c:v>0.375</c:v>
                </c:pt>
                <c:pt idx="28">
                  <c:v>0.375</c:v>
                </c:pt>
                <c:pt idx="29">
                  <c:v>0.41499999999999998</c:v>
                </c:pt>
                <c:pt idx="30">
                  <c:v>0.41499999999999998</c:v>
                </c:pt>
                <c:pt idx="31">
                  <c:v>0.41499999999999998</c:v>
                </c:pt>
                <c:pt idx="32">
                  <c:v>0.41499999999999998</c:v>
                </c:pt>
                <c:pt idx="33">
                  <c:v>0.46</c:v>
                </c:pt>
                <c:pt idx="34">
                  <c:v>0.46</c:v>
                </c:pt>
                <c:pt idx="35">
                  <c:v>0.46</c:v>
                </c:pt>
                <c:pt idx="36">
                  <c:v>0.46</c:v>
                </c:pt>
                <c:pt idx="37">
                  <c:v>0.49</c:v>
                </c:pt>
                <c:pt idx="38">
                  <c:v>0.49</c:v>
                </c:pt>
                <c:pt idx="39">
                  <c:v>0.49</c:v>
                </c:pt>
                <c:pt idx="40">
                  <c:v>0.49</c:v>
                </c:pt>
                <c:pt idx="41">
                  <c:v>0.54</c:v>
                </c:pt>
                <c:pt idx="42">
                  <c:v>0.54</c:v>
                </c:pt>
                <c:pt idx="43">
                  <c:v>0.54</c:v>
                </c:pt>
                <c:pt idx="44">
                  <c:v>0.54</c:v>
                </c:pt>
                <c:pt idx="45">
                  <c:v>0.56999999999999995</c:v>
                </c:pt>
                <c:pt idx="46">
                  <c:v>0.56999999999999995</c:v>
                </c:pt>
                <c:pt idx="47">
                  <c:v>0.56999999999999995</c:v>
                </c:pt>
                <c:pt idx="48">
                  <c:v>0.56999999999999995</c:v>
                </c:pt>
                <c:pt idx="49">
                  <c:v>0.61</c:v>
                </c:pt>
                <c:pt idx="50">
                  <c:v>0.61</c:v>
                </c:pt>
                <c:pt idx="51">
                  <c:v>0.61</c:v>
                </c:pt>
                <c:pt idx="52">
                  <c:v>0.61</c:v>
                </c:pt>
                <c:pt idx="53">
                  <c:v>0.66</c:v>
                </c:pt>
                <c:pt idx="54">
                  <c:v>0.66</c:v>
                </c:pt>
                <c:pt idx="55">
                  <c:v>0.66</c:v>
                </c:pt>
                <c:pt idx="56">
                  <c:v>0.66</c:v>
                </c:pt>
                <c:pt idx="57">
                  <c:v>0.7</c:v>
                </c:pt>
                <c:pt idx="58">
                  <c:v>0.7</c:v>
                </c:pt>
                <c:pt idx="59">
                  <c:v>0.7</c:v>
                </c:pt>
                <c:pt idx="60">
                  <c:v>0.7</c:v>
                </c:pt>
                <c:pt idx="61">
                  <c:v>0.75</c:v>
                </c:pt>
                <c:pt idx="62">
                  <c:v>0.75</c:v>
                </c:pt>
                <c:pt idx="63">
                  <c:v>0.75</c:v>
                </c:pt>
                <c:pt idx="64">
                  <c:v>0.75</c:v>
                </c:pt>
                <c:pt idx="65">
                  <c:v>0.8</c:v>
                </c:pt>
                <c:pt idx="66">
                  <c:v>0.8</c:v>
                </c:pt>
                <c:pt idx="67">
                  <c:v>0.8</c:v>
                </c:pt>
                <c:pt idx="68">
                  <c:v>0.8</c:v>
                </c:pt>
                <c:pt idx="69">
                  <c:v>0.84</c:v>
                </c:pt>
                <c:pt idx="70">
                  <c:v>0.84</c:v>
                </c:pt>
                <c:pt idx="71">
                  <c:v>0.84</c:v>
                </c:pt>
                <c:pt idx="72">
                  <c:v>0.84</c:v>
                </c:pt>
                <c:pt idx="73">
                  <c:v>0.9</c:v>
                </c:pt>
                <c:pt idx="74">
                  <c:v>0.9</c:v>
                </c:pt>
                <c:pt idx="75">
                  <c:v>0.9</c:v>
                </c:pt>
                <c:pt idx="76">
                  <c:v>0.9</c:v>
                </c:pt>
                <c:pt idx="77">
                  <c:v>0.95</c:v>
                </c:pt>
                <c:pt idx="78">
                  <c:v>0.95</c:v>
                </c:pt>
                <c:pt idx="79">
                  <c:v>0.95</c:v>
                </c:pt>
                <c:pt idx="80">
                  <c:v>0.95</c:v>
                </c:pt>
                <c:pt idx="81">
                  <c:v>1.01</c:v>
                </c:pt>
                <c:pt idx="82">
                  <c:v>1.01</c:v>
                </c:pt>
                <c:pt idx="83">
                  <c:v>1.01</c:v>
                </c:pt>
                <c:pt idx="84">
                  <c:v>1.01</c:v>
                </c:pt>
                <c:pt idx="85">
                  <c:v>1.06</c:v>
                </c:pt>
                <c:pt idx="86">
                  <c:v>1.06</c:v>
                </c:pt>
                <c:pt idx="87">
                  <c:v>1.06</c:v>
                </c:pt>
                <c:pt idx="88">
                  <c:v>1.06</c:v>
                </c:pt>
                <c:pt idx="89">
                  <c:v>1.1299999999999999</c:v>
                </c:pt>
                <c:pt idx="90">
                  <c:v>1.1299999999999999</c:v>
                </c:pt>
                <c:pt idx="91">
                  <c:v>1.1299999999999999</c:v>
                </c:pt>
                <c:pt idx="92">
                  <c:v>1.1299999999999999</c:v>
                </c:pt>
                <c:pt idx="93">
                  <c:v>1.19</c:v>
                </c:pt>
                <c:pt idx="94">
                  <c:v>1.19</c:v>
                </c:pt>
                <c:pt idx="95">
                  <c:v>1.19</c:v>
                </c:pt>
                <c:pt idx="96">
                  <c:v>1.19</c:v>
                </c:pt>
                <c:pt idx="97">
                  <c:v>1.24</c:v>
                </c:pt>
                <c:pt idx="98">
                  <c:v>1.24</c:v>
                </c:pt>
                <c:pt idx="99">
                  <c:v>1.24</c:v>
                </c:pt>
                <c:pt idx="100">
                  <c:v>1.24</c:v>
                </c:pt>
                <c:pt idx="101">
                  <c:v>1.3</c:v>
                </c:pt>
                <c:pt idx="102">
                  <c:v>1.3</c:v>
                </c:pt>
                <c:pt idx="103">
                  <c:v>1.3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2A-43F4-937C-2841B9C132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967327"/>
        <c:axId val="245969727"/>
      </c:barChart>
      <c:dateAx>
        <c:axId val="245967327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5969727"/>
        <c:crosses val="autoZero"/>
        <c:auto val="1"/>
        <c:lblOffset val="100"/>
        <c:baseTimeUnit val="months"/>
      </c:dateAx>
      <c:valAx>
        <c:axId val="245969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59673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295276</xdr:colOff>
      <xdr:row>107</xdr:row>
      <xdr:rowOff>104775</xdr:rowOff>
    </xdr:from>
    <xdr:to>
      <xdr:col>12</xdr:col>
      <xdr:colOff>295275</xdr:colOff>
      <xdr:row>121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0D29365-5F82-4227-A024-BBD5DCBDA9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600075</xdr:colOff>
      <xdr:row>10</xdr:row>
      <xdr:rowOff>57150</xdr:rowOff>
    </xdr:from>
    <xdr:to>
      <xdr:col>12</xdr:col>
      <xdr:colOff>419100</xdr:colOff>
      <xdr:row>23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7A1DD44-F63F-41EE-904E-056E591804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581025</xdr:colOff>
      <xdr:row>26</xdr:row>
      <xdr:rowOff>95250</xdr:rowOff>
    </xdr:from>
    <xdr:to>
      <xdr:col>12</xdr:col>
      <xdr:colOff>447674</xdr:colOff>
      <xdr:row>39</xdr:row>
      <xdr:rowOff>28575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E7E267D9-6FA7-4418-8DA1-F4ED1ABCF2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41</xdr:row>
      <xdr:rowOff>38100</xdr:rowOff>
    </xdr:from>
    <xdr:to>
      <xdr:col>12</xdr:col>
      <xdr:colOff>476250</xdr:colOff>
      <xdr:row>55</xdr:row>
      <xdr:rowOff>114300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4DA37743-6623-4A26-84C0-00E821F1C6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600076</xdr:colOff>
      <xdr:row>57</xdr:row>
      <xdr:rowOff>28575</xdr:rowOff>
    </xdr:from>
    <xdr:to>
      <xdr:col>12</xdr:col>
      <xdr:colOff>504826</xdr:colOff>
      <xdr:row>71</xdr:row>
      <xdr:rowOff>104775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C2793BC0-B135-4CE0-9729-29A4CE602F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28576</xdr:colOff>
      <xdr:row>73</xdr:row>
      <xdr:rowOff>28575</xdr:rowOff>
    </xdr:from>
    <xdr:to>
      <xdr:col>12</xdr:col>
      <xdr:colOff>542926</xdr:colOff>
      <xdr:row>85</xdr:row>
      <xdr:rowOff>171450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90A63B95-351E-4A18-9512-71AAD83487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38100</xdr:colOff>
      <xdr:row>87</xdr:row>
      <xdr:rowOff>161925</xdr:rowOff>
    </xdr:from>
    <xdr:to>
      <xdr:col>12</xdr:col>
      <xdr:colOff>552450</xdr:colOff>
      <xdr:row>102</xdr:row>
      <xdr:rowOff>47625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5DEB61B2-882D-4A73-BE41-8283EBDA29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19050</xdr:colOff>
      <xdr:row>0</xdr:row>
      <xdr:rowOff>185737</xdr:rowOff>
    </xdr:from>
    <xdr:to>
      <xdr:col>13</xdr:col>
      <xdr:colOff>323850</xdr:colOff>
      <xdr:row>15</xdr:row>
      <xdr:rowOff>71437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2D1C204-9459-446C-CD55-17DD83C7B7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D881C61-4B94-4C73-848E-6158EC3FA6F3}" autoFormatId="16" applyNumberFormats="0" applyBorderFormats="0" applyFontFormats="0" applyPatternFormats="0" applyAlignmentFormats="0" applyWidthHeightFormats="0">
  <queryTableRefresh nextId="3">
    <queryTableFields count="2">
      <queryTableField id="1" name="Week" tableColumnId="1"/>
      <queryTableField id="2" name="Average" tableColumnId="2"/>
    </queryTableFields>
  </queryTableRefresh>
</queryTable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3">
  <a r="1" c="250">
    <v t="i">3</v>
    <v t="i">4</v>
    <v t="i">5</v>
    <v t="i">6</v>
    <v t="i">9</v>
    <v t="i">10</v>
    <v t="i">11</v>
    <v t="i">12</v>
    <v t="i">13</v>
    <v t="i">16</v>
    <v t="i">17</v>
    <v t="i">18</v>
    <v t="i">19</v>
    <v t="i">20</v>
    <v t="i">23</v>
    <v t="i">24</v>
    <v t="i">25</v>
    <v t="i">26</v>
    <v t="i">27</v>
    <v t="i">30</v>
    <v t="i">31</v>
    <v t="i">32</v>
    <v t="i">33</v>
    <v t="i">34</v>
    <v t="i">37</v>
    <v t="i">38</v>
    <v t="i">39</v>
    <v t="i">40</v>
    <v t="i">41</v>
    <v t="i">44</v>
    <v t="i">45</v>
    <v t="i">46</v>
    <v t="i">47</v>
    <v t="i">48</v>
    <v t="i">51</v>
    <v t="i">52</v>
    <v t="i">53</v>
    <v t="i">54</v>
    <v t="i">55</v>
    <v t="i">58</v>
    <v t="i">59</v>
    <v t="i">60</v>
    <v t="i">61</v>
    <v t="i">65</v>
    <v t="i">66</v>
    <v t="i">67</v>
    <v t="i">68</v>
    <v t="i">69</v>
    <v t="i">72</v>
    <v t="i">73</v>
    <v t="i">74</v>
    <v t="i">75</v>
    <v t="i">76</v>
    <v t="i">79</v>
    <v t="i">80</v>
    <v t="i">81</v>
    <v t="i">82</v>
    <v t="i">83</v>
    <v t="i">86</v>
    <v t="i">87</v>
    <v t="i">88</v>
    <v t="i">89</v>
    <v t="i">90</v>
    <v t="i">93</v>
    <v t="i">94</v>
    <v t="i">95</v>
    <v t="i">96</v>
    <v t="i">97</v>
    <v t="i">101</v>
    <v t="i">102</v>
    <v t="i">103</v>
    <v t="i">104</v>
    <v t="i">107</v>
    <v t="i">108</v>
    <v t="i">109</v>
    <v t="i">110</v>
    <v t="i">111</v>
    <v t="i">114</v>
    <v t="i">115</v>
    <v t="i">116</v>
    <v t="i">117</v>
    <v t="i">118</v>
    <v t="i">121</v>
    <v t="i">122</v>
    <v t="i">123</v>
    <v t="i">125</v>
    <v t="i">128</v>
    <v t="i">129</v>
    <v t="i">130</v>
    <v t="i">131</v>
    <v t="i">132</v>
    <v t="i">135</v>
    <v t="i">136</v>
    <v t="i">137</v>
    <v t="i">138</v>
    <v t="i">142</v>
    <v t="i">143</v>
    <v t="i">144</v>
    <v t="i">145</v>
    <v t="i">146</v>
    <v t="i">149</v>
    <v t="i">150</v>
    <v t="i">151</v>
    <v t="i">152</v>
    <v t="i">153</v>
    <v t="i">156</v>
    <v t="i">157</v>
    <v t="i">158</v>
    <v t="i">159</v>
    <v t="i">160</v>
    <v t="i">163</v>
    <v t="i">164</v>
    <v t="i">165</v>
    <v t="i">166</v>
    <v t="i">167</v>
    <v t="i">170</v>
    <v t="i">171</v>
    <v t="i">172</v>
    <v t="i">173</v>
    <v t="i">174</v>
    <v t="i">177</v>
    <v t="i">178</v>
    <v t="i">179</v>
    <v t="i">180</v>
    <v t="i">181</v>
    <v t="i">184</v>
    <v t="i">185</v>
    <v t="i">186</v>
    <v t="i">187</v>
    <v t="i">188</v>
    <v t="i">191</v>
    <v t="i">192</v>
    <v t="i">193</v>
    <v t="i">194</v>
    <v t="i">195</v>
    <v t="i">199</v>
    <v t="i">200</v>
    <v t="i">201</v>
    <v t="i">202</v>
    <v t="i">205</v>
    <v t="i">206</v>
    <v t="i">207</v>
    <v t="i">208</v>
    <v t="i">209</v>
    <v t="i">212</v>
    <v t="i">213</v>
    <v t="i">214</v>
    <v t="i">215</v>
    <v t="i">216</v>
    <v t="i">219</v>
    <v t="i">220</v>
    <v t="i">221</v>
    <v t="i">222</v>
    <v t="i">223</v>
    <v t="i">226</v>
    <v t="i">227</v>
    <v t="i">228</v>
    <v t="i">229</v>
    <v t="i">230</v>
    <v t="i">233</v>
    <v t="i">234</v>
    <v t="i">235</v>
    <v t="i">236</v>
    <v t="i">237</v>
    <v t="i">240</v>
    <v t="i">241</v>
    <v t="i">242</v>
    <v t="i">243</v>
    <v t="i">244</v>
    <v t="i">247</v>
    <v t="i">248</v>
    <v t="i">249</v>
    <v t="i">250</v>
    <v t="i">251</v>
    <v t="i">254</v>
    <v t="i">255</v>
    <v t="i">256</v>
    <v t="i">257</v>
    <v t="i">258</v>
    <v t="i">261</v>
    <v t="i">262</v>
    <v t="i">263</v>
    <v t="i">264</v>
    <v t="i">265</v>
    <v t="i">268</v>
    <v t="i">269</v>
    <v t="i">270</v>
    <v t="i">271</v>
    <v t="i">272</v>
    <v t="i">275</v>
    <v t="i">276</v>
    <v t="i">277</v>
    <v t="i">278</v>
    <v t="i">279</v>
    <v t="i">282</v>
    <v t="i">283</v>
    <v t="i">284</v>
    <v t="i">286</v>
    <v t="i">289</v>
    <v t="i">290</v>
    <v t="i">291</v>
    <v t="i">292</v>
    <v t="i">293</v>
    <v t="i">296</v>
    <v t="i">297</v>
    <v t="i">298</v>
    <v t="i">299</v>
    <v t="i">300</v>
    <v t="i">303</v>
    <v t="i">304</v>
    <v t="i">305</v>
    <v t="i">306</v>
    <v t="i">307</v>
    <v t="i">310</v>
    <v t="i">311</v>
    <v t="i">312</v>
    <v t="i">314</v>
    <v t="i">317</v>
    <v t="i">318</v>
    <v t="i">319</v>
    <v t="i">321</v>
    <v t="i">324</v>
    <v t="i">325</v>
    <v t="i">326</v>
    <v t="i">327</v>
    <v t="i">328</v>
    <v t="i">331</v>
    <v t="i">332</v>
    <v t="i">333</v>
    <v t="i">334</v>
    <v t="i">335</v>
    <v t="i">339</v>
    <v t="i">340</v>
    <v t="i">341</v>
    <v t="i">342</v>
    <v t="i">345</v>
    <v t="i">346</v>
    <v t="i">347</v>
    <v t="i">348</v>
    <v t="i">349</v>
    <v t="i">352</v>
    <v t="i">353</v>
    <v t="i">354</v>
    <v t="i">355</v>
    <v t="i">356</v>
    <v t="i">359</v>
    <v t="i">360</v>
    <v t="i">361</v>
    <v t="i">362</v>
    <v t="i">363</v>
  </a>
  <a r="1" c="250">
    <v>154.99</v>
    <v>157.88999999999999</v>
    <v>159.68</v>
    <v>162.30000000000001</v>
    <v>163.74</v>
    <v>166.09</v>
    <v>163.08000000000001</v>
    <v>163.72999999999999</v>
    <v>165.02</v>
    <v>167.28</v>
    <v>165.42</v>
    <v>165.12</v>
    <v>165.83</v>
    <v>166.69</v>
    <v>167.7</v>
    <v>165.86</v>
    <v>162.85</v>
    <v>162.99</v>
    <v>162.81</v>
    <v>162.84</v>
    <v>164.25</v>
    <v>162.99</v>
    <v>163.02000000000001</v>
    <v>163.63</v>
    <v>163.29</v>
    <v>161.02000000000001</v>
    <v>161.72</v>
    <v>163.13</v>
    <v>163.71</v>
    <v>165.84</v>
    <v>153.25</v>
    <v>155.36000000000001</v>
    <v>159.82</v>
    <v>153.24</v>
    <v>150.62</v>
    <v>150</v>
    <v>150.97</v>
    <v>148.69</v>
    <v>151.72999999999999</v>
    <v>154.36000000000001</v>
    <v>153.62</v>
    <v>153.91</v>
    <v>157.47</v>
    <v>156.91999999999999</v>
    <v>157.75</v>
    <v>155.38</v>
    <v>154.93</v>
    <v>154.58000000000001</v>
    <v>155.35</v>
    <v>155.91</v>
    <v>156.31</v>
    <v>154.46</v>
    <v>156.12</v>
    <v>155</v>
    <v>154.47</v>
    <v>157.30000000000001</v>
    <v>155.66</v>
    <v>154.22</v>
    <v>154.13999999999999</v>
    <v>148.44</v>
    <v>146.36000000000001</v>
    <v>149.61000000000001</v>
    <v>151.33000000000001</v>
    <v>152.49</v>
    <v>153.66</v>
    <v>153.18</v>
    <v>152.61000000000001</v>
    <v>152.94</v>
    <v>153.25</v>
    <v>152.43</v>
    <v>153.58000000000001</v>
    <v>155.21</v>
    <v>155.4</v>
    <v>154.41999999999999</v>
    <v>153.22</v>
    <v>153.66</v>
    <v>155.03</v>
    <v>155.22999999999999</v>
    <v>156.44999999999999</v>
    <v>155.26</v>
    <v>156.66</v>
    <v>157.1</v>
    <v>155.22</v>
    <v>152.38</v>
    <v>150.72999999999999</v>
    <v>149.79</v>
    <v>151.32</v>
    <v>152.19</v>
    <v>152.28</v>
    <v>152.01</v>
    <v>152.41</v>
    <v>152.75</v>
    <v>155.91999999999999</v>
    <v>155.56</v>
    <v>156.01</v>
    <v>155.27000000000001</v>
    <v>155.79</v>
    <v>156.28</v>
    <v>157.69</v>
    <v>156.9</v>
    <v>156.82</v>
    <v>155.16999999999999</v>
    <v>164.78</v>
    <v>162.97999999999999</v>
    <v>163.69999999999999</v>
    <v>164.36</v>
    <v>167.93</v>
    <v>169.1</v>
    <v>169.56</v>
    <v>168.3</v>
    <v>166.22</v>
    <v>168.11</v>
    <v>167.26</v>
    <v>164.74</v>
    <v>167.33</v>
    <v>171.04</v>
    <v>170.74</v>
    <v>170.59</v>
    <v>171.53</v>
    <v>173.33</v>
    <v>173.82</v>
    <v>172.78</v>
    <v>174.42</v>
    <v>174.72</v>
    <v>176.64</v>
    <v>176.25</v>
    <v>177.8</v>
    <v>178.84</v>
    <v>178.93</v>
    <v>179.29</v>
    <v>178.41</v>
    <v>176.49</v>
    <v>176.79</v>
    <v>175.45</v>
    <v>177.17</v>
    <v>178.06</v>
    <v>178</v>
    <v>178.76</v>
    <v>178.43</v>
    <v>178.13</v>
    <v>176.96</v>
    <v>175.79</v>
    <v>178.5</v>
    <v>178.06</v>
    <v>177.4</v>
    <v>176.46</v>
    <v>177.2</v>
    <v>174.16</v>
    <v>176.19</v>
    <v>174.21</v>
    <v>176.58</v>
    <v>176.69</v>
    <v>177.73</v>
    <v>179.71</v>
    <v>181.62</v>
    <v>185.42</v>
    <v>186.05</v>
    <v>185.98</v>
    <v>188.64</v>
    <v>188.16</v>
    <v>188.89</v>
    <v>189.69</v>
    <v>191.08</v>
    <v>190.72</v>
    <v>190.9</v>
    <v>190.85</v>
    <v>191.17</v>
    <v>192.12</v>
    <v>193.22</v>
    <v>193.72</v>
    <v>191.88</v>
    <v>192.94</v>
    <v>192.47</v>
    <v>190.4</v>
    <v>190.3</v>
    <v>186.93</v>
    <v>186.6</v>
    <v>189.05</v>
    <v>188.87</v>
    <v>186.26</v>
    <v>186.86</v>
    <v>186</v>
    <v>186.97</v>
    <v>186.57</v>
    <v>188.41</v>
    <v>193.83</v>
    <v>194.39</v>
    <v>195.25</v>
    <v>195.93</v>
    <v>199.58</v>
    <v>200</v>
    <v>202.51</v>
    <v>203.07</v>
    <v>203.9</v>
    <v>206.05</v>
    <v>206.67</v>
    <v>207.56</v>
    <v>206.92</v>
    <v>205.34</v>
    <v>205.42</v>
    <v>205.33</v>
    <v>202.48</v>
    <v>201.93</v>
    <v>201.62</v>
    <v>199.96</v>
    <v>206.54</v>
    <v>210.01</v>
    <v>211.58</v>
    <v>214.17</v>
    <v>209.3</v>
    <v>210.33</v>
    <v>208.31</v>
    <v>206.37</v>
    <v>207.32</v>
    <v>205.78</v>
    <v>207.78</v>
    <v>207.63</v>
    <v>207.56</v>
    <v>206.91</v>
    <v>206.95</v>
    <v>207.35</v>
    <v>204.31</v>
    <v>204.79</v>
    <v>207.49</v>
    <v>205.75</v>
    <v>204.39</v>
    <v>209.72</v>
    <v>213.65</v>
    <v>218.55</v>
    <v>219.57</v>
    <v>218.66</v>
    <v>218.21</v>
    <v>218.01</v>
    <v>218.49</v>
    <v>220.14</v>
    <v>221.49</v>
    <v>224.44</v>
    <v>227.72</v>
    <v>227.29</v>
    <v>227.25</v>
    <v>230.75</v>
    <v>233.1</v>
    <v>234.47</v>
    <v>237.79</v>
    <v>239.99</v>
    <v>238.64</v>
    <v>238.35</v>
    <v>240.86</v>
    <v>244.55</v>
    <v>243.45</v>
  </a>
  <a r="1" c="250">
    <v>9670657</v>
    <v>7974736</v>
    <v>7224030</v>
    <v>12546930</v>
    <v>10201917</v>
    <v>12303697</v>
    <v>11396410</v>
    <v>8364573</v>
    <v>12037415</v>
    <v>9191464</v>
    <v>11999962</v>
    <v>8745050</v>
    <v>8037888</v>
    <v>9637593</v>
    <v>17558982</v>
    <v>9890648</v>
    <v>8010692</v>
    <v>5286734</v>
    <v>6235797</v>
    <v>6669815</v>
    <v>7348974</v>
    <v>5936637</v>
    <v>7485930</v>
    <v>17047106</v>
    <v>8046565</v>
    <v>7456197</v>
    <v>7223773</v>
    <v>6752466</v>
    <v>5760545</v>
    <v>12481400</v>
    <v>23303065</v>
    <v>10356920</v>
    <v>13249313</v>
    <v>16601728</v>
    <v>18083040</v>
    <v>12018391</v>
    <v>18773742</v>
    <v>13830474</v>
    <v>9943851</v>
    <v>10685338</v>
    <v>10847653</v>
    <v>7987296</v>
    <v>10981067</v>
    <v>6285438</v>
    <v>7136321</v>
    <v>9099438</v>
    <v>8310425</v>
    <v>8643927</v>
    <v>5815179</v>
    <v>5246725</v>
    <v>9598156</v>
    <v>7325849</v>
    <v>5974539</v>
    <v>5464496</v>
    <v>8644189</v>
    <v>7854106</v>
    <v>7606095</v>
    <v>6520449</v>
    <v>9023782</v>
    <v>10549609</v>
    <v>10215952</v>
    <v>7945768</v>
    <v>8051150</v>
    <v>12639948</v>
    <v>7351451</v>
    <v>7032225</v>
    <v>7535335</v>
    <v>6727539</v>
    <v>6990694</v>
    <v>8459310</v>
    <v>6810982</v>
    <v>15529716</v>
    <v>6669669</v>
    <v>8209757</v>
    <v>6983861</v>
    <v>5296258</v>
    <v>5391841</v>
    <v>5319232</v>
    <v>6791881</v>
    <v>6016039</v>
    <v>7075511</v>
    <v>6587849</v>
    <v>7023995</v>
    <v>6407098</v>
    <v>8325237</v>
    <v>22605471</v>
    <v>7397853</v>
    <v>9544217</v>
    <v>7153708</v>
    <v>7156903</v>
    <v>10010787</v>
    <v>9039552</v>
    <v>10896676</v>
    <v>5544030</v>
    <v>3482521</v>
    <v>6270887</v>
    <v>6438221</v>
    <v>6147685</v>
    <v>6733128</v>
    <v>7872172</v>
    <v>10185632</v>
    <v>6873200</v>
    <v>22134769</v>
    <v>11295747</v>
    <v>9793046</v>
    <v>8254003</v>
    <v>9287991</v>
    <v>10617636</v>
    <v>6636918</v>
    <v>6255183</v>
    <v>8014640</v>
    <v>7663408</v>
    <v>6189161</v>
    <v>11036179</v>
    <v>8928229</v>
    <v>12679095</v>
    <v>7934442</v>
    <v>8957240</v>
    <v>9315942</v>
    <v>7686765</v>
    <v>7256778</v>
    <v>7917437</v>
    <v>5878666</v>
    <v>8241942</v>
    <v>9477559</v>
    <v>9284138</v>
    <v>9274182</v>
    <v>9030396</v>
    <v>8859552</v>
    <v>9524308</v>
    <v>6229149</v>
    <v>9145045</v>
    <v>5951099</v>
    <v>6424695</v>
    <v>6942311</v>
    <v>9049003</v>
    <v>7111689</v>
    <v>7854833</v>
    <v>9733803</v>
    <v>8382514</v>
    <v>6005703</v>
    <v>6891590</v>
    <v>5792527</v>
    <v>7220473</v>
    <v>4768547</v>
    <v>7959652</v>
    <v>6715188</v>
    <v>8200854</v>
    <v>25620954</v>
    <v>7193868</v>
    <v>8350743</v>
    <v>6676770</v>
    <v>8474975</v>
    <v>8634403</v>
    <v>8597083</v>
    <v>11569019</v>
    <v>13063788</v>
    <v>7728069</v>
    <v>8675087</v>
    <v>5806089</v>
    <v>8776784</v>
    <v>5751163</v>
    <v>7484764</v>
    <v>9598019</v>
    <v>7979476</v>
    <v>13613340</v>
    <v>9472995</v>
    <v>10611760</v>
    <v>7764449</v>
    <v>8034740</v>
    <v>6716360</v>
    <v>6343472</v>
    <v>8882491</v>
    <v>6903379</v>
    <v>7125956</v>
    <v>8329457</v>
    <v>10551079</v>
    <v>7072517</v>
    <v>8791666</v>
    <v>7542636</v>
    <v>7209395</v>
    <v>5049443</v>
    <v>6767417</v>
    <v>6959209</v>
    <v>5324077</v>
    <v>7465592</v>
    <v>8803005</v>
    <v>8631614</v>
    <v>8824847</v>
    <v>13256995</v>
    <v>12468619</v>
    <v>14690837</v>
    <v>10612550</v>
    <v>13189055</v>
    <v>14803873</v>
    <v>10275724</v>
    <v>6728994</v>
    <v>5638279</v>
    <v>8473726</v>
    <v>8393565</v>
    <v>8363292</v>
    <v>9049943</v>
    <v>7785552</v>
    <v>7785708</v>
    <v>7509402</v>
    <v>11599785</v>
    <v>9008960</v>
    <v>6922683</v>
    <v>8466964</v>
    <v>9949810</v>
    <v>8457560</v>
    <v>7499852</v>
    <v>24803920</v>
    <v>8187755</v>
    <v>7047346</v>
    <v>2376541</v>
    <v>2316730</v>
    <v>4348854</v>
    <v>3937395</v>
    <v>4084013</v>
    <v>6325672</v>
    <v>9476975</v>
    <v>8107853</v>
    <v>7545920</v>
    <v>6557776</v>
    <v>6154326</v>
    <v>11794339</v>
    <v>11379590</v>
    <v>11858784</v>
    <v>8492116</v>
    <v>10021515</v>
    <v>14057136</v>
    <v>14762883</v>
    <v>13160041</v>
    <v>6951040</v>
    <v>6857093</v>
    <v>8154489</v>
    <v>9026495</v>
    <v>9645348</v>
    <v>11045529</v>
    <v>8187529</v>
    <v>9346605</v>
    <v>8641449</v>
    <v>10267498</v>
    <v>8274034</v>
    <v>9378548</v>
    <v>6723253</v>
    <v>6803917</v>
    <v>10254260</v>
    <v>13268519</v>
  </a>
</arrayData>
</file>

<file path=xl/richData/rdrichvalue.xml><?xml version="1.0" encoding="utf-8"?>
<rvData xmlns="http://schemas.microsoft.com/office/spreadsheetml/2017/richdata" count="746">
  <rv s="0">
    <fb>45706</fb>
    <v>0</v>
  </rv>
  <rv s="0">
    <fb>154.99</fb>
    <v>1</v>
  </rv>
  <rv s="0">
    <fb>9670657</fb>
    <v>2</v>
  </rv>
  <rv s="0">
    <fb>45707</fb>
    <v>0</v>
  </rv>
  <rv s="0">
    <fb>157.88999999999999</fb>
    <v>1</v>
  </rv>
  <rv s="0">
    <fb>7974736</fb>
    <v>2</v>
  </rv>
  <rv s="0">
    <fb>45708</fb>
    <v>0</v>
  </rv>
  <rv s="0">
    <fb>159.68</fb>
    <v>1</v>
  </rv>
  <rv s="0">
    <fb>7224030</fb>
    <v>2</v>
  </rv>
  <rv s="0">
    <fb>45709</fb>
    <v>0</v>
  </rv>
  <rv s="0">
    <fb>162.30000000000001</fb>
    <v>1</v>
  </rv>
  <rv s="0">
    <fb>12546930</fb>
    <v>2</v>
  </rv>
  <rv s="0">
    <fb>45712</fb>
    <v>0</v>
  </rv>
  <rv s="0">
    <fb>163.74</fb>
    <v>1</v>
  </rv>
  <rv s="0">
    <fb>10201917</fb>
    <v>2</v>
  </rv>
  <rv s="0">
    <fb>45713</fb>
    <v>0</v>
  </rv>
  <rv s="0">
    <fb>166.09</fb>
    <v>1</v>
  </rv>
  <rv s="0">
    <fb>12303697</fb>
    <v>2</v>
  </rv>
  <rv s="0">
    <fb>45714</fb>
    <v>0</v>
  </rv>
  <rv s="0">
    <fb>163.08000000000001</fb>
    <v>1</v>
  </rv>
  <rv s="0">
    <fb>11396410</fb>
    <v>2</v>
  </rv>
  <rv s="0">
    <fb>45715</fb>
    <v>0</v>
  </rv>
  <rv s="0">
    <fb>163.72999999999999</fb>
    <v>1</v>
  </rv>
  <rv s="0">
    <fb>8364573</fb>
    <v>2</v>
  </rv>
  <rv s="0">
    <fb>45716</fb>
    <v>0</v>
  </rv>
  <rv s="0">
    <fb>165.02</fb>
    <v>1</v>
  </rv>
  <rv s="0">
    <fb>12037415</fb>
    <v>2</v>
  </rv>
  <rv s="0">
    <fb>45719</fb>
    <v>0</v>
  </rv>
  <rv s="0">
    <fb>167.28</fb>
    <v>1</v>
  </rv>
  <rv s="0">
    <fb>9191464</fb>
    <v>2</v>
  </rv>
  <rv s="0">
    <fb>45720</fb>
    <v>0</v>
  </rv>
  <rv s="0">
    <fb>165.42</fb>
    <v>1</v>
  </rv>
  <rv s="0">
    <fb>11999962</fb>
    <v>2</v>
  </rv>
  <rv s="0">
    <fb>45721</fb>
    <v>0</v>
  </rv>
  <rv s="0">
    <fb>165.12</fb>
    <v>1</v>
  </rv>
  <rv s="0">
    <fb>8745050</fb>
    <v>2</v>
  </rv>
  <rv s="0">
    <fb>45722</fb>
    <v>0</v>
  </rv>
  <rv s="0">
    <fb>165.83</fb>
    <v>1</v>
  </rv>
  <rv s="0">
    <fb>8037888</fb>
    <v>2</v>
  </rv>
  <rv s="0">
    <fb>45723</fb>
    <v>0</v>
  </rv>
  <rv s="0">
    <fb>166.69</fb>
    <v>1</v>
  </rv>
  <rv s="0">
    <fb>9637593</fb>
    <v>2</v>
  </rv>
  <rv s="0">
    <fb>45726</fb>
    <v>0</v>
  </rv>
  <rv s="0">
    <fb>167.7</fb>
    <v>1</v>
  </rv>
  <rv s="0">
    <fb>17558982</fb>
    <v>2</v>
  </rv>
  <rv s="0">
    <fb>45727</fb>
    <v>0</v>
  </rv>
  <rv s="0">
    <fb>165.86</fb>
    <v>1</v>
  </rv>
  <rv s="0">
    <fb>9890648</fb>
    <v>2</v>
  </rv>
  <rv s="0">
    <fb>45728</fb>
    <v>0</v>
  </rv>
  <rv s="0">
    <fb>162.85</fb>
    <v>1</v>
  </rv>
  <rv s="0">
    <fb>8010692</fb>
    <v>2</v>
  </rv>
  <rv s="0">
    <fb>45729</fb>
    <v>0</v>
  </rv>
  <rv s="0">
    <fb>162.99</fb>
    <v>1</v>
  </rv>
  <rv s="0">
    <fb>5286734</fb>
    <v>2</v>
  </rv>
  <rv s="0">
    <fb>45730</fb>
    <v>0</v>
  </rv>
  <rv s="0">
    <fb>162.81</fb>
    <v>1</v>
  </rv>
  <rv s="0">
    <fb>6235797</fb>
    <v>2</v>
  </rv>
  <rv s="0">
    <fb>45733</fb>
    <v>0</v>
  </rv>
  <rv s="0">
    <fb>162.84</fb>
    <v>1</v>
  </rv>
  <rv s="0">
    <fb>6669815</fb>
    <v>2</v>
  </rv>
  <rv s="0">
    <fb>45734</fb>
    <v>0</v>
  </rv>
  <rv s="0">
    <fb>164.25</fb>
    <v>1</v>
  </rv>
  <rv s="0">
    <fb>7348974</fb>
    <v>2</v>
  </rv>
  <rv s="0">
    <fb>45735</fb>
    <v>0</v>
  </rv>
  <rv s="0">
    <fb>5936637</fb>
    <v>2</v>
  </rv>
  <rv s="0">
    <fb>45736</fb>
    <v>0</v>
  </rv>
  <rv s="0">
    <fb>163.02000000000001</fb>
    <v>1</v>
  </rv>
  <rv s="0">
    <fb>7485930</fb>
    <v>2</v>
  </rv>
  <rv s="0">
    <fb>45737</fb>
    <v>0</v>
  </rv>
  <rv s="0">
    <fb>163.63</fb>
    <v>1</v>
  </rv>
  <rv s="0">
    <fb>17047106</fb>
    <v>2</v>
  </rv>
  <rv s="0">
    <fb>45740</fb>
    <v>0</v>
  </rv>
  <rv s="0">
    <fb>163.29</fb>
    <v>1</v>
  </rv>
  <rv s="0">
    <fb>8046565</fb>
    <v>2</v>
  </rv>
  <rv s="0">
    <fb>45741</fb>
    <v>0</v>
  </rv>
  <rv s="0">
    <fb>161.02000000000001</fb>
    <v>1</v>
  </rv>
  <rv s="0">
    <fb>7456197</fb>
    <v>2</v>
  </rv>
  <rv s="0">
    <fb>45742</fb>
    <v>0</v>
  </rv>
  <rv s="0">
    <fb>161.72</fb>
    <v>1</v>
  </rv>
  <rv s="0">
    <fb>7223773</fb>
    <v>2</v>
  </rv>
  <rv s="0">
    <fb>45743</fb>
    <v>0</v>
  </rv>
  <rv s="0">
    <fb>163.13</fb>
    <v>1</v>
  </rv>
  <rv s="0">
    <fb>6752466</fb>
    <v>2</v>
  </rv>
  <rv s="0">
    <fb>45744</fb>
    <v>0</v>
  </rv>
  <rv s="0">
    <fb>163.71</fb>
    <v>1</v>
  </rv>
  <rv s="0">
    <fb>5760545</fb>
    <v>2</v>
  </rv>
  <rv s="0">
    <fb>45747</fb>
    <v>0</v>
  </rv>
  <rv s="0">
    <fb>165.84</fb>
    <v>1</v>
  </rv>
  <rv s="0">
    <fb>12481400</fb>
    <v>2</v>
  </rv>
  <rv s="0">
    <fb>45748</fb>
    <v>0</v>
  </rv>
  <rv s="0">
    <fb>153.25</fb>
    <v>1</v>
  </rv>
  <rv s="0">
    <fb>23303065</fb>
    <v>2</v>
  </rv>
  <rv s="0">
    <fb>45749</fb>
    <v>0</v>
  </rv>
  <rv s="0">
    <fb>155.36000000000001</fb>
    <v>1</v>
  </rv>
  <rv s="0">
    <fb>10356920</fb>
    <v>2</v>
  </rv>
  <rv s="0">
    <fb>45750</fb>
    <v>0</v>
  </rv>
  <rv s="0">
    <fb>159.82</fb>
    <v>1</v>
  </rv>
  <rv s="0">
    <fb>13249313</fb>
    <v>2</v>
  </rv>
  <rv s="0">
    <fb>45751</fb>
    <v>0</v>
  </rv>
  <rv s="0">
    <fb>153.24</fb>
    <v>1</v>
  </rv>
  <rv s="0">
    <fb>16601728</fb>
    <v>2</v>
  </rv>
  <rv s="0">
    <fb>45754</fb>
    <v>0</v>
  </rv>
  <rv s="0">
    <fb>150.62</fb>
    <v>1</v>
  </rv>
  <rv s="0">
    <fb>18083040</fb>
    <v>2</v>
  </rv>
  <rv s="0">
    <fb>45755</fb>
    <v>0</v>
  </rv>
  <rv s="0">
    <fb>150</fb>
    <v>1</v>
  </rv>
  <rv s="0">
    <fb>12018391</fb>
    <v>2</v>
  </rv>
  <rv s="0">
    <fb>45756</fb>
    <v>0</v>
  </rv>
  <rv s="0">
    <fb>150.97</fb>
    <v>1</v>
  </rv>
  <rv s="0">
    <fb>18773742</fb>
    <v>2</v>
  </rv>
  <rv s="0">
    <fb>45757</fb>
    <v>0</v>
  </rv>
  <rv s="0">
    <fb>148.69</fb>
    <v>1</v>
  </rv>
  <rv s="0">
    <fb>13830474</fb>
    <v>2</v>
  </rv>
  <rv s="0">
    <fb>45758</fb>
    <v>0</v>
  </rv>
  <rv s="0">
    <fb>151.72999999999999</fb>
    <v>1</v>
  </rv>
  <rv s="0">
    <fb>9943851</fb>
    <v>2</v>
  </rv>
  <rv s="0">
    <fb>45761</fb>
    <v>0</v>
  </rv>
  <rv s="0">
    <fb>154.36000000000001</fb>
    <v>1</v>
  </rv>
  <rv s="0">
    <fb>10685338</fb>
    <v>2</v>
  </rv>
  <rv s="0">
    <fb>45762</fb>
    <v>0</v>
  </rv>
  <rv s="0">
    <fb>153.62</fb>
    <v>1</v>
  </rv>
  <rv s="0">
    <fb>10847653</fb>
    <v>2</v>
  </rv>
  <rv s="0">
    <fb>45763</fb>
    <v>0</v>
  </rv>
  <rv s="0">
    <fb>153.91</fb>
    <v>1</v>
  </rv>
  <rv s="0">
    <fb>7987296</fb>
    <v>2</v>
  </rv>
  <rv s="0">
    <fb>45764</fb>
    <v>0</v>
  </rv>
  <rv s="0">
    <fb>157.47</fb>
    <v>1</v>
  </rv>
  <rv s="0">
    <fb>10981067</fb>
    <v>2</v>
  </rv>
  <rv s="0">
    <fb>45768</fb>
    <v>0</v>
  </rv>
  <rv s="0">
    <fb>156.91999999999999</fb>
    <v>1</v>
  </rv>
  <rv s="0">
    <fb>6285438</fb>
    <v>2</v>
  </rv>
  <rv s="0">
    <fb>45769</fb>
    <v>0</v>
  </rv>
  <rv s="0">
    <fb>157.75</fb>
    <v>1</v>
  </rv>
  <rv s="0">
    <fb>7136321</fb>
    <v>2</v>
  </rv>
  <rv s="0">
    <fb>45770</fb>
    <v>0</v>
  </rv>
  <rv s="0">
    <fb>155.38</fb>
    <v>1</v>
  </rv>
  <rv s="0">
    <fb>9099438</fb>
    <v>2</v>
  </rv>
  <rv s="0">
    <fb>45771</fb>
    <v>0</v>
  </rv>
  <rv s="0">
    <fb>154.93</fb>
    <v>1</v>
  </rv>
  <rv s="0">
    <fb>8310425</fb>
    <v>2</v>
  </rv>
  <rv s="0">
    <fb>45772</fb>
    <v>0</v>
  </rv>
  <rv s="0">
    <fb>154.58000000000001</fb>
    <v>1</v>
  </rv>
  <rv s="0">
    <fb>8643927</fb>
    <v>2</v>
  </rv>
  <rv s="0">
    <fb>45775</fb>
    <v>0</v>
  </rv>
  <rv s="0">
    <fb>155.35</fb>
    <v>1</v>
  </rv>
  <rv s="0">
    <fb>5815179</fb>
    <v>2</v>
  </rv>
  <rv s="0">
    <fb>45776</fb>
    <v>0</v>
  </rv>
  <rv s="0">
    <fb>155.91</fb>
    <v>1</v>
  </rv>
  <rv s="0">
    <fb>5246725</fb>
    <v>2</v>
  </rv>
  <rv s="0">
    <fb>45777</fb>
    <v>0</v>
  </rv>
  <rv s="0">
    <fb>156.31</fb>
    <v>1</v>
  </rv>
  <rv s="0">
    <fb>9598156</fb>
    <v>2</v>
  </rv>
  <rv s="0">
    <fb>45778</fb>
    <v>0</v>
  </rv>
  <rv s="0">
    <fb>154.46</fb>
    <v>1</v>
  </rv>
  <rv s="0">
    <fb>7325849</fb>
    <v>2</v>
  </rv>
  <rv s="0">
    <fb>45779</fb>
    <v>0</v>
  </rv>
  <rv s="0">
    <fb>156.12</fb>
    <v>1</v>
  </rv>
  <rv s="0">
    <fb>5974539</fb>
    <v>2</v>
  </rv>
  <rv s="0">
    <fb>45782</fb>
    <v>0</v>
  </rv>
  <rv s="0">
    <fb>155</fb>
    <v>1</v>
  </rv>
  <rv s="0">
    <fb>5464496</fb>
    <v>2</v>
  </rv>
  <rv s="0">
    <fb>45783</fb>
    <v>0</v>
  </rv>
  <rv s="0">
    <fb>154.47</fb>
    <v>1</v>
  </rv>
  <rv s="0">
    <fb>8644189</fb>
    <v>2</v>
  </rv>
  <rv s="0">
    <fb>45784</fb>
    <v>0</v>
  </rv>
  <rv s="0">
    <fb>157.30000000000001</fb>
    <v>1</v>
  </rv>
  <rv s="0">
    <fb>7854106</fb>
    <v>2</v>
  </rv>
  <rv s="0">
    <fb>45785</fb>
    <v>0</v>
  </rv>
  <rv s="0">
    <fb>155.66</fb>
    <v>1</v>
  </rv>
  <rv s="0">
    <fb>7606095</fb>
    <v>2</v>
  </rv>
  <rv s="0">
    <fb>45786</fb>
    <v>0</v>
  </rv>
  <rv s="0">
    <fb>154.22</fb>
    <v>1</v>
  </rv>
  <rv s="0">
    <fb>6520449</fb>
    <v>2</v>
  </rv>
  <rv s="0">
    <fb>45789</fb>
    <v>0</v>
  </rv>
  <rv s="0">
    <fb>154.13999999999999</fb>
    <v>1</v>
  </rv>
  <rv s="0">
    <fb>9023782</fb>
    <v>2</v>
  </rv>
  <rv s="0">
    <fb>45790</fb>
    <v>0</v>
  </rv>
  <rv s="0">
    <fb>148.44</fb>
    <v>1</v>
  </rv>
  <rv s="0">
    <fb>10549609</fb>
    <v>2</v>
  </rv>
  <rv s="0">
    <fb>45791</fb>
    <v>0</v>
  </rv>
  <rv s="0">
    <fb>146.36000000000001</fb>
    <v>1</v>
  </rv>
  <rv s="0">
    <fb>10215952</fb>
    <v>2</v>
  </rv>
  <rv s="0">
    <fb>45792</fb>
    <v>0</v>
  </rv>
  <rv s="0">
    <fb>149.61000000000001</fb>
    <v>1</v>
  </rv>
  <rv s="0">
    <fb>7945768</fb>
    <v>2</v>
  </rv>
  <rv s="0">
    <fb>45793</fb>
    <v>0</v>
  </rv>
  <rv s="0">
    <fb>151.33000000000001</fb>
    <v>1</v>
  </rv>
  <rv s="0">
    <fb>8051150</fb>
    <v>2</v>
  </rv>
  <rv s="0">
    <fb>45796</fb>
    <v>0</v>
  </rv>
  <rv s="0">
    <fb>152.49</fb>
    <v>1</v>
  </rv>
  <rv s="0">
    <fb>12639948</fb>
    <v>2</v>
  </rv>
  <rv s="0">
    <fb>45797</fb>
    <v>0</v>
  </rv>
  <rv s="0">
    <fb>153.66</fb>
    <v>1</v>
  </rv>
  <rv s="0">
    <fb>7351451</fb>
    <v>2</v>
  </rv>
  <rv s="0">
    <fb>45798</fb>
    <v>0</v>
  </rv>
  <rv s="0">
    <fb>153.18</fb>
    <v>1</v>
  </rv>
  <rv s="0">
    <fb>7032225</fb>
    <v>2</v>
  </rv>
  <rv s="0">
    <fb>45799</fb>
    <v>0</v>
  </rv>
  <rv s="0">
    <fb>152.61000000000001</fb>
    <v>1</v>
  </rv>
  <rv s="0">
    <fb>7535335</fb>
    <v>2</v>
  </rv>
  <rv s="0">
    <fb>45800</fb>
    <v>0</v>
  </rv>
  <rv s="0">
    <fb>152.94</fb>
    <v>1</v>
  </rv>
  <rv s="0">
    <fb>6727539</fb>
    <v>2</v>
  </rv>
  <rv s="0">
    <fb>45804</fb>
    <v>0</v>
  </rv>
  <rv s="0">
    <fb>6990694</fb>
    <v>2</v>
  </rv>
  <rv s="0">
    <fb>45805</fb>
    <v>0</v>
  </rv>
  <rv s="0">
    <fb>152.43</fb>
    <v>1</v>
  </rv>
  <rv s="0">
    <fb>8459310</fb>
    <v>2</v>
  </rv>
  <rv s="0">
    <fb>45806</fb>
    <v>0</v>
  </rv>
  <rv s="0">
    <fb>153.58000000000001</fb>
    <v>1</v>
  </rv>
  <rv s="0">
    <fb>6810982</fb>
    <v>2</v>
  </rv>
  <rv s="0">
    <fb>45807</fb>
    <v>0</v>
  </rv>
  <rv s="0">
    <fb>155.21</fb>
    <v>1</v>
  </rv>
  <rv s="0">
    <fb>15529716</fb>
    <v>2</v>
  </rv>
  <rv s="0">
    <fb>45810</fb>
    <v>0</v>
  </rv>
  <rv s="0">
    <fb>155.4</fb>
    <v>1</v>
  </rv>
  <rv s="0">
    <fb>6669669</fb>
    <v>2</v>
  </rv>
  <rv s="0">
    <fb>45811</fb>
    <v>0</v>
  </rv>
  <rv s="0">
    <fb>154.41999999999999</fb>
    <v>1</v>
  </rv>
  <rv s="0">
    <fb>8209757</fb>
    <v>2</v>
  </rv>
  <rv s="0">
    <fb>45812</fb>
    <v>0</v>
  </rv>
  <rv s="0">
    <fb>153.22</fb>
    <v>1</v>
  </rv>
  <rv s="0">
    <fb>6983861</fb>
    <v>2</v>
  </rv>
  <rv s="0">
    <fb>45813</fb>
    <v>0</v>
  </rv>
  <rv s="0">
    <fb>5296258</fb>
    <v>2</v>
  </rv>
  <rv s="0">
    <fb>45814</fb>
    <v>0</v>
  </rv>
  <rv s="0">
    <fb>155.03</fb>
    <v>1</v>
  </rv>
  <rv s="0">
    <fb>5391841</fb>
    <v>2</v>
  </rv>
  <rv s="0">
    <fb>45817</fb>
    <v>0</v>
  </rv>
  <rv s="0">
    <fb>155.22999999999999</fb>
    <v>1</v>
  </rv>
  <rv s="0">
    <fb>5319232</fb>
    <v>2</v>
  </rv>
  <rv s="0">
    <fb>45818</fb>
    <v>0</v>
  </rv>
  <rv s="0">
    <fb>156.44999999999999</fb>
    <v>1</v>
  </rv>
  <rv s="0">
    <fb>6791881</fb>
    <v>2</v>
  </rv>
  <rv s="0">
    <fb>45819</fb>
    <v>0</v>
  </rv>
  <rv s="0">
    <fb>155.26</fb>
    <v>1</v>
  </rv>
  <rv s="0">
    <fb>6016039</fb>
    <v>2</v>
  </rv>
  <rv s="0">
    <fb>45820</fb>
    <v>0</v>
  </rv>
  <rv s="0">
    <fb>156.66</fb>
    <v>1</v>
  </rv>
  <rv s="0">
    <fb>7075511</fb>
    <v>2</v>
  </rv>
  <rv s="0">
    <fb>45821</fb>
    <v>0</v>
  </rv>
  <rv s="0">
    <fb>157.1</fb>
    <v>1</v>
  </rv>
  <rv s="0">
    <fb>6587849</fb>
    <v>2</v>
  </rv>
  <rv s="0">
    <fb>45824</fb>
    <v>0</v>
  </rv>
  <rv s="0">
    <fb>155.22</fb>
    <v>1</v>
  </rv>
  <rv s="0">
    <fb>7023995</fb>
    <v>2</v>
  </rv>
  <rv s="0">
    <fb>45825</fb>
    <v>0</v>
  </rv>
  <rv s="0">
    <fb>152.38</fb>
    <v>1</v>
  </rv>
  <rv s="0">
    <fb>6407098</fb>
    <v>2</v>
  </rv>
  <rv s="0">
    <fb>45826</fb>
    <v>0</v>
  </rv>
  <rv s="0">
    <fb>150.72999999999999</fb>
    <v>1</v>
  </rv>
  <rv s="0">
    <fb>8325237</fb>
    <v>2</v>
  </rv>
  <rv s="0">
    <fb>45828</fb>
    <v>0</v>
  </rv>
  <rv s="0">
    <fb>149.79</fb>
    <v>1</v>
  </rv>
  <rv s="0">
    <fb>22605471</fb>
    <v>2</v>
  </rv>
  <rv s="0">
    <fb>45831</fb>
    <v>0</v>
  </rv>
  <rv s="0">
    <fb>151.32</fb>
    <v>1</v>
  </rv>
  <rv s="0">
    <fb>7397853</fb>
    <v>2</v>
  </rv>
  <rv s="0">
    <fb>45832</fb>
    <v>0</v>
  </rv>
  <rv s="0">
    <fb>152.19</fb>
    <v>1</v>
  </rv>
  <rv s="0">
    <fb>9544217</fb>
    <v>2</v>
  </rv>
  <rv s="0">
    <fb>45833</fb>
    <v>0</v>
  </rv>
  <rv s="0">
    <fb>152.28</fb>
    <v>1</v>
  </rv>
  <rv s="0">
    <fb>7153708</fb>
    <v>2</v>
  </rv>
  <rv s="0">
    <fb>45834</fb>
    <v>0</v>
  </rv>
  <rv s="0">
    <fb>152.01</fb>
    <v>1</v>
  </rv>
  <rv s="0">
    <fb>7156903</fb>
    <v>2</v>
  </rv>
  <rv s="0">
    <fb>45835</fb>
    <v>0</v>
  </rv>
  <rv s="0">
    <fb>152.41</fb>
    <v>1</v>
  </rv>
  <rv s="0">
    <fb>10010787</fb>
    <v>2</v>
  </rv>
  <rv s="0">
    <fb>45838</fb>
    <v>0</v>
  </rv>
  <rv s="0">
    <fb>152.75</fb>
    <v>1</v>
  </rv>
  <rv s="0">
    <fb>9039552</fb>
    <v>2</v>
  </rv>
  <rv s="0">
    <fb>45839</fb>
    <v>0</v>
  </rv>
  <rv s="0">
    <fb>155.91999999999999</fb>
    <v>1</v>
  </rv>
  <rv s="0">
    <fb>10896676</fb>
    <v>2</v>
  </rv>
  <rv s="0">
    <fb>45840</fb>
    <v>0</v>
  </rv>
  <rv s="0">
    <fb>155.56</fb>
    <v>1</v>
  </rv>
  <rv s="0">
    <fb>5544030</fb>
    <v>2</v>
  </rv>
  <rv s="0">
    <fb>45841</fb>
    <v>0</v>
  </rv>
  <rv s="0">
    <fb>156.01</fb>
    <v>1</v>
  </rv>
  <rv s="0">
    <fb>3482521</fb>
    <v>2</v>
  </rv>
  <rv s="0">
    <fb>45845</fb>
    <v>0</v>
  </rv>
  <rv s="0">
    <fb>155.27000000000001</fb>
    <v>1</v>
  </rv>
  <rv s="0">
    <fb>6270887</fb>
    <v>2</v>
  </rv>
  <rv s="0">
    <fb>45846</fb>
    <v>0</v>
  </rv>
  <rv s="0">
    <fb>155.79</fb>
    <v>1</v>
  </rv>
  <rv s="0">
    <fb>6438221</fb>
    <v>2</v>
  </rv>
  <rv s="0">
    <fb>45847</fb>
    <v>0</v>
  </rv>
  <rv s="0">
    <fb>156.28</fb>
    <v>1</v>
  </rv>
  <rv s="0">
    <fb>6147685</fb>
    <v>2</v>
  </rv>
  <rv s="0">
    <fb>45848</fb>
    <v>0</v>
  </rv>
  <rv s="0">
    <fb>157.69</fb>
    <v>1</v>
  </rv>
  <rv s="0">
    <fb>6733128</fb>
    <v>2</v>
  </rv>
  <rv s="0">
    <fb>45849</fb>
    <v>0</v>
  </rv>
  <rv s="0">
    <fb>156.9</fb>
    <v>1</v>
  </rv>
  <rv s="0">
    <fb>7872172</fb>
    <v>2</v>
  </rv>
  <rv s="0">
    <fb>45852</fb>
    <v>0</v>
  </rv>
  <rv s="0">
    <fb>156.82</fb>
    <v>1</v>
  </rv>
  <rv s="0">
    <fb>10185632</fb>
    <v>2</v>
  </rv>
  <rv s="0">
    <fb>45853</fb>
    <v>0</v>
  </rv>
  <rv s="0">
    <fb>155.16999999999999</fb>
    <v>1</v>
  </rv>
  <rv s="0">
    <fb>6873200</fb>
    <v>2</v>
  </rv>
  <rv s="0">
    <fb>45854</fb>
    <v>0</v>
  </rv>
  <rv s="0">
    <fb>164.78</fb>
    <v>1</v>
  </rv>
  <rv s="0">
    <fb>22134769</fb>
    <v>2</v>
  </rv>
  <rv s="0">
    <fb>45855</fb>
    <v>0</v>
  </rv>
  <rv s="0">
    <fb>162.97999999999999</fb>
    <v>1</v>
  </rv>
  <rv s="0">
    <fb>11295747</fb>
    <v>2</v>
  </rv>
  <rv s="0">
    <fb>45856</fb>
    <v>0</v>
  </rv>
  <rv s="0">
    <fb>163.69999999999999</fb>
    <v>1</v>
  </rv>
  <rv s="0">
    <fb>9793046</fb>
    <v>2</v>
  </rv>
  <rv s="0">
    <fb>45859</fb>
    <v>0</v>
  </rv>
  <rv s="0">
    <fb>164.36</fb>
    <v>1</v>
  </rv>
  <rv s="0">
    <fb>8254003</fb>
    <v>2</v>
  </rv>
  <rv s="0">
    <fb>45860</fb>
    <v>0</v>
  </rv>
  <rv s="0">
    <fb>167.93</fb>
    <v>1</v>
  </rv>
  <rv s="0">
    <fb>9287991</fb>
    <v>2</v>
  </rv>
  <rv s="0">
    <fb>45861</fb>
    <v>0</v>
  </rv>
  <rv s="0">
    <fb>169.1</fb>
    <v>1</v>
  </rv>
  <rv s="0">
    <fb>10617636</fb>
    <v>2</v>
  </rv>
  <rv s="0">
    <fb>45862</fb>
    <v>0</v>
  </rv>
  <rv s="0">
    <fb>169.56</fb>
    <v>1</v>
  </rv>
  <rv s="0">
    <fb>6636918</fb>
    <v>2</v>
  </rv>
  <rv s="0">
    <fb>45863</fb>
    <v>0</v>
  </rv>
  <rv s="0">
    <fb>168.3</fb>
    <v>1</v>
  </rv>
  <rv s="0">
    <fb>6255183</fb>
    <v>2</v>
  </rv>
  <rv s="0">
    <fb>45866</fb>
    <v>0</v>
  </rv>
  <rv s="0">
    <fb>166.22</fb>
    <v>1</v>
  </rv>
  <rv s="0">
    <fb>8014640</fb>
    <v>2</v>
  </rv>
  <rv s="0">
    <fb>45867</fb>
    <v>0</v>
  </rv>
  <rv s="0">
    <fb>168.11</fb>
    <v>1</v>
  </rv>
  <rv s="0">
    <fb>7663408</fb>
    <v>2</v>
  </rv>
  <rv s="0">
    <fb>45868</fb>
    <v>0</v>
  </rv>
  <rv s="0">
    <fb>167.26</fb>
    <v>1</v>
  </rv>
  <rv s="0">
    <fb>6189161</fb>
    <v>2</v>
  </rv>
  <rv s="0">
    <fb>45869</fb>
    <v>0</v>
  </rv>
  <rv s="0">
    <fb>164.74</fb>
    <v>1</v>
  </rv>
  <rv s="0">
    <fb>11036179</fb>
    <v>2</v>
  </rv>
  <rv s="0">
    <fb>45870</fb>
    <v>0</v>
  </rv>
  <rv s="0">
    <fb>167.33</fb>
    <v>1</v>
  </rv>
  <rv s="0">
    <fb>8928229</fb>
    <v>2</v>
  </rv>
  <rv s="0">
    <fb>45873</fb>
    <v>0</v>
  </rv>
  <rv s="0">
    <fb>171.04</fb>
    <v>1</v>
  </rv>
  <rv s="0">
    <fb>12679095</fb>
    <v>2</v>
  </rv>
  <rv s="0">
    <fb>45874</fb>
    <v>0</v>
  </rv>
  <rv s="0">
    <fb>170.74</fb>
    <v>1</v>
  </rv>
  <rv s="0">
    <fb>7934442</fb>
    <v>2</v>
  </rv>
  <rv s="0">
    <fb>45875</fb>
    <v>0</v>
  </rv>
  <rv s="0">
    <fb>170.59</fb>
    <v>1</v>
  </rv>
  <rv s="0">
    <fb>8957240</fb>
    <v>2</v>
  </rv>
  <rv s="0">
    <fb>45876</fb>
    <v>0</v>
  </rv>
  <rv s="0">
    <fb>171.53</fb>
    <v>1</v>
  </rv>
  <rv s="0">
    <fb>9315942</fb>
    <v>2</v>
  </rv>
  <rv s="0">
    <fb>45877</fb>
    <v>0</v>
  </rv>
  <rv s="0">
    <fb>173.33</fb>
    <v>1</v>
  </rv>
  <rv s="0">
    <fb>7686765</fb>
    <v>2</v>
  </rv>
  <rv s="0">
    <fb>45880</fb>
    <v>0</v>
  </rv>
  <rv s="0">
    <fb>173.82</fb>
    <v>1</v>
  </rv>
  <rv s="0">
    <fb>7256778</fb>
    <v>2</v>
  </rv>
  <rv s="0">
    <fb>45881</fb>
    <v>0</v>
  </rv>
  <rv s="0">
    <fb>172.78</fb>
    <v>1</v>
  </rv>
  <rv s="0">
    <fb>7917437</fb>
    <v>2</v>
  </rv>
  <rv s="0">
    <fb>45882</fb>
    <v>0</v>
  </rv>
  <rv s="0">
    <fb>174.42</fb>
    <v>1</v>
  </rv>
  <rv s="0">
    <fb>5878666</fb>
    <v>2</v>
  </rv>
  <rv s="0">
    <fb>45883</fb>
    <v>0</v>
  </rv>
  <rv s="0">
    <fb>174.72</fb>
    <v>1</v>
  </rv>
  <rv s="0">
    <fb>8241942</fb>
    <v>2</v>
  </rv>
  <rv s="0">
    <fb>45884</fb>
    <v>0</v>
  </rv>
  <rv s="0">
    <fb>176.64</fb>
    <v>1</v>
  </rv>
  <rv s="0">
    <fb>9477559</fb>
    <v>2</v>
  </rv>
  <rv s="0">
    <fb>45887</fb>
    <v>0</v>
  </rv>
  <rv s="0">
    <fb>176.25</fb>
    <v>1</v>
  </rv>
  <rv s="0">
    <fb>9284138</fb>
    <v>2</v>
  </rv>
  <rv s="0">
    <fb>45888</fb>
    <v>0</v>
  </rv>
  <rv s="0">
    <fb>177.8</fb>
    <v>1</v>
  </rv>
  <rv s="0">
    <fb>9274182</fb>
    <v>2</v>
  </rv>
  <rv s="0">
    <fb>45889</fb>
    <v>0</v>
  </rv>
  <rv s="0">
    <fb>178.84</fb>
    <v>1</v>
  </rv>
  <rv s="0">
    <fb>9030396</fb>
    <v>2</v>
  </rv>
  <rv s="0">
    <fb>45890</fb>
    <v>0</v>
  </rv>
  <rv s="0">
    <fb>178.93</fb>
    <v>1</v>
  </rv>
  <rv s="0">
    <fb>8859552</fb>
    <v>2</v>
  </rv>
  <rv s="0">
    <fb>45891</fb>
    <v>0</v>
  </rv>
  <rv s="0">
    <fb>179.29</fb>
    <v>1</v>
  </rv>
  <rv s="0">
    <fb>9524308</fb>
    <v>2</v>
  </rv>
  <rv s="0">
    <fb>45894</fb>
    <v>0</v>
  </rv>
  <rv s="0">
    <fb>178.41</fb>
    <v>1</v>
  </rv>
  <rv s="0">
    <fb>6229149</fb>
    <v>2</v>
  </rv>
  <rv s="0">
    <fb>45895</fb>
    <v>0</v>
  </rv>
  <rv s="0">
    <fb>176.49</fb>
    <v>1</v>
  </rv>
  <rv s="0">
    <fb>9145045</fb>
    <v>2</v>
  </rv>
  <rv s="0">
    <fb>45896</fb>
    <v>0</v>
  </rv>
  <rv s="0">
    <fb>176.79</fb>
    <v>1</v>
  </rv>
  <rv s="0">
    <fb>5951099</fb>
    <v>2</v>
  </rv>
  <rv s="0">
    <fb>45897</fb>
    <v>0</v>
  </rv>
  <rv s="0">
    <fb>175.45</fb>
    <v>1</v>
  </rv>
  <rv s="0">
    <fb>6424695</fb>
    <v>2</v>
  </rv>
  <rv s="0">
    <fb>45898</fb>
    <v>0</v>
  </rv>
  <rv s="0">
    <fb>177.17</fb>
    <v>1</v>
  </rv>
  <rv s="0">
    <fb>6942311</fb>
    <v>2</v>
  </rv>
  <rv s="0">
    <fb>45902</fb>
    <v>0</v>
  </rv>
  <rv s="0">
    <fb>178.06</fb>
    <v>1</v>
  </rv>
  <rv s="0">
    <fb>9049003</fb>
    <v>2</v>
  </rv>
  <rv s="0">
    <fb>45903</fb>
    <v>0</v>
  </rv>
  <rv s="0">
    <fb>178</fb>
    <v>1</v>
  </rv>
  <rv s="0">
    <fb>7111689</fb>
    <v>2</v>
  </rv>
  <rv s="0">
    <fb>45904</fb>
    <v>0</v>
  </rv>
  <rv s="0">
    <fb>178.76</fb>
    <v>1</v>
  </rv>
  <rv s="0">
    <fb>7854833</fb>
    <v>2</v>
  </rv>
  <rv s="0">
    <fb>45905</fb>
    <v>0</v>
  </rv>
  <rv s="0">
    <fb>178.43</fb>
    <v>1</v>
  </rv>
  <rv s="0">
    <fb>9733803</fb>
    <v>2</v>
  </rv>
  <rv s="0">
    <fb>45908</fb>
    <v>0</v>
  </rv>
  <rv s="0">
    <fb>178.13</fb>
    <v>1</v>
  </rv>
  <rv s="0">
    <fb>8382514</fb>
    <v>2</v>
  </rv>
  <rv s="0">
    <fb>45909</fb>
    <v>0</v>
  </rv>
  <rv s="0">
    <fb>176.96</fb>
    <v>1</v>
  </rv>
  <rv s="0">
    <fb>6005703</fb>
    <v>2</v>
  </rv>
  <rv s="0">
    <fb>45910</fb>
    <v>0</v>
  </rv>
  <rv s="0">
    <fb>175.79</fb>
    <v>1</v>
  </rv>
  <rv s="0">
    <fb>6891590</fb>
    <v>2</v>
  </rv>
  <rv s="0">
    <fb>45911</fb>
    <v>0</v>
  </rv>
  <rv s="0">
    <fb>178.5</fb>
    <v>1</v>
  </rv>
  <rv s="0">
    <fb>5792527</fb>
    <v>2</v>
  </rv>
  <rv s="0">
    <fb>45912</fb>
    <v>0</v>
  </rv>
  <rv s="0">
    <fb>7220473</fb>
    <v>2</v>
  </rv>
  <rv s="0">
    <fb>45915</fb>
    <v>0</v>
  </rv>
  <rv s="0">
    <fb>177.4</fb>
    <v>1</v>
  </rv>
  <rv s="0">
    <fb>4768547</fb>
    <v>2</v>
  </rv>
  <rv s="0">
    <fb>45916</fb>
    <v>0</v>
  </rv>
  <rv s="0">
    <fb>176.46</fb>
    <v>1</v>
  </rv>
  <rv s="0">
    <fb>7959652</fb>
    <v>2</v>
  </rv>
  <rv s="0">
    <fb>45917</fb>
    <v>0</v>
  </rv>
  <rv s="0">
    <fb>177.2</fb>
    <v>1</v>
  </rv>
  <rv s="0">
    <fb>6715188</fb>
    <v>2</v>
  </rv>
  <rv s="0">
    <fb>45918</fb>
    <v>0</v>
  </rv>
  <rv s="0">
    <fb>174.16</fb>
    <v>1</v>
  </rv>
  <rv s="0">
    <fb>8200854</fb>
    <v>2</v>
  </rv>
  <rv s="0">
    <fb>45919</fb>
    <v>0</v>
  </rv>
  <rv s="0">
    <fb>176.19</fb>
    <v>1</v>
  </rv>
  <rv s="0">
    <fb>25620954</fb>
    <v>2</v>
  </rv>
  <rv s="0">
    <fb>45922</fb>
    <v>0</v>
  </rv>
  <rv s="0">
    <fb>174.21</fb>
    <v>1</v>
  </rv>
  <rv s="0">
    <fb>7193868</fb>
    <v>2</v>
  </rv>
  <rv s="0">
    <fb>45923</fb>
    <v>0</v>
  </rv>
  <rv s="0">
    <fb>176.58</fb>
    <v>1</v>
  </rv>
  <rv s="0">
    <fb>8350743</fb>
    <v>2</v>
  </rv>
  <rv s="0">
    <fb>45924</fb>
    <v>0</v>
  </rv>
  <rv s="0">
    <fb>176.69</fb>
    <v>1</v>
  </rv>
  <rv s="0">
    <fb>6676770</fb>
    <v>2</v>
  </rv>
  <rv s="0">
    <fb>45925</fb>
    <v>0</v>
  </rv>
  <rv s="0">
    <fb>177.73</fb>
    <v>1</v>
  </rv>
  <rv s="0">
    <fb>8474975</fb>
    <v>2</v>
  </rv>
  <rv s="0">
    <fb>45926</fb>
    <v>0</v>
  </rv>
  <rv s="0">
    <fb>179.71</fb>
    <v>1</v>
  </rv>
  <rv s="0">
    <fb>8634403</fb>
    <v>2</v>
  </rv>
  <rv s="0">
    <fb>45929</fb>
    <v>0</v>
  </rv>
  <rv s="0">
    <fb>181.62</fb>
    <v>1</v>
  </rv>
  <rv s="0">
    <fb>8597083</fb>
    <v>2</v>
  </rv>
  <rv s="0">
    <fb>45930</fb>
    <v>0</v>
  </rv>
  <rv s="0">
    <fb>185.42</fb>
    <v>1</v>
  </rv>
  <rv s="0">
    <fb>11569019</fb>
    <v>2</v>
  </rv>
  <rv s="0">
    <fb>45931</fb>
    <v>0</v>
  </rv>
  <rv s="0">
    <fb>186.05</fb>
    <v>1</v>
  </rv>
  <rv s="0">
    <fb>13063788</fb>
    <v>2</v>
  </rv>
  <rv s="0">
    <fb>45932</fb>
    <v>0</v>
  </rv>
  <rv s="0">
    <fb>185.98</fb>
    <v>1</v>
  </rv>
  <rv s="0">
    <fb>7728069</fb>
    <v>2</v>
  </rv>
  <rv s="0">
    <fb>45933</fb>
    <v>0</v>
  </rv>
  <rv s="0">
    <fb>188.64</fb>
    <v>1</v>
  </rv>
  <rv s="0">
    <fb>8675087</fb>
    <v>2</v>
  </rv>
  <rv s="0">
    <fb>45936</fb>
    <v>0</v>
  </rv>
  <rv s="0">
    <fb>188.16</fb>
    <v>1</v>
  </rv>
  <rv s="0">
    <fb>5806089</fb>
    <v>2</v>
  </rv>
  <rv s="0">
    <fb>45937</fb>
    <v>0</v>
  </rv>
  <rv s="0">
    <fb>188.89</fb>
    <v>1</v>
  </rv>
  <rv s="0">
    <fb>8776784</fb>
    <v>2</v>
  </rv>
  <rv s="0">
    <fb>45938</fb>
    <v>0</v>
  </rv>
  <rv s="0">
    <fb>189.69</fb>
    <v>1</v>
  </rv>
  <rv s="0">
    <fb>5751163</fb>
    <v>2</v>
  </rv>
  <rv s="0">
    <fb>45939</fb>
    <v>0</v>
  </rv>
  <rv s="0">
    <fb>191.08</fb>
    <v>1</v>
  </rv>
  <rv s="0">
    <fb>7484764</fb>
    <v>2</v>
  </rv>
  <rv s="0">
    <fb>45940</fb>
    <v>0</v>
  </rv>
  <rv s="0">
    <fb>190.72</fb>
    <v>1</v>
  </rv>
  <rv s="0">
    <fb>9598019</fb>
    <v>2</v>
  </rv>
  <rv s="0">
    <fb>45943</fb>
    <v>0</v>
  </rv>
  <rv s="0">
    <fb>190.9</fb>
    <v>1</v>
  </rv>
  <rv s="0">
    <fb>7979476</fb>
    <v>2</v>
  </rv>
  <rv s="0">
    <fb>45944</fb>
    <v>0</v>
  </rv>
  <rv s="0">
    <fb>190.85</fb>
    <v>1</v>
  </rv>
  <rv s="0">
    <fb>13613340</fb>
    <v>2</v>
  </rv>
  <rv s="0">
    <fb>45945</fb>
    <v>0</v>
  </rv>
  <rv s="0">
    <fb>191.17</fb>
    <v>1</v>
  </rv>
  <rv s="0">
    <fb>9472995</fb>
    <v>2</v>
  </rv>
  <rv s="0">
    <fb>45946</fb>
    <v>0</v>
  </rv>
  <rv s="0">
    <fb>192.12</fb>
    <v>1</v>
  </rv>
  <rv s="0">
    <fb>10611760</fb>
    <v>2</v>
  </rv>
  <rv s="0">
    <fb>45947</fb>
    <v>0</v>
  </rv>
  <rv s="0">
    <fb>193.22</fb>
    <v>1</v>
  </rv>
  <rv s="0">
    <fb>7764449</fb>
    <v>2</v>
  </rv>
  <rv s="0">
    <fb>45950</fb>
    <v>0</v>
  </rv>
  <rv s="0">
    <fb>193.72</fb>
    <v>1</v>
  </rv>
  <rv s="0">
    <fb>8034740</fb>
    <v>2</v>
  </rv>
  <rv s="0">
    <fb>45951</fb>
    <v>0</v>
  </rv>
  <rv s="0">
    <fb>191.88</fb>
    <v>1</v>
  </rv>
  <rv s="0">
    <fb>6716360</fb>
    <v>2</v>
  </rv>
  <rv s="0">
    <fb>45952</fb>
    <v>0</v>
  </rv>
  <rv s="0">
    <fb>192.94</fb>
    <v>1</v>
  </rv>
  <rv s="0">
    <fb>6343472</fb>
    <v>2</v>
  </rv>
  <rv s="0">
    <fb>45953</fb>
    <v>0</v>
  </rv>
  <rv s="0">
    <fb>192.47</fb>
    <v>1</v>
  </rv>
  <rv s="0">
    <fb>8882491</fb>
    <v>2</v>
  </rv>
  <rv s="0">
    <fb>45954</fb>
    <v>0</v>
  </rv>
  <rv s="0">
    <fb>190.4</fb>
    <v>1</v>
  </rv>
  <rv s="0">
    <fb>6903379</fb>
    <v>2</v>
  </rv>
  <rv s="0">
    <fb>45957</fb>
    <v>0</v>
  </rv>
  <rv s="0">
    <fb>190.3</fb>
    <v>1</v>
  </rv>
  <rv s="0">
    <fb>7125956</fb>
    <v>2</v>
  </rv>
  <rv s="0">
    <fb>45958</fb>
    <v>0</v>
  </rv>
  <rv s="0">
    <fb>186.93</fb>
    <v>1</v>
  </rv>
  <rv s="0">
    <fb>8329457</fb>
    <v>2</v>
  </rv>
  <rv s="0">
    <fb>45959</fb>
    <v>0</v>
  </rv>
  <rv s="0">
    <fb>186.6</fb>
    <v>1</v>
  </rv>
  <rv s="0">
    <fb>10551079</fb>
    <v>2</v>
  </rv>
  <rv s="0">
    <fb>45960</fb>
    <v>0</v>
  </rv>
  <rv s="0">
    <fb>189.05</fb>
    <v>1</v>
  </rv>
  <rv s="0">
    <fb>7072517</fb>
    <v>2</v>
  </rv>
  <rv s="0">
    <fb>45961</fb>
    <v>0</v>
  </rv>
  <rv s="0">
    <fb>188.87</fb>
    <v>1</v>
  </rv>
  <rv s="0">
    <fb>8791666</fb>
    <v>2</v>
  </rv>
  <rv s="0">
    <fb>45964</fb>
    <v>0</v>
  </rv>
  <rv s="0">
    <fb>186.26</fb>
    <v>1</v>
  </rv>
  <rv s="0">
    <fb>7542636</fb>
    <v>2</v>
  </rv>
  <rv s="0">
    <fb>45965</fb>
    <v>0</v>
  </rv>
  <rv s="0">
    <fb>186.86</fb>
    <v>1</v>
  </rv>
  <rv s="0">
    <fb>7209395</fb>
    <v>2</v>
  </rv>
  <rv s="0">
    <fb>45966</fb>
    <v>0</v>
  </rv>
  <rv s="0">
    <fb>186</fb>
    <v>1</v>
  </rv>
  <rv s="0">
    <fb>5049443</fb>
    <v>2</v>
  </rv>
  <rv s="0">
    <fb>45967</fb>
    <v>0</v>
  </rv>
  <rv s="0">
    <fb>186.97</fb>
    <v>1</v>
  </rv>
  <rv s="0">
    <fb>6767417</fb>
    <v>2</v>
  </rv>
  <rv s="0">
    <fb>45968</fb>
    <v>0</v>
  </rv>
  <rv s="0">
    <fb>186.57</fb>
    <v>1</v>
  </rv>
  <rv s="0">
    <fb>6959209</fb>
    <v>2</v>
  </rv>
  <rv s="0">
    <fb>45971</fb>
    <v>0</v>
  </rv>
  <rv s="0">
    <fb>188.41</fb>
    <v>1</v>
  </rv>
  <rv s="0">
    <fb>5324077</fb>
    <v>2</v>
  </rv>
  <rv s="0">
    <fb>45972</fb>
    <v>0</v>
  </rv>
  <rv s="0">
    <fb>193.83</fb>
    <v>1</v>
  </rv>
  <rv s="0">
    <fb>7465592</fb>
    <v>2</v>
  </rv>
  <rv s="0">
    <fb>45973</fb>
    <v>0</v>
  </rv>
  <rv s="0">
    <fb>194.39</fb>
    <v>1</v>
  </rv>
  <rv s="0">
    <fb>8803005</fb>
    <v>2</v>
  </rv>
  <rv s="0">
    <fb>45974</fb>
    <v>0</v>
  </rv>
  <rv s="0">
    <fb>195.25</fb>
    <v>1</v>
  </rv>
  <rv s="0">
    <fb>8631614</fb>
    <v>2</v>
  </rv>
  <rv s="0">
    <fb>45975</fb>
    <v>0</v>
  </rv>
  <rv s="0">
    <fb>195.93</fb>
    <v>1</v>
  </rv>
  <rv s="0">
    <fb>8824847</fb>
    <v>2</v>
  </rv>
  <rv s="0">
    <fb>45978</fb>
    <v>0</v>
  </rv>
  <rv s="0">
    <fb>199.58</fb>
    <v>1</v>
  </rv>
  <rv s="0">
    <fb>13256995</fb>
    <v>2</v>
  </rv>
  <rv s="0">
    <fb>45979</fb>
    <v>0</v>
  </rv>
  <rv s="0">
    <fb>200</fb>
    <v>1</v>
  </rv>
  <rv s="0">
    <fb>12468619</fb>
    <v>2</v>
  </rv>
  <rv s="0">
    <fb>45980</fb>
    <v>0</v>
  </rv>
  <rv s="0">
    <fb>202.51</fb>
    <v>1</v>
  </rv>
  <rv s="0">
    <fb>14690837</fb>
    <v>2</v>
  </rv>
  <rv s="0">
    <fb>45981</fb>
    <v>0</v>
  </rv>
  <rv s="0">
    <fb>203.07</fb>
    <v>1</v>
  </rv>
  <rv s="0">
    <fb>10612550</fb>
    <v>2</v>
  </rv>
  <rv s="0">
    <fb>45982</fb>
    <v>0</v>
  </rv>
  <rv s="0">
    <fb>203.9</fb>
    <v>1</v>
  </rv>
  <rv s="0">
    <fb>13189055</fb>
    <v>2</v>
  </rv>
  <rv s="0">
    <fb>45985</fb>
    <v>0</v>
  </rv>
  <rv s="0">
    <fb>206.05</fb>
    <v>1</v>
  </rv>
  <rv s="0">
    <fb>14803873</fb>
    <v>2</v>
  </rv>
  <rv s="0">
    <fb>45986</fb>
    <v>0</v>
  </rv>
  <rv s="0">
    <fb>206.67</fb>
    <v>1</v>
  </rv>
  <rv s="0">
    <fb>10275724</fb>
    <v>2</v>
  </rv>
  <rv s="0">
    <fb>45987</fb>
    <v>0</v>
  </rv>
  <rv s="0">
    <fb>207.56</fb>
    <v>1</v>
  </rv>
  <rv s="0">
    <fb>6728994</fb>
    <v>2</v>
  </rv>
  <rv s="0">
    <fb>45989</fb>
    <v>0</v>
  </rv>
  <rv s="0">
    <fb>206.92</fb>
    <v>1</v>
  </rv>
  <rv s="0">
    <fb>5638279</fb>
    <v>2</v>
  </rv>
  <rv s="0">
    <fb>45992</fb>
    <v>0</v>
  </rv>
  <rv s="0">
    <fb>205.34</fb>
    <v>1</v>
  </rv>
  <rv s="0">
    <fb>8473726</fb>
    <v>2</v>
  </rv>
  <rv s="0">
    <fb>45993</fb>
    <v>0</v>
  </rv>
  <rv s="0">
    <fb>205.42</fb>
    <v>1</v>
  </rv>
  <rv s="0">
    <fb>8393565</fb>
    <v>2</v>
  </rv>
  <rv s="0">
    <fb>45994</fb>
    <v>0</v>
  </rv>
  <rv s="0">
    <fb>205.33</fb>
    <v>1</v>
  </rv>
  <rv s="0">
    <fb>8363292</fb>
    <v>2</v>
  </rv>
  <rv s="0">
    <fb>45995</fb>
    <v>0</v>
  </rv>
  <rv s="0">
    <fb>202.48</fb>
    <v>1</v>
  </rv>
  <rv s="0">
    <fb>9049943</fb>
    <v>2</v>
  </rv>
  <rv s="0">
    <fb>45996</fb>
    <v>0</v>
  </rv>
  <rv s="0">
    <fb>201.93</fb>
    <v>1</v>
  </rv>
  <rv s="0">
    <fb>7785552</fb>
    <v>2</v>
  </rv>
  <rv s="0">
    <fb>45999</fb>
    <v>0</v>
  </rv>
  <rv s="0">
    <fb>201.62</fb>
    <v>1</v>
  </rv>
  <rv s="0">
    <fb>7785708</fb>
    <v>2</v>
  </rv>
  <rv s="0">
    <fb>46000</fb>
    <v>0</v>
  </rv>
  <rv s="0">
    <fb>199.96</fb>
    <v>1</v>
  </rv>
  <rv s="0">
    <fb>7509402</fb>
    <v>2</v>
  </rv>
  <rv s="0">
    <fb>46001</fb>
    <v>0</v>
  </rv>
  <rv s="0">
    <fb>206.54</fb>
    <v>1</v>
  </rv>
  <rv s="0">
    <fb>11599785</fb>
    <v>2</v>
  </rv>
  <rv s="0">
    <fb>46002</fb>
    <v>0</v>
  </rv>
  <rv s="0">
    <fb>210.01</fb>
    <v>1</v>
  </rv>
  <rv s="0">
    <fb>9008960</fb>
    <v>2</v>
  </rv>
  <rv s="0">
    <fb>46003</fb>
    <v>0</v>
  </rv>
  <rv s="0">
    <fb>211.58</fb>
    <v>1</v>
  </rv>
  <rv s="0">
    <fb>6922683</fb>
    <v>2</v>
  </rv>
  <rv s="0">
    <fb>46006</fb>
    <v>0</v>
  </rv>
  <rv s="0">
    <fb>214.17</fb>
    <v>1</v>
  </rv>
  <rv s="0">
    <fb>8466964</fb>
    <v>2</v>
  </rv>
  <rv s="0">
    <fb>46007</fb>
    <v>0</v>
  </rv>
  <rv s="0">
    <fb>209.3</fb>
    <v>1</v>
  </rv>
  <rv s="0">
    <fb>9949810</fb>
    <v>2</v>
  </rv>
  <rv s="0">
    <fb>46008</fb>
    <v>0</v>
  </rv>
  <rv s="0">
    <fb>210.33</fb>
    <v>1</v>
  </rv>
  <rv s="0">
    <fb>8457560</fb>
    <v>2</v>
  </rv>
  <rv s="0">
    <fb>46009</fb>
    <v>0</v>
  </rv>
  <rv s="0">
    <fb>208.31</fb>
    <v>1</v>
  </rv>
  <rv s="0">
    <fb>7499852</fb>
    <v>2</v>
  </rv>
  <rv s="0">
    <fb>46010</fb>
    <v>0</v>
  </rv>
  <rv s="0">
    <fb>206.37</fb>
    <v>1</v>
  </rv>
  <rv s="0">
    <fb>24803920</fb>
    <v>2</v>
  </rv>
  <rv s="0">
    <fb>46013</fb>
    <v>0</v>
  </rv>
  <rv s="0">
    <fb>207.32</fb>
    <v>1</v>
  </rv>
  <rv s="0">
    <fb>8187755</fb>
    <v>2</v>
  </rv>
  <rv s="0">
    <fb>46014</fb>
    <v>0</v>
  </rv>
  <rv s="0">
    <fb>205.78</fb>
    <v>1</v>
  </rv>
  <rv s="0">
    <fb>7047346</fb>
    <v>2</v>
  </rv>
  <rv s="0">
    <fb>46015</fb>
    <v>0</v>
  </rv>
  <rv s="0">
    <fb>207.78</fb>
    <v>1</v>
  </rv>
  <rv s="0">
    <fb>2376541</fb>
    <v>2</v>
  </rv>
  <rv s="0">
    <fb>46017</fb>
    <v>0</v>
  </rv>
  <rv s="0">
    <fb>207.63</fb>
    <v>1</v>
  </rv>
  <rv s="0">
    <fb>2316730</fb>
    <v>2</v>
  </rv>
  <rv s="0">
    <fb>46020</fb>
    <v>0</v>
  </rv>
  <rv s="0">
    <fb>4348854</fb>
    <v>2</v>
  </rv>
  <rv s="0">
    <fb>46021</fb>
    <v>0</v>
  </rv>
  <rv s="0">
    <fb>206.91</fb>
    <v>1</v>
  </rv>
  <rv s="0">
    <fb>3937395</fb>
    <v>2</v>
  </rv>
  <rv s="0">
    <fb>46022</fb>
    <v>0</v>
  </rv>
  <rv s="0">
    <fb>206.95</fb>
    <v>1</v>
  </rv>
  <rv s="0">
    <fb>4084013</fb>
    <v>2</v>
  </rv>
  <rv s="0">
    <fb>46024</fb>
    <v>0</v>
  </rv>
  <rv s="0">
    <fb>207.35</fb>
    <v>1</v>
  </rv>
  <rv s="0">
    <fb>6325672</fb>
    <v>2</v>
  </rv>
  <rv s="0">
    <fb>46027</fb>
    <v>0</v>
  </rv>
  <rv s="0">
    <fb>204.31</fb>
    <v>1</v>
  </rv>
  <rv s="0">
    <fb>9476975</fb>
    <v>2</v>
  </rv>
  <rv s="0">
    <fb>46028</fb>
    <v>0</v>
  </rv>
  <rv s="0">
    <fb>204.79</fb>
    <v>1</v>
  </rv>
  <rv s="0">
    <fb>8107853</fb>
    <v>2</v>
  </rv>
  <rv s="0">
    <fb>46029</fb>
    <v>0</v>
  </rv>
  <rv s="0">
    <fb>207.49</fb>
    <v>1</v>
  </rv>
  <rv s="0">
    <fb>7545920</fb>
    <v>2</v>
  </rv>
  <rv s="0">
    <fb>46030</fb>
    <v>0</v>
  </rv>
  <rv s="0">
    <fb>205.75</fb>
    <v>1</v>
  </rv>
  <rv s="0">
    <fb>6557776</fb>
    <v>2</v>
  </rv>
  <rv s="0">
    <fb>46031</fb>
    <v>0</v>
  </rv>
  <rv s="0">
    <fb>204.39</fb>
    <v>1</v>
  </rv>
  <rv s="0">
    <fb>6154326</fb>
    <v>2</v>
  </rv>
  <rv s="0">
    <fb>46034</fb>
    <v>0</v>
  </rv>
  <rv s="0">
    <fb>209.72</fb>
    <v>1</v>
  </rv>
  <rv s="0">
    <fb>11794339</fb>
    <v>2</v>
  </rv>
  <rv s="0">
    <fb>46035</fb>
    <v>0</v>
  </rv>
  <rv s="0">
    <fb>213.65</fb>
    <v>1</v>
  </rv>
  <rv s="0">
    <fb>11379590</fb>
    <v>2</v>
  </rv>
  <rv s="0">
    <fb>46036</fb>
    <v>0</v>
  </rv>
  <rv s="0">
    <fb>218.55</fb>
    <v>1</v>
  </rv>
  <rv s="0">
    <fb>11858784</fb>
    <v>2</v>
  </rv>
  <rv s="0">
    <fb>46037</fb>
    <v>0</v>
  </rv>
  <rv s="0">
    <fb>219.57</fb>
    <v>1</v>
  </rv>
  <rv s="0">
    <fb>8492116</fb>
    <v>2</v>
  </rv>
  <rv s="0">
    <fb>46038</fb>
    <v>0</v>
  </rv>
  <rv s="0">
    <fb>218.66</fb>
    <v>1</v>
  </rv>
  <rv s="0">
    <fb>10021515</fb>
    <v>2</v>
  </rv>
  <rv s="0">
    <fb>46042</fb>
    <v>0</v>
  </rv>
  <rv s="0">
    <fb>218.21</fb>
    <v>1</v>
  </rv>
  <rv s="0">
    <fb>14057136</fb>
    <v>2</v>
  </rv>
  <rv s="0">
    <fb>46043</fb>
    <v>0</v>
  </rv>
  <rv s="0">
    <fb>218.01</fb>
    <v>1</v>
  </rv>
  <rv s="0">
    <fb>14762883</fb>
    <v>2</v>
  </rv>
  <rv s="0">
    <fb>46044</fb>
    <v>0</v>
  </rv>
  <rv s="0">
    <fb>218.49</fb>
    <v>1</v>
  </rv>
  <rv s="0">
    <fb>13160041</fb>
    <v>2</v>
  </rv>
  <rv s="0">
    <fb>46045</fb>
    <v>0</v>
  </rv>
  <rv s="0">
    <fb>220.14</fb>
    <v>1</v>
  </rv>
  <rv s="0">
    <fb>6951040</fb>
    <v>2</v>
  </rv>
  <rv s="0">
    <fb>46048</fb>
    <v>0</v>
  </rv>
  <rv s="0">
    <fb>221.49</fb>
    <v>1</v>
  </rv>
  <rv s="0">
    <fb>6857093</fb>
    <v>2</v>
  </rv>
  <rv s="0">
    <fb>46049</fb>
    <v>0</v>
  </rv>
  <rv s="0">
    <fb>224.44</fb>
    <v>1</v>
  </rv>
  <rv s="0">
    <fb>8154489</fb>
    <v>2</v>
  </rv>
  <rv s="0">
    <fb>46050</fb>
    <v>0</v>
  </rv>
  <rv s="0">
    <fb>227.72</fb>
    <v>1</v>
  </rv>
  <rv s="0">
    <fb>9026495</fb>
    <v>2</v>
  </rv>
  <rv s="0">
    <fb>46051</fb>
    <v>0</v>
  </rv>
  <rv s="0">
    <fb>227.29</fb>
    <v>1</v>
  </rv>
  <rv s="0">
    <fb>9645348</fb>
    <v>2</v>
  </rv>
  <rv s="0">
    <fb>46052</fb>
    <v>0</v>
  </rv>
  <rv s="0">
    <fb>227.25</fb>
    <v>1</v>
  </rv>
  <rv s="0">
    <fb>11045529</fb>
    <v>2</v>
  </rv>
  <rv s="0">
    <fb>46055</fb>
    <v>0</v>
  </rv>
  <rv s="0">
    <fb>230.75</fb>
    <v>1</v>
  </rv>
  <rv s="0">
    <fb>8187529</fb>
    <v>2</v>
  </rv>
  <rv s="0">
    <fb>46056</fb>
    <v>0</v>
  </rv>
  <rv s="0">
    <fb>233.1</fb>
    <v>1</v>
  </rv>
  <rv s="0">
    <fb>9346605</fb>
    <v>2</v>
  </rv>
  <rv s="0">
    <fb>46057</fb>
    <v>0</v>
  </rv>
  <rv s="0">
    <fb>234.47</fb>
    <v>1</v>
  </rv>
  <rv s="0">
    <fb>8641449</fb>
    <v>2</v>
  </rv>
  <rv s="0">
    <fb>46058</fb>
    <v>0</v>
  </rv>
  <rv s="0">
    <fb>237.79</fb>
    <v>1</v>
  </rv>
  <rv s="0">
    <fb>10267498</fb>
    <v>2</v>
  </rv>
  <rv s="0">
    <fb>46059</fb>
    <v>0</v>
  </rv>
  <rv s="0">
    <fb>239.99</fb>
    <v>1</v>
  </rv>
  <rv s="0">
    <fb>8274034</fb>
    <v>2</v>
  </rv>
  <rv s="0">
    <fb>46062</fb>
    <v>0</v>
  </rv>
  <rv s="0">
    <fb>238.64</fb>
    <v>1</v>
  </rv>
  <rv s="0">
    <fb>9378548</fb>
    <v>2</v>
  </rv>
  <rv s="0">
    <fb>46063</fb>
    <v>0</v>
  </rv>
  <rv s="0">
    <fb>238.35</fb>
    <v>1</v>
  </rv>
  <rv s="0">
    <fb>6723253</fb>
    <v>2</v>
  </rv>
  <rv s="0">
    <fb>46064</fb>
    <v>0</v>
  </rv>
  <rv s="0">
    <fb>240.86</fb>
    <v>1</v>
  </rv>
  <rv s="0">
    <fb>6803917</fb>
    <v>2</v>
  </rv>
  <rv s="0">
    <fb>46065</fb>
    <v>0</v>
  </rv>
  <rv s="0">
    <fb>244.55</fb>
    <v>1</v>
  </rv>
  <rv s="0">
    <fb>10254260</fb>
    <v>2</v>
  </rv>
  <rv s="0">
    <fb>46066</fb>
    <v>0</v>
  </rv>
  <rv s="0">
    <fb>243.45</fb>
    <v>1</v>
  </rv>
  <rv s="0">
    <fb>13268519</fb>
    <v>2</v>
  </rv>
  <rv s="1">
    <v>3</v>
    <v>JNJ</v>
    <v>Daily</v>
    <v>45703</v>
    <v>46068</v>
    <v>0</v>
    <v>1</v>
    <v>639065376000000000,639068007816697100,0</v>
    <v>0</v>
    <v>a1w8ec</v>
    <v>XNYS:JNJ</v>
    <v>1</v>
    <v>2</v>
  </rv>
</rvData>
</file>

<file path=xl/richData/rdrichvaluestructure.xml><?xml version="1.0" encoding="utf-8"?>
<rvStructures xmlns="http://schemas.microsoft.com/office/spreadsheetml/2017/richdata" count="2">
  <s t="_formattednumber">
    <k n="_Format" t="spb"/>
  </s>
  <s t="_stockhistorycache">
    <k n="_Format" t="spb"/>
    <k n="Symbol" t="s"/>
    <k n="Interval" t="s"/>
    <k n="StartDate" t="i"/>
    <k n="EndDate" t="i"/>
    <k n="f1904" t="b"/>
    <k n="fdcompat" t="b"/>
    <k n="etag" t="s"/>
    <k n="Date" t="a"/>
    <k n="EntityId" t="s"/>
    <k n="Instrument" t="s"/>
    <k n="Close" t="a"/>
    <k n="Volume" t="a"/>
  </s>
</rvStructures>
</file>

<file path=xl/richData/rdsupportingpropertybag.xml><?xml version="1.0" encoding="utf-8"?>
<supportingPropertyBags xmlns="http://schemas.microsoft.com/office/spreadsheetml/2017/richdata2">
  <spbData count="4">
    <spb s="0">
      <v>1</v>
    </spb>
    <spb s="0">
      <v>2</v>
    </spb>
    <spb s="0">
      <v>3</v>
    </spb>
    <spb s="1">
      <v>1</v>
      <v>2</v>
      <v>3</v>
    </spb>
  </spbData>
</supportingPropertyBags>
</file>

<file path=xl/richData/rdsupportingpropertybagstructure.xml><?xml version="1.0" encoding="utf-8"?>
<spbStructures xmlns="http://schemas.microsoft.com/office/spreadsheetml/2017/richdata2" count="2">
  <s>
    <k n="_Self" t="i"/>
  </s>
  <s>
    <k n="Date" t="i"/>
    <k n="Close" t="i"/>
    <k n="Volume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3">
    <x:dxf>
      <x:numFmt numFmtId="19" formatCode="m/d/yyyy"/>
    </x:dxf>
    <x:dxf>
      <x:numFmt numFmtId="0" formatCode="General"/>
    </x:dxf>
    <x:dxf>
      <x:numFmt numFmtId="3" formatCode="#,##0"/>
    </x:dxf>
  </dxfs>
  <richProperties>
    <rPr n="NumberFormat" t="s"/>
  </richProperties>
  <richStyles>
    <rSty dxfid="0"/>
    <rSty dxfid="1">
      <rpv i="0">_([$$-en-US]* #,##0.00_);_([$$-en-US]* (#,##0.00);_([$$-en-US]* "-"??_);_(@_)</rpv>
    </rSty>
    <rSty dxfid="2">
      <rpv i="0">#,##0</rpv>
    </rSty>
  </richStyles>
</richStyleSheet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45504C7-DA5E-4275-A8C8-10F701E430FA}" name="Weekly" displayName="Weekly" ref="A1:B53" tableType="queryTable" totalsRowShown="0">
  <autoFilter ref="A1:B53" xr:uid="{445504C7-DA5E-4275-A8C8-10F701E430FA}"/>
  <tableColumns count="2">
    <tableColumn id="1" xr3:uid="{3CA1DA68-A3D9-4D18-A79B-E2122763A400}" uniqueName="1" name="Week" queryTableFieldId="1" dataDxfId="3"/>
    <tableColumn id="2" xr3:uid="{44C940DA-DF8A-40F7-A2C0-FD74908FE22E}" uniqueName="2" name="Average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158B789-052F-456A-97E2-CF294F5DC232}" name="Forecast" displayName="Forecast" ref="A1:F120" totalsRowShown="0">
  <autoFilter ref="A1:F120" xr:uid="{5158B789-052F-456A-97E2-CF294F5DC232}"/>
  <tableColumns count="6">
    <tableColumn id="1" xr3:uid="{2AC6F58B-8E3C-4517-8023-A443199FCB09}" name="Week" dataDxfId="4"/>
    <tableColumn id="2" xr3:uid="{EE3B7D6D-CD6D-49F6-AF52-95596712324C}" name="Average"/>
    <tableColumn id="5" xr3:uid="{D1ECE9C9-ADA9-44B4-8472-93A1BC3C4DE1}" name="Jan. 2026"/>
    <tableColumn id="3" xr3:uid="{65075715-1B83-4E3E-80C0-44E54BF3FE44}" name="XL Forecast"/>
    <tableColumn id="4" xr3:uid="{0FF348A3-C21A-458A-BA6E-BC7B426F8A8E}" name="Calc Forecast"/>
    <tableColumn id="6" xr3:uid="{D13B6422-6263-4F5D-B5C5-4DB569F4FE9C}" name="GS Simple ML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1F15252-EF3E-440A-98FA-6A51D8D7D235}" name="Forecast5" displayName="Forecast5" ref="A1:F120" totalsRowShown="0">
  <autoFilter ref="A1:F120" xr:uid="{5158B789-052F-456A-97E2-CF294F5DC232}"/>
  <tableColumns count="6">
    <tableColumn id="1" xr3:uid="{98E231CB-9575-49D7-8CBC-16186BABAFFE}" name="Week" dataDxfId="0"/>
    <tableColumn id="2" xr3:uid="{D6DF5516-67F1-4DB7-B3CB-57A6CF58016B}" name="Average"/>
    <tableColumn id="5" xr3:uid="{77DFEE61-6AF8-4638-B71A-E01219075076}" name="Forecast"/>
    <tableColumn id="7" xr3:uid="{DD77BB37-0F2A-4D53-BF31-9AB45D63837F}" name="PI"/>
    <tableColumn id="8" xr3:uid="{DA296179-5977-4631-928E-E906F79FA7C9}" name="Lower" dataDxfId="2">
      <calculatedColumnFormula>Forecast5[[#This Row],[Forecast]]-Forecast5[[#This Row],[PI]]</calculatedColumnFormula>
    </tableColumn>
    <tableColumn id="9" xr3:uid="{BA5076BE-51AC-4AE3-BEA2-3A1A614F9A24}" name="Upper" dataDxfId="1">
      <calculatedColumnFormula>Forecast5[[#This Row],[Forecast]]+Forecast5[[#This Row],[Lower]]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2B0CA-D215-4909-9549-33E0F6F82D2C}">
  <dimension ref="A1:B9"/>
  <sheetViews>
    <sheetView workbookViewId="0">
      <selection activeCell="A3" sqref="A3:B3"/>
    </sheetView>
  </sheetViews>
  <sheetFormatPr defaultRowHeight="15" x14ac:dyDescent="0.25"/>
  <cols>
    <col min="1" max="1" width="15" bestFit="1" customWidth="1"/>
    <col min="2" max="2" width="14.5703125" bestFit="1" customWidth="1"/>
  </cols>
  <sheetData>
    <row r="1" spans="1:2" x14ac:dyDescent="0.25">
      <c r="A1" t="s">
        <v>24</v>
      </c>
      <c r="B1" t="s">
        <v>25</v>
      </c>
    </row>
    <row r="2" spans="1:2" x14ac:dyDescent="0.25">
      <c r="A2" s="12" t="s">
        <v>26</v>
      </c>
      <c r="B2" s="12" t="s">
        <v>27</v>
      </c>
    </row>
    <row r="3" spans="1:2" x14ac:dyDescent="0.25">
      <c r="A3" s="13" t="s">
        <v>1</v>
      </c>
      <c r="B3" s="13" t="s">
        <v>28</v>
      </c>
    </row>
    <row r="4" spans="1:2" x14ac:dyDescent="0.25">
      <c r="A4" s="14" t="s">
        <v>29</v>
      </c>
      <c r="B4" s="14" t="s">
        <v>30</v>
      </c>
    </row>
    <row r="5" spans="1:2" x14ac:dyDescent="0.25">
      <c r="A5" s="15" t="s">
        <v>15</v>
      </c>
      <c r="B5" s="15" t="s">
        <v>31</v>
      </c>
    </row>
    <row r="6" spans="1:2" x14ac:dyDescent="0.25">
      <c r="A6" s="9" t="s">
        <v>20</v>
      </c>
      <c r="B6" s="9" t="s">
        <v>32</v>
      </c>
    </row>
    <row r="7" spans="1:2" x14ac:dyDescent="0.25">
      <c r="A7" s="16" t="s">
        <v>23</v>
      </c>
      <c r="B7" s="16" t="s">
        <v>33</v>
      </c>
    </row>
    <row r="8" spans="1:2" x14ac:dyDescent="0.25">
      <c r="A8" t="s">
        <v>34</v>
      </c>
      <c r="B8" t="s">
        <v>35</v>
      </c>
    </row>
    <row r="9" spans="1:2" x14ac:dyDescent="0.25">
      <c r="A9" t="s">
        <v>36</v>
      </c>
      <c r="B9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D0568-B321-401D-B457-33B556BF8509}">
  <dimension ref="H5:J9"/>
  <sheetViews>
    <sheetView tabSelected="1" topLeftCell="A87" workbookViewId="0">
      <selection activeCell="N95" sqref="N95"/>
    </sheetView>
  </sheetViews>
  <sheetFormatPr defaultRowHeight="15" x14ac:dyDescent="0.25"/>
  <cols>
    <col min="1" max="16384" width="9.140625" style="21"/>
  </cols>
  <sheetData>
    <row r="5" spans="8:10" x14ac:dyDescent="0.25">
      <c r="H5" s="26" t="s">
        <v>38</v>
      </c>
      <c r="I5" s="26" t="s">
        <v>43</v>
      </c>
      <c r="J5" s="26" t="s">
        <v>44</v>
      </c>
    </row>
    <row r="6" spans="8:10" x14ac:dyDescent="0.25">
      <c r="H6" s="25" t="s">
        <v>39</v>
      </c>
      <c r="I6" s="25">
        <v>146.36000000000001</v>
      </c>
      <c r="J6" s="25">
        <v>2316730</v>
      </c>
    </row>
    <row r="7" spans="8:10" x14ac:dyDescent="0.25">
      <c r="H7" s="25" t="s">
        <v>40</v>
      </c>
      <c r="I7" s="25">
        <v>244.55</v>
      </c>
      <c r="J7" s="25">
        <v>25620954</v>
      </c>
    </row>
    <row r="8" spans="8:10" x14ac:dyDescent="0.25">
      <c r="H8" s="25" t="s">
        <v>41</v>
      </c>
      <c r="I8" s="25">
        <v>174.57</v>
      </c>
      <c r="J8" s="25">
        <v>8194304.5</v>
      </c>
    </row>
    <row r="9" spans="8:10" x14ac:dyDescent="0.25">
      <c r="H9" s="25" t="s">
        <v>42</v>
      </c>
      <c r="I9" s="25">
        <v>179.01888</v>
      </c>
      <c r="J9" s="25">
        <v>8880627.6640000008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F43F9-2C8F-4F53-A4E1-034AE0838EB4}">
  <dimension ref="A1:AE251"/>
  <sheetViews>
    <sheetView zoomScale="70" zoomScaleNormal="70" workbookViewId="0">
      <selection activeCell="C1" activeCellId="1" sqref="A1:A1048576 C1:C1048576"/>
    </sheetView>
  </sheetViews>
  <sheetFormatPr defaultRowHeight="15" x14ac:dyDescent="0.25"/>
  <cols>
    <col min="1" max="1" width="13.140625" style="20" customWidth="1"/>
    <col min="2" max="2" width="12" bestFit="1" customWidth="1"/>
    <col min="3" max="3" width="10.5703125" bestFit="1" customWidth="1"/>
    <col min="4" max="4" width="12.42578125" bestFit="1" customWidth="1"/>
    <col min="5" max="5" width="14.85546875" bestFit="1" customWidth="1"/>
    <col min="8" max="8" width="14.85546875" bestFit="1" customWidth="1"/>
    <col min="9" max="9" width="13.5703125" bestFit="1" customWidth="1"/>
    <col min="10" max="10" width="11.7109375" bestFit="1" customWidth="1"/>
    <col min="14" max="14" width="10.5703125" bestFit="1" customWidth="1"/>
    <col min="15" max="15" width="10" bestFit="1" customWidth="1"/>
    <col min="17" max="18" width="11.42578125" bestFit="1" customWidth="1"/>
    <col min="23" max="23" width="9.7109375" bestFit="1" customWidth="1"/>
    <col min="24" max="24" width="10.140625" bestFit="1" customWidth="1"/>
    <col min="25" max="25" width="8.5703125" bestFit="1" customWidth="1"/>
    <col min="26" max="26" width="8.85546875" bestFit="1" customWidth="1"/>
    <col min="27" max="27" width="13" bestFit="1" customWidth="1"/>
    <col min="28" max="28" width="12.85546875" bestFit="1" customWidth="1"/>
    <col min="31" max="31" width="16.85546875" style="18" bestFit="1" customWidth="1"/>
  </cols>
  <sheetData>
    <row r="1" spans="1:31" s="8" customFormat="1" x14ac:dyDescent="0.25">
      <c r="A1" s="19" t="s">
        <v>45</v>
      </c>
      <c r="B1" s="4" t="str" cm="1">
        <f t="array" aca="1" ref="B1:D251" ca="1">_xlfn.STOCKHISTORY("JNJ",TODAY()-365,TODAY(),0,1,0,1,5)</f>
        <v>Date</v>
      </c>
      <c r="C1" s="4" t="str">
        <f ca="1"/>
        <v>Close</v>
      </c>
      <c r="D1" s="4" t="str">
        <f ca="1"/>
        <v>Volume</v>
      </c>
      <c r="E1" s="5" t="s">
        <v>0</v>
      </c>
      <c r="F1" s="5" t="s">
        <v>1</v>
      </c>
      <c r="G1" s="6" t="s">
        <v>2</v>
      </c>
      <c r="H1" s="6" t="s">
        <v>3</v>
      </c>
      <c r="I1" s="6" t="s">
        <v>4</v>
      </c>
      <c r="J1" s="7" t="s">
        <v>7</v>
      </c>
      <c r="K1" s="7" t="s">
        <v>8</v>
      </c>
      <c r="L1" s="7" t="s">
        <v>6</v>
      </c>
      <c r="M1" s="7" t="s">
        <v>5</v>
      </c>
      <c r="N1" s="3" t="s">
        <v>9</v>
      </c>
      <c r="O1" s="3" t="s">
        <v>10</v>
      </c>
      <c r="P1" s="3" t="s">
        <v>11</v>
      </c>
      <c r="Q1" s="3" t="s">
        <v>12</v>
      </c>
      <c r="R1" s="3" t="s">
        <v>13</v>
      </c>
      <c r="S1" s="3" t="s">
        <v>14</v>
      </c>
      <c r="T1" s="3" t="s">
        <v>15</v>
      </c>
      <c r="U1" s="1" t="s">
        <v>16</v>
      </c>
      <c r="V1" s="3" t="s">
        <v>17</v>
      </c>
      <c r="W1" s="10" t="s">
        <v>18</v>
      </c>
      <c r="X1" s="10" t="s">
        <v>19</v>
      </c>
      <c r="Y1" s="10" t="s">
        <v>20</v>
      </c>
      <c r="Z1" s="10" t="s">
        <v>21</v>
      </c>
      <c r="AA1" s="10" t="s">
        <v>22</v>
      </c>
      <c r="AB1" s="11" t="s">
        <v>23</v>
      </c>
      <c r="AC1" s="7" t="s">
        <v>38</v>
      </c>
      <c r="AD1" s="7" t="s">
        <v>43</v>
      </c>
      <c r="AE1" s="17" t="s">
        <v>44</v>
      </c>
    </row>
    <row r="2" spans="1:31" x14ac:dyDescent="0.25">
      <c r="A2" s="20">
        <f ca="1">B2 - WEEKDAY(B2, 2) + 1</f>
        <v>45705</v>
      </c>
      <c r="B2" vm="1">
        <f ca="1"/>
        <v>45706</v>
      </c>
      <c r="C2" vm="2">
        <f ca="1"/>
        <v>154.99</v>
      </c>
      <c r="D2" vm="3">
        <f ca="1"/>
        <v>9670657</v>
      </c>
      <c r="E2">
        <f ca="1">C2*D2</f>
        <v>1498855128.4300001</v>
      </c>
      <c r="F2">
        <f ca="1">SUM($E$2:E2)/SUM($D$2:D2)</f>
        <v>154.99</v>
      </c>
      <c r="G2">
        <f ca="1">_xlfn.STDEV.P($C$2:C2)</f>
        <v>0</v>
      </c>
      <c r="H2">
        <f ca="1">F2 + G2</f>
        <v>154.99</v>
      </c>
      <c r="I2">
        <f ca="1">F2 - G2</f>
        <v>154.99</v>
      </c>
      <c r="AC2" t="s">
        <v>39</v>
      </c>
      <c r="AD2">
        <f ca="1">MIN(C:C)</f>
        <v>146.36000000000001</v>
      </c>
      <c r="AE2" s="18">
        <f ca="1">MIN(D:D)</f>
        <v>2316730</v>
      </c>
    </row>
    <row r="3" spans="1:31" x14ac:dyDescent="0.25">
      <c r="A3" s="20">
        <f t="shared" ref="A3:A66" ca="1" si="0">B3 - WEEKDAY(B3, 2) + 1</f>
        <v>45705</v>
      </c>
      <c r="B3" vm="4">
        <f ca="1"/>
        <v>45707</v>
      </c>
      <c r="C3" vm="5">
        <f ca="1"/>
        <v>157.88999999999999</v>
      </c>
      <c r="D3" vm="6">
        <f ca="1"/>
        <v>7974736</v>
      </c>
      <c r="E3">
        <f t="shared" ref="E3:E66" ca="1" si="1">C3*D3</f>
        <v>1259131067.04</v>
      </c>
      <c r="F3">
        <f ca="1">SUM($E$2:E3)/SUM($D$2:D3)</f>
        <v>156.30063866925494</v>
      </c>
      <c r="G3">
        <f ca="1">_xlfn.STDEV.P($C$2:C3)</f>
        <v>1.4499999999999886</v>
      </c>
      <c r="H3">
        <f t="shared" ref="H3:H66" ca="1" si="2">F3 + G3</f>
        <v>157.75063866925493</v>
      </c>
      <c r="I3">
        <f t="shared" ref="I3:I66" ca="1" si="3">F3 - G3</f>
        <v>154.85063866925495</v>
      </c>
      <c r="N3">
        <f ca="1">C3-C2</f>
        <v>2.8999999999999773</v>
      </c>
      <c r="O3">
        <f ca="1">MAX(N3,0)</f>
        <v>2.8999999999999773</v>
      </c>
      <c r="P3">
        <f ca="1">MAX(-N3,0)</f>
        <v>0</v>
      </c>
      <c r="AC3" t="s">
        <v>40</v>
      </c>
      <c r="AD3">
        <f ca="1">MAX(C:C)</f>
        <v>244.55</v>
      </c>
      <c r="AE3" s="18">
        <f ca="1">MAX(D:D)</f>
        <v>25620954</v>
      </c>
    </row>
    <row r="4" spans="1:31" x14ac:dyDescent="0.25">
      <c r="A4" s="20">
        <f t="shared" ca="1" si="0"/>
        <v>45705</v>
      </c>
      <c r="B4" vm="7">
        <f ca="1"/>
        <v>45708</v>
      </c>
      <c r="C4" vm="8">
        <f ca="1"/>
        <v>159.68</v>
      </c>
      <c r="D4" vm="9">
        <f ca="1"/>
        <v>7224030</v>
      </c>
      <c r="E4">
        <f t="shared" ca="1" si="1"/>
        <v>1153533110.4000001</v>
      </c>
      <c r="F4">
        <f ca="1">SUM($E$2:E4)/SUM($D$2:D4)</f>
        <v>157.28227011418804</v>
      </c>
      <c r="G4">
        <f ca="1">_xlfn.STDEV.P($C$2:C4)</f>
        <v>1.9324768217669928</v>
      </c>
      <c r="H4">
        <f t="shared" ca="1" si="2"/>
        <v>159.21474693595502</v>
      </c>
      <c r="I4">
        <f t="shared" ca="1" si="3"/>
        <v>155.34979329242105</v>
      </c>
      <c r="N4">
        <f t="shared" ref="N4:N67" ca="1" si="4">C4-C3</f>
        <v>1.7900000000000205</v>
      </c>
      <c r="O4">
        <f t="shared" ref="O4:O67" ca="1" si="5">MAX(N4,0)</f>
        <v>1.7900000000000205</v>
      </c>
      <c r="P4">
        <f t="shared" ref="P4:P67" ca="1" si="6">MAX(-N4,0)</f>
        <v>0</v>
      </c>
      <c r="AC4" t="s">
        <v>41</v>
      </c>
      <c r="AD4">
        <f ca="1">MEDIAN(C:C)</f>
        <v>174.57</v>
      </c>
      <c r="AE4" s="18">
        <f ca="1">MEDIAN(D:D)</f>
        <v>8194304.5</v>
      </c>
    </row>
    <row r="5" spans="1:31" x14ac:dyDescent="0.25">
      <c r="A5" s="20">
        <f t="shared" ca="1" si="0"/>
        <v>45705</v>
      </c>
      <c r="B5" vm="10">
        <f ca="1"/>
        <v>45709</v>
      </c>
      <c r="C5" vm="11">
        <f ca="1"/>
        <v>162.30000000000001</v>
      </c>
      <c r="D5" vm="12">
        <f ca="1"/>
        <v>12546930</v>
      </c>
      <c r="E5">
        <f t="shared" ca="1" si="1"/>
        <v>2036366739.0000002</v>
      </c>
      <c r="F5">
        <f ca="1">SUM($E$2:E5)/SUM($D$2:D5)</f>
        <v>158.96487947048183</v>
      </c>
      <c r="G5">
        <f ca="1">_xlfn.STDEV.P($C$2:C5)</f>
        <v>2.6617522424147619</v>
      </c>
      <c r="H5">
        <f t="shared" ca="1" si="2"/>
        <v>161.6266317128966</v>
      </c>
      <c r="I5">
        <f t="shared" ca="1" si="3"/>
        <v>156.30312722806707</v>
      </c>
      <c r="N5">
        <f t="shared" ca="1" si="4"/>
        <v>2.6200000000000045</v>
      </c>
      <c r="O5">
        <f t="shared" ca="1" si="5"/>
        <v>2.6200000000000045</v>
      </c>
      <c r="P5">
        <f t="shared" ca="1" si="6"/>
        <v>0</v>
      </c>
      <c r="AC5" t="s">
        <v>42</v>
      </c>
      <c r="AD5">
        <f ca="1">AVERAGE(C:C)</f>
        <v>179.01888</v>
      </c>
      <c r="AE5" s="18">
        <f ca="1">AVERAGE(D:D)</f>
        <v>8880627.6640000008</v>
      </c>
    </row>
    <row r="6" spans="1:31" x14ac:dyDescent="0.25">
      <c r="A6" s="20">
        <f t="shared" ca="1" si="0"/>
        <v>45712</v>
      </c>
      <c r="B6" vm="13">
        <f ca="1"/>
        <v>45712</v>
      </c>
      <c r="C6" vm="14">
        <f ca="1"/>
        <v>163.74</v>
      </c>
      <c r="D6" vm="15">
        <f ca="1"/>
        <v>10201917</v>
      </c>
      <c r="E6">
        <f t="shared" ca="1" si="1"/>
        <v>1670461889.5800002</v>
      </c>
      <c r="F6">
        <f ca="1">SUM($E$2:E6)/SUM($D$2:D6)</f>
        <v>159.98791922617099</v>
      </c>
      <c r="G6">
        <f ca="1">_xlfn.STDEV.P($C$2:C6)</f>
        <v>3.1157727773379138</v>
      </c>
      <c r="H6">
        <f t="shared" ca="1" si="2"/>
        <v>163.10369200350891</v>
      </c>
      <c r="I6">
        <f t="shared" ca="1" si="3"/>
        <v>156.87214644883306</v>
      </c>
      <c r="N6">
        <f t="shared" ca="1" si="4"/>
        <v>1.4399999999999977</v>
      </c>
      <c r="O6">
        <f t="shared" ca="1" si="5"/>
        <v>1.4399999999999977</v>
      </c>
      <c r="P6">
        <f t="shared" ca="1" si="6"/>
        <v>0</v>
      </c>
    </row>
    <row r="7" spans="1:31" x14ac:dyDescent="0.25">
      <c r="A7" s="20">
        <f t="shared" ca="1" si="0"/>
        <v>45712</v>
      </c>
      <c r="B7" vm="16">
        <f ca="1"/>
        <v>45713</v>
      </c>
      <c r="C7" vm="17">
        <f ca="1"/>
        <v>166.09</v>
      </c>
      <c r="D7" vm="18">
        <f ca="1"/>
        <v>12303697</v>
      </c>
      <c r="E7">
        <f t="shared" ca="1" si="1"/>
        <v>2043521034.73</v>
      </c>
      <c r="F7">
        <f ca="1">SUM($E$2:E7)/SUM($D$2:D7)</f>
        <v>161.24085127545965</v>
      </c>
      <c r="G7">
        <f ca="1">_xlfn.STDEV.P($C$2:C7)</f>
        <v>3.7048230577031478</v>
      </c>
      <c r="H7">
        <f t="shared" ca="1" si="2"/>
        <v>164.9456743331628</v>
      </c>
      <c r="I7">
        <f t="shared" ca="1" si="3"/>
        <v>157.5360282177565</v>
      </c>
      <c r="N7">
        <f t="shared" ca="1" si="4"/>
        <v>2.3499999999999943</v>
      </c>
      <c r="O7">
        <f t="shared" ca="1" si="5"/>
        <v>2.3499999999999943</v>
      </c>
      <c r="P7">
        <f t="shared" ca="1" si="6"/>
        <v>0</v>
      </c>
    </row>
    <row r="8" spans="1:31" x14ac:dyDescent="0.25">
      <c r="A8" s="20">
        <f t="shared" ca="1" si="0"/>
        <v>45712</v>
      </c>
      <c r="B8" vm="19">
        <f ca="1"/>
        <v>45714</v>
      </c>
      <c r="C8" vm="20">
        <f ca="1"/>
        <v>163.08000000000001</v>
      </c>
      <c r="D8" vm="21">
        <f ca="1"/>
        <v>11396410</v>
      </c>
      <c r="E8">
        <f t="shared" ca="1" si="1"/>
        <v>1858526542.8000002</v>
      </c>
      <c r="F8">
        <f ca="1">SUM($E$2:E8)/SUM($D$2:D8)</f>
        <v>161.53474036544605</v>
      </c>
      <c r="G8">
        <f ca="1">_xlfn.STDEV.P($C$2:C8)</f>
        <v>3.5230262964835077</v>
      </c>
      <c r="H8">
        <f t="shared" ca="1" si="2"/>
        <v>165.05776666192958</v>
      </c>
      <c r="I8">
        <f t="shared" ca="1" si="3"/>
        <v>158.01171406896253</v>
      </c>
      <c r="N8">
        <f t="shared" ca="1" si="4"/>
        <v>-3.0099999999999909</v>
      </c>
      <c r="O8">
        <f t="shared" ca="1" si="5"/>
        <v>0</v>
      </c>
      <c r="P8">
        <f t="shared" ca="1" si="6"/>
        <v>3.0099999999999909</v>
      </c>
    </row>
    <row r="9" spans="1:31" x14ac:dyDescent="0.25">
      <c r="A9" s="20">
        <f t="shared" ca="1" si="0"/>
        <v>45712</v>
      </c>
      <c r="B9" vm="22">
        <f ca="1"/>
        <v>45715</v>
      </c>
      <c r="C9" vm="23">
        <f ca="1"/>
        <v>163.72999999999999</v>
      </c>
      <c r="D9" vm="24">
        <f ca="1"/>
        <v>8364573</v>
      </c>
      <c r="E9">
        <f t="shared" ca="1" si="1"/>
        <v>1369531537.29</v>
      </c>
      <c r="F9">
        <f ca="1">SUM($E$2:E9)/SUM($D$2:D9)</f>
        <v>161.76518375976292</v>
      </c>
      <c r="G9">
        <f ca="1">_xlfn.STDEV.P($C$2:C9)</f>
        <v>3.4074981658102188</v>
      </c>
      <c r="H9">
        <f t="shared" ca="1" si="2"/>
        <v>165.17268192557313</v>
      </c>
      <c r="I9">
        <f t="shared" ca="1" si="3"/>
        <v>158.35768559395271</v>
      </c>
      <c r="N9">
        <f t="shared" ca="1" si="4"/>
        <v>0.64999999999997726</v>
      </c>
      <c r="O9">
        <f t="shared" ca="1" si="5"/>
        <v>0.64999999999997726</v>
      </c>
      <c r="P9">
        <f t="shared" ca="1" si="6"/>
        <v>0</v>
      </c>
    </row>
    <row r="10" spans="1:31" x14ac:dyDescent="0.25">
      <c r="A10" s="20">
        <f t="shared" ca="1" si="0"/>
        <v>45712</v>
      </c>
      <c r="B10" vm="25">
        <f ca="1"/>
        <v>45716</v>
      </c>
      <c r="C10" vm="26">
        <f ca="1"/>
        <v>165.02</v>
      </c>
      <c r="D10" vm="27">
        <f ca="1"/>
        <v>12037415</v>
      </c>
      <c r="E10">
        <f t="shared" ca="1" si="1"/>
        <v>1986414223.3000002</v>
      </c>
      <c r="F10">
        <f ca="1">SUM($E$2:E10)/SUM($D$2:D10)</f>
        <v>162.19234706021939</v>
      </c>
      <c r="G10">
        <f ca="1">_xlfn.STDEV.P($C$2:C10)</f>
        <v>3.4041905910578691</v>
      </c>
      <c r="H10">
        <f t="shared" ca="1" si="2"/>
        <v>165.59653765127726</v>
      </c>
      <c r="I10">
        <f t="shared" ca="1" si="3"/>
        <v>158.78815646916152</v>
      </c>
      <c r="N10">
        <f t="shared" ca="1" si="4"/>
        <v>1.2900000000000205</v>
      </c>
      <c r="O10">
        <f t="shared" ca="1" si="5"/>
        <v>1.2900000000000205</v>
      </c>
      <c r="P10">
        <f t="shared" ca="1" si="6"/>
        <v>0</v>
      </c>
    </row>
    <row r="11" spans="1:31" x14ac:dyDescent="0.25">
      <c r="A11" s="20">
        <f t="shared" ca="1" si="0"/>
        <v>45719</v>
      </c>
      <c r="B11" vm="28">
        <f ca="1"/>
        <v>45719</v>
      </c>
      <c r="C11" vm="29">
        <f ca="1"/>
        <v>167.28</v>
      </c>
      <c r="D11" vm="30">
        <f ca="1"/>
        <v>9191464</v>
      </c>
      <c r="E11">
        <f t="shared" ca="1" si="1"/>
        <v>1537548097.9200001</v>
      </c>
      <c r="F11">
        <f ca="1">SUM($E$2:E11)/SUM($D$2:D11)</f>
        <v>162.65575139352592</v>
      </c>
      <c r="G11">
        <f ca="1">_xlfn.STDEV.P($C$2:C11)</f>
        <v>3.6190385463545431</v>
      </c>
      <c r="H11">
        <f t="shared" ca="1" si="2"/>
        <v>166.27478993988046</v>
      </c>
      <c r="I11">
        <f t="shared" ca="1" si="3"/>
        <v>159.03671284717137</v>
      </c>
      <c r="N11">
        <f t="shared" ca="1" si="4"/>
        <v>2.2599999999999909</v>
      </c>
      <c r="O11">
        <f t="shared" ca="1" si="5"/>
        <v>2.2599999999999909</v>
      </c>
      <c r="P11">
        <f t="shared" ca="1" si="6"/>
        <v>0</v>
      </c>
    </row>
    <row r="12" spans="1:31" x14ac:dyDescent="0.25">
      <c r="A12" s="20">
        <f t="shared" ca="1" si="0"/>
        <v>45719</v>
      </c>
      <c r="B12" vm="31">
        <f ca="1"/>
        <v>45720</v>
      </c>
      <c r="C12" vm="32">
        <f ca="1"/>
        <v>165.42</v>
      </c>
      <c r="D12" vm="33">
        <f ca="1"/>
        <v>11999962</v>
      </c>
      <c r="E12">
        <f t="shared" ca="1" si="1"/>
        <v>1985033714.04</v>
      </c>
      <c r="F12">
        <f ca="1">SUM($E$2:E12)/SUM($D$2:D12)</f>
        <v>162.94952831392072</v>
      </c>
      <c r="G12">
        <f ca="1">_xlfn.STDEV.P($C$2:C12)</f>
        <v>3.559569107547282</v>
      </c>
      <c r="H12">
        <f t="shared" ca="1" si="2"/>
        <v>166.509097421468</v>
      </c>
      <c r="I12">
        <f t="shared" ca="1" si="3"/>
        <v>159.38995920637345</v>
      </c>
      <c r="N12">
        <f t="shared" ca="1" si="4"/>
        <v>-1.8600000000000136</v>
      </c>
      <c r="O12">
        <f t="shared" ca="1" si="5"/>
        <v>0</v>
      </c>
      <c r="P12">
        <f t="shared" ca="1" si="6"/>
        <v>1.8600000000000136</v>
      </c>
    </row>
    <row r="13" spans="1:31" x14ac:dyDescent="0.25">
      <c r="A13" s="20">
        <f t="shared" ca="1" si="0"/>
        <v>45719</v>
      </c>
      <c r="B13" vm="34">
        <f ca="1"/>
        <v>45721</v>
      </c>
      <c r="C13" vm="35">
        <f ca="1"/>
        <v>165.12</v>
      </c>
      <c r="D13" vm="36">
        <f ca="1"/>
        <v>8745050</v>
      </c>
      <c r="E13">
        <f t="shared" ca="1" si="1"/>
        <v>1443982656</v>
      </c>
      <c r="F13">
        <f ca="1">SUM($E$2:E13)/SUM($D$2:D13)</f>
        <v>163.10554817488642</v>
      </c>
      <c r="G13">
        <f ca="1">_xlfn.STDEV.P($C$2:C13)</f>
        <v>3.4753844711372901</v>
      </c>
      <c r="H13">
        <f t="shared" ca="1" si="2"/>
        <v>166.58093264602371</v>
      </c>
      <c r="I13">
        <f t="shared" ca="1" si="3"/>
        <v>159.63016370374913</v>
      </c>
      <c r="N13">
        <f t="shared" ca="1" si="4"/>
        <v>-0.29999999999998295</v>
      </c>
      <c r="O13">
        <f t="shared" ca="1" si="5"/>
        <v>0</v>
      </c>
      <c r="P13">
        <f t="shared" ca="1" si="6"/>
        <v>0.29999999999998295</v>
      </c>
      <c r="W13" s="9">
        <f ca="1">AVERAGE(C2:C13)</f>
        <v>162.86166666666668</v>
      </c>
    </row>
    <row r="14" spans="1:31" x14ac:dyDescent="0.25">
      <c r="A14" s="20">
        <f t="shared" ca="1" si="0"/>
        <v>45719</v>
      </c>
      <c r="B14" vm="37">
        <f ca="1"/>
        <v>45722</v>
      </c>
      <c r="C14" vm="38">
        <f ca="1"/>
        <v>165.83</v>
      </c>
      <c r="D14" vm="39">
        <f ca="1"/>
        <v>8037888</v>
      </c>
      <c r="E14">
        <f t="shared" ca="1" si="1"/>
        <v>1332922967.0400002</v>
      </c>
      <c r="F14">
        <f ca="1">SUM($E$2:E14)/SUM($D$2:D14)</f>
        <v>163.27439727770277</v>
      </c>
      <c r="G14">
        <f ca="1">_xlfn.STDEV.P($C$2:C14)</f>
        <v>3.4314473286400262</v>
      </c>
      <c r="H14">
        <f t="shared" ca="1" si="2"/>
        <v>166.70584460634279</v>
      </c>
      <c r="I14">
        <f t="shared" ca="1" si="3"/>
        <v>159.84294994906276</v>
      </c>
      <c r="N14">
        <f t="shared" ca="1" si="4"/>
        <v>0.71000000000000796</v>
      </c>
      <c r="O14">
        <f t="shared" ca="1" si="5"/>
        <v>0.71000000000000796</v>
      </c>
      <c r="P14">
        <f t="shared" ca="1" si="6"/>
        <v>0</v>
      </c>
      <c r="W14">
        <f ca="1">C14*(2/(12+1)) + W13*(1-(2/(12+1)))</f>
        <v>163.31833333333336</v>
      </c>
    </row>
    <row r="15" spans="1:31" x14ac:dyDescent="0.25">
      <c r="A15" s="20">
        <f t="shared" ca="1" si="0"/>
        <v>45719</v>
      </c>
      <c r="B15" vm="40">
        <f ca="1"/>
        <v>45723</v>
      </c>
      <c r="C15" vm="41">
        <f ca="1"/>
        <v>166.69</v>
      </c>
      <c r="D15" vm="42">
        <f ca="1"/>
        <v>9637593</v>
      </c>
      <c r="E15">
        <f t="shared" ca="1" si="1"/>
        <v>1606490377.1700001</v>
      </c>
      <c r="F15">
        <f ca="1">SUM($E$2:E15)/SUM($D$2:D15)</f>
        <v>163.51065393670822</v>
      </c>
      <c r="G15">
        <f ca="1">_xlfn.STDEV.P($C$2:C15)</f>
        <v>3.4341466575127688</v>
      </c>
      <c r="H15">
        <f t="shared" ca="1" si="2"/>
        <v>166.94480059422099</v>
      </c>
      <c r="I15">
        <f t="shared" ca="1" si="3"/>
        <v>160.07650727919545</v>
      </c>
      <c r="N15">
        <f t="shared" ca="1" si="4"/>
        <v>0.85999999999998522</v>
      </c>
      <c r="O15">
        <f t="shared" ca="1" si="5"/>
        <v>0.85999999999998522</v>
      </c>
      <c r="P15">
        <f t="shared" ca="1" si="6"/>
        <v>0</v>
      </c>
      <c r="Q15" s="2">
        <f ca="1">AVERAGE(O3:O16)</f>
        <v>1.2771428571428547</v>
      </c>
      <c r="R15" s="2">
        <f ca="1">AVERAGE(P3:P16)</f>
        <v>0.36928571428571338</v>
      </c>
      <c r="S15">
        <f ca="1">IF(R15=0,NA(),Q15/R15)</f>
        <v>3.4584139264990346</v>
      </c>
      <c r="T15">
        <f ca="1">100-(100/(1+S15))</f>
        <v>77.570498915401316</v>
      </c>
      <c r="U15">
        <f>70</f>
        <v>70</v>
      </c>
      <c r="V15">
        <f>30</f>
        <v>30</v>
      </c>
      <c r="W15">
        <f t="shared" ref="W15:W78" ca="1" si="7">C15*(2/(12+1)) + W14*(1-(2/(12+1)))</f>
        <v>163.83705128205131</v>
      </c>
    </row>
    <row r="16" spans="1:31" x14ac:dyDescent="0.25">
      <c r="A16" s="20">
        <f t="shared" ca="1" si="0"/>
        <v>45726</v>
      </c>
      <c r="B16" vm="43">
        <f ca="1"/>
        <v>45726</v>
      </c>
      <c r="C16" vm="44">
        <f ca="1"/>
        <v>167.7</v>
      </c>
      <c r="D16" vm="45">
        <f ca="1"/>
        <v>17558982</v>
      </c>
      <c r="E16">
        <f t="shared" ca="1" si="1"/>
        <v>2944641281.3999996</v>
      </c>
      <c r="F16">
        <f ca="1">SUM($E$2:E16)/SUM($D$2:D16)</f>
        <v>163.97951773120579</v>
      </c>
      <c r="G16">
        <f ca="1">_xlfn.STDEV.P($C$2:C16)</f>
        <v>3.4908575196106493</v>
      </c>
      <c r="H16">
        <f t="shared" ca="1" si="2"/>
        <v>167.47037525081643</v>
      </c>
      <c r="I16">
        <f t="shared" ca="1" si="3"/>
        <v>160.48866021159515</v>
      </c>
      <c r="N16">
        <f t="shared" ca="1" si="4"/>
        <v>1.0099999999999909</v>
      </c>
      <c r="O16">
        <f t="shared" ca="1" si="5"/>
        <v>1.0099999999999909</v>
      </c>
      <c r="P16">
        <f t="shared" ca="1" si="6"/>
        <v>0</v>
      </c>
      <c r="Q16">
        <f ca="1">(Q15*13+O16)/14</f>
        <v>1.2580612244897931</v>
      </c>
      <c r="R16">
        <f ca="1">(R15*13+P16)/14</f>
        <v>0.34290816326530527</v>
      </c>
      <c r="S16">
        <f t="shared" ref="S16:S79" ca="1" si="8">IF(R16=0,NA(),Q16/R16)</f>
        <v>3.6687992858205631</v>
      </c>
      <c r="T16">
        <f t="shared" ref="T16:T79" ca="1" si="9">100-(100/(1+S16))</f>
        <v>78.581216737308395</v>
      </c>
      <c r="U16">
        <f>70</f>
        <v>70</v>
      </c>
      <c r="V16">
        <f>30</f>
        <v>30</v>
      </c>
      <c r="W16">
        <f t="shared" ca="1" si="7"/>
        <v>164.43135108481266</v>
      </c>
    </row>
    <row r="17" spans="1:25" x14ac:dyDescent="0.25">
      <c r="A17" s="20">
        <f t="shared" ca="1" si="0"/>
        <v>45726</v>
      </c>
      <c r="B17" vm="46">
        <f ca="1"/>
        <v>45727</v>
      </c>
      <c r="C17" vm="47">
        <f ca="1"/>
        <v>165.86</v>
      </c>
      <c r="D17" vm="48">
        <f ca="1"/>
        <v>9890648</v>
      </c>
      <c r="E17">
        <f t="shared" ca="1" si="1"/>
        <v>1640462877.2800002</v>
      </c>
      <c r="F17">
        <f ca="1">SUM($E$2:E17)/SUM($D$2:D17)</f>
        <v>164.09103572201863</v>
      </c>
      <c r="G17">
        <f ca="1">_xlfn.STDEV.P($C$2:C17)</f>
        <v>3.4225609472294272</v>
      </c>
      <c r="H17">
        <f t="shared" ca="1" si="2"/>
        <v>167.51359666924805</v>
      </c>
      <c r="I17">
        <f t="shared" ca="1" si="3"/>
        <v>160.66847477478922</v>
      </c>
      <c r="N17">
        <f t="shared" ca="1" si="4"/>
        <v>-1.839999999999975</v>
      </c>
      <c r="O17">
        <f t="shared" ca="1" si="5"/>
        <v>0</v>
      </c>
      <c r="P17">
        <f t="shared" ca="1" si="6"/>
        <v>1.839999999999975</v>
      </c>
      <c r="Q17">
        <f t="shared" ref="Q17:Q80" ca="1" si="10">(Q16*13+O17)/14</f>
        <v>1.1681997084548077</v>
      </c>
      <c r="R17">
        <f t="shared" ref="R17:R80" ca="1" si="11">(R16*13+P17)/14</f>
        <v>0.44984329446063881</v>
      </c>
      <c r="S17">
        <f t="shared" ca="1" si="8"/>
        <v>2.5969036836604995</v>
      </c>
      <c r="T17">
        <f t="shared" ca="1" si="9"/>
        <v>72.198310326110288</v>
      </c>
      <c r="U17">
        <f>70</f>
        <v>70</v>
      </c>
      <c r="V17">
        <f>30</f>
        <v>30</v>
      </c>
      <c r="W17">
        <f t="shared" ca="1" si="7"/>
        <v>164.65114322561072</v>
      </c>
    </row>
    <row r="18" spans="1:25" x14ac:dyDescent="0.25">
      <c r="A18" s="20">
        <f t="shared" ca="1" si="0"/>
        <v>45726</v>
      </c>
      <c r="B18" vm="49">
        <f ca="1"/>
        <v>45728</v>
      </c>
      <c r="C18" vm="50">
        <f ca="1"/>
        <v>162.85</v>
      </c>
      <c r="D18" vm="51">
        <f ca="1"/>
        <v>8010692</v>
      </c>
      <c r="E18">
        <f t="shared" ca="1" si="1"/>
        <v>1304541192.2</v>
      </c>
      <c r="F18">
        <f ca="1">SUM($E$2:E18)/SUM($D$2:D18)</f>
        <v>164.03415944449011</v>
      </c>
      <c r="G18">
        <f ca="1">_xlfn.STDEV.P($C$2:C18)</f>
        <v>3.3275167128127907</v>
      </c>
      <c r="H18">
        <f t="shared" ca="1" si="2"/>
        <v>167.3616761573029</v>
      </c>
      <c r="I18">
        <f t="shared" ca="1" si="3"/>
        <v>160.70664273167733</v>
      </c>
      <c r="N18">
        <f t="shared" ca="1" si="4"/>
        <v>-3.0100000000000193</v>
      </c>
      <c r="O18">
        <f t="shared" ca="1" si="5"/>
        <v>0</v>
      </c>
      <c r="P18">
        <f t="shared" ca="1" si="6"/>
        <v>3.0100000000000193</v>
      </c>
      <c r="Q18">
        <f t="shared" ca="1" si="10"/>
        <v>1.0847568721366072</v>
      </c>
      <c r="R18">
        <f t="shared" ca="1" si="11"/>
        <v>0.63271163057059454</v>
      </c>
      <c r="S18">
        <f t="shared" ca="1" si="8"/>
        <v>1.7144569812291066</v>
      </c>
      <c r="T18">
        <f t="shared" ca="1" si="9"/>
        <v>63.160219266131094</v>
      </c>
      <c r="U18">
        <f>70</f>
        <v>70</v>
      </c>
      <c r="V18">
        <f>30</f>
        <v>30</v>
      </c>
      <c r="W18">
        <f t="shared" ca="1" si="7"/>
        <v>164.37404426782447</v>
      </c>
    </row>
    <row r="19" spans="1:25" x14ac:dyDescent="0.25">
      <c r="A19" s="20">
        <f t="shared" ca="1" si="0"/>
        <v>45726</v>
      </c>
      <c r="B19" vm="52">
        <f ca="1"/>
        <v>45729</v>
      </c>
      <c r="C19" vm="53">
        <f ca="1"/>
        <v>162.99</v>
      </c>
      <c r="D19" vm="54">
        <f ca="1"/>
        <v>5286734</v>
      </c>
      <c r="E19">
        <f t="shared" ca="1" si="1"/>
        <v>861684774.66000009</v>
      </c>
      <c r="F19">
        <f ca="1">SUM($E$2:E19)/SUM($D$2:D19)</f>
        <v>164.00350522245805</v>
      </c>
      <c r="G19">
        <f ca="1">_xlfn.STDEV.P($C$2:C19)</f>
        <v>3.2381062519264909</v>
      </c>
      <c r="H19">
        <f t="shared" ca="1" si="2"/>
        <v>167.24161147438454</v>
      </c>
      <c r="I19">
        <f t="shared" ca="1" si="3"/>
        <v>160.76539897053155</v>
      </c>
      <c r="N19">
        <f t="shared" ca="1" si="4"/>
        <v>0.14000000000001478</v>
      </c>
      <c r="O19">
        <f t="shared" ca="1" si="5"/>
        <v>0.14000000000001478</v>
      </c>
      <c r="P19">
        <f t="shared" ca="1" si="6"/>
        <v>0</v>
      </c>
      <c r="Q19">
        <f t="shared" ca="1" si="10"/>
        <v>1.017274238412565</v>
      </c>
      <c r="R19">
        <f t="shared" ca="1" si="11"/>
        <v>0.58751794267269486</v>
      </c>
      <c r="S19">
        <f t="shared" ca="1" si="8"/>
        <v>1.7314777379986956</v>
      </c>
      <c r="T19">
        <f t="shared" ca="1" si="9"/>
        <v>63.389780334337196</v>
      </c>
      <c r="U19">
        <f>70</f>
        <v>70</v>
      </c>
      <c r="V19">
        <f>30</f>
        <v>30</v>
      </c>
      <c r="W19">
        <f t="shared" ca="1" si="7"/>
        <v>164.16111438046687</v>
      </c>
    </row>
    <row r="20" spans="1:25" x14ac:dyDescent="0.25">
      <c r="A20" s="20">
        <f t="shared" ca="1" si="0"/>
        <v>45726</v>
      </c>
      <c r="B20" vm="55">
        <f ca="1"/>
        <v>45730</v>
      </c>
      <c r="C20" vm="56">
        <f ca="1"/>
        <v>162.81</v>
      </c>
      <c r="D20" vm="57">
        <f ca="1"/>
        <v>6235797</v>
      </c>
      <c r="E20">
        <f t="shared" ca="1" si="1"/>
        <v>1015250109.5700001</v>
      </c>
      <c r="F20">
        <f ca="1">SUM($E$2:E20)/SUM($D$2:D20)</f>
        <v>163.96355970387273</v>
      </c>
      <c r="G20">
        <f ca="1">_xlfn.STDEV.P($C$2:C20)</f>
        <v>3.1577379785653901</v>
      </c>
      <c r="H20">
        <f t="shared" ca="1" si="2"/>
        <v>167.12129768243813</v>
      </c>
      <c r="I20">
        <f t="shared" ca="1" si="3"/>
        <v>160.80582172530734</v>
      </c>
      <c r="N20">
        <f t="shared" ca="1" si="4"/>
        <v>-0.18000000000000682</v>
      </c>
      <c r="O20">
        <f t="shared" ca="1" si="5"/>
        <v>0</v>
      </c>
      <c r="P20">
        <f t="shared" ca="1" si="6"/>
        <v>0.18000000000000682</v>
      </c>
      <c r="Q20">
        <f t="shared" ca="1" si="10"/>
        <v>0.94461179281166763</v>
      </c>
      <c r="R20">
        <f t="shared" ca="1" si="11"/>
        <v>0.55840951819607432</v>
      </c>
      <c r="S20">
        <f t="shared" ca="1" si="8"/>
        <v>1.6916111957819209</v>
      </c>
      <c r="T20">
        <f t="shared" ca="1" si="9"/>
        <v>62.847531561500396</v>
      </c>
      <c r="U20">
        <f>70</f>
        <v>70</v>
      </c>
      <c r="V20">
        <f>30</f>
        <v>30</v>
      </c>
      <c r="W20">
        <f t="shared" ca="1" si="7"/>
        <v>163.95325062962581</v>
      </c>
    </row>
    <row r="21" spans="1:25" x14ac:dyDescent="0.25">
      <c r="A21" s="20">
        <f t="shared" ca="1" si="0"/>
        <v>45733</v>
      </c>
      <c r="B21" vm="58">
        <f ca="1"/>
        <v>45733</v>
      </c>
      <c r="C21" vm="59">
        <f ca="1"/>
        <v>162.84</v>
      </c>
      <c r="D21" vm="60">
        <f ca="1"/>
        <v>6669815</v>
      </c>
      <c r="E21">
        <f t="shared" ca="1" si="1"/>
        <v>1086112674.5999999</v>
      </c>
      <c r="F21">
        <f ca="1">SUM($E$2:E21)/SUM($D$2:D21)</f>
        <v>163.92472800319857</v>
      </c>
      <c r="G21">
        <f ca="1">_xlfn.STDEV.P($C$2:C21)</f>
        <v>3.0826587144865707</v>
      </c>
      <c r="H21">
        <f t="shared" ca="1" si="2"/>
        <v>167.00738671768514</v>
      </c>
      <c r="I21">
        <f t="shared" ca="1" si="3"/>
        <v>160.842069288712</v>
      </c>
      <c r="J21">
        <f ca="1">AVERAGE(C2:C21)</f>
        <v>163.59550000000002</v>
      </c>
      <c r="K21">
        <f ca="1">_xlfn.STDEV.S(C2:C21)</f>
        <v>3.1627411079298713</v>
      </c>
      <c r="L21">
        <f ca="1">J21 + 2*K21</f>
        <v>169.92098221585977</v>
      </c>
      <c r="M21">
        <f ca="1">J21-2*K21</f>
        <v>157.27001778414026</v>
      </c>
      <c r="N21">
        <f t="shared" ca="1" si="4"/>
        <v>3.0000000000001137E-2</v>
      </c>
      <c r="O21">
        <f t="shared" ca="1" si="5"/>
        <v>3.0000000000001137E-2</v>
      </c>
      <c r="P21">
        <f t="shared" ca="1" si="6"/>
        <v>0</v>
      </c>
      <c r="Q21">
        <f t="shared" ca="1" si="10"/>
        <v>0.87928237903940576</v>
      </c>
      <c r="R21">
        <f t="shared" ca="1" si="11"/>
        <v>0.51852312403921186</v>
      </c>
      <c r="S21">
        <f t="shared" ca="1" si="8"/>
        <v>1.6957438121369346</v>
      </c>
      <c r="T21">
        <f t="shared" ca="1" si="9"/>
        <v>62.904486861928731</v>
      </c>
      <c r="U21">
        <f>70</f>
        <v>70</v>
      </c>
      <c r="V21">
        <f>30</f>
        <v>30</v>
      </c>
      <c r="W21">
        <f t="shared" ca="1" si="7"/>
        <v>163.78198130199107</v>
      </c>
    </row>
    <row r="22" spans="1:25" x14ac:dyDescent="0.25">
      <c r="A22" s="20">
        <f t="shared" ca="1" si="0"/>
        <v>45733</v>
      </c>
      <c r="B22" vm="61">
        <f ca="1"/>
        <v>45734</v>
      </c>
      <c r="C22" vm="62">
        <f ca="1"/>
        <v>164.25</v>
      </c>
      <c r="D22" vm="63">
        <f ca="1"/>
        <v>7348974</v>
      </c>
      <c r="E22">
        <f t="shared" ca="1" si="1"/>
        <v>1207068979.5</v>
      </c>
      <c r="F22">
        <f ca="1">SUM($E$2:E22)/SUM($D$2:D22)</f>
        <v>163.93666015588849</v>
      </c>
      <c r="G22">
        <f ca="1">_xlfn.STDEV.P($C$2:C22)</f>
        <v>3.0115939986489559</v>
      </c>
      <c r="H22">
        <f t="shared" ca="1" si="2"/>
        <v>166.94825415453744</v>
      </c>
      <c r="I22">
        <f t="shared" ca="1" si="3"/>
        <v>160.92506615723954</v>
      </c>
      <c r="J22">
        <f t="shared" ref="J22:J85" ca="1" si="12">AVERAGE(C3:C22)</f>
        <v>164.05849999999998</v>
      </c>
      <c r="K22">
        <f t="shared" ref="K22:K85" ca="1" si="13">_xlfn.STDEV.S(C3:C22)</f>
        <v>2.4294471430868039</v>
      </c>
      <c r="L22">
        <f t="shared" ref="L22:L85" ca="1" si="14">J22 + 2*K22</f>
        <v>168.91739428617359</v>
      </c>
      <c r="M22">
        <f t="shared" ref="M22:M85" ca="1" si="15">J22-2*K22</f>
        <v>159.19960571382637</v>
      </c>
      <c r="N22">
        <f t="shared" ca="1" si="4"/>
        <v>1.4099999999999966</v>
      </c>
      <c r="O22">
        <f t="shared" ca="1" si="5"/>
        <v>1.4099999999999966</v>
      </c>
      <c r="P22">
        <f t="shared" ca="1" si="6"/>
        <v>0</v>
      </c>
      <c r="Q22">
        <f t="shared" ca="1" si="10"/>
        <v>0.91719078053659076</v>
      </c>
      <c r="R22">
        <f t="shared" ca="1" si="11"/>
        <v>0.48148575803641103</v>
      </c>
      <c r="S22">
        <f t="shared" ca="1" si="8"/>
        <v>1.9049177784137714</v>
      </c>
      <c r="T22">
        <f t="shared" ca="1" si="9"/>
        <v>65.57561775307633</v>
      </c>
      <c r="U22">
        <f>70</f>
        <v>70</v>
      </c>
      <c r="V22">
        <f>30</f>
        <v>30</v>
      </c>
      <c r="W22">
        <f t="shared" ca="1" si="7"/>
        <v>163.85398417860782</v>
      </c>
    </row>
    <row r="23" spans="1:25" x14ac:dyDescent="0.25">
      <c r="A23" s="20">
        <f t="shared" ca="1" si="0"/>
        <v>45733</v>
      </c>
      <c r="B23" vm="64">
        <f ca="1"/>
        <v>45735</v>
      </c>
      <c r="C23" vm="53">
        <f ca="1"/>
        <v>162.99</v>
      </c>
      <c r="D23" vm="65">
        <f ca="1"/>
        <v>5936637</v>
      </c>
      <c r="E23">
        <f t="shared" ca="1" si="1"/>
        <v>967612464.63</v>
      </c>
      <c r="F23">
        <f ca="1">SUM($E$2:E23)/SUM($D$2:D23)</f>
        <v>163.90941450051818</v>
      </c>
      <c r="G23">
        <f ca="1">_xlfn.STDEV.P($C$2:C23)</f>
        <v>2.9453398195951106</v>
      </c>
      <c r="H23">
        <f t="shared" ca="1" si="2"/>
        <v>166.8547543201133</v>
      </c>
      <c r="I23">
        <f t="shared" ca="1" si="3"/>
        <v>160.96407468092306</v>
      </c>
      <c r="J23">
        <f t="shared" ca="1" si="12"/>
        <v>164.31350000000003</v>
      </c>
      <c r="K23">
        <f t="shared" ca="1" si="13"/>
        <v>1.9726132146816904</v>
      </c>
      <c r="L23">
        <f t="shared" ca="1" si="14"/>
        <v>168.25872642936341</v>
      </c>
      <c r="M23">
        <f t="shared" ca="1" si="15"/>
        <v>160.36827357063666</v>
      </c>
      <c r="N23">
        <f t="shared" ca="1" si="4"/>
        <v>-1.2599999999999909</v>
      </c>
      <c r="O23">
        <f t="shared" ca="1" si="5"/>
        <v>0</v>
      </c>
      <c r="P23">
        <f t="shared" ca="1" si="6"/>
        <v>1.2599999999999909</v>
      </c>
      <c r="Q23">
        <f t="shared" ca="1" si="10"/>
        <v>0.85167715335540561</v>
      </c>
      <c r="R23">
        <f t="shared" ca="1" si="11"/>
        <v>0.53709391817666674</v>
      </c>
      <c r="S23">
        <f t="shared" ca="1" si="8"/>
        <v>1.5857136424979268</v>
      </c>
      <c r="T23">
        <f t="shared" ca="1" si="9"/>
        <v>61.325957230362498</v>
      </c>
      <c r="U23">
        <f>70</f>
        <v>70</v>
      </c>
      <c r="V23">
        <f>30</f>
        <v>30</v>
      </c>
      <c r="W23">
        <f t="shared" ca="1" si="7"/>
        <v>163.72106353574509</v>
      </c>
    </row>
    <row r="24" spans="1:25" x14ac:dyDescent="0.25">
      <c r="A24" s="20">
        <f t="shared" ca="1" si="0"/>
        <v>45733</v>
      </c>
      <c r="B24" vm="66">
        <f ca="1"/>
        <v>45736</v>
      </c>
      <c r="C24" vm="67">
        <f ca="1"/>
        <v>163.02000000000001</v>
      </c>
      <c r="D24" vm="68">
        <f ca="1"/>
        <v>7485930</v>
      </c>
      <c r="E24">
        <f t="shared" ca="1" si="1"/>
        <v>1220356308.6000001</v>
      </c>
      <c r="F24">
        <f ca="1">SUM($E$2:E24)/SUM($D$2:D24)</f>
        <v>163.87826647121253</v>
      </c>
      <c r="G24">
        <f ca="1">_xlfn.STDEV.P($C$2:C24)</f>
        <v>2.8830075138892326</v>
      </c>
      <c r="H24">
        <f t="shared" ca="1" si="2"/>
        <v>166.76127398510175</v>
      </c>
      <c r="I24">
        <f t="shared" ca="1" si="3"/>
        <v>160.9952589573233</v>
      </c>
      <c r="J24">
        <f t="shared" ca="1" si="12"/>
        <v>164.48050000000001</v>
      </c>
      <c r="K24">
        <f t="shared" ca="1" si="13"/>
        <v>1.6792682460242181</v>
      </c>
      <c r="L24">
        <f t="shared" ca="1" si="14"/>
        <v>167.83903649204845</v>
      </c>
      <c r="M24">
        <f t="shared" ca="1" si="15"/>
        <v>161.12196350795156</v>
      </c>
      <c r="N24">
        <f t="shared" ca="1" si="4"/>
        <v>3.0000000000001137E-2</v>
      </c>
      <c r="O24">
        <f t="shared" ca="1" si="5"/>
        <v>3.0000000000001137E-2</v>
      </c>
      <c r="P24">
        <f t="shared" ca="1" si="6"/>
        <v>0</v>
      </c>
      <c r="Q24">
        <f t="shared" ca="1" si="10"/>
        <v>0.79298592811573376</v>
      </c>
      <c r="R24">
        <f t="shared" ca="1" si="11"/>
        <v>0.49873006687833338</v>
      </c>
      <c r="S24">
        <f t="shared" ca="1" si="8"/>
        <v>1.5900102696418841</v>
      </c>
      <c r="T24">
        <f t="shared" ca="1" si="9"/>
        <v>61.390114482508672</v>
      </c>
      <c r="U24">
        <f>70</f>
        <v>70</v>
      </c>
      <c r="V24">
        <f>30</f>
        <v>30</v>
      </c>
      <c r="W24">
        <f t="shared" ca="1" si="7"/>
        <v>163.61320760716893</v>
      </c>
    </row>
    <row r="25" spans="1:25" x14ac:dyDescent="0.25">
      <c r="A25" s="20">
        <f t="shared" ca="1" si="0"/>
        <v>45733</v>
      </c>
      <c r="B25" vm="69">
        <f ca="1"/>
        <v>45737</v>
      </c>
      <c r="C25" vm="70">
        <f ca="1"/>
        <v>163.63</v>
      </c>
      <c r="D25" vm="71">
        <f ca="1"/>
        <v>17047106</v>
      </c>
      <c r="E25">
        <f t="shared" ca="1" si="1"/>
        <v>2789417954.7799997</v>
      </c>
      <c r="F25">
        <f ca="1">SUM($E$2:E25)/SUM($D$2:D25)</f>
        <v>163.8599295641082</v>
      </c>
      <c r="G25">
        <f ca="1">_xlfn.STDEV.P($C$2:C25)</f>
        <v>2.8223291208976082</v>
      </c>
      <c r="H25">
        <f t="shared" ca="1" si="2"/>
        <v>166.68225868500582</v>
      </c>
      <c r="I25">
        <f t="shared" ca="1" si="3"/>
        <v>161.03760044321058</v>
      </c>
      <c r="J25">
        <f t="shared" ca="1" si="12"/>
        <v>164.547</v>
      </c>
      <c r="K25">
        <f t="shared" ca="1" si="13"/>
        <v>1.6134177518873583</v>
      </c>
      <c r="L25">
        <f t="shared" ca="1" si="14"/>
        <v>167.77383550377471</v>
      </c>
      <c r="M25">
        <f t="shared" ca="1" si="15"/>
        <v>161.32016449622529</v>
      </c>
      <c r="N25">
        <f t="shared" ca="1" si="4"/>
        <v>0.60999999999998522</v>
      </c>
      <c r="O25">
        <f t="shared" ca="1" si="5"/>
        <v>0.60999999999998522</v>
      </c>
      <c r="P25">
        <f t="shared" ca="1" si="6"/>
        <v>0</v>
      </c>
      <c r="Q25">
        <f t="shared" ca="1" si="10"/>
        <v>0.77991550467889448</v>
      </c>
      <c r="R25">
        <f t="shared" ca="1" si="11"/>
        <v>0.46310649067273812</v>
      </c>
      <c r="S25">
        <f t="shared" ca="1" si="8"/>
        <v>1.6840953871018722</v>
      </c>
      <c r="T25">
        <f t="shared" ca="1" si="9"/>
        <v>62.74349992159776</v>
      </c>
      <c r="U25">
        <f>70</f>
        <v>70</v>
      </c>
      <c r="V25">
        <f>30</f>
        <v>30</v>
      </c>
      <c r="W25">
        <f t="shared" ca="1" si="7"/>
        <v>163.61579105221986</v>
      </c>
    </row>
    <row r="26" spans="1:25" x14ac:dyDescent="0.25">
      <c r="A26" s="20">
        <f t="shared" ca="1" si="0"/>
        <v>45740</v>
      </c>
      <c r="B26" vm="72">
        <f ca="1"/>
        <v>45740</v>
      </c>
      <c r="C26" vm="73">
        <f ca="1"/>
        <v>163.29</v>
      </c>
      <c r="D26" vm="74">
        <f ca="1"/>
        <v>8046565</v>
      </c>
      <c r="E26">
        <f t="shared" ca="1" si="1"/>
        <v>1313923598.8499999</v>
      </c>
      <c r="F26">
        <f ca="1">SUM($E$2:E26)/SUM($D$2:D26)</f>
        <v>163.84072934889122</v>
      </c>
      <c r="G26">
        <f ca="1">_xlfn.STDEV.P($C$2:C26)</f>
        <v>2.7658703946497556</v>
      </c>
      <c r="H26">
        <f t="shared" ca="1" si="2"/>
        <v>166.60659974354098</v>
      </c>
      <c r="I26">
        <f t="shared" ca="1" si="3"/>
        <v>161.07485895424145</v>
      </c>
      <c r="J26">
        <f t="shared" ca="1" si="12"/>
        <v>164.52450000000002</v>
      </c>
      <c r="K26">
        <f t="shared" ca="1" si="13"/>
        <v>1.6283329382821965</v>
      </c>
      <c r="L26">
        <f t="shared" ca="1" si="14"/>
        <v>167.78116587656442</v>
      </c>
      <c r="M26">
        <f t="shared" ca="1" si="15"/>
        <v>161.26783412343562</v>
      </c>
      <c r="N26">
        <f t="shared" ca="1" si="4"/>
        <v>-0.34000000000000341</v>
      </c>
      <c r="O26">
        <f t="shared" ca="1" si="5"/>
        <v>0</v>
      </c>
      <c r="P26">
        <f t="shared" ca="1" si="6"/>
        <v>0.34000000000000341</v>
      </c>
      <c r="Q26">
        <f t="shared" ca="1" si="10"/>
        <v>0.72420725434468769</v>
      </c>
      <c r="R26">
        <f t="shared" ca="1" si="11"/>
        <v>0.45431316991039994</v>
      </c>
      <c r="S26">
        <f t="shared" ca="1" si="8"/>
        <v>1.5940705713803465</v>
      </c>
      <c r="T26">
        <f t="shared" ca="1" si="9"/>
        <v>61.450547605268731</v>
      </c>
      <c r="U26">
        <f>70</f>
        <v>70</v>
      </c>
      <c r="V26">
        <f>30</f>
        <v>30</v>
      </c>
      <c r="W26">
        <f t="shared" ca="1" si="7"/>
        <v>163.56566935187834</v>
      </c>
    </row>
    <row r="27" spans="1:25" x14ac:dyDescent="0.25">
      <c r="A27" s="20">
        <f t="shared" ca="1" si="0"/>
        <v>45740</v>
      </c>
      <c r="B27" vm="75">
        <f ca="1"/>
        <v>45741</v>
      </c>
      <c r="C27" vm="76">
        <f ca="1"/>
        <v>161.02000000000001</v>
      </c>
      <c r="D27" vm="77">
        <f ca="1"/>
        <v>7456197</v>
      </c>
      <c r="E27">
        <f t="shared" ca="1" si="1"/>
        <v>1200596840.9400001</v>
      </c>
      <c r="F27">
        <f ca="1">SUM($E$2:E27)/SUM($D$2:D27)</f>
        <v>163.75534011907664</v>
      </c>
      <c r="G27">
        <f ca="1">_xlfn.STDEV.P($C$2:C27)</f>
        <v>2.7559169534726307</v>
      </c>
      <c r="H27">
        <f t="shared" ca="1" si="2"/>
        <v>166.51125707254926</v>
      </c>
      <c r="I27">
        <f t="shared" ca="1" si="3"/>
        <v>160.99942316560401</v>
      </c>
      <c r="J27">
        <f t="shared" ca="1" si="12"/>
        <v>164.27100000000002</v>
      </c>
      <c r="K27">
        <f t="shared" ca="1" si="13"/>
        <v>1.7610310974868619</v>
      </c>
      <c r="L27">
        <f t="shared" ca="1" si="14"/>
        <v>167.79306219497374</v>
      </c>
      <c r="M27">
        <f t="shared" ca="1" si="15"/>
        <v>160.74893780502629</v>
      </c>
      <c r="N27">
        <f t="shared" ca="1" si="4"/>
        <v>-2.2699999999999818</v>
      </c>
      <c r="O27">
        <f t="shared" ca="1" si="5"/>
        <v>0</v>
      </c>
      <c r="P27">
        <f t="shared" ca="1" si="6"/>
        <v>2.2699999999999818</v>
      </c>
      <c r="Q27">
        <f t="shared" ca="1" si="10"/>
        <v>0.67247816474863853</v>
      </c>
      <c r="R27">
        <f t="shared" ca="1" si="11"/>
        <v>0.58400508634537007</v>
      </c>
      <c r="S27">
        <f t="shared" ca="1" si="8"/>
        <v>1.1514936778323659</v>
      </c>
      <c r="T27">
        <f t="shared" ca="1" si="9"/>
        <v>53.520662863043967</v>
      </c>
      <c r="U27">
        <f>70</f>
        <v>70</v>
      </c>
      <c r="V27">
        <f>30</f>
        <v>30</v>
      </c>
      <c r="W27">
        <f t="shared" ca="1" si="7"/>
        <v>163.17402791312782</v>
      </c>
      <c r="X27" s="9">
        <f ca="1">AVERAGE(C2:C27)</f>
        <v>163.46576923076924</v>
      </c>
      <c r="Y27">
        <f ca="1">W28-X28</f>
        <v>-0.38612168034484284</v>
      </c>
    </row>
    <row r="28" spans="1:25" x14ac:dyDescent="0.25">
      <c r="A28" s="20">
        <f t="shared" ca="1" si="0"/>
        <v>45740</v>
      </c>
      <c r="B28" vm="78">
        <f ca="1"/>
        <v>45742</v>
      </c>
      <c r="C28" vm="79">
        <f ca="1"/>
        <v>161.72</v>
      </c>
      <c r="D28" vm="80">
        <f ca="1"/>
        <v>7223773</v>
      </c>
      <c r="E28">
        <f t="shared" ca="1" si="1"/>
        <v>1168228569.5599999</v>
      </c>
      <c r="F28">
        <f ca="1">SUM($E$2:E28)/SUM($D$2:D28)</f>
        <v>163.69734767233146</v>
      </c>
      <c r="G28">
        <f ca="1">_xlfn.STDEV.P($C$2:C28)</f>
        <v>2.7244222402575327</v>
      </c>
      <c r="H28">
        <f t="shared" ca="1" si="2"/>
        <v>166.42176991258899</v>
      </c>
      <c r="I28">
        <f t="shared" ca="1" si="3"/>
        <v>160.97292543207394</v>
      </c>
      <c r="J28">
        <f t="shared" ca="1" si="12"/>
        <v>164.203</v>
      </c>
      <c r="K28">
        <f t="shared" ca="1" si="13"/>
        <v>1.8341787205578859</v>
      </c>
      <c r="L28">
        <f t="shared" ca="1" si="14"/>
        <v>167.87135744111578</v>
      </c>
      <c r="M28">
        <f t="shared" ca="1" si="15"/>
        <v>160.53464255888423</v>
      </c>
      <c r="N28">
        <f t="shared" ca="1" si="4"/>
        <v>0.69999999999998863</v>
      </c>
      <c r="O28">
        <f t="shared" ca="1" si="5"/>
        <v>0.69999999999998863</v>
      </c>
      <c r="P28">
        <f t="shared" ca="1" si="6"/>
        <v>0</v>
      </c>
      <c r="Q28">
        <f t="shared" ca="1" si="10"/>
        <v>0.674444010123735</v>
      </c>
      <c r="R28">
        <f t="shared" ca="1" si="11"/>
        <v>0.54229043732070081</v>
      </c>
      <c r="S28">
        <f t="shared" ca="1" si="8"/>
        <v>1.2436951930333984</v>
      </c>
      <c r="T28">
        <f t="shared" ca="1" si="9"/>
        <v>55.430666201676239</v>
      </c>
      <c r="U28">
        <f>70</f>
        <v>70</v>
      </c>
      <c r="V28">
        <f>30</f>
        <v>30</v>
      </c>
      <c r="W28">
        <f t="shared" ca="1" si="7"/>
        <v>162.95033131110816</v>
      </c>
      <c r="X28">
        <f ca="1">C28*(2/(26+1)) + X27*(1-(2/(26+1)))</f>
        <v>163.336452991453</v>
      </c>
      <c r="Y28">
        <f t="shared" ref="Y28:Y91" ca="1" si="16">W29-X29</f>
        <v>-0.34318752941052821</v>
      </c>
    </row>
    <row r="29" spans="1:25" x14ac:dyDescent="0.25">
      <c r="A29" s="20">
        <f t="shared" ca="1" si="0"/>
        <v>45740</v>
      </c>
      <c r="B29" vm="81">
        <f ca="1"/>
        <v>45743</v>
      </c>
      <c r="C29" vm="82">
        <f ca="1"/>
        <v>163.13</v>
      </c>
      <c r="D29" vm="83">
        <f ca="1"/>
        <v>6752466</v>
      </c>
      <c r="E29">
        <f t="shared" ca="1" si="1"/>
        <v>1101529778.5799999</v>
      </c>
      <c r="F29">
        <f ca="1">SUM($E$2:E29)/SUM($D$2:D29)</f>
        <v>163.68262907297719</v>
      </c>
      <c r="G29">
        <f ca="1">_xlfn.STDEV.P($C$2:C29)</f>
        <v>2.6758025689043459</v>
      </c>
      <c r="H29">
        <f t="shared" ca="1" si="2"/>
        <v>166.35843164188154</v>
      </c>
      <c r="I29">
        <f t="shared" ca="1" si="3"/>
        <v>161.00682650407285</v>
      </c>
      <c r="J29">
        <f t="shared" ca="1" si="12"/>
        <v>164.17299999999997</v>
      </c>
      <c r="K29">
        <f t="shared" ca="1" si="13"/>
        <v>1.8471830616259692</v>
      </c>
      <c r="L29">
        <f t="shared" ca="1" si="14"/>
        <v>167.86736612325191</v>
      </c>
      <c r="M29">
        <f t="shared" ca="1" si="15"/>
        <v>160.47863387674803</v>
      </c>
      <c r="N29">
        <f t="shared" ca="1" si="4"/>
        <v>1.4099999999999966</v>
      </c>
      <c r="O29">
        <f t="shared" ca="1" si="5"/>
        <v>1.4099999999999966</v>
      </c>
      <c r="P29">
        <f t="shared" ca="1" si="6"/>
        <v>0</v>
      </c>
      <c r="Q29">
        <f t="shared" ca="1" si="10"/>
        <v>0.72698372368632513</v>
      </c>
      <c r="R29">
        <f t="shared" ca="1" si="11"/>
        <v>0.50355540608350791</v>
      </c>
      <c r="S29">
        <f t="shared" ca="1" si="8"/>
        <v>1.4437015567771794</v>
      </c>
      <c r="T29">
        <f t="shared" ca="1" si="9"/>
        <v>59.078472687195593</v>
      </c>
      <c r="U29">
        <f>70</f>
        <v>70</v>
      </c>
      <c r="V29">
        <f>30</f>
        <v>30</v>
      </c>
      <c r="W29">
        <f t="shared" ca="1" si="7"/>
        <v>162.97797264786075</v>
      </c>
      <c r="X29">
        <f t="shared" ref="X29:X92" ca="1" si="17">C29*(2/(26+1)) + X28*(1-(2/(26+1)))</f>
        <v>163.32116017727128</v>
      </c>
      <c r="Y29">
        <f t="shared" ca="1" si="16"/>
        <v>-0.25937088660546692</v>
      </c>
    </row>
    <row r="30" spans="1:25" x14ac:dyDescent="0.25">
      <c r="A30" s="20">
        <f t="shared" ca="1" si="0"/>
        <v>45740</v>
      </c>
      <c r="B30" vm="84">
        <f ca="1"/>
        <v>45744</v>
      </c>
      <c r="C30" vm="85">
        <f ca="1"/>
        <v>163.71</v>
      </c>
      <c r="D30" vm="86">
        <f ca="1"/>
        <v>5760545</v>
      </c>
      <c r="E30">
        <f t="shared" ca="1" si="1"/>
        <v>943058821.95000005</v>
      </c>
      <c r="F30">
        <f ca="1">SUM($E$2:E30)/SUM($D$2:D30)</f>
        <v>163.68322172660217</v>
      </c>
      <c r="G30">
        <f ca="1">_xlfn.STDEV.P($C$2:C30)</f>
        <v>2.6299058002959792</v>
      </c>
      <c r="H30">
        <f t="shared" ca="1" si="2"/>
        <v>166.31312752689814</v>
      </c>
      <c r="I30">
        <f t="shared" ca="1" si="3"/>
        <v>161.0533159263062</v>
      </c>
      <c r="J30">
        <f t="shared" ca="1" si="12"/>
        <v>164.10750000000002</v>
      </c>
      <c r="K30">
        <f t="shared" ca="1" si="13"/>
        <v>1.8387749783626666</v>
      </c>
      <c r="L30">
        <f t="shared" ca="1" si="14"/>
        <v>167.78504995672535</v>
      </c>
      <c r="M30">
        <f t="shared" ca="1" si="15"/>
        <v>160.42995004327469</v>
      </c>
      <c r="N30">
        <f t="shared" ca="1" si="4"/>
        <v>0.58000000000001251</v>
      </c>
      <c r="O30">
        <f t="shared" ca="1" si="5"/>
        <v>0.58000000000001251</v>
      </c>
      <c r="P30">
        <f t="shared" ca="1" si="6"/>
        <v>0</v>
      </c>
      <c r="Q30">
        <f t="shared" ca="1" si="10"/>
        <v>0.71648488628015994</v>
      </c>
      <c r="R30">
        <f t="shared" ca="1" si="11"/>
        <v>0.46758716279182877</v>
      </c>
      <c r="S30">
        <f t="shared" ca="1" si="8"/>
        <v>1.5323023027455123</v>
      </c>
      <c r="T30">
        <f t="shared" ca="1" si="9"/>
        <v>60.510244021189578</v>
      </c>
      <c r="U30">
        <f>70</f>
        <v>70</v>
      </c>
      <c r="V30">
        <f>30</f>
        <v>30</v>
      </c>
      <c r="W30">
        <f t="shared" ca="1" si="7"/>
        <v>163.09059224049756</v>
      </c>
      <c r="X30">
        <f t="shared" ca="1" si="17"/>
        <v>163.34996312710302</v>
      </c>
      <c r="Y30">
        <f t="shared" ca="1" si="16"/>
        <v>-2.0832253221414021E-2</v>
      </c>
    </row>
    <row r="31" spans="1:25" x14ac:dyDescent="0.25">
      <c r="A31" s="20">
        <f t="shared" ca="1" si="0"/>
        <v>45747</v>
      </c>
      <c r="B31" vm="87">
        <f ca="1"/>
        <v>45747</v>
      </c>
      <c r="C31" vm="88">
        <f ca="1"/>
        <v>165.84</v>
      </c>
      <c r="D31" vm="89">
        <f ca="1"/>
        <v>12481400</v>
      </c>
      <c r="E31">
        <f t="shared" ca="1" si="1"/>
        <v>2069915376</v>
      </c>
      <c r="F31">
        <f ca="1">SUM($E$2:E31)/SUM($D$2:D31)</f>
        <v>163.77987248558236</v>
      </c>
      <c r="G31">
        <f ca="1">_xlfn.STDEV.P($C$2:C31)</f>
        <v>2.6224638330309822</v>
      </c>
      <c r="H31">
        <f t="shared" ca="1" si="2"/>
        <v>166.40233631861335</v>
      </c>
      <c r="I31">
        <f t="shared" ca="1" si="3"/>
        <v>161.15740865255137</v>
      </c>
      <c r="J31">
        <f t="shared" ca="1" si="12"/>
        <v>164.03550000000001</v>
      </c>
      <c r="K31">
        <f t="shared" ca="1" si="13"/>
        <v>1.7331731623026911</v>
      </c>
      <c r="L31">
        <f t="shared" ca="1" si="14"/>
        <v>167.5018463246054</v>
      </c>
      <c r="M31">
        <f t="shared" ca="1" si="15"/>
        <v>160.56915367539463</v>
      </c>
      <c r="N31">
        <f t="shared" ca="1" si="4"/>
        <v>2.1299999999999955</v>
      </c>
      <c r="O31">
        <f t="shared" ca="1" si="5"/>
        <v>2.1299999999999955</v>
      </c>
      <c r="P31">
        <f t="shared" ca="1" si="6"/>
        <v>0</v>
      </c>
      <c r="Q31">
        <f t="shared" ca="1" si="10"/>
        <v>0.81745025154586248</v>
      </c>
      <c r="R31">
        <f t="shared" ca="1" si="11"/>
        <v>0.43418807973526957</v>
      </c>
      <c r="S31">
        <f t="shared" ca="1" si="8"/>
        <v>1.8827100275168152</v>
      </c>
      <c r="T31">
        <f t="shared" ca="1" si="9"/>
        <v>65.310420040360199</v>
      </c>
      <c r="U31">
        <f>70</f>
        <v>70</v>
      </c>
      <c r="V31">
        <f>30</f>
        <v>30</v>
      </c>
      <c r="W31">
        <f t="shared" ca="1" si="7"/>
        <v>163.51357804965176</v>
      </c>
      <c r="X31">
        <f t="shared" ca="1" si="17"/>
        <v>163.53441030287317</v>
      </c>
      <c r="Y31">
        <f t="shared" ca="1" si="16"/>
        <v>-0.83803609027694392</v>
      </c>
    </row>
    <row r="32" spans="1:25" x14ac:dyDescent="0.25">
      <c r="A32" s="20">
        <f t="shared" ca="1" si="0"/>
        <v>45747</v>
      </c>
      <c r="B32" vm="90">
        <f ca="1"/>
        <v>45748</v>
      </c>
      <c r="C32" vm="91">
        <f ca="1"/>
        <v>153.25</v>
      </c>
      <c r="D32" vm="92">
        <f ca="1"/>
        <v>23303065</v>
      </c>
      <c r="E32">
        <f t="shared" ca="1" si="1"/>
        <v>3571194711.25</v>
      </c>
      <c r="F32">
        <f ca="1">SUM($E$2:E32)/SUM($D$2:D32)</f>
        <v>162.96689758219233</v>
      </c>
      <c r="G32">
        <f ca="1">_xlfn.STDEV.P($C$2:C32)</f>
        <v>3.150366643677236</v>
      </c>
      <c r="H32">
        <f t="shared" ca="1" si="2"/>
        <v>166.11726422586958</v>
      </c>
      <c r="I32">
        <f t="shared" ca="1" si="3"/>
        <v>159.81653093851509</v>
      </c>
      <c r="J32">
        <f t="shared" ca="1" si="12"/>
        <v>163.42699999999999</v>
      </c>
      <c r="K32">
        <f t="shared" ca="1" si="13"/>
        <v>2.9386590210681578</v>
      </c>
      <c r="L32">
        <f t="shared" ca="1" si="14"/>
        <v>169.30431804213632</v>
      </c>
      <c r="M32">
        <f t="shared" ca="1" si="15"/>
        <v>157.54968195786367</v>
      </c>
      <c r="N32">
        <f t="shared" ca="1" si="4"/>
        <v>-12.590000000000003</v>
      </c>
      <c r="O32">
        <f t="shared" ca="1" si="5"/>
        <v>0</v>
      </c>
      <c r="P32">
        <f t="shared" ca="1" si="6"/>
        <v>12.590000000000003</v>
      </c>
      <c r="Q32">
        <f t="shared" ca="1" si="10"/>
        <v>0.75906094786401523</v>
      </c>
      <c r="R32">
        <f t="shared" ca="1" si="11"/>
        <v>1.3024603597541791</v>
      </c>
      <c r="S32">
        <f t="shared" ca="1" si="8"/>
        <v>0.58279005743197987</v>
      </c>
      <c r="T32">
        <f t="shared" ca="1" si="9"/>
        <v>36.82042698559377</v>
      </c>
      <c r="U32">
        <f>70</f>
        <v>70</v>
      </c>
      <c r="V32">
        <f>30</f>
        <v>30</v>
      </c>
      <c r="W32">
        <f t="shared" ca="1" si="7"/>
        <v>161.93456604201302</v>
      </c>
      <c r="X32">
        <f t="shared" ca="1" si="17"/>
        <v>162.77260213228996</v>
      </c>
      <c r="Y32">
        <f t="shared" ca="1" si="16"/>
        <v>-1.3004261496193124</v>
      </c>
    </row>
    <row r="33" spans="1:27" x14ac:dyDescent="0.25">
      <c r="A33" s="20">
        <f t="shared" ca="1" si="0"/>
        <v>45747</v>
      </c>
      <c r="B33" vm="93">
        <f ca="1"/>
        <v>45749</v>
      </c>
      <c r="C33" vm="94">
        <f ca="1"/>
        <v>155.36000000000001</v>
      </c>
      <c r="D33" vm="95">
        <f ca="1"/>
        <v>10356920</v>
      </c>
      <c r="E33">
        <f t="shared" ca="1" si="1"/>
        <v>1609051091.2</v>
      </c>
      <c r="F33">
        <f ca="1">SUM($E$2:E33)/SUM($D$2:D33)</f>
        <v>162.71453395572709</v>
      </c>
      <c r="G33">
        <f ca="1">_xlfn.STDEV.P($C$2:C33)</f>
        <v>3.3842946089251731</v>
      </c>
      <c r="H33">
        <f t="shared" ca="1" si="2"/>
        <v>166.09882856465225</v>
      </c>
      <c r="I33">
        <f t="shared" ca="1" si="3"/>
        <v>159.33023934680193</v>
      </c>
      <c r="J33">
        <f t="shared" ca="1" si="12"/>
        <v>162.93900000000002</v>
      </c>
      <c r="K33">
        <f t="shared" ca="1" si="13"/>
        <v>3.4145661664790077</v>
      </c>
      <c r="L33">
        <f t="shared" ca="1" si="14"/>
        <v>169.76813233295803</v>
      </c>
      <c r="M33">
        <f t="shared" ca="1" si="15"/>
        <v>156.10986766704201</v>
      </c>
      <c r="N33">
        <f t="shared" ca="1" si="4"/>
        <v>2.1100000000000136</v>
      </c>
      <c r="O33">
        <f t="shared" ca="1" si="5"/>
        <v>2.1100000000000136</v>
      </c>
      <c r="P33">
        <f t="shared" ca="1" si="6"/>
        <v>0</v>
      </c>
      <c r="Q33">
        <f t="shared" ca="1" si="10"/>
        <v>0.85555659444515797</v>
      </c>
      <c r="R33">
        <f t="shared" ca="1" si="11"/>
        <v>1.2094274769145947</v>
      </c>
      <c r="S33">
        <f t="shared" ca="1" si="8"/>
        <v>0.70740628171256126</v>
      </c>
      <c r="T33">
        <f t="shared" ca="1" si="9"/>
        <v>41.431631667831233</v>
      </c>
      <c r="U33">
        <f>70</f>
        <v>70</v>
      </c>
      <c r="V33">
        <f>30</f>
        <v>30</v>
      </c>
      <c r="W33">
        <f t="shared" ca="1" si="7"/>
        <v>160.92309434324176</v>
      </c>
      <c r="X33">
        <f t="shared" ca="1" si="17"/>
        <v>162.22352049286107</v>
      </c>
      <c r="Y33">
        <f t="shared" ca="1" si="16"/>
        <v>-1.2920944166297659</v>
      </c>
    </row>
    <row r="34" spans="1:27" x14ac:dyDescent="0.25">
      <c r="A34" s="20">
        <f t="shared" ca="1" si="0"/>
        <v>45747</v>
      </c>
      <c r="B34" vm="96">
        <f ca="1"/>
        <v>45750</v>
      </c>
      <c r="C34" vm="97">
        <f ca="1"/>
        <v>159.82</v>
      </c>
      <c r="D34" vm="98">
        <f ca="1"/>
        <v>13249313</v>
      </c>
      <c r="E34">
        <f t="shared" ca="1" si="1"/>
        <v>2117505203.6599998</v>
      </c>
      <c r="F34">
        <f ca="1">SUM($E$2:E34)/SUM($D$2:D34)</f>
        <v>162.5966894760721</v>
      </c>
      <c r="G34">
        <f ca="1">_xlfn.STDEV.P($C$2:C34)</f>
        <v>3.3744546748500079</v>
      </c>
      <c r="H34">
        <f t="shared" ca="1" si="2"/>
        <v>165.9711441509221</v>
      </c>
      <c r="I34">
        <f t="shared" ca="1" si="3"/>
        <v>159.2222348012221</v>
      </c>
      <c r="J34">
        <f t="shared" ca="1" si="12"/>
        <v>162.63850000000002</v>
      </c>
      <c r="K34">
        <f t="shared" ca="1" si="13"/>
        <v>3.4112064157019732</v>
      </c>
      <c r="L34">
        <f t="shared" ca="1" si="14"/>
        <v>169.46091283140396</v>
      </c>
      <c r="M34">
        <f t="shared" ca="1" si="15"/>
        <v>155.81608716859608</v>
      </c>
      <c r="N34">
        <f t="shared" ca="1" si="4"/>
        <v>4.4599999999999795</v>
      </c>
      <c r="O34">
        <f t="shared" ca="1" si="5"/>
        <v>4.4599999999999795</v>
      </c>
      <c r="P34">
        <f t="shared" ca="1" si="6"/>
        <v>0</v>
      </c>
      <c r="Q34">
        <f t="shared" ca="1" si="10"/>
        <v>1.1130168376990739</v>
      </c>
      <c r="R34">
        <f t="shared" ca="1" si="11"/>
        <v>1.1230397999921238</v>
      </c>
      <c r="S34">
        <f t="shared" ca="1" si="8"/>
        <v>0.99107514952442455</v>
      </c>
      <c r="T34">
        <f t="shared" ca="1" si="9"/>
        <v>49.775878613177731</v>
      </c>
      <c r="U34">
        <f>70</f>
        <v>70</v>
      </c>
      <c r="V34">
        <f>30</f>
        <v>30</v>
      </c>
      <c r="W34">
        <f t="shared" ca="1" si="7"/>
        <v>160.75338752120456</v>
      </c>
      <c r="X34">
        <f t="shared" ca="1" si="17"/>
        <v>162.04548193783432</v>
      </c>
      <c r="Y34">
        <f t="shared" ca="1" si="16"/>
        <v>-1.7957422678017281</v>
      </c>
    </row>
    <row r="35" spans="1:27" x14ac:dyDescent="0.25">
      <c r="A35" s="20">
        <f t="shared" ca="1" si="0"/>
        <v>45747</v>
      </c>
      <c r="B35" vm="99">
        <f ca="1"/>
        <v>45751</v>
      </c>
      <c r="C35" vm="100">
        <f ca="1"/>
        <v>153.24</v>
      </c>
      <c r="D35" vm="101">
        <f ca="1"/>
        <v>16601728</v>
      </c>
      <c r="E35">
        <f t="shared" ca="1" si="1"/>
        <v>2544048798.7200003</v>
      </c>
      <c r="F35">
        <f ca="1">SUM($E$2:E35)/SUM($D$2:D35)</f>
        <v>162.14253438351793</v>
      </c>
      <c r="G35">
        <f ca="1">_xlfn.STDEV.P($C$2:C35)</f>
        <v>3.6972909281813959</v>
      </c>
      <c r="H35">
        <f t="shared" ca="1" si="2"/>
        <v>165.83982531169931</v>
      </c>
      <c r="I35">
        <f t="shared" ca="1" si="3"/>
        <v>158.44524345533654</v>
      </c>
      <c r="J35">
        <f t="shared" ca="1" si="12"/>
        <v>161.96600000000004</v>
      </c>
      <c r="K35">
        <f t="shared" ca="1" si="13"/>
        <v>3.865925912106273</v>
      </c>
      <c r="L35">
        <f t="shared" ca="1" si="14"/>
        <v>169.69785182421259</v>
      </c>
      <c r="M35">
        <f t="shared" ca="1" si="15"/>
        <v>154.23414817578748</v>
      </c>
      <c r="N35">
        <f t="shared" ca="1" si="4"/>
        <v>-6.5799999999999841</v>
      </c>
      <c r="O35">
        <f t="shared" ca="1" si="5"/>
        <v>0</v>
      </c>
      <c r="P35">
        <f t="shared" ca="1" si="6"/>
        <v>6.5799999999999841</v>
      </c>
      <c r="Q35">
        <f t="shared" ca="1" si="10"/>
        <v>1.0335156350062829</v>
      </c>
      <c r="R35">
        <f t="shared" ca="1" si="11"/>
        <v>1.5128226714212565</v>
      </c>
      <c r="S35">
        <f t="shared" ca="1" si="8"/>
        <v>0.68317037715684314</v>
      </c>
      <c r="T35">
        <f t="shared" ca="1" si="9"/>
        <v>40.588308018516365</v>
      </c>
      <c r="U35">
        <f>70</f>
        <v>70</v>
      </c>
      <c r="V35">
        <f>30</f>
        <v>30</v>
      </c>
      <c r="W35">
        <f t="shared" ca="1" si="7"/>
        <v>159.59748174871154</v>
      </c>
      <c r="X35">
        <f t="shared" ca="1" si="17"/>
        <v>161.39322401651327</v>
      </c>
      <c r="Y35">
        <f t="shared" ca="1" si="16"/>
        <v>-2.3788767122492516</v>
      </c>
    </row>
    <row r="36" spans="1:27" x14ac:dyDescent="0.25">
      <c r="A36" s="20">
        <f t="shared" ca="1" si="0"/>
        <v>45754</v>
      </c>
      <c r="B36" vm="102">
        <f ca="1"/>
        <v>45754</v>
      </c>
      <c r="C36" vm="103">
        <f ca="1"/>
        <v>150.62</v>
      </c>
      <c r="D36" vm="104">
        <f ca="1"/>
        <v>18083040</v>
      </c>
      <c r="E36">
        <f t="shared" ca="1" si="1"/>
        <v>2723667484.8000002</v>
      </c>
      <c r="F36">
        <f ca="1">SUM($E$2:E36)/SUM($D$2:D36)</f>
        <v>161.56394049304012</v>
      </c>
      <c r="G36">
        <f ca="1">_xlfn.STDEV.P($C$2:C36)</f>
        <v>4.1496397679897017</v>
      </c>
      <c r="H36">
        <f t="shared" ca="1" si="2"/>
        <v>165.71358026102982</v>
      </c>
      <c r="I36">
        <f t="shared" ca="1" si="3"/>
        <v>157.41430072505042</v>
      </c>
      <c r="J36">
        <f t="shared" ca="1" si="12"/>
        <v>161.11200000000002</v>
      </c>
      <c r="K36">
        <f t="shared" ca="1" si="13"/>
        <v>4.3843556809230355</v>
      </c>
      <c r="L36">
        <f t="shared" ca="1" si="14"/>
        <v>169.8807113618461</v>
      </c>
      <c r="M36">
        <f t="shared" ca="1" si="15"/>
        <v>152.34328863815395</v>
      </c>
      <c r="N36">
        <f t="shared" ca="1" si="4"/>
        <v>-2.6200000000000045</v>
      </c>
      <c r="O36">
        <f t="shared" ca="1" si="5"/>
        <v>0</v>
      </c>
      <c r="P36">
        <f t="shared" ca="1" si="6"/>
        <v>2.6200000000000045</v>
      </c>
      <c r="Q36">
        <f t="shared" ca="1" si="10"/>
        <v>0.95969308964869116</v>
      </c>
      <c r="R36">
        <f t="shared" ca="1" si="11"/>
        <v>1.5919067663197384</v>
      </c>
      <c r="S36">
        <f t="shared" ca="1" si="8"/>
        <v>0.60285759816660922</v>
      </c>
      <c r="T36">
        <f t="shared" ca="1" si="9"/>
        <v>37.611425921814494</v>
      </c>
      <c r="U36">
        <f>70</f>
        <v>70</v>
      </c>
      <c r="V36">
        <f>30</f>
        <v>30</v>
      </c>
      <c r="W36">
        <f t="shared" ca="1" si="7"/>
        <v>158.21633071044823</v>
      </c>
      <c r="X36">
        <f t="shared" ca="1" si="17"/>
        <v>160.59520742269748</v>
      </c>
      <c r="Y36">
        <f t="shared" ca="1" si="16"/>
        <v>-2.8580974113206707</v>
      </c>
      <c r="Z36" s="9">
        <f ca="1">AVERAGE(Y28:Y36)</f>
        <v>-1.2318515241261201</v>
      </c>
    </row>
    <row r="37" spans="1:27" x14ac:dyDescent="0.25">
      <c r="A37" s="20">
        <f t="shared" ca="1" si="0"/>
        <v>45754</v>
      </c>
      <c r="B37" vm="105">
        <f ca="1"/>
        <v>45755</v>
      </c>
      <c r="C37" vm="106">
        <f ca="1"/>
        <v>150</v>
      </c>
      <c r="D37" vm="107">
        <f ca="1"/>
        <v>12018391</v>
      </c>
      <c r="E37">
        <f t="shared" ca="1" si="1"/>
        <v>1802758650</v>
      </c>
      <c r="F37">
        <f ca="1">SUM($E$2:E37)/SUM($D$2:D37)</f>
        <v>161.19047603396319</v>
      </c>
      <c r="G37">
        <f ca="1">_xlfn.STDEV.P($C$2:C37)</f>
        <v>4.5559877843732215</v>
      </c>
      <c r="H37">
        <f t="shared" ca="1" si="2"/>
        <v>165.74646381833642</v>
      </c>
      <c r="I37">
        <f t="shared" ca="1" si="3"/>
        <v>156.63448824958996</v>
      </c>
      <c r="J37">
        <f t="shared" ca="1" si="12"/>
        <v>160.31900000000002</v>
      </c>
      <c r="K37">
        <f t="shared" ca="1" si="13"/>
        <v>4.8859895296869515</v>
      </c>
      <c r="L37">
        <f t="shared" ca="1" si="14"/>
        <v>170.09097905937392</v>
      </c>
      <c r="M37">
        <f t="shared" ca="1" si="15"/>
        <v>150.54702094062611</v>
      </c>
      <c r="N37">
        <f t="shared" ca="1" si="4"/>
        <v>-0.62000000000000455</v>
      </c>
      <c r="O37">
        <f t="shared" ca="1" si="5"/>
        <v>0</v>
      </c>
      <c r="P37">
        <f t="shared" ca="1" si="6"/>
        <v>0.62000000000000455</v>
      </c>
      <c r="Q37">
        <f t="shared" ca="1" si="10"/>
        <v>0.89114358324521326</v>
      </c>
      <c r="R37">
        <f t="shared" ca="1" si="11"/>
        <v>1.5224848544397573</v>
      </c>
      <c r="S37">
        <f t="shared" ca="1" si="8"/>
        <v>0.58532180510467902</v>
      </c>
      <c r="T37">
        <f t="shared" ca="1" si="9"/>
        <v>36.921324315351235</v>
      </c>
      <c r="U37">
        <f>70</f>
        <v>70</v>
      </c>
      <c r="V37">
        <f>30</f>
        <v>30</v>
      </c>
      <c r="W37">
        <f t="shared" ca="1" si="7"/>
        <v>156.95227983191774</v>
      </c>
      <c r="X37">
        <f t="shared" ca="1" si="17"/>
        <v>159.81037724323841</v>
      </c>
      <c r="Y37">
        <f t="shared" ca="1" si="16"/>
        <v>-3.1236053959342485</v>
      </c>
      <c r="Z37">
        <f ca="1">Y37*(2/(9+1)) + Z36*(1-(2/(9+1)))</f>
        <v>-1.6102022984877458</v>
      </c>
      <c r="AA37">
        <f ca="1">Y37-Z37</f>
        <v>-1.5134030974465027</v>
      </c>
    </row>
    <row r="38" spans="1:27" x14ac:dyDescent="0.25">
      <c r="A38" s="20">
        <f t="shared" ca="1" si="0"/>
        <v>45754</v>
      </c>
      <c r="B38" vm="108">
        <f ca="1"/>
        <v>45756</v>
      </c>
      <c r="C38" vm="109">
        <f ca="1"/>
        <v>150.97</v>
      </c>
      <c r="D38" vm="110">
        <f ca="1"/>
        <v>18773742</v>
      </c>
      <c r="E38">
        <f t="shared" ca="1" si="1"/>
        <v>2834271829.7399998</v>
      </c>
      <c r="F38">
        <f ca="1">SUM($E$2:E38)/SUM($D$2:D38)</f>
        <v>160.69963109180753</v>
      </c>
      <c r="G38">
        <f ca="1">_xlfn.STDEV.P($C$2:C38)</f>
        <v>4.8282547695617168</v>
      </c>
      <c r="H38">
        <f t="shared" ca="1" si="2"/>
        <v>165.52788586136924</v>
      </c>
      <c r="I38">
        <f t="shared" ca="1" si="3"/>
        <v>155.87137632224582</v>
      </c>
      <c r="J38">
        <f t="shared" ca="1" si="12"/>
        <v>159.72500000000002</v>
      </c>
      <c r="K38">
        <f t="shared" ca="1" si="13"/>
        <v>5.269205972340365</v>
      </c>
      <c r="L38">
        <f t="shared" ca="1" si="14"/>
        <v>170.26341194468074</v>
      </c>
      <c r="M38">
        <f t="shared" ca="1" si="15"/>
        <v>149.18658805531931</v>
      </c>
      <c r="N38">
        <f t="shared" ca="1" si="4"/>
        <v>0.96999999999999886</v>
      </c>
      <c r="O38">
        <f t="shared" ca="1" si="5"/>
        <v>0.96999999999999886</v>
      </c>
      <c r="P38">
        <f t="shared" ca="1" si="6"/>
        <v>0</v>
      </c>
      <c r="Q38">
        <f t="shared" ca="1" si="10"/>
        <v>0.89677618444198359</v>
      </c>
      <c r="R38">
        <f t="shared" ca="1" si="11"/>
        <v>1.4137359362654889</v>
      </c>
      <c r="S38">
        <f t="shared" ca="1" si="8"/>
        <v>0.63433075543859974</v>
      </c>
      <c r="T38">
        <f t="shared" ca="1" si="9"/>
        <v>38.812875137283122</v>
      </c>
      <c r="U38">
        <f>70</f>
        <v>70</v>
      </c>
      <c r="V38">
        <f>30</f>
        <v>30</v>
      </c>
      <c r="W38">
        <f t="shared" ca="1" si="7"/>
        <v>156.03192908854575</v>
      </c>
      <c r="X38">
        <f t="shared" ca="1" si="17"/>
        <v>159.15553448448</v>
      </c>
      <c r="Y38">
        <f t="shared" ca="1" si="16"/>
        <v>-3.4779081713900837</v>
      </c>
      <c r="Z38">
        <f t="shared" ref="Z38:Z101" ca="1" si="18">Y38*(2/(9+1)) + Z37*(1-(2/(9+1)))</f>
        <v>-1.9837434730682135</v>
      </c>
      <c r="AA38">
        <f t="shared" ref="AA38:AA101" ca="1" si="19">Y38-Z38</f>
        <v>-1.4941646983218702</v>
      </c>
    </row>
    <row r="39" spans="1:27" x14ac:dyDescent="0.25">
      <c r="A39" s="20">
        <f t="shared" ca="1" si="0"/>
        <v>45754</v>
      </c>
      <c r="B39" vm="111">
        <f ca="1"/>
        <v>45757</v>
      </c>
      <c r="C39" vm="112">
        <f ca="1"/>
        <v>148.69</v>
      </c>
      <c r="D39" vm="113">
        <f ca="1"/>
        <v>13830474</v>
      </c>
      <c r="E39">
        <f t="shared" ca="1" si="1"/>
        <v>2056453179.0599999</v>
      </c>
      <c r="F39">
        <f ca="1">SUM($E$2:E39)/SUM($D$2:D39)</f>
        <v>160.28924819136796</v>
      </c>
      <c r="G39">
        <f ca="1">_xlfn.STDEV.P($C$2:C39)</f>
        <v>5.190724360875052</v>
      </c>
      <c r="H39">
        <f t="shared" ca="1" si="2"/>
        <v>165.479972552243</v>
      </c>
      <c r="I39">
        <f t="shared" ca="1" si="3"/>
        <v>155.09852383049292</v>
      </c>
      <c r="J39">
        <f t="shared" ca="1" si="12"/>
        <v>159.01</v>
      </c>
      <c r="K39">
        <f t="shared" ca="1" si="13"/>
        <v>5.7510301136771176</v>
      </c>
      <c r="L39">
        <f t="shared" ca="1" si="14"/>
        <v>170.51206022735423</v>
      </c>
      <c r="M39">
        <f t="shared" ca="1" si="15"/>
        <v>147.50793977264576</v>
      </c>
      <c r="N39">
        <f t="shared" ca="1" si="4"/>
        <v>-2.2800000000000011</v>
      </c>
      <c r="O39">
        <f t="shared" ca="1" si="5"/>
        <v>0</v>
      </c>
      <c r="P39">
        <f t="shared" ca="1" si="6"/>
        <v>2.2800000000000011</v>
      </c>
      <c r="Q39">
        <f t="shared" ca="1" si="10"/>
        <v>0.83272074269612761</v>
      </c>
      <c r="R39">
        <f t="shared" ca="1" si="11"/>
        <v>1.475611940817954</v>
      </c>
      <c r="S39">
        <f t="shared" ca="1" si="8"/>
        <v>0.56432231243299502</v>
      </c>
      <c r="T39">
        <f t="shared" ca="1" si="9"/>
        <v>36.07455496529375</v>
      </c>
      <c r="U39">
        <f>70</f>
        <v>70</v>
      </c>
      <c r="V39">
        <f>30</f>
        <v>30</v>
      </c>
      <c r="W39">
        <f t="shared" ca="1" si="7"/>
        <v>154.90240153646178</v>
      </c>
      <c r="X39">
        <f t="shared" ca="1" si="17"/>
        <v>158.38030970785186</v>
      </c>
      <c r="Y39">
        <f t="shared" ca="1" si="16"/>
        <v>-3.4733544123154161</v>
      </c>
      <c r="Z39">
        <f t="shared" ca="1" si="18"/>
        <v>-2.2816656609176542</v>
      </c>
      <c r="AA39">
        <f t="shared" ca="1" si="19"/>
        <v>-1.1916887513977619</v>
      </c>
    </row>
    <row r="40" spans="1:27" x14ac:dyDescent="0.25">
      <c r="A40" s="20">
        <f t="shared" ca="1" si="0"/>
        <v>45754</v>
      </c>
      <c r="B40" vm="114">
        <f ca="1"/>
        <v>45758</v>
      </c>
      <c r="C40" vm="115">
        <f ca="1"/>
        <v>151.72999999999999</v>
      </c>
      <c r="D40" vm="116">
        <f ca="1"/>
        <v>9943851</v>
      </c>
      <c r="E40">
        <f t="shared" ca="1" si="1"/>
        <v>1508780512.2299998</v>
      </c>
      <c r="F40">
        <f ca="1">SUM($E$2:E40)/SUM($D$2:D40)</f>
        <v>160.08400356779632</v>
      </c>
      <c r="G40">
        <f ca="1">_xlfn.STDEV.P($C$2:C40)</f>
        <v>5.3389163332470604</v>
      </c>
      <c r="H40">
        <f t="shared" ca="1" si="2"/>
        <v>165.42291990104337</v>
      </c>
      <c r="I40">
        <f t="shared" ca="1" si="3"/>
        <v>154.74508723454926</v>
      </c>
      <c r="J40">
        <f t="shared" ca="1" si="12"/>
        <v>158.45599999999996</v>
      </c>
      <c r="K40">
        <f t="shared" ca="1" si="13"/>
        <v>5.8975136598757496</v>
      </c>
      <c r="L40">
        <f t="shared" ca="1" si="14"/>
        <v>170.25102731975147</v>
      </c>
      <c r="M40">
        <f t="shared" ca="1" si="15"/>
        <v>146.66097268024845</v>
      </c>
      <c r="N40">
        <f t="shared" ca="1" si="4"/>
        <v>3.039999999999992</v>
      </c>
      <c r="O40">
        <f t="shared" ca="1" si="5"/>
        <v>3.039999999999992</v>
      </c>
      <c r="P40">
        <f t="shared" ca="1" si="6"/>
        <v>0</v>
      </c>
      <c r="Q40">
        <f t="shared" ca="1" si="10"/>
        <v>0.99038354678926077</v>
      </c>
      <c r="R40">
        <f t="shared" ca="1" si="11"/>
        <v>1.3702110879023859</v>
      </c>
      <c r="S40">
        <f t="shared" ca="1" si="8"/>
        <v>0.7227963308233103</v>
      </c>
      <c r="T40">
        <f t="shared" ca="1" si="9"/>
        <v>41.954833423512795</v>
      </c>
      <c r="U40">
        <f>70</f>
        <v>70</v>
      </c>
      <c r="V40">
        <f>30</f>
        <v>30</v>
      </c>
      <c r="W40">
        <f t="shared" ca="1" si="7"/>
        <v>154.41433976162151</v>
      </c>
      <c r="X40">
        <f t="shared" ca="1" si="17"/>
        <v>157.88769417393692</v>
      </c>
      <c r="Y40">
        <f t="shared" ca="1" si="16"/>
        <v>-3.2204036960908979</v>
      </c>
      <c r="Z40">
        <f t="shared" ca="1" si="18"/>
        <v>-2.4694132679523033</v>
      </c>
      <c r="AA40">
        <f t="shared" ca="1" si="19"/>
        <v>-0.75099042813859462</v>
      </c>
    </row>
    <row r="41" spans="1:27" x14ac:dyDescent="0.25">
      <c r="A41" s="20">
        <f t="shared" ca="1" si="0"/>
        <v>45761</v>
      </c>
      <c r="B41" vm="117">
        <f ca="1"/>
        <v>45761</v>
      </c>
      <c r="C41" vm="118">
        <f ca="1"/>
        <v>154.36000000000001</v>
      </c>
      <c r="D41" vm="119">
        <f ca="1"/>
        <v>10685338</v>
      </c>
      <c r="E41">
        <f t="shared" ca="1" si="1"/>
        <v>1649388773.6800001</v>
      </c>
      <c r="F41">
        <f ca="1">SUM($E$2:E41)/SUM($D$2:D41)</f>
        <v>159.94021616189156</v>
      </c>
      <c r="G41">
        <f ca="1">_xlfn.STDEV.P($C$2:C41)</f>
        <v>5.3720944181482881</v>
      </c>
      <c r="H41">
        <f t="shared" ca="1" si="2"/>
        <v>165.31231058003985</v>
      </c>
      <c r="I41">
        <f t="shared" ca="1" si="3"/>
        <v>154.56812174374326</v>
      </c>
      <c r="J41">
        <f t="shared" ca="1" si="12"/>
        <v>158.03199999999998</v>
      </c>
      <c r="K41">
        <f t="shared" ca="1" si="13"/>
        <v>5.8705102441198234</v>
      </c>
      <c r="L41">
        <f t="shared" ca="1" si="14"/>
        <v>169.77302048823964</v>
      </c>
      <c r="M41">
        <f t="shared" ca="1" si="15"/>
        <v>146.29097951176033</v>
      </c>
      <c r="N41">
        <f t="shared" ca="1" si="4"/>
        <v>2.6300000000000239</v>
      </c>
      <c r="O41">
        <f t="shared" ca="1" si="5"/>
        <v>2.6300000000000239</v>
      </c>
      <c r="P41">
        <f t="shared" ca="1" si="6"/>
        <v>0</v>
      </c>
      <c r="Q41">
        <f t="shared" ca="1" si="10"/>
        <v>1.1074990077328868</v>
      </c>
      <c r="R41">
        <f t="shared" ca="1" si="11"/>
        <v>1.2723388673379297</v>
      </c>
      <c r="S41">
        <f t="shared" ca="1" si="8"/>
        <v>0.87044342994100965</v>
      </c>
      <c r="T41">
        <f t="shared" ca="1" si="9"/>
        <v>46.536741823218996</v>
      </c>
      <c r="U41">
        <f>70</f>
        <v>70</v>
      </c>
      <c r="V41">
        <f>30</f>
        <v>30</v>
      </c>
      <c r="W41">
        <f t="shared" ca="1" si="7"/>
        <v>154.40597979829514</v>
      </c>
      <c r="X41">
        <f t="shared" ca="1" si="17"/>
        <v>157.62638349438603</v>
      </c>
      <c r="Y41">
        <f t="shared" ca="1" si="16"/>
        <v>-3.0445545173271</v>
      </c>
      <c r="Z41">
        <f t="shared" ca="1" si="18"/>
        <v>-2.5844415178272628</v>
      </c>
      <c r="AA41">
        <f t="shared" ca="1" si="19"/>
        <v>-0.46011299949983719</v>
      </c>
    </row>
    <row r="42" spans="1:27" x14ac:dyDescent="0.25">
      <c r="A42" s="20">
        <f t="shared" ca="1" si="0"/>
        <v>45761</v>
      </c>
      <c r="B42" vm="120">
        <f ca="1"/>
        <v>45762</v>
      </c>
      <c r="C42" vm="121">
        <f ca="1"/>
        <v>153.62</v>
      </c>
      <c r="D42" vm="122">
        <f ca="1"/>
        <v>10847653</v>
      </c>
      <c r="E42">
        <f t="shared" ca="1" si="1"/>
        <v>1666416453.8600001</v>
      </c>
      <c r="F42">
        <f ca="1">SUM($E$2:E42)/SUM($D$2:D42)</f>
        <v>159.78304819448365</v>
      </c>
      <c r="G42">
        <f ca="1">_xlfn.STDEV.P($C$2:C42)</f>
        <v>5.4209705289101429</v>
      </c>
      <c r="H42">
        <f t="shared" ca="1" si="2"/>
        <v>165.2040187233938</v>
      </c>
      <c r="I42">
        <f t="shared" ca="1" si="3"/>
        <v>154.36207766557351</v>
      </c>
      <c r="J42">
        <f t="shared" ca="1" si="12"/>
        <v>157.50049999999999</v>
      </c>
      <c r="K42">
        <f t="shared" ca="1" si="13"/>
        <v>5.7580483490045209</v>
      </c>
      <c r="L42">
        <f t="shared" ca="1" si="14"/>
        <v>169.01659669800904</v>
      </c>
      <c r="M42">
        <f t="shared" ca="1" si="15"/>
        <v>145.98440330199094</v>
      </c>
      <c r="N42">
        <f t="shared" ca="1" si="4"/>
        <v>-0.74000000000000909</v>
      </c>
      <c r="O42">
        <f t="shared" ca="1" si="5"/>
        <v>0</v>
      </c>
      <c r="P42">
        <f t="shared" ca="1" si="6"/>
        <v>0.74000000000000909</v>
      </c>
      <c r="Q42">
        <f t="shared" ca="1" si="10"/>
        <v>1.0283919357519662</v>
      </c>
      <c r="R42">
        <f t="shared" ca="1" si="11"/>
        <v>1.2343146625280781</v>
      </c>
      <c r="S42">
        <f t="shared" ca="1" si="8"/>
        <v>0.83316837024819224</v>
      </c>
      <c r="T42">
        <f t="shared" ca="1" si="9"/>
        <v>45.449637020269435</v>
      </c>
      <c r="U42">
        <f>70</f>
        <v>70</v>
      </c>
      <c r="V42">
        <f>30</f>
        <v>30</v>
      </c>
      <c r="W42">
        <f t="shared" ca="1" si="7"/>
        <v>154.28505982932666</v>
      </c>
      <c r="X42">
        <f t="shared" ca="1" si="17"/>
        <v>157.32961434665376</v>
      </c>
      <c r="Y42">
        <f t="shared" ca="1" si="16"/>
        <v>-2.8489512631124114</v>
      </c>
      <c r="Z42">
        <f t="shared" ca="1" si="18"/>
        <v>-2.6373434668842926</v>
      </c>
      <c r="AA42">
        <f t="shared" ca="1" si="19"/>
        <v>-0.21160779622811887</v>
      </c>
    </row>
    <row r="43" spans="1:27" x14ac:dyDescent="0.25">
      <c r="A43" s="20">
        <f t="shared" ca="1" si="0"/>
        <v>45761</v>
      </c>
      <c r="B43" vm="123">
        <f ca="1"/>
        <v>45763</v>
      </c>
      <c r="C43" vm="124">
        <f ca="1"/>
        <v>153.91</v>
      </c>
      <c r="D43" vm="125">
        <f ca="1"/>
        <v>7987296</v>
      </c>
      <c r="E43">
        <f t="shared" ca="1" si="1"/>
        <v>1229324727.3599999</v>
      </c>
      <c r="F43">
        <f ca="1">SUM($E$2:E43)/SUM($D$2:D43)</f>
        <v>159.67744440176696</v>
      </c>
      <c r="G43">
        <f ca="1">_xlfn.STDEV.P($C$2:C43)</f>
        <v>5.4533865572972777</v>
      </c>
      <c r="H43">
        <f t="shared" ca="1" si="2"/>
        <v>165.13083095906424</v>
      </c>
      <c r="I43">
        <f t="shared" ca="1" si="3"/>
        <v>154.22405784446968</v>
      </c>
      <c r="J43">
        <f t="shared" ca="1" si="12"/>
        <v>157.04649999999998</v>
      </c>
      <c r="K43">
        <f t="shared" ca="1" si="13"/>
        <v>5.6595613322663283</v>
      </c>
      <c r="L43">
        <f t="shared" ca="1" si="14"/>
        <v>168.36562266453262</v>
      </c>
      <c r="M43">
        <f t="shared" ca="1" si="15"/>
        <v>145.72737733546734</v>
      </c>
      <c r="N43">
        <f t="shared" ca="1" si="4"/>
        <v>0.28999999999999204</v>
      </c>
      <c r="O43">
        <f t="shared" ca="1" si="5"/>
        <v>0.28999999999999204</v>
      </c>
      <c r="P43">
        <f t="shared" ca="1" si="6"/>
        <v>0</v>
      </c>
      <c r="Q43">
        <f t="shared" ca="1" si="10"/>
        <v>0.97564965462682518</v>
      </c>
      <c r="R43">
        <f t="shared" ca="1" si="11"/>
        <v>1.1461493294903582</v>
      </c>
      <c r="S43">
        <f t="shared" ca="1" si="8"/>
        <v>0.85124130819904009</v>
      </c>
      <c r="T43">
        <f t="shared" ca="1" si="9"/>
        <v>45.982190675464174</v>
      </c>
      <c r="U43">
        <f>70</f>
        <v>70</v>
      </c>
      <c r="V43">
        <f>30</f>
        <v>30</v>
      </c>
      <c r="W43">
        <f t="shared" ca="1" si="7"/>
        <v>154.22735831712254</v>
      </c>
      <c r="X43">
        <f t="shared" ca="1" si="17"/>
        <v>157.07630958023495</v>
      </c>
      <c r="Y43">
        <f t="shared" ca="1" si="16"/>
        <v>-2.3792455652164506</v>
      </c>
      <c r="Z43">
        <f t="shared" ca="1" si="18"/>
        <v>-2.5857238865507242</v>
      </c>
      <c r="AA43">
        <f t="shared" ca="1" si="19"/>
        <v>0.20647832133427357</v>
      </c>
    </row>
    <row r="44" spans="1:27" x14ac:dyDescent="0.25">
      <c r="A44" s="20">
        <f t="shared" ca="1" si="0"/>
        <v>45761</v>
      </c>
      <c r="B44" vm="126">
        <f ca="1"/>
        <v>45764</v>
      </c>
      <c r="C44" vm="127">
        <f ca="1"/>
        <v>157.47</v>
      </c>
      <c r="D44" vm="128">
        <f ca="1"/>
        <v>10981067</v>
      </c>
      <c r="E44">
        <f t="shared" ca="1" si="1"/>
        <v>1729188620.49</v>
      </c>
      <c r="F44">
        <f ca="1">SUM($E$2:E44)/SUM($D$2:D44)</f>
        <v>159.62419129133545</v>
      </c>
      <c r="G44">
        <f ca="1">_xlfn.STDEV.P($C$2:C44)</f>
        <v>5.4086366144382128</v>
      </c>
      <c r="H44">
        <f t="shared" ca="1" si="2"/>
        <v>165.03282790577367</v>
      </c>
      <c r="I44">
        <f t="shared" ca="1" si="3"/>
        <v>154.21555467689723</v>
      </c>
      <c r="J44">
        <f t="shared" ca="1" si="12"/>
        <v>156.76899999999995</v>
      </c>
      <c r="K44">
        <f t="shared" ca="1" si="13"/>
        <v>5.484612829975954</v>
      </c>
      <c r="L44">
        <f t="shared" ca="1" si="14"/>
        <v>167.73822565995187</v>
      </c>
      <c r="M44">
        <f t="shared" ca="1" si="15"/>
        <v>145.79977434004803</v>
      </c>
      <c r="N44">
        <f t="shared" ca="1" si="4"/>
        <v>3.5600000000000023</v>
      </c>
      <c r="O44">
        <f t="shared" ca="1" si="5"/>
        <v>3.5600000000000023</v>
      </c>
      <c r="P44">
        <f t="shared" ca="1" si="6"/>
        <v>0</v>
      </c>
      <c r="Q44">
        <f t="shared" ca="1" si="10"/>
        <v>1.1602461078677666</v>
      </c>
      <c r="R44">
        <f t="shared" ca="1" si="11"/>
        <v>1.0642815202410469</v>
      </c>
      <c r="S44">
        <f t="shared" ca="1" si="8"/>
        <v>1.0901684242389034</v>
      </c>
      <c r="T44">
        <f t="shared" ca="1" si="9"/>
        <v>52.156965515153082</v>
      </c>
      <c r="U44">
        <f>70</f>
        <v>70</v>
      </c>
      <c r="V44">
        <f>30</f>
        <v>30</v>
      </c>
      <c r="W44">
        <f t="shared" ca="1" si="7"/>
        <v>154.72622626833444</v>
      </c>
      <c r="X44">
        <f t="shared" ca="1" si="17"/>
        <v>157.10547183355089</v>
      </c>
      <c r="Y44">
        <f t="shared" ca="1" si="16"/>
        <v>-2.0280032598539037</v>
      </c>
      <c r="Z44">
        <f t="shared" ca="1" si="18"/>
        <v>-2.4741797612113601</v>
      </c>
      <c r="AA44">
        <f t="shared" ca="1" si="19"/>
        <v>0.44617650135745635</v>
      </c>
    </row>
    <row r="45" spans="1:27" x14ac:dyDescent="0.25">
      <c r="A45" s="20">
        <f t="shared" ca="1" si="0"/>
        <v>45768</v>
      </c>
      <c r="B45" vm="129">
        <f ca="1"/>
        <v>45768</v>
      </c>
      <c r="C45" vm="130">
        <f ca="1"/>
        <v>156.91999999999999</v>
      </c>
      <c r="D45" vm="131">
        <f ca="1"/>
        <v>6285438</v>
      </c>
      <c r="E45">
        <f t="shared" ca="1" si="1"/>
        <v>986310930.95999992</v>
      </c>
      <c r="F45">
        <f ca="1">SUM($E$2:E45)/SUM($D$2:D45)</f>
        <v>159.58735908825079</v>
      </c>
      <c r="G45">
        <f ca="1">_xlfn.STDEV.P($C$2:C45)</f>
        <v>5.372033310627911</v>
      </c>
      <c r="H45">
        <f t="shared" ca="1" si="2"/>
        <v>164.95939239887869</v>
      </c>
      <c r="I45">
        <f t="shared" ca="1" si="3"/>
        <v>154.21532577762289</v>
      </c>
      <c r="J45">
        <f t="shared" ca="1" si="12"/>
        <v>156.43349999999998</v>
      </c>
      <c r="K45">
        <f t="shared" ca="1" si="13"/>
        <v>5.242723553951504</v>
      </c>
      <c r="L45">
        <f t="shared" ca="1" si="14"/>
        <v>166.91894710790299</v>
      </c>
      <c r="M45">
        <f t="shared" ca="1" si="15"/>
        <v>145.94805289209697</v>
      </c>
      <c r="N45">
        <f t="shared" ca="1" si="4"/>
        <v>-0.55000000000001137</v>
      </c>
      <c r="O45">
        <f t="shared" ca="1" si="5"/>
        <v>0</v>
      </c>
      <c r="P45">
        <f t="shared" ca="1" si="6"/>
        <v>0.55000000000001137</v>
      </c>
      <c r="Q45">
        <f t="shared" ca="1" si="10"/>
        <v>1.0773713858772118</v>
      </c>
      <c r="R45">
        <f t="shared" ca="1" si="11"/>
        <v>1.0275471259381157</v>
      </c>
      <c r="S45">
        <f t="shared" ca="1" si="8"/>
        <v>1.0484885400205934</v>
      </c>
      <c r="T45">
        <f t="shared" ca="1" si="9"/>
        <v>51.183519923916833</v>
      </c>
      <c r="U45">
        <f>70</f>
        <v>70</v>
      </c>
      <c r="V45">
        <f>30</f>
        <v>30</v>
      </c>
      <c r="W45">
        <f t="shared" ca="1" si="7"/>
        <v>155.0637299193599</v>
      </c>
      <c r="X45">
        <f t="shared" ca="1" si="17"/>
        <v>157.0917331792138</v>
      </c>
      <c r="Y45">
        <f t="shared" ca="1" si="16"/>
        <v>-1.6634914449988401</v>
      </c>
      <c r="Z45">
        <f t="shared" ca="1" si="18"/>
        <v>-2.3120420979688561</v>
      </c>
      <c r="AA45">
        <f t="shared" ca="1" si="19"/>
        <v>0.64855065297001602</v>
      </c>
    </row>
    <row r="46" spans="1:27" x14ac:dyDescent="0.25">
      <c r="A46" s="20">
        <f t="shared" ca="1" si="0"/>
        <v>45768</v>
      </c>
      <c r="B46" vm="132">
        <f ca="1"/>
        <v>45769</v>
      </c>
      <c r="C46" vm="133">
        <f ca="1"/>
        <v>157.75</v>
      </c>
      <c r="D46" vm="134">
        <f ca="1"/>
        <v>7136321</v>
      </c>
      <c r="E46">
        <f t="shared" ca="1" si="1"/>
        <v>1125754637.75</v>
      </c>
      <c r="F46">
        <f ca="1">SUM($E$2:E46)/SUM($D$2:D46)</f>
        <v>159.55937839203932</v>
      </c>
      <c r="G46">
        <f ca="1">_xlfn.STDEV.P($C$2:C46)</f>
        <v>5.3255931148268694</v>
      </c>
      <c r="H46">
        <f t="shared" ca="1" si="2"/>
        <v>164.88497150686618</v>
      </c>
      <c r="I46">
        <f t="shared" ca="1" si="3"/>
        <v>154.23378527721246</v>
      </c>
      <c r="J46">
        <f t="shared" ca="1" si="12"/>
        <v>156.15649999999999</v>
      </c>
      <c r="K46">
        <f t="shared" ca="1" si="13"/>
        <v>5.0022303183574763</v>
      </c>
      <c r="L46">
        <f t="shared" ca="1" si="14"/>
        <v>166.16096063671495</v>
      </c>
      <c r="M46">
        <f t="shared" ca="1" si="15"/>
        <v>146.15203936328504</v>
      </c>
      <c r="N46">
        <f t="shared" ca="1" si="4"/>
        <v>0.83000000000001251</v>
      </c>
      <c r="O46">
        <f t="shared" ca="1" si="5"/>
        <v>0.83000000000001251</v>
      </c>
      <c r="P46">
        <f t="shared" ca="1" si="6"/>
        <v>0</v>
      </c>
      <c r="Q46">
        <f t="shared" ca="1" si="10"/>
        <v>1.0597020011716975</v>
      </c>
      <c r="R46">
        <f t="shared" ca="1" si="11"/>
        <v>0.95415090265682168</v>
      </c>
      <c r="S46">
        <f t="shared" ca="1" si="8"/>
        <v>1.1106230662476659</v>
      </c>
      <c r="T46">
        <f t="shared" ca="1" si="9"/>
        <v>52.620625824115891</v>
      </c>
      <c r="U46">
        <f>70</f>
        <v>70</v>
      </c>
      <c r="V46">
        <f>30</f>
        <v>30</v>
      </c>
      <c r="W46">
        <f t="shared" ca="1" si="7"/>
        <v>155.47700223945839</v>
      </c>
      <c r="X46">
        <f t="shared" ca="1" si="17"/>
        <v>157.14049368445723</v>
      </c>
      <c r="Y46">
        <f t="shared" ca="1" si="16"/>
        <v>-1.5480079268645568</v>
      </c>
      <c r="Z46">
        <f t="shared" ca="1" si="18"/>
        <v>-2.1592352637479961</v>
      </c>
      <c r="AA46">
        <f t="shared" ca="1" si="19"/>
        <v>0.61122733688343933</v>
      </c>
    </row>
    <row r="47" spans="1:27" x14ac:dyDescent="0.25">
      <c r="A47" s="20">
        <f t="shared" ca="1" si="0"/>
        <v>45768</v>
      </c>
      <c r="B47" vm="135">
        <f ca="1"/>
        <v>45770</v>
      </c>
      <c r="C47" vm="136">
        <f ca="1"/>
        <v>155.38</v>
      </c>
      <c r="D47" vm="137">
        <f ca="1"/>
        <v>9099438</v>
      </c>
      <c r="E47">
        <f t="shared" ca="1" si="1"/>
        <v>1413870676.4400001</v>
      </c>
      <c r="F47">
        <f ca="1">SUM($E$2:E47)/SUM($D$2:D47)</f>
        <v>159.4797690453604</v>
      </c>
      <c r="G47">
        <f ca="1">_xlfn.STDEV.P($C$2:C47)</f>
        <v>5.3154707506078065</v>
      </c>
      <c r="H47">
        <f t="shared" ca="1" si="2"/>
        <v>164.7952397959682</v>
      </c>
      <c r="I47">
        <f t="shared" ca="1" si="3"/>
        <v>154.1642982947526</v>
      </c>
      <c r="J47">
        <f t="shared" ca="1" si="12"/>
        <v>155.87449999999998</v>
      </c>
      <c r="K47">
        <f t="shared" ca="1" si="13"/>
        <v>4.8708731250156783</v>
      </c>
      <c r="L47">
        <f t="shared" ca="1" si="14"/>
        <v>165.61624625003134</v>
      </c>
      <c r="M47">
        <f t="shared" ca="1" si="15"/>
        <v>146.13275374996863</v>
      </c>
      <c r="N47">
        <f t="shared" ca="1" si="4"/>
        <v>-2.3700000000000045</v>
      </c>
      <c r="O47">
        <f t="shared" ca="1" si="5"/>
        <v>0</v>
      </c>
      <c r="P47">
        <f t="shared" ca="1" si="6"/>
        <v>2.3700000000000045</v>
      </c>
      <c r="Q47">
        <f t="shared" ca="1" si="10"/>
        <v>0.98400900108800482</v>
      </c>
      <c r="R47">
        <f t="shared" ca="1" si="11"/>
        <v>1.0552829810384776</v>
      </c>
      <c r="S47">
        <f t="shared" ca="1" si="8"/>
        <v>0.93245984135901272</v>
      </c>
      <c r="T47">
        <f t="shared" ca="1" si="9"/>
        <v>48.252482219928325</v>
      </c>
      <c r="U47">
        <f>70</f>
        <v>70</v>
      </c>
      <c r="V47">
        <f>30</f>
        <v>30</v>
      </c>
      <c r="W47">
        <f t="shared" ca="1" si="7"/>
        <v>155.46207881800325</v>
      </c>
      <c r="X47">
        <f t="shared" ca="1" si="17"/>
        <v>157.01008674486781</v>
      </c>
      <c r="Y47">
        <f t="shared" ca="1" si="16"/>
        <v>-1.4757857069375291</v>
      </c>
      <c r="Z47">
        <f t="shared" ca="1" si="18"/>
        <v>-2.0225453523859027</v>
      </c>
      <c r="AA47">
        <f t="shared" ca="1" si="19"/>
        <v>0.54675964544837363</v>
      </c>
    </row>
    <row r="48" spans="1:27" x14ac:dyDescent="0.25">
      <c r="A48" s="20">
        <f t="shared" ca="1" si="0"/>
        <v>45768</v>
      </c>
      <c r="B48" vm="138">
        <f ca="1"/>
        <v>45771</v>
      </c>
      <c r="C48" vm="139">
        <f ca="1"/>
        <v>154.93</v>
      </c>
      <c r="D48" vm="140">
        <f ca="1"/>
        <v>8310425</v>
      </c>
      <c r="E48">
        <f t="shared" ca="1" si="1"/>
        <v>1287534145.25</v>
      </c>
      <c r="F48">
        <f ca="1">SUM($E$2:E48)/SUM($D$2:D48)</f>
        <v>159.40197252761479</v>
      </c>
      <c r="G48">
        <f ca="1">_xlfn.STDEV.P($C$2:C48)</f>
        <v>5.3126082680097442</v>
      </c>
      <c r="H48">
        <f t="shared" ca="1" si="2"/>
        <v>164.71458079562453</v>
      </c>
      <c r="I48">
        <f t="shared" ca="1" si="3"/>
        <v>154.08936425960505</v>
      </c>
      <c r="J48">
        <f t="shared" ca="1" si="12"/>
        <v>155.535</v>
      </c>
      <c r="K48">
        <f t="shared" ca="1" si="13"/>
        <v>4.6746781482230073</v>
      </c>
      <c r="L48">
        <f t="shared" ca="1" si="14"/>
        <v>164.88435629644601</v>
      </c>
      <c r="M48">
        <f t="shared" ca="1" si="15"/>
        <v>146.18564370355398</v>
      </c>
      <c r="N48">
        <f t="shared" ca="1" si="4"/>
        <v>-0.44999999999998863</v>
      </c>
      <c r="O48">
        <f t="shared" ca="1" si="5"/>
        <v>0</v>
      </c>
      <c r="P48">
        <f t="shared" ca="1" si="6"/>
        <v>0.44999999999998863</v>
      </c>
      <c r="Q48">
        <f t="shared" ca="1" si="10"/>
        <v>0.91372264386743307</v>
      </c>
      <c r="R48">
        <f t="shared" ca="1" si="11"/>
        <v>1.0120484823928713</v>
      </c>
      <c r="S48">
        <f t="shared" ca="1" si="8"/>
        <v>0.90284473497459516</v>
      </c>
      <c r="T48">
        <f t="shared" ca="1" si="9"/>
        <v>47.447104767938356</v>
      </c>
      <c r="U48">
        <f>70</f>
        <v>70</v>
      </c>
      <c r="V48">
        <f>30</f>
        <v>30</v>
      </c>
      <c r="W48">
        <f t="shared" ca="1" si="7"/>
        <v>155.38022053831043</v>
      </c>
      <c r="X48">
        <f t="shared" ca="1" si="17"/>
        <v>156.85600624524795</v>
      </c>
      <c r="Y48">
        <f t="shared" ca="1" si="16"/>
        <v>-1.4303035037817153</v>
      </c>
      <c r="Z48">
        <f t="shared" ca="1" si="18"/>
        <v>-1.9040969826650653</v>
      </c>
      <c r="AA48">
        <f t="shared" ca="1" si="19"/>
        <v>0.47379347888334999</v>
      </c>
    </row>
    <row r="49" spans="1:27" x14ac:dyDescent="0.25">
      <c r="A49" s="20">
        <f t="shared" ca="1" si="0"/>
        <v>45768</v>
      </c>
      <c r="B49" vm="141">
        <f ca="1"/>
        <v>45772</v>
      </c>
      <c r="C49" vm="142">
        <f ca="1"/>
        <v>154.58000000000001</v>
      </c>
      <c r="D49" vm="143">
        <f ca="1"/>
        <v>8643927</v>
      </c>
      <c r="E49">
        <f t="shared" ca="1" si="1"/>
        <v>1336178235.6600001</v>
      </c>
      <c r="F49">
        <f ca="1">SUM($E$2:E49)/SUM($D$2:D49)</f>
        <v>159.31771140045709</v>
      </c>
      <c r="G49">
        <f ca="1">_xlfn.STDEV.P($C$2:C49)</f>
        <v>5.3147936184387472</v>
      </c>
      <c r="H49">
        <f t="shared" ca="1" si="2"/>
        <v>164.63250501889584</v>
      </c>
      <c r="I49">
        <f t="shared" ca="1" si="3"/>
        <v>154.00291778201833</v>
      </c>
      <c r="J49">
        <f t="shared" ca="1" si="12"/>
        <v>155.10749999999999</v>
      </c>
      <c r="K49">
        <f t="shared" ca="1" si="13"/>
        <v>4.3211388301550429</v>
      </c>
      <c r="L49">
        <f t="shared" ca="1" si="14"/>
        <v>163.74977766031009</v>
      </c>
      <c r="M49">
        <f t="shared" ca="1" si="15"/>
        <v>146.46522233968989</v>
      </c>
      <c r="N49">
        <f t="shared" ca="1" si="4"/>
        <v>-0.34999999999999432</v>
      </c>
      <c r="O49">
        <f t="shared" ca="1" si="5"/>
        <v>0</v>
      </c>
      <c r="P49">
        <f t="shared" ca="1" si="6"/>
        <v>0.34999999999999432</v>
      </c>
      <c r="Q49">
        <f t="shared" ca="1" si="10"/>
        <v>0.84845674073404509</v>
      </c>
      <c r="R49">
        <f t="shared" ca="1" si="11"/>
        <v>0.96475930507909435</v>
      </c>
      <c r="S49">
        <f t="shared" ca="1" si="8"/>
        <v>0.87944913955972226</v>
      </c>
      <c r="T49">
        <f t="shared" ca="1" si="9"/>
        <v>46.792920385477473</v>
      </c>
      <c r="U49">
        <f>70</f>
        <v>70</v>
      </c>
      <c r="V49">
        <f>30</f>
        <v>30</v>
      </c>
      <c r="W49">
        <f t="shared" ca="1" si="7"/>
        <v>155.25710968626268</v>
      </c>
      <c r="X49">
        <f t="shared" ca="1" si="17"/>
        <v>156.6874131900444</v>
      </c>
      <c r="Y49">
        <f t="shared" ca="1" si="16"/>
        <v>-1.3169450425766911</v>
      </c>
      <c r="Z49">
        <f t="shared" ca="1" si="18"/>
        <v>-1.7866665946473907</v>
      </c>
      <c r="AA49">
        <f t="shared" ca="1" si="19"/>
        <v>0.46972155207069965</v>
      </c>
    </row>
    <row r="50" spans="1:27" x14ac:dyDescent="0.25">
      <c r="A50" s="20">
        <f t="shared" ca="1" si="0"/>
        <v>45775</v>
      </c>
      <c r="B50" vm="144">
        <f ca="1"/>
        <v>45775</v>
      </c>
      <c r="C50" vm="145">
        <f ca="1"/>
        <v>155.35</v>
      </c>
      <c r="D50" vm="146">
        <f ca="1"/>
        <v>5815179</v>
      </c>
      <c r="E50">
        <f t="shared" ca="1" si="1"/>
        <v>903388057.64999998</v>
      </c>
      <c r="F50">
        <f ca="1">SUM($E$2:E50)/SUM($D$2:D50)</f>
        <v>159.27160949507333</v>
      </c>
      <c r="G50">
        <f ca="1">_xlfn.STDEV.P($C$2:C50)</f>
        <v>5.3001612668289635</v>
      </c>
      <c r="H50">
        <f t="shared" ca="1" si="2"/>
        <v>164.57177076190229</v>
      </c>
      <c r="I50">
        <f t="shared" ca="1" si="3"/>
        <v>153.97144822824438</v>
      </c>
      <c r="J50">
        <f t="shared" ca="1" si="12"/>
        <v>154.68950000000001</v>
      </c>
      <c r="K50">
        <f t="shared" ca="1" si="13"/>
        <v>3.8205393322767511</v>
      </c>
      <c r="L50">
        <f t="shared" ca="1" si="14"/>
        <v>162.33057866455351</v>
      </c>
      <c r="M50">
        <f t="shared" ca="1" si="15"/>
        <v>147.04842133544651</v>
      </c>
      <c r="N50">
        <f t="shared" ca="1" si="4"/>
        <v>0.76999999999998181</v>
      </c>
      <c r="O50">
        <f t="shared" ca="1" si="5"/>
        <v>0.76999999999998181</v>
      </c>
      <c r="P50">
        <f t="shared" ca="1" si="6"/>
        <v>0</v>
      </c>
      <c r="Q50">
        <f t="shared" ca="1" si="10"/>
        <v>0.84285268782446909</v>
      </c>
      <c r="R50">
        <f t="shared" ca="1" si="11"/>
        <v>0.89584792614487341</v>
      </c>
      <c r="S50">
        <f t="shared" ca="1" si="8"/>
        <v>0.94084348830447129</v>
      </c>
      <c r="T50">
        <f t="shared" ca="1" si="9"/>
        <v>48.476010248842677</v>
      </c>
      <c r="U50">
        <f>70</f>
        <v>70</v>
      </c>
      <c r="V50">
        <f>30</f>
        <v>30</v>
      </c>
      <c r="W50">
        <f t="shared" ca="1" si="7"/>
        <v>155.27140050376073</v>
      </c>
      <c r="X50">
        <f t="shared" ca="1" si="17"/>
        <v>156.58834554633742</v>
      </c>
      <c r="Y50">
        <f t="shared" ca="1" si="16"/>
        <v>-1.1684511479849675</v>
      </c>
      <c r="Z50">
        <f t="shared" ca="1" si="18"/>
        <v>-1.6630235053149063</v>
      </c>
      <c r="AA50">
        <f t="shared" ca="1" si="19"/>
        <v>0.49457235732993876</v>
      </c>
    </row>
    <row r="51" spans="1:27" x14ac:dyDescent="0.25">
      <c r="A51" s="20">
        <f t="shared" ca="1" si="0"/>
        <v>45775</v>
      </c>
      <c r="B51" vm="147">
        <f ca="1"/>
        <v>45776</v>
      </c>
      <c r="C51" vm="148">
        <f ca="1"/>
        <v>155.91</v>
      </c>
      <c r="D51" vm="149">
        <f ca="1"/>
        <v>5246725</v>
      </c>
      <c r="E51">
        <f t="shared" ca="1" si="1"/>
        <v>818016894.75</v>
      </c>
      <c r="F51">
        <f ca="1">SUM($E$2:E51)/SUM($D$2:D51)</f>
        <v>159.23673386414154</v>
      </c>
      <c r="G51">
        <f ca="1">_xlfn.STDEV.P($C$2:C51)</f>
        <v>5.2757501115955074</v>
      </c>
      <c r="H51">
        <f t="shared" ca="1" si="2"/>
        <v>164.51248397573704</v>
      </c>
      <c r="I51">
        <f t="shared" ca="1" si="3"/>
        <v>153.96098375254604</v>
      </c>
      <c r="J51">
        <f t="shared" ca="1" si="12"/>
        <v>154.19299999999998</v>
      </c>
      <c r="K51">
        <f t="shared" ca="1" si="13"/>
        <v>2.8056298664236552</v>
      </c>
      <c r="L51">
        <f t="shared" ca="1" si="14"/>
        <v>159.8042597328473</v>
      </c>
      <c r="M51">
        <f t="shared" ca="1" si="15"/>
        <v>148.58174026715267</v>
      </c>
      <c r="N51">
        <f t="shared" ca="1" si="4"/>
        <v>0.56000000000000227</v>
      </c>
      <c r="O51">
        <f t="shared" ca="1" si="5"/>
        <v>0.56000000000000227</v>
      </c>
      <c r="P51">
        <f t="shared" ca="1" si="6"/>
        <v>0</v>
      </c>
      <c r="Q51">
        <f t="shared" ca="1" si="10"/>
        <v>0.82264892440843573</v>
      </c>
      <c r="R51">
        <f t="shared" ca="1" si="11"/>
        <v>0.83185878856309681</v>
      </c>
      <c r="S51">
        <f t="shared" ca="1" si="8"/>
        <v>0.98892857263602441</v>
      </c>
      <c r="T51">
        <f t="shared" ca="1" si="9"/>
        <v>49.721673580532304</v>
      </c>
      <c r="U51">
        <f>70</f>
        <v>70</v>
      </c>
      <c r="V51">
        <f>30</f>
        <v>30</v>
      </c>
      <c r="W51">
        <f t="shared" ca="1" si="7"/>
        <v>155.36964658010524</v>
      </c>
      <c r="X51">
        <f t="shared" ca="1" si="17"/>
        <v>156.53809772809021</v>
      </c>
      <c r="Y51">
        <f t="shared" ca="1" si="16"/>
        <v>-1.0068852630714105</v>
      </c>
      <c r="Z51">
        <f t="shared" ca="1" si="18"/>
        <v>-1.5317958568662073</v>
      </c>
      <c r="AA51">
        <f t="shared" ca="1" si="19"/>
        <v>0.52491059379479688</v>
      </c>
    </row>
    <row r="52" spans="1:27" x14ac:dyDescent="0.25">
      <c r="A52" s="20">
        <f t="shared" ca="1" si="0"/>
        <v>45775</v>
      </c>
      <c r="B52" vm="150">
        <f ca="1"/>
        <v>45777</v>
      </c>
      <c r="C52" vm="151">
        <f ca="1"/>
        <v>156.31</v>
      </c>
      <c r="D52" vm="152">
        <f ca="1"/>
        <v>9598156</v>
      </c>
      <c r="E52">
        <f t="shared" ca="1" si="1"/>
        <v>1500287764.3600001</v>
      </c>
      <c r="F52">
        <f ca="1">SUM($E$2:E52)/SUM($D$2:D52)</f>
        <v>159.18222184178916</v>
      </c>
      <c r="G52">
        <f ca="1">_xlfn.STDEV.P($C$2:C52)</f>
        <v>5.2457194354285281</v>
      </c>
      <c r="H52">
        <f t="shared" ca="1" si="2"/>
        <v>164.42794127721768</v>
      </c>
      <c r="I52">
        <f t="shared" ca="1" si="3"/>
        <v>153.93650240636063</v>
      </c>
      <c r="J52">
        <f t="shared" ca="1" si="12"/>
        <v>154.34599999999998</v>
      </c>
      <c r="K52">
        <f t="shared" ca="1" si="13"/>
        <v>2.834782828403354</v>
      </c>
      <c r="L52">
        <f t="shared" ca="1" si="14"/>
        <v>160.01556565680667</v>
      </c>
      <c r="M52">
        <f t="shared" ca="1" si="15"/>
        <v>148.67643434319328</v>
      </c>
      <c r="N52">
        <f t="shared" ca="1" si="4"/>
        <v>0.40000000000000568</v>
      </c>
      <c r="O52">
        <f t="shared" ca="1" si="5"/>
        <v>0.40000000000000568</v>
      </c>
      <c r="P52">
        <f t="shared" ca="1" si="6"/>
        <v>0</v>
      </c>
      <c r="Q52">
        <f t="shared" ca="1" si="10"/>
        <v>0.79245971552211925</v>
      </c>
      <c r="R52">
        <f t="shared" ca="1" si="11"/>
        <v>0.7724403036657328</v>
      </c>
      <c r="S52">
        <f t="shared" ca="1" si="8"/>
        <v>1.0259170990449116</v>
      </c>
      <c r="T52">
        <f t="shared" ca="1" si="9"/>
        <v>50.639638686526951</v>
      </c>
      <c r="U52">
        <f>70</f>
        <v>70</v>
      </c>
      <c r="V52">
        <f>30</f>
        <v>30</v>
      </c>
      <c r="W52">
        <f t="shared" ca="1" si="7"/>
        <v>155.5143163370121</v>
      </c>
      <c r="X52">
        <f t="shared" ca="1" si="17"/>
        <v>156.52120160008351</v>
      </c>
      <c r="Y52">
        <f t="shared" ca="1" si="16"/>
        <v>-1.0164061764516816</v>
      </c>
      <c r="Z52">
        <f t="shared" ca="1" si="18"/>
        <v>-1.4287179207833023</v>
      </c>
      <c r="AA52">
        <f t="shared" ca="1" si="19"/>
        <v>0.41231174433162066</v>
      </c>
    </row>
    <row r="53" spans="1:27" x14ac:dyDescent="0.25">
      <c r="A53" s="20">
        <f t="shared" ca="1" si="0"/>
        <v>45775</v>
      </c>
      <c r="B53" vm="153">
        <f ca="1"/>
        <v>45778</v>
      </c>
      <c r="C53" vm="154">
        <f ca="1"/>
        <v>154.46</v>
      </c>
      <c r="D53" vm="155">
        <f ca="1"/>
        <v>7325849</v>
      </c>
      <c r="E53">
        <f t="shared" ca="1" si="1"/>
        <v>1131550636.54</v>
      </c>
      <c r="F53">
        <f ca="1">SUM($E$2:E53)/SUM($D$2:D53)</f>
        <v>159.11603142391925</v>
      </c>
      <c r="G53">
        <f ca="1">_xlfn.STDEV.P($C$2:C53)</f>
        <v>5.2446341273893937</v>
      </c>
      <c r="H53">
        <f t="shared" ca="1" si="2"/>
        <v>164.36066555130864</v>
      </c>
      <c r="I53">
        <f t="shared" ca="1" si="3"/>
        <v>153.87139729652986</v>
      </c>
      <c r="J53">
        <f t="shared" ca="1" si="12"/>
        <v>154.30099999999999</v>
      </c>
      <c r="K53">
        <f t="shared" ca="1" si="13"/>
        <v>2.8249655796692075</v>
      </c>
      <c r="L53">
        <f t="shared" ca="1" si="14"/>
        <v>159.95093115933841</v>
      </c>
      <c r="M53">
        <f t="shared" ca="1" si="15"/>
        <v>148.65106884066157</v>
      </c>
      <c r="N53">
        <f t="shared" ca="1" si="4"/>
        <v>-1.8499999999999943</v>
      </c>
      <c r="O53">
        <f t="shared" ca="1" si="5"/>
        <v>0</v>
      </c>
      <c r="P53">
        <f t="shared" ca="1" si="6"/>
        <v>1.8499999999999943</v>
      </c>
      <c r="Q53">
        <f t="shared" ca="1" si="10"/>
        <v>0.73585545012768205</v>
      </c>
      <c r="R53">
        <f t="shared" ca="1" si="11"/>
        <v>0.84940885340389438</v>
      </c>
      <c r="S53">
        <f t="shared" ca="1" si="8"/>
        <v>0.86631478725332101</v>
      </c>
      <c r="T53">
        <f t="shared" ca="1" si="9"/>
        <v>46.418470944458804</v>
      </c>
      <c r="U53">
        <f>70</f>
        <v>70</v>
      </c>
      <c r="V53">
        <f>30</f>
        <v>30</v>
      </c>
      <c r="W53">
        <f t="shared" ca="1" si="7"/>
        <v>155.35211382362564</v>
      </c>
      <c r="X53">
        <f t="shared" ca="1" si="17"/>
        <v>156.36852000007732</v>
      </c>
      <c r="Y53">
        <f t="shared" ca="1" si="16"/>
        <v>-0.87986095273021192</v>
      </c>
      <c r="Z53">
        <f t="shared" ca="1" si="18"/>
        <v>-1.3189465271726841</v>
      </c>
      <c r="AA53">
        <f t="shared" ca="1" si="19"/>
        <v>0.4390855744424722</v>
      </c>
    </row>
    <row r="54" spans="1:27" x14ac:dyDescent="0.25">
      <c r="A54" s="20">
        <f t="shared" ca="1" si="0"/>
        <v>45775</v>
      </c>
      <c r="B54" vm="156">
        <f ca="1"/>
        <v>45779</v>
      </c>
      <c r="C54" vm="157">
        <f ca="1"/>
        <v>156.12</v>
      </c>
      <c r="D54" vm="158">
        <f ca="1"/>
        <v>5974539</v>
      </c>
      <c r="E54">
        <f t="shared" ca="1" si="1"/>
        <v>932745028.68000007</v>
      </c>
      <c r="F54">
        <f ca="1">SUM($E$2:E54)/SUM($D$2:D54)</f>
        <v>159.08217000483546</v>
      </c>
      <c r="G54">
        <f ca="1">_xlfn.STDEV.P($C$2:C54)</f>
        <v>5.2164394614561935</v>
      </c>
      <c r="H54">
        <f t="shared" ca="1" si="2"/>
        <v>164.29860946629165</v>
      </c>
      <c r="I54">
        <f t="shared" ca="1" si="3"/>
        <v>153.86573054337927</v>
      </c>
      <c r="J54">
        <f t="shared" ca="1" si="12"/>
        <v>154.11599999999999</v>
      </c>
      <c r="K54">
        <f t="shared" ca="1" si="13"/>
        <v>2.5525331071619606</v>
      </c>
      <c r="L54">
        <f t="shared" ca="1" si="14"/>
        <v>159.22106621432391</v>
      </c>
      <c r="M54">
        <f t="shared" ca="1" si="15"/>
        <v>149.01093378567606</v>
      </c>
      <c r="N54">
        <f t="shared" ca="1" si="4"/>
        <v>1.6599999999999966</v>
      </c>
      <c r="O54">
        <f t="shared" ca="1" si="5"/>
        <v>1.6599999999999966</v>
      </c>
      <c r="P54">
        <f t="shared" ca="1" si="6"/>
        <v>0</v>
      </c>
      <c r="Q54">
        <f t="shared" ca="1" si="10"/>
        <v>0.80186577511856161</v>
      </c>
      <c r="R54">
        <f t="shared" ca="1" si="11"/>
        <v>0.78873679244647332</v>
      </c>
      <c r="S54">
        <f t="shared" ca="1" si="8"/>
        <v>1.016645581641203</v>
      </c>
      <c r="T54">
        <f t="shared" ca="1" si="9"/>
        <v>50.412704686255694</v>
      </c>
      <c r="U54">
        <f>70</f>
        <v>70</v>
      </c>
      <c r="V54">
        <f>30</f>
        <v>30</v>
      </c>
      <c r="W54">
        <f t="shared" ca="1" si="7"/>
        <v>155.47025015845247</v>
      </c>
      <c r="X54">
        <f t="shared" ca="1" si="17"/>
        <v>156.35011111118268</v>
      </c>
      <c r="Y54">
        <f t="shared" ca="1" si="16"/>
        <v>-0.85219890049566516</v>
      </c>
      <c r="Z54">
        <f t="shared" ca="1" si="18"/>
        <v>-1.2255970018372804</v>
      </c>
      <c r="AA54">
        <f t="shared" ca="1" si="19"/>
        <v>0.37339810134161522</v>
      </c>
    </row>
    <row r="55" spans="1:27" x14ac:dyDescent="0.25">
      <c r="A55" s="20">
        <f t="shared" ca="1" si="0"/>
        <v>45782</v>
      </c>
      <c r="B55" vm="159">
        <f ca="1"/>
        <v>45782</v>
      </c>
      <c r="C55" vm="160">
        <f ca="1"/>
        <v>155</v>
      </c>
      <c r="D55" vm="161">
        <f ca="1"/>
        <v>5464496</v>
      </c>
      <c r="E55">
        <f t="shared" ca="1" si="1"/>
        <v>846996880</v>
      </c>
      <c r="F55">
        <f ca="1">SUM($E$2:E55)/SUM($D$2:D55)</f>
        <v>159.04040339455659</v>
      </c>
      <c r="G55">
        <f ca="1">_xlfn.STDEV.P($C$2:C55)</f>
        <v>5.2039251040287064</v>
      </c>
      <c r="H55">
        <f t="shared" ca="1" si="2"/>
        <v>164.2443284985853</v>
      </c>
      <c r="I55">
        <f t="shared" ca="1" si="3"/>
        <v>153.83647829052788</v>
      </c>
      <c r="J55">
        <f t="shared" ca="1" si="12"/>
        <v>154.20400000000001</v>
      </c>
      <c r="K55">
        <f t="shared" ca="1" si="13"/>
        <v>2.5510810917809148</v>
      </c>
      <c r="L55">
        <f t="shared" ca="1" si="14"/>
        <v>159.30616218356184</v>
      </c>
      <c r="M55">
        <f t="shared" ca="1" si="15"/>
        <v>149.10183781643818</v>
      </c>
      <c r="N55">
        <f t="shared" ca="1" si="4"/>
        <v>-1.1200000000000045</v>
      </c>
      <c r="O55">
        <f t="shared" ca="1" si="5"/>
        <v>0</v>
      </c>
      <c r="P55">
        <f t="shared" ca="1" si="6"/>
        <v>1.1200000000000045</v>
      </c>
      <c r="Q55">
        <f t="shared" ca="1" si="10"/>
        <v>0.74458964832437857</v>
      </c>
      <c r="R55">
        <f t="shared" ca="1" si="11"/>
        <v>0.81239845012886835</v>
      </c>
      <c r="S55">
        <f t="shared" ca="1" si="8"/>
        <v>0.91653258103368673</v>
      </c>
      <c r="T55">
        <f t="shared" ca="1" si="9"/>
        <v>47.8224367330793</v>
      </c>
      <c r="U55">
        <f>70</f>
        <v>70</v>
      </c>
      <c r="V55">
        <f>30</f>
        <v>30</v>
      </c>
      <c r="W55">
        <f t="shared" ca="1" si="7"/>
        <v>155.39790398022902</v>
      </c>
      <c r="X55">
        <f t="shared" ca="1" si="17"/>
        <v>156.25010288072468</v>
      </c>
      <c r="Y55">
        <f t="shared" ca="1" si="16"/>
        <v>-0.8630938863461779</v>
      </c>
      <c r="Z55">
        <f t="shared" ca="1" si="18"/>
        <v>-1.1530963787390598</v>
      </c>
      <c r="AA55">
        <f t="shared" ca="1" si="19"/>
        <v>0.29000249239288189</v>
      </c>
    </row>
    <row r="56" spans="1:27" x14ac:dyDescent="0.25">
      <c r="A56" s="20">
        <f t="shared" ca="1" si="0"/>
        <v>45782</v>
      </c>
      <c r="B56" vm="162">
        <f ca="1"/>
        <v>45783</v>
      </c>
      <c r="C56" vm="163">
        <f ca="1"/>
        <v>154.47</v>
      </c>
      <c r="D56" vm="164">
        <f ca="1"/>
        <v>8644189</v>
      </c>
      <c r="E56">
        <f t="shared" ca="1" si="1"/>
        <v>1335267874.8299999</v>
      </c>
      <c r="F56">
        <f ca="1">SUM($E$2:E56)/SUM($D$2:D56)</f>
        <v>158.96760965264895</v>
      </c>
      <c r="G56">
        <f ca="1">_xlfn.STDEV.P($C$2:C56)</f>
        <v>5.1991387589398634</v>
      </c>
      <c r="H56">
        <f t="shared" ca="1" si="2"/>
        <v>164.1667484115888</v>
      </c>
      <c r="I56">
        <f t="shared" ca="1" si="3"/>
        <v>153.76847089370909</v>
      </c>
      <c r="J56">
        <f t="shared" ca="1" si="12"/>
        <v>154.3965</v>
      </c>
      <c r="K56">
        <f t="shared" ca="1" si="13"/>
        <v>2.4076288291485812</v>
      </c>
      <c r="L56">
        <f t="shared" ca="1" si="14"/>
        <v>159.21175765829716</v>
      </c>
      <c r="M56">
        <f t="shared" ca="1" si="15"/>
        <v>149.58124234170285</v>
      </c>
      <c r="N56">
        <f t="shared" ca="1" si="4"/>
        <v>-0.53000000000000114</v>
      </c>
      <c r="O56">
        <f t="shared" ca="1" si="5"/>
        <v>0</v>
      </c>
      <c r="P56">
        <f t="shared" ca="1" si="6"/>
        <v>0.53000000000000114</v>
      </c>
      <c r="Q56">
        <f t="shared" ca="1" si="10"/>
        <v>0.69140467344406586</v>
      </c>
      <c r="R56">
        <f t="shared" ca="1" si="11"/>
        <v>0.79222713226252062</v>
      </c>
      <c r="S56">
        <f t="shared" ca="1" si="8"/>
        <v>0.87273541297365564</v>
      </c>
      <c r="T56">
        <f t="shared" ca="1" si="9"/>
        <v>46.602173853692847</v>
      </c>
      <c r="U56">
        <f>70</f>
        <v>70</v>
      </c>
      <c r="V56">
        <f>30</f>
        <v>30</v>
      </c>
      <c r="W56">
        <f t="shared" ca="1" si="7"/>
        <v>155.25514952173225</v>
      </c>
      <c r="X56">
        <f t="shared" ca="1" si="17"/>
        <v>156.11824340807843</v>
      </c>
      <c r="Y56">
        <f t="shared" ca="1" si="16"/>
        <v>-0.63603903040171872</v>
      </c>
      <c r="Z56">
        <f t="shared" ca="1" si="18"/>
        <v>-1.0496849090715916</v>
      </c>
      <c r="AA56">
        <f t="shared" ca="1" si="19"/>
        <v>0.4136458786698729</v>
      </c>
    </row>
    <row r="57" spans="1:27" x14ac:dyDescent="0.25">
      <c r="A57" s="20">
        <f t="shared" ca="1" si="0"/>
        <v>45782</v>
      </c>
      <c r="B57" vm="165">
        <f ca="1"/>
        <v>45784</v>
      </c>
      <c r="C57" vm="166">
        <f ca="1"/>
        <v>157.30000000000001</v>
      </c>
      <c r="D57" vm="167">
        <f ca="1"/>
        <v>7854106</v>
      </c>
      <c r="E57">
        <f t="shared" ca="1" si="1"/>
        <v>1235450873.8000002</v>
      </c>
      <c r="F57">
        <f ca="1">SUM($E$2:E57)/SUM($D$2:D57)</f>
        <v>158.94382117847113</v>
      </c>
      <c r="G57">
        <f ca="1">_xlfn.STDEV.P($C$2:C57)</f>
        <v>5.1597170533037042</v>
      </c>
      <c r="H57">
        <f t="shared" ca="1" si="2"/>
        <v>164.10353823177482</v>
      </c>
      <c r="I57">
        <f t="shared" ca="1" si="3"/>
        <v>153.78410412516743</v>
      </c>
      <c r="J57">
        <f t="shared" ca="1" si="12"/>
        <v>154.76150000000001</v>
      </c>
      <c r="K57">
        <f t="shared" ca="1" si="13"/>
        <v>2.2545095743980852</v>
      </c>
      <c r="L57">
        <f t="shared" ca="1" si="14"/>
        <v>159.27051914879618</v>
      </c>
      <c r="M57">
        <f t="shared" ca="1" si="15"/>
        <v>150.25248085120384</v>
      </c>
      <c r="N57">
        <f t="shared" ca="1" si="4"/>
        <v>2.8300000000000125</v>
      </c>
      <c r="O57">
        <f t="shared" ca="1" si="5"/>
        <v>2.8300000000000125</v>
      </c>
      <c r="P57">
        <f t="shared" ca="1" si="6"/>
        <v>0</v>
      </c>
      <c r="Q57">
        <f t="shared" ca="1" si="10"/>
        <v>0.84416148248377632</v>
      </c>
      <c r="R57">
        <f t="shared" ca="1" si="11"/>
        <v>0.73563947995805479</v>
      </c>
      <c r="S57">
        <f t="shared" ca="1" si="8"/>
        <v>1.1475206340637254</v>
      </c>
      <c r="T57">
        <f t="shared" ca="1" si="9"/>
        <v>53.434673262826209</v>
      </c>
      <c r="U57">
        <f>70</f>
        <v>70</v>
      </c>
      <c r="V57">
        <f>30</f>
        <v>30</v>
      </c>
      <c r="W57">
        <f t="shared" ca="1" si="7"/>
        <v>155.56974190300423</v>
      </c>
      <c r="X57">
        <f t="shared" ca="1" si="17"/>
        <v>156.20578093340595</v>
      </c>
      <c r="Y57">
        <f t="shared" ca="1" si="16"/>
        <v>-0.58172495203612584</v>
      </c>
      <c r="Z57">
        <f t="shared" ca="1" si="18"/>
        <v>-0.95609291766449855</v>
      </c>
      <c r="AA57">
        <f t="shared" ca="1" si="19"/>
        <v>0.37436796562837271</v>
      </c>
    </row>
    <row r="58" spans="1:27" x14ac:dyDescent="0.25">
      <c r="A58" s="20">
        <f t="shared" ca="1" si="0"/>
        <v>45782</v>
      </c>
      <c r="B58" vm="168">
        <f ca="1"/>
        <v>45785</v>
      </c>
      <c r="C58" vm="169">
        <f ca="1"/>
        <v>155.66</v>
      </c>
      <c r="D58" vm="170">
        <f ca="1"/>
        <v>7606095</v>
      </c>
      <c r="E58">
        <f t="shared" ca="1" si="1"/>
        <v>1183964747.7</v>
      </c>
      <c r="F58">
        <f ca="1">SUM($E$2:E58)/SUM($D$2:D58)</f>
        <v>158.89907477364966</v>
      </c>
      <c r="G58">
        <f ca="1">_xlfn.STDEV.P($C$2:C58)</f>
        <v>5.1368035721400114</v>
      </c>
      <c r="H58">
        <f t="shared" ca="1" si="2"/>
        <v>164.03587834578968</v>
      </c>
      <c r="I58">
        <f t="shared" ca="1" si="3"/>
        <v>153.76227120150963</v>
      </c>
      <c r="J58">
        <f t="shared" ca="1" si="12"/>
        <v>154.99599999999998</v>
      </c>
      <c r="K58">
        <f t="shared" ca="1" si="13"/>
        <v>2.0762501623942402</v>
      </c>
      <c r="L58">
        <f t="shared" ca="1" si="14"/>
        <v>159.14850032478847</v>
      </c>
      <c r="M58">
        <f t="shared" ca="1" si="15"/>
        <v>150.84349967521149</v>
      </c>
      <c r="N58">
        <f t="shared" ca="1" si="4"/>
        <v>-1.6400000000000148</v>
      </c>
      <c r="O58">
        <f t="shared" ca="1" si="5"/>
        <v>0</v>
      </c>
      <c r="P58">
        <f t="shared" ca="1" si="6"/>
        <v>1.6400000000000148</v>
      </c>
      <c r="Q58">
        <f t="shared" ca="1" si="10"/>
        <v>0.78386423373493508</v>
      </c>
      <c r="R58">
        <f t="shared" ca="1" si="11"/>
        <v>0.80023665996105198</v>
      </c>
      <c r="S58">
        <f t="shared" ca="1" si="8"/>
        <v>0.97954051964213462</v>
      </c>
      <c r="T58">
        <f t="shared" ca="1" si="9"/>
        <v>49.483226532752056</v>
      </c>
      <c r="U58">
        <f>70</f>
        <v>70</v>
      </c>
      <c r="V58">
        <f>30</f>
        <v>30</v>
      </c>
      <c r="W58">
        <f t="shared" ca="1" si="7"/>
        <v>155.58362776408049</v>
      </c>
      <c r="X58">
        <f t="shared" ca="1" si="17"/>
        <v>156.16535271611662</v>
      </c>
      <c r="Y58">
        <f t="shared" ca="1" si="16"/>
        <v>-0.64741363762394144</v>
      </c>
      <c r="Z58">
        <f t="shared" ca="1" si="18"/>
        <v>-0.89435706165638718</v>
      </c>
      <c r="AA58">
        <f t="shared" ca="1" si="19"/>
        <v>0.24694342403244574</v>
      </c>
    </row>
    <row r="59" spans="1:27" x14ac:dyDescent="0.25">
      <c r="A59" s="20">
        <f t="shared" ca="1" si="0"/>
        <v>45782</v>
      </c>
      <c r="B59" vm="171">
        <f ca="1"/>
        <v>45786</v>
      </c>
      <c r="C59" vm="172">
        <f ca="1"/>
        <v>154.22</v>
      </c>
      <c r="D59" vm="173">
        <f ca="1"/>
        <v>6520449</v>
      </c>
      <c r="E59">
        <f t="shared" ca="1" si="1"/>
        <v>1005583644.78</v>
      </c>
      <c r="F59">
        <f ca="1">SUM($E$2:E59)/SUM($D$2:D59)</f>
        <v>158.84504780129498</v>
      </c>
      <c r="G59">
        <f ca="1">_xlfn.STDEV.P($C$2:C59)</f>
        <v>5.1343767994671046</v>
      </c>
      <c r="H59">
        <f t="shared" ca="1" si="2"/>
        <v>163.97942460076209</v>
      </c>
      <c r="I59">
        <f t="shared" ca="1" si="3"/>
        <v>153.71067100182788</v>
      </c>
      <c r="J59">
        <f t="shared" ca="1" si="12"/>
        <v>155.27249999999998</v>
      </c>
      <c r="K59">
        <f t="shared" ca="1" si="13"/>
        <v>1.4727878147813493</v>
      </c>
      <c r="L59">
        <f t="shared" ca="1" si="14"/>
        <v>158.21807562956269</v>
      </c>
      <c r="M59">
        <f t="shared" ca="1" si="15"/>
        <v>152.32692437043727</v>
      </c>
      <c r="N59">
        <f t="shared" ca="1" si="4"/>
        <v>-1.4399999999999977</v>
      </c>
      <c r="O59">
        <f t="shared" ca="1" si="5"/>
        <v>0</v>
      </c>
      <c r="P59">
        <f t="shared" ca="1" si="6"/>
        <v>1.4399999999999977</v>
      </c>
      <c r="Q59">
        <f t="shared" ca="1" si="10"/>
        <v>0.72787393132529687</v>
      </c>
      <c r="R59">
        <f t="shared" ca="1" si="11"/>
        <v>0.84593404139240513</v>
      </c>
      <c r="S59">
        <f t="shared" ca="1" si="8"/>
        <v>0.86043816149923269</v>
      </c>
      <c r="T59">
        <f t="shared" ca="1" si="9"/>
        <v>46.24922124828106</v>
      </c>
      <c r="U59">
        <f>70</f>
        <v>70</v>
      </c>
      <c r="V59">
        <f>30</f>
        <v>30</v>
      </c>
      <c r="W59">
        <f t="shared" ca="1" si="7"/>
        <v>155.37383887729885</v>
      </c>
      <c r="X59">
        <f t="shared" ca="1" si="17"/>
        <v>156.02125251492279</v>
      </c>
      <c r="Y59">
        <f t="shared" ca="1" si="16"/>
        <v>-0.69788296521980442</v>
      </c>
      <c r="Z59">
        <f t="shared" ca="1" si="18"/>
        <v>-0.85506224236907069</v>
      </c>
      <c r="AA59">
        <f t="shared" ca="1" si="19"/>
        <v>0.15717927714926627</v>
      </c>
    </row>
    <row r="60" spans="1:27" x14ac:dyDescent="0.25">
      <c r="A60" s="20">
        <f t="shared" ca="1" si="0"/>
        <v>45789</v>
      </c>
      <c r="B60" vm="174">
        <f ca="1"/>
        <v>45789</v>
      </c>
      <c r="C60" vm="175">
        <f ca="1"/>
        <v>154.13999999999999</v>
      </c>
      <c r="D60" vm="176">
        <f ca="1"/>
        <v>9023782</v>
      </c>
      <c r="E60">
        <f t="shared" ca="1" si="1"/>
        <v>1390925757.4799998</v>
      </c>
      <c r="F60">
        <f ca="1">SUM($E$2:E60)/SUM($D$2:D60)</f>
        <v>158.77104624463976</v>
      </c>
      <c r="G60">
        <f ca="1">_xlfn.STDEV.P($C$2:C60)</f>
        <v>5.1319313677546265</v>
      </c>
      <c r="H60">
        <f t="shared" ca="1" si="2"/>
        <v>163.90297761239438</v>
      </c>
      <c r="I60">
        <f t="shared" ca="1" si="3"/>
        <v>153.63911487688515</v>
      </c>
      <c r="J60">
        <f t="shared" ca="1" si="12"/>
        <v>155.39299999999997</v>
      </c>
      <c r="K60">
        <f t="shared" ca="1" si="13"/>
        <v>1.2493328746090635</v>
      </c>
      <c r="L60">
        <f t="shared" ca="1" si="14"/>
        <v>157.89166574921811</v>
      </c>
      <c r="M60">
        <f t="shared" ca="1" si="15"/>
        <v>152.89433425078184</v>
      </c>
      <c r="N60">
        <f t="shared" ca="1" si="4"/>
        <v>-8.0000000000012506E-2</v>
      </c>
      <c r="O60">
        <f t="shared" ca="1" si="5"/>
        <v>0</v>
      </c>
      <c r="P60">
        <f t="shared" ca="1" si="6"/>
        <v>8.0000000000012506E-2</v>
      </c>
      <c r="Q60">
        <f t="shared" ca="1" si="10"/>
        <v>0.67588293623063289</v>
      </c>
      <c r="R60">
        <f t="shared" ca="1" si="11"/>
        <v>0.79122446700723426</v>
      </c>
      <c r="S60">
        <f t="shared" ca="1" si="8"/>
        <v>0.85422400900609818</v>
      </c>
      <c r="T60">
        <f t="shared" ca="1" si="9"/>
        <v>46.069083608942137</v>
      </c>
      <c r="U60">
        <f>70</f>
        <v>70</v>
      </c>
      <c r="V60">
        <f>30</f>
        <v>30</v>
      </c>
      <c r="W60">
        <f t="shared" ca="1" si="7"/>
        <v>155.18401751156057</v>
      </c>
      <c r="X60">
        <f t="shared" ca="1" si="17"/>
        <v>155.88190047678037</v>
      </c>
      <c r="Y60">
        <f t="shared" ca="1" si="16"/>
        <v>-1.1841722336756106</v>
      </c>
      <c r="Z60">
        <f t="shared" ca="1" si="18"/>
        <v>-0.92088424063037866</v>
      </c>
      <c r="AA60">
        <f t="shared" ca="1" si="19"/>
        <v>-0.26328799304523198</v>
      </c>
    </row>
    <row r="61" spans="1:27" x14ac:dyDescent="0.25">
      <c r="A61" s="20">
        <f t="shared" ca="1" si="0"/>
        <v>45789</v>
      </c>
      <c r="B61" vm="177">
        <f ca="1"/>
        <v>45790</v>
      </c>
      <c r="C61" vm="178">
        <f ca="1"/>
        <v>148.44</v>
      </c>
      <c r="D61" vm="179">
        <f ca="1"/>
        <v>10549609</v>
      </c>
      <c r="E61">
        <f t="shared" ca="1" si="1"/>
        <v>1565983959.96</v>
      </c>
      <c r="F61">
        <f ca="1">SUM($E$2:E61)/SUM($D$2:D61)</f>
        <v>158.58451319292737</v>
      </c>
      <c r="G61">
        <f ca="1">_xlfn.STDEV.P($C$2:C61)</f>
        <v>5.2683113966642319</v>
      </c>
      <c r="H61">
        <f t="shared" ca="1" si="2"/>
        <v>163.85282458959162</v>
      </c>
      <c r="I61">
        <f t="shared" ca="1" si="3"/>
        <v>153.31620179626313</v>
      </c>
      <c r="J61">
        <f t="shared" ca="1" si="12"/>
        <v>155.09699999999998</v>
      </c>
      <c r="K61">
        <f t="shared" ca="1" si="13"/>
        <v>1.989189467306246</v>
      </c>
      <c r="L61">
        <f t="shared" ca="1" si="14"/>
        <v>159.07537893461247</v>
      </c>
      <c r="M61">
        <f t="shared" ca="1" si="15"/>
        <v>151.11862106538749</v>
      </c>
      <c r="N61">
        <f t="shared" ca="1" si="4"/>
        <v>-5.6999999999999886</v>
      </c>
      <c r="O61">
        <f t="shared" ca="1" si="5"/>
        <v>0</v>
      </c>
      <c r="P61">
        <f t="shared" ca="1" si="6"/>
        <v>5.6999999999999886</v>
      </c>
      <c r="Q61">
        <f t="shared" ca="1" si="10"/>
        <v>0.62760558364273056</v>
      </c>
      <c r="R61">
        <f t="shared" ca="1" si="11"/>
        <v>1.141851290792431</v>
      </c>
      <c r="S61">
        <f t="shared" ca="1" si="8"/>
        <v>0.54963863394784085</v>
      </c>
      <c r="T61">
        <f t="shared" ca="1" si="9"/>
        <v>35.468826209345849</v>
      </c>
      <c r="U61">
        <f>70</f>
        <v>70</v>
      </c>
      <c r="V61">
        <f>30</f>
        <v>30</v>
      </c>
      <c r="W61">
        <f t="shared" ca="1" si="7"/>
        <v>154.14647635593587</v>
      </c>
      <c r="X61">
        <f t="shared" ca="1" si="17"/>
        <v>155.33064858961149</v>
      </c>
      <c r="Y61">
        <f t="shared" ca="1" si="16"/>
        <v>-1.7175991849309753</v>
      </c>
      <c r="Z61">
        <f t="shared" ca="1" si="18"/>
        <v>-1.080227229490498</v>
      </c>
      <c r="AA61">
        <f t="shared" ca="1" si="19"/>
        <v>-0.63737195544047731</v>
      </c>
    </row>
    <row r="62" spans="1:27" x14ac:dyDescent="0.25">
      <c r="A62" s="20">
        <f t="shared" ca="1" si="0"/>
        <v>45789</v>
      </c>
      <c r="B62" vm="180">
        <f ca="1"/>
        <v>45791</v>
      </c>
      <c r="C62" vm="181">
        <f ca="1"/>
        <v>146.36000000000001</v>
      </c>
      <c r="D62" vm="182">
        <f ca="1"/>
        <v>10215952</v>
      </c>
      <c r="E62">
        <f t="shared" ca="1" si="1"/>
        <v>1495206734.72</v>
      </c>
      <c r="F62">
        <f ca="1">SUM($E$2:E62)/SUM($D$2:D62)</f>
        <v>158.3744462436149</v>
      </c>
      <c r="G62">
        <f ca="1">_xlfn.STDEV.P($C$2:C62)</f>
        <v>5.4625123793197927</v>
      </c>
      <c r="H62">
        <f t="shared" ca="1" si="2"/>
        <v>163.8369586229347</v>
      </c>
      <c r="I62">
        <f t="shared" ca="1" si="3"/>
        <v>152.91193386429509</v>
      </c>
      <c r="J62">
        <f t="shared" ca="1" si="12"/>
        <v>154.73399999999998</v>
      </c>
      <c r="K62">
        <f t="shared" ca="1" si="13"/>
        <v>2.7786676095226857</v>
      </c>
      <c r="L62">
        <f t="shared" ca="1" si="14"/>
        <v>160.29133521904535</v>
      </c>
      <c r="M62">
        <f t="shared" ca="1" si="15"/>
        <v>149.17666478095461</v>
      </c>
      <c r="N62">
        <f t="shared" ca="1" si="4"/>
        <v>-2.0799999999999841</v>
      </c>
      <c r="O62">
        <f t="shared" ca="1" si="5"/>
        <v>0</v>
      </c>
      <c r="P62">
        <f t="shared" ca="1" si="6"/>
        <v>2.0799999999999841</v>
      </c>
      <c r="Q62">
        <f t="shared" ca="1" si="10"/>
        <v>0.5827766133825355</v>
      </c>
      <c r="R62">
        <f t="shared" ca="1" si="11"/>
        <v>1.2088619128786848</v>
      </c>
      <c r="S62">
        <f t="shared" ca="1" si="8"/>
        <v>0.48208700032145024</v>
      </c>
      <c r="T62">
        <f t="shared" ca="1" si="9"/>
        <v>32.527577680452652</v>
      </c>
      <c r="U62">
        <f>70</f>
        <v>70</v>
      </c>
      <c r="V62">
        <f>30</f>
        <v>30</v>
      </c>
      <c r="W62">
        <f t="shared" ca="1" si="7"/>
        <v>152.94855691656113</v>
      </c>
      <c r="X62">
        <f t="shared" ca="1" si="17"/>
        <v>154.66615610149211</v>
      </c>
      <c r="Y62">
        <f t="shared" ca="1" si="16"/>
        <v>-1.8566932443483495</v>
      </c>
      <c r="Z62">
        <f t="shared" ca="1" si="18"/>
        <v>-1.2355204324620683</v>
      </c>
      <c r="AA62">
        <f t="shared" ca="1" si="19"/>
        <v>-0.62117281188628115</v>
      </c>
    </row>
    <row r="63" spans="1:27" x14ac:dyDescent="0.25">
      <c r="A63" s="20">
        <f t="shared" ca="1" si="0"/>
        <v>45789</v>
      </c>
      <c r="B63" vm="183">
        <f ca="1"/>
        <v>45792</v>
      </c>
      <c r="C63" vm="184">
        <f ca="1"/>
        <v>149.61000000000001</v>
      </c>
      <c r="D63" vm="185">
        <f ca="1"/>
        <v>7945768</v>
      </c>
      <c r="E63">
        <f t="shared" ca="1" si="1"/>
        <v>1188766350.48</v>
      </c>
      <c r="F63">
        <f ca="1">SUM($E$2:E63)/SUM($D$2:D63)</f>
        <v>158.25885056864695</v>
      </c>
      <c r="G63">
        <f ca="1">_xlfn.STDEV.P($C$2:C63)</f>
        <v>5.5380223989770281</v>
      </c>
      <c r="H63">
        <f t="shared" ca="1" si="2"/>
        <v>163.79687296762398</v>
      </c>
      <c r="I63">
        <f t="shared" ca="1" si="3"/>
        <v>152.72082816966991</v>
      </c>
      <c r="J63">
        <f t="shared" ca="1" si="12"/>
        <v>154.51900000000001</v>
      </c>
      <c r="K63">
        <f t="shared" ca="1" si="13"/>
        <v>3.0030754411541416</v>
      </c>
      <c r="L63">
        <f t="shared" ca="1" si="14"/>
        <v>160.52515088230828</v>
      </c>
      <c r="M63">
        <f t="shared" ca="1" si="15"/>
        <v>148.51284911769173</v>
      </c>
      <c r="N63">
        <f t="shared" ca="1" si="4"/>
        <v>3.25</v>
      </c>
      <c r="O63">
        <f t="shared" ca="1" si="5"/>
        <v>3.25</v>
      </c>
      <c r="P63">
        <f t="shared" ca="1" si="6"/>
        <v>0</v>
      </c>
      <c r="Q63">
        <f t="shared" ca="1" si="10"/>
        <v>0.77329256956949721</v>
      </c>
      <c r="R63">
        <f t="shared" ca="1" si="11"/>
        <v>1.1225146333873501</v>
      </c>
      <c r="S63">
        <f t="shared" ca="1" si="8"/>
        <v>0.68889308572840169</v>
      </c>
      <c r="T63">
        <f t="shared" ca="1" si="9"/>
        <v>40.789620820271722</v>
      </c>
      <c r="U63">
        <f>70</f>
        <v>70</v>
      </c>
      <c r="V63">
        <f>30</f>
        <v>30</v>
      </c>
      <c r="W63">
        <f t="shared" ca="1" si="7"/>
        <v>152.43493277555174</v>
      </c>
      <c r="X63">
        <f t="shared" ca="1" si="17"/>
        <v>154.29162601990009</v>
      </c>
      <c r="Y63">
        <f t="shared" ca="1" si="16"/>
        <v>-1.8073031969477711</v>
      </c>
      <c r="Z63">
        <f t="shared" ca="1" si="18"/>
        <v>-1.349876985359209</v>
      </c>
      <c r="AA63">
        <f t="shared" ca="1" si="19"/>
        <v>-0.45742621158856211</v>
      </c>
    </row>
    <row r="64" spans="1:27" x14ac:dyDescent="0.25">
      <c r="A64" s="20">
        <f t="shared" ca="1" si="0"/>
        <v>45789</v>
      </c>
      <c r="B64" vm="186">
        <f ca="1"/>
        <v>45793</v>
      </c>
      <c r="C64" vm="187">
        <f ca="1"/>
        <v>151.33000000000001</v>
      </c>
      <c r="D64" vm="188">
        <f ca="1"/>
        <v>8051150</v>
      </c>
      <c r="E64">
        <f t="shared" ca="1" si="1"/>
        <v>1218380529.5</v>
      </c>
      <c r="F64">
        <f ca="1">SUM($E$2:E64)/SUM($D$2:D64)</f>
        <v>158.16747400341427</v>
      </c>
      <c r="G64">
        <f ca="1">_xlfn.STDEV.P($C$2:C64)</f>
        <v>5.5676281208802214</v>
      </c>
      <c r="H64">
        <f t="shared" ca="1" si="2"/>
        <v>163.73510212429449</v>
      </c>
      <c r="I64">
        <f t="shared" ca="1" si="3"/>
        <v>152.59984588253405</v>
      </c>
      <c r="J64">
        <f t="shared" ca="1" si="12"/>
        <v>154.21199999999999</v>
      </c>
      <c r="K64">
        <f t="shared" ca="1" si="13"/>
        <v>2.999360633622822</v>
      </c>
      <c r="L64">
        <f t="shared" ca="1" si="14"/>
        <v>160.21072126724565</v>
      </c>
      <c r="M64">
        <f t="shared" ca="1" si="15"/>
        <v>148.21327873275433</v>
      </c>
      <c r="N64">
        <f t="shared" ca="1" si="4"/>
        <v>1.7199999999999989</v>
      </c>
      <c r="O64">
        <f t="shared" ca="1" si="5"/>
        <v>1.7199999999999989</v>
      </c>
      <c r="P64">
        <f t="shared" ca="1" si="6"/>
        <v>0</v>
      </c>
      <c r="Q64">
        <f t="shared" ca="1" si="10"/>
        <v>0.84091452888596163</v>
      </c>
      <c r="R64">
        <f t="shared" ca="1" si="11"/>
        <v>1.042335016716825</v>
      </c>
      <c r="S64">
        <f t="shared" ca="1" si="8"/>
        <v>0.80676031736389031</v>
      </c>
      <c r="T64">
        <f t="shared" ca="1" si="9"/>
        <v>44.65231550696079</v>
      </c>
      <c r="U64">
        <f>70</f>
        <v>70</v>
      </c>
      <c r="V64">
        <f>30</f>
        <v>30</v>
      </c>
      <c r="W64">
        <f t="shared" ca="1" si="7"/>
        <v>152.26494311777455</v>
      </c>
      <c r="X64">
        <f t="shared" ca="1" si="17"/>
        <v>154.07224631472232</v>
      </c>
      <c r="Y64">
        <f t="shared" ca="1" si="16"/>
        <v>-1.6554756305006038</v>
      </c>
      <c r="Z64">
        <f t="shared" ca="1" si="18"/>
        <v>-1.410996714387488</v>
      </c>
      <c r="AA64">
        <f t="shared" ca="1" si="19"/>
        <v>-0.24447891611311579</v>
      </c>
    </row>
    <row r="65" spans="1:27" x14ac:dyDescent="0.25">
      <c r="A65" s="20">
        <f t="shared" ca="1" si="0"/>
        <v>45796</v>
      </c>
      <c r="B65" vm="189">
        <f ca="1"/>
        <v>45796</v>
      </c>
      <c r="C65" vm="190">
        <f ca="1"/>
        <v>152.49</v>
      </c>
      <c r="D65" vm="191">
        <f ca="1"/>
        <v>12639948</v>
      </c>
      <c r="E65">
        <f t="shared" ca="1" si="1"/>
        <v>1927465670.5200002</v>
      </c>
      <c r="F65">
        <f ca="1">SUM($E$2:E65)/SUM($D$2:D65)</f>
        <v>158.0523101457388</v>
      </c>
      <c r="G65">
        <f ca="1">_xlfn.STDEV.P($C$2:C65)</f>
        <v>5.5730472687188826</v>
      </c>
      <c r="H65">
        <f t="shared" ca="1" si="2"/>
        <v>163.62535741445768</v>
      </c>
      <c r="I65">
        <f t="shared" ca="1" si="3"/>
        <v>152.47926287701992</v>
      </c>
      <c r="J65">
        <f t="shared" ca="1" si="12"/>
        <v>153.99050000000003</v>
      </c>
      <c r="K65">
        <f t="shared" ca="1" si="13"/>
        <v>2.9520545477059805</v>
      </c>
      <c r="L65">
        <f t="shared" ca="1" si="14"/>
        <v>159.89460909541199</v>
      </c>
      <c r="M65">
        <f t="shared" ca="1" si="15"/>
        <v>148.08639090458806</v>
      </c>
      <c r="N65">
        <f t="shared" ca="1" si="4"/>
        <v>1.1599999999999966</v>
      </c>
      <c r="O65">
        <f t="shared" ca="1" si="5"/>
        <v>1.1599999999999966</v>
      </c>
      <c r="P65">
        <f t="shared" ca="1" si="6"/>
        <v>0</v>
      </c>
      <c r="Q65">
        <f t="shared" ca="1" si="10"/>
        <v>0.86370634825124981</v>
      </c>
      <c r="R65">
        <f t="shared" ca="1" si="11"/>
        <v>0.96788251552276616</v>
      </c>
      <c r="S65">
        <f t="shared" ca="1" si="8"/>
        <v>0.89236692924941474</v>
      </c>
      <c r="T65">
        <f t="shared" ca="1" si="9"/>
        <v>47.156125773311928</v>
      </c>
      <c r="U65">
        <f>70</f>
        <v>70</v>
      </c>
      <c r="V65">
        <f>30</f>
        <v>30</v>
      </c>
      <c r="W65">
        <f t="shared" ca="1" si="7"/>
        <v>152.29956725350155</v>
      </c>
      <c r="X65">
        <f t="shared" ca="1" si="17"/>
        <v>153.95504288400215</v>
      </c>
      <c r="Y65">
        <f t="shared" ca="1" si="16"/>
        <v>-1.4243232564408572</v>
      </c>
      <c r="Z65">
        <f t="shared" ca="1" si="18"/>
        <v>-1.4136620227981618</v>
      </c>
      <c r="AA65">
        <f t="shared" ca="1" si="19"/>
        <v>-1.0661233642695445E-2</v>
      </c>
    </row>
    <row r="66" spans="1:27" x14ac:dyDescent="0.25">
      <c r="A66" s="20">
        <f t="shared" ca="1" si="0"/>
        <v>45796</v>
      </c>
      <c r="B66" vm="192">
        <f ca="1"/>
        <v>45797</v>
      </c>
      <c r="C66" vm="193">
        <f ca="1"/>
        <v>153.66</v>
      </c>
      <c r="D66" vm="194">
        <f ca="1"/>
        <v>7351451</v>
      </c>
      <c r="E66">
        <f t="shared" ca="1" si="1"/>
        <v>1129623960.6600001</v>
      </c>
      <c r="F66">
        <f ca="1">SUM($E$2:E66)/SUM($D$2:D66)</f>
        <v>158.00109619971707</v>
      </c>
      <c r="G66">
        <f ca="1">_xlfn.STDEV.P($C$2:C66)</f>
        <v>5.5600320419663314</v>
      </c>
      <c r="H66">
        <f t="shared" ca="1" si="2"/>
        <v>163.56112824168341</v>
      </c>
      <c r="I66">
        <f t="shared" ca="1" si="3"/>
        <v>152.44106415775073</v>
      </c>
      <c r="J66">
        <f t="shared" ca="1" si="12"/>
        <v>153.786</v>
      </c>
      <c r="K66">
        <f t="shared" ca="1" si="13"/>
        <v>2.8164636281019213</v>
      </c>
      <c r="L66">
        <f t="shared" ca="1" si="14"/>
        <v>159.41892725620386</v>
      </c>
      <c r="M66">
        <f t="shared" ca="1" si="15"/>
        <v>148.15307274379614</v>
      </c>
      <c r="N66">
        <f t="shared" ca="1" si="4"/>
        <v>1.1699999999999875</v>
      </c>
      <c r="O66">
        <f t="shared" ca="1" si="5"/>
        <v>1.1699999999999875</v>
      </c>
      <c r="P66">
        <f t="shared" ca="1" si="6"/>
        <v>0</v>
      </c>
      <c r="Q66">
        <f t="shared" ca="1" si="10"/>
        <v>0.88558446623330245</v>
      </c>
      <c r="R66">
        <f t="shared" ca="1" si="11"/>
        <v>0.89874805012828296</v>
      </c>
      <c r="S66">
        <f t="shared" ca="1" si="8"/>
        <v>0.98535342146989735</v>
      </c>
      <c r="T66">
        <f t="shared" ca="1" si="9"/>
        <v>49.63113422598434</v>
      </c>
      <c r="U66">
        <f>70</f>
        <v>70</v>
      </c>
      <c r="V66">
        <f>30</f>
        <v>30</v>
      </c>
      <c r="W66">
        <f t="shared" ca="1" si="7"/>
        <v>152.50886459911669</v>
      </c>
      <c r="X66">
        <f t="shared" ca="1" si="17"/>
        <v>153.93318785555755</v>
      </c>
      <c r="Y66">
        <f t="shared" ca="1" si="16"/>
        <v>-1.2652799633007135</v>
      </c>
      <c r="Z66">
        <f t="shared" ca="1" si="18"/>
        <v>-1.3839856108986723</v>
      </c>
      <c r="AA66">
        <f t="shared" ca="1" si="19"/>
        <v>0.11870564759795887</v>
      </c>
    </row>
    <row r="67" spans="1:27" x14ac:dyDescent="0.25">
      <c r="A67" s="20">
        <f t="shared" ref="A67:A130" ca="1" si="20">B67 - WEEKDAY(B67, 2) + 1</f>
        <v>45796</v>
      </c>
      <c r="B67" vm="195">
        <f ca="1"/>
        <v>45798</v>
      </c>
      <c r="C67" vm="196">
        <f ca="1"/>
        <v>153.18</v>
      </c>
      <c r="D67" vm="197">
        <f ca="1"/>
        <v>7032225</v>
      </c>
      <c r="E67">
        <f t="shared" ref="E67:E130" ca="1" si="21">C67*D67</f>
        <v>1077196225.5</v>
      </c>
      <c r="F67">
        <f ca="1">SUM($E$2:E67)/SUM($D$2:D67)</f>
        <v>157.94791677948243</v>
      </c>
      <c r="G67">
        <f ca="1">_xlfn.STDEV.P($C$2:C67)</f>
        <v>5.5527537572215389</v>
      </c>
      <c r="H67">
        <f t="shared" ref="H67:H130" ca="1" si="22">F67 + G67</f>
        <v>163.50067053670398</v>
      </c>
      <c r="I67">
        <f t="shared" ref="I67:I130" ca="1" si="23">F67 - G67</f>
        <v>152.39516302226087</v>
      </c>
      <c r="J67">
        <f t="shared" ca="1" si="12"/>
        <v>153.67599999999999</v>
      </c>
      <c r="K67">
        <f t="shared" ca="1" si="13"/>
        <v>2.7938021630594703</v>
      </c>
      <c r="L67">
        <f t="shared" ca="1" si="14"/>
        <v>159.26360432611892</v>
      </c>
      <c r="M67">
        <f t="shared" ca="1" si="15"/>
        <v>148.08839567388105</v>
      </c>
      <c r="N67">
        <f t="shared" ca="1" si="4"/>
        <v>-0.47999999999998977</v>
      </c>
      <c r="O67">
        <f t="shared" ca="1" si="5"/>
        <v>0</v>
      </c>
      <c r="P67">
        <f t="shared" ca="1" si="6"/>
        <v>0.47999999999998977</v>
      </c>
      <c r="Q67">
        <f t="shared" ca="1" si="10"/>
        <v>0.82232843293092373</v>
      </c>
      <c r="R67">
        <f t="shared" ca="1" si="11"/>
        <v>0.86883747511911913</v>
      </c>
      <c r="S67">
        <f t="shared" ca="1" si="8"/>
        <v>0.94646980186735274</v>
      </c>
      <c r="T67">
        <f t="shared" ca="1" si="9"/>
        <v>48.624941468876301</v>
      </c>
      <c r="U67">
        <f>70</f>
        <v>70</v>
      </c>
      <c r="V67">
        <f>30</f>
        <v>30</v>
      </c>
      <c r="W67">
        <f t="shared" ca="1" si="7"/>
        <v>152.61211619925257</v>
      </c>
      <c r="X67">
        <f t="shared" ca="1" si="17"/>
        <v>153.87739616255328</v>
      </c>
      <c r="Y67">
        <f t="shared" ca="1" si="16"/>
        <v>-1.1717243351903051</v>
      </c>
      <c r="Z67">
        <f t="shared" ca="1" si="18"/>
        <v>-1.3415333557569988</v>
      </c>
      <c r="AA67">
        <f t="shared" ca="1" si="19"/>
        <v>0.16980902056669378</v>
      </c>
    </row>
    <row r="68" spans="1:27" x14ac:dyDescent="0.25">
      <c r="A68" s="20">
        <f t="shared" ca="1" si="20"/>
        <v>45796</v>
      </c>
      <c r="B68" vm="198">
        <f ca="1"/>
        <v>45799</v>
      </c>
      <c r="C68" vm="199">
        <f ca="1"/>
        <v>152.61000000000001</v>
      </c>
      <c r="D68" vm="200">
        <f ca="1"/>
        <v>7535335</v>
      </c>
      <c r="E68">
        <f t="shared" ca="1" si="21"/>
        <v>1149967474.3500001</v>
      </c>
      <c r="F68">
        <f ca="1">SUM($E$2:E68)/SUM($D$2:D68)</f>
        <v>157.88556106467755</v>
      </c>
      <c r="G68">
        <f ca="1">_xlfn.STDEV.P($C$2:C68)</f>
        <v>5.5526667865864514</v>
      </c>
      <c r="H68">
        <f t="shared" ca="1" si="22"/>
        <v>163.438227851264</v>
      </c>
      <c r="I68">
        <f t="shared" ca="1" si="23"/>
        <v>152.33289427809109</v>
      </c>
      <c r="J68">
        <f t="shared" ca="1" si="12"/>
        <v>153.56</v>
      </c>
      <c r="K68">
        <f t="shared" ca="1" si="13"/>
        <v>2.7871509694158605</v>
      </c>
      <c r="L68">
        <f t="shared" ca="1" si="14"/>
        <v>159.13430193883173</v>
      </c>
      <c r="M68">
        <f t="shared" ca="1" si="15"/>
        <v>147.98569806116828</v>
      </c>
      <c r="N68">
        <f t="shared" ref="N68:N131" ca="1" si="24">C68-C67</f>
        <v>-0.56999999999999318</v>
      </c>
      <c r="O68">
        <f t="shared" ref="O68:O131" ca="1" si="25">MAX(N68,0)</f>
        <v>0</v>
      </c>
      <c r="P68">
        <f t="shared" ref="P68:P131" ca="1" si="26">MAX(-N68,0)</f>
        <v>0.56999999999999318</v>
      </c>
      <c r="Q68">
        <f t="shared" ca="1" si="10"/>
        <v>0.76359068772157201</v>
      </c>
      <c r="R68">
        <f t="shared" ca="1" si="11"/>
        <v>0.84749194118203874</v>
      </c>
      <c r="S68">
        <f t="shared" ca="1" si="8"/>
        <v>0.9010005294640967</v>
      </c>
      <c r="T68">
        <f t="shared" ca="1" si="9"/>
        <v>47.39612196310614</v>
      </c>
      <c r="U68">
        <f>70</f>
        <v>70</v>
      </c>
      <c r="V68">
        <f>30</f>
        <v>30</v>
      </c>
      <c r="W68">
        <f t="shared" ca="1" si="7"/>
        <v>152.6117906301368</v>
      </c>
      <c r="X68">
        <f t="shared" ca="1" si="17"/>
        <v>153.7835149653271</v>
      </c>
      <c r="Y68">
        <f t="shared" ca="1" si="16"/>
        <v>-1.0587479959563382</v>
      </c>
      <c r="Z68">
        <f t="shared" ca="1" si="18"/>
        <v>-1.2849762837968668</v>
      </c>
      <c r="AA68">
        <f t="shared" ca="1" si="19"/>
        <v>0.22622828784052862</v>
      </c>
    </row>
    <row r="69" spans="1:27" x14ac:dyDescent="0.25">
      <c r="A69" s="20">
        <f t="shared" ca="1" si="20"/>
        <v>45796</v>
      </c>
      <c r="B69" vm="201">
        <f ca="1"/>
        <v>45800</v>
      </c>
      <c r="C69" vm="202">
        <f ca="1"/>
        <v>152.94</v>
      </c>
      <c r="D69" vm="203">
        <f ca="1"/>
        <v>6727539</v>
      </c>
      <c r="E69">
        <f t="shared" ca="1" si="21"/>
        <v>1028909814.66</v>
      </c>
      <c r="F69">
        <f ca="1">SUM($E$2:E69)/SUM($D$2:D69)</f>
        <v>157.83451435785182</v>
      </c>
      <c r="G69">
        <f ca="1">_xlfn.STDEV.P($C$2:C69)</f>
        <v>5.5467821397997392</v>
      </c>
      <c r="H69">
        <f t="shared" ca="1" si="22"/>
        <v>163.38129649765156</v>
      </c>
      <c r="I69">
        <f t="shared" ca="1" si="23"/>
        <v>152.28773221805207</v>
      </c>
      <c r="J69">
        <f t="shared" ca="1" si="12"/>
        <v>153.47800000000001</v>
      </c>
      <c r="K69">
        <f t="shared" ca="1" si="13"/>
        <v>2.7796773762056377</v>
      </c>
      <c r="L69">
        <f t="shared" ca="1" si="14"/>
        <v>159.03735475241129</v>
      </c>
      <c r="M69">
        <f t="shared" ca="1" si="15"/>
        <v>147.91864524758873</v>
      </c>
      <c r="N69">
        <f t="shared" ca="1" si="24"/>
        <v>0.32999999999998408</v>
      </c>
      <c r="O69">
        <f t="shared" ca="1" si="25"/>
        <v>0.32999999999998408</v>
      </c>
      <c r="P69">
        <f t="shared" ca="1" si="26"/>
        <v>0</v>
      </c>
      <c r="Q69">
        <f t="shared" ca="1" si="10"/>
        <v>0.73261992431288714</v>
      </c>
      <c r="R69">
        <f t="shared" ca="1" si="11"/>
        <v>0.78695680252617883</v>
      </c>
      <c r="S69">
        <f t="shared" ca="1" si="8"/>
        <v>0.93095316281800089</v>
      </c>
      <c r="T69">
        <f t="shared" ca="1" si="9"/>
        <v>48.212104816637989</v>
      </c>
      <c r="U69">
        <f>70</f>
        <v>70</v>
      </c>
      <c r="V69">
        <f>30</f>
        <v>30</v>
      </c>
      <c r="W69">
        <f t="shared" ca="1" si="7"/>
        <v>152.66228437934652</v>
      </c>
      <c r="X69">
        <f t="shared" ca="1" si="17"/>
        <v>153.72103237530285</v>
      </c>
      <c r="Y69">
        <f t="shared" ca="1" si="16"/>
        <v>-0.93343892110402749</v>
      </c>
      <c r="Z69">
        <f t="shared" ca="1" si="18"/>
        <v>-1.2146688112582988</v>
      </c>
      <c r="AA69">
        <f t="shared" ca="1" si="19"/>
        <v>0.28122989015427136</v>
      </c>
    </row>
    <row r="70" spans="1:27" x14ac:dyDescent="0.25">
      <c r="A70" s="20">
        <f t="shared" ca="1" si="20"/>
        <v>45803</v>
      </c>
      <c r="B70" vm="204">
        <f ca="1"/>
        <v>45804</v>
      </c>
      <c r="C70" vm="91">
        <f ca="1"/>
        <v>153.25</v>
      </c>
      <c r="D70" vm="205">
        <f ca="1"/>
        <v>6990694</v>
      </c>
      <c r="E70">
        <f t="shared" ca="1" si="21"/>
        <v>1071323855.5</v>
      </c>
      <c r="F70">
        <f ca="1">SUM($E$2:E70)/SUM($D$2:D70)</f>
        <v>157.78586508450866</v>
      </c>
      <c r="G70">
        <f ca="1">_xlfn.STDEV.P($C$2:C70)</f>
        <v>5.5361087398095794</v>
      </c>
      <c r="H70">
        <f t="shared" ca="1" si="22"/>
        <v>163.32197382431823</v>
      </c>
      <c r="I70">
        <f t="shared" ca="1" si="23"/>
        <v>152.24975634469908</v>
      </c>
      <c r="J70">
        <f t="shared" ca="1" si="12"/>
        <v>153.37300000000002</v>
      </c>
      <c r="K70">
        <f t="shared" ca="1" si="13"/>
        <v>2.744685007332111</v>
      </c>
      <c r="L70">
        <f t="shared" ca="1" si="14"/>
        <v>158.86237001466424</v>
      </c>
      <c r="M70">
        <f t="shared" ca="1" si="15"/>
        <v>147.8836299853358</v>
      </c>
      <c r="N70">
        <f t="shared" ca="1" si="24"/>
        <v>0.31000000000000227</v>
      </c>
      <c r="O70">
        <f t="shared" ca="1" si="25"/>
        <v>0.31000000000000227</v>
      </c>
      <c r="P70">
        <f t="shared" ca="1" si="26"/>
        <v>0</v>
      </c>
      <c r="Q70">
        <f t="shared" ca="1" si="10"/>
        <v>0.70243278686196675</v>
      </c>
      <c r="R70">
        <f t="shared" ca="1" si="11"/>
        <v>0.73074560234573749</v>
      </c>
      <c r="S70">
        <f t="shared" ca="1" si="8"/>
        <v>0.96125489446274481</v>
      </c>
      <c r="T70">
        <f t="shared" ca="1" si="9"/>
        <v>49.012236868174426</v>
      </c>
      <c r="U70">
        <f>70</f>
        <v>70</v>
      </c>
      <c r="V70">
        <f>30</f>
        <v>30</v>
      </c>
      <c r="W70">
        <f t="shared" ca="1" si="7"/>
        <v>152.75270216713935</v>
      </c>
      <c r="X70">
        <f t="shared" ca="1" si="17"/>
        <v>153.68614108824337</v>
      </c>
      <c r="Y70">
        <f t="shared" ca="1" si="16"/>
        <v>-0.89003792033821583</v>
      </c>
      <c r="Z70">
        <f t="shared" ca="1" si="18"/>
        <v>-1.1497426330742821</v>
      </c>
      <c r="AA70">
        <f t="shared" ca="1" si="19"/>
        <v>0.25970471273606632</v>
      </c>
    </row>
    <row r="71" spans="1:27" x14ac:dyDescent="0.25">
      <c r="A71" s="20">
        <f t="shared" ca="1" si="20"/>
        <v>45803</v>
      </c>
      <c r="B71" vm="206">
        <f ca="1"/>
        <v>45805</v>
      </c>
      <c r="C71" vm="207">
        <f ca="1"/>
        <v>152.43</v>
      </c>
      <c r="D71" vm="208">
        <f ca="1"/>
        <v>8459310</v>
      </c>
      <c r="E71">
        <f t="shared" ca="1" si="21"/>
        <v>1289452623.3</v>
      </c>
      <c r="F71">
        <f ca="1">SUM($E$2:E71)/SUM($D$2:D71)</f>
        <v>157.71796254160137</v>
      </c>
      <c r="G71">
        <f ca="1">_xlfn.STDEV.P($C$2:C71)</f>
        <v>5.5355965793937614</v>
      </c>
      <c r="H71">
        <f t="shared" ca="1" si="22"/>
        <v>163.25355912099513</v>
      </c>
      <c r="I71">
        <f t="shared" ca="1" si="23"/>
        <v>152.1823659622076</v>
      </c>
      <c r="J71">
        <f t="shared" ca="1" si="12"/>
        <v>153.19900000000001</v>
      </c>
      <c r="K71">
        <f t="shared" ca="1" si="13"/>
        <v>2.6850461134920822</v>
      </c>
      <c r="L71">
        <f t="shared" ca="1" si="14"/>
        <v>158.56909222698417</v>
      </c>
      <c r="M71">
        <f t="shared" ca="1" si="15"/>
        <v>147.82890777301586</v>
      </c>
      <c r="N71">
        <f t="shared" ca="1" si="24"/>
        <v>-0.81999999999999318</v>
      </c>
      <c r="O71">
        <f t="shared" ca="1" si="25"/>
        <v>0</v>
      </c>
      <c r="P71">
        <f t="shared" ca="1" si="26"/>
        <v>0.81999999999999318</v>
      </c>
      <c r="Q71">
        <f t="shared" ca="1" si="10"/>
        <v>0.65225901637182626</v>
      </c>
      <c r="R71">
        <f t="shared" ca="1" si="11"/>
        <v>0.73712091646389866</v>
      </c>
      <c r="S71">
        <f t="shared" ca="1" si="8"/>
        <v>0.88487384064588726</v>
      </c>
      <c r="T71">
        <f t="shared" ca="1" si="9"/>
        <v>46.946051325253087</v>
      </c>
      <c r="U71">
        <f>70</f>
        <v>70</v>
      </c>
      <c r="V71">
        <f>30</f>
        <v>30</v>
      </c>
      <c r="W71">
        <f t="shared" ca="1" si="7"/>
        <v>152.70305567988714</v>
      </c>
      <c r="X71">
        <f t="shared" ca="1" si="17"/>
        <v>153.59309360022536</v>
      </c>
      <c r="Y71">
        <f t="shared" ca="1" si="16"/>
        <v>-0.75415351323863433</v>
      </c>
      <c r="Z71">
        <f t="shared" ca="1" si="18"/>
        <v>-1.0706248091071526</v>
      </c>
      <c r="AA71">
        <f t="shared" ca="1" si="19"/>
        <v>0.3164712958685183</v>
      </c>
    </row>
    <row r="72" spans="1:27" x14ac:dyDescent="0.25">
      <c r="A72" s="20">
        <f t="shared" ca="1" si="20"/>
        <v>45803</v>
      </c>
      <c r="B72" vm="209">
        <f ca="1"/>
        <v>45806</v>
      </c>
      <c r="C72" vm="210">
        <f ca="1"/>
        <v>153.58000000000001</v>
      </c>
      <c r="D72" vm="211">
        <f ca="1"/>
        <v>6810982</v>
      </c>
      <c r="E72">
        <f t="shared" ca="1" si="21"/>
        <v>1046030615.5600001</v>
      </c>
      <c r="F72">
        <f ca="1">SUM($E$2:E72)/SUM($D$2:D72)</f>
        <v>157.67614995358076</v>
      </c>
      <c r="G72">
        <f ca="1">_xlfn.STDEV.P($C$2:C72)</f>
        <v>5.5198981925700412</v>
      </c>
      <c r="H72">
        <f t="shared" ca="1" si="22"/>
        <v>163.19604814615082</v>
      </c>
      <c r="I72">
        <f t="shared" ca="1" si="23"/>
        <v>152.15625176101071</v>
      </c>
      <c r="J72">
        <f t="shared" ca="1" si="12"/>
        <v>153.0625</v>
      </c>
      <c r="K72">
        <f t="shared" ca="1" si="13"/>
        <v>2.5861389122945808</v>
      </c>
      <c r="L72">
        <f t="shared" ca="1" si="14"/>
        <v>158.23477782458917</v>
      </c>
      <c r="M72">
        <f t="shared" ca="1" si="15"/>
        <v>147.89022217541083</v>
      </c>
      <c r="N72">
        <f t="shared" ca="1" si="24"/>
        <v>1.1500000000000057</v>
      </c>
      <c r="O72">
        <f t="shared" ca="1" si="25"/>
        <v>1.1500000000000057</v>
      </c>
      <c r="P72">
        <f t="shared" ca="1" si="26"/>
        <v>0</v>
      </c>
      <c r="Q72">
        <f t="shared" ca="1" si="10"/>
        <v>0.68781194377383914</v>
      </c>
      <c r="R72">
        <f t="shared" ca="1" si="11"/>
        <v>0.68446942243076303</v>
      </c>
      <c r="S72">
        <f t="shared" ca="1" si="8"/>
        <v>1.0048833756973479</v>
      </c>
      <c r="T72">
        <f t="shared" ca="1" si="9"/>
        <v>50.121787026530889</v>
      </c>
      <c r="U72">
        <f>70</f>
        <v>70</v>
      </c>
      <c r="V72">
        <f>30</f>
        <v>30</v>
      </c>
      <c r="W72">
        <f t="shared" ca="1" si="7"/>
        <v>152.83797019067373</v>
      </c>
      <c r="X72">
        <f t="shared" ca="1" si="17"/>
        <v>153.59212370391236</v>
      </c>
      <c r="Y72">
        <f t="shared" ca="1" si="16"/>
        <v>-0.50906853886445447</v>
      </c>
      <c r="Z72">
        <f t="shared" ca="1" si="18"/>
        <v>-0.95831355505861304</v>
      </c>
      <c r="AA72">
        <f t="shared" ca="1" si="19"/>
        <v>0.44924501619415858</v>
      </c>
    </row>
    <row r="73" spans="1:27" x14ac:dyDescent="0.25">
      <c r="A73" s="20">
        <f t="shared" ca="1" si="20"/>
        <v>45803</v>
      </c>
      <c r="B73" vm="212">
        <f ca="1"/>
        <v>45807</v>
      </c>
      <c r="C73" vm="213">
        <f ca="1"/>
        <v>155.21</v>
      </c>
      <c r="D73" vm="214">
        <f ca="1"/>
        <v>15529716</v>
      </c>
      <c r="E73">
        <f t="shared" ca="1" si="21"/>
        <v>2410367220.3600001</v>
      </c>
      <c r="F73">
        <f ca="1">SUM($E$2:E73)/SUM($D$2:D73)</f>
        <v>157.62061053540941</v>
      </c>
      <c r="G73">
        <f ca="1">_xlfn.STDEV.P($C$2:C73)</f>
        <v>5.4900005832714607</v>
      </c>
      <c r="H73">
        <f t="shared" ca="1" si="22"/>
        <v>163.11061111868088</v>
      </c>
      <c r="I73">
        <f t="shared" ca="1" si="23"/>
        <v>152.13060995213795</v>
      </c>
      <c r="J73">
        <f t="shared" ca="1" si="12"/>
        <v>153.1</v>
      </c>
      <c r="K73">
        <f t="shared" ca="1" si="13"/>
        <v>2.6127702579929641</v>
      </c>
      <c r="L73">
        <f t="shared" ca="1" si="14"/>
        <v>158.32554051598592</v>
      </c>
      <c r="M73">
        <f t="shared" ca="1" si="15"/>
        <v>147.87445948401407</v>
      </c>
      <c r="N73">
        <f t="shared" ca="1" si="24"/>
        <v>1.6299999999999955</v>
      </c>
      <c r="O73">
        <f t="shared" ca="1" si="25"/>
        <v>1.6299999999999955</v>
      </c>
      <c r="P73">
        <f t="shared" ca="1" si="26"/>
        <v>0</v>
      </c>
      <c r="Q73">
        <f t="shared" ca="1" si="10"/>
        <v>0.75511109064713611</v>
      </c>
      <c r="R73">
        <f t="shared" ca="1" si="11"/>
        <v>0.63557874939999426</v>
      </c>
      <c r="S73">
        <f t="shared" ca="1" si="8"/>
        <v>1.1880684987658634</v>
      </c>
      <c r="T73">
        <f t="shared" ca="1" si="9"/>
        <v>54.297591662965303</v>
      </c>
      <c r="U73">
        <f>70</f>
        <v>70</v>
      </c>
      <c r="V73">
        <f>30</f>
        <v>30</v>
      </c>
      <c r="W73">
        <f t="shared" ca="1" si="7"/>
        <v>153.20289785364702</v>
      </c>
      <c r="X73">
        <f t="shared" ca="1" si="17"/>
        <v>153.71196639251147</v>
      </c>
      <c r="Y73">
        <f t="shared" ca="1" si="16"/>
        <v>-0.29609235052154759</v>
      </c>
      <c r="Z73">
        <f t="shared" ca="1" si="18"/>
        <v>-0.82586931415119991</v>
      </c>
      <c r="AA73">
        <f t="shared" ca="1" si="19"/>
        <v>0.52977696362965232</v>
      </c>
    </row>
    <row r="74" spans="1:27" x14ac:dyDescent="0.25">
      <c r="A74" s="20">
        <f t="shared" ca="1" si="20"/>
        <v>45810</v>
      </c>
      <c r="B74" vm="215">
        <f ca="1"/>
        <v>45810</v>
      </c>
      <c r="C74" vm="216">
        <f ca="1"/>
        <v>155.4</v>
      </c>
      <c r="D74" vm="217">
        <f ca="1"/>
        <v>6669669</v>
      </c>
      <c r="E74">
        <f t="shared" ca="1" si="21"/>
        <v>1036466562.6</v>
      </c>
      <c r="F74">
        <f ca="1">SUM($E$2:E74)/SUM($D$2:D74)</f>
        <v>157.59933822625521</v>
      </c>
      <c r="G74">
        <f ca="1">_xlfn.STDEV.P($C$2:C74)</f>
        <v>5.4593623877349895</v>
      </c>
      <c r="H74">
        <f t="shared" ca="1" si="22"/>
        <v>163.0587006139902</v>
      </c>
      <c r="I74">
        <f t="shared" ca="1" si="23"/>
        <v>152.13997583852023</v>
      </c>
      <c r="J74">
        <f t="shared" ca="1" si="12"/>
        <v>153.06400000000002</v>
      </c>
      <c r="K74">
        <f t="shared" ca="1" si="13"/>
        <v>2.5736363788473118</v>
      </c>
      <c r="L74">
        <f t="shared" ca="1" si="14"/>
        <v>158.21127275769464</v>
      </c>
      <c r="M74">
        <f t="shared" ca="1" si="15"/>
        <v>147.9167272423054</v>
      </c>
      <c r="N74">
        <f t="shared" ca="1" si="24"/>
        <v>0.18999999999999773</v>
      </c>
      <c r="O74">
        <f t="shared" ca="1" si="25"/>
        <v>0.18999999999999773</v>
      </c>
      <c r="P74">
        <f t="shared" ca="1" si="26"/>
        <v>0</v>
      </c>
      <c r="Q74">
        <f t="shared" ca="1" si="10"/>
        <v>0.71474601274376914</v>
      </c>
      <c r="R74">
        <f t="shared" ca="1" si="11"/>
        <v>0.59018026729999462</v>
      </c>
      <c r="S74">
        <f t="shared" ca="1" si="8"/>
        <v>1.2110638941109437</v>
      </c>
      <c r="T74">
        <f t="shared" ca="1" si="9"/>
        <v>54.772903548221777</v>
      </c>
      <c r="U74">
        <f>70</f>
        <v>70</v>
      </c>
      <c r="V74">
        <f>30</f>
        <v>30</v>
      </c>
      <c r="W74">
        <f t="shared" ca="1" si="7"/>
        <v>153.54091356847056</v>
      </c>
      <c r="X74">
        <f t="shared" ca="1" si="17"/>
        <v>153.83700591899211</v>
      </c>
      <c r="Y74">
        <f t="shared" ca="1" si="16"/>
        <v>-0.20403303087374525</v>
      </c>
      <c r="Z74">
        <f t="shared" ca="1" si="18"/>
        <v>-0.70150205749570904</v>
      </c>
      <c r="AA74">
        <f t="shared" ca="1" si="19"/>
        <v>0.49746902662196379</v>
      </c>
    </row>
    <row r="75" spans="1:27" x14ac:dyDescent="0.25">
      <c r="A75" s="20">
        <f t="shared" ca="1" si="20"/>
        <v>45810</v>
      </c>
      <c r="B75" vm="218">
        <f ca="1"/>
        <v>45811</v>
      </c>
      <c r="C75" vm="219">
        <f ca="1"/>
        <v>154.41999999999999</v>
      </c>
      <c r="D75" vm="220">
        <f ca="1"/>
        <v>8209757</v>
      </c>
      <c r="E75">
        <f t="shared" ca="1" si="21"/>
        <v>1267750675.9399998</v>
      </c>
      <c r="F75">
        <f ca="1">SUM($E$2:E75)/SUM($D$2:D75)</f>
        <v>157.56228602829358</v>
      </c>
      <c r="G75">
        <f ca="1">_xlfn.STDEV.P($C$2:C75)</f>
        <v>5.436051846570038</v>
      </c>
      <c r="H75">
        <f t="shared" ca="1" si="22"/>
        <v>162.99833787486364</v>
      </c>
      <c r="I75">
        <f t="shared" ca="1" si="23"/>
        <v>152.12623418172353</v>
      </c>
      <c r="J75">
        <f t="shared" ca="1" si="12"/>
        <v>153.03500000000003</v>
      </c>
      <c r="K75">
        <f t="shared" ca="1" si="13"/>
        <v>2.5538649760293635</v>
      </c>
      <c r="L75">
        <f t="shared" ca="1" si="14"/>
        <v>158.14272995205874</v>
      </c>
      <c r="M75">
        <f t="shared" ca="1" si="15"/>
        <v>147.92727004794131</v>
      </c>
      <c r="N75">
        <f t="shared" ca="1" si="24"/>
        <v>-0.98000000000001819</v>
      </c>
      <c r="O75">
        <f t="shared" ca="1" si="25"/>
        <v>0</v>
      </c>
      <c r="P75">
        <f t="shared" ca="1" si="26"/>
        <v>0.98000000000001819</v>
      </c>
      <c r="Q75">
        <f t="shared" ca="1" si="10"/>
        <v>0.66369272611921415</v>
      </c>
      <c r="R75">
        <f t="shared" ca="1" si="11"/>
        <v>0.61802453392142476</v>
      </c>
      <c r="S75">
        <f t="shared" ca="1" si="8"/>
        <v>1.073893817625686</v>
      </c>
      <c r="T75">
        <f t="shared" ca="1" si="9"/>
        <v>51.781523648840519</v>
      </c>
      <c r="U75">
        <f>70</f>
        <v>70</v>
      </c>
      <c r="V75">
        <f>30</f>
        <v>30</v>
      </c>
      <c r="W75">
        <f t="shared" ca="1" si="7"/>
        <v>153.67615763485969</v>
      </c>
      <c r="X75">
        <f t="shared" ca="1" si="17"/>
        <v>153.88019066573344</v>
      </c>
      <c r="Y75">
        <f t="shared" ca="1" si="16"/>
        <v>-0.22530811626791092</v>
      </c>
      <c r="Z75">
        <f t="shared" ca="1" si="18"/>
        <v>-0.60626326925014951</v>
      </c>
      <c r="AA75">
        <f t="shared" ca="1" si="19"/>
        <v>0.38095515298223859</v>
      </c>
    </row>
    <row r="76" spans="1:27" x14ac:dyDescent="0.25">
      <c r="A76" s="20">
        <f t="shared" ca="1" si="20"/>
        <v>45810</v>
      </c>
      <c r="B76" vm="221">
        <f ca="1"/>
        <v>45812</v>
      </c>
      <c r="C76" vm="222">
        <f ca="1"/>
        <v>153.22</v>
      </c>
      <c r="D76" vm="223">
        <f ca="1"/>
        <v>6983861</v>
      </c>
      <c r="E76">
        <f t="shared" ca="1" si="21"/>
        <v>1070067182.42</v>
      </c>
      <c r="F76">
        <f ca="1">SUM($E$2:E76)/SUM($D$2:D76)</f>
        <v>157.51965982758026</v>
      </c>
      <c r="G76">
        <f ca="1">_xlfn.STDEV.P($C$2:C76)</f>
        <v>5.4242547072283456</v>
      </c>
      <c r="H76">
        <f t="shared" ca="1" si="22"/>
        <v>162.94391453480861</v>
      </c>
      <c r="I76">
        <f t="shared" ca="1" si="23"/>
        <v>152.0954051203519</v>
      </c>
      <c r="J76">
        <f t="shared" ca="1" si="12"/>
        <v>152.9725</v>
      </c>
      <c r="K76">
        <f t="shared" ca="1" si="13"/>
        <v>2.532101010290817</v>
      </c>
      <c r="L76">
        <f t="shared" ca="1" si="14"/>
        <v>158.03670202058163</v>
      </c>
      <c r="M76">
        <f t="shared" ca="1" si="15"/>
        <v>147.90829797941836</v>
      </c>
      <c r="N76">
        <f t="shared" ca="1" si="24"/>
        <v>-1.1999999999999886</v>
      </c>
      <c r="O76">
        <f t="shared" ca="1" si="25"/>
        <v>0</v>
      </c>
      <c r="P76">
        <f t="shared" ca="1" si="26"/>
        <v>1.1999999999999886</v>
      </c>
      <c r="Q76">
        <f t="shared" ca="1" si="10"/>
        <v>0.61628610282498453</v>
      </c>
      <c r="R76">
        <f t="shared" ca="1" si="11"/>
        <v>0.65959421006989361</v>
      </c>
      <c r="S76">
        <f t="shared" ca="1" si="8"/>
        <v>0.93434128653082027</v>
      </c>
      <c r="T76">
        <f t="shared" ca="1" si="9"/>
        <v>48.302814660309075</v>
      </c>
      <c r="U76">
        <f>70</f>
        <v>70</v>
      </c>
      <c r="V76">
        <f>30</f>
        <v>30</v>
      </c>
      <c r="W76">
        <f t="shared" ca="1" si="7"/>
        <v>153.60597953718897</v>
      </c>
      <c r="X76">
        <f t="shared" ca="1" si="17"/>
        <v>153.83128765345688</v>
      </c>
      <c r="Y76">
        <f t="shared" ca="1" si="16"/>
        <v>-0.20430930150530457</v>
      </c>
      <c r="Z76">
        <f t="shared" ca="1" si="18"/>
        <v>-0.52587247570118056</v>
      </c>
      <c r="AA76">
        <f t="shared" ca="1" si="19"/>
        <v>0.32156317419587599</v>
      </c>
    </row>
    <row r="77" spans="1:27" x14ac:dyDescent="0.25">
      <c r="A77" s="20">
        <f t="shared" ca="1" si="20"/>
        <v>45810</v>
      </c>
      <c r="B77" vm="224">
        <f ca="1"/>
        <v>45813</v>
      </c>
      <c r="C77" vm="193">
        <f ca="1"/>
        <v>153.66</v>
      </c>
      <c r="D77" vm="225">
        <f ca="1"/>
        <v>5296258</v>
      </c>
      <c r="E77">
        <f t="shared" ca="1" si="21"/>
        <v>813823004.27999997</v>
      </c>
      <c r="F77">
        <f ca="1">SUM($E$2:E77)/SUM($D$2:D77)</f>
        <v>157.49113916098557</v>
      </c>
      <c r="G77">
        <f ca="1">_xlfn.STDEV.P($C$2:C77)</f>
        <v>5.4076532536684851</v>
      </c>
      <c r="H77">
        <f t="shared" ca="1" si="22"/>
        <v>162.89879241465405</v>
      </c>
      <c r="I77">
        <f t="shared" ca="1" si="23"/>
        <v>152.08348590731708</v>
      </c>
      <c r="J77">
        <f t="shared" ca="1" si="12"/>
        <v>152.79050000000001</v>
      </c>
      <c r="K77">
        <f t="shared" ca="1" si="13"/>
        <v>2.3272085718392512</v>
      </c>
      <c r="L77">
        <f t="shared" ca="1" si="14"/>
        <v>157.44491714367851</v>
      </c>
      <c r="M77">
        <f t="shared" ca="1" si="15"/>
        <v>148.13608285632151</v>
      </c>
      <c r="N77">
        <f t="shared" ca="1" si="24"/>
        <v>0.43999999999999773</v>
      </c>
      <c r="O77">
        <f t="shared" ca="1" si="25"/>
        <v>0.43999999999999773</v>
      </c>
      <c r="P77">
        <f t="shared" ca="1" si="26"/>
        <v>0</v>
      </c>
      <c r="Q77">
        <f t="shared" ca="1" si="10"/>
        <v>0.60369423833748548</v>
      </c>
      <c r="R77">
        <f t="shared" ca="1" si="11"/>
        <v>0.61248033792204404</v>
      </c>
      <c r="S77">
        <f t="shared" ca="1" si="8"/>
        <v>0.98565488711953253</v>
      </c>
      <c r="T77">
        <f t="shared" ca="1" si="9"/>
        <v>49.638781316594319</v>
      </c>
      <c r="U77">
        <f>70</f>
        <v>70</v>
      </c>
      <c r="V77">
        <f>30</f>
        <v>30</v>
      </c>
      <c r="W77">
        <f t="shared" ca="1" si="7"/>
        <v>153.61429037762144</v>
      </c>
      <c r="X77">
        <f t="shared" ca="1" si="17"/>
        <v>153.81859967912675</v>
      </c>
      <c r="Y77">
        <f t="shared" ca="1" si="16"/>
        <v>-7.624117824110499E-2</v>
      </c>
      <c r="Z77">
        <f t="shared" ca="1" si="18"/>
        <v>-0.43594621620916546</v>
      </c>
      <c r="AA77">
        <f t="shared" ca="1" si="19"/>
        <v>0.35970503796806047</v>
      </c>
    </row>
    <row r="78" spans="1:27" x14ac:dyDescent="0.25">
      <c r="A78" s="20">
        <f t="shared" ca="1" si="20"/>
        <v>45810</v>
      </c>
      <c r="B78" vm="226">
        <f ca="1"/>
        <v>45814</v>
      </c>
      <c r="C78" vm="227">
        <f ca="1"/>
        <v>155.03</v>
      </c>
      <c r="D78" vm="228">
        <f ca="1"/>
        <v>5391841</v>
      </c>
      <c r="E78">
        <f t="shared" ca="1" si="21"/>
        <v>835897110.23000002</v>
      </c>
      <c r="F78">
        <f ca="1">SUM($E$2:E78)/SUM($D$2:D78)</f>
        <v>157.4727627844612</v>
      </c>
      <c r="G78">
        <f ca="1">_xlfn.STDEV.P($C$2:C78)</f>
        <v>5.3803169351020008</v>
      </c>
      <c r="H78">
        <f t="shared" ca="1" si="22"/>
        <v>162.8530797195632</v>
      </c>
      <c r="I78">
        <f t="shared" ca="1" si="23"/>
        <v>152.09244584935919</v>
      </c>
      <c r="J78">
        <f t="shared" ca="1" si="12"/>
        <v>152.75900000000004</v>
      </c>
      <c r="K78">
        <f t="shared" ca="1" si="13"/>
        <v>2.2902950855615418</v>
      </c>
      <c r="L78">
        <f t="shared" ca="1" si="14"/>
        <v>157.33959017112312</v>
      </c>
      <c r="M78">
        <f t="shared" ca="1" si="15"/>
        <v>148.17840982887697</v>
      </c>
      <c r="N78">
        <f t="shared" ca="1" si="24"/>
        <v>1.3700000000000045</v>
      </c>
      <c r="O78">
        <f t="shared" ca="1" si="25"/>
        <v>1.3700000000000045</v>
      </c>
      <c r="P78">
        <f t="shared" ca="1" si="26"/>
        <v>0</v>
      </c>
      <c r="Q78">
        <f t="shared" ca="1" si="10"/>
        <v>0.65843036417052248</v>
      </c>
      <c r="R78">
        <f t="shared" ca="1" si="11"/>
        <v>0.56873174235618373</v>
      </c>
      <c r="S78">
        <f t="shared" ca="1" si="8"/>
        <v>1.1577169254572088</v>
      </c>
      <c r="T78">
        <f t="shared" ca="1" si="9"/>
        <v>53.654717715665818</v>
      </c>
      <c r="U78">
        <f>70</f>
        <v>70</v>
      </c>
      <c r="V78">
        <f>30</f>
        <v>30</v>
      </c>
      <c r="W78">
        <f t="shared" ca="1" si="7"/>
        <v>153.83209185798736</v>
      </c>
      <c r="X78">
        <f t="shared" ca="1" si="17"/>
        <v>153.90833303622847</v>
      </c>
      <c r="Y78">
        <f t="shared" ca="1" si="16"/>
        <v>4.0920356262091673E-2</v>
      </c>
      <c r="Z78">
        <f t="shared" ca="1" si="18"/>
        <v>-0.34057290171491406</v>
      </c>
      <c r="AA78">
        <f t="shared" ca="1" si="19"/>
        <v>0.38149325797700573</v>
      </c>
    </row>
    <row r="79" spans="1:27" x14ac:dyDescent="0.25">
      <c r="A79" s="20">
        <f t="shared" ca="1" si="20"/>
        <v>45817</v>
      </c>
      <c r="B79" vm="229">
        <f ca="1"/>
        <v>45817</v>
      </c>
      <c r="C79" vm="230">
        <f ca="1"/>
        <v>155.22999999999999</v>
      </c>
      <c r="D79" vm="231">
        <f ca="1"/>
        <v>5319232</v>
      </c>
      <c r="E79">
        <f t="shared" ca="1" si="21"/>
        <v>825704383.3599999</v>
      </c>
      <c r="F79">
        <f ca="1">SUM($E$2:E79)/SUM($D$2:D79)</f>
        <v>157.45636324735378</v>
      </c>
      <c r="G79">
        <f ca="1">_xlfn.STDEV.P($C$2:C79)</f>
        <v>5.3521929304746676</v>
      </c>
      <c r="H79">
        <f t="shared" ca="1" si="22"/>
        <v>162.80855617782845</v>
      </c>
      <c r="I79">
        <f t="shared" ca="1" si="23"/>
        <v>152.10417031687911</v>
      </c>
      <c r="J79">
        <f t="shared" ca="1" si="12"/>
        <v>152.80950000000001</v>
      </c>
      <c r="K79">
        <f t="shared" ca="1" si="13"/>
        <v>2.3349055542716077</v>
      </c>
      <c r="L79">
        <f t="shared" ca="1" si="14"/>
        <v>157.47931110854324</v>
      </c>
      <c r="M79">
        <f t="shared" ca="1" si="15"/>
        <v>148.13968889145679</v>
      </c>
      <c r="N79">
        <f t="shared" ca="1" si="24"/>
        <v>0.19999999999998863</v>
      </c>
      <c r="O79">
        <f t="shared" ca="1" si="25"/>
        <v>0.19999999999998863</v>
      </c>
      <c r="P79">
        <f t="shared" ca="1" si="26"/>
        <v>0</v>
      </c>
      <c r="Q79">
        <f t="shared" ca="1" si="10"/>
        <v>0.62568533815834149</v>
      </c>
      <c r="R79">
        <f t="shared" ca="1" si="11"/>
        <v>0.5281080464735991</v>
      </c>
      <c r="S79">
        <f t="shared" ca="1" si="8"/>
        <v>1.1847676670262974</v>
      </c>
      <c r="T79">
        <f t="shared" ca="1" si="9"/>
        <v>54.228542691630587</v>
      </c>
      <c r="U79">
        <f>70</f>
        <v>70</v>
      </c>
      <c r="V79">
        <f>30</f>
        <v>30</v>
      </c>
      <c r="W79">
        <f t="shared" ref="W79:W142" ca="1" si="27">C79*(2/(12+1)) + W78*(1-(2/(12+1)))</f>
        <v>154.04715464906624</v>
      </c>
      <c r="X79">
        <f t="shared" ca="1" si="17"/>
        <v>154.00623429280415</v>
      </c>
      <c r="Y79">
        <f t="shared" ca="1" si="16"/>
        <v>0.22956918977584451</v>
      </c>
      <c r="Z79">
        <f t="shared" ca="1" si="18"/>
        <v>-0.22654448341676237</v>
      </c>
      <c r="AA79">
        <f t="shared" ca="1" si="19"/>
        <v>0.45611367319260687</v>
      </c>
    </row>
    <row r="80" spans="1:27" x14ac:dyDescent="0.25">
      <c r="A80" s="20">
        <f t="shared" ca="1" si="20"/>
        <v>45817</v>
      </c>
      <c r="B80" vm="232">
        <f ca="1"/>
        <v>45818</v>
      </c>
      <c r="C80" vm="233">
        <f ca="1"/>
        <v>156.44999999999999</v>
      </c>
      <c r="D80" vm="234">
        <f ca="1"/>
        <v>6791881</v>
      </c>
      <c r="E80">
        <f t="shared" ca="1" si="21"/>
        <v>1062589782.4499999</v>
      </c>
      <c r="F80">
        <f ca="1">SUM($E$2:E80)/SUM($D$2:D80)</f>
        <v>157.44705413815737</v>
      </c>
      <c r="G80">
        <f ca="1">_xlfn.STDEV.P($C$2:C80)</f>
        <v>5.3196056099618501</v>
      </c>
      <c r="H80">
        <f t="shared" ca="1" si="22"/>
        <v>162.76665974811922</v>
      </c>
      <c r="I80">
        <f t="shared" ca="1" si="23"/>
        <v>152.12744852819552</v>
      </c>
      <c r="J80">
        <f t="shared" ca="1" si="12"/>
        <v>152.92499999999998</v>
      </c>
      <c r="K80">
        <f t="shared" ca="1" si="13"/>
        <v>2.4580704884758227</v>
      </c>
      <c r="L80">
        <f t="shared" ca="1" si="14"/>
        <v>157.84114097695164</v>
      </c>
      <c r="M80">
        <f t="shared" ca="1" si="15"/>
        <v>148.00885902304833</v>
      </c>
      <c r="N80">
        <f t="shared" ca="1" si="24"/>
        <v>1.2199999999999989</v>
      </c>
      <c r="O80">
        <f t="shared" ca="1" si="25"/>
        <v>1.2199999999999989</v>
      </c>
      <c r="P80">
        <f t="shared" ca="1" si="26"/>
        <v>0</v>
      </c>
      <c r="Q80">
        <f t="shared" ca="1" si="10"/>
        <v>0.66813638543274556</v>
      </c>
      <c r="R80">
        <f t="shared" ca="1" si="11"/>
        <v>0.49038604315405632</v>
      </c>
      <c r="S80">
        <f t="shared" ref="S80:S143" ca="1" si="28">IF(R80=0,NA(),Q80/R80)</f>
        <v>1.362470230872473</v>
      </c>
      <c r="T80">
        <f t="shared" ref="T80:T143" ca="1" si="29">100-(100/(1+S80))</f>
        <v>57.671424302743723</v>
      </c>
      <c r="U80">
        <f>70</f>
        <v>70</v>
      </c>
      <c r="V80">
        <f>30</f>
        <v>30</v>
      </c>
      <c r="W80">
        <f t="shared" ca="1" si="27"/>
        <v>154.41682316459449</v>
      </c>
      <c r="X80">
        <f t="shared" ca="1" si="17"/>
        <v>154.18725397481865</v>
      </c>
      <c r="Y80">
        <f t="shared" ca="1" si="16"/>
        <v>0.2798260343831771</v>
      </c>
      <c r="Z80">
        <f t="shared" ca="1" si="18"/>
        <v>-0.12527037985677447</v>
      </c>
      <c r="AA80">
        <f t="shared" ca="1" si="19"/>
        <v>0.40509641423995157</v>
      </c>
    </row>
    <row r="81" spans="1:27" x14ac:dyDescent="0.25">
      <c r="A81" s="20">
        <f t="shared" ca="1" si="20"/>
        <v>45817</v>
      </c>
      <c r="B81" vm="235">
        <f ca="1"/>
        <v>45819</v>
      </c>
      <c r="C81" vm="236">
        <f ca="1"/>
        <v>155.26</v>
      </c>
      <c r="D81" vm="237">
        <f ca="1"/>
        <v>6016039</v>
      </c>
      <c r="E81">
        <f t="shared" ca="1" si="21"/>
        <v>934050215.13999999</v>
      </c>
      <c r="F81">
        <f ca="1">SUM($E$2:E81)/SUM($D$2:D81)</f>
        <v>157.42927995971687</v>
      </c>
      <c r="G81">
        <f ca="1">_xlfn.STDEV.P($C$2:C81)</f>
        <v>5.2922448553874561</v>
      </c>
      <c r="H81">
        <f t="shared" ca="1" si="22"/>
        <v>162.72152481510432</v>
      </c>
      <c r="I81">
        <f t="shared" ca="1" si="23"/>
        <v>152.13703510432941</v>
      </c>
      <c r="J81">
        <f t="shared" ca="1" si="12"/>
        <v>153.26599999999999</v>
      </c>
      <c r="K81">
        <f t="shared" ca="1" si="13"/>
        <v>2.2689144169798294</v>
      </c>
      <c r="L81">
        <f t="shared" ca="1" si="14"/>
        <v>157.80382883395964</v>
      </c>
      <c r="M81">
        <f t="shared" ca="1" si="15"/>
        <v>148.72817116604034</v>
      </c>
      <c r="N81">
        <f t="shared" ca="1" si="24"/>
        <v>-1.1899999999999977</v>
      </c>
      <c r="O81">
        <f t="shared" ca="1" si="25"/>
        <v>0</v>
      </c>
      <c r="P81">
        <f t="shared" ca="1" si="26"/>
        <v>1.1899999999999977</v>
      </c>
      <c r="Q81">
        <f t="shared" ref="Q81:Q144" ca="1" si="30">(Q80*13+O81)/14</f>
        <v>0.62041235790183513</v>
      </c>
      <c r="R81">
        <f t="shared" ref="R81:R144" ca="1" si="31">(R80*13+P81)/14</f>
        <v>0.54035846864305215</v>
      </c>
      <c r="S81">
        <f t="shared" ca="1" si="28"/>
        <v>1.1481495968034225</v>
      </c>
      <c r="T81">
        <f t="shared" ca="1" si="29"/>
        <v>53.448307255320543</v>
      </c>
      <c r="U81">
        <f>70</f>
        <v>70</v>
      </c>
      <c r="V81">
        <f>30</f>
        <v>30</v>
      </c>
      <c r="W81">
        <f t="shared" ca="1" si="27"/>
        <v>154.54654267773378</v>
      </c>
      <c r="X81">
        <f t="shared" ca="1" si="17"/>
        <v>154.26671664335061</v>
      </c>
      <c r="Y81">
        <f t="shared" ca="1" si="16"/>
        <v>0.42769306609113755</v>
      </c>
      <c r="Z81">
        <f t="shared" ca="1" si="18"/>
        <v>-1.4677690667192059E-2</v>
      </c>
      <c r="AA81">
        <f t="shared" ca="1" si="19"/>
        <v>0.4423707567583296</v>
      </c>
    </row>
    <row r="82" spans="1:27" x14ac:dyDescent="0.25">
      <c r="A82" s="20">
        <f t="shared" ca="1" si="20"/>
        <v>45817</v>
      </c>
      <c r="B82" vm="238">
        <f ca="1"/>
        <v>45820</v>
      </c>
      <c r="C82" vm="239">
        <f ca="1"/>
        <v>156.66</v>
      </c>
      <c r="D82" vm="240">
        <f ca="1"/>
        <v>7075511</v>
      </c>
      <c r="E82">
        <f t="shared" ca="1" si="21"/>
        <v>1108449553.26</v>
      </c>
      <c r="F82">
        <f ca="1">SUM($E$2:E82)/SUM($D$2:D82)</f>
        <v>157.42199662585693</v>
      </c>
      <c r="G82">
        <f ca="1">_xlfn.STDEV.P($C$2:C82)</f>
        <v>5.2602884520132926</v>
      </c>
      <c r="H82">
        <f t="shared" ca="1" si="22"/>
        <v>162.68228507787023</v>
      </c>
      <c r="I82">
        <f t="shared" ca="1" si="23"/>
        <v>152.16170817384364</v>
      </c>
      <c r="J82">
        <f t="shared" ca="1" si="12"/>
        <v>153.78100000000001</v>
      </c>
      <c r="K82">
        <f t="shared" ca="1" si="13"/>
        <v>1.7218927773941344</v>
      </c>
      <c r="L82">
        <f t="shared" ca="1" si="14"/>
        <v>157.22478555478827</v>
      </c>
      <c r="M82">
        <f t="shared" ca="1" si="15"/>
        <v>150.33721444521174</v>
      </c>
      <c r="N82">
        <f t="shared" ca="1" si="24"/>
        <v>1.4000000000000057</v>
      </c>
      <c r="O82">
        <f t="shared" ca="1" si="25"/>
        <v>1.4000000000000057</v>
      </c>
      <c r="P82">
        <f t="shared" ca="1" si="26"/>
        <v>0</v>
      </c>
      <c r="Q82">
        <f t="shared" ca="1" si="30"/>
        <v>0.67609718948027597</v>
      </c>
      <c r="R82">
        <f t="shared" ca="1" si="31"/>
        <v>0.50176143516854843</v>
      </c>
      <c r="S82">
        <f t="shared" ca="1" si="28"/>
        <v>1.3474474961455851</v>
      </c>
      <c r="T82">
        <f t="shared" ca="1" si="29"/>
        <v>57.400538174252667</v>
      </c>
      <c r="U82">
        <f>70</f>
        <v>70</v>
      </c>
      <c r="V82">
        <f>30</f>
        <v>30</v>
      </c>
      <c r="W82">
        <f t="shared" ca="1" si="27"/>
        <v>154.87168995808244</v>
      </c>
      <c r="X82">
        <f t="shared" ca="1" si="17"/>
        <v>154.4439968919913</v>
      </c>
      <c r="Y82">
        <f t="shared" ca="1" si="16"/>
        <v>0.57376902465330204</v>
      </c>
      <c r="Z82">
        <f t="shared" ca="1" si="18"/>
        <v>0.10301165239690677</v>
      </c>
      <c r="AA82">
        <f t="shared" ca="1" si="19"/>
        <v>0.47075737225639525</v>
      </c>
    </row>
    <row r="83" spans="1:27" x14ac:dyDescent="0.25">
      <c r="A83" s="20">
        <f t="shared" ca="1" si="20"/>
        <v>45817</v>
      </c>
      <c r="B83" vm="241">
        <f ca="1"/>
        <v>45821</v>
      </c>
      <c r="C83" vm="242">
        <f ca="1"/>
        <v>157.1</v>
      </c>
      <c r="D83" vm="243">
        <f ca="1"/>
        <v>6587849</v>
      </c>
      <c r="E83">
        <f t="shared" ca="1" si="21"/>
        <v>1034951077.9</v>
      </c>
      <c r="F83">
        <f ca="1">SUM($E$2:E83)/SUM($D$2:D83)</f>
        <v>157.41918296769299</v>
      </c>
      <c r="G83">
        <f ca="1">_xlfn.STDEV.P($C$2:C83)</f>
        <v>5.2282879282721337</v>
      </c>
      <c r="H83">
        <f t="shared" ca="1" si="22"/>
        <v>162.64747089596511</v>
      </c>
      <c r="I83">
        <f t="shared" ca="1" si="23"/>
        <v>152.19089503942087</v>
      </c>
      <c r="J83">
        <f t="shared" ca="1" si="12"/>
        <v>154.15550000000002</v>
      </c>
      <c r="K83">
        <f t="shared" ca="1" si="13"/>
        <v>1.575250940744291</v>
      </c>
      <c r="L83">
        <f t="shared" ca="1" si="14"/>
        <v>157.30600188148861</v>
      </c>
      <c r="M83">
        <f t="shared" ca="1" si="15"/>
        <v>151.00499811851142</v>
      </c>
      <c r="N83">
        <f t="shared" ca="1" si="24"/>
        <v>0.43999999999999773</v>
      </c>
      <c r="O83">
        <f t="shared" ca="1" si="25"/>
        <v>0.43999999999999773</v>
      </c>
      <c r="P83">
        <f t="shared" ca="1" si="26"/>
        <v>0</v>
      </c>
      <c r="Q83">
        <f t="shared" ca="1" si="30"/>
        <v>0.65923310451739892</v>
      </c>
      <c r="R83">
        <f t="shared" ca="1" si="31"/>
        <v>0.46592133265650926</v>
      </c>
      <c r="S83">
        <f t="shared" ca="1" si="28"/>
        <v>1.4149021697690858</v>
      </c>
      <c r="T83">
        <f t="shared" ca="1" si="29"/>
        <v>58.590455028841994</v>
      </c>
      <c r="U83">
        <f>70</f>
        <v>70</v>
      </c>
      <c r="V83">
        <f>30</f>
        <v>30</v>
      </c>
      <c r="W83">
        <f t="shared" ca="1" si="27"/>
        <v>155.21450688760822</v>
      </c>
      <c r="X83">
        <f t="shared" ca="1" si="17"/>
        <v>154.64073786295492</v>
      </c>
      <c r="Y83">
        <f t="shared" ca="1" si="16"/>
        <v>0.53170581241963077</v>
      </c>
      <c r="Z83">
        <f t="shared" ca="1" si="18"/>
        <v>0.18875048440145159</v>
      </c>
      <c r="AA83">
        <f t="shared" ca="1" si="19"/>
        <v>0.34295532801817918</v>
      </c>
    </row>
    <row r="84" spans="1:27" x14ac:dyDescent="0.25">
      <c r="A84" s="20">
        <f t="shared" ca="1" si="20"/>
        <v>45824</v>
      </c>
      <c r="B84" vm="244">
        <f ca="1"/>
        <v>45824</v>
      </c>
      <c r="C84" vm="245">
        <f ca="1"/>
        <v>155.22</v>
      </c>
      <c r="D84" vm="246">
        <f ca="1"/>
        <v>7023995</v>
      </c>
      <c r="E84">
        <f t="shared" ca="1" si="21"/>
        <v>1090264503.9000001</v>
      </c>
      <c r="F84">
        <f ca="1">SUM($E$2:E84)/SUM($D$2:D84)</f>
        <v>157.39888304012294</v>
      </c>
      <c r="G84">
        <f ca="1">_xlfn.STDEV.P($C$2:C84)</f>
        <v>5.2025562153941118</v>
      </c>
      <c r="H84">
        <f t="shared" ca="1" si="22"/>
        <v>162.60143925551705</v>
      </c>
      <c r="I84">
        <f t="shared" ca="1" si="23"/>
        <v>152.19632682472883</v>
      </c>
      <c r="J84">
        <f t="shared" ca="1" si="12"/>
        <v>154.35</v>
      </c>
      <c r="K84">
        <f t="shared" ca="1" si="13"/>
        <v>1.4425853983660502</v>
      </c>
      <c r="L84">
        <f t="shared" ca="1" si="14"/>
        <v>157.23517079673209</v>
      </c>
      <c r="M84">
        <f t="shared" ca="1" si="15"/>
        <v>151.4648292032679</v>
      </c>
      <c r="N84">
        <f t="shared" ca="1" si="24"/>
        <v>-1.8799999999999955</v>
      </c>
      <c r="O84">
        <f t="shared" ca="1" si="25"/>
        <v>0</v>
      </c>
      <c r="P84">
        <f t="shared" ca="1" si="26"/>
        <v>1.8799999999999955</v>
      </c>
      <c r="Q84">
        <f t="shared" ca="1" si="30"/>
        <v>0.61214502562329898</v>
      </c>
      <c r="R84">
        <f t="shared" ca="1" si="31"/>
        <v>0.56692695175247254</v>
      </c>
      <c r="S84">
        <f t="shared" ca="1" si="28"/>
        <v>1.0797599650731886</v>
      </c>
      <c r="T84">
        <f t="shared" ca="1" si="29"/>
        <v>51.917528138166219</v>
      </c>
      <c r="U84">
        <f>70</f>
        <v>70</v>
      </c>
      <c r="V84">
        <f>30</f>
        <v>30</v>
      </c>
      <c r="W84">
        <f t="shared" ca="1" si="27"/>
        <v>155.21535198182232</v>
      </c>
      <c r="X84">
        <f t="shared" ca="1" si="17"/>
        <v>154.68364616940269</v>
      </c>
      <c r="Y84">
        <f t="shared" ca="1" si="16"/>
        <v>0.26613827220896269</v>
      </c>
      <c r="Z84">
        <f t="shared" ca="1" si="18"/>
        <v>0.20422804196295383</v>
      </c>
      <c r="AA84">
        <f t="shared" ca="1" si="19"/>
        <v>6.1910230246008863E-2</v>
      </c>
    </row>
    <row r="85" spans="1:27" x14ac:dyDescent="0.25">
      <c r="A85" s="20">
        <f t="shared" ca="1" si="20"/>
        <v>45824</v>
      </c>
      <c r="B85" vm="247">
        <f ca="1"/>
        <v>45825</v>
      </c>
      <c r="C85" vm="248">
        <f ca="1"/>
        <v>152.38</v>
      </c>
      <c r="D85" vm="249">
        <f ca="1"/>
        <v>6407098</v>
      </c>
      <c r="E85">
        <f t="shared" ca="1" si="21"/>
        <v>976313593.24000001</v>
      </c>
      <c r="F85">
        <f ca="1">SUM($E$2:E85)/SUM($D$2:D85)</f>
        <v>157.3569770662732</v>
      </c>
      <c r="G85">
        <f ca="1">_xlfn.STDEV.P($C$2:C85)</f>
        <v>5.20070862709332</v>
      </c>
      <c r="H85">
        <f t="shared" ca="1" si="22"/>
        <v>162.55768569336652</v>
      </c>
      <c r="I85">
        <f t="shared" ca="1" si="23"/>
        <v>152.15626843917988</v>
      </c>
      <c r="J85">
        <f t="shared" ca="1" si="12"/>
        <v>154.34449999999998</v>
      </c>
      <c r="K85">
        <f t="shared" ca="1" si="13"/>
        <v>1.4502394539124226</v>
      </c>
      <c r="L85">
        <f t="shared" ca="1" si="14"/>
        <v>157.24497890782482</v>
      </c>
      <c r="M85">
        <f t="shared" ca="1" si="15"/>
        <v>151.44402109217515</v>
      </c>
      <c r="N85">
        <f t="shared" ca="1" si="24"/>
        <v>-2.8400000000000034</v>
      </c>
      <c r="O85">
        <f t="shared" ca="1" si="25"/>
        <v>0</v>
      </c>
      <c r="P85">
        <f t="shared" ca="1" si="26"/>
        <v>2.8400000000000034</v>
      </c>
      <c r="Q85">
        <f t="shared" ca="1" si="30"/>
        <v>0.56842038093592051</v>
      </c>
      <c r="R85">
        <f t="shared" ca="1" si="31"/>
        <v>0.72928931234158179</v>
      </c>
      <c r="S85">
        <f t="shared" ca="1" si="28"/>
        <v>0.77941685325245236</v>
      </c>
      <c r="T85">
        <f t="shared" ca="1" si="29"/>
        <v>43.80181360133907</v>
      </c>
      <c r="U85">
        <f>70</f>
        <v>70</v>
      </c>
      <c r="V85">
        <f>30</f>
        <v>30</v>
      </c>
      <c r="W85">
        <f t="shared" ca="1" si="27"/>
        <v>154.77914398461888</v>
      </c>
      <c r="X85">
        <f t="shared" ca="1" si="17"/>
        <v>154.51300571240992</v>
      </c>
      <c r="Y85">
        <f t="shared" ca="1" si="16"/>
        <v>-7.6584310830270397E-2</v>
      </c>
      <c r="Z85">
        <f t="shared" ca="1" si="18"/>
        <v>0.14806557140430901</v>
      </c>
      <c r="AA85">
        <f t="shared" ca="1" si="19"/>
        <v>-0.22464988223457941</v>
      </c>
    </row>
    <row r="86" spans="1:27" x14ac:dyDescent="0.25">
      <c r="A86" s="20">
        <f t="shared" ca="1" si="20"/>
        <v>45824</v>
      </c>
      <c r="B86" vm="250">
        <f ca="1"/>
        <v>45826</v>
      </c>
      <c r="C86" vm="251">
        <f ca="1"/>
        <v>150.72999999999999</v>
      </c>
      <c r="D86" vm="252">
        <f ca="1"/>
        <v>8325237</v>
      </c>
      <c r="E86">
        <f t="shared" ca="1" si="21"/>
        <v>1254862973.01</v>
      </c>
      <c r="F86">
        <f ca="1">SUM($E$2:E86)/SUM($D$2:D86)</f>
        <v>157.28585028941339</v>
      </c>
      <c r="G86">
        <f ca="1">_xlfn.STDEV.P($C$2:C86)</f>
        <v>5.2197330799194646</v>
      </c>
      <c r="H86">
        <f t="shared" ca="1" si="22"/>
        <v>162.50558336933284</v>
      </c>
      <c r="I86">
        <f t="shared" ca="1" si="23"/>
        <v>152.06611720949394</v>
      </c>
      <c r="J86">
        <f t="shared" ref="J86:J149" ca="1" si="32">AVERAGE(C67:C86)</f>
        <v>154.19799999999998</v>
      </c>
      <c r="K86">
        <f t="shared" ref="K86:K149" ca="1" si="33">_xlfn.STDEV.S(C67:C86)</f>
        <v>1.6563676174721964</v>
      </c>
      <c r="L86">
        <f t="shared" ref="L86:L149" ca="1" si="34">J86 + 2*K86</f>
        <v>157.51073523494438</v>
      </c>
      <c r="M86">
        <f t="shared" ref="M86:M149" ca="1" si="35">J86-2*K86</f>
        <v>150.88526476505558</v>
      </c>
      <c r="N86">
        <f t="shared" ca="1" si="24"/>
        <v>-1.6500000000000057</v>
      </c>
      <c r="O86">
        <f t="shared" ca="1" si="25"/>
        <v>0</v>
      </c>
      <c r="P86">
        <f t="shared" ca="1" si="26"/>
        <v>1.6500000000000057</v>
      </c>
      <c r="Q86">
        <f t="shared" ca="1" si="30"/>
        <v>0.52781892515478335</v>
      </c>
      <c r="R86">
        <f t="shared" ca="1" si="31"/>
        <v>0.79505436146004071</v>
      </c>
      <c r="S86">
        <f t="shared" ca="1" si="28"/>
        <v>0.66387778086707772</v>
      </c>
      <c r="T86">
        <f t="shared" ca="1" si="29"/>
        <v>39.8994318273256</v>
      </c>
      <c r="U86">
        <f>70</f>
        <v>70</v>
      </c>
      <c r="V86">
        <f>30</f>
        <v>30</v>
      </c>
      <c r="W86">
        <f t="shared" ca="1" si="27"/>
        <v>154.15619875621596</v>
      </c>
      <c r="X86">
        <f t="shared" ca="1" si="17"/>
        <v>154.23278306704623</v>
      </c>
      <c r="Y86">
        <f t="shared" ca="1" si="16"/>
        <v>-0.41921215439853654</v>
      </c>
      <c r="Z86">
        <f t="shared" ca="1" si="18"/>
        <v>3.4610026243739891E-2</v>
      </c>
      <c r="AA86">
        <f t="shared" ca="1" si="19"/>
        <v>-0.45382218064227642</v>
      </c>
    </row>
    <row r="87" spans="1:27" x14ac:dyDescent="0.25">
      <c r="A87" s="20">
        <f t="shared" ca="1" si="20"/>
        <v>45824</v>
      </c>
      <c r="B87" vm="253">
        <f ca="1"/>
        <v>45828</v>
      </c>
      <c r="C87" vm="254">
        <f ca="1"/>
        <v>149.79</v>
      </c>
      <c r="D87" vm="255">
        <f ca="1"/>
        <v>22605471</v>
      </c>
      <c r="E87">
        <f t="shared" ca="1" si="21"/>
        <v>3386073501.0899997</v>
      </c>
      <c r="F87">
        <f ca="1">SUM($E$2:E87)/SUM($D$2:D87)</f>
        <v>157.07358460747241</v>
      </c>
      <c r="G87">
        <f ca="1">_xlfn.STDEV.P($C$2:C87)</f>
        <v>5.2516511310718119</v>
      </c>
      <c r="H87">
        <f t="shared" ca="1" si="22"/>
        <v>162.32523573854422</v>
      </c>
      <c r="I87">
        <f t="shared" ca="1" si="23"/>
        <v>151.8219334764006</v>
      </c>
      <c r="J87">
        <f t="shared" ca="1" si="32"/>
        <v>154.02850000000001</v>
      </c>
      <c r="K87">
        <f t="shared" ca="1" si="33"/>
        <v>1.9187037153683781</v>
      </c>
      <c r="L87">
        <f t="shared" ca="1" si="34"/>
        <v>157.86590743073677</v>
      </c>
      <c r="M87">
        <f t="shared" ca="1" si="35"/>
        <v>150.19109256926325</v>
      </c>
      <c r="N87">
        <f t="shared" ca="1" si="24"/>
        <v>-0.93999999999999773</v>
      </c>
      <c r="O87">
        <f t="shared" ca="1" si="25"/>
        <v>0</v>
      </c>
      <c r="P87">
        <f t="shared" ca="1" si="26"/>
        <v>0.93999999999999773</v>
      </c>
      <c r="Q87">
        <f t="shared" ca="1" si="30"/>
        <v>0.49011757335801309</v>
      </c>
      <c r="R87">
        <f t="shared" ca="1" si="31"/>
        <v>0.80540762135575183</v>
      </c>
      <c r="S87">
        <f t="shared" ca="1" si="28"/>
        <v>0.60853356780134837</v>
      </c>
      <c r="T87">
        <f t="shared" ca="1" si="29"/>
        <v>37.831574048723951</v>
      </c>
      <c r="U87">
        <f>70</f>
        <v>70</v>
      </c>
      <c r="V87">
        <f>30</f>
        <v>30</v>
      </c>
      <c r="W87">
        <f t="shared" ca="1" si="27"/>
        <v>153.48447587064427</v>
      </c>
      <c r="X87">
        <f t="shared" ca="1" si="17"/>
        <v>153.90368802504281</v>
      </c>
      <c r="Y87">
        <f t="shared" ca="1" si="16"/>
        <v>-0.56082414403863368</v>
      </c>
      <c r="Z87">
        <f t="shared" ca="1" si="18"/>
        <v>-8.4476807812734825E-2</v>
      </c>
      <c r="AA87">
        <f t="shared" ca="1" si="19"/>
        <v>-0.47634733622589887</v>
      </c>
    </row>
    <row r="88" spans="1:27" x14ac:dyDescent="0.25">
      <c r="A88" s="20">
        <f t="shared" ca="1" si="20"/>
        <v>45831</v>
      </c>
      <c r="B88" vm="256">
        <f ca="1"/>
        <v>45831</v>
      </c>
      <c r="C88" vm="257">
        <f ca="1"/>
        <v>151.32</v>
      </c>
      <c r="D88" vm="258">
        <f ca="1"/>
        <v>7397853</v>
      </c>
      <c r="E88">
        <f t="shared" ca="1" si="21"/>
        <v>1119443115.96</v>
      </c>
      <c r="F88">
        <f ca="1">SUM($E$2:E88)/SUM($D$2:D88)</f>
        <v>157.02075427546811</v>
      </c>
      <c r="G88">
        <f ca="1">_xlfn.STDEV.P($C$2:C88)</f>
        <v>5.2592344695504405</v>
      </c>
      <c r="H88">
        <f t="shared" ca="1" si="22"/>
        <v>162.27998874501856</v>
      </c>
      <c r="I88">
        <f t="shared" ca="1" si="23"/>
        <v>151.76151980591766</v>
      </c>
      <c r="J88">
        <f t="shared" ca="1" si="32"/>
        <v>153.964</v>
      </c>
      <c r="K88">
        <f t="shared" ca="1" si="33"/>
        <v>1.9892828647001097</v>
      </c>
      <c r="L88">
        <f t="shared" ca="1" si="34"/>
        <v>157.94256572940023</v>
      </c>
      <c r="M88">
        <f t="shared" ca="1" si="35"/>
        <v>149.98543427059977</v>
      </c>
      <c r="N88">
        <f t="shared" ca="1" si="24"/>
        <v>1.5300000000000011</v>
      </c>
      <c r="O88">
        <f t="shared" ca="1" si="25"/>
        <v>1.5300000000000011</v>
      </c>
      <c r="P88">
        <f t="shared" ca="1" si="26"/>
        <v>0</v>
      </c>
      <c r="Q88">
        <f t="shared" ca="1" si="30"/>
        <v>0.56439488954672645</v>
      </c>
      <c r="R88">
        <f t="shared" ca="1" si="31"/>
        <v>0.74787850554462665</v>
      </c>
      <c r="S88">
        <f t="shared" ca="1" si="28"/>
        <v>0.75466119879420501</v>
      </c>
      <c r="T88">
        <f t="shared" ca="1" si="29"/>
        <v>43.008940946138473</v>
      </c>
      <c r="U88">
        <f>70</f>
        <v>70</v>
      </c>
      <c r="V88">
        <f>30</f>
        <v>30</v>
      </c>
      <c r="W88">
        <f t="shared" ca="1" si="27"/>
        <v>153.15147958285286</v>
      </c>
      <c r="X88">
        <f t="shared" ca="1" si="17"/>
        <v>153.71230372689149</v>
      </c>
      <c r="Y88">
        <f t="shared" ca="1" si="16"/>
        <v>-0.59598084083316394</v>
      </c>
      <c r="Z88">
        <f t="shared" ca="1" si="18"/>
        <v>-0.18677761441682067</v>
      </c>
      <c r="AA88">
        <f t="shared" ca="1" si="19"/>
        <v>-0.40920322641634327</v>
      </c>
    </row>
    <row r="89" spans="1:27" x14ac:dyDescent="0.25">
      <c r="A89" s="20">
        <f t="shared" ca="1" si="20"/>
        <v>45831</v>
      </c>
      <c r="B89" vm="259">
        <f ca="1"/>
        <v>45832</v>
      </c>
      <c r="C89" vm="260">
        <f ca="1"/>
        <v>152.19</v>
      </c>
      <c r="D89" vm="261">
        <f ca="1"/>
        <v>9544217</v>
      </c>
      <c r="E89">
        <f t="shared" ca="1" si="21"/>
        <v>1452534385.23</v>
      </c>
      <c r="F89">
        <f ca="1">SUM($E$2:E89)/SUM($D$2:D89)</f>
        <v>156.9641981198024</v>
      </c>
      <c r="G89">
        <f ca="1">_xlfn.STDEV.P($C$2:C89)</f>
        <v>5.2557446728428223</v>
      </c>
      <c r="H89">
        <f t="shared" ca="1" si="22"/>
        <v>162.21994279264521</v>
      </c>
      <c r="I89">
        <f t="shared" ca="1" si="23"/>
        <v>151.7084534469596</v>
      </c>
      <c r="J89">
        <f t="shared" ca="1" si="32"/>
        <v>153.9265</v>
      </c>
      <c r="K89">
        <f t="shared" ca="1" si="33"/>
        <v>2.016485413052282</v>
      </c>
      <c r="L89">
        <f t="shared" ca="1" si="34"/>
        <v>157.95947082610456</v>
      </c>
      <c r="M89">
        <f t="shared" ca="1" si="35"/>
        <v>149.89352917389544</v>
      </c>
      <c r="N89">
        <f t="shared" ca="1" si="24"/>
        <v>0.87000000000000455</v>
      </c>
      <c r="O89">
        <f t="shared" ca="1" si="25"/>
        <v>0.87000000000000455</v>
      </c>
      <c r="P89">
        <f t="shared" ca="1" si="26"/>
        <v>0</v>
      </c>
      <c r="Q89">
        <f t="shared" ca="1" si="30"/>
        <v>0.58622382600767486</v>
      </c>
      <c r="R89">
        <f t="shared" ca="1" si="31"/>
        <v>0.69445861229143901</v>
      </c>
      <c r="S89">
        <f t="shared" ca="1" si="28"/>
        <v>0.84414508745649774</v>
      </c>
      <c r="T89">
        <f t="shared" ca="1" si="29"/>
        <v>45.774331596694971</v>
      </c>
      <c r="U89">
        <f>70</f>
        <v>70</v>
      </c>
      <c r="V89">
        <f>30</f>
        <v>30</v>
      </c>
      <c r="W89">
        <f t="shared" ca="1" si="27"/>
        <v>153.00355964702933</v>
      </c>
      <c r="X89">
        <f t="shared" ca="1" si="17"/>
        <v>153.5995404878625</v>
      </c>
      <c r="Y89">
        <f t="shared" ca="1" si="16"/>
        <v>-0.60955396976527254</v>
      </c>
      <c r="Z89">
        <f t="shared" ca="1" si="18"/>
        <v>-0.27133288548651102</v>
      </c>
      <c r="AA89">
        <f t="shared" ca="1" si="19"/>
        <v>-0.33822108427876152</v>
      </c>
    </row>
    <row r="90" spans="1:27" x14ac:dyDescent="0.25">
      <c r="A90" s="20">
        <f t="shared" ca="1" si="20"/>
        <v>45831</v>
      </c>
      <c r="B90" vm="262">
        <f ca="1"/>
        <v>45833</v>
      </c>
      <c r="C90" vm="263">
        <f ca="1"/>
        <v>152.28</v>
      </c>
      <c r="D90" vm="264">
        <f ca="1"/>
        <v>7153708</v>
      </c>
      <c r="E90">
        <f t="shared" ca="1" si="21"/>
        <v>1089366654.24</v>
      </c>
      <c r="F90">
        <f ca="1">SUM($E$2:E90)/SUM($D$2:D90)</f>
        <v>156.92345101960581</v>
      </c>
      <c r="G90">
        <f ca="1">_xlfn.STDEV.P($C$2:C90)</f>
        <v>5.2508166190866792</v>
      </c>
      <c r="H90">
        <f t="shared" ca="1" si="22"/>
        <v>162.1742676386925</v>
      </c>
      <c r="I90">
        <f t="shared" ca="1" si="23"/>
        <v>151.67263440051912</v>
      </c>
      <c r="J90">
        <f t="shared" ca="1" si="32"/>
        <v>153.87800000000001</v>
      </c>
      <c r="K90">
        <f t="shared" ca="1" si="33"/>
        <v>2.045075214161804</v>
      </c>
      <c r="L90">
        <f t="shared" ca="1" si="34"/>
        <v>157.96815042832361</v>
      </c>
      <c r="M90">
        <f t="shared" ca="1" si="35"/>
        <v>149.78784957167642</v>
      </c>
      <c r="N90">
        <f t="shared" ca="1" si="24"/>
        <v>9.0000000000003411E-2</v>
      </c>
      <c r="O90">
        <f t="shared" ca="1" si="25"/>
        <v>9.0000000000003411E-2</v>
      </c>
      <c r="P90">
        <f t="shared" ca="1" si="26"/>
        <v>0</v>
      </c>
      <c r="Q90">
        <f t="shared" ca="1" si="30"/>
        <v>0.55077926700712687</v>
      </c>
      <c r="R90">
        <f t="shared" ca="1" si="31"/>
        <v>0.64485442569919338</v>
      </c>
      <c r="S90">
        <f t="shared" ca="1" si="28"/>
        <v>0.85411411484062616</v>
      </c>
      <c r="T90">
        <f t="shared" ca="1" si="29"/>
        <v>46.065887099621328</v>
      </c>
      <c r="U90">
        <f>70</f>
        <v>70</v>
      </c>
      <c r="V90">
        <f>30</f>
        <v>30</v>
      </c>
      <c r="W90">
        <f t="shared" ca="1" si="27"/>
        <v>152.89224277825556</v>
      </c>
      <c r="X90">
        <f t="shared" ca="1" si="17"/>
        <v>153.50179674802084</v>
      </c>
      <c r="Y90">
        <f t="shared" ca="1" si="16"/>
        <v>-0.63478016514210367</v>
      </c>
      <c r="Z90">
        <f t="shared" ca="1" si="18"/>
        <v>-0.34402234141762955</v>
      </c>
      <c r="AA90">
        <f t="shared" ca="1" si="19"/>
        <v>-0.29075782372447412</v>
      </c>
    </row>
    <row r="91" spans="1:27" x14ac:dyDescent="0.25">
      <c r="A91" s="20">
        <f t="shared" ca="1" si="20"/>
        <v>45831</v>
      </c>
      <c r="B91" vm="265">
        <f ca="1"/>
        <v>45834</v>
      </c>
      <c r="C91" vm="266">
        <f ca="1"/>
        <v>152.01</v>
      </c>
      <c r="D91" vm="267">
        <f ca="1"/>
        <v>7156903</v>
      </c>
      <c r="E91">
        <f t="shared" ca="1" si="21"/>
        <v>1087920825.03</v>
      </c>
      <c r="F91">
        <f ca="1">SUM($E$2:E91)/SUM($D$2:D91)</f>
        <v>156.88105951709852</v>
      </c>
      <c r="G91">
        <f ca="1">_xlfn.STDEV.P($C$2:C91)</f>
        <v>5.248225530807745</v>
      </c>
      <c r="H91">
        <f t="shared" ca="1" si="22"/>
        <v>162.12928504790628</v>
      </c>
      <c r="I91">
        <f t="shared" ca="1" si="23"/>
        <v>151.63283398629076</v>
      </c>
      <c r="J91">
        <f t="shared" ca="1" si="32"/>
        <v>153.85700000000003</v>
      </c>
      <c r="K91">
        <f t="shared" ca="1" si="33"/>
        <v>2.0628062133133627</v>
      </c>
      <c r="L91">
        <f t="shared" ca="1" si="34"/>
        <v>157.98261242662676</v>
      </c>
      <c r="M91">
        <f t="shared" ca="1" si="35"/>
        <v>149.7313875733733</v>
      </c>
      <c r="N91">
        <f t="shared" ca="1" si="24"/>
        <v>-0.27000000000001023</v>
      </c>
      <c r="O91">
        <f t="shared" ca="1" si="25"/>
        <v>0</v>
      </c>
      <c r="P91">
        <f t="shared" ca="1" si="26"/>
        <v>0.27000000000001023</v>
      </c>
      <c r="Q91">
        <f t="shared" ca="1" si="30"/>
        <v>0.51143789079233204</v>
      </c>
      <c r="R91">
        <f t="shared" ca="1" si="31"/>
        <v>0.61807910957782319</v>
      </c>
      <c r="S91">
        <f t="shared" ca="1" si="28"/>
        <v>0.82746347978281931</v>
      </c>
      <c r="T91">
        <f t="shared" ca="1" si="29"/>
        <v>45.279344235166732</v>
      </c>
      <c r="U91">
        <f>70</f>
        <v>70</v>
      </c>
      <c r="V91">
        <f>30</f>
        <v>30</v>
      </c>
      <c r="W91">
        <f t="shared" ca="1" si="27"/>
        <v>152.75651312006238</v>
      </c>
      <c r="X91">
        <f t="shared" ca="1" si="17"/>
        <v>153.39129328520448</v>
      </c>
      <c r="Y91">
        <f t="shared" ca="1" si="16"/>
        <v>-0.61540148442426812</v>
      </c>
      <c r="Z91">
        <f t="shared" ca="1" si="18"/>
        <v>-0.39829817001895729</v>
      </c>
      <c r="AA91">
        <f t="shared" ca="1" si="19"/>
        <v>-0.21710331440531083</v>
      </c>
    </row>
    <row r="92" spans="1:27" x14ac:dyDescent="0.25">
      <c r="A92" s="20">
        <f t="shared" ca="1" si="20"/>
        <v>45831</v>
      </c>
      <c r="B92" vm="268">
        <f ca="1"/>
        <v>45835</v>
      </c>
      <c r="C92" vm="269">
        <f ca="1"/>
        <v>152.41</v>
      </c>
      <c r="D92" vm="270">
        <f ca="1"/>
        <v>10010787</v>
      </c>
      <c r="E92">
        <f t="shared" ca="1" si="21"/>
        <v>1525744046.6700001</v>
      </c>
      <c r="F92">
        <f ca="1">SUM($E$2:E92)/SUM($D$2:D92)</f>
        <v>156.82774616047661</v>
      </c>
      <c r="G92">
        <f ca="1">_xlfn.STDEV.P($C$2:C92)</f>
        <v>5.2411448877446229</v>
      </c>
      <c r="H92">
        <f t="shared" ca="1" si="22"/>
        <v>162.06889104822122</v>
      </c>
      <c r="I92">
        <f t="shared" ca="1" si="23"/>
        <v>151.586601272732</v>
      </c>
      <c r="J92">
        <f t="shared" ca="1" si="32"/>
        <v>153.79850000000002</v>
      </c>
      <c r="K92">
        <f t="shared" ca="1" si="33"/>
        <v>2.0875174755020183</v>
      </c>
      <c r="L92">
        <f t="shared" ca="1" si="34"/>
        <v>157.97353495100407</v>
      </c>
      <c r="M92">
        <f t="shared" ca="1" si="35"/>
        <v>149.62346504899597</v>
      </c>
      <c r="N92">
        <f t="shared" ca="1" si="24"/>
        <v>0.40000000000000568</v>
      </c>
      <c r="O92">
        <f t="shared" ca="1" si="25"/>
        <v>0.40000000000000568</v>
      </c>
      <c r="P92">
        <f t="shared" ca="1" si="26"/>
        <v>0</v>
      </c>
      <c r="Q92">
        <f t="shared" ca="1" si="30"/>
        <v>0.50347804145002306</v>
      </c>
      <c r="R92">
        <f t="shared" ca="1" si="31"/>
        <v>0.57393060175083577</v>
      </c>
      <c r="S92">
        <f t="shared" ca="1" si="28"/>
        <v>0.87724550653704514</v>
      </c>
      <c r="T92">
        <f t="shared" ca="1" si="29"/>
        <v>46.730462450556075</v>
      </c>
      <c r="U92">
        <f>70</f>
        <v>70</v>
      </c>
      <c r="V92">
        <f>30</f>
        <v>30</v>
      </c>
      <c r="W92">
        <f t="shared" ca="1" si="27"/>
        <v>152.70320340928356</v>
      </c>
      <c r="X92">
        <f t="shared" ca="1" si="17"/>
        <v>153.31860489370783</v>
      </c>
      <c r="Y92">
        <f t="shared" ref="Y92:Y155" ca="1" si="36">W93-X93</f>
        <v>-0.56608312791402682</v>
      </c>
      <c r="Z92">
        <f t="shared" ca="1" si="18"/>
        <v>-0.43185516159797122</v>
      </c>
      <c r="AA92">
        <f t="shared" ca="1" si="19"/>
        <v>-0.1342279663160556</v>
      </c>
    </row>
    <row r="93" spans="1:27" x14ac:dyDescent="0.25">
      <c r="A93" s="20">
        <f t="shared" ca="1" si="20"/>
        <v>45838</v>
      </c>
      <c r="B93" vm="271">
        <f ca="1"/>
        <v>45838</v>
      </c>
      <c r="C93" vm="272">
        <f ca="1"/>
        <v>152.75</v>
      </c>
      <c r="D93" vm="273">
        <f ca="1"/>
        <v>9039552</v>
      </c>
      <c r="E93">
        <f t="shared" ca="1" si="21"/>
        <v>1380791568</v>
      </c>
      <c r="F93">
        <f ca="1">SUM($E$2:E93)/SUM($D$2:D93)</f>
        <v>156.78430781317104</v>
      </c>
      <c r="G93">
        <f ca="1">_xlfn.STDEV.P($C$2:C93)</f>
        <v>5.2306908424708576</v>
      </c>
      <c r="H93">
        <f t="shared" ca="1" si="22"/>
        <v>162.0149986556419</v>
      </c>
      <c r="I93">
        <f t="shared" ca="1" si="23"/>
        <v>151.55361697070018</v>
      </c>
      <c r="J93">
        <f t="shared" ca="1" si="32"/>
        <v>153.6755</v>
      </c>
      <c r="K93">
        <f t="shared" ca="1" si="33"/>
        <v>2.0723911310368037</v>
      </c>
      <c r="L93">
        <f t="shared" ca="1" si="34"/>
        <v>157.82028226207362</v>
      </c>
      <c r="M93">
        <f t="shared" ca="1" si="35"/>
        <v>149.53071773792638</v>
      </c>
      <c r="N93">
        <f t="shared" ca="1" si="24"/>
        <v>0.34000000000000341</v>
      </c>
      <c r="O93">
        <f t="shared" ca="1" si="25"/>
        <v>0.34000000000000341</v>
      </c>
      <c r="P93">
        <f t="shared" ca="1" si="26"/>
        <v>0</v>
      </c>
      <c r="Q93">
        <f t="shared" ca="1" si="30"/>
        <v>0.4918010384893074</v>
      </c>
      <c r="R93">
        <f t="shared" ca="1" si="31"/>
        <v>0.53293555876863319</v>
      </c>
      <c r="S93">
        <f t="shared" ca="1" si="28"/>
        <v>0.92281520795052863</v>
      </c>
      <c r="T93">
        <f t="shared" ca="1" si="29"/>
        <v>47.992922259759425</v>
      </c>
      <c r="U93">
        <f>70</f>
        <v>70</v>
      </c>
      <c r="V93">
        <f>30</f>
        <v>30</v>
      </c>
      <c r="W93">
        <f t="shared" ca="1" si="27"/>
        <v>152.7104028847784</v>
      </c>
      <c r="X93">
        <f t="shared" ref="X93:X156" ca="1" si="37">C93*(2/(26+1)) + X92*(1-(2/(26+1)))</f>
        <v>153.27648601269243</v>
      </c>
      <c r="Y93">
        <f t="shared" ca="1" si="36"/>
        <v>-0.26811480725316983</v>
      </c>
      <c r="Z93">
        <f t="shared" ca="1" si="18"/>
        <v>-0.39910709072901096</v>
      </c>
      <c r="AA93">
        <f t="shared" ca="1" si="19"/>
        <v>0.13099228347584113</v>
      </c>
    </row>
    <row r="94" spans="1:27" x14ac:dyDescent="0.25">
      <c r="A94" s="20">
        <f t="shared" ca="1" si="20"/>
        <v>45838</v>
      </c>
      <c r="B94" vm="274">
        <f ca="1"/>
        <v>45839</v>
      </c>
      <c r="C94" vm="275">
        <f ca="1"/>
        <v>155.91999999999999</v>
      </c>
      <c r="D94" vm="276">
        <f ca="1"/>
        <v>10896676</v>
      </c>
      <c r="E94">
        <f t="shared" ca="1" si="21"/>
        <v>1699009721.9199998</v>
      </c>
      <c r="F94">
        <f ca="1">SUM($E$2:E94)/SUM($D$2:D94)</f>
        <v>156.77334991187197</v>
      </c>
      <c r="G94">
        <f ca="1">_xlfn.STDEV.P($C$2:C94)</f>
        <v>5.2034713081516841</v>
      </c>
      <c r="H94">
        <f t="shared" ca="1" si="22"/>
        <v>161.97682122002365</v>
      </c>
      <c r="I94">
        <f t="shared" ca="1" si="23"/>
        <v>151.5698786037203</v>
      </c>
      <c r="J94">
        <f t="shared" ca="1" si="32"/>
        <v>153.70150000000004</v>
      </c>
      <c r="K94">
        <f t="shared" ca="1" si="33"/>
        <v>2.0982656371895634</v>
      </c>
      <c r="L94">
        <f t="shared" ca="1" si="34"/>
        <v>157.89803127437918</v>
      </c>
      <c r="M94">
        <f t="shared" ca="1" si="35"/>
        <v>149.5049687256209</v>
      </c>
      <c r="N94">
        <f t="shared" ca="1" si="24"/>
        <v>3.1699999999999875</v>
      </c>
      <c r="O94">
        <f t="shared" ca="1" si="25"/>
        <v>3.1699999999999875</v>
      </c>
      <c r="P94">
        <f t="shared" ca="1" si="26"/>
        <v>0</v>
      </c>
      <c r="Q94">
        <f t="shared" ca="1" si="30"/>
        <v>0.6831009643114988</v>
      </c>
      <c r="R94">
        <f t="shared" ca="1" si="31"/>
        <v>0.49486873314230223</v>
      </c>
      <c r="S94">
        <f t="shared" ca="1" si="28"/>
        <v>1.3803680017809274</v>
      </c>
      <c r="T94">
        <f t="shared" ca="1" si="29"/>
        <v>57.98968902069651</v>
      </c>
      <c r="U94">
        <f>70</f>
        <v>70</v>
      </c>
      <c r="V94">
        <f>30</f>
        <v>30</v>
      </c>
      <c r="W94">
        <f t="shared" ca="1" si="27"/>
        <v>153.20418705635095</v>
      </c>
      <c r="X94">
        <f t="shared" ca="1" si="37"/>
        <v>153.47230186360412</v>
      </c>
      <c r="Y94">
        <f t="shared" ca="1" si="36"/>
        <v>-6.0326353091483043E-2</v>
      </c>
      <c r="Z94">
        <f t="shared" ca="1" si="18"/>
        <v>-0.33135094320150538</v>
      </c>
      <c r="AA94">
        <f t="shared" ca="1" si="19"/>
        <v>0.27102459011002233</v>
      </c>
    </row>
    <row r="95" spans="1:27" x14ac:dyDescent="0.25">
      <c r="A95" s="20">
        <f t="shared" ca="1" si="20"/>
        <v>45838</v>
      </c>
      <c r="B95" vm="277">
        <f ca="1"/>
        <v>45840</v>
      </c>
      <c r="C95" vm="278">
        <f ca="1"/>
        <v>155.56</v>
      </c>
      <c r="D95" vm="279">
        <f ca="1"/>
        <v>5544030</v>
      </c>
      <c r="E95">
        <f t="shared" ca="1" si="21"/>
        <v>862429306.80000007</v>
      </c>
      <c r="F95">
        <f ca="1">SUM($E$2:E95)/SUM($D$2:D95)</f>
        <v>156.76557341250933</v>
      </c>
      <c r="G95">
        <f ca="1">_xlfn.STDEV.P($C$2:C95)</f>
        <v>5.1775117214374777</v>
      </c>
      <c r="H95">
        <f t="shared" ca="1" si="22"/>
        <v>161.94308513394679</v>
      </c>
      <c r="I95">
        <f t="shared" ca="1" si="23"/>
        <v>151.58806169107186</v>
      </c>
      <c r="J95">
        <f t="shared" ca="1" si="32"/>
        <v>153.75849999999997</v>
      </c>
      <c r="K95">
        <f t="shared" ca="1" si="33"/>
        <v>2.133991256826167</v>
      </c>
      <c r="L95">
        <f t="shared" ca="1" si="34"/>
        <v>158.0264825136523</v>
      </c>
      <c r="M95">
        <f t="shared" ca="1" si="35"/>
        <v>149.49051748634764</v>
      </c>
      <c r="N95">
        <f t="shared" ca="1" si="24"/>
        <v>-0.35999999999998522</v>
      </c>
      <c r="O95">
        <f t="shared" ca="1" si="25"/>
        <v>0</v>
      </c>
      <c r="P95">
        <f t="shared" ca="1" si="26"/>
        <v>0.35999999999998522</v>
      </c>
      <c r="Q95">
        <f t="shared" ca="1" si="30"/>
        <v>0.63430803828924887</v>
      </c>
      <c r="R95">
        <f t="shared" ca="1" si="31"/>
        <v>0.48523525220356534</v>
      </c>
      <c r="S95">
        <f t="shared" ca="1" si="28"/>
        <v>1.3072175515045734</v>
      </c>
      <c r="T95">
        <f t="shared" ca="1" si="29"/>
        <v>56.657749966062624</v>
      </c>
      <c r="U95">
        <f>70</f>
        <v>70</v>
      </c>
      <c r="V95">
        <f>30</f>
        <v>30</v>
      </c>
      <c r="W95">
        <f t="shared" ca="1" si="27"/>
        <v>153.56661981691232</v>
      </c>
      <c r="X95">
        <f t="shared" ca="1" si="37"/>
        <v>153.62694617000381</v>
      </c>
      <c r="Y95">
        <f t="shared" ca="1" si="36"/>
        <v>0.13905578453483258</v>
      </c>
      <c r="Z95">
        <f t="shared" ca="1" si="18"/>
        <v>-0.23726959765423783</v>
      </c>
      <c r="AA95">
        <f t="shared" ca="1" si="19"/>
        <v>0.37632538218907041</v>
      </c>
    </row>
    <row r="96" spans="1:27" x14ac:dyDescent="0.25">
      <c r="A96" s="20">
        <f t="shared" ca="1" si="20"/>
        <v>45838</v>
      </c>
      <c r="B96" vm="280">
        <f ca="1"/>
        <v>45841</v>
      </c>
      <c r="C96" vm="281">
        <f ca="1"/>
        <v>156.01</v>
      </c>
      <c r="D96" vm="282">
        <f ca="1"/>
        <v>3482521</v>
      </c>
      <c r="E96">
        <f t="shared" ca="1" si="21"/>
        <v>543308101.20999992</v>
      </c>
      <c r="F96">
        <f ca="1">SUM($E$2:E96)/SUM($D$2:D96)</f>
        <v>156.76254372394087</v>
      </c>
      <c r="G96">
        <f ca="1">_xlfn.STDEV.P($C$2:C96)</f>
        <v>5.1509438706903792</v>
      </c>
      <c r="H96">
        <f t="shared" ca="1" si="22"/>
        <v>161.91348759463125</v>
      </c>
      <c r="I96">
        <f t="shared" ca="1" si="23"/>
        <v>151.61159985325048</v>
      </c>
      <c r="J96">
        <f t="shared" ca="1" si="32"/>
        <v>153.89799999999997</v>
      </c>
      <c r="K96">
        <f t="shared" ca="1" si="33"/>
        <v>2.1874585108847446</v>
      </c>
      <c r="L96">
        <f t="shared" ca="1" si="34"/>
        <v>158.27291702176944</v>
      </c>
      <c r="M96">
        <f t="shared" ca="1" si="35"/>
        <v>149.52308297823049</v>
      </c>
      <c r="N96">
        <f t="shared" ca="1" si="24"/>
        <v>0.44999999999998863</v>
      </c>
      <c r="O96">
        <f t="shared" ca="1" si="25"/>
        <v>0.44999999999998863</v>
      </c>
      <c r="P96">
        <f t="shared" ca="1" si="26"/>
        <v>0</v>
      </c>
      <c r="Q96">
        <f t="shared" ca="1" si="30"/>
        <v>0.62114317841144462</v>
      </c>
      <c r="R96">
        <f t="shared" ca="1" si="31"/>
        <v>0.45057559133188213</v>
      </c>
      <c r="S96">
        <f t="shared" ca="1" si="28"/>
        <v>1.3785548759429511</v>
      </c>
      <c r="T96">
        <f t="shared" ca="1" si="29"/>
        <v>57.957665382701705</v>
      </c>
      <c r="U96">
        <f>70</f>
        <v>70</v>
      </c>
      <c r="V96">
        <f>30</f>
        <v>30</v>
      </c>
      <c r="W96">
        <f t="shared" ca="1" si="27"/>
        <v>153.94252446046428</v>
      </c>
      <c r="X96">
        <f t="shared" ca="1" si="37"/>
        <v>153.80346867592945</v>
      </c>
      <c r="Y96">
        <f t="shared" ca="1" si="36"/>
        <v>0.23465084068610054</v>
      </c>
      <c r="Z96">
        <f t="shared" ca="1" si="18"/>
        <v>-0.14288550998617017</v>
      </c>
      <c r="AA96">
        <f t="shared" ca="1" si="19"/>
        <v>0.3775363506722707</v>
      </c>
    </row>
    <row r="97" spans="1:28" x14ac:dyDescent="0.25">
      <c r="A97" s="20">
        <f t="shared" ca="1" si="20"/>
        <v>45845</v>
      </c>
      <c r="B97" vm="283">
        <f ca="1"/>
        <v>45845</v>
      </c>
      <c r="C97" vm="284">
        <f ca="1"/>
        <v>155.27000000000001</v>
      </c>
      <c r="D97" vm="285">
        <f ca="1"/>
        <v>6270887</v>
      </c>
      <c r="E97">
        <f t="shared" ca="1" si="21"/>
        <v>973680624.49000001</v>
      </c>
      <c r="F97">
        <f ca="1">SUM($E$2:E97)/SUM($D$2:D97)</f>
        <v>156.75184433106253</v>
      </c>
      <c r="G97">
        <f ca="1">_xlfn.STDEV.P($C$2:C97)</f>
        <v>5.1266029240845867</v>
      </c>
      <c r="H97">
        <f t="shared" ca="1" si="22"/>
        <v>161.87844725514711</v>
      </c>
      <c r="I97">
        <f t="shared" ca="1" si="23"/>
        <v>151.62524140697795</v>
      </c>
      <c r="J97">
        <f t="shared" ca="1" si="32"/>
        <v>153.97849999999997</v>
      </c>
      <c r="K97">
        <f t="shared" ca="1" si="33"/>
        <v>2.2077692361295371</v>
      </c>
      <c r="L97">
        <f t="shared" ca="1" si="34"/>
        <v>158.39403847225904</v>
      </c>
      <c r="M97">
        <f t="shared" ca="1" si="35"/>
        <v>149.5629615277409</v>
      </c>
      <c r="N97">
        <f t="shared" ca="1" si="24"/>
        <v>-0.73999999999998067</v>
      </c>
      <c r="O97">
        <f t="shared" ca="1" si="25"/>
        <v>0</v>
      </c>
      <c r="P97">
        <f t="shared" ca="1" si="26"/>
        <v>0.73999999999998067</v>
      </c>
      <c r="Q97">
        <f t="shared" ca="1" si="30"/>
        <v>0.57677580852491295</v>
      </c>
      <c r="R97">
        <f t="shared" ca="1" si="31"/>
        <v>0.47124876337960347</v>
      </c>
      <c r="S97">
        <f t="shared" ca="1" si="28"/>
        <v>1.2239306568966095</v>
      </c>
      <c r="T97">
        <f t="shared" ca="1" si="29"/>
        <v>55.034569225487765</v>
      </c>
      <c r="U97">
        <f>70</f>
        <v>70</v>
      </c>
      <c r="V97">
        <f>30</f>
        <v>30</v>
      </c>
      <c r="W97">
        <f t="shared" ca="1" si="27"/>
        <v>154.1467514665467</v>
      </c>
      <c r="X97">
        <f t="shared" ca="1" si="37"/>
        <v>153.9121006258606</v>
      </c>
      <c r="Y97">
        <f t="shared" ca="1" si="36"/>
        <v>0.34835465002760202</v>
      </c>
      <c r="Z97">
        <f t="shared" ca="1" si="18"/>
        <v>-4.4637477983415733E-2</v>
      </c>
      <c r="AA97">
        <f t="shared" ca="1" si="19"/>
        <v>0.39299212801101774</v>
      </c>
    </row>
    <row r="98" spans="1:28" x14ac:dyDescent="0.25">
      <c r="A98" s="20">
        <f t="shared" ca="1" si="20"/>
        <v>45845</v>
      </c>
      <c r="B98" vm="286">
        <f ca="1"/>
        <v>45846</v>
      </c>
      <c r="C98" vm="287">
        <f ca="1"/>
        <v>155.79</v>
      </c>
      <c r="D98" vm="288">
        <f ca="1"/>
        <v>6438221</v>
      </c>
      <c r="E98">
        <f t="shared" ca="1" si="21"/>
        <v>1003010449.5899999</v>
      </c>
      <c r="F98">
        <f ca="1">SUM($E$2:E98)/SUM($D$2:D98)</f>
        <v>156.74481702077631</v>
      </c>
      <c r="G98">
        <f ca="1">_xlfn.STDEV.P($C$2:C98)</f>
        <v>5.1012282650242415</v>
      </c>
      <c r="H98">
        <f t="shared" ca="1" si="22"/>
        <v>161.84604528580056</v>
      </c>
      <c r="I98">
        <f t="shared" ca="1" si="23"/>
        <v>151.64358875575206</v>
      </c>
      <c r="J98">
        <f t="shared" ca="1" si="32"/>
        <v>154.01649999999998</v>
      </c>
      <c r="K98">
        <f t="shared" ca="1" si="33"/>
        <v>2.2332140515409624</v>
      </c>
      <c r="L98">
        <f t="shared" ca="1" si="34"/>
        <v>158.48292810308192</v>
      </c>
      <c r="M98">
        <f t="shared" ca="1" si="35"/>
        <v>149.55007189691804</v>
      </c>
      <c r="N98">
        <f t="shared" ca="1" si="24"/>
        <v>0.51999999999998181</v>
      </c>
      <c r="O98">
        <f t="shared" ca="1" si="25"/>
        <v>0.51999999999998181</v>
      </c>
      <c r="P98">
        <f t="shared" ca="1" si="26"/>
        <v>0</v>
      </c>
      <c r="Q98">
        <f t="shared" ca="1" si="30"/>
        <v>0.57272039363027505</v>
      </c>
      <c r="R98">
        <f t="shared" ca="1" si="31"/>
        <v>0.4375881374239175</v>
      </c>
      <c r="S98">
        <f t="shared" ca="1" si="28"/>
        <v>1.3088115162396345</v>
      </c>
      <c r="T98">
        <f t="shared" ca="1" si="29"/>
        <v>56.687672728317736</v>
      </c>
      <c r="U98">
        <f>70</f>
        <v>70</v>
      </c>
      <c r="V98">
        <f>30</f>
        <v>30</v>
      </c>
      <c r="W98">
        <f t="shared" ca="1" si="27"/>
        <v>154.39955893323184</v>
      </c>
      <c r="X98">
        <f t="shared" ca="1" si="37"/>
        <v>154.05120428320424</v>
      </c>
      <c r="Y98">
        <f t="shared" ca="1" si="36"/>
        <v>0.47255729666230195</v>
      </c>
      <c r="Z98">
        <f t="shared" ca="1" si="18"/>
        <v>5.8801476945727814E-2</v>
      </c>
      <c r="AA98">
        <f t="shared" ca="1" si="19"/>
        <v>0.41375581971657416</v>
      </c>
    </row>
    <row r="99" spans="1:28" x14ac:dyDescent="0.25">
      <c r="A99" s="20">
        <f t="shared" ca="1" si="20"/>
        <v>45845</v>
      </c>
      <c r="B99" vm="289">
        <f ca="1"/>
        <v>45847</v>
      </c>
      <c r="C99" vm="290">
        <f ca="1"/>
        <v>156.28</v>
      </c>
      <c r="D99" vm="291">
        <f ca="1"/>
        <v>6147685</v>
      </c>
      <c r="E99">
        <f t="shared" ca="1" si="21"/>
        <v>960760211.79999995</v>
      </c>
      <c r="F99">
        <f ca="1">SUM($E$2:E99)/SUM($D$2:D99)</f>
        <v>156.74159674692086</v>
      </c>
      <c r="G99">
        <f ca="1">_xlfn.STDEV.P($C$2:C99)</f>
        <v>5.0754436822241047</v>
      </c>
      <c r="H99">
        <f t="shared" ca="1" si="22"/>
        <v>161.81704042914498</v>
      </c>
      <c r="I99">
        <f t="shared" ca="1" si="23"/>
        <v>151.66615306469674</v>
      </c>
      <c r="J99">
        <f t="shared" ca="1" si="32"/>
        <v>154.06900000000002</v>
      </c>
      <c r="K99">
        <f t="shared" ca="1" si="33"/>
        <v>2.2751909115963276</v>
      </c>
      <c r="L99">
        <f t="shared" ca="1" si="34"/>
        <v>158.61938182319267</v>
      </c>
      <c r="M99">
        <f t="shared" ca="1" si="35"/>
        <v>149.51861817680737</v>
      </c>
      <c r="N99">
        <f t="shared" ca="1" si="24"/>
        <v>0.49000000000000909</v>
      </c>
      <c r="O99">
        <f t="shared" ca="1" si="25"/>
        <v>0.49000000000000909</v>
      </c>
      <c r="P99">
        <f t="shared" ca="1" si="26"/>
        <v>0</v>
      </c>
      <c r="Q99">
        <f t="shared" ca="1" si="30"/>
        <v>0.56681179408525606</v>
      </c>
      <c r="R99">
        <f t="shared" ca="1" si="31"/>
        <v>0.40633184189363769</v>
      </c>
      <c r="S99">
        <f t="shared" ca="1" si="28"/>
        <v>1.3949480095966142</v>
      </c>
      <c r="T99">
        <f t="shared" ca="1" si="29"/>
        <v>58.24544015181224</v>
      </c>
      <c r="U99">
        <f>70</f>
        <v>70</v>
      </c>
      <c r="V99">
        <f>30</f>
        <v>30</v>
      </c>
      <c r="W99">
        <f t="shared" ca="1" si="27"/>
        <v>154.68885755888846</v>
      </c>
      <c r="X99">
        <f t="shared" ca="1" si="37"/>
        <v>154.21630026222616</v>
      </c>
      <c r="Y99">
        <f t="shared" ca="1" si="36"/>
        <v>0.67696042668481482</v>
      </c>
      <c r="Z99">
        <f t="shared" ca="1" si="18"/>
        <v>0.18243326689354522</v>
      </c>
      <c r="AA99">
        <f t="shared" ca="1" si="19"/>
        <v>0.4945271597912696</v>
      </c>
    </row>
    <row r="100" spans="1:28" x14ac:dyDescent="0.25">
      <c r="A100" s="20">
        <f t="shared" ca="1" si="20"/>
        <v>45845</v>
      </c>
      <c r="B100" vm="292">
        <f ca="1"/>
        <v>45848</v>
      </c>
      <c r="C100" vm="293">
        <f ca="1"/>
        <v>157.69</v>
      </c>
      <c r="D100" vm="294">
        <f ca="1"/>
        <v>6733128</v>
      </c>
      <c r="E100">
        <f t="shared" ca="1" si="21"/>
        <v>1061746954.3199999</v>
      </c>
      <c r="F100">
        <f ca="1">SUM($E$2:E100)/SUM($D$2:D100)</f>
        <v>156.74873885109815</v>
      </c>
      <c r="G100">
        <f ca="1">_xlfn.STDEV.P($C$2:C100)</f>
        <v>5.0504748241519755</v>
      </c>
      <c r="H100">
        <f t="shared" ca="1" si="22"/>
        <v>161.79921367525012</v>
      </c>
      <c r="I100">
        <f t="shared" ca="1" si="23"/>
        <v>151.69826402694619</v>
      </c>
      <c r="J100">
        <f t="shared" ca="1" si="32"/>
        <v>154.13100000000003</v>
      </c>
      <c r="K100">
        <f t="shared" ca="1" si="33"/>
        <v>2.3588465066861106</v>
      </c>
      <c r="L100">
        <f t="shared" ca="1" si="34"/>
        <v>158.84869301337224</v>
      </c>
      <c r="M100">
        <f t="shared" ca="1" si="35"/>
        <v>149.41330698662782</v>
      </c>
      <c r="N100">
        <f t="shared" ca="1" si="24"/>
        <v>1.4099999999999966</v>
      </c>
      <c r="O100">
        <f t="shared" ca="1" si="25"/>
        <v>1.4099999999999966</v>
      </c>
      <c r="P100">
        <f t="shared" ca="1" si="26"/>
        <v>0</v>
      </c>
      <c r="Q100">
        <f t="shared" ca="1" si="30"/>
        <v>0.62703952307916622</v>
      </c>
      <c r="R100">
        <f t="shared" ca="1" si="31"/>
        <v>0.37730813890123499</v>
      </c>
      <c r="S100">
        <f t="shared" ca="1" si="28"/>
        <v>1.6618764835160407</v>
      </c>
      <c r="T100">
        <f t="shared" ca="1" si="29"/>
        <v>62.432516828162065</v>
      </c>
      <c r="U100">
        <f>70</f>
        <v>70</v>
      </c>
      <c r="V100">
        <f>30</f>
        <v>30</v>
      </c>
      <c r="W100">
        <f t="shared" ca="1" si="27"/>
        <v>155.15057178059791</v>
      </c>
      <c r="X100">
        <f t="shared" ca="1" si="37"/>
        <v>154.4736113539131</v>
      </c>
      <c r="Y100">
        <f t="shared" ca="1" si="36"/>
        <v>0.7663707373669979</v>
      </c>
      <c r="Z100">
        <f t="shared" ca="1" si="18"/>
        <v>0.2992207609882358</v>
      </c>
      <c r="AA100">
        <f t="shared" ca="1" si="19"/>
        <v>0.4671499763787621</v>
      </c>
    </row>
    <row r="101" spans="1:28" x14ac:dyDescent="0.25">
      <c r="A101" s="20">
        <f t="shared" ca="1" si="20"/>
        <v>45845</v>
      </c>
      <c r="B101" vm="295">
        <f ca="1"/>
        <v>45849</v>
      </c>
      <c r="C101" vm="296">
        <f ca="1"/>
        <v>156.9</v>
      </c>
      <c r="D101" vm="297">
        <f ca="1"/>
        <v>7872172</v>
      </c>
      <c r="E101">
        <f t="shared" ca="1" si="21"/>
        <v>1235143786.8</v>
      </c>
      <c r="F101">
        <f ca="1">SUM($E$2:E101)/SUM($D$2:D101)</f>
        <v>156.75005902511145</v>
      </c>
      <c r="G101">
        <f ca="1">_xlfn.STDEV.P($C$2:C101)</f>
        <v>5.025162535679816</v>
      </c>
      <c r="H101">
        <f t="shared" ca="1" si="22"/>
        <v>161.77522156079127</v>
      </c>
      <c r="I101">
        <f t="shared" ca="1" si="23"/>
        <v>151.72489648943164</v>
      </c>
      <c r="J101">
        <f t="shared" ca="1" si="32"/>
        <v>154.21300000000002</v>
      </c>
      <c r="K101">
        <f t="shared" ca="1" si="33"/>
        <v>2.4276609925475281</v>
      </c>
      <c r="L101">
        <f t="shared" ca="1" si="34"/>
        <v>159.06832198509508</v>
      </c>
      <c r="M101">
        <f t="shared" ca="1" si="35"/>
        <v>149.35767801490496</v>
      </c>
      <c r="N101">
        <f t="shared" ca="1" si="24"/>
        <v>-0.78999999999999204</v>
      </c>
      <c r="O101">
        <f t="shared" ca="1" si="25"/>
        <v>0</v>
      </c>
      <c r="P101">
        <f t="shared" ca="1" si="26"/>
        <v>0.78999999999999204</v>
      </c>
      <c r="Q101">
        <f t="shared" ca="1" si="30"/>
        <v>0.58225098571636857</v>
      </c>
      <c r="R101">
        <f t="shared" ca="1" si="31"/>
        <v>0.40678612897971761</v>
      </c>
      <c r="S101">
        <f t="shared" ca="1" si="28"/>
        <v>1.4313442475945379</v>
      </c>
      <c r="T101">
        <f t="shared" ca="1" si="29"/>
        <v>58.870488990221979</v>
      </c>
      <c r="U101">
        <f>70</f>
        <v>70</v>
      </c>
      <c r="V101">
        <f>30</f>
        <v>30</v>
      </c>
      <c r="W101">
        <f t="shared" ca="1" si="27"/>
        <v>155.41971458358285</v>
      </c>
      <c r="X101">
        <f t="shared" ca="1" si="37"/>
        <v>154.65334384621585</v>
      </c>
      <c r="Y101">
        <f t="shared" ca="1" si="36"/>
        <v>0.82130621454115271</v>
      </c>
      <c r="Z101">
        <f t="shared" ca="1" si="18"/>
        <v>0.40363785169881916</v>
      </c>
      <c r="AA101">
        <f t="shared" ca="1" si="19"/>
        <v>0.41766836284233355</v>
      </c>
      <c r="AB101">
        <f ca="1">AVERAGE(C2:C101)</f>
        <v>156.84070000000003</v>
      </c>
    </row>
    <row r="102" spans="1:28" x14ac:dyDescent="0.25">
      <c r="A102" s="20">
        <f t="shared" ca="1" si="20"/>
        <v>45852</v>
      </c>
      <c r="B102" vm="298">
        <f ca="1"/>
        <v>45852</v>
      </c>
      <c r="C102" vm="299">
        <f ca="1"/>
        <v>156.82</v>
      </c>
      <c r="D102" vm="300">
        <f ca="1"/>
        <v>10185632</v>
      </c>
      <c r="E102">
        <f t="shared" ca="1" si="21"/>
        <v>1597310810.24</v>
      </c>
      <c r="F102">
        <f ca="1">SUM($E$2:E102)/SUM($D$2:D102)</f>
        <v>156.75084002686282</v>
      </c>
      <c r="G102">
        <f ca="1">_xlfn.STDEV.P($C$2:C102)</f>
        <v>5.0002240298796004</v>
      </c>
      <c r="H102">
        <f t="shared" ca="1" si="22"/>
        <v>161.75106405674242</v>
      </c>
      <c r="I102">
        <f t="shared" ca="1" si="23"/>
        <v>151.75061599698321</v>
      </c>
      <c r="J102">
        <f t="shared" ca="1" si="32"/>
        <v>154.22100000000003</v>
      </c>
      <c r="K102">
        <f t="shared" ca="1" si="33"/>
        <v>2.436397037905726</v>
      </c>
      <c r="L102">
        <f t="shared" ca="1" si="34"/>
        <v>159.09379407581147</v>
      </c>
      <c r="M102">
        <f t="shared" ca="1" si="35"/>
        <v>149.34820592418859</v>
      </c>
      <c r="N102">
        <f t="shared" ca="1" si="24"/>
        <v>-8.0000000000012506E-2</v>
      </c>
      <c r="O102">
        <f t="shared" ca="1" si="25"/>
        <v>0</v>
      </c>
      <c r="P102">
        <f t="shared" ca="1" si="26"/>
        <v>8.0000000000012506E-2</v>
      </c>
      <c r="Q102">
        <f t="shared" ca="1" si="30"/>
        <v>0.54066162959377084</v>
      </c>
      <c r="R102">
        <f t="shared" ca="1" si="31"/>
        <v>0.38344426262402437</v>
      </c>
      <c r="S102">
        <f t="shared" ca="1" si="28"/>
        <v>1.410013611610357</v>
      </c>
      <c r="T102">
        <f t="shared" ca="1" si="29"/>
        <v>58.506458420713827</v>
      </c>
      <c r="U102">
        <f>70</f>
        <v>70</v>
      </c>
      <c r="V102">
        <f>30</f>
        <v>30</v>
      </c>
      <c r="W102">
        <f t="shared" ca="1" si="27"/>
        <v>155.63514310918546</v>
      </c>
      <c r="X102">
        <f t="shared" ca="1" si="37"/>
        <v>154.81383689464431</v>
      </c>
      <c r="Y102">
        <f t="shared" ca="1" si="36"/>
        <v>0.72336328395635974</v>
      </c>
      <c r="Z102">
        <f t="shared" ref="Z102:Z165" ca="1" si="38">Y102*(2/(9+1)) + Z101*(1-(2/(9+1)))</f>
        <v>0.46758293815032731</v>
      </c>
      <c r="AA102">
        <f t="shared" ref="AA102:AA165" ca="1" si="39">Y102-Z102</f>
        <v>0.25578034580603243</v>
      </c>
      <c r="AB102">
        <f t="shared" ref="AB102:AB165" ca="1" si="40">AVERAGE(C3:C102)</f>
        <v>156.85900000000001</v>
      </c>
    </row>
    <row r="103" spans="1:28" x14ac:dyDescent="0.25">
      <c r="A103" s="20">
        <f t="shared" ca="1" si="20"/>
        <v>45852</v>
      </c>
      <c r="B103" vm="301">
        <f ca="1"/>
        <v>45853</v>
      </c>
      <c r="C103" vm="302">
        <f ca="1"/>
        <v>155.16999999999999</v>
      </c>
      <c r="D103" vm="303">
        <f ca="1"/>
        <v>6873200</v>
      </c>
      <c r="E103">
        <f t="shared" ca="1" si="21"/>
        <v>1066514443.9999999</v>
      </c>
      <c r="F103">
        <f ca="1">SUM($E$2:E103)/SUM($D$2:D103)</f>
        <v>156.73901726211537</v>
      </c>
      <c r="G103">
        <f ca="1">_xlfn.STDEV.P($C$2:C103)</f>
        <v>4.9783742824302699</v>
      </c>
      <c r="H103">
        <f t="shared" ca="1" si="22"/>
        <v>161.71739154454565</v>
      </c>
      <c r="I103">
        <f t="shared" ca="1" si="23"/>
        <v>151.76064297968509</v>
      </c>
      <c r="J103">
        <f t="shared" ca="1" si="32"/>
        <v>154.12450000000004</v>
      </c>
      <c r="K103">
        <f t="shared" ca="1" si="33"/>
        <v>2.353164666437185</v>
      </c>
      <c r="L103">
        <f t="shared" ca="1" si="34"/>
        <v>158.8308293328744</v>
      </c>
      <c r="M103">
        <f t="shared" ca="1" si="35"/>
        <v>149.41817066712568</v>
      </c>
      <c r="N103">
        <f t="shared" ca="1" si="24"/>
        <v>-1.6500000000000057</v>
      </c>
      <c r="O103">
        <f t="shared" ca="1" si="25"/>
        <v>0</v>
      </c>
      <c r="P103">
        <f t="shared" ca="1" si="26"/>
        <v>1.6500000000000057</v>
      </c>
      <c r="Q103">
        <f t="shared" ca="1" si="30"/>
        <v>0.50204294176564435</v>
      </c>
      <c r="R103">
        <f t="shared" ca="1" si="31"/>
        <v>0.47391252957945162</v>
      </c>
      <c r="S103">
        <f t="shared" ca="1" si="28"/>
        <v>1.0593578148506761</v>
      </c>
      <c r="T103">
        <f t="shared" ca="1" si="29"/>
        <v>51.441172933198601</v>
      </c>
      <c r="U103">
        <f>70</f>
        <v>70</v>
      </c>
      <c r="V103">
        <f>30</f>
        <v>30</v>
      </c>
      <c r="W103">
        <f t="shared" ca="1" si="27"/>
        <v>155.56358263084923</v>
      </c>
      <c r="X103">
        <f t="shared" ca="1" si="37"/>
        <v>154.84021934689287</v>
      </c>
      <c r="Y103">
        <f t="shared" ca="1" si="36"/>
        <v>1.4049936000627667</v>
      </c>
      <c r="Z103">
        <f t="shared" ca="1" si="38"/>
        <v>0.65506507053281526</v>
      </c>
      <c r="AA103">
        <f t="shared" ca="1" si="39"/>
        <v>0.74992852952995148</v>
      </c>
      <c r="AB103">
        <f t="shared" ca="1" si="40"/>
        <v>156.83180000000002</v>
      </c>
    </row>
    <row r="104" spans="1:28" x14ac:dyDescent="0.25">
      <c r="A104" s="20">
        <f t="shared" ca="1" si="20"/>
        <v>45852</v>
      </c>
      <c r="B104" vm="304">
        <f ca="1"/>
        <v>45854</v>
      </c>
      <c r="C104" vm="305">
        <f ca="1"/>
        <v>164.78</v>
      </c>
      <c r="D104" vm="306">
        <f ca="1"/>
        <v>22134769</v>
      </c>
      <c r="E104">
        <f t="shared" ca="1" si="21"/>
        <v>3647367235.8200002</v>
      </c>
      <c r="F104">
        <f ca="1">SUM($E$2:E104)/SUM($D$2:D104)</f>
        <v>156.92812976835179</v>
      </c>
      <c r="G104">
        <f ca="1">_xlfn.STDEV.P($C$2:C104)</f>
        <v>5.0151914943825986</v>
      </c>
      <c r="H104">
        <f t="shared" ca="1" si="22"/>
        <v>161.9433212627344</v>
      </c>
      <c r="I104">
        <f t="shared" ca="1" si="23"/>
        <v>151.91293827396919</v>
      </c>
      <c r="J104">
        <f t="shared" ca="1" si="32"/>
        <v>154.60250000000005</v>
      </c>
      <c r="K104">
        <f t="shared" ca="1" si="33"/>
        <v>3.3480565847573209</v>
      </c>
      <c r="L104">
        <f t="shared" ca="1" si="34"/>
        <v>161.29861316951468</v>
      </c>
      <c r="M104">
        <f t="shared" ca="1" si="35"/>
        <v>147.90638683048542</v>
      </c>
      <c r="N104">
        <f t="shared" ca="1" si="24"/>
        <v>9.6100000000000136</v>
      </c>
      <c r="O104">
        <f t="shared" ca="1" si="25"/>
        <v>9.6100000000000136</v>
      </c>
      <c r="P104">
        <f t="shared" ca="1" si="26"/>
        <v>0</v>
      </c>
      <c r="Q104">
        <f t="shared" ca="1" si="30"/>
        <v>1.1526113030680993</v>
      </c>
      <c r="R104">
        <f t="shared" ca="1" si="31"/>
        <v>0.44006163460949077</v>
      </c>
      <c r="S104">
        <f t="shared" ca="1" si="28"/>
        <v>2.6192042487205747</v>
      </c>
      <c r="T104">
        <f t="shared" ca="1" si="29"/>
        <v>72.369616874938458</v>
      </c>
      <c r="U104">
        <f>70</f>
        <v>70</v>
      </c>
      <c r="V104">
        <f>30</f>
        <v>30</v>
      </c>
      <c r="W104">
        <f t="shared" ca="1" si="27"/>
        <v>156.98149299533395</v>
      </c>
      <c r="X104">
        <f t="shared" ca="1" si="37"/>
        <v>155.57649939527118</v>
      </c>
      <c r="Y104">
        <f t="shared" ca="1" si="36"/>
        <v>1.7794333793476937</v>
      </c>
      <c r="Z104">
        <f t="shared" ca="1" si="38"/>
        <v>0.879938732295791</v>
      </c>
      <c r="AA104">
        <f t="shared" ca="1" si="39"/>
        <v>0.89949464705190274</v>
      </c>
      <c r="AB104">
        <f t="shared" ca="1" si="40"/>
        <v>156.8828</v>
      </c>
    </row>
    <row r="105" spans="1:28" x14ac:dyDescent="0.25">
      <c r="A105" s="20">
        <f t="shared" ca="1" si="20"/>
        <v>45852</v>
      </c>
      <c r="B105" vm="307">
        <f ca="1"/>
        <v>45855</v>
      </c>
      <c r="C105" vm="308">
        <f ca="1"/>
        <v>162.97999999999999</v>
      </c>
      <c r="D105" vm="309">
        <f ca="1"/>
        <v>11295747</v>
      </c>
      <c r="E105">
        <f t="shared" ca="1" si="21"/>
        <v>1840980846.0599999</v>
      </c>
      <c r="F105">
        <f ca="1">SUM($E$2:E105)/SUM($D$2:D105)</f>
        <v>156.99990247911978</v>
      </c>
      <c r="G105">
        <f ca="1">_xlfn.STDEV.P($C$2:C105)</f>
        <v>5.0261485447394998</v>
      </c>
      <c r="H105">
        <f t="shared" ca="1" si="22"/>
        <v>162.02605102385928</v>
      </c>
      <c r="I105">
        <f t="shared" ca="1" si="23"/>
        <v>151.97375393438028</v>
      </c>
      <c r="J105">
        <f t="shared" ca="1" si="32"/>
        <v>155.13250000000002</v>
      </c>
      <c r="K105">
        <f t="shared" ca="1" si="33"/>
        <v>3.7878279778091417</v>
      </c>
      <c r="L105">
        <f t="shared" ca="1" si="34"/>
        <v>162.70815595561831</v>
      </c>
      <c r="M105">
        <f t="shared" ca="1" si="35"/>
        <v>147.55684404438173</v>
      </c>
      <c r="N105">
        <f t="shared" ca="1" si="24"/>
        <v>-1.8000000000000114</v>
      </c>
      <c r="O105">
        <f t="shared" ca="1" si="25"/>
        <v>0</v>
      </c>
      <c r="P105">
        <f t="shared" ca="1" si="26"/>
        <v>1.8000000000000114</v>
      </c>
      <c r="Q105">
        <f t="shared" ca="1" si="30"/>
        <v>1.0702819242775208</v>
      </c>
      <c r="R105">
        <f t="shared" ca="1" si="31"/>
        <v>0.53720008928024221</v>
      </c>
      <c r="S105">
        <f t="shared" ca="1" si="28"/>
        <v>1.9923338540608186</v>
      </c>
      <c r="T105">
        <f t="shared" ca="1" si="29"/>
        <v>66.581269043795828</v>
      </c>
      <c r="U105">
        <f>70</f>
        <v>70</v>
      </c>
      <c r="V105">
        <f>30</f>
        <v>30</v>
      </c>
      <c r="W105">
        <f t="shared" ca="1" si="27"/>
        <v>157.90434022682103</v>
      </c>
      <c r="X105">
        <f t="shared" ca="1" si="37"/>
        <v>156.12490684747334</v>
      </c>
      <c r="Y105">
        <f t="shared" ca="1" si="36"/>
        <v>2.1099553331538914</v>
      </c>
      <c r="Z105">
        <f t="shared" ca="1" si="38"/>
        <v>1.1259420524674111</v>
      </c>
      <c r="AA105">
        <f t="shared" ca="1" si="39"/>
        <v>0.98401328068648031</v>
      </c>
      <c r="AB105">
        <f t="shared" ca="1" si="40"/>
        <v>156.8896</v>
      </c>
    </row>
    <row r="106" spans="1:28" x14ac:dyDescent="0.25">
      <c r="A106" s="20">
        <f t="shared" ca="1" si="20"/>
        <v>45852</v>
      </c>
      <c r="B106" vm="310">
        <f ca="1"/>
        <v>45856</v>
      </c>
      <c r="C106" vm="311">
        <f ca="1"/>
        <v>163.69999999999999</v>
      </c>
      <c r="D106" vm="312">
        <f ca="1"/>
        <v>9793046</v>
      </c>
      <c r="E106">
        <f t="shared" ca="1" si="21"/>
        <v>1603121630.1999998</v>
      </c>
      <c r="F106">
        <f ca="1">SUM($E$2:E106)/SUM($D$2:D106)</f>
        <v>157.06809097958168</v>
      </c>
      <c r="G106">
        <f ca="1">_xlfn.STDEV.P($C$2:C106)</f>
        <v>5.044811686513281</v>
      </c>
      <c r="H106">
        <f t="shared" ca="1" si="22"/>
        <v>162.11290266609495</v>
      </c>
      <c r="I106">
        <f t="shared" ca="1" si="23"/>
        <v>152.02327929306841</v>
      </c>
      <c r="J106">
        <f t="shared" ca="1" si="32"/>
        <v>155.78100000000001</v>
      </c>
      <c r="K106">
        <f t="shared" ca="1" si="33"/>
        <v>4.0924460579025475</v>
      </c>
      <c r="L106">
        <f t="shared" ca="1" si="34"/>
        <v>163.9658921158051</v>
      </c>
      <c r="M106">
        <f t="shared" ca="1" si="35"/>
        <v>147.59610788419491</v>
      </c>
      <c r="N106">
        <f t="shared" ca="1" si="24"/>
        <v>0.71999999999999886</v>
      </c>
      <c r="O106">
        <f t="shared" ca="1" si="25"/>
        <v>0.71999999999999886</v>
      </c>
      <c r="P106">
        <f t="shared" ca="1" si="26"/>
        <v>0</v>
      </c>
      <c r="Q106">
        <f t="shared" ca="1" si="30"/>
        <v>1.0452617868291263</v>
      </c>
      <c r="R106">
        <f t="shared" ca="1" si="31"/>
        <v>0.49882865433165346</v>
      </c>
      <c r="S106">
        <f t="shared" ca="1" si="28"/>
        <v>2.0954325252818551</v>
      </c>
      <c r="T106">
        <f t="shared" ca="1" si="29"/>
        <v>67.694337000321312</v>
      </c>
      <c r="U106">
        <f>70</f>
        <v>70</v>
      </c>
      <c r="V106">
        <f>30</f>
        <v>30</v>
      </c>
      <c r="W106">
        <f t="shared" ca="1" si="27"/>
        <v>158.79598019192548</v>
      </c>
      <c r="X106">
        <f t="shared" ca="1" si="37"/>
        <v>156.68602485877159</v>
      </c>
      <c r="Y106">
        <f t="shared" ca="1" si="36"/>
        <v>2.3975157774959825</v>
      </c>
      <c r="Z106">
        <f t="shared" ca="1" si="38"/>
        <v>1.3802567974731255</v>
      </c>
      <c r="AA106">
        <f t="shared" ca="1" si="39"/>
        <v>1.0172589800228571</v>
      </c>
      <c r="AB106">
        <f t="shared" ca="1" si="40"/>
        <v>156.88920000000005</v>
      </c>
    </row>
    <row r="107" spans="1:28" x14ac:dyDescent="0.25">
      <c r="A107" s="20">
        <f t="shared" ca="1" si="20"/>
        <v>45859</v>
      </c>
      <c r="B107" vm="313">
        <f ca="1"/>
        <v>45859</v>
      </c>
      <c r="C107" vm="314">
        <f ca="1"/>
        <v>164.36</v>
      </c>
      <c r="D107" vm="315">
        <f ca="1"/>
        <v>8254003</v>
      </c>
      <c r="E107">
        <f t="shared" ca="1" si="21"/>
        <v>1356627933.0800002</v>
      </c>
      <c r="F107">
        <f ca="1">SUM($E$2:E107)/SUM($D$2:D107)</f>
        <v>157.13010768240355</v>
      </c>
      <c r="G107">
        <f ca="1">_xlfn.STDEV.P($C$2:C107)</f>
        <v>5.0707934601415925</v>
      </c>
      <c r="H107">
        <f t="shared" ca="1" si="22"/>
        <v>162.20090114254515</v>
      </c>
      <c r="I107">
        <f t="shared" ca="1" si="23"/>
        <v>152.05931422226195</v>
      </c>
      <c r="J107">
        <f t="shared" ca="1" si="32"/>
        <v>156.5095</v>
      </c>
      <c r="K107">
        <f t="shared" ca="1" si="33"/>
        <v>4.2631042248083677</v>
      </c>
      <c r="L107">
        <f t="shared" ca="1" si="34"/>
        <v>165.03570844961675</v>
      </c>
      <c r="M107">
        <f t="shared" ca="1" si="35"/>
        <v>147.98329155038326</v>
      </c>
      <c r="N107">
        <f t="shared" ca="1" si="24"/>
        <v>0.66000000000002501</v>
      </c>
      <c r="O107">
        <f t="shared" ca="1" si="25"/>
        <v>0.66000000000002501</v>
      </c>
      <c r="P107">
        <f t="shared" ca="1" si="26"/>
        <v>0</v>
      </c>
      <c r="Q107">
        <f t="shared" ca="1" si="30"/>
        <v>1.0177430877699047</v>
      </c>
      <c r="R107">
        <f t="shared" ca="1" si="31"/>
        <v>0.4631980361651068</v>
      </c>
      <c r="S107">
        <f t="shared" ca="1" si="28"/>
        <v>2.1972094186667288</v>
      </c>
      <c r="T107">
        <f t="shared" ca="1" si="29"/>
        <v>68.722724443336247</v>
      </c>
      <c r="U107">
        <f>70</f>
        <v>70</v>
      </c>
      <c r="V107">
        <f>30</f>
        <v>30</v>
      </c>
      <c r="W107">
        <f t="shared" ca="1" si="27"/>
        <v>159.65198323932154</v>
      </c>
      <c r="X107">
        <f t="shared" ca="1" si="37"/>
        <v>157.25446746182556</v>
      </c>
      <c r="Y107">
        <f t="shared" ca="1" si="36"/>
        <v>2.8802766295874278</v>
      </c>
      <c r="Z107">
        <f t="shared" ca="1" si="38"/>
        <v>1.6802607638959861</v>
      </c>
      <c r="AA107">
        <f t="shared" ca="1" si="39"/>
        <v>1.2000158656914417</v>
      </c>
      <c r="AB107">
        <f t="shared" ca="1" si="40"/>
        <v>156.87190000000004</v>
      </c>
    </row>
    <row r="108" spans="1:28" x14ac:dyDescent="0.25">
      <c r="A108" s="20">
        <f t="shared" ca="1" si="20"/>
        <v>45859</v>
      </c>
      <c r="B108" vm="316">
        <f ca="1"/>
        <v>45860</v>
      </c>
      <c r="C108" vm="317">
        <f ca="1"/>
        <v>167.93</v>
      </c>
      <c r="D108" vm="318">
        <f ca="1"/>
        <v>9287991</v>
      </c>
      <c r="E108">
        <f t="shared" ca="1" si="21"/>
        <v>1559732328.6300001</v>
      </c>
      <c r="F108">
        <f ca="1">SUM($E$2:E108)/SUM($D$2:D108)</f>
        <v>157.23248587625025</v>
      </c>
      <c r="G108">
        <f ca="1">_xlfn.STDEV.P($C$2:C108)</f>
        <v>5.1536311912486479</v>
      </c>
      <c r="H108">
        <f t="shared" ca="1" si="22"/>
        <v>162.3861170674989</v>
      </c>
      <c r="I108">
        <f t="shared" ca="1" si="23"/>
        <v>152.0788546850016</v>
      </c>
      <c r="J108">
        <f t="shared" ca="1" si="32"/>
        <v>157.34</v>
      </c>
      <c r="K108">
        <f t="shared" ca="1" si="33"/>
        <v>4.7848961931213703</v>
      </c>
      <c r="L108">
        <f t="shared" ca="1" si="34"/>
        <v>166.90979238624274</v>
      </c>
      <c r="M108">
        <f t="shared" ca="1" si="35"/>
        <v>147.77020761375726</v>
      </c>
      <c r="N108">
        <f t="shared" ca="1" si="24"/>
        <v>3.5699999999999932</v>
      </c>
      <c r="O108">
        <f t="shared" ca="1" si="25"/>
        <v>3.5699999999999932</v>
      </c>
      <c r="P108">
        <f t="shared" ca="1" si="26"/>
        <v>0</v>
      </c>
      <c r="Q108">
        <f t="shared" ca="1" si="30"/>
        <v>1.2000471529291967</v>
      </c>
      <c r="R108">
        <f t="shared" ca="1" si="31"/>
        <v>0.4301124621533135</v>
      </c>
      <c r="S108">
        <f t="shared" ca="1" si="28"/>
        <v>2.7900776157967733</v>
      </c>
      <c r="T108">
        <f t="shared" ca="1" si="29"/>
        <v>73.61531606022865</v>
      </c>
      <c r="U108">
        <f>70</f>
        <v>70</v>
      </c>
      <c r="V108">
        <f>30</f>
        <v>30</v>
      </c>
      <c r="W108">
        <f t="shared" ca="1" si="27"/>
        <v>160.9255242794259</v>
      </c>
      <c r="X108">
        <f t="shared" ca="1" si="37"/>
        <v>158.04524764983847</v>
      </c>
      <c r="Y108">
        <f t="shared" ca="1" si="36"/>
        <v>3.3190177344501137</v>
      </c>
      <c r="Z108">
        <f t="shared" ca="1" si="38"/>
        <v>2.008012158006812</v>
      </c>
      <c r="AA108">
        <f t="shared" ca="1" si="39"/>
        <v>1.3110055764433017</v>
      </c>
      <c r="AB108">
        <f t="shared" ca="1" si="40"/>
        <v>156.92040000000006</v>
      </c>
    </row>
    <row r="109" spans="1:28" x14ac:dyDescent="0.25">
      <c r="A109" s="20">
        <f t="shared" ca="1" si="20"/>
        <v>45859</v>
      </c>
      <c r="B109" vm="319">
        <f ca="1"/>
        <v>45861</v>
      </c>
      <c r="C109" vm="320">
        <f ca="1"/>
        <v>169.1</v>
      </c>
      <c r="D109" vm="321">
        <f ca="1"/>
        <v>10617636</v>
      </c>
      <c r="E109">
        <f t="shared" ca="1" si="21"/>
        <v>1795442247.5999999</v>
      </c>
      <c r="F109">
        <f ca="1">SUM($E$2:E109)/SUM($D$2:D109)</f>
        <v>157.3597109972462</v>
      </c>
      <c r="G109">
        <f ca="1">_xlfn.STDEV.P($C$2:C109)</f>
        <v>5.254926869550232</v>
      </c>
      <c r="H109">
        <f t="shared" ca="1" si="22"/>
        <v>162.61463786679644</v>
      </c>
      <c r="I109">
        <f t="shared" ca="1" si="23"/>
        <v>152.10478412769595</v>
      </c>
      <c r="J109">
        <f t="shared" ca="1" si="32"/>
        <v>158.18549999999999</v>
      </c>
      <c r="K109">
        <f t="shared" ca="1" si="33"/>
        <v>5.29392449690656</v>
      </c>
      <c r="L109">
        <f t="shared" ca="1" si="34"/>
        <v>168.7733489938131</v>
      </c>
      <c r="M109">
        <f t="shared" ca="1" si="35"/>
        <v>147.59765100618688</v>
      </c>
      <c r="N109">
        <f t="shared" ca="1" si="24"/>
        <v>1.1699999999999875</v>
      </c>
      <c r="O109">
        <f t="shared" ca="1" si="25"/>
        <v>1.1699999999999875</v>
      </c>
      <c r="P109">
        <f t="shared" ca="1" si="26"/>
        <v>0</v>
      </c>
      <c r="Q109">
        <f t="shared" ca="1" si="30"/>
        <v>1.1979009277199675</v>
      </c>
      <c r="R109">
        <f t="shared" ca="1" si="31"/>
        <v>0.39939014342807683</v>
      </c>
      <c r="S109">
        <f t="shared" ca="1" si="28"/>
        <v>2.9993252147838456</v>
      </c>
      <c r="T109">
        <f t="shared" ca="1" si="29"/>
        <v>74.995781880817916</v>
      </c>
      <c r="U109">
        <f>70</f>
        <v>70</v>
      </c>
      <c r="V109">
        <f>30</f>
        <v>30</v>
      </c>
      <c r="W109">
        <f t="shared" ca="1" si="27"/>
        <v>162.183135928745</v>
      </c>
      <c r="X109">
        <f t="shared" ca="1" si="37"/>
        <v>158.86411819429489</v>
      </c>
      <c r="Y109">
        <f t="shared" ca="1" si="36"/>
        <v>3.6616323580952326</v>
      </c>
      <c r="Z109">
        <f t="shared" ca="1" si="38"/>
        <v>2.3387361980244963</v>
      </c>
      <c r="AA109">
        <f t="shared" ca="1" si="39"/>
        <v>1.3228961600707363</v>
      </c>
      <c r="AB109">
        <f t="shared" ca="1" si="40"/>
        <v>156.97410000000008</v>
      </c>
    </row>
    <row r="110" spans="1:28" x14ac:dyDescent="0.25">
      <c r="A110" s="20">
        <f t="shared" ca="1" si="20"/>
        <v>45859</v>
      </c>
      <c r="B110" vm="322">
        <f ca="1"/>
        <v>45862</v>
      </c>
      <c r="C110" vm="323">
        <f ca="1"/>
        <v>169.56</v>
      </c>
      <c r="D110" vm="324">
        <f ca="1"/>
        <v>6636918</v>
      </c>
      <c r="E110">
        <f t="shared" ca="1" si="21"/>
        <v>1125355816.0799999</v>
      </c>
      <c r="F110">
        <f ca="1">SUM($E$2:E110)/SUM($D$2:D110)</f>
        <v>157.44092319668604</v>
      </c>
      <c r="G110">
        <f ca="1">_xlfn.STDEV.P($C$2:C110)</f>
        <v>5.3596809592409302</v>
      </c>
      <c r="H110">
        <f t="shared" ca="1" si="22"/>
        <v>162.80060415592698</v>
      </c>
      <c r="I110">
        <f t="shared" ca="1" si="23"/>
        <v>152.08124223744511</v>
      </c>
      <c r="J110">
        <f t="shared" ca="1" si="32"/>
        <v>159.04949999999999</v>
      </c>
      <c r="K110">
        <f t="shared" ca="1" si="33"/>
        <v>5.675716949843153</v>
      </c>
      <c r="L110">
        <f t="shared" ca="1" si="34"/>
        <v>170.40093389968629</v>
      </c>
      <c r="M110">
        <f t="shared" ca="1" si="35"/>
        <v>147.6980661003137</v>
      </c>
      <c r="N110">
        <f t="shared" ca="1" si="24"/>
        <v>0.46000000000000796</v>
      </c>
      <c r="O110">
        <f t="shared" ca="1" si="25"/>
        <v>0.46000000000000796</v>
      </c>
      <c r="P110">
        <f t="shared" ca="1" si="26"/>
        <v>0</v>
      </c>
      <c r="Q110">
        <f t="shared" ca="1" si="30"/>
        <v>1.1451937185971133</v>
      </c>
      <c r="R110">
        <f t="shared" ca="1" si="31"/>
        <v>0.37086227604035704</v>
      </c>
      <c r="S110">
        <f t="shared" ca="1" si="28"/>
        <v>3.0879218313174941</v>
      </c>
      <c r="T110">
        <f t="shared" ca="1" si="29"/>
        <v>75.537692713715359</v>
      </c>
      <c r="U110">
        <f>70</f>
        <v>70</v>
      </c>
      <c r="V110">
        <f>30</f>
        <v>30</v>
      </c>
      <c r="W110">
        <f t="shared" ca="1" si="27"/>
        <v>163.31803809355347</v>
      </c>
      <c r="X110">
        <f t="shared" ca="1" si="37"/>
        <v>159.65640573545824</v>
      </c>
      <c r="Y110">
        <f t="shared" ca="1" si="36"/>
        <v>3.7878217941921832</v>
      </c>
      <c r="Z110">
        <f t="shared" ca="1" si="38"/>
        <v>2.6285533172580338</v>
      </c>
      <c r="AA110">
        <f t="shared" ca="1" si="39"/>
        <v>1.1592684769341495</v>
      </c>
      <c r="AB110">
        <f t="shared" ca="1" si="40"/>
        <v>157.01950000000005</v>
      </c>
    </row>
    <row r="111" spans="1:28" x14ac:dyDescent="0.25">
      <c r="A111" s="20">
        <f t="shared" ca="1" si="20"/>
        <v>45859</v>
      </c>
      <c r="B111" vm="325">
        <f ca="1"/>
        <v>45863</v>
      </c>
      <c r="C111" vm="326">
        <f ca="1"/>
        <v>168.3</v>
      </c>
      <c r="D111" vm="327">
        <f ca="1"/>
        <v>6255183</v>
      </c>
      <c r="E111">
        <f t="shared" ca="1" si="21"/>
        <v>1052747298.9000001</v>
      </c>
      <c r="F111">
        <f ca="1">SUM($E$2:E111)/SUM($D$2:D111)</f>
        <v>157.50862519670034</v>
      </c>
      <c r="G111">
        <f ca="1">_xlfn.STDEV.P($C$2:C111)</f>
        <v>5.4343296141632687</v>
      </c>
      <c r="H111">
        <f t="shared" ca="1" si="22"/>
        <v>162.9429548108636</v>
      </c>
      <c r="I111">
        <f t="shared" ca="1" si="23"/>
        <v>152.07429558253708</v>
      </c>
      <c r="J111">
        <f t="shared" ca="1" si="32"/>
        <v>159.86399999999998</v>
      </c>
      <c r="K111">
        <f t="shared" ca="1" si="33"/>
        <v>5.7802316471519433</v>
      </c>
      <c r="L111">
        <f t="shared" ca="1" si="34"/>
        <v>171.42446329430385</v>
      </c>
      <c r="M111">
        <f t="shared" ca="1" si="35"/>
        <v>148.3035367056961</v>
      </c>
      <c r="N111">
        <f t="shared" ca="1" si="24"/>
        <v>-1.2599999999999909</v>
      </c>
      <c r="O111">
        <f t="shared" ca="1" si="25"/>
        <v>0</v>
      </c>
      <c r="P111">
        <f t="shared" ca="1" si="26"/>
        <v>1.2599999999999909</v>
      </c>
      <c r="Q111">
        <f t="shared" ca="1" si="30"/>
        <v>1.0633941672687481</v>
      </c>
      <c r="R111">
        <f t="shared" ca="1" si="31"/>
        <v>0.43437211346604521</v>
      </c>
      <c r="S111">
        <f t="shared" ca="1" si="28"/>
        <v>2.4481179484186053</v>
      </c>
      <c r="T111">
        <f t="shared" ca="1" si="29"/>
        <v>70.998671885379508</v>
      </c>
      <c r="U111">
        <f>70</f>
        <v>70</v>
      </c>
      <c r="V111">
        <f>30</f>
        <v>30</v>
      </c>
      <c r="W111">
        <f t="shared" ca="1" si="27"/>
        <v>164.08449377146832</v>
      </c>
      <c r="X111">
        <f t="shared" ca="1" si="37"/>
        <v>160.29667197727613</v>
      </c>
      <c r="Y111">
        <f t="shared" ca="1" si="36"/>
        <v>3.6775961752460091</v>
      </c>
      <c r="Z111">
        <f t="shared" ca="1" si="38"/>
        <v>2.838361888855629</v>
      </c>
      <c r="AA111">
        <f t="shared" ca="1" si="39"/>
        <v>0.83923428639038011</v>
      </c>
      <c r="AB111">
        <f t="shared" ca="1" si="40"/>
        <v>157.02970000000002</v>
      </c>
    </row>
    <row r="112" spans="1:28" x14ac:dyDescent="0.25">
      <c r="A112" s="20">
        <f t="shared" ca="1" si="20"/>
        <v>45866</v>
      </c>
      <c r="B112" vm="328">
        <f ca="1"/>
        <v>45866</v>
      </c>
      <c r="C112" vm="329">
        <f ca="1"/>
        <v>166.22</v>
      </c>
      <c r="D112" vm="330">
        <f ca="1"/>
        <v>8014640</v>
      </c>
      <c r="E112">
        <f t="shared" ca="1" si="21"/>
        <v>1332193460.8</v>
      </c>
      <c r="F112">
        <f ca="1">SUM($E$2:E112)/SUM($D$2:D112)</f>
        <v>157.57766249953085</v>
      </c>
      <c r="G112">
        <f ca="1">_xlfn.STDEV.P($C$2:C112)</f>
        <v>5.4719503808697345</v>
      </c>
      <c r="H112">
        <f t="shared" ca="1" si="22"/>
        <v>163.04961288040059</v>
      </c>
      <c r="I112">
        <f t="shared" ca="1" si="23"/>
        <v>152.1057121186611</v>
      </c>
      <c r="J112">
        <f t="shared" ca="1" si="32"/>
        <v>160.55449999999999</v>
      </c>
      <c r="K112">
        <f t="shared" ca="1" si="33"/>
        <v>5.6666675206397725</v>
      </c>
      <c r="L112">
        <f t="shared" ca="1" si="34"/>
        <v>171.88783504127954</v>
      </c>
      <c r="M112">
        <f t="shared" ca="1" si="35"/>
        <v>149.22116495872044</v>
      </c>
      <c r="N112">
        <f t="shared" ca="1" si="24"/>
        <v>-2.0800000000000125</v>
      </c>
      <c r="O112">
        <f t="shared" ca="1" si="25"/>
        <v>0</v>
      </c>
      <c r="P112">
        <f t="shared" ca="1" si="26"/>
        <v>2.0800000000000125</v>
      </c>
      <c r="Q112">
        <f t="shared" ca="1" si="30"/>
        <v>0.98743744103526609</v>
      </c>
      <c r="R112">
        <f t="shared" ca="1" si="31"/>
        <v>0.55191696250418576</v>
      </c>
      <c r="S112">
        <f t="shared" ca="1" si="28"/>
        <v>1.7891050794217569</v>
      </c>
      <c r="T112">
        <f t="shared" ca="1" si="29"/>
        <v>64.14620562781657</v>
      </c>
      <c r="U112">
        <f>70</f>
        <v>70</v>
      </c>
      <c r="V112">
        <f>30</f>
        <v>30</v>
      </c>
      <c r="W112">
        <f t="shared" ca="1" si="27"/>
        <v>164.41303319124242</v>
      </c>
      <c r="X112">
        <f t="shared" ca="1" si="37"/>
        <v>160.73543701599641</v>
      </c>
      <c r="Y112">
        <f t="shared" ca="1" si="36"/>
        <v>3.7000963749292737</v>
      </c>
      <c r="Z112">
        <f t="shared" ca="1" si="38"/>
        <v>3.0107087860703579</v>
      </c>
      <c r="AA112">
        <f t="shared" ca="1" si="39"/>
        <v>0.68938758885891582</v>
      </c>
      <c r="AB112">
        <f t="shared" ca="1" si="40"/>
        <v>157.03770000000003</v>
      </c>
    </row>
    <row r="113" spans="1:28" x14ac:dyDescent="0.25">
      <c r="A113" s="20">
        <f t="shared" ca="1" si="20"/>
        <v>45866</v>
      </c>
      <c r="B113" vm="331">
        <f ca="1"/>
        <v>45867</v>
      </c>
      <c r="C113" vm="332">
        <f ca="1"/>
        <v>168.11</v>
      </c>
      <c r="D113" vm="333">
        <f ca="1"/>
        <v>7663408</v>
      </c>
      <c r="E113">
        <f t="shared" ca="1" si="21"/>
        <v>1288295518.8800001</v>
      </c>
      <c r="F113">
        <f ca="1">SUM($E$2:E113)/SUM($D$2:D113)</f>
        <v>157.65687273109387</v>
      </c>
      <c r="G113">
        <f ca="1">_xlfn.STDEV.P($C$2:C113)</f>
        <v>5.5365482983488006</v>
      </c>
      <c r="H113">
        <f t="shared" ca="1" si="22"/>
        <v>163.19342102944267</v>
      </c>
      <c r="I113">
        <f t="shared" ca="1" si="23"/>
        <v>152.12032443274506</v>
      </c>
      <c r="J113">
        <f t="shared" ca="1" si="32"/>
        <v>161.32249999999999</v>
      </c>
      <c r="K113">
        <f t="shared" ca="1" si="33"/>
        <v>5.5936532408567672</v>
      </c>
      <c r="L113">
        <f t="shared" ca="1" si="34"/>
        <v>172.50980648171353</v>
      </c>
      <c r="M113">
        <f t="shared" ca="1" si="35"/>
        <v>150.13519351828646</v>
      </c>
      <c r="N113">
        <f t="shared" ca="1" si="24"/>
        <v>1.8900000000000148</v>
      </c>
      <c r="O113">
        <f t="shared" ca="1" si="25"/>
        <v>1.8900000000000148</v>
      </c>
      <c r="P113">
        <f t="shared" ca="1" si="26"/>
        <v>0</v>
      </c>
      <c r="Q113">
        <f t="shared" ca="1" si="30"/>
        <v>1.0519061952470339</v>
      </c>
      <c r="R113">
        <f t="shared" ca="1" si="31"/>
        <v>0.51249432232531533</v>
      </c>
      <c r="S113">
        <f t="shared" ca="1" si="28"/>
        <v>2.0525226318103811</v>
      </c>
      <c r="T113">
        <f t="shared" ca="1" si="29"/>
        <v>67.240210127224415</v>
      </c>
      <c r="U113">
        <f>70</f>
        <v>70</v>
      </c>
      <c r="V113">
        <f>30</f>
        <v>30</v>
      </c>
      <c r="W113">
        <f t="shared" ca="1" si="27"/>
        <v>164.98179731566668</v>
      </c>
      <c r="X113">
        <f t="shared" ca="1" si="37"/>
        <v>161.28170094073741</v>
      </c>
      <c r="Y113">
        <f t="shared" ca="1" si="36"/>
        <v>3.6077521282431348</v>
      </c>
      <c r="Z113">
        <f t="shared" ca="1" si="38"/>
        <v>3.1301174545049135</v>
      </c>
      <c r="AA113">
        <f t="shared" ca="1" si="39"/>
        <v>0.47763467373822133</v>
      </c>
      <c r="AB113">
        <f t="shared" ca="1" si="40"/>
        <v>157.06760000000003</v>
      </c>
    </row>
    <row r="114" spans="1:28" x14ac:dyDescent="0.25">
      <c r="A114" s="20">
        <f t="shared" ca="1" si="20"/>
        <v>45866</v>
      </c>
      <c r="B114" vm="334">
        <f ca="1"/>
        <v>45868</v>
      </c>
      <c r="C114" vm="335">
        <f ca="1"/>
        <v>167.26</v>
      </c>
      <c r="D114" vm="336">
        <f ca="1"/>
        <v>6189161</v>
      </c>
      <c r="E114">
        <f t="shared" ca="1" si="21"/>
        <v>1035199068.8599999</v>
      </c>
      <c r="F114">
        <f ca="1">SUM($E$2:E114)/SUM($D$2:D114)</f>
        <v>157.71484885249026</v>
      </c>
      <c r="G114">
        <f ca="1">_xlfn.STDEV.P($C$2:C114)</f>
        <v>5.5844141641622187</v>
      </c>
      <c r="H114">
        <f t="shared" ca="1" si="22"/>
        <v>163.29926301665247</v>
      </c>
      <c r="I114">
        <f t="shared" ca="1" si="23"/>
        <v>152.13043468832805</v>
      </c>
      <c r="J114">
        <f t="shared" ca="1" si="32"/>
        <v>161.8895</v>
      </c>
      <c r="K114">
        <f t="shared" ca="1" si="33"/>
        <v>5.5919457822460128</v>
      </c>
      <c r="L114">
        <f t="shared" ca="1" si="34"/>
        <v>173.07339156449203</v>
      </c>
      <c r="M114">
        <f t="shared" ca="1" si="35"/>
        <v>150.70560843550797</v>
      </c>
      <c r="N114">
        <f t="shared" ca="1" si="24"/>
        <v>-0.85000000000002274</v>
      </c>
      <c r="O114">
        <f t="shared" ca="1" si="25"/>
        <v>0</v>
      </c>
      <c r="P114">
        <f t="shared" ca="1" si="26"/>
        <v>0.85000000000002274</v>
      </c>
      <c r="Q114">
        <f t="shared" ca="1" si="30"/>
        <v>0.97677003844367427</v>
      </c>
      <c r="R114">
        <f t="shared" ca="1" si="31"/>
        <v>0.53660187073065158</v>
      </c>
      <c r="S114">
        <f t="shared" ca="1" si="28"/>
        <v>1.8202881721483339</v>
      </c>
      <c r="T114">
        <f t="shared" ca="1" si="29"/>
        <v>64.542630434880095</v>
      </c>
      <c r="U114">
        <f>70</f>
        <v>70</v>
      </c>
      <c r="V114">
        <f>30</f>
        <v>30</v>
      </c>
      <c r="W114">
        <f t="shared" ca="1" si="27"/>
        <v>165.33229003633335</v>
      </c>
      <c r="X114">
        <f t="shared" ca="1" si="37"/>
        <v>161.72453790809021</v>
      </c>
      <c r="Y114">
        <f t="shared" ca="1" si="36"/>
        <v>3.2932630218281531</v>
      </c>
      <c r="Z114">
        <f t="shared" ca="1" si="38"/>
        <v>3.1627465679695614</v>
      </c>
      <c r="AA114">
        <f t="shared" ca="1" si="39"/>
        <v>0.13051645385859167</v>
      </c>
      <c r="AB114">
        <f t="shared" ca="1" si="40"/>
        <v>157.08190000000002</v>
      </c>
    </row>
    <row r="115" spans="1:28" x14ac:dyDescent="0.25">
      <c r="A115" s="20">
        <f t="shared" ca="1" si="20"/>
        <v>45866</v>
      </c>
      <c r="B115" vm="337">
        <f ca="1"/>
        <v>45869</v>
      </c>
      <c r="C115" vm="338">
        <f ca="1"/>
        <v>164.74</v>
      </c>
      <c r="D115" vm="339">
        <f ca="1"/>
        <v>11036179</v>
      </c>
      <c r="E115">
        <f t="shared" ca="1" si="21"/>
        <v>1818100128.46</v>
      </c>
      <c r="F115">
        <f ca="1">SUM($E$2:E115)/SUM($D$2:D115)</f>
        <v>157.78967076522125</v>
      </c>
      <c r="G115">
        <f ca="1">_xlfn.STDEV.P($C$2:C115)</f>
        <v>5.5976921771444932</v>
      </c>
      <c r="H115">
        <f t="shared" ca="1" si="22"/>
        <v>163.38736294236574</v>
      </c>
      <c r="I115">
        <f t="shared" ca="1" si="23"/>
        <v>152.19197858807675</v>
      </c>
      <c r="J115">
        <f t="shared" ca="1" si="32"/>
        <v>162.34849999999997</v>
      </c>
      <c r="K115">
        <f t="shared" ca="1" si="33"/>
        <v>5.4191495497084494</v>
      </c>
      <c r="L115">
        <f t="shared" ca="1" si="34"/>
        <v>173.18679909941687</v>
      </c>
      <c r="M115">
        <f t="shared" ca="1" si="35"/>
        <v>151.51020090058307</v>
      </c>
      <c r="N115">
        <f t="shared" ca="1" si="24"/>
        <v>-2.5199999999999818</v>
      </c>
      <c r="O115">
        <f t="shared" ca="1" si="25"/>
        <v>0</v>
      </c>
      <c r="P115">
        <f t="shared" ca="1" si="26"/>
        <v>2.5199999999999818</v>
      </c>
      <c r="Q115">
        <f t="shared" ca="1" si="30"/>
        <v>0.90700074998341174</v>
      </c>
      <c r="R115">
        <f t="shared" ca="1" si="31"/>
        <v>0.67827316567846097</v>
      </c>
      <c r="S115">
        <f t="shared" ca="1" si="28"/>
        <v>1.3372204531726681</v>
      </c>
      <c r="T115">
        <f t="shared" ca="1" si="29"/>
        <v>57.214134480016789</v>
      </c>
      <c r="U115">
        <f>70</f>
        <v>70</v>
      </c>
      <c r="V115">
        <f>30</f>
        <v>30</v>
      </c>
      <c r="W115">
        <f t="shared" ca="1" si="27"/>
        <v>165.24116849228207</v>
      </c>
      <c r="X115">
        <f t="shared" ca="1" si="37"/>
        <v>161.94790547045392</v>
      </c>
      <c r="Y115">
        <f t="shared" ca="1" si="36"/>
        <v>3.2159480464679291</v>
      </c>
      <c r="Z115">
        <f t="shared" ca="1" si="38"/>
        <v>3.1733868636692351</v>
      </c>
      <c r="AA115">
        <f t="shared" ca="1" si="39"/>
        <v>4.2561182798694031E-2</v>
      </c>
      <c r="AB115">
        <f t="shared" ca="1" si="40"/>
        <v>157.06240000000003</v>
      </c>
    </row>
    <row r="116" spans="1:28" x14ac:dyDescent="0.25">
      <c r="A116" s="20">
        <f t="shared" ca="1" si="20"/>
        <v>45866</v>
      </c>
      <c r="B116" vm="340">
        <f ca="1"/>
        <v>45870</v>
      </c>
      <c r="C116" vm="341">
        <f ca="1"/>
        <v>167.33</v>
      </c>
      <c r="D116" vm="342">
        <f ca="1"/>
        <v>8928229</v>
      </c>
      <c r="E116">
        <f t="shared" ca="1" si="21"/>
        <v>1493960558.5700002</v>
      </c>
      <c r="F116">
        <f ca="1">SUM($E$2:E116)/SUM($D$2:D116)</f>
        <v>157.87117067125331</v>
      </c>
      <c r="G116">
        <f ca="1">_xlfn.STDEV.P($C$2:C116)</f>
        <v>5.6426018586596847</v>
      </c>
      <c r="H116">
        <f t="shared" ca="1" si="22"/>
        <v>163.51377252991298</v>
      </c>
      <c r="I116">
        <f t="shared" ca="1" si="23"/>
        <v>152.22856881259364</v>
      </c>
      <c r="J116">
        <f t="shared" ca="1" si="32"/>
        <v>162.9145</v>
      </c>
      <c r="K116">
        <f t="shared" ca="1" si="33"/>
        <v>5.3123891691225475</v>
      </c>
      <c r="L116">
        <f t="shared" ca="1" si="34"/>
        <v>173.53927833824511</v>
      </c>
      <c r="M116">
        <f t="shared" ca="1" si="35"/>
        <v>152.2897216617549</v>
      </c>
      <c r="N116">
        <f t="shared" ca="1" si="24"/>
        <v>2.5900000000000034</v>
      </c>
      <c r="O116">
        <f t="shared" ca="1" si="25"/>
        <v>2.5900000000000034</v>
      </c>
      <c r="P116">
        <f t="shared" ca="1" si="26"/>
        <v>0</v>
      </c>
      <c r="Q116">
        <f t="shared" ca="1" si="30"/>
        <v>1.0272149821274541</v>
      </c>
      <c r="R116">
        <f t="shared" ca="1" si="31"/>
        <v>0.62982508241571378</v>
      </c>
      <c r="S116">
        <f t="shared" ca="1" si="28"/>
        <v>1.6309528007165719</v>
      </c>
      <c r="T116">
        <f t="shared" ca="1" si="29"/>
        <v>61.990956290525702</v>
      </c>
      <c r="U116">
        <f>70</f>
        <v>70</v>
      </c>
      <c r="V116">
        <f>30</f>
        <v>30</v>
      </c>
      <c r="W116">
        <f t="shared" ca="1" si="27"/>
        <v>165.56252718577713</v>
      </c>
      <c r="X116">
        <f t="shared" ca="1" si="37"/>
        <v>162.3465791393092</v>
      </c>
      <c r="Y116">
        <f t="shared" ca="1" si="36"/>
        <v>3.4146790709410766</v>
      </c>
      <c r="Z116">
        <f t="shared" ca="1" si="38"/>
        <v>3.2216453051236034</v>
      </c>
      <c r="AA116">
        <f t="shared" ca="1" si="39"/>
        <v>0.19303376581747322</v>
      </c>
      <c r="AB116">
        <f t="shared" ca="1" si="40"/>
        <v>157.05870000000002</v>
      </c>
    </row>
    <row r="117" spans="1:28" x14ac:dyDescent="0.25">
      <c r="A117" s="20">
        <f t="shared" ca="1" si="20"/>
        <v>45873</v>
      </c>
      <c r="B117" vm="343">
        <f ca="1"/>
        <v>45873</v>
      </c>
      <c r="C117" vm="344">
        <f ca="1"/>
        <v>171.04</v>
      </c>
      <c r="D117" vm="345">
        <f ca="1"/>
        <v>12679095</v>
      </c>
      <c r="E117">
        <f t="shared" ca="1" si="21"/>
        <v>2168632408.7999997</v>
      </c>
      <c r="F117">
        <f ca="1">SUM($E$2:E117)/SUM($D$2:D117)</f>
        <v>158.02901423663005</v>
      </c>
      <c r="G117">
        <f ca="1">_xlfn.STDEV.P($C$2:C117)</f>
        <v>5.7477237617029102</v>
      </c>
      <c r="H117">
        <f t="shared" ca="1" si="22"/>
        <v>163.77673799833295</v>
      </c>
      <c r="I117">
        <f t="shared" ca="1" si="23"/>
        <v>152.28129047492715</v>
      </c>
      <c r="J117">
        <f t="shared" ca="1" si="32"/>
        <v>163.70300000000003</v>
      </c>
      <c r="K117">
        <f t="shared" ca="1" si="33"/>
        <v>5.2883129336500652</v>
      </c>
      <c r="L117">
        <f t="shared" ca="1" si="34"/>
        <v>174.27962586730015</v>
      </c>
      <c r="M117">
        <f t="shared" ca="1" si="35"/>
        <v>153.12637413269991</v>
      </c>
      <c r="N117">
        <f t="shared" ca="1" si="24"/>
        <v>3.7099999999999795</v>
      </c>
      <c r="O117">
        <f t="shared" ca="1" si="25"/>
        <v>3.7099999999999795</v>
      </c>
      <c r="P117">
        <f t="shared" ca="1" si="26"/>
        <v>0</v>
      </c>
      <c r="Q117">
        <f t="shared" ca="1" si="30"/>
        <v>1.2188424834040632</v>
      </c>
      <c r="R117">
        <f t="shared" ca="1" si="31"/>
        <v>0.58483757652887713</v>
      </c>
      <c r="S117">
        <f t="shared" ca="1" si="28"/>
        <v>2.0840700603373103</v>
      </c>
      <c r="T117">
        <f t="shared" ca="1" si="29"/>
        <v>67.575315072750712</v>
      </c>
      <c r="U117">
        <f>70</f>
        <v>70</v>
      </c>
      <c r="V117">
        <f>30</f>
        <v>30</v>
      </c>
      <c r="W117">
        <f t="shared" ca="1" si="27"/>
        <v>166.40521531104218</v>
      </c>
      <c r="X117">
        <f t="shared" ca="1" si="37"/>
        <v>162.99053624010111</v>
      </c>
      <c r="Y117">
        <f t="shared" ca="1" si="36"/>
        <v>3.5075346705033326</v>
      </c>
      <c r="Z117">
        <f t="shared" ca="1" si="38"/>
        <v>3.2788231781995494</v>
      </c>
      <c r="AA117">
        <f t="shared" ca="1" si="39"/>
        <v>0.22871149230378318</v>
      </c>
      <c r="AB117">
        <f t="shared" ca="1" si="40"/>
        <v>157.11050000000003</v>
      </c>
    </row>
    <row r="118" spans="1:28" x14ac:dyDescent="0.25">
      <c r="A118" s="20">
        <f t="shared" ca="1" si="20"/>
        <v>45873</v>
      </c>
      <c r="B118" vm="346">
        <f ca="1"/>
        <v>45874</v>
      </c>
      <c r="C118" vm="347">
        <f ca="1"/>
        <v>170.74</v>
      </c>
      <c r="D118" vm="348">
        <f ca="1"/>
        <v>7934442</v>
      </c>
      <c r="E118">
        <f t="shared" ca="1" si="21"/>
        <v>1354726627.0800002</v>
      </c>
      <c r="F118">
        <f ca="1">SUM($E$2:E118)/SUM($D$2:D118)</f>
        <v>158.12364703391225</v>
      </c>
      <c r="G118">
        <f ca="1">_xlfn.STDEV.P($C$2:C118)</f>
        <v>5.8414812348428367</v>
      </c>
      <c r="H118">
        <f t="shared" ca="1" si="22"/>
        <v>163.96512826875508</v>
      </c>
      <c r="I118">
        <f t="shared" ca="1" si="23"/>
        <v>152.28216579906942</v>
      </c>
      <c r="J118">
        <f t="shared" ca="1" si="32"/>
        <v>164.45049999999998</v>
      </c>
      <c r="K118">
        <f t="shared" ca="1" si="33"/>
        <v>5.1661219039348865</v>
      </c>
      <c r="L118">
        <f t="shared" ca="1" si="34"/>
        <v>174.78274380786974</v>
      </c>
      <c r="M118">
        <f t="shared" ca="1" si="35"/>
        <v>154.11825619213022</v>
      </c>
      <c r="N118">
        <f t="shared" ca="1" si="24"/>
        <v>-0.29999999999998295</v>
      </c>
      <c r="O118">
        <f t="shared" ca="1" si="25"/>
        <v>0</v>
      </c>
      <c r="P118">
        <f t="shared" ca="1" si="26"/>
        <v>0.29999999999998295</v>
      </c>
      <c r="Q118">
        <f t="shared" ca="1" si="30"/>
        <v>1.1317823060180587</v>
      </c>
      <c r="R118">
        <f t="shared" ca="1" si="31"/>
        <v>0.56449203534824188</v>
      </c>
      <c r="S118">
        <f t="shared" ca="1" si="28"/>
        <v>2.0049570855678214</v>
      </c>
      <c r="T118">
        <f t="shared" ca="1" si="29"/>
        <v>66.721654535341287</v>
      </c>
      <c r="U118">
        <f>70</f>
        <v>70</v>
      </c>
      <c r="V118">
        <f>30</f>
        <v>30</v>
      </c>
      <c r="W118">
        <f t="shared" ca="1" si="27"/>
        <v>167.07210526318954</v>
      </c>
      <c r="X118">
        <f t="shared" ca="1" si="37"/>
        <v>163.56457059268621</v>
      </c>
      <c r="Y118">
        <f t="shared" ca="1" si="36"/>
        <v>3.5283470670776751</v>
      </c>
      <c r="Z118">
        <f t="shared" ca="1" si="38"/>
        <v>3.3287279559751748</v>
      </c>
      <c r="AA118">
        <f t="shared" ca="1" si="39"/>
        <v>0.1996191111025003</v>
      </c>
      <c r="AB118">
        <f t="shared" ca="1" si="40"/>
        <v>157.18940000000003</v>
      </c>
    </row>
    <row r="119" spans="1:28" x14ac:dyDescent="0.25">
      <c r="A119" s="20">
        <f t="shared" ca="1" si="20"/>
        <v>45873</v>
      </c>
      <c r="B119" vm="349">
        <f ca="1"/>
        <v>45875</v>
      </c>
      <c r="C119" vm="350">
        <f ca="1"/>
        <v>170.59</v>
      </c>
      <c r="D119" vm="351">
        <f ca="1"/>
        <v>8957240</v>
      </c>
      <c r="E119">
        <f t="shared" ca="1" si="21"/>
        <v>1528015571.6000001</v>
      </c>
      <c r="F119">
        <f ca="1">SUM($E$2:E119)/SUM($D$2:D119)</f>
        <v>158.22754925719937</v>
      </c>
      <c r="G119">
        <f ca="1">_xlfn.STDEV.P($C$2:C119)</f>
        <v>5.927603087950895</v>
      </c>
      <c r="H119">
        <f t="shared" ca="1" si="22"/>
        <v>164.15515234515027</v>
      </c>
      <c r="I119">
        <f t="shared" ca="1" si="23"/>
        <v>152.29994616924847</v>
      </c>
      <c r="J119">
        <f t="shared" ca="1" si="32"/>
        <v>165.166</v>
      </c>
      <c r="K119">
        <f t="shared" ca="1" si="33"/>
        <v>4.9618814343372897</v>
      </c>
      <c r="L119">
        <f t="shared" ca="1" si="34"/>
        <v>175.08976286867457</v>
      </c>
      <c r="M119">
        <f t="shared" ca="1" si="35"/>
        <v>155.24223713132542</v>
      </c>
      <c r="N119">
        <f t="shared" ca="1" si="24"/>
        <v>-0.15000000000000568</v>
      </c>
      <c r="O119">
        <f t="shared" ca="1" si="25"/>
        <v>0</v>
      </c>
      <c r="P119">
        <f t="shared" ca="1" si="26"/>
        <v>0.15000000000000568</v>
      </c>
      <c r="Q119">
        <f t="shared" ca="1" si="30"/>
        <v>1.0509407127310546</v>
      </c>
      <c r="R119">
        <f t="shared" ca="1" si="31"/>
        <v>0.53488546139479642</v>
      </c>
      <c r="S119">
        <f t="shared" ca="1" si="28"/>
        <v>1.9647958087897257</v>
      </c>
      <c r="T119">
        <f t="shared" ca="1" si="29"/>
        <v>66.270864353109857</v>
      </c>
      <c r="U119">
        <f>70</f>
        <v>70</v>
      </c>
      <c r="V119">
        <f>30</f>
        <v>30</v>
      </c>
      <c r="W119">
        <f t="shared" ca="1" si="27"/>
        <v>167.61331983808344</v>
      </c>
      <c r="X119">
        <f t="shared" ca="1" si="37"/>
        <v>164.08497277100577</v>
      </c>
      <c r="Y119">
        <f t="shared" ca="1" si="36"/>
        <v>3.5794297473900656</v>
      </c>
      <c r="Z119">
        <f t="shared" ca="1" si="38"/>
        <v>3.378868314258153</v>
      </c>
      <c r="AA119">
        <f t="shared" ca="1" si="39"/>
        <v>0.20056143313191255</v>
      </c>
      <c r="AB119">
        <f t="shared" ca="1" si="40"/>
        <v>157.26540000000003</v>
      </c>
    </row>
    <row r="120" spans="1:28" x14ac:dyDescent="0.25">
      <c r="A120" s="20">
        <f t="shared" ca="1" si="20"/>
        <v>45873</v>
      </c>
      <c r="B120" vm="352">
        <f ca="1"/>
        <v>45876</v>
      </c>
      <c r="C120" vm="353">
        <f ca="1"/>
        <v>171.53</v>
      </c>
      <c r="D120" vm="354">
        <f ca="1"/>
        <v>9315942</v>
      </c>
      <c r="E120">
        <f t="shared" ca="1" si="21"/>
        <v>1597963531.26</v>
      </c>
      <c r="F120">
        <f ca="1">SUM($E$2:E120)/SUM($D$2:D120)</f>
        <v>158.34186900010121</v>
      </c>
      <c r="G120">
        <f ca="1">_xlfn.STDEV.P($C$2:C120)</f>
        <v>6.0259502645339076</v>
      </c>
      <c r="H120">
        <f t="shared" ca="1" si="22"/>
        <v>164.36781926463513</v>
      </c>
      <c r="I120">
        <f t="shared" ca="1" si="23"/>
        <v>152.31591873556729</v>
      </c>
      <c r="J120">
        <f t="shared" ca="1" si="32"/>
        <v>165.85799999999998</v>
      </c>
      <c r="K120">
        <f t="shared" ca="1" si="33"/>
        <v>4.8276490955198588</v>
      </c>
      <c r="L120">
        <f t="shared" ca="1" si="34"/>
        <v>175.51329819103969</v>
      </c>
      <c r="M120">
        <f t="shared" ca="1" si="35"/>
        <v>156.20270180896026</v>
      </c>
      <c r="N120">
        <f t="shared" ca="1" si="24"/>
        <v>0.93999999999999773</v>
      </c>
      <c r="O120">
        <f t="shared" ca="1" si="25"/>
        <v>0.93999999999999773</v>
      </c>
      <c r="P120">
        <f t="shared" ca="1" si="26"/>
        <v>0</v>
      </c>
      <c r="Q120">
        <f t="shared" ca="1" si="30"/>
        <v>1.0430163761074076</v>
      </c>
      <c r="R120">
        <f t="shared" ca="1" si="31"/>
        <v>0.49667935700945381</v>
      </c>
      <c r="S120">
        <f t="shared" ca="1" si="28"/>
        <v>2.0999793154027837</v>
      </c>
      <c r="T120">
        <f t="shared" ca="1" si="29"/>
        <v>67.741720242089144</v>
      </c>
      <c r="U120">
        <f>70</f>
        <v>70</v>
      </c>
      <c r="V120">
        <f>30</f>
        <v>30</v>
      </c>
      <c r="W120">
        <f t="shared" ca="1" si="27"/>
        <v>168.21588601683985</v>
      </c>
      <c r="X120">
        <f t="shared" ca="1" si="37"/>
        <v>164.63645626944978</v>
      </c>
      <c r="Y120">
        <f t="shared" ca="1" si="36"/>
        <v>3.7222503117671408</v>
      </c>
      <c r="Z120">
        <f t="shared" ca="1" si="38"/>
        <v>3.4475447137599509</v>
      </c>
      <c r="AA120">
        <f t="shared" ca="1" si="39"/>
        <v>0.27470559800718997</v>
      </c>
      <c r="AB120">
        <f t="shared" ca="1" si="40"/>
        <v>157.35260000000005</v>
      </c>
    </row>
    <row r="121" spans="1:28" x14ac:dyDescent="0.25">
      <c r="A121" s="20">
        <f t="shared" ca="1" si="20"/>
        <v>45873</v>
      </c>
      <c r="B121" vm="355">
        <f ca="1"/>
        <v>45877</v>
      </c>
      <c r="C121" vm="356">
        <f ca="1"/>
        <v>173.33</v>
      </c>
      <c r="D121" vm="357">
        <f ca="1"/>
        <v>7686765</v>
      </c>
      <c r="E121">
        <f t="shared" ca="1" si="21"/>
        <v>1332346977.45</v>
      </c>
      <c r="F121">
        <f ca="1">SUM($E$2:E121)/SUM($D$2:D121)</f>
        <v>158.4474012459753</v>
      </c>
      <c r="G121">
        <f ca="1">_xlfn.STDEV.P($C$2:C121)</f>
        <v>6.1532496631183982</v>
      </c>
      <c r="H121">
        <f t="shared" ca="1" si="22"/>
        <v>164.6006509090937</v>
      </c>
      <c r="I121">
        <f t="shared" ca="1" si="23"/>
        <v>152.2941515828569</v>
      </c>
      <c r="J121">
        <f t="shared" ca="1" si="32"/>
        <v>166.67949999999999</v>
      </c>
      <c r="K121">
        <f t="shared" ca="1" si="33"/>
        <v>4.616363885821376</v>
      </c>
      <c r="L121">
        <f t="shared" ca="1" si="34"/>
        <v>175.91222777164273</v>
      </c>
      <c r="M121">
        <f t="shared" ca="1" si="35"/>
        <v>157.44677222835725</v>
      </c>
      <c r="N121">
        <f t="shared" ca="1" si="24"/>
        <v>1.8000000000000114</v>
      </c>
      <c r="O121">
        <f t="shared" ca="1" si="25"/>
        <v>1.8000000000000114</v>
      </c>
      <c r="P121">
        <f t="shared" ca="1" si="26"/>
        <v>0</v>
      </c>
      <c r="Q121">
        <f t="shared" ca="1" si="30"/>
        <v>1.0970866349568793</v>
      </c>
      <c r="R121">
        <f t="shared" ca="1" si="31"/>
        <v>0.46120226008020715</v>
      </c>
      <c r="S121">
        <f t="shared" ca="1" si="28"/>
        <v>2.3787538134919077</v>
      </c>
      <c r="T121">
        <f t="shared" ca="1" si="29"/>
        <v>70.403289046782902</v>
      </c>
      <c r="U121">
        <f>70</f>
        <v>70</v>
      </c>
      <c r="V121">
        <f>30</f>
        <v>30</v>
      </c>
      <c r="W121">
        <f t="shared" ca="1" si="27"/>
        <v>169.00267278347988</v>
      </c>
      <c r="X121">
        <f t="shared" ca="1" si="37"/>
        <v>165.28042247171274</v>
      </c>
      <c r="Y121">
        <f t="shared" ca="1" si="36"/>
        <v>3.830816277455483</v>
      </c>
      <c r="Z121">
        <f t="shared" ca="1" si="38"/>
        <v>3.5241990264990575</v>
      </c>
      <c r="AA121">
        <f t="shared" ca="1" si="39"/>
        <v>0.30661725095642556</v>
      </c>
      <c r="AB121">
        <f t="shared" ca="1" si="40"/>
        <v>157.45750000000004</v>
      </c>
    </row>
    <row r="122" spans="1:28" x14ac:dyDescent="0.25">
      <c r="A122" s="20">
        <f t="shared" ca="1" si="20"/>
        <v>45880</v>
      </c>
      <c r="B122" vm="358">
        <f ca="1"/>
        <v>45880</v>
      </c>
      <c r="C122" vm="359">
        <f ca="1"/>
        <v>173.82</v>
      </c>
      <c r="D122" vm="360">
        <f ca="1"/>
        <v>7256778</v>
      </c>
      <c r="E122">
        <f t="shared" ca="1" si="21"/>
        <v>1261373151.96</v>
      </c>
      <c r="F122">
        <f ca="1">SUM($E$2:E122)/SUM($D$2:D122)</f>
        <v>158.54891103865498</v>
      </c>
      <c r="G122">
        <f ca="1">_xlfn.STDEV.P($C$2:C122)</f>
        <v>6.2831622032800718</v>
      </c>
      <c r="H122">
        <f t="shared" ca="1" si="22"/>
        <v>164.83207324193506</v>
      </c>
      <c r="I122">
        <f t="shared" ca="1" si="23"/>
        <v>152.26574883537489</v>
      </c>
      <c r="J122">
        <f t="shared" ca="1" si="32"/>
        <v>167.52950000000001</v>
      </c>
      <c r="K122">
        <f t="shared" ca="1" si="33"/>
        <v>4.2564656391003712</v>
      </c>
      <c r="L122">
        <f t="shared" ca="1" si="34"/>
        <v>176.04243127820075</v>
      </c>
      <c r="M122">
        <f t="shared" ca="1" si="35"/>
        <v>159.01656872179927</v>
      </c>
      <c r="N122">
        <f t="shared" ca="1" si="24"/>
        <v>0.48999999999998067</v>
      </c>
      <c r="O122">
        <f t="shared" ca="1" si="25"/>
        <v>0.48999999999998067</v>
      </c>
      <c r="P122">
        <f t="shared" ca="1" si="26"/>
        <v>0</v>
      </c>
      <c r="Q122">
        <f t="shared" ca="1" si="30"/>
        <v>1.0537233038885294</v>
      </c>
      <c r="R122">
        <f t="shared" ca="1" si="31"/>
        <v>0.42825924150304945</v>
      </c>
      <c r="S122">
        <f t="shared" ca="1" si="28"/>
        <v>2.4604800125043567</v>
      </c>
      <c r="T122">
        <f t="shared" ca="1" si="29"/>
        <v>71.102274933346663</v>
      </c>
      <c r="U122">
        <f>70</f>
        <v>70</v>
      </c>
      <c r="V122">
        <f>30</f>
        <v>30</v>
      </c>
      <c r="W122">
        <f t="shared" ca="1" si="27"/>
        <v>169.74380004755989</v>
      </c>
      <c r="X122">
        <f t="shared" ca="1" si="37"/>
        <v>165.9129837701044</v>
      </c>
      <c r="Y122">
        <f t="shared" ca="1" si="36"/>
        <v>3.7892560935651431</v>
      </c>
      <c r="Z122">
        <f t="shared" ca="1" si="38"/>
        <v>3.5772104399122746</v>
      </c>
      <c r="AA122">
        <f t="shared" ca="1" si="39"/>
        <v>0.21204565365286854</v>
      </c>
      <c r="AB122">
        <f t="shared" ca="1" si="40"/>
        <v>157.55320000000003</v>
      </c>
    </row>
    <row r="123" spans="1:28" x14ac:dyDescent="0.25">
      <c r="A123" s="20">
        <f t="shared" ca="1" si="20"/>
        <v>45880</v>
      </c>
      <c r="B123" vm="361">
        <f ca="1"/>
        <v>45881</v>
      </c>
      <c r="C123" vm="362">
        <f ca="1"/>
        <v>172.78</v>
      </c>
      <c r="D123" vm="363">
        <f ca="1"/>
        <v>7917437</v>
      </c>
      <c r="E123">
        <f t="shared" ca="1" si="21"/>
        <v>1367974764.8599999</v>
      </c>
      <c r="F123">
        <f ca="1">SUM($E$2:E123)/SUM($D$2:D123)</f>
        <v>158.65070497799445</v>
      </c>
      <c r="G123">
        <f ca="1">_xlfn.STDEV.P($C$2:C123)</f>
        <v>6.3865080341027278</v>
      </c>
      <c r="H123">
        <f t="shared" ca="1" si="22"/>
        <v>165.03721301209717</v>
      </c>
      <c r="I123">
        <f t="shared" ca="1" si="23"/>
        <v>152.26419694389173</v>
      </c>
      <c r="J123">
        <f t="shared" ca="1" si="32"/>
        <v>168.41000000000003</v>
      </c>
      <c r="K123">
        <f t="shared" ca="1" si="33"/>
        <v>3.2729947657828773</v>
      </c>
      <c r="L123">
        <f t="shared" ca="1" si="34"/>
        <v>174.95598953156579</v>
      </c>
      <c r="M123">
        <f t="shared" ca="1" si="35"/>
        <v>161.86401046843426</v>
      </c>
      <c r="N123">
        <f t="shared" ca="1" si="24"/>
        <v>-1.039999999999992</v>
      </c>
      <c r="O123">
        <f t="shared" ca="1" si="25"/>
        <v>0</v>
      </c>
      <c r="P123">
        <f t="shared" ca="1" si="26"/>
        <v>1.039999999999992</v>
      </c>
      <c r="Q123">
        <f t="shared" ca="1" si="30"/>
        <v>0.97845735361077735</v>
      </c>
      <c r="R123">
        <f t="shared" ca="1" si="31"/>
        <v>0.47195500996711676</v>
      </c>
      <c r="S123">
        <f t="shared" ca="1" si="28"/>
        <v>2.0732004808656463</v>
      </c>
      <c r="T123">
        <f t="shared" ca="1" si="29"/>
        <v>67.460632450560979</v>
      </c>
      <c r="U123">
        <f>70</f>
        <v>70</v>
      </c>
      <c r="V123">
        <f>30</f>
        <v>30</v>
      </c>
      <c r="W123">
        <f t="shared" ca="1" si="27"/>
        <v>170.21090773255068</v>
      </c>
      <c r="X123">
        <f t="shared" ca="1" si="37"/>
        <v>166.42165163898554</v>
      </c>
      <c r="Y123">
        <f t="shared" ca="1" si="36"/>
        <v>3.8443385011318014</v>
      </c>
      <c r="Z123">
        <f t="shared" ca="1" si="38"/>
        <v>3.6306360521561802</v>
      </c>
      <c r="AA123">
        <f t="shared" ca="1" si="39"/>
        <v>0.21370244897562118</v>
      </c>
      <c r="AB123">
        <f t="shared" ca="1" si="40"/>
        <v>157.65110000000004</v>
      </c>
    </row>
    <row r="124" spans="1:28" x14ac:dyDescent="0.25">
      <c r="A124" s="20">
        <f t="shared" ca="1" si="20"/>
        <v>45880</v>
      </c>
      <c r="B124" vm="364">
        <f ca="1"/>
        <v>45882</v>
      </c>
      <c r="C124" vm="365">
        <f ca="1"/>
        <v>174.42</v>
      </c>
      <c r="D124" vm="366">
        <f ca="1"/>
        <v>5878666</v>
      </c>
      <c r="E124">
        <f t="shared" ca="1" si="21"/>
        <v>1025356923.7199999</v>
      </c>
      <c r="F124">
        <f ca="1">SUM($E$2:E124)/SUM($D$2:D124)</f>
        <v>158.73401356967187</v>
      </c>
      <c r="G124">
        <f ca="1">_xlfn.STDEV.P($C$2:C124)</f>
        <v>6.5148061278091802</v>
      </c>
      <c r="H124">
        <f t="shared" ca="1" si="22"/>
        <v>165.24881969748105</v>
      </c>
      <c r="I124">
        <f t="shared" ca="1" si="23"/>
        <v>152.21920744186269</v>
      </c>
      <c r="J124">
        <f t="shared" ca="1" si="32"/>
        <v>168.89200000000002</v>
      </c>
      <c r="K124">
        <f t="shared" ca="1" si="33"/>
        <v>3.4169401516561564</v>
      </c>
      <c r="L124">
        <f t="shared" ca="1" si="34"/>
        <v>175.72588030331235</v>
      </c>
      <c r="M124">
        <f t="shared" ca="1" si="35"/>
        <v>162.0581196966877</v>
      </c>
      <c r="N124">
        <f t="shared" ca="1" si="24"/>
        <v>1.6399999999999864</v>
      </c>
      <c r="O124">
        <f t="shared" ca="1" si="25"/>
        <v>1.6399999999999864</v>
      </c>
      <c r="P124">
        <f t="shared" ca="1" si="26"/>
        <v>0</v>
      </c>
      <c r="Q124">
        <f t="shared" ca="1" si="30"/>
        <v>1.0257103997814352</v>
      </c>
      <c r="R124">
        <f t="shared" ca="1" si="31"/>
        <v>0.43824393782660842</v>
      </c>
      <c r="S124">
        <f t="shared" ca="1" si="28"/>
        <v>2.3405010571698046</v>
      </c>
      <c r="T124">
        <f t="shared" ca="1" si="29"/>
        <v>70.06437109625594</v>
      </c>
      <c r="U124">
        <f>70</f>
        <v>70</v>
      </c>
      <c r="V124">
        <f>30</f>
        <v>30</v>
      </c>
      <c r="W124">
        <f t="shared" ca="1" si="27"/>
        <v>170.85846038908136</v>
      </c>
      <c r="X124">
        <f t="shared" ca="1" si="37"/>
        <v>167.01412188794956</v>
      </c>
      <c r="Y124">
        <f t="shared" ca="1" si="36"/>
        <v>3.867615732118395</v>
      </c>
      <c r="Z124">
        <f t="shared" ca="1" si="38"/>
        <v>3.6780319881486232</v>
      </c>
      <c r="AA124">
        <f t="shared" ca="1" si="39"/>
        <v>0.18958374396977185</v>
      </c>
      <c r="AB124">
        <f t="shared" ca="1" si="40"/>
        <v>157.76510000000005</v>
      </c>
    </row>
    <row r="125" spans="1:28" x14ac:dyDescent="0.25">
      <c r="A125" s="20">
        <f t="shared" ca="1" si="20"/>
        <v>45880</v>
      </c>
      <c r="B125" vm="367">
        <f ca="1"/>
        <v>45883</v>
      </c>
      <c r="C125" vm="368">
        <f ca="1"/>
        <v>174.72</v>
      </c>
      <c r="D125" vm="369">
        <f ca="1"/>
        <v>8241942</v>
      </c>
      <c r="E125">
        <f t="shared" ca="1" si="21"/>
        <v>1440032106.24</v>
      </c>
      <c r="F125">
        <f ca="1">SUM($E$2:E125)/SUM($D$2:D125)</f>
        <v>158.85154739236694</v>
      </c>
      <c r="G125">
        <f ca="1">_xlfn.STDEV.P($C$2:C125)</f>
        <v>6.6419029554734657</v>
      </c>
      <c r="H125">
        <f t="shared" ca="1" si="22"/>
        <v>165.49345034784039</v>
      </c>
      <c r="I125">
        <f t="shared" ca="1" si="23"/>
        <v>152.20964443689348</v>
      </c>
      <c r="J125">
        <f t="shared" ca="1" si="32"/>
        <v>169.47900000000004</v>
      </c>
      <c r="K125">
        <f t="shared" ca="1" si="33"/>
        <v>3.3557223710520114</v>
      </c>
      <c r="L125">
        <f t="shared" ca="1" si="34"/>
        <v>176.19044474210406</v>
      </c>
      <c r="M125">
        <f t="shared" ca="1" si="35"/>
        <v>162.76755525789602</v>
      </c>
      <c r="N125">
        <f t="shared" ca="1" si="24"/>
        <v>0.30000000000001137</v>
      </c>
      <c r="O125">
        <f t="shared" ca="1" si="25"/>
        <v>0.30000000000001137</v>
      </c>
      <c r="P125">
        <f t="shared" ca="1" si="26"/>
        <v>0</v>
      </c>
      <c r="Q125">
        <f t="shared" ca="1" si="30"/>
        <v>0.97387394265419058</v>
      </c>
      <c r="R125">
        <f t="shared" ca="1" si="31"/>
        <v>0.4069407994104221</v>
      </c>
      <c r="S125">
        <f t="shared" ca="1" si="28"/>
        <v>2.3931587691997067</v>
      </c>
      <c r="T125">
        <f t="shared" ca="1" si="29"/>
        <v>70.528935778744739</v>
      </c>
      <c r="U125">
        <f>70</f>
        <v>70</v>
      </c>
      <c r="V125">
        <f>30</f>
        <v>30</v>
      </c>
      <c r="W125">
        <f t="shared" ca="1" si="27"/>
        <v>171.45254340614576</v>
      </c>
      <c r="X125">
        <f t="shared" ca="1" si="37"/>
        <v>167.58492767402737</v>
      </c>
      <c r="Y125">
        <f t="shared" ca="1" si="36"/>
        <v>3.9949398791065391</v>
      </c>
      <c r="Z125">
        <f t="shared" ca="1" si="38"/>
        <v>3.7414135663402064</v>
      </c>
      <c r="AA125">
        <f t="shared" ca="1" si="39"/>
        <v>0.25352631276633275</v>
      </c>
      <c r="AB125">
        <f t="shared" ca="1" si="40"/>
        <v>157.87600000000003</v>
      </c>
    </row>
    <row r="126" spans="1:28" x14ac:dyDescent="0.25">
      <c r="A126" s="20">
        <f t="shared" ca="1" si="20"/>
        <v>45880</v>
      </c>
      <c r="B126" vm="370">
        <f ca="1"/>
        <v>45884</v>
      </c>
      <c r="C126" vm="371">
        <f ca="1"/>
        <v>176.64</v>
      </c>
      <c r="D126" vm="372">
        <f ca="1"/>
        <v>9477559</v>
      </c>
      <c r="E126">
        <f t="shared" ca="1" si="21"/>
        <v>1674116021.7599998</v>
      </c>
      <c r="F126">
        <f ca="1">SUM($E$2:E126)/SUM($D$2:D126)</f>
        <v>159.00067986087956</v>
      </c>
      <c r="G126">
        <f ca="1">_xlfn.STDEV.P($C$2:C126)</f>
        <v>6.7997994012764824</v>
      </c>
      <c r="H126">
        <f t="shared" ca="1" si="22"/>
        <v>165.80047926215605</v>
      </c>
      <c r="I126">
        <f t="shared" ca="1" si="23"/>
        <v>152.20088045960307</v>
      </c>
      <c r="J126">
        <f t="shared" ca="1" si="32"/>
        <v>170.126</v>
      </c>
      <c r="K126">
        <f t="shared" ca="1" si="33"/>
        <v>3.4294965105375801</v>
      </c>
      <c r="L126">
        <f t="shared" ca="1" si="34"/>
        <v>176.98499302107516</v>
      </c>
      <c r="M126">
        <f t="shared" ca="1" si="35"/>
        <v>163.26700697892485</v>
      </c>
      <c r="N126">
        <f t="shared" ca="1" si="24"/>
        <v>1.9199999999999875</v>
      </c>
      <c r="O126">
        <f t="shared" ca="1" si="25"/>
        <v>1.9199999999999875</v>
      </c>
      <c r="P126">
        <f t="shared" ca="1" si="26"/>
        <v>0</v>
      </c>
      <c r="Q126">
        <f t="shared" ca="1" si="30"/>
        <v>1.0414543753217476</v>
      </c>
      <c r="R126">
        <f t="shared" ca="1" si="31"/>
        <v>0.37787359945253479</v>
      </c>
      <c r="S126">
        <f t="shared" ca="1" si="28"/>
        <v>2.7560919228827099</v>
      </c>
      <c r="T126">
        <f t="shared" ca="1" si="29"/>
        <v>73.376583413525083</v>
      </c>
      <c r="U126">
        <f>70</f>
        <v>70</v>
      </c>
      <c r="V126">
        <f>30</f>
        <v>30</v>
      </c>
      <c r="W126">
        <f t="shared" ca="1" si="27"/>
        <v>172.25061365135412</v>
      </c>
      <c r="X126">
        <f t="shared" ca="1" si="37"/>
        <v>168.25567377224758</v>
      </c>
      <c r="Y126">
        <f t="shared" ca="1" si="36"/>
        <v>4.018057773423692</v>
      </c>
      <c r="Z126">
        <f t="shared" ca="1" si="38"/>
        <v>3.7967424077569039</v>
      </c>
      <c r="AA126">
        <f t="shared" ca="1" si="39"/>
        <v>0.22131536566678811</v>
      </c>
      <c r="AB126">
        <f t="shared" ca="1" si="40"/>
        <v>158.00950000000003</v>
      </c>
    </row>
    <row r="127" spans="1:28" x14ac:dyDescent="0.25">
      <c r="A127" s="20">
        <f t="shared" ca="1" si="20"/>
        <v>45887</v>
      </c>
      <c r="B127" vm="373">
        <f ca="1"/>
        <v>45887</v>
      </c>
      <c r="C127" vm="374">
        <f ca="1"/>
        <v>176.25</v>
      </c>
      <c r="D127" vm="375">
        <f ca="1"/>
        <v>9284138</v>
      </c>
      <c r="E127">
        <f t="shared" ca="1" si="21"/>
        <v>1636329322.5</v>
      </c>
      <c r="F127">
        <f ca="1">SUM($E$2:E127)/SUM($D$2:D127)</f>
        <v>159.1411871971398</v>
      </c>
      <c r="G127">
        <f ca="1">_xlfn.STDEV.P($C$2:C127)</f>
        <v>6.941224988421288</v>
      </c>
      <c r="H127">
        <f t="shared" ca="1" si="22"/>
        <v>166.08241218556108</v>
      </c>
      <c r="I127">
        <f t="shared" ca="1" si="23"/>
        <v>152.19996220871852</v>
      </c>
      <c r="J127">
        <f t="shared" ca="1" si="32"/>
        <v>170.72049999999999</v>
      </c>
      <c r="K127">
        <f t="shared" ca="1" si="33"/>
        <v>3.4078508044313107</v>
      </c>
      <c r="L127">
        <f t="shared" ca="1" si="34"/>
        <v>177.5362016088626</v>
      </c>
      <c r="M127">
        <f t="shared" ca="1" si="35"/>
        <v>163.90479839113738</v>
      </c>
      <c r="N127">
        <f t="shared" ca="1" si="24"/>
        <v>-0.38999999999998636</v>
      </c>
      <c r="O127">
        <f t="shared" ca="1" si="25"/>
        <v>0</v>
      </c>
      <c r="P127">
        <f t="shared" ca="1" si="26"/>
        <v>0.38999999999998636</v>
      </c>
      <c r="Q127">
        <f t="shared" ca="1" si="30"/>
        <v>0.96706477708447991</v>
      </c>
      <c r="R127">
        <f t="shared" ca="1" si="31"/>
        <v>0.37873977092020988</v>
      </c>
      <c r="S127">
        <f t="shared" ca="1" si="28"/>
        <v>2.5533753023476744</v>
      </c>
      <c r="T127">
        <f t="shared" ca="1" si="29"/>
        <v>71.857743274702472</v>
      </c>
      <c r="U127">
        <f>70</f>
        <v>70</v>
      </c>
      <c r="V127">
        <f>30</f>
        <v>30</v>
      </c>
      <c r="W127">
        <f t="shared" ca="1" si="27"/>
        <v>172.8659038588381</v>
      </c>
      <c r="X127">
        <f t="shared" ca="1" si="37"/>
        <v>168.8478460854144</v>
      </c>
      <c r="Y127">
        <f t="shared" ca="1" si="36"/>
        <v>4.1140269752570759</v>
      </c>
      <c r="Z127">
        <f t="shared" ca="1" si="38"/>
        <v>3.8601993212569385</v>
      </c>
      <c r="AA127">
        <f t="shared" ca="1" si="39"/>
        <v>0.2538276540001374</v>
      </c>
      <c r="AB127">
        <f t="shared" ca="1" si="40"/>
        <v>158.16180000000003</v>
      </c>
    </row>
    <row r="128" spans="1:28" x14ac:dyDescent="0.25">
      <c r="A128" s="20">
        <f t="shared" ca="1" si="20"/>
        <v>45887</v>
      </c>
      <c r="B128" vm="376">
        <f ca="1"/>
        <v>45888</v>
      </c>
      <c r="C128" vm="377">
        <f ca="1"/>
        <v>177.8</v>
      </c>
      <c r="D128" vm="378">
        <f ca="1"/>
        <v>9274182</v>
      </c>
      <c r="E128">
        <f t="shared" ca="1" si="21"/>
        <v>1648949559.6000001</v>
      </c>
      <c r="F128">
        <f ca="1">SUM($E$2:E128)/SUM($D$2:D128)</f>
        <v>159.29178738891343</v>
      </c>
      <c r="G128">
        <f ca="1">_xlfn.STDEV.P($C$2:C128)</f>
        <v>7.1054589404410411</v>
      </c>
      <c r="H128">
        <f t="shared" ca="1" si="22"/>
        <v>166.39724632935449</v>
      </c>
      <c r="I128">
        <f t="shared" ca="1" si="23"/>
        <v>152.18632844847238</v>
      </c>
      <c r="J128">
        <f t="shared" ca="1" si="32"/>
        <v>171.214</v>
      </c>
      <c r="K128">
        <f t="shared" ca="1" si="33"/>
        <v>3.6857983495688136</v>
      </c>
      <c r="L128">
        <f t="shared" ca="1" si="34"/>
        <v>178.58559669913762</v>
      </c>
      <c r="M128">
        <f t="shared" ca="1" si="35"/>
        <v>163.84240330086237</v>
      </c>
      <c r="N128">
        <f t="shared" ca="1" si="24"/>
        <v>1.5500000000000114</v>
      </c>
      <c r="O128">
        <f t="shared" ca="1" si="25"/>
        <v>1.5500000000000114</v>
      </c>
      <c r="P128">
        <f t="shared" ca="1" si="26"/>
        <v>0</v>
      </c>
      <c r="Q128">
        <f t="shared" ca="1" si="30"/>
        <v>1.0087030072927321</v>
      </c>
      <c r="R128">
        <f t="shared" ca="1" si="31"/>
        <v>0.35168693014019492</v>
      </c>
      <c r="S128">
        <f t="shared" ca="1" si="28"/>
        <v>2.8681845153888066</v>
      </c>
      <c r="T128">
        <f t="shared" ca="1" si="29"/>
        <v>74.148079130618044</v>
      </c>
      <c r="U128">
        <f>70</f>
        <v>70</v>
      </c>
      <c r="V128">
        <f>30</f>
        <v>30</v>
      </c>
      <c r="W128">
        <f t="shared" ca="1" si="27"/>
        <v>173.62499557286299</v>
      </c>
      <c r="X128">
        <f t="shared" ca="1" si="37"/>
        <v>169.51096859760591</v>
      </c>
      <c r="Y128">
        <f t="shared" ca="1" si="36"/>
        <v>4.2252959855224788</v>
      </c>
      <c r="Z128">
        <f t="shared" ca="1" si="38"/>
        <v>3.9332186541100467</v>
      </c>
      <c r="AA128">
        <f t="shared" ca="1" si="39"/>
        <v>0.29207733141243208</v>
      </c>
      <c r="AB128">
        <f t="shared" ca="1" si="40"/>
        <v>158.32259999999999</v>
      </c>
    </row>
    <row r="129" spans="1:28" x14ac:dyDescent="0.25">
      <c r="A129" s="20">
        <f t="shared" ca="1" si="20"/>
        <v>45887</v>
      </c>
      <c r="B129" vm="379">
        <f ca="1"/>
        <v>45889</v>
      </c>
      <c r="C129" vm="380">
        <f ca="1"/>
        <v>178.84</v>
      </c>
      <c r="D129" vm="381">
        <f ca="1"/>
        <v>9030396</v>
      </c>
      <c r="E129">
        <f t="shared" ca="1" si="21"/>
        <v>1614996020.6400001</v>
      </c>
      <c r="F129">
        <f ca="1">SUM($E$2:E129)/SUM($D$2:D129)</f>
        <v>159.44422071696695</v>
      </c>
      <c r="G129">
        <f ca="1">_xlfn.STDEV.P($C$2:C129)</f>
        <v>7.2816075585322935</v>
      </c>
      <c r="H129">
        <f t="shared" ca="1" si="22"/>
        <v>166.72582827549925</v>
      </c>
      <c r="I129">
        <f t="shared" ca="1" si="23"/>
        <v>152.16261315843465</v>
      </c>
      <c r="J129">
        <f t="shared" ca="1" si="32"/>
        <v>171.70099999999999</v>
      </c>
      <c r="K129">
        <f t="shared" ca="1" si="33"/>
        <v>4.0200849689894254</v>
      </c>
      <c r="L129">
        <f t="shared" ca="1" si="34"/>
        <v>179.74116993797884</v>
      </c>
      <c r="M129">
        <f t="shared" ca="1" si="35"/>
        <v>163.66083006202115</v>
      </c>
      <c r="N129">
        <f t="shared" ca="1" si="24"/>
        <v>1.039999999999992</v>
      </c>
      <c r="O129">
        <f t="shared" ca="1" si="25"/>
        <v>1.039999999999992</v>
      </c>
      <c r="P129">
        <f t="shared" ca="1" si="26"/>
        <v>0</v>
      </c>
      <c r="Q129">
        <f t="shared" ca="1" si="30"/>
        <v>1.010938506771822</v>
      </c>
      <c r="R129">
        <f t="shared" ca="1" si="31"/>
        <v>0.32656643513018097</v>
      </c>
      <c r="S129">
        <f t="shared" ca="1" si="28"/>
        <v>3.095659559650783</v>
      </c>
      <c r="T129">
        <f t="shared" ca="1" si="29"/>
        <v>75.583908148721591</v>
      </c>
      <c r="U129">
        <f>70</f>
        <v>70</v>
      </c>
      <c r="V129">
        <f>30</f>
        <v>30</v>
      </c>
      <c r="W129">
        <f t="shared" ca="1" si="27"/>
        <v>174.42730394626867</v>
      </c>
      <c r="X129">
        <f t="shared" ca="1" si="37"/>
        <v>170.20200796074619</v>
      </c>
      <c r="Y129">
        <f t="shared" ca="1" si="36"/>
        <v>4.2715005264936963</v>
      </c>
      <c r="Z129">
        <f t="shared" ca="1" si="38"/>
        <v>4.0008750285867762</v>
      </c>
      <c r="AA129">
        <f t="shared" ca="1" si="39"/>
        <v>0.27062549790692003</v>
      </c>
      <c r="AB129">
        <f t="shared" ca="1" si="40"/>
        <v>158.47969999999998</v>
      </c>
    </row>
    <row r="130" spans="1:28" x14ac:dyDescent="0.25">
      <c r="A130" s="20">
        <f t="shared" ca="1" si="20"/>
        <v>45887</v>
      </c>
      <c r="B130" vm="382">
        <f ca="1"/>
        <v>45890</v>
      </c>
      <c r="C130" vm="383">
        <f ca="1"/>
        <v>178.93</v>
      </c>
      <c r="D130" vm="384">
        <f ca="1"/>
        <v>8859552</v>
      </c>
      <c r="E130">
        <f t="shared" ca="1" si="21"/>
        <v>1585239639.3600001</v>
      </c>
      <c r="F130">
        <f ca="1">SUM($E$2:E130)/SUM($D$2:D130)</f>
        <v>159.59216077647082</v>
      </c>
      <c r="G130">
        <f ca="1">_xlfn.STDEV.P($C$2:C130)</f>
        <v>7.449730846286359</v>
      </c>
      <c r="H130">
        <f t="shared" ca="1" si="22"/>
        <v>167.04189162275719</v>
      </c>
      <c r="I130">
        <f t="shared" ca="1" si="23"/>
        <v>152.14242993018445</v>
      </c>
      <c r="J130">
        <f t="shared" ca="1" si="32"/>
        <v>172.1695</v>
      </c>
      <c r="K130">
        <f t="shared" ca="1" si="33"/>
        <v>4.2940919939646802</v>
      </c>
      <c r="L130">
        <f t="shared" ca="1" si="34"/>
        <v>180.75768398792937</v>
      </c>
      <c r="M130">
        <f t="shared" ca="1" si="35"/>
        <v>163.58131601207063</v>
      </c>
      <c r="N130">
        <f t="shared" ca="1" si="24"/>
        <v>9.0000000000003411E-2</v>
      </c>
      <c r="O130">
        <f t="shared" ca="1" si="25"/>
        <v>9.0000000000003411E-2</v>
      </c>
      <c r="P130">
        <f t="shared" ca="1" si="26"/>
        <v>0</v>
      </c>
      <c r="Q130">
        <f t="shared" ca="1" si="30"/>
        <v>0.94515718485954914</v>
      </c>
      <c r="R130">
        <f t="shared" ca="1" si="31"/>
        <v>0.3032402611923109</v>
      </c>
      <c r="S130">
        <f t="shared" ca="1" si="28"/>
        <v>3.1168591569710564</v>
      </c>
      <c r="T130">
        <f t="shared" ca="1" si="29"/>
        <v>75.709637811954167</v>
      </c>
      <c r="U130">
        <f>70</f>
        <v>70</v>
      </c>
      <c r="V130">
        <f>30</f>
        <v>30</v>
      </c>
      <c r="W130">
        <f t="shared" ca="1" si="27"/>
        <v>175.1200264160735</v>
      </c>
      <c r="X130">
        <f t="shared" ca="1" si="37"/>
        <v>170.8485258895798</v>
      </c>
      <c r="Y130">
        <f t="shared" ca="1" si="36"/>
        <v>4.2877405454712232</v>
      </c>
      <c r="Z130">
        <f t="shared" ca="1" si="38"/>
        <v>4.0582481319636656</v>
      </c>
      <c r="AA130">
        <f t="shared" ca="1" si="39"/>
        <v>0.22949241350755756</v>
      </c>
      <c r="AB130">
        <f t="shared" ca="1" si="40"/>
        <v>158.6319</v>
      </c>
    </row>
    <row r="131" spans="1:28" x14ac:dyDescent="0.25">
      <c r="A131" s="20">
        <f t="shared" ref="A131:A194" ca="1" si="41">B131 - WEEKDAY(B131, 2) + 1</f>
        <v>45887</v>
      </c>
      <c r="B131" vm="385">
        <f ca="1"/>
        <v>45891</v>
      </c>
      <c r="C131" vm="386">
        <f ca="1"/>
        <v>179.29</v>
      </c>
      <c r="D131" vm="387">
        <f ca="1"/>
        <v>9524308</v>
      </c>
      <c r="E131">
        <f t="shared" ref="E131:E194" ca="1" si="42">C131*D131</f>
        <v>1707613181.3199999</v>
      </c>
      <c r="F131">
        <f ca="1">SUM($E$2:E131)/SUM($D$2:D131)</f>
        <v>159.75163041152777</v>
      </c>
      <c r="G131">
        <f ca="1">_xlfn.STDEV.P($C$2:C131)</f>
        <v>7.6157490918995778</v>
      </c>
      <c r="H131">
        <f t="shared" ref="H131:H194" ca="1" si="43">F131 + G131</f>
        <v>167.36737950342734</v>
      </c>
      <c r="I131">
        <f t="shared" ref="I131:I194" ca="1" si="44">F131 - G131</f>
        <v>152.1358813196282</v>
      </c>
      <c r="J131">
        <f t="shared" ca="1" si="32"/>
        <v>172.71899999999999</v>
      </c>
      <c r="K131">
        <f t="shared" ca="1" si="33"/>
        <v>4.4723406093807041</v>
      </c>
      <c r="L131">
        <f t="shared" ca="1" si="34"/>
        <v>181.66368121876141</v>
      </c>
      <c r="M131">
        <f t="shared" ca="1" si="35"/>
        <v>163.77431878123858</v>
      </c>
      <c r="N131">
        <f t="shared" ca="1" si="24"/>
        <v>0.35999999999998522</v>
      </c>
      <c r="O131">
        <f t="shared" ca="1" si="25"/>
        <v>0.35999999999998522</v>
      </c>
      <c r="P131">
        <f t="shared" ca="1" si="26"/>
        <v>0</v>
      </c>
      <c r="Q131">
        <f t="shared" ca="1" si="30"/>
        <v>0.90336024308386598</v>
      </c>
      <c r="R131">
        <f t="shared" ca="1" si="31"/>
        <v>0.28158024253571728</v>
      </c>
      <c r="S131">
        <f t="shared" ca="1" si="28"/>
        <v>3.2081804992737672</v>
      </c>
      <c r="T131">
        <f t="shared" ca="1" si="29"/>
        <v>76.236760752715426</v>
      </c>
      <c r="U131">
        <f>70</f>
        <v>70</v>
      </c>
      <c r="V131">
        <f>30</f>
        <v>30</v>
      </c>
      <c r="W131">
        <f t="shared" ca="1" si="27"/>
        <v>175.76156081360065</v>
      </c>
      <c r="X131">
        <f t="shared" ca="1" si="37"/>
        <v>171.47382026812943</v>
      </c>
      <c r="Y131">
        <f t="shared" ca="1" si="36"/>
        <v>4.1814016367445106</v>
      </c>
      <c r="Z131">
        <f t="shared" ca="1" si="38"/>
        <v>4.0828788329198353</v>
      </c>
      <c r="AA131">
        <f t="shared" ca="1" si="39"/>
        <v>9.8522803824675265E-2</v>
      </c>
      <c r="AB131">
        <f t="shared" ca="1" si="40"/>
        <v>158.76640000000003</v>
      </c>
    </row>
    <row r="132" spans="1:28" x14ac:dyDescent="0.25">
      <c r="A132" s="20">
        <f t="shared" ca="1" si="41"/>
        <v>45894</v>
      </c>
      <c r="B132" vm="388">
        <f ca="1"/>
        <v>45894</v>
      </c>
      <c r="C132" vm="389">
        <f ca="1"/>
        <v>178.41</v>
      </c>
      <c r="D132" vm="390">
        <f ca="1"/>
        <v>6229149</v>
      </c>
      <c r="E132">
        <f t="shared" ca="1" si="42"/>
        <v>1111342473.0899999</v>
      </c>
      <c r="F132">
        <f ca="1">SUM($E$2:E132)/SUM($D$2:D132)</f>
        <v>159.84990357311386</v>
      </c>
      <c r="G132">
        <f ca="1">_xlfn.STDEV.P($C$2:C132)</f>
        <v>7.7566087666132031</v>
      </c>
      <c r="H132">
        <f t="shared" ca="1" si="43"/>
        <v>167.60651233972706</v>
      </c>
      <c r="I132">
        <f t="shared" ca="1" si="44"/>
        <v>152.09329480650067</v>
      </c>
      <c r="J132">
        <f t="shared" ca="1" si="32"/>
        <v>173.32849999999999</v>
      </c>
      <c r="K132">
        <f t="shared" ca="1" si="33"/>
        <v>4.3694842222419146</v>
      </c>
      <c r="L132">
        <f t="shared" ca="1" si="34"/>
        <v>182.06746844448381</v>
      </c>
      <c r="M132">
        <f t="shared" ca="1" si="35"/>
        <v>164.58953155551617</v>
      </c>
      <c r="N132">
        <f t="shared" ref="N132:N195" ca="1" si="45">C132-C131</f>
        <v>-0.87999999999999545</v>
      </c>
      <c r="O132">
        <f t="shared" ref="O132:O195" ca="1" si="46">MAX(N132,0)</f>
        <v>0</v>
      </c>
      <c r="P132">
        <f t="shared" ref="P132:P195" ca="1" si="47">MAX(-N132,0)</f>
        <v>0.87999999999999545</v>
      </c>
      <c r="Q132">
        <f t="shared" ca="1" si="30"/>
        <v>0.83883451143501842</v>
      </c>
      <c r="R132">
        <f t="shared" ca="1" si="31"/>
        <v>0.32432451092602282</v>
      </c>
      <c r="S132">
        <f t="shared" ca="1" si="28"/>
        <v>2.5864049221563565</v>
      </c>
      <c r="T132">
        <f t="shared" ca="1" si="29"/>
        <v>72.116924281970327</v>
      </c>
      <c r="U132">
        <f>70</f>
        <v>70</v>
      </c>
      <c r="V132">
        <f>30</f>
        <v>30</v>
      </c>
      <c r="W132">
        <f t="shared" ca="1" si="27"/>
        <v>176.16901299612363</v>
      </c>
      <c r="X132">
        <f t="shared" ca="1" si="37"/>
        <v>171.98761135937912</v>
      </c>
      <c r="Y132">
        <f t="shared" ca="1" si="36"/>
        <v>3.897273983049871</v>
      </c>
      <c r="Z132">
        <f t="shared" ca="1" si="38"/>
        <v>4.0457578629458428</v>
      </c>
      <c r="AA132">
        <f t="shared" ca="1" si="39"/>
        <v>-0.14848387989597178</v>
      </c>
      <c r="AB132">
        <f t="shared" ca="1" si="40"/>
        <v>159.01800000000003</v>
      </c>
    </row>
    <row r="133" spans="1:28" x14ac:dyDescent="0.25">
      <c r="A133" s="20">
        <f t="shared" ca="1" si="41"/>
        <v>45894</v>
      </c>
      <c r="B133" vm="391">
        <f ca="1"/>
        <v>45895</v>
      </c>
      <c r="C133" vm="392">
        <f ca="1"/>
        <v>176.49</v>
      </c>
      <c r="D133" vm="393">
        <f ca="1"/>
        <v>9145045</v>
      </c>
      <c r="E133">
        <f t="shared" ca="1" si="42"/>
        <v>1614008992.0500002</v>
      </c>
      <c r="F133">
        <f ca="1">SUM($E$2:E133)/SUM($D$2:D133)</f>
        <v>159.97758535941114</v>
      </c>
      <c r="G133">
        <f ca="1">_xlfn.STDEV.P($C$2:C133)</f>
        <v>7.8583975378538637</v>
      </c>
      <c r="H133">
        <f t="shared" ca="1" si="43"/>
        <v>167.83598289726501</v>
      </c>
      <c r="I133">
        <f t="shared" ca="1" si="44"/>
        <v>152.11918782155726</v>
      </c>
      <c r="J133">
        <f t="shared" ca="1" si="32"/>
        <v>173.7475</v>
      </c>
      <c r="K133">
        <f t="shared" ca="1" si="33"/>
        <v>4.2426814696170121</v>
      </c>
      <c r="L133">
        <f t="shared" ca="1" si="34"/>
        <v>182.23286293923402</v>
      </c>
      <c r="M133">
        <f t="shared" ca="1" si="35"/>
        <v>165.26213706076598</v>
      </c>
      <c r="N133">
        <f t="shared" ca="1" si="45"/>
        <v>-1.9199999999999875</v>
      </c>
      <c r="O133">
        <f t="shared" ca="1" si="46"/>
        <v>0</v>
      </c>
      <c r="P133">
        <f t="shared" ca="1" si="47"/>
        <v>1.9199999999999875</v>
      </c>
      <c r="Q133">
        <f t="shared" ca="1" si="30"/>
        <v>0.77891776061823137</v>
      </c>
      <c r="R133">
        <f t="shared" ca="1" si="31"/>
        <v>0.43830133157416318</v>
      </c>
      <c r="S133">
        <f t="shared" ca="1" si="28"/>
        <v>1.7771284376908947</v>
      </c>
      <c r="T133">
        <f t="shared" ca="1" si="29"/>
        <v>63.99158258479855</v>
      </c>
      <c r="U133">
        <f>70</f>
        <v>70</v>
      </c>
      <c r="V133">
        <f>30</f>
        <v>30</v>
      </c>
      <c r="W133">
        <f t="shared" ca="1" si="27"/>
        <v>176.21839561210459</v>
      </c>
      <c r="X133">
        <f t="shared" ca="1" si="37"/>
        <v>172.32112162905472</v>
      </c>
      <c r="Y133">
        <f t="shared" ca="1" si="36"/>
        <v>3.6541850921717298</v>
      </c>
      <c r="Z133">
        <f t="shared" ca="1" si="38"/>
        <v>3.9674433087910206</v>
      </c>
      <c r="AA133">
        <f t="shared" ca="1" si="39"/>
        <v>-0.31325821661929076</v>
      </c>
      <c r="AB133">
        <f t="shared" ca="1" si="40"/>
        <v>159.22930000000002</v>
      </c>
    </row>
    <row r="134" spans="1:28" x14ac:dyDescent="0.25">
      <c r="A134" s="20">
        <f t="shared" ca="1" si="41"/>
        <v>45894</v>
      </c>
      <c r="B134" vm="394">
        <f ca="1"/>
        <v>45896</v>
      </c>
      <c r="C134" vm="395">
        <f ca="1"/>
        <v>176.79</v>
      </c>
      <c r="D134" vm="396">
        <f ca="1"/>
        <v>5951099</v>
      </c>
      <c r="E134">
        <f t="shared" ca="1" si="42"/>
        <v>1052094792.2099999</v>
      </c>
      <c r="F134">
        <f ca="1">SUM($E$2:E134)/SUM($D$2:D134)</f>
        <v>160.06111707121346</v>
      </c>
      <c r="G134">
        <f ca="1">_xlfn.STDEV.P($C$2:C134)</f>
        <v>7.9601116647295926</v>
      </c>
      <c r="H134">
        <f t="shared" ca="1" si="43"/>
        <v>168.02122873594305</v>
      </c>
      <c r="I134">
        <f t="shared" ca="1" si="44"/>
        <v>152.10100540648386</v>
      </c>
      <c r="J134">
        <f t="shared" ca="1" si="32"/>
        <v>174.22399999999999</v>
      </c>
      <c r="K134">
        <f t="shared" ca="1" si="33"/>
        <v>4.0041733492103333</v>
      </c>
      <c r="L134">
        <f t="shared" ca="1" si="34"/>
        <v>182.23234669842066</v>
      </c>
      <c r="M134">
        <f t="shared" ca="1" si="35"/>
        <v>166.21565330157932</v>
      </c>
      <c r="N134">
        <f t="shared" ca="1" si="45"/>
        <v>0.29999999999998295</v>
      </c>
      <c r="O134">
        <f t="shared" ca="1" si="46"/>
        <v>0.29999999999998295</v>
      </c>
      <c r="P134">
        <f t="shared" ca="1" si="47"/>
        <v>0</v>
      </c>
      <c r="Q134">
        <f t="shared" ca="1" si="30"/>
        <v>0.74470934914549936</v>
      </c>
      <c r="R134">
        <f t="shared" ca="1" si="31"/>
        <v>0.40699409360458011</v>
      </c>
      <c r="S134">
        <f t="shared" ca="1" si="28"/>
        <v>1.8297792544110738</v>
      </c>
      <c r="T134">
        <f t="shared" ca="1" si="29"/>
        <v>64.661554485524078</v>
      </c>
      <c r="U134">
        <f>70</f>
        <v>70</v>
      </c>
      <c r="V134">
        <f>30</f>
        <v>30</v>
      </c>
      <c r="W134">
        <f t="shared" ca="1" si="27"/>
        <v>176.30633474870388</v>
      </c>
      <c r="X134">
        <f t="shared" ca="1" si="37"/>
        <v>172.65214965653215</v>
      </c>
      <c r="Y134">
        <f t="shared" ca="1" si="36"/>
        <v>3.3151931110886039</v>
      </c>
      <c r="Z134">
        <f t="shared" ca="1" si="38"/>
        <v>3.8369932692505375</v>
      </c>
      <c r="AA134">
        <f t="shared" ca="1" si="39"/>
        <v>-0.52180015816193359</v>
      </c>
      <c r="AB134">
        <f t="shared" ca="1" si="40"/>
        <v>159.39900000000003</v>
      </c>
    </row>
    <row r="135" spans="1:28" x14ac:dyDescent="0.25">
      <c r="A135" s="20">
        <f t="shared" ca="1" si="41"/>
        <v>45894</v>
      </c>
      <c r="B135" vm="397">
        <f ca="1"/>
        <v>45897</v>
      </c>
      <c r="C135" vm="398">
        <f ca="1"/>
        <v>175.45</v>
      </c>
      <c r="D135" vm="399">
        <f ca="1"/>
        <v>6424695</v>
      </c>
      <c r="E135">
        <f t="shared" ca="1" si="42"/>
        <v>1127212737.75</v>
      </c>
      <c r="F135">
        <f ca="1">SUM($E$2:E135)/SUM($D$2:D135)</f>
        <v>160.14322034220407</v>
      </c>
      <c r="G135">
        <f ca="1">_xlfn.STDEV.P($C$2:C135)</f>
        <v>8.037569470623513</v>
      </c>
      <c r="H135">
        <f t="shared" ca="1" si="43"/>
        <v>168.18078981282758</v>
      </c>
      <c r="I135">
        <f t="shared" ca="1" si="44"/>
        <v>152.10565087158056</v>
      </c>
      <c r="J135">
        <f t="shared" ca="1" si="32"/>
        <v>174.75949999999997</v>
      </c>
      <c r="K135">
        <f t="shared" ca="1" si="33"/>
        <v>3.3281597175110371</v>
      </c>
      <c r="L135">
        <f t="shared" ca="1" si="34"/>
        <v>181.41581943502206</v>
      </c>
      <c r="M135">
        <f t="shared" ca="1" si="35"/>
        <v>168.10318056497789</v>
      </c>
      <c r="N135">
        <f t="shared" ca="1" si="45"/>
        <v>-1.3400000000000034</v>
      </c>
      <c r="O135">
        <f t="shared" ca="1" si="46"/>
        <v>0</v>
      </c>
      <c r="P135">
        <f t="shared" ca="1" si="47"/>
        <v>1.3400000000000034</v>
      </c>
      <c r="Q135">
        <f t="shared" ca="1" si="30"/>
        <v>0.69151582420653512</v>
      </c>
      <c r="R135">
        <f t="shared" ca="1" si="31"/>
        <v>0.47363737263282463</v>
      </c>
      <c r="S135">
        <f t="shared" ca="1" si="28"/>
        <v>1.4600111058858847</v>
      </c>
      <c r="T135">
        <f t="shared" ca="1" si="29"/>
        <v>59.349777014934006</v>
      </c>
      <c r="U135">
        <f>70</f>
        <v>70</v>
      </c>
      <c r="V135">
        <f>30</f>
        <v>30</v>
      </c>
      <c r="W135">
        <f t="shared" ca="1" si="27"/>
        <v>176.17459094121097</v>
      </c>
      <c r="X135">
        <f t="shared" ca="1" si="37"/>
        <v>172.85939783012236</v>
      </c>
      <c r="Y135">
        <f t="shared" ca="1" si="36"/>
        <v>3.1490291018515109</v>
      </c>
      <c r="Z135">
        <f t="shared" ca="1" si="38"/>
        <v>3.6994004357707322</v>
      </c>
      <c r="AA135">
        <f t="shared" ca="1" si="39"/>
        <v>-0.55037133391922133</v>
      </c>
      <c r="AB135">
        <f t="shared" ca="1" si="40"/>
        <v>159.62110000000001</v>
      </c>
    </row>
    <row r="136" spans="1:28" x14ac:dyDescent="0.25">
      <c r="A136" s="20">
        <f t="shared" ca="1" si="41"/>
        <v>45894</v>
      </c>
      <c r="B136" vm="400">
        <f ca="1"/>
        <v>45898</v>
      </c>
      <c r="C136" vm="401">
        <f ca="1"/>
        <v>177.17</v>
      </c>
      <c r="D136" vm="402">
        <f ca="1"/>
        <v>6942311</v>
      </c>
      <c r="E136">
        <f t="shared" ca="1" si="42"/>
        <v>1229969239.8699999</v>
      </c>
      <c r="F136">
        <f ca="1">SUM($E$2:E136)/SUM($D$2:D136)</f>
        <v>160.24081833350388</v>
      </c>
      <c r="G136">
        <f ca="1">_xlfn.STDEV.P($C$2:C136)</f>
        <v>8.1364331858409749</v>
      </c>
      <c r="H136">
        <f t="shared" ca="1" si="43"/>
        <v>168.37725151934487</v>
      </c>
      <c r="I136">
        <f t="shared" ca="1" si="44"/>
        <v>152.1043851476629</v>
      </c>
      <c r="J136">
        <f t="shared" ca="1" si="32"/>
        <v>175.25149999999999</v>
      </c>
      <c r="K136">
        <f t="shared" ca="1" si="33"/>
        <v>2.8674952851794386</v>
      </c>
      <c r="L136">
        <f t="shared" ca="1" si="34"/>
        <v>180.98649057035888</v>
      </c>
      <c r="M136">
        <f t="shared" ca="1" si="35"/>
        <v>169.5165094296411</v>
      </c>
      <c r="N136">
        <f t="shared" ca="1" si="45"/>
        <v>1.7199999999999989</v>
      </c>
      <c r="O136">
        <f t="shared" ca="1" si="46"/>
        <v>1.7199999999999989</v>
      </c>
      <c r="P136">
        <f t="shared" ca="1" si="47"/>
        <v>0</v>
      </c>
      <c r="Q136">
        <f t="shared" ca="1" si="30"/>
        <v>0.76497897962035399</v>
      </c>
      <c r="R136">
        <f t="shared" ca="1" si="31"/>
        <v>0.43980613173048005</v>
      </c>
      <c r="S136">
        <f t="shared" ca="1" si="28"/>
        <v>1.7393549667223487</v>
      </c>
      <c r="T136">
        <f t="shared" ca="1" si="29"/>
        <v>63.495055874540249</v>
      </c>
      <c r="U136">
        <f>70</f>
        <v>70</v>
      </c>
      <c r="V136">
        <f>30</f>
        <v>30</v>
      </c>
      <c r="W136">
        <f t="shared" ca="1" si="27"/>
        <v>176.32773079640927</v>
      </c>
      <c r="X136">
        <f t="shared" ca="1" si="37"/>
        <v>173.17870169455776</v>
      </c>
      <c r="Y136">
        <f t="shared" ca="1" si="36"/>
        <v>3.0539544039951352</v>
      </c>
      <c r="Z136">
        <f t="shared" ca="1" si="38"/>
        <v>3.570311229415613</v>
      </c>
      <c r="AA136">
        <f t="shared" ca="1" si="39"/>
        <v>-0.51635682542047778</v>
      </c>
      <c r="AB136">
        <f t="shared" ca="1" si="40"/>
        <v>159.88660000000004</v>
      </c>
    </row>
    <row r="137" spans="1:28" x14ac:dyDescent="0.25">
      <c r="A137" s="20">
        <f t="shared" ca="1" si="41"/>
        <v>45901</v>
      </c>
      <c r="B137" vm="403">
        <f ca="1"/>
        <v>45902</v>
      </c>
      <c r="C137" vm="404">
        <f ca="1"/>
        <v>178.06</v>
      </c>
      <c r="D137" vm="405">
        <f ca="1"/>
        <v>9049003</v>
      </c>
      <c r="E137">
        <f t="shared" ca="1" si="42"/>
        <v>1611265474.1800001</v>
      </c>
      <c r="F137">
        <f ca="1">SUM($E$2:E137)/SUM($D$2:D137)</f>
        <v>160.37296616385723</v>
      </c>
      <c r="G137">
        <f ca="1">_xlfn.STDEV.P($C$2:C137)</f>
        <v>8.2443482843229035</v>
      </c>
      <c r="H137">
        <f t="shared" ca="1" si="43"/>
        <v>168.61731444818014</v>
      </c>
      <c r="I137">
        <f t="shared" ca="1" si="44"/>
        <v>152.12861787953432</v>
      </c>
      <c r="J137">
        <f t="shared" ca="1" si="32"/>
        <v>175.60249999999999</v>
      </c>
      <c r="K137">
        <f t="shared" ca="1" si="33"/>
        <v>2.7521759334063374</v>
      </c>
      <c r="L137">
        <f t="shared" ca="1" si="34"/>
        <v>181.10685186681266</v>
      </c>
      <c r="M137">
        <f t="shared" ca="1" si="35"/>
        <v>170.09814813318732</v>
      </c>
      <c r="N137">
        <f t="shared" ca="1" si="45"/>
        <v>0.89000000000001478</v>
      </c>
      <c r="O137">
        <f t="shared" ca="1" si="46"/>
        <v>0.89000000000001478</v>
      </c>
      <c r="P137">
        <f t="shared" ca="1" si="47"/>
        <v>0</v>
      </c>
      <c r="Q137">
        <f t="shared" ca="1" si="30"/>
        <v>0.7739090525046155</v>
      </c>
      <c r="R137">
        <f t="shared" ca="1" si="31"/>
        <v>0.40839140803544577</v>
      </c>
      <c r="S137">
        <f t="shared" ca="1" si="28"/>
        <v>1.8950179589415974</v>
      </c>
      <c r="T137">
        <f t="shared" ca="1" si="29"/>
        <v>65.457899944579466</v>
      </c>
      <c r="U137">
        <f>70</f>
        <v>70</v>
      </c>
      <c r="V137">
        <f>30</f>
        <v>30</v>
      </c>
      <c r="W137">
        <f t="shared" ca="1" si="27"/>
        <v>176.59423375080786</v>
      </c>
      <c r="X137">
        <f t="shared" ca="1" si="37"/>
        <v>173.54027934681272</v>
      </c>
      <c r="Y137">
        <f t="shared" ca="1" si="36"/>
        <v>2.9398764566261946</v>
      </c>
      <c r="Z137">
        <f t="shared" ca="1" si="38"/>
        <v>3.4442242748577296</v>
      </c>
      <c r="AA137">
        <f t="shared" ca="1" si="39"/>
        <v>-0.50434781823153507</v>
      </c>
      <c r="AB137">
        <f t="shared" ca="1" si="40"/>
        <v>160.16720000000001</v>
      </c>
    </row>
    <row r="138" spans="1:28" x14ac:dyDescent="0.25">
      <c r="A138" s="20">
        <f t="shared" ca="1" si="41"/>
        <v>45901</v>
      </c>
      <c r="B138" vm="406">
        <f ca="1"/>
        <v>45903</v>
      </c>
      <c r="C138" vm="407">
        <f ca="1"/>
        <v>178</v>
      </c>
      <c r="D138" vm="408">
        <f ca="1"/>
        <v>7111689</v>
      </c>
      <c r="E138">
        <f t="shared" ca="1" si="42"/>
        <v>1265880642</v>
      </c>
      <c r="F138">
        <f ca="1">SUM($E$2:E138)/SUM($D$2:D138)</f>
        <v>160.47510706361246</v>
      </c>
      <c r="G138">
        <f ca="1">_xlfn.STDEV.P($C$2:C138)</f>
        <v>8.3464597403091076</v>
      </c>
      <c r="H138">
        <f t="shared" ca="1" si="43"/>
        <v>168.82156680392157</v>
      </c>
      <c r="I138">
        <f t="shared" ca="1" si="44"/>
        <v>152.12864732330334</v>
      </c>
      <c r="J138">
        <f t="shared" ca="1" si="32"/>
        <v>175.96549999999996</v>
      </c>
      <c r="K138">
        <f t="shared" ca="1" si="33"/>
        <v>2.5483089852312895</v>
      </c>
      <c r="L138">
        <f t="shared" ca="1" si="34"/>
        <v>181.06211797046254</v>
      </c>
      <c r="M138">
        <f t="shared" ca="1" si="35"/>
        <v>170.86888202953739</v>
      </c>
      <c r="N138">
        <f t="shared" ca="1" si="45"/>
        <v>-6.0000000000002274E-2</v>
      </c>
      <c r="O138">
        <f t="shared" ca="1" si="46"/>
        <v>0</v>
      </c>
      <c r="P138">
        <f t="shared" ca="1" si="47"/>
        <v>6.0000000000002274E-2</v>
      </c>
      <c r="Q138">
        <f t="shared" ca="1" si="30"/>
        <v>0.71862983446857154</v>
      </c>
      <c r="R138">
        <f t="shared" ca="1" si="31"/>
        <v>0.38350630746148556</v>
      </c>
      <c r="S138">
        <f t="shared" ca="1" si="28"/>
        <v>1.8738409785887067</v>
      </c>
      <c r="T138">
        <f t="shared" ca="1" si="29"/>
        <v>65.203363461986584</v>
      </c>
      <c r="U138">
        <f>70</f>
        <v>70</v>
      </c>
      <c r="V138">
        <f>30</f>
        <v>30</v>
      </c>
      <c r="W138">
        <f t="shared" ca="1" si="27"/>
        <v>176.81050548145279</v>
      </c>
      <c r="X138">
        <f t="shared" ca="1" si="37"/>
        <v>173.8706290248266</v>
      </c>
      <c r="Y138">
        <f t="shared" ca="1" si="36"/>
        <v>2.8776230624582126</v>
      </c>
      <c r="Z138">
        <f t="shared" ca="1" si="38"/>
        <v>3.3309040323778265</v>
      </c>
      <c r="AA138">
        <f t="shared" ca="1" si="39"/>
        <v>-0.45328096991961386</v>
      </c>
      <c r="AB138">
        <f t="shared" ca="1" si="40"/>
        <v>160.43750000000003</v>
      </c>
    </row>
    <row r="139" spans="1:28" x14ac:dyDescent="0.25">
      <c r="A139" s="20">
        <f t="shared" ca="1" si="41"/>
        <v>45901</v>
      </c>
      <c r="B139" vm="409">
        <f ca="1"/>
        <v>45904</v>
      </c>
      <c r="C139" vm="410">
        <f ca="1"/>
        <v>178.76</v>
      </c>
      <c r="D139" vm="411">
        <f ca="1"/>
        <v>7854833</v>
      </c>
      <c r="E139">
        <f t="shared" ca="1" si="42"/>
        <v>1404129947.0799999</v>
      </c>
      <c r="F139">
        <f ca="1">SUM($E$2:E139)/SUM($D$2:D139)</f>
        <v>160.59138743353876</v>
      </c>
      <c r="G139">
        <f ca="1">_xlfn.STDEV.P($C$2:C139)</f>
        <v>8.4554310002829602</v>
      </c>
      <c r="H139">
        <f t="shared" ca="1" si="43"/>
        <v>169.04681843382173</v>
      </c>
      <c r="I139">
        <f t="shared" ca="1" si="44"/>
        <v>152.13595643325579</v>
      </c>
      <c r="J139">
        <f t="shared" ca="1" si="32"/>
        <v>176.37399999999997</v>
      </c>
      <c r="K139">
        <f t="shared" ca="1" si="33"/>
        <v>2.2821905451146103</v>
      </c>
      <c r="L139">
        <f t="shared" ca="1" si="34"/>
        <v>180.9383810902292</v>
      </c>
      <c r="M139">
        <f t="shared" ca="1" si="35"/>
        <v>171.80961890977073</v>
      </c>
      <c r="N139">
        <f t="shared" ca="1" si="45"/>
        <v>0.75999999999999091</v>
      </c>
      <c r="O139">
        <f t="shared" ca="1" si="46"/>
        <v>0.75999999999999091</v>
      </c>
      <c r="P139">
        <f t="shared" ca="1" si="47"/>
        <v>0</v>
      </c>
      <c r="Q139">
        <f t="shared" ca="1" si="30"/>
        <v>0.7215848462922444</v>
      </c>
      <c r="R139">
        <f t="shared" ca="1" si="31"/>
        <v>0.35611299978566519</v>
      </c>
      <c r="S139">
        <f t="shared" ca="1" si="28"/>
        <v>2.0262805534382258</v>
      </c>
      <c r="T139">
        <f t="shared" ca="1" si="29"/>
        <v>66.956137002437615</v>
      </c>
      <c r="U139">
        <f>70</f>
        <v>70</v>
      </c>
      <c r="V139">
        <f>30</f>
        <v>30</v>
      </c>
      <c r="W139">
        <f t="shared" ca="1" si="27"/>
        <v>177.11042771507545</v>
      </c>
      <c r="X139">
        <f t="shared" ca="1" si="37"/>
        <v>174.23280465261723</v>
      </c>
      <c r="Y139">
        <f t="shared" ca="1" si="36"/>
        <v>2.7697308241504288</v>
      </c>
      <c r="Z139">
        <f t="shared" ca="1" si="38"/>
        <v>3.2186693907323471</v>
      </c>
      <c r="AA139">
        <f t="shared" ca="1" si="39"/>
        <v>-0.44893856658191833</v>
      </c>
      <c r="AB139">
        <f t="shared" ca="1" si="40"/>
        <v>160.73820000000003</v>
      </c>
    </row>
    <row r="140" spans="1:28" x14ac:dyDescent="0.25">
      <c r="A140" s="20">
        <f t="shared" ca="1" si="41"/>
        <v>45901</v>
      </c>
      <c r="B140" vm="412">
        <f ca="1"/>
        <v>45905</v>
      </c>
      <c r="C140" vm="413">
        <f ca="1"/>
        <v>178.43</v>
      </c>
      <c r="D140" vm="414">
        <f ca="1"/>
        <v>9733803</v>
      </c>
      <c r="E140">
        <f t="shared" ca="1" si="42"/>
        <v>1736802469.29</v>
      </c>
      <c r="F140">
        <f ca="1">SUM($E$2:E140)/SUM($D$2:D140)</f>
        <v>160.73086731334317</v>
      </c>
      <c r="G140">
        <f ca="1">_xlfn.STDEV.P($C$2:C140)</f>
        <v>8.5546465538683556</v>
      </c>
      <c r="H140">
        <f t="shared" ca="1" si="43"/>
        <v>169.28551386721153</v>
      </c>
      <c r="I140">
        <f t="shared" ca="1" si="44"/>
        <v>152.1762207594748</v>
      </c>
      <c r="J140">
        <f t="shared" ca="1" si="32"/>
        <v>176.71899999999999</v>
      </c>
      <c r="K140">
        <f t="shared" ca="1" si="33"/>
        <v>2.0175777556267818</v>
      </c>
      <c r="L140">
        <f t="shared" ca="1" si="34"/>
        <v>180.75415551125354</v>
      </c>
      <c r="M140">
        <f t="shared" ca="1" si="35"/>
        <v>172.68384448874644</v>
      </c>
      <c r="N140">
        <f t="shared" ca="1" si="45"/>
        <v>-0.32999999999998408</v>
      </c>
      <c r="O140">
        <f t="shared" ca="1" si="46"/>
        <v>0</v>
      </c>
      <c r="P140">
        <f t="shared" ca="1" si="47"/>
        <v>0.32999999999998408</v>
      </c>
      <c r="Q140">
        <f t="shared" ca="1" si="30"/>
        <v>0.67004307155708409</v>
      </c>
      <c r="R140">
        <f t="shared" ca="1" si="31"/>
        <v>0.35424778551525943</v>
      </c>
      <c r="S140">
        <f t="shared" ca="1" si="28"/>
        <v>1.8914530985211242</v>
      </c>
      <c r="T140">
        <f t="shared" ca="1" si="29"/>
        <v>65.415313134027159</v>
      </c>
      <c r="U140">
        <f>70</f>
        <v>70</v>
      </c>
      <c r="V140">
        <f>30</f>
        <v>30</v>
      </c>
      <c r="W140">
        <f t="shared" ca="1" si="27"/>
        <v>177.31343883583307</v>
      </c>
      <c r="X140">
        <f t="shared" ca="1" si="37"/>
        <v>174.54370801168264</v>
      </c>
      <c r="Y140">
        <f t="shared" ca="1" si="36"/>
        <v>2.6297043602438066</v>
      </c>
      <c r="Z140">
        <f t="shared" ca="1" si="38"/>
        <v>3.1008763846346392</v>
      </c>
      <c r="AA140">
        <f t="shared" ca="1" si="39"/>
        <v>-0.47117202439083261</v>
      </c>
      <c r="AB140">
        <f t="shared" ca="1" si="40"/>
        <v>161.00520000000003</v>
      </c>
    </row>
    <row r="141" spans="1:28" x14ac:dyDescent="0.25">
      <c r="A141" s="20">
        <f t="shared" ca="1" si="41"/>
        <v>45908</v>
      </c>
      <c r="B141" vm="415">
        <f ca="1"/>
        <v>45908</v>
      </c>
      <c r="C141" vm="416">
        <f ca="1"/>
        <v>178.13</v>
      </c>
      <c r="D141" vm="417">
        <f ca="1"/>
        <v>8382514</v>
      </c>
      <c r="E141">
        <f t="shared" ca="1" si="42"/>
        <v>1493177218.8199999</v>
      </c>
      <c r="F141">
        <f ca="1">SUM($E$2:E141)/SUM($D$2:D141)</f>
        <v>160.84724113506206</v>
      </c>
      <c r="G141">
        <f ca="1">_xlfn.STDEV.P($C$2:C141)</f>
        <v>8.6452740139055262</v>
      </c>
      <c r="H141">
        <f t="shared" ca="1" si="43"/>
        <v>169.49251514896758</v>
      </c>
      <c r="I141">
        <f t="shared" ca="1" si="44"/>
        <v>152.20196712115654</v>
      </c>
      <c r="J141">
        <f t="shared" ca="1" si="32"/>
        <v>176.959</v>
      </c>
      <c r="K141">
        <f t="shared" ca="1" si="33"/>
        <v>1.8735749672470392</v>
      </c>
      <c r="L141">
        <f t="shared" ca="1" si="34"/>
        <v>180.70614993449408</v>
      </c>
      <c r="M141">
        <f t="shared" ca="1" si="35"/>
        <v>173.21185006550593</v>
      </c>
      <c r="N141">
        <f t="shared" ca="1" si="45"/>
        <v>-0.30000000000001137</v>
      </c>
      <c r="O141">
        <f t="shared" ca="1" si="46"/>
        <v>0</v>
      </c>
      <c r="P141">
        <f t="shared" ca="1" si="47"/>
        <v>0.30000000000001137</v>
      </c>
      <c r="Q141">
        <f t="shared" ca="1" si="30"/>
        <v>0.62218285216014946</v>
      </c>
      <c r="R141">
        <f t="shared" ca="1" si="31"/>
        <v>0.35037294369274175</v>
      </c>
      <c r="S141">
        <f t="shared" ca="1" si="28"/>
        <v>1.775773110796393</v>
      </c>
      <c r="T141">
        <f t="shared" ca="1" si="29"/>
        <v>63.974000752781578</v>
      </c>
      <c r="U141">
        <f>70</f>
        <v>70</v>
      </c>
      <c r="V141">
        <f>30</f>
        <v>30</v>
      </c>
      <c r="W141">
        <f t="shared" ca="1" si="27"/>
        <v>177.43906363032031</v>
      </c>
      <c r="X141">
        <f t="shared" ca="1" si="37"/>
        <v>174.8093592700765</v>
      </c>
      <c r="Y141">
        <f t="shared" ca="1" si="36"/>
        <v>2.3966955425363778</v>
      </c>
      <c r="Z141">
        <f t="shared" ca="1" si="38"/>
        <v>2.960040216214987</v>
      </c>
      <c r="AA141">
        <f t="shared" ca="1" si="39"/>
        <v>-0.56334467367860919</v>
      </c>
      <c r="AB141">
        <f t="shared" ca="1" si="40"/>
        <v>161.24290000000002</v>
      </c>
    </row>
    <row r="142" spans="1:28" x14ac:dyDescent="0.25">
      <c r="A142" s="20">
        <f t="shared" ca="1" si="41"/>
        <v>45908</v>
      </c>
      <c r="B142" vm="418">
        <f ca="1"/>
        <v>45909</v>
      </c>
      <c r="C142" vm="419">
        <f ca="1"/>
        <v>176.96</v>
      </c>
      <c r="D142" vm="420">
        <f ca="1"/>
        <v>6005703</v>
      </c>
      <c r="E142">
        <f t="shared" ca="1" si="42"/>
        <v>1062769202.88</v>
      </c>
      <c r="F142">
        <f ca="1">SUM($E$2:E142)/SUM($D$2:D142)</f>
        <v>160.92408531804145</v>
      </c>
      <c r="G142">
        <f ca="1">_xlfn.STDEV.P($C$2:C142)</f>
        <v>8.7165058753099114</v>
      </c>
      <c r="H142">
        <f t="shared" ca="1" si="43"/>
        <v>169.64059119335136</v>
      </c>
      <c r="I142">
        <f t="shared" ca="1" si="44"/>
        <v>152.20757944273154</v>
      </c>
      <c r="J142">
        <f t="shared" ca="1" si="32"/>
        <v>177.11600000000001</v>
      </c>
      <c r="K142">
        <f t="shared" ca="1" si="33"/>
        <v>1.7221327047099433</v>
      </c>
      <c r="L142">
        <f t="shared" ca="1" si="34"/>
        <v>180.56026540941991</v>
      </c>
      <c r="M142">
        <f t="shared" ca="1" si="35"/>
        <v>173.67173459058012</v>
      </c>
      <c r="N142">
        <f t="shared" ca="1" si="45"/>
        <v>-1.1699999999999875</v>
      </c>
      <c r="O142">
        <f t="shared" ca="1" si="46"/>
        <v>0</v>
      </c>
      <c r="P142">
        <f t="shared" ca="1" si="47"/>
        <v>1.1699999999999875</v>
      </c>
      <c r="Q142">
        <f t="shared" ca="1" si="30"/>
        <v>0.57774121986299587</v>
      </c>
      <c r="R142">
        <f t="shared" ca="1" si="31"/>
        <v>0.40891773342897358</v>
      </c>
      <c r="S142">
        <f t="shared" ca="1" si="28"/>
        <v>1.4128544023228229</v>
      </c>
      <c r="T142">
        <f t="shared" ca="1" si="29"/>
        <v>58.555311127048803</v>
      </c>
      <c r="U142">
        <f>70</f>
        <v>70</v>
      </c>
      <c r="V142">
        <f>30</f>
        <v>30</v>
      </c>
      <c r="W142">
        <f t="shared" ca="1" si="27"/>
        <v>177.36536153334796</v>
      </c>
      <c r="X142">
        <f t="shared" ca="1" si="37"/>
        <v>174.96866599081159</v>
      </c>
      <c r="Y142">
        <f t="shared" ca="1" si="36"/>
        <v>2.0934926734774422</v>
      </c>
      <c r="Z142">
        <f t="shared" ca="1" si="38"/>
        <v>2.7867307076674779</v>
      </c>
      <c r="AA142">
        <f t="shared" ca="1" si="39"/>
        <v>-0.69323803419003571</v>
      </c>
      <c r="AB142">
        <f t="shared" ca="1" si="40"/>
        <v>161.47630000000001</v>
      </c>
    </row>
    <row r="143" spans="1:28" x14ac:dyDescent="0.25">
      <c r="A143" s="20">
        <f t="shared" ca="1" si="41"/>
        <v>45908</v>
      </c>
      <c r="B143" vm="421">
        <f ca="1"/>
        <v>45910</v>
      </c>
      <c r="C143" vm="422">
        <f ca="1"/>
        <v>175.79</v>
      </c>
      <c r="D143" vm="423">
        <f ca="1"/>
        <v>6891590</v>
      </c>
      <c r="E143">
        <f t="shared" ca="1" si="42"/>
        <v>1211472606.0999999</v>
      </c>
      <c r="F143">
        <f ca="1">SUM($E$2:E143)/SUM($D$2:D143)</f>
        <v>161.00499827082459</v>
      </c>
      <c r="G143">
        <f ca="1">_xlfn.STDEV.P($C$2:C143)</f>
        <v>8.7706491750607434</v>
      </c>
      <c r="H143">
        <f t="shared" ca="1" si="43"/>
        <v>169.77564744588534</v>
      </c>
      <c r="I143">
        <f t="shared" ca="1" si="44"/>
        <v>152.23434909576383</v>
      </c>
      <c r="J143">
        <f t="shared" ca="1" si="32"/>
        <v>177.26649999999998</v>
      </c>
      <c r="K143">
        <f t="shared" ca="1" si="33"/>
        <v>1.4300065329258231</v>
      </c>
      <c r="L143">
        <f t="shared" ca="1" si="34"/>
        <v>180.12651306585161</v>
      </c>
      <c r="M143">
        <f t="shared" ca="1" si="35"/>
        <v>174.40648693414835</v>
      </c>
      <c r="N143">
        <f t="shared" ca="1" si="45"/>
        <v>-1.1700000000000159</v>
      </c>
      <c r="O143">
        <f t="shared" ca="1" si="46"/>
        <v>0</v>
      </c>
      <c r="P143">
        <f t="shared" ca="1" si="47"/>
        <v>1.1700000000000159</v>
      </c>
      <c r="Q143">
        <f t="shared" ca="1" si="30"/>
        <v>0.53647398987278183</v>
      </c>
      <c r="R143">
        <f t="shared" ca="1" si="31"/>
        <v>0.4632807524697623</v>
      </c>
      <c r="S143">
        <f t="shared" ca="1" si="28"/>
        <v>1.1579889451759531</v>
      </c>
      <c r="T143">
        <f t="shared" ca="1" si="29"/>
        <v>53.660559650435822</v>
      </c>
      <c r="U143">
        <f>70</f>
        <v>70</v>
      </c>
      <c r="V143">
        <f>30</f>
        <v>30</v>
      </c>
      <c r="W143">
        <f t="shared" ref="W143:W206" ca="1" si="48">C143*(2/(12+1)) + W142*(1-(2/(12+1)))</f>
        <v>177.1229982205252</v>
      </c>
      <c r="X143">
        <f t="shared" ca="1" si="37"/>
        <v>175.02950554704776</v>
      </c>
      <c r="Y143">
        <f t="shared" ca="1" si="36"/>
        <v>2.048265437907304</v>
      </c>
      <c r="Z143">
        <f t="shared" ca="1" si="38"/>
        <v>2.6390376537154432</v>
      </c>
      <c r="AA143">
        <f t="shared" ca="1" si="39"/>
        <v>-0.59077221580813921</v>
      </c>
      <c r="AB143">
        <f t="shared" ca="1" si="40"/>
        <v>161.69510000000002</v>
      </c>
    </row>
    <row r="144" spans="1:28" x14ac:dyDescent="0.25">
      <c r="A144" s="20">
        <f t="shared" ca="1" si="41"/>
        <v>45908</v>
      </c>
      <c r="B144" vm="424">
        <f ca="1"/>
        <v>45911</v>
      </c>
      <c r="C144" vm="425">
        <f ca="1"/>
        <v>178.5</v>
      </c>
      <c r="D144" vm="426">
        <f ca="1"/>
        <v>5792527</v>
      </c>
      <c r="E144">
        <f t="shared" ca="1" si="42"/>
        <v>1033966069.5</v>
      </c>
      <c r="F144">
        <f ca="1">SUM($E$2:E144)/SUM($D$2:D144)</f>
        <v>161.08467045911976</v>
      </c>
      <c r="G144">
        <f ca="1">_xlfn.STDEV.P($C$2:C144)</f>
        <v>8.8562019557666041</v>
      </c>
      <c r="H144">
        <f t="shared" ca="1" si="43"/>
        <v>169.94087241488637</v>
      </c>
      <c r="I144">
        <f t="shared" ca="1" si="44"/>
        <v>152.22846850335316</v>
      </c>
      <c r="J144">
        <f t="shared" ca="1" si="32"/>
        <v>177.47050000000002</v>
      </c>
      <c r="K144">
        <f t="shared" ca="1" si="33"/>
        <v>1.2863676931986701</v>
      </c>
      <c r="L144">
        <f t="shared" ca="1" si="34"/>
        <v>180.04323538639736</v>
      </c>
      <c r="M144">
        <f t="shared" ca="1" si="35"/>
        <v>174.89776461360267</v>
      </c>
      <c r="N144">
        <f t="shared" ca="1" si="45"/>
        <v>2.710000000000008</v>
      </c>
      <c r="O144">
        <f t="shared" ca="1" si="46"/>
        <v>2.710000000000008</v>
      </c>
      <c r="P144">
        <f t="shared" ca="1" si="47"/>
        <v>0</v>
      </c>
      <c r="Q144">
        <f t="shared" ca="1" si="30"/>
        <v>0.69172584773901225</v>
      </c>
      <c r="R144">
        <f t="shared" ca="1" si="31"/>
        <v>0.43018927015049357</v>
      </c>
      <c r="S144">
        <f t="shared" ref="S144:S207" ca="1" si="49">IF(R144=0,NA(),Q144/R144)</f>
        <v>1.6079569987810831</v>
      </c>
      <c r="T144">
        <f t="shared" ref="T144:T207" ca="1" si="50">100-(100/(1+S144))</f>
        <v>61.655809491207727</v>
      </c>
      <c r="U144">
        <f>70</f>
        <v>70</v>
      </c>
      <c r="V144">
        <f>30</f>
        <v>30</v>
      </c>
      <c r="W144">
        <f t="shared" ca="1" si="48"/>
        <v>177.33484464813671</v>
      </c>
      <c r="X144">
        <f t="shared" ca="1" si="37"/>
        <v>175.28657921022941</v>
      </c>
      <c r="Y144">
        <f t="shared" ca="1" si="36"/>
        <v>1.9543892227123933</v>
      </c>
      <c r="Z144">
        <f t="shared" ca="1" si="38"/>
        <v>2.5021079675148332</v>
      </c>
      <c r="AA144">
        <f t="shared" ca="1" si="39"/>
        <v>-0.54771874480243987</v>
      </c>
      <c r="AB144">
        <f t="shared" ca="1" si="40"/>
        <v>161.90540000000001</v>
      </c>
    </row>
    <row r="145" spans="1:28" x14ac:dyDescent="0.25">
      <c r="A145" s="20">
        <f t="shared" ca="1" si="41"/>
        <v>45908</v>
      </c>
      <c r="B145" vm="427">
        <f ca="1"/>
        <v>45912</v>
      </c>
      <c r="C145" vm="404">
        <f ca="1"/>
        <v>178.06</v>
      </c>
      <c r="D145" vm="428">
        <f ca="1"/>
        <v>7220473</v>
      </c>
      <c r="E145">
        <f t="shared" ca="1" si="42"/>
        <v>1285677422.3800001</v>
      </c>
      <c r="F145">
        <f ca="1">SUM($E$2:E145)/SUM($D$2:D145)</f>
        <v>161.1804891415818</v>
      </c>
      <c r="G145">
        <f ca="1">_xlfn.STDEV.P($C$2:C145)</f>
        <v>8.9324728542254057</v>
      </c>
      <c r="H145">
        <f t="shared" ca="1" si="43"/>
        <v>170.11296199580721</v>
      </c>
      <c r="I145">
        <f t="shared" ca="1" si="44"/>
        <v>152.24801628735639</v>
      </c>
      <c r="J145">
        <f t="shared" ca="1" si="32"/>
        <v>177.63749999999999</v>
      </c>
      <c r="K145">
        <f t="shared" ca="1" si="33"/>
        <v>1.1160214815891429</v>
      </c>
      <c r="L145">
        <f t="shared" ca="1" si="34"/>
        <v>179.86954296317828</v>
      </c>
      <c r="M145">
        <f t="shared" ca="1" si="35"/>
        <v>175.4054570368217</v>
      </c>
      <c r="N145">
        <f t="shared" ca="1" si="45"/>
        <v>-0.43999999999999773</v>
      </c>
      <c r="O145">
        <f t="shared" ca="1" si="46"/>
        <v>0</v>
      </c>
      <c r="P145">
        <f t="shared" ca="1" si="47"/>
        <v>0.43999999999999773</v>
      </c>
      <c r="Q145">
        <f t="shared" ref="Q145:Q208" ca="1" si="51">(Q144*13+O145)/14</f>
        <v>0.64231685861479704</v>
      </c>
      <c r="R145">
        <f t="shared" ref="R145:R208" ca="1" si="52">(R144*13+P145)/14</f>
        <v>0.43089003656831532</v>
      </c>
      <c r="S145">
        <f t="shared" ca="1" si="49"/>
        <v>1.4906746596656595</v>
      </c>
      <c r="T145">
        <f t="shared" ca="1" si="50"/>
        <v>59.850235914222651</v>
      </c>
      <c r="U145">
        <f>70</f>
        <v>70</v>
      </c>
      <c r="V145">
        <f>30</f>
        <v>30</v>
      </c>
      <c r="W145">
        <f t="shared" ca="1" si="48"/>
        <v>177.44640700996183</v>
      </c>
      <c r="X145">
        <f t="shared" ca="1" si="37"/>
        <v>175.49201778724944</v>
      </c>
      <c r="Y145">
        <f t="shared" ca="1" si="36"/>
        <v>1.805917666958976</v>
      </c>
      <c r="Z145">
        <f t="shared" ca="1" si="38"/>
        <v>2.3628699074036619</v>
      </c>
      <c r="AA145">
        <f t="shared" ca="1" si="39"/>
        <v>-0.55695224044468583</v>
      </c>
      <c r="AB145">
        <f t="shared" ca="1" si="40"/>
        <v>162.11680000000001</v>
      </c>
    </row>
    <row r="146" spans="1:28" x14ac:dyDescent="0.25">
      <c r="A146" s="20">
        <f t="shared" ca="1" si="41"/>
        <v>45915</v>
      </c>
      <c r="B146" vm="429">
        <f ca="1"/>
        <v>45915</v>
      </c>
      <c r="C146" vm="430">
        <f ca="1"/>
        <v>177.4</v>
      </c>
      <c r="D146" vm="431">
        <f ca="1"/>
        <v>4768547</v>
      </c>
      <c r="E146">
        <f t="shared" ca="1" si="42"/>
        <v>845940237.80000007</v>
      </c>
      <c r="F146">
        <f ca="1">SUM($E$2:E146)/SUM($D$2:D146)</f>
        <v>161.24072764876831</v>
      </c>
      <c r="G146">
        <f ca="1">_xlfn.STDEV.P($C$2:C146)</f>
        <v>8.9974983813542995</v>
      </c>
      <c r="H146">
        <f t="shared" ca="1" si="43"/>
        <v>170.2382260301226</v>
      </c>
      <c r="I146">
        <f t="shared" ca="1" si="44"/>
        <v>152.24322926741402</v>
      </c>
      <c r="J146">
        <f t="shared" ca="1" si="32"/>
        <v>177.6755</v>
      </c>
      <c r="K146">
        <f t="shared" ca="1" si="33"/>
        <v>1.0929702408430084</v>
      </c>
      <c r="L146">
        <f t="shared" ca="1" si="34"/>
        <v>179.861440481686</v>
      </c>
      <c r="M146">
        <f t="shared" ca="1" si="35"/>
        <v>175.489559518314</v>
      </c>
      <c r="N146">
        <f t="shared" ca="1" si="45"/>
        <v>-0.65999999999999659</v>
      </c>
      <c r="O146">
        <f t="shared" ca="1" si="46"/>
        <v>0</v>
      </c>
      <c r="P146">
        <f t="shared" ca="1" si="47"/>
        <v>0.65999999999999659</v>
      </c>
      <c r="Q146">
        <f t="shared" ca="1" si="51"/>
        <v>0.59643708299945442</v>
      </c>
      <c r="R146">
        <f t="shared" ca="1" si="52"/>
        <v>0.44725503395629257</v>
      </c>
      <c r="S146">
        <f t="shared" ca="1" si="49"/>
        <v>1.3335502961778636</v>
      </c>
      <c r="T146">
        <f t="shared" ca="1" si="50"/>
        <v>57.146841804185399</v>
      </c>
      <c r="U146">
        <f>70</f>
        <v>70</v>
      </c>
      <c r="V146">
        <f>30</f>
        <v>30</v>
      </c>
      <c r="W146">
        <f t="shared" ca="1" si="48"/>
        <v>177.43926746996772</v>
      </c>
      <c r="X146">
        <f t="shared" ca="1" si="37"/>
        <v>175.63334980300874</v>
      </c>
      <c r="Y146">
        <f t="shared" ca="1" si="36"/>
        <v>1.5940277851925089</v>
      </c>
      <c r="Z146">
        <f t="shared" ca="1" si="38"/>
        <v>2.2091014829614313</v>
      </c>
      <c r="AA146">
        <f t="shared" ca="1" si="39"/>
        <v>-0.6150736977689224</v>
      </c>
      <c r="AB146">
        <f t="shared" ca="1" si="40"/>
        <v>162.3133</v>
      </c>
    </row>
    <row r="147" spans="1:28" x14ac:dyDescent="0.25">
      <c r="A147" s="20">
        <f t="shared" ca="1" si="41"/>
        <v>45915</v>
      </c>
      <c r="B147" vm="432">
        <f ca="1"/>
        <v>45916</v>
      </c>
      <c r="C147" vm="433">
        <f ca="1"/>
        <v>176.46</v>
      </c>
      <c r="D147" vm="434">
        <f ca="1"/>
        <v>7959652</v>
      </c>
      <c r="E147">
        <f t="shared" ca="1" si="42"/>
        <v>1404560191.9200001</v>
      </c>
      <c r="F147">
        <f ca="1">SUM($E$2:E147)/SUM($D$2:D147)</f>
        <v>161.33449557859535</v>
      </c>
      <c r="G147">
        <f ca="1">_xlfn.STDEV.P($C$2:C147)</f>
        <v>9.049117865221735</v>
      </c>
      <c r="H147">
        <f t="shared" ca="1" si="43"/>
        <v>170.3836134438171</v>
      </c>
      <c r="I147">
        <f t="shared" ca="1" si="44"/>
        <v>152.28537771337361</v>
      </c>
      <c r="J147">
        <f t="shared" ca="1" si="32"/>
        <v>177.68599999999998</v>
      </c>
      <c r="K147">
        <f t="shared" ca="1" si="33"/>
        <v>1.0794803818212002</v>
      </c>
      <c r="L147">
        <f t="shared" ca="1" si="34"/>
        <v>179.84496076364238</v>
      </c>
      <c r="M147">
        <f t="shared" ca="1" si="35"/>
        <v>175.52703923635758</v>
      </c>
      <c r="N147">
        <f t="shared" ca="1" si="45"/>
        <v>-0.93999999999999773</v>
      </c>
      <c r="O147">
        <f t="shared" ca="1" si="46"/>
        <v>0</v>
      </c>
      <c r="P147">
        <f t="shared" ca="1" si="47"/>
        <v>0.93999999999999773</v>
      </c>
      <c r="Q147">
        <f t="shared" ca="1" si="51"/>
        <v>0.55383443421377909</v>
      </c>
      <c r="R147">
        <f t="shared" ca="1" si="52"/>
        <v>0.4824511029594144</v>
      </c>
      <c r="S147">
        <f t="shared" ca="1" si="49"/>
        <v>1.1479597223770255</v>
      </c>
      <c r="T147">
        <f t="shared" ca="1" si="50"/>
        <v>53.444192198662059</v>
      </c>
      <c r="U147">
        <f>70</f>
        <v>70</v>
      </c>
      <c r="V147">
        <f>30</f>
        <v>30</v>
      </c>
      <c r="W147">
        <f t="shared" ca="1" si="48"/>
        <v>177.28861093612653</v>
      </c>
      <c r="X147">
        <f t="shared" ca="1" si="37"/>
        <v>175.69458315093402</v>
      </c>
      <c r="Y147">
        <f t="shared" ca="1" si="36"/>
        <v>1.4688829742906648</v>
      </c>
      <c r="Z147">
        <f t="shared" ca="1" si="38"/>
        <v>2.0610577812272779</v>
      </c>
      <c r="AA147">
        <f t="shared" ca="1" si="39"/>
        <v>-0.59217480693661306</v>
      </c>
      <c r="AB147">
        <f t="shared" ca="1" si="40"/>
        <v>162.5241</v>
      </c>
    </row>
    <row r="148" spans="1:28" x14ac:dyDescent="0.25">
      <c r="A148" s="20">
        <f t="shared" ca="1" si="41"/>
        <v>45915</v>
      </c>
      <c r="B148" vm="435">
        <f ca="1"/>
        <v>45917</v>
      </c>
      <c r="C148" vm="436">
        <f ca="1"/>
        <v>177.2</v>
      </c>
      <c r="D148" vm="437">
        <f ca="1"/>
        <v>6715188</v>
      </c>
      <c r="E148">
        <f t="shared" ca="1" si="42"/>
        <v>1189931313.5999999</v>
      </c>
      <c r="F148">
        <f ca="1">SUM($E$2:E148)/SUM($D$2:D148)</f>
        <v>161.41653580752646</v>
      </c>
      <c r="G148">
        <f ca="1">_xlfn.STDEV.P($C$2:C148)</f>
        <v>9.1069105796836407</v>
      </c>
      <c r="H148">
        <f t="shared" ca="1" si="43"/>
        <v>170.5234463872101</v>
      </c>
      <c r="I148">
        <f t="shared" ca="1" si="44"/>
        <v>152.30962522784282</v>
      </c>
      <c r="J148">
        <f t="shared" ca="1" si="32"/>
        <v>177.65600000000001</v>
      </c>
      <c r="K148">
        <f t="shared" ca="1" si="33"/>
        <v>1.0844712512265342</v>
      </c>
      <c r="L148">
        <f t="shared" ca="1" si="34"/>
        <v>179.82494250245307</v>
      </c>
      <c r="M148">
        <f t="shared" ca="1" si="35"/>
        <v>175.48705749754694</v>
      </c>
      <c r="N148">
        <f t="shared" ca="1" si="45"/>
        <v>0.73999999999998067</v>
      </c>
      <c r="O148">
        <f t="shared" ca="1" si="46"/>
        <v>0.73999999999998067</v>
      </c>
      <c r="P148">
        <f t="shared" ca="1" si="47"/>
        <v>0</v>
      </c>
      <c r="Q148">
        <f t="shared" ca="1" si="51"/>
        <v>0.56713197462707921</v>
      </c>
      <c r="R148">
        <f t="shared" ca="1" si="52"/>
        <v>0.44799030989088479</v>
      </c>
      <c r="S148">
        <f t="shared" ca="1" si="49"/>
        <v>1.2659469682842321</v>
      </c>
      <c r="T148">
        <f t="shared" ca="1" si="50"/>
        <v>55.868340521790898</v>
      </c>
      <c r="U148">
        <f>70</f>
        <v>70</v>
      </c>
      <c r="V148">
        <f>30</f>
        <v>30</v>
      </c>
      <c r="W148">
        <f t="shared" ca="1" si="48"/>
        <v>177.27497848441476</v>
      </c>
      <c r="X148">
        <f t="shared" ca="1" si="37"/>
        <v>175.80609551012409</v>
      </c>
      <c r="Y148">
        <f t="shared" ca="1" si="36"/>
        <v>1.1115885158998822</v>
      </c>
      <c r="Z148">
        <f t="shared" ca="1" si="38"/>
        <v>1.8711639281617987</v>
      </c>
      <c r="AA148">
        <f t="shared" ca="1" si="39"/>
        <v>-0.75957541226191649</v>
      </c>
      <c r="AB148">
        <f t="shared" ca="1" si="40"/>
        <v>162.74680000000001</v>
      </c>
    </row>
    <row r="149" spans="1:28" x14ac:dyDescent="0.25">
      <c r="A149" s="20">
        <f t="shared" ca="1" si="41"/>
        <v>45915</v>
      </c>
      <c r="B149" vm="438">
        <f ca="1"/>
        <v>45918</v>
      </c>
      <c r="C149" vm="439">
        <f ca="1"/>
        <v>174.16</v>
      </c>
      <c r="D149" vm="440">
        <f ca="1"/>
        <v>8200854</v>
      </c>
      <c r="E149">
        <f t="shared" ca="1" si="42"/>
        <v>1428260732.6399999</v>
      </c>
      <c r="F149">
        <f ca="1">SUM($E$2:E149)/SUM($D$2:D149)</f>
        <v>161.4965058703053</v>
      </c>
      <c r="G149">
        <f ca="1">_xlfn.STDEV.P($C$2:C149)</f>
        <v>9.131621646369263</v>
      </c>
      <c r="H149">
        <f t="shared" ca="1" si="43"/>
        <v>170.62812751667457</v>
      </c>
      <c r="I149">
        <f t="shared" ca="1" si="44"/>
        <v>152.36488422393603</v>
      </c>
      <c r="J149">
        <f t="shared" ca="1" si="32"/>
        <v>177.42199999999997</v>
      </c>
      <c r="K149">
        <f t="shared" ca="1" si="33"/>
        <v>1.2992005639096529</v>
      </c>
      <c r="L149">
        <f t="shared" ca="1" si="34"/>
        <v>180.02040112781927</v>
      </c>
      <c r="M149">
        <f t="shared" ca="1" si="35"/>
        <v>174.82359887218067</v>
      </c>
      <c r="N149">
        <f t="shared" ca="1" si="45"/>
        <v>-3.039999999999992</v>
      </c>
      <c r="O149">
        <f t="shared" ca="1" si="46"/>
        <v>0</v>
      </c>
      <c r="P149">
        <f t="shared" ca="1" si="47"/>
        <v>3.039999999999992</v>
      </c>
      <c r="Q149">
        <f t="shared" ca="1" si="51"/>
        <v>0.52662254786800211</v>
      </c>
      <c r="R149">
        <f t="shared" ca="1" si="52"/>
        <v>0.63313385918439258</v>
      </c>
      <c r="S149">
        <f t="shared" ca="1" si="49"/>
        <v>0.83177126010351254</v>
      </c>
      <c r="T149">
        <f t="shared" ca="1" si="50"/>
        <v>45.408030916289711</v>
      </c>
      <c r="U149">
        <f>70</f>
        <v>70</v>
      </c>
      <c r="V149">
        <f>30</f>
        <v>30</v>
      </c>
      <c r="W149">
        <f t="shared" ca="1" si="48"/>
        <v>176.79575102527403</v>
      </c>
      <c r="X149">
        <f t="shared" ca="1" si="37"/>
        <v>175.68416250937415</v>
      </c>
      <c r="Y149">
        <f t="shared" ca="1" si="36"/>
        <v>0.98092660672304532</v>
      </c>
      <c r="Z149">
        <f t="shared" ca="1" si="38"/>
        <v>1.6931164638740479</v>
      </c>
      <c r="AA149">
        <f t="shared" ca="1" si="39"/>
        <v>-0.71218985715100258</v>
      </c>
      <c r="AB149">
        <f t="shared" ca="1" si="40"/>
        <v>162.94259999999997</v>
      </c>
    </row>
    <row r="150" spans="1:28" x14ac:dyDescent="0.25">
      <c r="A150" s="20">
        <f t="shared" ca="1" si="41"/>
        <v>45915</v>
      </c>
      <c r="B150" vm="441">
        <f ca="1"/>
        <v>45919</v>
      </c>
      <c r="C150" vm="442">
        <f ca="1"/>
        <v>176.19</v>
      </c>
      <c r="D150" vm="443">
        <f ca="1"/>
        <v>25620954</v>
      </c>
      <c r="E150">
        <f t="shared" ca="1" si="42"/>
        <v>4514155885.2600002</v>
      </c>
      <c r="F150">
        <f ca="1">SUM($E$2:E150)/SUM($D$2:D150)</f>
        <v>161.7790388169185</v>
      </c>
      <c r="G150">
        <f ca="1">_xlfn.STDEV.P($C$2:C150)</f>
        <v>9.1746995342912996</v>
      </c>
      <c r="H150">
        <f t="shared" ca="1" si="43"/>
        <v>170.95373835120981</v>
      </c>
      <c r="I150">
        <f t="shared" ca="1" si="44"/>
        <v>152.60433928262719</v>
      </c>
      <c r="J150">
        <f t="shared" ref="J150:J213" ca="1" si="53">AVERAGE(C131:C150)</f>
        <v>177.285</v>
      </c>
      <c r="K150">
        <f t="shared" ref="K150:K213" ca="1" si="54">_xlfn.STDEV.S(C131:C150)</f>
        <v>1.2760733356256364</v>
      </c>
      <c r="L150">
        <f t="shared" ref="L150:L213" ca="1" si="55">J150 + 2*K150</f>
        <v>179.83714667125128</v>
      </c>
      <c r="M150">
        <f t="shared" ref="M150:M213" ca="1" si="56">J150-2*K150</f>
        <v>174.73285332874872</v>
      </c>
      <c r="N150">
        <f t="shared" ca="1" si="45"/>
        <v>2.0300000000000011</v>
      </c>
      <c r="O150">
        <f t="shared" ca="1" si="46"/>
        <v>2.0300000000000011</v>
      </c>
      <c r="P150">
        <f t="shared" ca="1" si="47"/>
        <v>0</v>
      </c>
      <c r="Q150">
        <f t="shared" ca="1" si="51"/>
        <v>0.63400665159171632</v>
      </c>
      <c r="R150">
        <f t="shared" ca="1" si="52"/>
        <v>0.5879100120997931</v>
      </c>
      <c r="S150">
        <f t="shared" ca="1" si="49"/>
        <v>1.0784076449511097</v>
      </c>
      <c r="T150">
        <f t="shared" ca="1" si="50"/>
        <v>51.886243180965451</v>
      </c>
      <c r="U150">
        <f>70</f>
        <v>70</v>
      </c>
      <c r="V150">
        <f>30</f>
        <v>30</v>
      </c>
      <c r="W150">
        <f t="shared" ca="1" si="48"/>
        <v>176.70255855984726</v>
      </c>
      <c r="X150">
        <f t="shared" ca="1" si="37"/>
        <v>175.72163195312422</v>
      </c>
      <c r="Y150">
        <f t="shared" ca="1" si="36"/>
        <v>0.70942879632269751</v>
      </c>
      <c r="Z150">
        <f t="shared" ca="1" si="38"/>
        <v>1.496378930363778</v>
      </c>
      <c r="AA150">
        <f t="shared" ca="1" si="39"/>
        <v>-0.7869501340410805</v>
      </c>
      <c r="AB150">
        <f t="shared" ca="1" si="40"/>
        <v>163.15100000000001</v>
      </c>
    </row>
    <row r="151" spans="1:28" x14ac:dyDescent="0.25">
      <c r="A151" s="20">
        <f t="shared" ca="1" si="41"/>
        <v>45922</v>
      </c>
      <c r="B151" vm="444">
        <f ca="1"/>
        <v>45922</v>
      </c>
      <c r="C151" vm="445">
        <f ca="1"/>
        <v>174.21</v>
      </c>
      <c r="D151" vm="446">
        <f ca="1"/>
        <v>7193868</v>
      </c>
      <c r="E151">
        <f t="shared" ca="1" si="42"/>
        <v>1253243744.28</v>
      </c>
      <c r="F151">
        <f ca="1">SUM($E$2:E151)/SUM($D$2:D151)</f>
        <v>161.84579284175328</v>
      </c>
      <c r="G151">
        <f ca="1">_xlfn.STDEV.P($C$2:C151)</f>
        <v>9.1973291584507777</v>
      </c>
      <c r="H151">
        <f t="shared" ca="1" si="43"/>
        <v>171.04312200020405</v>
      </c>
      <c r="I151">
        <f t="shared" ca="1" si="44"/>
        <v>152.64846368330251</v>
      </c>
      <c r="J151">
        <f t="shared" ca="1" si="53"/>
        <v>177.03100000000001</v>
      </c>
      <c r="K151">
        <f t="shared" ca="1" si="54"/>
        <v>1.3588729850407961</v>
      </c>
      <c r="L151">
        <f t="shared" ca="1" si="55"/>
        <v>179.74874597008159</v>
      </c>
      <c r="M151">
        <f t="shared" ca="1" si="56"/>
        <v>174.31325402991843</v>
      </c>
      <c r="N151">
        <f t="shared" ca="1" si="45"/>
        <v>-1.9799999999999898</v>
      </c>
      <c r="O151">
        <f t="shared" ca="1" si="46"/>
        <v>0</v>
      </c>
      <c r="P151">
        <f t="shared" ca="1" si="47"/>
        <v>1.9799999999999898</v>
      </c>
      <c r="Q151">
        <f t="shared" ca="1" si="51"/>
        <v>0.588720462192308</v>
      </c>
      <c r="R151">
        <f t="shared" ca="1" si="52"/>
        <v>0.6873450112355215</v>
      </c>
      <c r="S151">
        <f t="shared" ca="1" si="49"/>
        <v>0.85651376320323735</v>
      </c>
      <c r="T151">
        <f t="shared" ca="1" si="50"/>
        <v>46.135599971281906</v>
      </c>
      <c r="U151">
        <f>70</f>
        <v>70</v>
      </c>
      <c r="V151">
        <f>30</f>
        <v>30</v>
      </c>
      <c r="W151">
        <f t="shared" ca="1" si="48"/>
        <v>176.31908801217844</v>
      </c>
      <c r="X151">
        <f t="shared" ca="1" si="37"/>
        <v>175.60965921585574</v>
      </c>
      <c r="Y151">
        <f t="shared" ca="1" si="36"/>
        <v>0.67769200701960131</v>
      </c>
      <c r="Z151">
        <f t="shared" ca="1" si="38"/>
        <v>1.3326415456949428</v>
      </c>
      <c r="AA151">
        <f t="shared" ca="1" si="39"/>
        <v>-0.65494953867534145</v>
      </c>
      <c r="AB151">
        <f t="shared" ca="1" si="40"/>
        <v>163.334</v>
      </c>
    </row>
    <row r="152" spans="1:28" x14ac:dyDescent="0.25">
      <c r="A152" s="20">
        <f t="shared" ca="1" si="41"/>
        <v>45922</v>
      </c>
      <c r="B152" vm="447">
        <f ca="1"/>
        <v>45923</v>
      </c>
      <c r="C152" vm="448">
        <f ca="1"/>
        <v>176.58</v>
      </c>
      <c r="D152" vm="449">
        <f ca="1"/>
        <v>8350743</v>
      </c>
      <c r="E152">
        <f t="shared" ca="1" si="42"/>
        <v>1474574198.9400001</v>
      </c>
      <c r="F152">
        <f ca="1">SUM($E$2:E152)/SUM($D$2:D152)</f>
        <v>161.93707026625515</v>
      </c>
      <c r="G152">
        <f ca="1">_xlfn.STDEV.P($C$2:C152)</f>
        <v>9.2412890860871126</v>
      </c>
      <c r="H152">
        <f t="shared" ca="1" si="43"/>
        <v>171.17835935234226</v>
      </c>
      <c r="I152">
        <f t="shared" ca="1" si="44"/>
        <v>152.69578118016804</v>
      </c>
      <c r="J152">
        <f t="shared" ca="1" si="53"/>
        <v>176.93950000000001</v>
      </c>
      <c r="K152">
        <f t="shared" ca="1" si="54"/>
        <v>1.3222487822286935</v>
      </c>
      <c r="L152">
        <f t="shared" ca="1" si="55"/>
        <v>179.58399756445741</v>
      </c>
      <c r="M152">
        <f t="shared" ca="1" si="56"/>
        <v>174.29500243554261</v>
      </c>
      <c r="N152">
        <f t="shared" ca="1" si="45"/>
        <v>2.3700000000000045</v>
      </c>
      <c r="O152">
        <f t="shared" ca="1" si="46"/>
        <v>2.3700000000000045</v>
      </c>
      <c r="P152">
        <f t="shared" ca="1" si="47"/>
        <v>0</v>
      </c>
      <c r="Q152">
        <f t="shared" ca="1" si="51"/>
        <v>0.71595471489285778</v>
      </c>
      <c r="R152">
        <f t="shared" ca="1" si="52"/>
        <v>0.63824893900441282</v>
      </c>
      <c r="S152">
        <f t="shared" ca="1" si="49"/>
        <v>1.1217483823939545</v>
      </c>
      <c r="T152">
        <f t="shared" ca="1" si="50"/>
        <v>52.869057976059032</v>
      </c>
      <c r="U152">
        <f>70</f>
        <v>70</v>
      </c>
      <c r="V152">
        <f>30</f>
        <v>30</v>
      </c>
      <c r="W152">
        <f t="shared" ca="1" si="48"/>
        <v>176.35922831799715</v>
      </c>
      <c r="X152">
        <f t="shared" ca="1" si="37"/>
        <v>175.68153631097755</v>
      </c>
      <c r="Y152">
        <f t="shared" ca="1" si="36"/>
        <v>0.65387894409528258</v>
      </c>
      <c r="Z152">
        <f t="shared" ca="1" si="38"/>
        <v>1.1968890253750109</v>
      </c>
      <c r="AA152">
        <f t="shared" ca="1" si="39"/>
        <v>-0.54301008127972827</v>
      </c>
      <c r="AB152">
        <f t="shared" ca="1" si="40"/>
        <v>163.5367</v>
      </c>
    </row>
    <row r="153" spans="1:28" x14ac:dyDescent="0.25">
      <c r="A153" s="20">
        <f t="shared" ca="1" si="41"/>
        <v>45922</v>
      </c>
      <c r="B153" vm="450">
        <f ca="1"/>
        <v>45924</v>
      </c>
      <c r="C153" vm="451">
        <f ca="1"/>
        <v>176.69</v>
      </c>
      <c r="D153" vm="452">
        <f ca="1"/>
        <v>6676770</v>
      </c>
      <c r="E153">
        <f t="shared" ca="1" si="42"/>
        <v>1179718491.3</v>
      </c>
      <c r="F153">
        <f ca="1">SUM($E$2:E153)/SUM($D$2:D153)</f>
        <v>162.00978298435018</v>
      </c>
      <c r="G153">
        <f ca="1">_xlfn.STDEV.P($C$2:C153)</f>
        <v>9.2846162042887812</v>
      </c>
      <c r="H153">
        <f t="shared" ca="1" si="43"/>
        <v>171.29439918863898</v>
      </c>
      <c r="I153">
        <f t="shared" ca="1" si="44"/>
        <v>152.72516678006139</v>
      </c>
      <c r="J153">
        <f t="shared" ca="1" si="53"/>
        <v>176.9495</v>
      </c>
      <c r="K153">
        <f t="shared" ca="1" si="54"/>
        <v>1.3194236181797439</v>
      </c>
      <c r="L153">
        <f t="shared" ca="1" si="55"/>
        <v>179.58834723635948</v>
      </c>
      <c r="M153">
        <f t="shared" ca="1" si="56"/>
        <v>174.31065276364052</v>
      </c>
      <c r="N153">
        <f t="shared" ca="1" si="45"/>
        <v>0.10999999999998522</v>
      </c>
      <c r="O153">
        <f t="shared" ca="1" si="46"/>
        <v>0.10999999999998522</v>
      </c>
      <c r="P153">
        <f t="shared" ca="1" si="47"/>
        <v>0</v>
      </c>
      <c r="Q153">
        <f t="shared" ca="1" si="51"/>
        <v>0.67267223525765263</v>
      </c>
      <c r="R153">
        <f t="shared" ca="1" si="52"/>
        <v>0.59265972907552622</v>
      </c>
      <c r="S153">
        <f t="shared" ca="1" si="49"/>
        <v>1.1350058089942028</v>
      </c>
      <c r="T153">
        <f t="shared" ca="1" si="50"/>
        <v>53.161719945338319</v>
      </c>
      <c r="U153">
        <f>70</f>
        <v>70</v>
      </c>
      <c r="V153">
        <f>30</f>
        <v>30</v>
      </c>
      <c r="W153">
        <f t="shared" ca="1" si="48"/>
        <v>176.41011626907451</v>
      </c>
      <c r="X153">
        <f t="shared" ca="1" si="37"/>
        <v>175.75623732497922</v>
      </c>
      <c r="Y153">
        <f t="shared" ca="1" si="36"/>
        <v>0.71073333702815944</v>
      </c>
      <c r="Z153">
        <f t="shared" ca="1" si="38"/>
        <v>1.0996578877056407</v>
      </c>
      <c r="AA153">
        <f t="shared" ca="1" si="39"/>
        <v>-0.38892455067748122</v>
      </c>
      <c r="AB153">
        <f t="shared" ca="1" si="40"/>
        <v>163.75899999999999</v>
      </c>
    </row>
    <row r="154" spans="1:28" x14ac:dyDescent="0.25">
      <c r="A154" s="20">
        <f t="shared" ca="1" si="41"/>
        <v>45922</v>
      </c>
      <c r="B154" vm="453">
        <f ca="1"/>
        <v>45925</v>
      </c>
      <c r="C154" vm="454">
        <f ca="1"/>
        <v>177.73</v>
      </c>
      <c r="D154" vm="455">
        <f ca="1"/>
        <v>8474975</v>
      </c>
      <c r="E154">
        <f t="shared" ca="1" si="42"/>
        <v>1506257306.75</v>
      </c>
      <c r="F154">
        <f ca="1">SUM($E$2:E154)/SUM($D$2:D154)</f>
        <v>162.10751888594277</v>
      </c>
      <c r="G154">
        <f ca="1">_xlfn.STDEV.P($C$2:C154)</f>
        <v>9.3369935830074855</v>
      </c>
      <c r="H154">
        <f t="shared" ca="1" si="43"/>
        <v>171.44451246895025</v>
      </c>
      <c r="I154">
        <f t="shared" ca="1" si="44"/>
        <v>152.77052530293528</v>
      </c>
      <c r="J154">
        <f t="shared" ca="1" si="53"/>
        <v>176.9965</v>
      </c>
      <c r="K154">
        <f t="shared" ca="1" si="54"/>
        <v>1.3301415634989262</v>
      </c>
      <c r="L154">
        <f t="shared" ca="1" si="55"/>
        <v>179.65678312699785</v>
      </c>
      <c r="M154">
        <f t="shared" ca="1" si="56"/>
        <v>174.33621687300214</v>
      </c>
      <c r="N154">
        <f t="shared" ca="1" si="45"/>
        <v>1.039999999999992</v>
      </c>
      <c r="O154">
        <f t="shared" ca="1" si="46"/>
        <v>1.039999999999992</v>
      </c>
      <c r="P154">
        <f t="shared" ca="1" si="47"/>
        <v>0</v>
      </c>
      <c r="Q154">
        <f t="shared" ca="1" si="51"/>
        <v>0.69890993273924829</v>
      </c>
      <c r="R154">
        <f t="shared" ca="1" si="52"/>
        <v>0.55032689128441725</v>
      </c>
      <c r="S154">
        <f t="shared" ca="1" si="49"/>
        <v>1.2699905161967473</v>
      </c>
      <c r="T154">
        <f t="shared" ca="1" si="50"/>
        <v>55.946952515226862</v>
      </c>
      <c r="U154">
        <f>70</f>
        <v>70</v>
      </c>
      <c r="V154">
        <f>30</f>
        <v>30</v>
      </c>
      <c r="W154">
        <f t="shared" ca="1" si="48"/>
        <v>176.6131753046015</v>
      </c>
      <c r="X154">
        <f t="shared" ca="1" si="37"/>
        <v>175.90244196757334</v>
      </c>
      <c r="Y154">
        <f t="shared" ca="1" si="36"/>
        <v>0.90512656981570672</v>
      </c>
      <c r="Z154">
        <f t="shared" ca="1" si="38"/>
        <v>1.0607516241276538</v>
      </c>
      <c r="AA154">
        <f t="shared" ca="1" si="39"/>
        <v>-0.15562505431194706</v>
      </c>
      <c r="AB154">
        <f t="shared" ca="1" si="40"/>
        <v>163.9751</v>
      </c>
    </row>
    <row r="155" spans="1:28" x14ac:dyDescent="0.25">
      <c r="A155" s="20">
        <f t="shared" ca="1" si="41"/>
        <v>45922</v>
      </c>
      <c r="B155" vm="456">
        <f ca="1"/>
        <v>45926</v>
      </c>
      <c r="C155" vm="457">
        <f ca="1"/>
        <v>179.71</v>
      </c>
      <c r="D155" vm="458">
        <f ca="1"/>
        <v>8634403</v>
      </c>
      <c r="E155">
        <f t="shared" ca="1" si="42"/>
        <v>1551688563.1300001</v>
      </c>
      <c r="F155">
        <f ca="1">SUM($E$2:E155)/SUM($D$2:D155)</f>
        <v>162.21831413671586</v>
      </c>
      <c r="G155">
        <f ca="1">_xlfn.STDEV.P($C$2:C155)</f>
        <v>9.4094782573778648</v>
      </c>
      <c r="H155">
        <f t="shared" ca="1" si="43"/>
        <v>171.62779239409372</v>
      </c>
      <c r="I155">
        <f t="shared" ca="1" si="44"/>
        <v>152.80883587933801</v>
      </c>
      <c r="J155">
        <f t="shared" ca="1" si="53"/>
        <v>177.20949999999999</v>
      </c>
      <c r="K155">
        <f t="shared" ca="1" si="54"/>
        <v>1.4082519025560134</v>
      </c>
      <c r="L155">
        <f t="shared" ca="1" si="55"/>
        <v>180.02600380511203</v>
      </c>
      <c r="M155">
        <f t="shared" ca="1" si="56"/>
        <v>174.39299619488796</v>
      </c>
      <c r="N155">
        <f t="shared" ca="1" si="45"/>
        <v>1.9800000000000182</v>
      </c>
      <c r="O155">
        <f t="shared" ca="1" si="46"/>
        <v>1.9800000000000182</v>
      </c>
      <c r="P155">
        <f t="shared" ca="1" si="47"/>
        <v>0</v>
      </c>
      <c r="Q155">
        <f t="shared" ca="1" si="51"/>
        <v>0.79041636611501764</v>
      </c>
      <c r="R155">
        <f t="shared" ca="1" si="52"/>
        <v>0.51101782762124459</v>
      </c>
      <c r="S155">
        <f t="shared" ca="1" si="49"/>
        <v>1.5467491022658748</v>
      </c>
      <c r="T155">
        <f t="shared" ca="1" si="50"/>
        <v>60.734255325336633</v>
      </c>
      <c r="U155">
        <f>70</f>
        <v>70</v>
      </c>
      <c r="V155">
        <f>30</f>
        <v>30</v>
      </c>
      <c r="W155">
        <f t="shared" ca="1" si="48"/>
        <v>177.08960987312435</v>
      </c>
      <c r="X155">
        <f t="shared" ca="1" si="37"/>
        <v>176.18448330330864</v>
      </c>
      <c r="Y155">
        <f t="shared" ca="1" si="36"/>
        <v>1.1994787998365268</v>
      </c>
      <c r="Z155">
        <f t="shared" ca="1" si="38"/>
        <v>1.0884970592694283</v>
      </c>
      <c r="AA155">
        <f t="shared" ca="1" si="39"/>
        <v>0.11098174056709853</v>
      </c>
      <c r="AB155">
        <f t="shared" ca="1" si="40"/>
        <v>164.22219999999999</v>
      </c>
    </row>
    <row r="156" spans="1:28" x14ac:dyDescent="0.25">
      <c r="A156" s="20">
        <f t="shared" ca="1" si="41"/>
        <v>45929</v>
      </c>
      <c r="B156" vm="459">
        <f ca="1"/>
        <v>45929</v>
      </c>
      <c r="C156" vm="460">
        <f ca="1"/>
        <v>181.62</v>
      </c>
      <c r="D156" vm="461">
        <f ca="1"/>
        <v>8597083</v>
      </c>
      <c r="E156">
        <f t="shared" ca="1" si="42"/>
        <v>1561402214.46</v>
      </c>
      <c r="F156">
        <f ca="1">SUM($E$2:E156)/SUM($D$2:D156)</f>
        <v>162.33914900162614</v>
      </c>
      <c r="G156">
        <f ca="1">_xlfn.STDEV.P($C$2:C156)</f>
        <v>9.5025524913128532</v>
      </c>
      <c r="H156">
        <f t="shared" ca="1" si="43"/>
        <v>171.84170149293899</v>
      </c>
      <c r="I156">
        <f t="shared" ca="1" si="44"/>
        <v>152.83659651031329</v>
      </c>
      <c r="J156">
        <f t="shared" ca="1" si="53"/>
        <v>177.43199999999999</v>
      </c>
      <c r="K156">
        <f t="shared" ca="1" si="54"/>
        <v>1.7189519450739994</v>
      </c>
      <c r="L156">
        <f t="shared" ca="1" si="55"/>
        <v>180.86990389014798</v>
      </c>
      <c r="M156">
        <f t="shared" ca="1" si="56"/>
        <v>173.99409610985199</v>
      </c>
      <c r="N156">
        <f t="shared" ca="1" si="45"/>
        <v>1.9099999999999966</v>
      </c>
      <c r="O156">
        <f t="shared" ca="1" si="46"/>
        <v>1.9099999999999966</v>
      </c>
      <c r="P156">
        <f t="shared" ca="1" si="47"/>
        <v>0</v>
      </c>
      <c r="Q156">
        <f t="shared" ca="1" si="51"/>
        <v>0.87038662567823033</v>
      </c>
      <c r="R156">
        <f t="shared" ca="1" si="52"/>
        <v>0.4745165542197271</v>
      </c>
      <c r="S156">
        <f t="shared" ca="1" si="49"/>
        <v>1.8342597701558663</v>
      </c>
      <c r="T156">
        <f t="shared" ca="1" si="50"/>
        <v>64.717418970209422</v>
      </c>
      <c r="U156">
        <f>70</f>
        <v>70</v>
      </c>
      <c r="V156">
        <f>30</f>
        <v>30</v>
      </c>
      <c r="W156">
        <f t="shared" ca="1" si="48"/>
        <v>177.78659296956675</v>
      </c>
      <c r="X156">
        <f t="shared" ca="1" si="37"/>
        <v>176.58711416973023</v>
      </c>
      <c r="Y156">
        <f t="shared" ref="Y156:Y219" ca="1" si="57">W157-X157</f>
        <v>1.7195612729316281</v>
      </c>
      <c r="Z156">
        <f t="shared" ca="1" si="38"/>
        <v>1.2147099020018683</v>
      </c>
      <c r="AA156">
        <f t="shared" ca="1" si="39"/>
        <v>0.50485137092975974</v>
      </c>
      <c r="AB156">
        <f t="shared" ca="1" si="40"/>
        <v>164.49369999999996</v>
      </c>
    </row>
    <row r="157" spans="1:28" x14ac:dyDescent="0.25">
      <c r="A157" s="20">
        <f t="shared" ca="1" si="41"/>
        <v>45929</v>
      </c>
      <c r="B157" vm="462">
        <f ca="1"/>
        <v>45930</v>
      </c>
      <c r="C157" vm="463">
        <f ca="1"/>
        <v>185.42</v>
      </c>
      <c r="D157" vm="464">
        <f ca="1"/>
        <v>11569019</v>
      </c>
      <c r="E157">
        <f t="shared" ca="1" si="42"/>
        <v>2145127502.9799998</v>
      </c>
      <c r="F157">
        <f ca="1">SUM($E$2:E157)/SUM($D$2:D157)</f>
        <v>162.53098289920484</v>
      </c>
      <c r="G157">
        <f ca="1">_xlfn.STDEV.P($C$2:C157)</f>
        <v>9.6444616677798809</v>
      </c>
      <c r="H157">
        <f t="shared" ca="1" si="43"/>
        <v>172.17544456698474</v>
      </c>
      <c r="I157">
        <f t="shared" ca="1" si="44"/>
        <v>152.88652123142495</v>
      </c>
      <c r="J157">
        <f t="shared" ca="1" si="53"/>
        <v>177.8</v>
      </c>
      <c r="K157">
        <f t="shared" ca="1" si="54"/>
        <v>2.479881151651381</v>
      </c>
      <c r="L157">
        <f t="shared" ca="1" si="55"/>
        <v>182.75976230330278</v>
      </c>
      <c r="M157">
        <f t="shared" ca="1" si="56"/>
        <v>172.84023769669724</v>
      </c>
      <c r="N157">
        <f t="shared" ca="1" si="45"/>
        <v>3.7999999999999829</v>
      </c>
      <c r="O157">
        <f t="shared" ca="1" si="46"/>
        <v>3.7999999999999829</v>
      </c>
      <c r="P157">
        <f t="shared" ca="1" si="47"/>
        <v>0</v>
      </c>
      <c r="Q157">
        <f t="shared" ca="1" si="51"/>
        <v>1.0796447238440698</v>
      </c>
      <c r="R157">
        <f t="shared" ca="1" si="52"/>
        <v>0.44062251463260377</v>
      </c>
      <c r="S157">
        <f t="shared" ca="1" si="49"/>
        <v>2.4502713501698619</v>
      </c>
      <c r="T157">
        <f t="shared" ca="1" si="50"/>
        <v>71.016772348911957</v>
      </c>
      <c r="U157">
        <f>70</f>
        <v>70</v>
      </c>
      <c r="V157">
        <f>30</f>
        <v>30</v>
      </c>
      <c r="W157">
        <f t="shared" ca="1" si="48"/>
        <v>178.9609632819411</v>
      </c>
      <c r="X157">
        <f t="shared" ref="X157:X220" ca="1" si="58">C157*(2/(26+1)) + X156*(1-(2/(26+1)))</f>
        <v>177.24140200900948</v>
      </c>
      <c r="Y157">
        <f t="shared" ca="1" si="57"/>
        <v>2.1576935664057544</v>
      </c>
      <c r="Z157">
        <f t="shared" ca="1" si="38"/>
        <v>1.4033066348826457</v>
      </c>
      <c r="AA157">
        <f t="shared" ca="1" si="39"/>
        <v>0.75438693152310865</v>
      </c>
      <c r="AB157">
        <f t="shared" ca="1" si="40"/>
        <v>164.77489999999995</v>
      </c>
    </row>
    <row r="158" spans="1:28" x14ac:dyDescent="0.25">
      <c r="A158" s="20">
        <f t="shared" ca="1" si="41"/>
        <v>45929</v>
      </c>
      <c r="B158" vm="465">
        <f ca="1"/>
        <v>45931</v>
      </c>
      <c r="C158" vm="466">
        <f ca="1"/>
        <v>186.05</v>
      </c>
      <c r="D158" vm="467">
        <f ca="1"/>
        <v>13063788</v>
      </c>
      <c r="E158">
        <f t="shared" ca="1" si="42"/>
        <v>2430517757.4000001</v>
      </c>
      <c r="F158">
        <f ca="1">SUM($E$2:E158)/SUM($D$2:D158)</f>
        <v>162.74966253108676</v>
      </c>
      <c r="G158">
        <f ca="1">_xlfn.STDEV.P($C$2:C158)</f>
        <v>9.7897496432238285</v>
      </c>
      <c r="H158">
        <f t="shared" ca="1" si="43"/>
        <v>172.5394121743106</v>
      </c>
      <c r="I158">
        <f t="shared" ca="1" si="44"/>
        <v>152.95991288786291</v>
      </c>
      <c r="J158">
        <f t="shared" ca="1" si="53"/>
        <v>178.20250000000001</v>
      </c>
      <c r="K158">
        <f t="shared" ca="1" si="54"/>
        <v>3.0918294277864549</v>
      </c>
      <c r="L158">
        <f t="shared" ca="1" si="55"/>
        <v>184.38615885557292</v>
      </c>
      <c r="M158">
        <f t="shared" ca="1" si="56"/>
        <v>172.01884114442711</v>
      </c>
      <c r="N158">
        <f t="shared" ca="1" si="45"/>
        <v>0.63000000000002387</v>
      </c>
      <c r="O158">
        <f t="shared" ca="1" si="46"/>
        <v>0.63000000000002387</v>
      </c>
      <c r="P158">
        <f t="shared" ca="1" si="47"/>
        <v>0</v>
      </c>
      <c r="Q158">
        <f t="shared" ca="1" si="51"/>
        <v>1.0475272435694951</v>
      </c>
      <c r="R158">
        <f t="shared" ca="1" si="52"/>
        <v>0.40914947787313205</v>
      </c>
      <c r="S158">
        <f t="shared" ca="1" si="49"/>
        <v>2.5602556039294506</v>
      </c>
      <c r="T158">
        <f t="shared" ca="1" si="50"/>
        <v>71.912129036569709</v>
      </c>
      <c r="U158">
        <f>70</f>
        <v>70</v>
      </c>
      <c r="V158">
        <f>30</f>
        <v>30</v>
      </c>
      <c r="W158">
        <f t="shared" ca="1" si="48"/>
        <v>180.05158431548861</v>
      </c>
      <c r="X158">
        <f t="shared" ca="1" si="58"/>
        <v>177.89389074908286</v>
      </c>
      <c r="Y158">
        <f t="shared" ca="1" si="57"/>
        <v>2.4707864622455702</v>
      </c>
      <c r="Z158">
        <f t="shared" ca="1" si="38"/>
        <v>1.6168026003552307</v>
      </c>
      <c r="AA158">
        <f t="shared" ca="1" si="39"/>
        <v>0.85398386189033948</v>
      </c>
      <c r="AB158">
        <f t="shared" ca="1" si="40"/>
        <v>165.07879999999997</v>
      </c>
    </row>
    <row r="159" spans="1:28" x14ac:dyDescent="0.25">
      <c r="A159" s="20">
        <f t="shared" ca="1" si="41"/>
        <v>45929</v>
      </c>
      <c r="B159" vm="468">
        <f ca="1"/>
        <v>45932</v>
      </c>
      <c r="C159" vm="469">
        <f ca="1"/>
        <v>185.98</v>
      </c>
      <c r="D159" vm="470">
        <f ca="1"/>
        <v>7728069</v>
      </c>
      <c r="E159">
        <f t="shared" ca="1" si="42"/>
        <v>1437266272.6199999</v>
      </c>
      <c r="F159">
        <f ca="1">SUM($E$2:E159)/SUM($D$2:D159)</f>
        <v>162.87673876112092</v>
      </c>
      <c r="G159">
        <f ca="1">_xlfn.STDEV.P($C$2:C159)</f>
        <v>9.9279279127016888</v>
      </c>
      <c r="H159">
        <f t="shared" ca="1" si="43"/>
        <v>172.8046666738226</v>
      </c>
      <c r="I159">
        <f t="shared" ca="1" si="44"/>
        <v>152.94881084841924</v>
      </c>
      <c r="J159">
        <f t="shared" ca="1" si="53"/>
        <v>178.56350000000003</v>
      </c>
      <c r="K159">
        <f t="shared" ca="1" si="54"/>
        <v>3.5481726579362376</v>
      </c>
      <c r="L159">
        <f t="shared" ca="1" si="55"/>
        <v>185.6598453158725</v>
      </c>
      <c r="M159">
        <f t="shared" ca="1" si="56"/>
        <v>171.46715468412756</v>
      </c>
      <c r="N159">
        <f t="shared" ca="1" si="45"/>
        <v>-7.00000000000216E-2</v>
      </c>
      <c r="O159">
        <f t="shared" ca="1" si="46"/>
        <v>0</v>
      </c>
      <c r="P159">
        <f t="shared" ca="1" si="47"/>
        <v>7.00000000000216E-2</v>
      </c>
      <c r="Q159">
        <f t="shared" ca="1" si="51"/>
        <v>0.97270386902881689</v>
      </c>
      <c r="R159">
        <f t="shared" ca="1" si="52"/>
        <v>0.38492451516790988</v>
      </c>
      <c r="S159">
        <f t="shared" ca="1" si="49"/>
        <v>2.5269990107138507</v>
      </c>
      <c r="T159">
        <f t="shared" ca="1" si="50"/>
        <v>71.647284363779733</v>
      </c>
      <c r="U159">
        <f>70</f>
        <v>70</v>
      </c>
      <c r="V159">
        <f>30</f>
        <v>30</v>
      </c>
      <c r="W159">
        <f t="shared" ca="1" si="48"/>
        <v>180.96364826695191</v>
      </c>
      <c r="X159">
        <f t="shared" ca="1" si="58"/>
        <v>178.49286180470634</v>
      </c>
      <c r="Y159">
        <f t="shared" ca="1" si="57"/>
        <v>2.9001237856272155</v>
      </c>
      <c r="Z159">
        <f t="shared" ca="1" si="38"/>
        <v>1.8734668374096277</v>
      </c>
      <c r="AA159">
        <f t="shared" ca="1" si="39"/>
        <v>1.0266569482175878</v>
      </c>
      <c r="AB159">
        <f t="shared" ca="1" si="40"/>
        <v>165.3964</v>
      </c>
    </row>
    <row r="160" spans="1:28" x14ac:dyDescent="0.25">
      <c r="A160" s="20">
        <f t="shared" ca="1" si="41"/>
        <v>45929</v>
      </c>
      <c r="B160" vm="471">
        <f ca="1"/>
        <v>45933</v>
      </c>
      <c r="C160" vm="472">
        <f ca="1"/>
        <v>188.64</v>
      </c>
      <c r="D160" vm="473">
        <f ca="1"/>
        <v>8675087</v>
      </c>
      <c r="E160">
        <f t="shared" ca="1" si="42"/>
        <v>1636468411.6799998</v>
      </c>
      <c r="F160">
        <f ca="1">SUM($E$2:E160)/SUM($D$2:D160)</f>
        <v>163.03397542081922</v>
      </c>
      <c r="G160">
        <f ca="1">_xlfn.STDEV.P($C$2:C160)</f>
        <v>10.100345586852654</v>
      </c>
      <c r="H160">
        <f t="shared" ca="1" si="43"/>
        <v>173.13432100767187</v>
      </c>
      <c r="I160">
        <f t="shared" ca="1" si="44"/>
        <v>152.93362983396656</v>
      </c>
      <c r="J160">
        <f t="shared" ca="1" si="53"/>
        <v>179.07400000000001</v>
      </c>
      <c r="K160">
        <f t="shared" ca="1" si="54"/>
        <v>4.2021728715160256</v>
      </c>
      <c r="L160">
        <f t="shared" ca="1" si="55"/>
        <v>187.47834574303207</v>
      </c>
      <c r="M160">
        <f t="shared" ca="1" si="56"/>
        <v>170.66965425696796</v>
      </c>
      <c r="N160">
        <f t="shared" ca="1" si="45"/>
        <v>2.6599999999999966</v>
      </c>
      <c r="O160">
        <f t="shared" ca="1" si="46"/>
        <v>2.6599999999999966</v>
      </c>
      <c r="P160">
        <f t="shared" ca="1" si="47"/>
        <v>0</v>
      </c>
      <c r="Q160">
        <f t="shared" ca="1" si="51"/>
        <v>1.0932250212410441</v>
      </c>
      <c r="R160">
        <f t="shared" ca="1" si="52"/>
        <v>0.35742990694163057</v>
      </c>
      <c r="S160">
        <f t="shared" ca="1" si="49"/>
        <v>3.0585717647280455</v>
      </c>
      <c r="T160">
        <f t="shared" ca="1" si="50"/>
        <v>75.36079049554499</v>
      </c>
      <c r="U160">
        <f>70</f>
        <v>70</v>
      </c>
      <c r="V160">
        <f>30</f>
        <v>30</v>
      </c>
      <c r="W160">
        <f t="shared" ca="1" si="48"/>
        <v>182.1446254566516</v>
      </c>
      <c r="X160">
        <f t="shared" ca="1" si="58"/>
        <v>179.24450167102438</v>
      </c>
      <c r="Y160">
        <f t="shared" ca="1" si="57"/>
        <v>3.1651587394376008</v>
      </c>
      <c r="Z160">
        <f t="shared" ca="1" si="38"/>
        <v>2.1318052178152227</v>
      </c>
      <c r="AA160">
        <f t="shared" ca="1" si="39"/>
        <v>1.0333535216223781</v>
      </c>
      <c r="AB160">
        <f t="shared" ca="1" si="40"/>
        <v>165.7414</v>
      </c>
    </row>
    <row r="161" spans="1:28" x14ac:dyDescent="0.25">
      <c r="A161" s="20">
        <f t="shared" ca="1" si="41"/>
        <v>45936</v>
      </c>
      <c r="B161" vm="474">
        <f ca="1"/>
        <v>45936</v>
      </c>
      <c r="C161" vm="475">
        <f ca="1"/>
        <v>188.16</v>
      </c>
      <c r="D161" vm="476">
        <f ca="1"/>
        <v>5806089</v>
      </c>
      <c r="E161">
        <f t="shared" ca="1" si="42"/>
        <v>1092473706.24</v>
      </c>
      <c r="F161">
        <f ca="1">SUM($E$2:E161)/SUM($D$2:D161)</f>
        <v>163.1361907994627</v>
      </c>
      <c r="G161">
        <f ca="1">_xlfn.STDEV.P($C$2:C161)</f>
        <v>10.258002740048559</v>
      </c>
      <c r="H161">
        <f t="shared" ca="1" si="43"/>
        <v>173.39419353951126</v>
      </c>
      <c r="I161">
        <f t="shared" ca="1" si="44"/>
        <v>152.87818805941413</v>
      </c>
      <c r="J161">
        <f t="shared" ca="1" si="53"/>
        <v>179.57549999999998</v>
      </c>
      <c r="K161">
        <f t="shared" ca="1" si="54"/>
        <v>4.6574281077594044</v>
      </c>
      <c r="L161">
        <f t="shared" ca="1" si="55"/>
        <v>188.89035621551878</v>
      </c>
      <c r="M161">
        <f t="shared" ca="1" si="56"/>
        <v>170.26064378448118</v>
      </c>
      <c r="N161">
        <f t="shared" ca="1" si="45"/>
        <v>-0.47999999999998977</v>
      </c>
      <c r="O161">
        <f t="shared" ca="1" si="46"/>
        <v>0</v>
      </c>
      <c r="P161">
        <f t="shared" ca="1" si="47"/>
        <v>0.47999999999998977</v>
      </c>
      <c r="Q161">
        <f t="shared" ca="1" si="51"/>
        <v>1.0151375197238266</v>
      </c>
      <c r="R161">
        <f t="shared" ca="1" si="52"/>
        <v>0.36618491358865624</v>
      </c>
      <c r="S161">
        <f t="shared" ca="1" si="49"/>
        <v>2.7721991869499938</v>
      </c>
      <c r="T161">
        <f t="shared" ca="1" si="50"/>
        <v>73.490265215593013</v>
      </c>
      <c r="U161">
        <f>70</f>
        <v>70</v>
      </c>
      <c r="V161">
        <f>30</f>
        <v>30</v>
      </c>
      <c r="W161">
        <f t="shared" ca="1" si="48"/>
        <v>183.0700676940898</v>
      </c>
      <c r="X161">
        <f t="shared" ca="1" si="58"/>
        <v>179.9049089546522</v>
      </c>
      <c r="Y161">
        <f t="shared" ca="1" si="57"/>
        <v>3.3949706406914686</v>
      </c>
      <c r="Z161">
        <f t="shared" ca="1" si="38"/>
        <v>2.3844383023904721</v>
      </c>
      <c r="AA161">
        <f t="shared" ca="1" si="39"/>
        <v>1.0105323383009965</v>
      </c>
      <c r="AB161">
        <f t="shared" ca="1" si="40"/>
        <v>166.13859999999997</v>
      </c>
    </row>
    <row r="162" spans="1:28" x14ac:dyDescent="0.25">
      <c r="A162" s="20">
        <f t="shared" ca="1" si="41"/>
        <v>45936</v>
      </c>
      <c r="B162" vm="477">
        <f ca="1"/>
        <v>45937</v>
      </c>
      <c r="C162" vm="478">
        <f ca="1"/>
        <v>188.89</v>
      </c>
      <c r="D162" vm="479">
        <f ca="1"/>
        <v>8776784</v>
      </c>
      <c r="E162">
        <f t="shared" ca="1" si="42"/>
        <v>1657846729.76</v>
      </c>
      <c r="F162">
        <f ca="1">SUM($E$2:E162)/SUM($D$2:D162)</f>
        <v>163.29359746335092</v>
      </c>
      <c r="G162">
        <f ca="1">_xlfn.STDEV.P($C$2:C162)</f>
        <v>10.419936399649483</v>
      </c>
      <c r="H162">
        <f t="shared" ca="1" si="43"/>
        <v>173.71353386300041</v>
      </c>
      <c r="I162">
        <f t="shared" ca="1" si="44"/>
        <v>152.87366106370143</v>
      </c>
      <c r="J162">
        <f t="shared" ca="1" si="53"/>
        <v>180.17199999999997</v>
      </c>
      <c r="K162">
        <f t="shared" ca="1" si="54"/>
        <v>5.0520653410784666</v>
      </c>
      <c r="L162">
        <f t="shared" ca="1" si="55"/>
        <v>190.27613068215689</v>
      </c>
      <c r="M162">
        <f t="shared" ca="1" si="56"/>
        <v>170.06786931784305</v>
      </c>
      <c r="N162">
        <f t="shared" ca="1" si="45"/>
        <v>0.72999999999998977</v>
      </c>
      <c r="O162">
        <f t="shared" ca="1" si="46"/>
        <v>0.72999999999998977</v>
      </c>
      <c r="P162">
        <f t="shared" ca="1" si="47"/>
        <v>0</v>
      </c>
      <c r="Q162">
        <f t="shared" ca="1" si="51"/>
        <v>0.99477055402926684</v>
      </c>
      <c r="R162">
        <f t="shared" ca="1" si="52"/>
        <v>0.34002884833232366</v>
      </c>
      <c r="S162">
        <f t="shared" ca="1" si="49"/>
        <v>2.9255475201828705</v>
      </c>
      <c r="T162">
        <f t="shared" ca="1" si="50"/>
        <v>74.525846525648092</v>
      </c>
      <c r="U162">
        <f>70</f>
        <v>70</v>
      </c>
      <c r="V162">
        <f>30</f>
        <v>30</v>
      </c>
      <c r="W162">
        <f t="shared" ca="1" si="48"/>
        <v>183.96544189499906</v>
      </c>
      <c r="X162">
        <f t="shared" ca="1" si="58"/>
        <v>180.57047125430759</v>
      </c>
      <c r="Y162">
        <f t="shared" ca="1" si="57"/>
        <v>3.6001512397856175</v>
      </c>
      <c r="Z162">
        <f t="shared" ca="1" si="38"/>
        <v>2.6275808898695012</v>
      </c>
      <c r="AA162">
        <f t="shared" ca="1" si="39"/>
        <v>0.97257034991611624</v>
      </c>
      <c r="AB162">
        <f t="shared" ca="1" si="40"/>
        <v>166.56389999999999</v>
      </c>
    </row>
    <row r="163" spans="1:28" x14ac:dyDescent="0.25">
      <c r="A163" s="20">
        <f t="shared" ca="1" si="41"/>
        <v>45936</v>
      </c>
      <c r="B163" vm="480">
        <f ca="1"/>
        <v>45938</v>
      </c>
      <c r="C163" vm="481">
        <f ca="1"/>
        <v>189.69</v>
      </c>
      <c r="D163" vm="482">
        <f ca="1"/>
        <v>5751163</v>
      </c>
      <c r="E163">
        <f t="shared" ca="1" si="42"/>
        <v>1090938109.47</v>
      </c>
      <c r="F163">
        <f ca="1">SUM($E$2:E163)/SUM($D$2:D163)</f>
        <v>163.39889319733967</v>
      </c>
      <c r="G163">
        <f ca="1">_xlfn.STDEV.P($C$2:C163)</f>
        <v>10.587038923872104</v>
      </c>
      <c r="H163">
        <f t="shared" ca="1" si="43"/>
        <v>173.98593212121179</v>
      </c>
      <c r="I163">
        <f t="shared" ca="1" si="44"/>
        <v>152.81185427346756</v>
      </c>
      <c r="J163">
        <f t="shared" ca="1" si="53"/>
        <v>180.86700000000002</v>
      </c>
      <c r="K163">
        <f t="shared" ca="1" si="54"/>
        <v>5.3639823187431777</v>
      </c>
      <c r="L163">
        <f t="shared" ca="1" si="55"/>
        <v>191.59496463748638</v>
      </c>
      <c r="M163">
        <f t="shared" ca="1" si="56"/>
        <v>170.13903536251365</v>
      </c>
      <c r="N163">
        <f t="shared" ca="1" si="45"/>
        <v>0.80000000000001137</v>
      </c>
      <c r="O163">
        <f t="shared" ca="1" si="46"/>
        <v>0.80000000000001137</v>
      </c>
      <c r="P163">
        <f t="shared" ca="1" si="47"/>
        <v>0</v>
      </c>
      <c r="Q163">
        <f t="shared" ca="1" si="51"/>
        <v>0.98085837159860567</v>
      </c>
      <c r="R163">
        <f t="shared" ca="1" si="52"/>
        <v>0.31574107345144337</v>
      </c>
      <c r="S163">
        <f t="shared" ca="1" si="49"/>
        <v>3.1065276394882728</v>
      </c>
      <c r="T163">
        <f t="shared" ca="1" si="50"/>
        <v>75.648526254054076</v>
      </c>
      <c r="U163">
        <f>70</f>
        <v>70</v>
      </c>
      <c r="V163">
        <f>30</f>
        <v>30</v>
      </c>
      <c r="W163">
        <f t="shared" ca="1" si="48"/>
        <v>184.84614314192228</v>
      </c>
      <c r="X163">
        <f t="shared" ca="1" si="58"/>
        <v>181.24599190213667</v>
      </c>
      <c r="Y163">
        <f t="shared" ca="1" si="57"/>
        <v>3.8307610967421795</v>
      </c>
      <c r="Z163">
        <f t="shared" ca="1" si="38"/>
        <v>2.8682169312440369</v>
      </c>
      <c r="AA163">
        <f t="shared" ca="1" si="39"/>
        <v>0.96254416549814259</v>
      </c>
      <c r="AB163">
        <f t="shared" ca="1" si="40"/>
        <v>166.96469999999997</v>
      </c>
    </row>
    <row r="164" spans="1:28" x14ac:dyDescent="0.25">
      <c r="A164" s="20">
        <f t="shared" ca="1" si="41"/>
        <v>45936</v>
      </c>
      <c r="B164" vm="483">
        <f ca="1"/>
        <v>45939</v>
      </c>
      <c r="C164" vm="484">
        <f ca="1"/>
        <v>191.08</v>
      </c>
      <c r="D164" vm="485">
        <f ca="1"/>
        <v>7484764</v>
      </c>
      <c r="E164">
        <f t="shared" ca="1" si="42"/>
        <v>1430188705.1200001</v>
      </c>
      <c r="F164">
        <f ca="1">SUM($E$2:E164)/SUM($D$2:D164)</f>
        <v>163.54185602666396</v>
      </c>
      <c r="G164">
        <f ca="1">_xlfn.STDEV.P($C$2:C164)</f>
        <v>10.768156692172482</v>
      </c>
      <c r="H164">
        <f t="shared" ca="1" si="43"/>
        <v>174.31001271883645</v>
      </c>
      <c r="I164">
        <f t="shared" ca="1" si="44"/>
        <v>152.77369933449148</v>
      </c>
      <c r="J164">
        <f t="shared" ca="1" si="53"/>
        <v>181.49600000000001</v>
      </c>
      <c r="K164">
        <f t="shared" ca="1" si="54"/>
        <v>5.7922983348581054</v>
      </c>
      <c r="L164">
        <f t="shared" ca="1" si="55"/>
        <v>193.08059666971621</v>
      </c>
      <c r="M164">
        <f t="shared" ca="1" si="56"/>
        <v>169.9114033302838</v>
      </c>
      <c r="N164">
        <f t="shared" ca="1" si="45"/>
        <v>1.3900000000000148</v>
      </c>
      <c r="O164">
        <f t="shared" ca="1" si="46"/>
        <v>1.3900000000000148</v>
      </c>
      <c r="P164">
        <f t="shared" ca="1" si="47"/>
        <v>0</v>
      </c>
      <c r="Q164">
        <f t="shared" ca="1" si="51"/>
        <v>1.0100827736272777</v>
      </c>
      <c r="R164">
        <f t="shared" ca="1" si="52"/>
        <v>0.29318813963348311</v>
      </c>
      <c r="S164">
        <f t="shared" ca="1" si="49"/>
        <v>3.4451692858039564</v>
      </c>
      <c r="T164">
        <f t="shared" ca="1" si="50"/>
        <v>77.503668911022373</v>
      </c>
      <c r="U164">
        <f>70</f>
        <v>70</v>
      </c>
      <c r="V164">
        <f>30</f>
        <v>30</v>
      </c>
      <c r="W164">
        <f t="shared" ca="1" si="48"/>
        <v>185.80519804316501</v>
      </c>
      <c r="X164">
        <f t="shared" ca="1" si="58"/>
        <v>181.97443694642283</v>
      </c>
      <c r="Y164">
        <f t="shared" ca="1" si="57"/>
        <v>3.9390649892665976</v>
      </c>
      <c r="Z164">
        <f t="shared" ca="1" si="38"/>
        <v>3.0823865428485493</v>
      </c>
      <c r="AA164">
        <f t="shared" ca="1" si="39"/>
        <v>0.85667844641804836</v>
      </c>
      <c r="AB164">
        <f t="shared" ca="1" si="40"/>
        <v>167.36219999999997</v>
      </c>
    </row>
    <row r="165" spans="1:28" x14ac:dyDescent="0.25">
      <c r="A165" s="20">
        <f t="shared" ca="1" si="41"/>
        <v>45936</v>
      </c>
      <c r="B165" vm="486">
        <f ca="1"/>
        <v>45940</v>
      </c>
      <c r="C165" vm="487">
        <f ca="1"/>
        <v>190.72</v>
      </c>
      <c r="D165" vm="488">
        <f ca="1"/>
        <v>9598019</v>
      </c>
      <c r="E165">
        <f t="shared" ca="1" si="42"/>
        <v>1830534183.6800001</v>
      </c>
      <c r="F165">
        <f ca="1">SUM($E$2:E165)/SUM($D$2:D165)</f>
        <v>163.72066783674217</v>
      </c>
      <c r="G165">
        <f ca="1">_xlfn.STDEV.P($C$2:C165)</f>
        <v>10.936218182048664</v>
      </c>
      <c r="H165">
        <f t="shared" ca="1" si="43"/>
        <v>174.65688601879083</v>
      </c>
      <c r="I165">
        <f t="shared" ca="1" si="44"/>
        <v>152.7844496546935</v>
      </c>
      <c r="J165">
        <f t="shared" ca="1" si="53"/>
        <v>182.12899999999996</v>
      </c>
      <c r="K165">
        <f t="shared" ca="1" si="54"/>
        <v>6.0815769250036471</v>
      </c>
      <c r="L165">
        <f t="shared" ca="1" si="55"/>
        <v>194.29215385000725</v>
      </c>
      <c r="M165">
        <f t="shared" ca="1" si="56"/>
        <v>169.96584614999267</v>
      </c>
      <c r="N165">
        <f t="shared" ca="1" si="45"/>
        <v>-0.36000000000001364</v>
      </c>
      <c r="O165">
        <f t="shared" ca="1" si="46"/>
        <v>0</v>
      </c>
      <c r="P165">
        <f t="shared" ca="1" si="47"/>
        <v>0.36000000000001364</v>
      </c>
      <c r="Q165">
        <f t="shared" ca="1" si="51"/>
        <v>0.93793400408247218</v>
      </c>
      <c r="R165">
        <f t="shared" ca="1" si="52"/>
        <v>0.29796041537394963</v>
      </c>
      <c r="S165">
        <f t="shared" ca="1" si="49"/>
        <v>3.1478476860939253</v>
      </c>
      <c r="T165">
        <f t="shared" ca="1" si="50"/>
        <v>75.891110868111184</v>
      </c>
      <c r="U165">
        <f>70</f>
        <v>70</v>
      </c>
      <c r="V165">
        <f>30</f>
        <v>30</v>
      </c>
      <c r="W165">
        <f t="shared" ca="1" si="48"/>
        <v>186.56132142113961</v>
      </c>
      <c r="X165">
        <f t="shared" ca="1" si="58"/>
        <v>182.62225643187301</v>
      </c>
      <c r="Y165">
        <f t="shared" ca="1" si="57"/>
        <v>3.993387811167338</v>
      </c>
      <c r="Z165">
        <f t="shared" ca="1" si="38"/>
        <v>3.2645867965123072</v>
      </c>
      <c r="AA165">
        <f t="shared" ca="1" si="39"/>
        <v>0.72880101465503078</v>
      </c>
      <c r="AB165">
        <f t="shared" ca="1" si="40"/>
        <v>167.74450000000002</v>
      </c>
    </row>
    <row r="166" spans="1:28" x14ac:dyDescent="0.25">
      <c r="A166" s="20">
        <f t="shared" ca="1" si="41"/>
        <v>45943</v>
      </c>
      <c r="B166" vm="489">
        <f ca="1"/>
        <v>45943</v>
      </c>
      <c r="C166" vm="490">
        <f ca="1"/>
        <v>190.9</v>
      </c>
      <c r="D166" vm="491">
        <f ca="1"/>
        <v>7979476</v>
      </c>
      <c r="E166">
        <f t="shared" ca="1" si="42"/>
        <v>1523281968.4000001</v>
      </c>
      <c r="F166">
        <f ca="1">SUM($E$2:E166)/SUM($D$2:D166)</f>
        <v>163.86852383061895</v>
      </c>
      <c r="G166">
        <f ca="1">_xlfn.STDEV.P($C$2:C166)</f>
        <v>11.099992381800675</v>
      </c>
      <c r="H166">
        <f t="shared" ca="1" si="43"/>
        <v>174.96851621241962</v>
      </c>
      <c r="I166">
        <f t="shared" ca="1" si="44"/>
        <v>152.76853144881829</v>
      </c>
      <c r="J166">
        <f t="shared" ca="1" si="53"/>
        <v>182.804</v>
      </c>
      <c r="K166">
        <f t="shared" ca="1" si="54"/>
        <v>6.2751828658613595</v>
      </c>
      <c r="L166">
        <f t="shared" ca="1" si="55"/>
        <v>195.35436573172271</v>
      </c>
      <c r="M166">
        <f t="shared" ca="1" si="56"/>
        <v>170.2536342682773</v>
      </c>
      <c r="N166">
        <f t="shared" ca="1" si="45"/>
        <v>0.18000000000000682</v>
      </c>
      <c r="O166">
        <f t="shared" ca="1" si="46"/>
        <v>0.18000000000000682</v>
      </c>
      <c r="P166">
        <f t="shared" ca="1" si="47"/>
        <v>0</v>
      </c>
      <c r="Q166">
        <f t="shared" ca="1" si="51"/>
        <v>0.88379586093372464</v>
      </c>
      <c r="R166">
        <f t="shared" ca="1" si="52"/>
        <v>0.27667752856152467</v>
      </c>
      <c r="S166">
        <f t="shared" ca="1" si="49"/>
        <v>3.1943174623854405</v>
      </c>
      <c r="T166">
        <f t="shared" ca="1" si="50"/>
        <v>76.158218614399573</v>
      </c>
      <c r="U166">
        <f>70</f>
        <v>70</v>
      </c>
      <c r="V166">
        <f>30</f>
        <v>30</v>
      </c>
      <c r="W166">
        <f t="shared" ca="1" si="48"/>
        <v>187.22881043327197</v>
      </c>
      <c r="X166">
        <f t="shared" ca="1" si="58"/>
        <v>183.23542262210464</v>
      </c>
      <c r="Y166">
        <f t="shared" ca="1" si="57"/>
        <v>3.9864511296232763</v>
      </c>
      <c r="Z166">
        <f t="shared" ref="Z166:Z229" ca="1" si="59">Y166*(2/(9+1)) + Z165*(1-(2/(9+1)))</f>
        <v>3.4089596631345014</v>
      </c>
      <c r="AA166">
        <f t="shared" ref="AA166:AA229" ca="1" si="60">Y166-Z166</f>
        <v>0.57749146648877492</v>
      </c>
      <c r="AB166">
        <f t="shared" ref="AB166:AB229" ca="1" si="61">AVERAGE(C67:C166)</f>
        <v>168.11690000000002</v>
      </c>
    </row>
    <row r="167" spans="1:28" x14ac:dyDescent="0.25">
      <c r="A167" s="20">
        <f t="shared" ca="1" si="41"/>
        <v>45943</v>
      </c>
      <c r="B167" vm="492">
        <f ca="1"/>
        <v>45944</v>
      </c>
      <c r="C167" vm="493">
        <f ca="1"/>
        <v>190.85</v>
      </c>
      <c r="D167" vm="494">
        <f ca="1"/>
        <v>13613340</v>
      </c>
      <c r="E167">
        <f t="shared" ca="1" si="42"/>
        <v>2598105939</v>
      </c>
      <c r="F167">
        <f ca="1">SUM($E$2:E167)/SUM($D$2:D167)</f>
        <v>164.11663374597271</v>
      </c>
      <c r="G167">
        <f ca="1">_xlfn.STDEV.P($C$2:C167)</f>
        <v>11.256440983861964</v>
      </c>
      <c r="H167">
        <f t="shared" ca="1" si="43"/>
        <v>175.37307472983468</v>
      </c>
      <c r="I167">
        <f t="shared" ca="1" si="44"/>
        <v>152.86019276211073</v>
      </c>
      <c r="J167">
        <f t="shared" ca="1" si="53"/>
        <v>183.52349999999996</v>
      </c>
      <c r="K167">
        <f t="shared" ca="1" si="54"/>
        <v>6.3341956453589425</v>
      </c>
      <c r="L167">
        <f t="shared" ca="1" si="55"/>
        <v>196.19189129071785</v>
      </c>
      <c r="M167">
        <f t="shared" ca="1" si="56"/>
        <v>170.85510870928206</v>
      </c>
      <c r="N167">
        <f t="shared" ca="1" si="45"/>
        <v>-5.0000000000011369E-2</v>
      </c>
      <c r="O167">
        <f t="shared" ca="1" si="46"/>
        <v>0</v>
      </c>
      <c r="P167">
        <f t="shared" ca="1" si="47"/>
        <v>5.0000000000011369E-2</v>
      </c>
      <c r="Q167">
        <f t="shared" ca="1" si="51"/>
        <v>0.82066758515274429</v>
      </c>
      <c r="R167">
        <f t="shared" ca="1" si="52"/>
        <v>0.26048627652141659</v>
      </c>
      <c r="S167">
        <f t="shared" ca="1" si="49"/>
        <v>3.1505213868158264</v>
      </c>
      <c r="T167">
        <f t="shared" ca="1" si="50"/>
        <v>75.906641436025126</v>
      </c>
      <c r="U167">
        <f>70</f>
        <v>70</v>
      </c>
      <c r="V167">
        <f>30</f>
        <v>30</v>
      </c>
      <c r="W167">
        <f t="shared" ca="1" si="48"/>
        <v>187.78591652046089</v>
      </c>
      <c r="X167">
        <f t="shared" ca="1" si="58"/>
        <v>183.79946539083761</v>
      </c>
      <c r="Y167">
        <f t="shared" ca="1" si="57"/>
        <v>3.9611138306400733</v>
      </c>
      <c r="Z167">
        <f t="shared" ca="1" si="59"/>
        <v>3.5193904966356158</v>
      </c>
      <c r="AA167">
        <f t="shared" ca="1" si="60"/>
        <v>0.44172333400445751</v>
      </c>
      <c r="AB167">
        <f t="shared" ca="1" si="61"/>
        <v>168.49359999999996</v>
      </c>
    </row>
    <row r="168" spans="1:28" x14ac:dyDescent="0.25">
      <c r="A168" s="20">
        <f t="shared" ca="1" si="41"/>
        <v>45943</v>
      </c>
      <c r="B168" vm="495">
        <f ca="1"/>
        <v>45945</v>
      </c>
      <c r="C168" vm="496">
        <f ca="1"/>
        <v>191.17</v>
      </c>
      <c r="D168" vm="497">
        <f ca="1"/>
        <v>9472995</v>
      </c>
      <c r="E168">
        <f t="shared" ca="1" si="42"/>
        <v>1810952454.1499999</v>
      </c>
      <c r="F168">
        <f ca="1">SUM($E$2:E168)/SUM($D$2:D168)</f>
        <v>164.28864316018087</v>
      </c>
      <c r="G168">
        <f ca="1">_xlfn.STDEV.P($C$2:C168)</f>
        <v>11.411139372965168</v>
      </c>
      <c r="H168">
        <f t="shared" ca="1" si="43"/>
        <v>175.69978253314605</v>
      </c>
      <c r="I168">
        <f t="shared" ca="1" si="44"/>
        <v>152.87750378721569</v>
      </c>
      <c r="J168">
        <f t="shared" ca="1" si="53"/>
        <v>184.22200000000001</v>
      </c>
      <c r="K168">
        <f t="shared" ca="1" si="54"/>
        <v>6.3703380064004014</v>
      </c>
      <c r="L168">
        <f t="shared" ca="1" si="55"/>
        <v>196.96267601280081</v>
      </c>
      <c r="M168">
        <f t="shared" ca="1" si="56"/>
        <v>171.4813239871992</v>
      </c>
      <c r="N168">
        <f t="shared" ca="1" si="45"/>
        <v>0.31999999999999318</v>
      </c>
      <c r="O168">
        <f t="shared" ca="1" si="46"/>
        <v>0.31999999999999318</v>
      </c>
      <c r="P168">
        <f t="shared" ca="1" si="47"/>
        <v>0</v>
      </c>
      <c r="Q168">
        <f t="shared" ca="1" si="51"/>
        <v>0.78490561478469068</v>
      </c>
      <c r="R168">
        <f t="shared" ca="1" si="52"/>
        <v>0.24188011391274397</v>
      </c>
      <c r="S168">
        <f t="shared" ca="1" si="49"/>
        <v>3.2450192042982011</v>
      </c>
      <c r="T168">
        <f t="shared" ca="1" si="50"/>
        <v>76.442980540877841</v>
      </c>
      <c r="U168">
        <f>70</f>
        <v>70</v>
      </c>
      <c r="V168">
        <f>30</f>
        <v>30</v>
      </c>
      <c r="W168">
        <f t="shared" ca="1" si="48"/>
        <v>188.3065447480823</v>
      </c>
      <c r="X168">
        <f t="shared" ca="1" si="58"/>
        <v>184.34543091744223</v>
      </c>
      <c r="Y168">
        <f t="shared" ca="1" si="57"/>
        <v>3.9719052478966432</v>
      </c>
      <c r="Z168">
        <f t="shared" ca="1" si="59"/>
        <v>3.6098934468878214</v>
      </c>
      <c r="AA168">
        <f t="shared" ca="1" si="60"/>
        <v>0.3620118010088218</v>
      </c>
      <c r="AB168">
        <f t="shared" ca="1" si="61"/>
        <v>168.87919999999994</v>
      </c>
    </row>
    <row r="169" spans="1:28" x14ac:dyDescent="0.25">
      <c r="A169" s="20">
        <f t="shared" ca="1" si="41"/>
        <v>45943</v>
      </c>
      <c r="B169" vm="498">
        <f ca="1"/>
        <v>45946</v>
      </c>
      <c r="C169" vm="499">
        <f ca="1"/>
        <v>192.12</v>
      </c>
      <c r="D169" vm="500">
        <f ca="1"/>
        <v>10611760</v>
      </c>
      <c r="E169">
        <f t="shared" ca="1" si="42"/>
        <v>2038731331.2</v>
      </c>
      <c r="F169">
        <f ca="1">SUM($E$2:E169)/SUM($D$2:D169)</f>
        <v>164.48546945046888</v>
      </c>
      <c r="G169">
        <f ca="1">_xlfn.STDEV.P($C$2:C169)</f>
        <v>11.572942786085871</v>
      </c>
      <c r="H169">
        <f t="shared" ca="1" si="43"/>
        <v>176.05841223655474</v>
      </c>
      <c r="I169">
        <f t="shared" ca="1" si="44"/>
        <v>152.91252666438302</v>
      </c>
      <c r="J169">
        <f t="shared" ca="1" si="53"/>
        <v>185.11999999999998</v>
      </c>
      <c r="K169">
        <f t="shared" ca="1" si="54"/>
        <v>6.1389584235695693</v>
      </c>
      <c r="L169">
        <f t="shared" ca="1" si="55"/>
        <v>197.39791684713913</v>
      </c>
      <c r="M169">
        <f t="shared" ca="1" si="56"/>
        <v>172.84208315286082</v>
      </c>
      <c r="N169">
        <f t="shared" ca="1" si="45"/>
        <v>0.95000000000001705</v>
      </c>
      <c r="O169">
        <f t="shared" ca="1" si="46"/>
        <v>0.95000000000001705</v>
      </c>
      <c r="P169">
        <f t="shared" ca="1" si="47"/>
        <v>0</v>
      </c>
      <c r="Q169">
        <f t="shared" ca="1" si="51"/>
        <v>0.79669807087149969</v>
      </c>
      <c r="R169">
        <f t="shared" ca="1" si="52"/>
        <v>0.22460296291897655</v>
      </c>
      <c r="S169">
        <f t="shared" ca="1" si="49"/>
        <v>3.547139630383688</v>
      </c>
      <c r="T169">
        <f t="shared" ca="1" si="50"/>
        <v>78.008152788665967</v>
      </c>
      <c r="U169">
        <f>70</f>
        <v>70</v>
      </c>
      <c r="V169">
        <f>30</f>
        <v>30</v>
      </c>
      <c r="W169">
        <f t="shared" ca="1" si="48"/>
        <v>188.89323017145426</v>
      </c>
      <c r="X169">
        <f t="shared" ca="1" si="58"/>
        <v>184.92132492355762</v>
      </c>
      <c r="Y169">
        <f t="shared" ca="1" si="57"/>
        <v>4.0228454722669085</v>
      </c>
      <c r="Z169">
        <f t="shared" ca="1" si="59"/>
        <v>3.6924838519636394</v>
      </c>
      <c r="AA169">
        <f t="shared" ca="1" si="60"/>
        <v>0.3303616203032691</v>
      </c>
      <c r="AB169">
        <f t="shared" ca="1" si="61"/>
        <v>169.2709999999999</v>
      </c>
    </row>
    <row r="170" spans="1:28" x14ac:dyDescent="0.25">
      <c r="A170" s="20">
        <f t="shared" ca="1" si="41"/>
        <v>45943</v>
      </c>
      <c r="B170" vm="501">
        <f ca="1"/>
        <v>45947</v>
      </c>
      <c r="C170" vm="502">
        <f ca="1"/>
        <v>193.22</v>
      </c>
      <c r="D170" vm="503">
        <f ca="1"/>
        <v>7764449</v>
      </c>
      <c r="E170">
        <f t="shared" ca="1" si="42"/>
        <v>1500246835.78</v>
      </c>
      <c r="F170">
        <f ca="1">SUM($E$2:E170)/SUM($D$2:D170)</f>
        <v>164.6333920653064</v>
      </c>
      <c r="G170">
        <f ca="1">_xlfn.STDEV.P($C$2:C170)</f>
        <v>11.743792369912631</v>
      </c>
      <c r="H170">
        <f t="shared" ca="1" si="43"/>
        <v>176.37718443521902</v>
      </c>
      <c r="I170">
        <f t="shared" ca="1" si="44"/>
        <v>152.88959969539377</v>
      </c>
      <c r="J170">
        <f t="shared" ca="1" si="53"/>
        <v>185.97149999999999</v>
      </c>
      <c r="K170">
        <f t="shared" ca="1" si="54"/>
        <v>6.0149526620178619</v>
      </c>
      <c r="L170">
        <f t="shared" ca="1" si="55"/>
        <v>198.00140532403572</v>
      </c>
      <c r="M170">
        <f t="shared" ca="1" si="56"/>
        <v>173.94159467596427</v>
      </c>
      <c r="N170">
        <f t="shared" ca="1" si="45"/>
        <v>1.0999999999999943</v>
      </c>
      <c r="O170">
        <f t="shared" ca="1" si="46"/>
        <v>1.0999999999999943</v>
      </c>
      <c r="P170">
        <f t="shared" ca="1" si="47"/>
        <v>0</v>
      </c>
      <c r="Q170">
        <f t="shared" ca="1" si="51"/>
        <v>0.81836249438067787</v>
      </c>
      <c r="R170">
        <f t="shared" ca="1" si="52"/>
        <v>0.20855989413904966</v>
      </c>
      <c r="S170">
        <f t="shared" ca="1" si="49"/>
        <v>3.923872793275704</v>
      </c>
      <c r="T170">
        <f t="shared" ca="1" si="50"/>
        <v>79.690783211019351</v>
      </c>
      <c r="U170">
        <f>70</f>
        <v>70</v>
      </c>
      <c r="V170">
        <f>30</f>
        <v>30</v>
      </c>
      <c r="W170">
        <f t="shared" ca="1" si="48"/>
        <v>189.55888706815358</v>
      </c>
      <c r="X170">
        <f t="shared" ca="1" si="58"/>
        <v>185.53604159588667</v>
      </c>
      <c r="Y170">
        <f t="shared" ca="1" si="57"/>
        <v>4.0567975515055537</v>
      </c>
      <c r="Z170">
        <f t="shared" ca="1" si="59"/>
        <v>3.7653465918720221</v>
      </c>
      <c r="AA170">
        <f t="shared" ca="1" si="60"/>
        <v>0.29145095963353151</v>
      </c>
      <c r="AB170">
        <f t="shared" ca="1" si="61"/>
        <v>169.67069999999993</v>
      </c>
    </row>
    <row r="171" spans="1:28" x14ac:dyDescent="0.25">
      <c r="A171" s="20">
        <f t="shared" ca="1" si="41"/>
        <v>45950</v>
      </c>
      <c r="B171" vm="504">
        <f ca="1"/>
        <v>45950</v>
      </c>
      <c r="C171" vm="505">
        <f ca="1"/>
        <v>193.72</v>
      </c>
      <c r="D171" vm="506">
        <f ca="1"/>
        <v>8034740</v>
      </c>
      <c r="E171">
        <f t="shared" ca="1" si="42"/>
        <v>1556489832.8</v>
      </c>
      <c r="F171">
        <f ca="1">SUM($E$2:E171)/SUM($D$2:D171)</f>
        <v>164.78751857305761</v>
      </c>
      <c r="G171">
        <f ca="1">_xlfn.STDEV.P($C$2:C171)</f>
        <v>11.914893885138786</v>
      </c>
      <c r="H171">
        <f t="shared" ca="1" si="43"/>
        <v>176.70241245819639</v>
      </c>
      <c r="I171">
        <f t="shared" ca="1" si="44"/>
        <v>152.87262468791883</v>
      </c>
      <c r="J171">
        <f t="shared" ca="1" si="53"/>
        <v>186.94699999999997</v>
      </c>
      <c r="K171">
        <f t="shared" ca="1" si="54"/>
        <v>5.5729035236769082</v>
      </c>
      <c r="L171">
        <f t="shared" ca="1" si="55"/>
        <v>198.0928070473538</v>
      </c>
      <c r="M171">
        <f t="shared" ca="1" si="56"/>
        <v>175.80119295264615</v>
      </c>
      <c r="N171">
        <f t="shared" ca="1" si="45"/>
        <v>0.5</v>
      </c>
      <c r="O171">
        <f t="shared" ca="1" si="46"/>
        <v>0.5</v>
      </c>
      <c r="P171">
        <f t="shared" ca="1" si="47"/>
        <v>0</v>
      </c>
      <c r="Q171">
        <f t="shared" ca="1" si="51"/>
        <v>0.7956223162106294</v>
      </c>
      <c r="R171">
        <f t="shared" ca="1" si="52"/>
        <v>0.19366275884340325</v>
      </c>
      <c r="S171">
        <f t="shared" ca="1" si="49"/>
        <v>4.10828762825781</v>
      </c>
      <c r="T171">
        <f t="shared" ca="1" si="50"/>
        <v>80.423968406394309</v>
      </c>
      <c r="U171">
        <f>70</f>
        <v>70</v>
      </c>
      <c r="V171">
        <f>30</f>
        <v>30</v>
      </c>
      <c r="W171">
        <f t="shared" ca="1" si="48"/>
        <v>190.19905828843764</v>
      </c>
      <c r="X171">
        <f t="shared" ca="1" si="58"/>
        <v>186.14226073693209</v>
      </c>
      <c r="Y171">
        <f t="shared" ca="1" si="57"/>
        <v>3.8903862454787657</v>
      </c>
      <c r="Z171">
        <f t="shared" ca="1" si="59"/>
        <v>3.790354522593371</v>
      </c>
      <c r="AA171">
        <f t="shared" ca="1" si="60"/>
        <v>0.10003172288539464</v>
      </c>
      <c r="AB171">
        <f t="shared" ca="1" si="61"/>
        <v>170.08359999999993</v>
      </c>
    </row>
    <row r="172" spans="1:28" x14ac:dyDescent="0.25">
      <c r="A172" s="20">
        <f t="shared" ca="1" si="41"/>
        <v>45950</v>
      </c>
      <c r="B172" vm="507">
        <f ca="1"/>
        <v>45951</v>
      </c>
      <c r="C172" vm="508">
        <f ca="1"/>
        <v>191.88</v>
      </c>
      <c r="D172" vm="509">
        <f ca="1"/>
        <v>6716360</v>
      </c>
      <c r="E172">
        <f t="shared" ca="1" si="42"/>
        <v>1288735156.8</v>
      </c>
      <c r="F172">
        <f ca="1">SUM($E$2:E172)/SUM($D$2:D172)</f>
        <v>164.90699322152224</v>
      </c>
      <c r="G172">
        <f ca="1">_xlfn.STDEV.P($C$2:C172)</f>
        <v>12.054686379657969</v>
      </c>
      <c r="H172">
        <f t="shared" ca="1" si="43"/>
        <v>176.96167960118021</v>
      </c>
      <c r="I172">
        <f t="shared" ca="1" si="44"/>
        <v>152.85230684186428</v>
      </c>
      <c r="J172">
        <f t="shared" ca="1" si="53"/>
        <v>187.71199999999999</v>
      </c>
      <c r="K172">
        <f t="shared" ca="1" si="54"/>
        <v>5.1054311638118337</v>
      </c>
      <c r="L172">
        <f t="shared" ca="1" si="55"/>
        <v>197.92286232762365</v>
      </c>
      <c r="M172">
        <f t="shared" ca="1" si="56"/>
        <v>177.50113767237633</v>
      </c>
      <c r="N172">
        <f t="shared" ca="1" si="45"/>
        <v>-1.8400000000000034</v>
      </c>
      <c r="O172">
        <f t="shared" ca="1" si="46"/>
        <v>0</v>
      </c>
      <c r="P172">
        <f t="shared" ca="1" si="47"/>
        <v>1.8400000000000034</v>
      </c>
      <c r="Q172">
        <f t="shared" ca="1" si="51"/>
        <v>0.73879215076701299</v>
      </c>
      <c r="R172">
        <f t="shared" ca="1" si="52"/>
        <v>0.31125827606887463</v>
      </c>
      <c r="S172">
        <f t="shared" ca="1" si="49"/>
        <v>2.3735662874504082</v>
      </c>
      <c r="T172">
        <f t="shared" ca="1" si="50"/>
        <v>70.357778244347003</v>
      </c>
      <c r="U172">
        <f>70</f>
        <v>70</v>
      </c>
      <c r="V172">
        <f>30</f>
        <v>30</v>
      </c>
      <c r="W172">
        <f t="shared" ca="1" si="48"/>
        <v>190.45766470560108</v>
      </c>
      <c r="X172">
        <f t="shared" ca="1" si="58"/>
        <v>186.56727846012231</v>
      </c>
      <c r="Y172">
        <f t="shared" ca="1" si="57"/>
        <v>3.8002305356802708</v>
      </c>
      <c r="Z172">
        <f t="shared" ca="1" si="59"/>
        <v>3.7923297252107511</v>
      </c>
      <c r="AA172">
        <f t="shared" ca="1" si="60"/>
        <v>7.9008104695197368E-3</v>
      </c>
      <c r="AB172">
        <f t="shared" ca="1" si="61"/>
        <v>170.46659999999997</v>
      </c>
    </row>
    <row r="173" spans="1:28" x14ac:dyDescent="0.25">
      <c r="A173" s="20">
        <f t="shared" ca="1" si="41"/>
        <v>45950</v>
      </c>
      <c r="B173" vm="510">
        <f ca="1"/>
        <v>45952</v>
      </c>
      <c r="C173" vm="511">
        <f ca="1"/>
        <v>192.94</v>
      </c>
      <c r="D173" vm="512">
        <f ca="1"/>
        <v>6343472</v>
      </c>
      <c r="E173">
        <f t="shared" ca="1" si="42"/>
        <v>1223909487.6800001</v>
      </c>
      <c r="F173">
        <f ca="1">SUM($E$2:E173)/SUM($D$2:D173)</f>
        <v>165.0232677585432</v>
      </c>
      <c r="G173">
        <f ca="1">_xlfn.STDEV.P($C$2:C173)</f>
        <v>12.202955449297486</v>
      </c>
      <c r="H173">
        <f t="shared" ca="1" si="43"/>
        <v>177.22622320784069</v>
      </c>
      <c r="I173">
        <f t="shared" ca="1" si="44"/>
        <v>152.82031230924571</v>
      </c>
      <c r="J173">
        <f t="shared" ca="1" si="53"/>
        <v>188.52449999999999</v>
      </c>
      <c r="K173">
        <f t="shared" ca="1" si="54"/>
        <v>4.5183106705703047</v>
      </c>
      <c r="L173">
        <f t="shared" ca="1" si="55"/>
        <v>197.56112134114059</v>
      </c>
      <c r="M173">
        <f t="shared" ca="1" si="56"/>
        <v>179.48787865885939</v>
      </c>
      <c r="N173">
        <f t="shared" ca="1" si="45"/>
        <v>1.0600000000000023</v>
      </c>
      <c r="O173">
        <f t="shared" ca="1" si="46"/>
        <v>1.0600000000000023</v>
      </c>
      <c r="P173">
        <f t="shared" ca="1" si="47"/>
        <v>0</v>
      </c>
      <c r="Q173">
        <f t="shared" ca="1" si="51"/>
        <v>0.7617355685693693</v>
      </c>
      <c r="R173">
        <f t="shared" ca="1" si="52"/>
        <v>0.28902554206395503</v>
      </c>
      <c r="S173">
        <f t="shared" ca="1" si="49"/>
        <v>2.635530282651676</v>
      </c>
      <c r="T173">
        <f t="shared" ca="1" si="50"/>
        <v>72.493696317924162</v>
      </c>
      <c r="U173">
        <f>70</f>
        <v>70</v>
      </c>
      <c r="V173">
        <f>30</f>
        <v>30</v>
      </c>
      <c r="W173">
        <f t="shared" ca="1" si="48"/>
        <v>190.83956244320092</v>
      </c>
      <c r="X173">
        <f t="shared" ca="1" si="58"/>
        <v>187.03933190752065</v>
      </c>
      <c r="Y173">
        <f t="shared" ca="1" si="57"/>
        <v>3.6487953723260773</v>
      </c>
      <c r="Z173">
        <f t="shared" ca="1" si="59"/>
        <v>3.7636228546338164</v>
      </c>
      <c r="AA173">
        <f t="shared" ca="1" si="60"/>
        <v>-0.11482748230773909</v>
      </c>
      <c r="AB173">
        <f t="shared" ca="1" si="61"/>
        <v>170.84389999999996</v>
      </c>
    </row>
    <row r="174" spans="1:28" x14ac:dyDescent="0.25">
      <c r="A174" s="20">
        <f t="shared" ca="1" si="41"/>
        <v>45950</v>
      </c>
      <c r="B174" vm="513">
        <f ca="1"/>
        <v>45953</v>
      </c>
      <c r="C174" vm="514">
        <f ca="1"/>
        <v>192.47</v>
      </c>
      <c r="D174" vm="515">
        <f ca="1"/>
        <v>8882491</v>
      </c>
      <c r="E174">
        <f t="shared" ca="1" si="42"/>
        <v>1709613042.77</v>
      </c>
      <c r="F174">
        <f ca="1">SUM($E$2:E174)/SUM($D$2:D174)</f>
        <v>165.18175644585855</v>
      </c>
      <c r="G174">
        <f ca="1">_xlfn.STDEV.P($C$2:C174)</f>
        <v>12.339714019495331</v>
      </c>
      <c r="H174">
        <f t="shared" ca="1" si="43"/>
        <v>177.52147046535387</v>
      </c>
      <c r="I174">
        <f t="shared" ca="1" si="44"/>
        <v>152.84204242636324</v>
      </c>
      <c r="J174">
        <f t="shared" ca="1" si="53"/>
        <v>189.26149999999998</v>
      </c>
      <c r="K174">
        <f t="shared" ca="1" si="54"/>
        <v>3.8118227094686659</v>
      </c>
      <c r="L174">
        <f t="shared" ca="1" si="55"/>
        <v>196.88514541893733</v>
      </c>
      <c r="M174">
        <f t="shared" ca="1" si="56"/>
        <v>181.63785458106264</v>
      </c>
      <c r="N174">
        <f t="shared" ca="1" si="45"/>
        <v>-0.46999999999999886</v>
      </c>
      <c r="O174">
        <f t="shared" ca="1" si="46"/>
        <v>0</v>
      </c>
      <c r="P174">
        <f t="shared" ca="1" si="47"/>
        <v>0.46999999999999886</v>
      </c>
      <c r="Q174">
        <f t="shared" ca="1" si="51"/>
        <v>0.70732588510012862</v>
      </c>
      <c r="R174">
        <f t="shared" ca="1" si="52"/>
        <v>0.3019522890593867</v>
      </c>
      <c r="S174">
        <f t="shared" ca="1" si="49"/>
        <v>2.3425087695262174</v>
      </c>
      <c r="T174">
        <f t="shared" ca="1" si="50"/>
        <v>70.082352240417777</v>
      </c>
      <c r="U174">
        <f>70</f>
        <v>70</v>
      </c>
      <c r="V174">
        <f>30</f>
        <v>30</v>
      </c>
      <c r="W174">
        <f t="shared" ca="1" si="48"/>
        <v>191.09039899040076</v>
      </c>
      <c r="X174">
        <f t="shared" ca="1" si="58"/>
        <v>187.44160361807468</v>
      </c>
      <c r="Y174">
        <f t="shared" ca="1" si="57"/>
        <v>3.3234396702984554</v>
      </c>
      <c r="Z174">
        <f t="shared" ca="1" si="59"/>
        <v>3.6755862177667447</v>
      </c>
      <c r="AA174">
        <f t="shared" ca="1" si="60"/>
        <v>-0.35214654746828922</v>
      </c>
      <c r="AB174">
        <f t="shared" ca="1" si="61"/>
        <v>171.21459999999996</v>
      </c>
    </row>
    <row r="175" spans="1:28" x14ac:dyDescent="0.25">
      <c r="A175" s="20">
        <f t="shared" ca="1" si="41"/>
        <v>45950</v>
      </c>
      <c r="B175" vm="516">
        <f ca="1"/>
        <v>45954</v>
      </c>
      <c r="C175" vm="517">
        <f ca="1"/>
        <v>190.4</v>
      </c>
      <c r="D175" vm="518">
        <f ca="1"/>
        <v>6903379</v>
      </c>
      <c r="E175">
        <f t="shared" ca="1" si="42"/>
        <v>1314403361.6000001</v>
      </c>
      <c r="F175">
        <f ca="1">SUM($E$2:E175)/SUM($D$2:D175)</f>
        <v>165.29442552048548</v>
      </c>
      <c r="G175">
        <f ca="1">_xlfn.STDEV.P($C$2:C175)</f>
        <v>12.446909223333272</v>
      </c>
      <c r="H175">
        <f t="shared" ca="1" si="43"/>
        <v>177.74133474381875</v>
      </c>
      <c r="I175">
        <f t="shared" ca="1" si="44"/>
        <v>152.8475162971522</v>
      </c>
      <c r="J175">
        <f t="shared" ca="1" si="53"/>
        <v>189.79599999999996</v>
      </c>
      <c r="K175">
        <f t="shared" ca="1" si="54"/>
        <v>3.0815331112596334</v>
      </c>
      <c r="L175">
        <f t="shared" ca="1" si="55"/>
        <v>195.95906622251923</v>
      </c>
      <c r="M175">
        <f t="shared" ca="1" si="56"/>
        <v>183.6329337774807</v>
      </c>
      <c r="N175">
        <f t="shared" ca="1" si="45"/>
        <v>-2.0699999999999932</v>
      </c>
      <c r="O175">
        <f t="shared" ca="1" si="46"/>
        <v>0</v>
      </c>
      <c r="P175">
        <f t="shared" ca="1" si="47"/>
        <v>2.0699999999999932</v>
      </c>
      <c r="Q175">
        <f t="shared" ca="1" si="51"/>
        <v>0.6568026075929766</v>
      </c>
      <c r="R175">
        <f t="shared" ca="1" si="52"/>
        <v>0.42824141126943005</v>
      </c>
      <c r="S175">
        <f t="shared" ca="1" si="49"/>
        <v>1.5337204443774501</v>
      </c>
      <c r="T175">
        <f t="shared" ca="1" si="50"/>
        <v>60.532346722816698</v>
      </c>
      <c r="U175">
        <f>70</f>
        <v>70</v>
      </c>
      <c r="V175">
        <f>30</f>
        <v>30</v>
      </c>
      <c r="W175">
        <f t="shared" ca="1" si="48"/>
        <v>190.98418376110834</v>
      </c>
      <c r="X175">
        <f t="shared" ca="1" si="58"/>
        <v>187.66074409080989</v>
      </c>
      <c r="Y175">
        <f t="shared" ca="1" si="57"/>
        <v>3.0226801924101494</v>
      </c>
      <c r="Z175">
        <f t="shared" ca="1" si="59"/>
        <v>3.5450050126954258</v>
      </c>
      <c r="AA175">
        <f t="shared" ca="1" si="60"/>
        <v>-0.52232482028527638</v>
      </c>
      <c r="AB175">
        <f t="shared" ca="1" si="61"/>
        <v>171.5744</v>
      </c>
    </row>
    <row r="176" spans="1:28" x14ac:dyDescent="0.25">
      <c r="A176" s="20">
        <f t="shared" ca="1" si="41"/>
        <v>45957</v>
      </c>
      <c r="B176" vm="519">
        <f ca="1"/>
        <v>45957</v>
      </c>
      <c r="C176" vm="520">
        <f ca="1"/>
        <v>190.3</v>
      </c>
      <c r="D176" vm="521">
        <f ca="1"/>
        <v>7125956</v>
      </c>
      <c r="E176">
        <f t="shared" ca="1" si="42"/>
        <v>1356069426.8000002</v>
      </c>
      <c r="F176">
        <f ca="1">SUM($E$2:E176)/SUM($D$2:D176)</f>
        <v>165.40921705713259</v>
      </c>
      <c r="G176">
        <f ca="1">_xlfn.STDEV.P($C$2:C176)</f>
        <v>12.549263785219448</v>
      </c>
      <c r="H176">
        <f t="shared" ca="1" si="43"/>
        <v>177.95848084235203</v>
      </c>
      <c r="I176">
        <f t="shared" ca="1" si="44"/>
        <v>152.85995327191316</v>
      </c>
      <c r="J176">
        <f t="shared" ca="1" si="53"/>
        <v>190.23</v>
      </c>
      <c r="K176">
        <f t="shared" ca="1" si="54"/>
        <v>2.406799578387516</v>
      </c>
      <c r="L176">
        <f t="shared" ca="1" si="55"/>
        <v>195.04359915677503</v>
      </c>
      <c r="M176">
        <f t="shared" ca="1" si="56"/>
        <v>185.41640084322495</v>
      </c>
      <c r="N176">
        <f t="shared" ca="1" si="45"/>
        <v>-9.9999999999994316E-2</v>
      </c>
      <c r="O176">
        <f t="shared" ca="1" si="46"/>
        <v>0</v>
      </c>
      <c r="P176">
        <f t="shared" ca="1" si="47"/>
        <v>9.9999999999994316E-2</v>
      </c>
      <c r="Q176">
        <f t="shared" ca="1" si="51"/>
        <v>0.60988813562204969</v>
      </c>
      <c r="R176">
        <f t="shared" ca="1" si="52"/>
        <v>0.4047955961787561</v>
      </c>
      <c r="S176">
        <f t="shared" ca="1" si="49"/>
        <v>1.5066570421698104</v>
      </c>
      <c r="T176">
        <f t="shared" ca="1" si="50"/>
        <v>60.106229804202464</v>
      </c>
      <c r="U176">
        <f>70</f>
        <v>70</v>
      </c>
      <c r="V176">
        <f>30</f>
        <v>30</v>
      </c>
      <c r="W176">
        <f t="shared" ca="1" si="48"/>
        <v>190.87892472093782</v>
      </c>
      <c r="X176">
        <f t="shared" ca="1" si="58"/>
        <v>187.85624452852767</v>
      </c>
      <c r="Y176">
        <f t="shared" ca="1" si="57"/>
        <v>2.483764018082752</v>
      </c>
      <c r="Z176">
        <f t="shared" ca="1" si="59"/>
        <v>3.3327568137728911</v>
      </c>
      <c r="AA176">
        <f t="shared" ca="1" si="60"/>
        <v>-0.84899279569013908</v>
      </c>
      <c r="AB176">
        <f t="shared" ca="1" si="61"/>
        <v>171.94519999999997</v>
      </c>
    </row>
    <row r="177" spans="1:28" x14ac:dyDescent="0.25">
      <c r="A177" s="20">
        <f t="shared" ca="1" si="41"/>
        <v>45957</v>
      </c>
      <c r="B177" vm="522">
        <f ca="1"/>
        <v>45958</v>
      </c>
      <c r="C177" vm="523">
        <f ca="1"/>
        <v>186.93</v>
      </c>
      <c r="D177" vm="524">
        <f ca="1"/>
        <v>8329457</v>
      </c>
      <c r="E177">
        <f t="shared" ca="1" si="42"/>
        <v>1557025397.01</v>
      </c>
      <c r="F177">
        <f ca="1">SUM($E$2:E177)/SUM($D$2:D177)</f>
        <v>165.524080143682</v>
      </c>
      <c r="G177">
        <f ca="1">_xlfn.STDEV.P($C$2:C177)</f>
        <v>12.613745184701552</v>
      </c>
      <c r="H177">
        <f t="shared" ca="1" si="43"/>
        <v>178.13782532838354</v>
      </c>
      <c r="I177">
        <f t="shared" ca="1" si="44"/>
        <v>152.91033495898046</v>
      </c>
      <c r="J177">
        <f t="shared" ca="1" si="53"/>
        <v>190.30549999999997</v>
      </c>
      <c r="K177">
        <f t="shared" ca="1" si="54"/>
        <v>2.2676314445740631</v>
      </c>
      <c r="L177">
        <f t="shared" ca="1" si="55"/>
        <v>194.8407628891481</v>
      </c>
      <c r="M177">
        <f t="shared" ca="1" si="56"/>
        <v>185.77023711085184</v>
      </c>
      <c r="N177">
        <f t="shared" ca="1" si="45"/>
        <v>-3.3700000000000045</v>
      </c>
      <c r="O177">
        <f t="shared" ca="1" si="46"/>
        <v>0</v>
      </c>
      <c r="P177">
        <f t="shared" ca="1" si="47"/>
        <v>3.3700000000000045</v>
      </c>
      <c r="Q177">
        <f t="shared" ca="1" si="51"/>
        <v>0.56632469736333191</v>
      </c>
      <c r="R177">
        <f t="shared" ca="1" si="52"/>
        <v>0.6165959107374166</v>
      </c>
      <c r="S177">
        <f t="shared" ca="1" si="49"/>
        <v>0.91846975872097025</v>
      </c>
      <c r="T177">
        <f t="shared" ca="1" si="50"/>
        <v>47.875123105057824</v>
      </c>
      <c r="U177">
        <f>70</f>
        <v>70</v>
      </c>
      <c r="V177">
        <f>30</f>
        <v>30</v>
      </c>
      <c r="W177">
        <f t="shared" ca="1" si="48"/>
        <v>190.27139784079355</v>
      </c>
      <c r="X177">
        <f t="shared" ca="1" si="58"/>
        <v>187.7876338227108</v>
      </c>
      <c r="Y177">
        <f t="shared" ca="1" si="57"/>
        <v>2.0069064567939279</v>
      </c>
      <c r="Z177">
        <f t="shared" ca="1" si="59"/>
        <v>3.0675867423770988</v>
      </c>
      <c r="AA177">
        <f t="shared" ca="1" si="60"/>
        <v>-1.060680285583171</v>
      </c>
      <c r="AB177">
        <f t="shared" ca="1" si="61"/>
        <v>172.27789999999996</v>
      </c>
    </row>
    <row r="178" spans="1:28" x14ac:dyDescent="0.25">
      <c r="A178" s="20">
        <f t="shared" ca="1" si="41"/>
        <v>45957</v>
      </c>
      <c r="B178" vm="525">
        <f ca="1"/>
        <v>45959</v>
      </c>
      <c r="C178" vm="526">
        <f ca="1"/>
        <v>186.6</v>
      </c>
      <c r="D178" vm="527">
        <f ca="1"/>
        <v>10551079</v>
      </c>
      <c r="E178">
        <f t="shared" ca="1" si="42"/>
        <v>1968831341.3999999</v>
      </c>
      <c r="F178">
        <f ca="1">SUM($E$2:E178)/SUM($D$2:D178)</f>
        <v>165.66561480507355</v>
      </c>
      <c r="G178">
        <f ca="1">_xlfn.STDEV.P($C$2:C178)</f>
        <v>12.673014089218288</v>
      </c>
      <c r="H178">
        <f t="shared" ca="1" si="43"/>
        <v>178.33862889429184</v>
      </c>
      <c r="I178">
        <f t="shared" ca="1" si="44"/>
        <v>152.99260071585525</v>
      </c>
      <c r="J178">
        <f t="shared" ca="1" si="53"/>
        <v>190.33299999999997</v>
      </c>
      <c r="K178">
        <f t="shared" ca="1" si="54"/>
        <v>2.2160564784746533</v>
      </c>
      <c r="L178">
        <f t="shared" ca="1" si="55"/>
        <v>194.76511295694928</v>
      </c>
      <c r="M178">
        <f t="shared" ca="1" si="56"/>
        <v>185.90088704305066</v>
      </c>
      <c r="N178">
        <f t="shared" ca="1" si="45"/>
        <v>-0.33000000000001251</v>
      </c>
      <c r="O178">
        <f t="shared" ca="1" si="46"/>
        <v>0</v>
      </c>
      <c r="P178">
        <f t="shared" ca="1" si="47"/>
        <v>0.33000000000001251</v>
      </c>
      <c r="Q178">
        <f t="shared" ca="1" si="51"/>
        <v>0.52587293326595108</v>
      </c>
      <c r="R178">
        <f t="shared" ca="1" si="52"/>
        <v>0.5961247742561735</v>
      </c>
      <c r="S178">
        <f t="shared" ca="1" si="49"/>
        <v>0.88215245528441499</v>
      </c>
      <c r="T178">
        <f t="shared" ca="1" si="50"/>
        <v>46.869341152872316</v>
      </c>
      <c r="U178">
        <f>70</f>
        <v>70</v>
      </c>
      <c r="V178">
        <f>30</f>
        <v>30</v>
      </c>
      <c r="W178">
        <f t="shared" ca="1" si="48"/>
        <v>189.70656740374838</v>
      </c>
      <c r="X178">
        <f t="shared" ca="1" si="58"/>
        <v>187.69966094695445</v>
      </c>
      <c r="Y178">
        <f t="shared" ca="1" si="57"/>
        <v>1.8058709719460921</v>
      </c>
      <c r="Z178">
        <f t="shared" ca="1" si="59"/>
        <v>2.8152435882908979</v>
      </c>
      <c r="AA178">
        <f t="shared" ca="1" si="60"/>
        <v>-1.0093726163448058</v>
      </c>
      <c r="AB178">
        <f t="shared" ca="1" si="61"/>
        <v>172.59359999999998</v>
      </c>
    </row>
    <row r="179" spans="1:28" x14ac:dyDescent="0.25">
      <c r="A179" s="20">
        <f t="shared" ca="1" si="41"/>
        <v>45957</v>
      </c>
      <c r="B179" vm="528">
        <f ca="1"/>
        <v>45960</v>
      </c>
      <c r="C179" vm="529">
        <f ca="1"/>
        <v>189.05</v>
      </c>
      <c r="D179" vm="530">
        <f ca="1"/>
        <v>7072517</v>
      </c>
      <c r="E179">
        <f t="shared" ca="1" si="42"/>
        <v>1337059338.8500001</v>
      </c>
      <c r="F179">
        <f ca="1">SUM($E$2:E179)/SUM($D$2:D179)</f>
        <v>165.7704069623548</v>
      </c>
      <c r="G179">
        <f ca="1">_xlfn.STDEV.P($C$2:C179)</f>
        <v>12.75367476494911</v>
      </c>
      <c r="H179">
        <f t="shared" ca="1" si="43"/>
        <v>178.52408172730389</v>
      </c>
      <c r="I179">
        <f t="shared" ca="1" si="44"/>
        <v>153.0167321974057</v>
      </c>
      <c r="J179">
        <f t="shared" ca="1" si="53"/>
        <v>190.48649999999998</v>
      </c>
      <c r="K179">
        <f t="shared" ca="1" si="54"/>
        <v>1.9938517999089105</v>
      </c>
      <c r="L179">
        <f t="shared" ca="1" si="55"/>
        <v>194.4742035998178</v>
      </c>
      <c r="M179">
        <f t="shared" ca="1" si="56"/>
        <v>186.49879640018216</v>
      </c>
      <c r="N179">
        <f t="shared" ca="1" si="45"/>
        <v>2.4500000000000171</v>
      </c>
      <c r="O179">
        <f t="shared" ca="1" si="46"/>
        <v>2.4500000000000171</v>
      </c>
      <c r="P179">
        <f t="shared" ca="1" si="47"/>
        <v>0</v>
      </c>
      <c r="Q179">
        <f t="shared" ca="1" si="51"/>
        <v>0.66331058088981287</v>
      </c>
      <c r="R179">
        <f t="shared" ca="1" si="52"/>
        <v>0.55354443323787539</v>
      </c>
      <c r="S179">
        <f t="shared" ca="1" si="49"/>
        <v>1.1982969045680341</v>
      </c>
      <c r="T179">
        <f t="shared" ca="1" si="50"/>
        <v>54.510239362025558</v>
      </c>
      <c r="U179">
        <f>70</f>
        <v>70</v>
      </c>
      <c r="V179">
        <f>30</f>
        <v>30</v>
      </c>
      <c r="W179">
        <f t="shared" ca="1" si="48"/>
        <v>189.60555703394095</v>
      </c>
      <c r="X179">
        <f t="shared" ca="1" si="58"/>
        <v>187.79968606199486</v>
      </c>
      <c r="Y179">
        <f t="shared" ca="1" si="57"/>
        <v>1.6134258374135015</v>
      </c>
      <c r="Z179">
        <f t="shared" ca="1" si="59"/>
        <v>2.5748800381154191</v>
      </c>
      <c r="AA179">
        <f t="shared" ca="1" si="60"/>
        <v>-0.96145420070191756</v>
      </c>
      <c r="AB179">
        <f t="shared" ca="1" si="61"/>
        <v>172.93179999999995</v>
      </c>
    </row>
    <row r="180" spans="1:28" x14ac:dyDescent="0.25">
      <c r="A180" s="20">
        <f t="shared" ca="1" si="41"/>
        <v>45957</v>
      </c>
      <c r="B180" vm="531">
        <f ca="1"/>
        <v>45961</v>
      </c>
      <c r="C180" vm="532">
        <f ca="1"/>
        <v>188.87</v>
      </c>
      <c r="D180" vm="533">
        <f ca="1"/>
        <v>8791666</v>
      </c>
      <c r="E180">
        <f t="shared" ca="1" si="42"/>
        <v>1660481957.4200001</v>
      </c>
      <c r="F180">
        <f ca="1">SUM($E$2:E180)/SUM($D$2:D180)</f>
        <v>165.89837213224328</v>
      </c>
      <c r="G180">
        <f ca="1">_xlfn.STDEV.P($C$2:C180)</f>
        <v>12.829882360216157</v>
      </c>
      <c r="H180">
        <f t="shared" ca="1" si="43"/>
        <v>178.72825449245943</v>
      </c>
      <c r="I180">
        <f t="shared" ca="1" si="44"/>
        <v>153.06848977202714</v>
      </c>
      <c r="J180">
        <f t="shared" ca="1" si="53"/>
        <v>190.49799999999999</v>
      </c>
      <c r="K180">
        <f t="shared" ca="1" si="54"/>
        <v>1.9832763960572652</v>
      </c>
      <c r="L180">
        <f t="shared" ca="1" si="55"/>
        <v>194.46455279211452</v>
      </c>
      <c r="M180">
        <f t="shared" ca="1" si="56"/>
        <v>186.53144720788546</v>
      </c>
      <c r="N180">
        <f t="shared" ca="1" si="45"/>
        <v>-0.18000000000000682</v>
      </c>
      <c r="O180">
        <f t="shared" ca="1" si="46"/>
        <v>0</v>
      </c>
      <c r="P180">
        <f t="shared" ca="1" si="47"/>
        <v>0.18000000000000682</v>
      </c>
      <c r="Q180">
        <f t="shared" ca="1" si="51"/>
        <v>0.61593125368339763</v>
      </c>
      <c r="R180">
        <f t="shared" ca="1" si="52"/>
        <v>0.52686268800659908</v>
      </c>
      <c r="S180">
        <f t="shared" ca="1" si="49"/>
        <v>1.1690546089224731</v>
      </c>
      <c r="T180">
        <f t="shared" ca="1" si="50"/>
        <v>53.896965254518307</v>
      </c>
      <c r="U180">
        <f>70</f>
        <v>70</v>
      </c>
      <c r="V180">
        <f>30</f>
        <v>30</v>
      </c>
      <c r="W180">
        <f t="shared" ca="1" si="48"/>
        <v>189.49239441333467</v>
      </c>
      <c r="X180">
        <f t="shared" ca="1" si="58"/>
        <v>187.87896857592116</v>
      </c>
      <c r="Y180">
        <f t="shared" ca="1" si="57"/>
        <v>1.2360579874245445</v>
      </c>
      <c r="Z180">
        <f t="shared" ca="1" si="59"/>
        <v>2.307115627977244</v>
      </c>
      <c r="AA180">
        <f t="shared" ca="1" si="60"/>
        <v>-1.0710576405526995</v>
      </c>
      <c r="AB180">
        <f t="shared" ca="1" si="61"/>
        <v>173.25599999999994</v>
      </c>
    </row>
    <row r="181" spans="1:28" x14ac:dyDescent="0.25">
      <c r="A181" s="20">
        <f t="shared" ca="1" si="41"/>
        <v>45964</v>
      </c>
      <c r="B181" vm="534">
        <f ca="1"/>
        <v>45964</v>
      </c>
      <c r="C181" vm="535">
        <f ca="1"/>
        <v>186.26</v>
      </c>
      <c r="D181" vm="536">
        <f ca="1"/>
        <v>7542636</v>
      </c>
      <c r="E181">
        <f t="shared" ca="1" si="42"/>
        <v>1404891381.3599999</v>
      </c>
      <c r="F181">
        <f ca="1">SUM($E$2:E181)/SUM($D$2:D181)</f>
        <v>165.99468686779696</v>
      </c>
      <c r="G181">
        <f ca="1">_xlfn.STDEV.P($C$2:C181)</f>
        <v>12.879807161901834</v>
      </c>
      <c r="H181">
        <f t="shared" ca="1" si="43"/>
        <v>178.87449402969878</v>
      </c>
      <c r="I181">
        <f t="shared" ca="1" si="44"/>
        <v>153.11487970589513</v>
      </c>
      <c r="J181">
        <f t="shared" ca="1" si="53"/>
        <v>190.40300000000002</v>
      </c>
      <c r="K181">
        <f t="shared" ca="1" si="54"/>
        <v>2.1404404367227547</v>
      </c>
      <c r="L181">
        <f t="shared" ca="1" si="55"/>
        <v>194.68388087344553</v>
      </c>
      <c r="M181">
        <f t="shared" ca="1" si="56"/>
        <v>186.12211912655451</v>
      </c>
      <c r="N181">
        <f t="shared" ca="1" si="45"/>
        <v>-2.6100000000000136</v>
      </c>
      <c r="O181">
        <f t="shared" ca="1" si="46"/>
        <v>0</v>
      </c>
      <c r="P181">
        <f t="shared" ca="1" si="47"/>
        <v>2.6100000000000136</v>
      </c>
      <c r="Q181">
        <f t="shared" ca="1" si="51"/>
        <v>0.57193616413458348</v>
      </c>
      <c r="R181">
        <f t="shared" ca="1" si="52"/>
        <v>0.67565821029184292</v>
      </c>
      <c r="S181">
        <f t="shared" ca="1" si="49"/>
        <v>0.8464874035757548</v>
      </c>
      <c r="T181">
        <f t="shared" ca="1" si="50"/>
        <v>45.843118232841299</v>
      </c>
      <c r="U181">
        <f>70</f>
        <v>70</v>
      </c>
      <c r="V181">
        <f>30</f>
        <v>30</v>
      </c>
      <c r="W181">
        <f t="shared" ca="1" si="48"/>
        <v>188.99510296512932</v>
      </c>
      <c r="X181">
        <f t="shared" ca="1" si="58"/>
        <v>187.75904497770478</v>
      </c>
      <c r="Y181">
        <f t="shared" ca="1" si="57"/>
        <v>0.97417653244832536</v>
      </c>
      <c r="Z181">
        <f t="shared" ca="1" si="59"/>
        <v>2.0405278088714605</v>
      </c>
      <c r="AA181">
        <f t="shared" ca="1" si="60"/>
        <v>-1.0663512764231351</v>
      </c>
      <c r="AB181">
        <f t="shared" ca="1" si="61"/>
        <v>173.56599999999992</v>
      </c>
    </row>
    <row r="182" spans="1:28" x14ac:dyDescent="0.25">
      <c r="A182" s="20">
        <f t="shared" ca="1" si="41"/>
        <v>45964</v>
      </c>
      <c r="B182" vm="537">
        <f ca="1"/>
        <v>45965</v>
      </c>
      <c r="C182" vm="538">
        <f ca="1"/>
        <v>186.86</v>
      </c>
      <c r="D182" vm="539">
        <f ca="1"/>
        <v>7209395</v>
      </c>
      <c r="E182">
        <f t="shared" ca="1" si="42"/>
        <v>1347147549.7</v>
      </c>
      <c r="F182">
        <f ca="1">SUM($E$2:E182)/SUM($D$2:D182)</f>
        <v>166.08859900022725</v>
      </c>
      <c r="G182">
        <f ca="1">_xlfn.STDEV.P($C$2:C182)</f>
        <v>12.933190049614076</v>
      </c>
      <c r="H182">
        <f t="shared" ca="1" si="43"/>
        <v>179.02178904984132</v>
      </c>
      <c r="I182">
        <f t="shared" ca="1" si="44"/>
        <v>153.15540895061318</v>
      </c>
      <c r="J182">
        <f t="shared" ca="1" si="53"/>
        <v>190.3015</v>
      </c>
      <c r="K182">
        <f t="shared" ca="1" si="54"/>
        <v>2.2607154782688168</v>
      </c>
      <c r="L182">
        <f t="shared" ca="1" si="55"/>
        <v>194.82293095653765</v>
      </c>
      <c r="M182">
        <f t="shared" ca="1" si="56"/>
        <v>185.78006904346236</v>
      </c>
      <c r="N182">
        <f t="shared" ca="1" si="45"/>
        <v>0.60000000000002274</v>
      </c>
      <c r="O182">
        <f t="shared" ca="1" si="46"/>
        <v>0.60000000000002274</v>
      </c>
      <c r="P182">
        <f t="shared" ca="1" si="47"/>
        <v>0</v>
      </c>
      <c r="Q182">
        <f t="shared" ca="1" si="51"/>
        <v>0.57394072383925765</v>
      </c>
      <c r="R182">
        <f t="shared" ca="1" si="52"/>
        <v>0.62739690955671124</v>
      </c>
      <c r="S182">
        <f t="shared" ca="1" si="49"/>
        <v>0.91479686159878726</v>
      </c>
      <c r="T182">
        <f t="shared" ca="1" si="50"/>
        <v>47.77513896878672</v>
      </c>
      <c r="U182">
        <f>70</f>
        <v>70</v>
      </c>
      <c r="V182">
        <f>30</f>
        <v>30</v>
      </c>
      <c r="W182">
        <f t="shared" ca="1" si="48"/>
        <v>188.66662558587868</v>
      </c>
      <c r="X182">
        <f t="shared" ca="1" si="58"/>
        <v>187.69244905343035</v>
      </c>
      <c r="Y182">
        <f t="shared" ca="1" si="57"/>
        <v>0.68929303886355342</v>
      </c>
      <c r="Z182">
        <f t="shared" ca="1" si="59"/>
        <v>1.7702808548698792</v>
      </c>
      <c r="AA182">
        <f t="shared" ca="1" si="60"/>
        <v>-1.0809878160063258</v>
      </c>
      <c r="AB182">
        <f t="shared" ca="1" si="61"/>
        <v>173.86799999999991</v>
      </c>
    </row>
    <row r="183" spans="1:28" x14ac:dyDescent="0.25">
      <c r="A183" s="20">
        <f t="shared" ca="1" si="41"/>
        <v>45964</v>
      </c>
      <c r="B183" vm="540">
        <f ca="1"/>
        <v>45966</v>
      </c>
      <c r="C183" vm="541">
        <f ca="1"/>
        <v>186</v>
      </c>
      <c r="D183" vm="542">
        <f ca="1"/>
        <v>5049443</v>
      </c>
      <c r="E183">
        <f t="shared" ca="1" si="42"/>
        <v>939196398</v>
      </c>
      <c r="F183">
        <f ca="1">SUM($E$2:E183)/SUM($D$2:D183)</f>
        <v>166.15117046911163</v>
      </c>
      <c r="G183">
        <f ca="1">_xlfn.STDEV.P($C$2:C183)</f>
        <v>12.977603630633865</v>
      </c>
      <c r="H183">
        <f t="shared" ca="1" si="43"/>
        <v>179.1287740997455</v>
      </c>
      <c r="I183">
        <f t="shared" ca="1" si="44"/>
        <v>153.17356683847777</v>
      </c>
      <c r="J183">
        <f t="shared" ca="1" si="53"/>
        <v>190.11700000000002</v>
      </c>
      <c r="K183">
        <f t="shared" ca="1" si="54"/>
        <v>2.4554345740354022</v>
      </c>
      <c r="L183">
        <f t="shared" ca="1" si="55"/>
        <v>195.02786914807083</v>
      </c>
      <c r="M183">
        <f t="shared" ca="1" si="56"/>
        <v>185.2061308519292</v>
      </c>
      <c r="N183">
        <f t="shared" ca="1" si="45"/>
        <v>-0.86000000000001364</v>
      </c>
      <c r="O183">
        <f t="shared" ca="1" si="46"/>
        <v>0</v>
      </c>
      <c r="P183">
        <f t="shared" ca="1" si="47"/>
        <v>0.86000000000001364</v>
      </c>
      <c r="Q183">
        <f t="shared" ca="1" si="51"/>
        <v>0.53294495785073925</v>
      </c>
      <c r="R183">
        <f t="shared" ca="1" si="52"/>
        <v>0.64401141601694711</v>
      </c>
      <c r="S183">
        <f t="shared" ca="1" si="49"/>
        <v>0.82753961280201105</v>
      </c>
      <c r="T183">
        <f t="shared" ca="1" si="50"/>
        <v>45.281623829385289</v>
      </c>
      <c r="U183">
        <f>70</f>
        <v>70</v>
      </c>
      <c r="V183">
        <f>30</f>
        <v>30</v>
      </c>
      <c r="W183">
        <f t="shared" ca="1" si="48"/>
        <v>188.2563754957435</v>
      </c>
      <c r="X183">
        <f t="shared" ca="1" si="58"/>
        <v>187.56708245687994</v>
      </c>
      <c r="Y183">
        <f t="shared" ca="1" si="57"/>
        <v>0.53561744658074417</v>
      </c>
      <c r="Z183">
        <f t="shared" ca="1" si="59"/>
        <v>1.5233481732120522</v>
      </c>
      <c r="AA183">
        <f t="shared" ca="1" si="60"/>
        <v>-0.98773072663130801</v>
      </c>
      <c r="AB183">
        <f t="shared" ca="1" si="61"/>
        <v>174.15699999999993</v>
      </c>
    </row>
    <row r="184" spans="1:28" x14ac:dyDescent="0.25">
      <c r="A184" s="20">
        <f t="shared" ca="1" si="41"/>
        <v>45964</v>
      </c>
      <c r="B184" vm="543">
        <f ca="1"/>
        <v>45967</v>
      </c>
      <c r="C184" vm="544">
        <f ca="1"/>
        <v>186.97</v>
      </c>
      <c r="D184" vm="545">
        <f ca="1"/>
        <v>6767417</v>
      </c>
      <c r="E184">
        <f t="shared" ca="1" si="42"/>
        <v>1265303956.49</v>
      </c>
      <c r="F184">
        <f ca="1">SUM($E$2:E184)/SUM($D$2:D184)</f>
        <v>166.2384847018229</v>
      </c>
      <c r="G184">
        <f ca="1">_xlfn.STDEV.P($C$2:C184)</f>
        <v>13.028549261920366</v>
      </c>
      <c r="H184">
        <f t="shared" ca="1" si="43"/>
        <v>179.26703396374327</v>
      </c>
      <c r="I184">
        <f t="shared" ca="1" si="44"/>
        <v>153.20993543990252</v>
      </c>
      <c r="J184">
        <f t="shared" ca="1" si="53"/>
        <v>189.91149999999999</v>
      </c>
      <c r="K184">
        <f t="shared" ca="1" si="54"/>
        <v>2.5410902653865133</v>
      </c>
      <c r="L184">
        <f t="shared" ca="1" si="55"/>
        <v>194.99368053077302</v>
      </c>
      <c r="M184">
        <f t="shared" ca="1" si="56"/>
        <v>184.82931946922696</v>
      </c>
      <c r="N184">
        <f t="shared" ca="1" si="45"/>
        <v>0.96999999999999886</v>
      </c>
      <c r="O184">
        <f t="shared" ca="1" si="46"/>
        <v>0.96999999999999886</v>
      </c>
      <c r="P184">
        <f t="shared" ca="1" si="47"/>
        <v>0</v>
      </c>
      <c r="Q184">
        <f t="shared" ca="1" si="51"/>
        <v>0.564163175147115</v>
      </c>
      <c r="R184">
        <f t="shared" ca="1" si="52"/>
        <v>0.59801060058716515</v>
      </c>
      <c r="S184">
        <f t="shared" ca="1" si="49"/>
        <v>0.94339995744754934</v>
      </c>
      <c r="T184">
        <f t="shared" ca="1" si="50"/>
        <v>48.543788108681731</v>
      </c>
      <c r="U184">
        <f>70</f>
        <v>70</v>
      </c>
      <c r="V184">
        <f>30</f>
        <v>30</v>
      </c>
      <c r="W184">
        <f t="shared" ca="1" si="48"/>
        <v>188.05847157332141</v>
      </c>
      <c r="X184">
        <f t="shared" ca="1" si="58"/>
        <v>187.52285412674067</v>
      </c>
      <c r="Y184">
        <f t="shared" ca="1" si="57"/>
        <v>0.37720360708192402</v>
      </c>
      <c r="Z184">
        <f t="shared" ca="1" si="59"/>
        <v>1.2941192599860267</v>
      </c>
      <c r="AA184">
        <f t="shared" ca="1" si="60"/>
        <v>-0.91691565290410271</v>
      </c>
      <c r="AB184">
        <f t="shared" ca="1" si="61"/>
        <v>174.47449999999992</v>
      </c>
    </row>
    <row r="185" spans="1:28" x14ac:dyDescent="0.25">
      <c r="A185" s="20">
        <f t="shared" ca="1" si="41"/>
        <v>45964</v>
      </c>
      <c r="B185" vm="546">
        <f ca="1"/>
        <v>45968</v>
      </c>
      <c r="C185" vm="547">
        <f ca="1"/>
        <v>186.57</v>
      </c>
      <c r="D185" vm="548">
        <f ca="1"/>
        <v>6959209</v>
      </c>
      <c r="E185">
        <f t="shared" ca="1" si="42"/>
        <v>1298379623.1299999</v>
      </c>
      <c r="F185">
        <f ca="1">SUM($E$2:E185)/SUM($D$2:D185)</f>
        <v>166.32579518603904</v>
      </c>
      <c r="G185">
        <f ca="1">_xlfn.STDEV.P($C$2:C185)</f>
        <v>13.074508622872235</v>
      </c>
      <c r="H185">
        <f t="shared" ca="1" si="43"/>
        <v>179.40030380891127</v>
      </c>
      <c r="I185">
        <f t="shared" ca="1" si="44"/>
        <v>153.25128656316681</v>
      </c>
      <c r="J185">
        <f t="shared" ca="1" si="53"/>
        <v>189.70400000000001</v>
      </c>
      <c r="K185">
        <f t="shared" ca="1" si="54"/>
        <v>2.6391434017000366</v>
      </c>
      <c r="L185">
        <f t="shared" ca="1" si="55"/>
        <v>194.98228680340009</v>
      </c>
      <c r="M185">
        <f t="shared" ca="1" si="56"/>
        <v>184.42571319659993</v>
      </c>
      <c r="N185">
        <f t="shared" ca="1" si="45"/>
        <v>-0.40000000000000568</v>
      </c>
      <c r="O185">
        <f t="shared" ca="1" si="46"/>
        <v>0</v>
      </c>
      <c r="P185">
        <f t="shared" ca="1" si="47"/>
        <v>0.40000000000000568</v>
      </c>
      <c r="Q185">
        <f t="shared" ca="1" si="51"/>
        <v>0.52386580549374961</v>
      </c>
      <c r="R185">
        <f t="shared" ca="1" si="52"/>
        <v>0.58386698625951083</v>
      </c>
      <c r="S185">
        <f t="shared" ca="1" si="49"/>
        <v>0.8972348459875199</v>
      </c>
      <c r="T185">
        <f t="shared" ca="1" si="50"/>
        <v>47.291712351008648</v>
      </c>
      <c r="U185">
        <f>70</f>
        <v>70</v>
      </c>
      <c r="V185">
        <f>30</f>
        <v>30</v>
      </c>
      <c r="W185">
        <f t="shared" ca="1" si="48"/>
        <v>187.8294759466566</v>
      </c>
      <c r="X185">
        <f t="shared" ca="1" si="58"/>
        <v>187.45227233957468</v>
      </c>
      <c r="Y185">
        <f t="shared" ca="1" si="57"/>
        <v>0.39557221024284672</v>
      </c>
      <c r="Z185">
        <f t="shared" ca="1" si="59"/>
        <v>1.1144098500373909</v>
      </c>
      <c r="AA185">
        <f t="shared" ca="1" si="60"/>
        <v>-0.71883763979454418</v>
      </c>
      <c r="AB185">
        <f t="shared" ca="1" si="61"/>
        <v>174.81639999999993</v>
      </c>
    </row>
    <row r="186" spans="1:28" x14ac:dyDescent="0.25">
      <c r="A186" s="20">
        <f t="shared" ca="1" si="41"/>
        <v>45971</v>
      </c>
      <c r="B186" vm="549">
        <f ca="1"/>
        <v>45971</v>
      </c>
      <c r="C186" vm="550">
        <f ca="1"/>
        <v>188.41</v>
      </c>
      <c r="D186" vm="551">
        <f ca="1"/>
        <v>5324077</v>
      </c>
      <c r="E186">
        <f t="shared" ca="1" si="42"/>
        <v>1003109347.5699999</v>
      </c>
      <c r="F186">
        <f ca="1">SUM($E$2:E186)/SUM($D$2:D186)</f>
        <v>166.3981118518947</v>
      </c>
      <c r="G186">
        <f ca="1">_xlfn.STDEV.P($C$2:C186)</f>
        <v>13.134487338714061</v>
      </c>
      <c r="H186">
        <f t="shared" ca="1" si="43"/>
        <v>179.53259919060875</v>
      </c>
      <c r="I186">
        <f t="shared" ca="1" si="44"/>
        <v>153.26362451318064</v>
      </c>
      <c r="J186">
        <f t="shared" ca="1" si="53"/>
        <v>189.5795</v>
      </c>
      <c r="K186">
        <f t="shared" ca="1" si="54"/>
        <v>2.6384853609599577</v>
      </c>
      <c r="L186">
        <f t="shared" ca="1" si="55"/>
        <v>194.85647072191992</v>
      </c>
      <c r="M186">
        <f t="shared" ca="1" si="56"/>
        <v>184.30252927808007</v>
      </c>
      <c r="N186">
        <f t="shared" ca="1" si="45"/>
        <v>1.8400000000000034</v>
      </c>
      <c r="O186">
        <f t="shared" ca="1" si="46"/>
        <v>1.8400000000000034</v>
      </c>
      <c r="P186">
        <f t="shared" ca="1" si="47"/>
        <v>0</v>
      </c>
      <c r="Q186">
        <f t="shared" ca="1" si="51"/>
        <v>0.61787539081562493</v>
      </c>
      <c r="R186">
        <f t="shared" ca="1" si="52"/>
        <v>0.54216220152668859</v>
      </c>
      <c r="S186">
        <f t="shared" ca="1" si="49"/>
        <v>1.1396504386984809</v>
      </c>
      <c r="T186">
        <f t="shared" ca="1" si="50"/>
        <v>53.263393780888528</v>
      </c>
      <c r="U186">
        <f>70</f>
        <v>70</v>
      </c>
      <c r="V186">
        <f>30</f>
        <v>30</v>
      </c>
      <c r="W186">
        <f t="shared" ca="1" si="48"/>
        <v>187.91878733947865</v>
      </c>
      <c r="X186">
        <f t="shared" ca="1" si="58"/>
        <v>187.52321512923581</v>
      </c>
      <c r="Y186">
        <f t="shared" ca="1" si="57"/>
        <v>0.83782029294451377</v>
      </c>
      <c r="Z186">
        <f t="shared" ca="1" si="59"/>
        <v>1.0590919386188156</v>
      </c>
      <c r="AA186">
        <f t="shared" ca="1" si="60"/>
        <v>-0.2212716456743018</v>
      </c>
      <c r="AB186">
        <f t="shared" ca="1" si="61"/>
        <v>175.19319999999993</v>
      </c>
    </row>
    <row r="187" spans="1:28" x14ac:dyDescent="0.25">
      <c r="A187" s="20">
        <f t="shared" ca="1" si="41"/>
        <v>45971</v>
      </c>
      <c r="B187" vm="552">
        <f ca="1"/>
        <v>45972</v>
      </c>
      <c r="C187" vm="553">
        <f ca="1"/>
        <v>193.83</v>
      </c>
      <c r="D187" vm="554">
        <f ca="1"/>
        <v>7465592</v>
      </c>
      <c r="E187">
        <f t="shared" ca="1" si="42"/>
        <v>1447055697.3600001</v>
      </c>
      <c r="F187">
        <f ca="1">SUM($E$2:E187)/SUM($D$2:D187)</f>
        <v>166.52349600595372</v>
      </c>
      <c r="G187">
        <f ca="1">_xlfn.STDEV.P($C$2:C187)</f>
        <v>13.245469875806357</v>
      </c>
      <c r="H187">
        <f t="shared" ca="1" si="43"/>
        <v>179.76896588176007</v>
      </c>
      <c r="I187">
        <f t="shared" ca="1" si="44"/>
        <v>153.27802613014737</v>
      </c>
      <c r="J187">
        <f t="shared" ca="1" si="53"/>
        <v>189.7285</v>
      </c>
      <c r="K187">
        <f t="shared" ca="1" si="54"/>
        <v>2.7935928102487817</v>
      </c>
      <c r="L187">
        <f t="shared" ca="1" si="55"/>
        <v>195.31568562049756</v>
      </c>
      <c r="M187">
        <f t="shared" ca="1" si="56"/>
        <v>184.14131437950243</v>
      </c>
      <c r="N187">
        <f t="shared" ca="1" si="45"/>
        <v>5.4200000000000159</v>
      </c>
      <c r="O187">
        <f t="shared" ca="1" si="46"/>
        <v>5.4200000000000159</v>
      </c>
      <c r="P187">
        <f t="shared" ca="1" si="47"/>
        <v>0</v>
      </c>
      <c r="Q187">
        <f t="shared" ca="1" si="51"/>
        <v>0.96088429147165288</v>
      </c>
      <c r="R187">
        <f t="shared" ca="1" si="52"/>
        <v>0.50343632998906795</v>
      </c>
      <c r="S187">
        <f t="shared" ca="1" si="49"/>
        <v>1.9086510731009785</v>
      </c>
      <c r="T187">
        <f t="shared" ca="1" si="50"/>
        <v>65.619801933345087</v>
      </c>
      <c r="U187">
        <f>70</f>
        <v>70</v>
      </c>
      <c r="V187">
        <f>30</f>
        <v>30</v>
      </c>
      <c r="W187">
        <f t="shared" ca="1" si="48"/>
        <v>188.82820467186656</v>
      </c>
      <c r="X187">
        <f t="shared" ca="1" si="58"/>
        <v>187.99038437892204</v>
      </c>
      <c r="Y187">
        <f t="shared" ca="1" si="57"/>
        <v>1.2194355110960089</v>
      </c>
      <c r="Z187">
        <f t="shared" ca="1" si="59"/>
        <v>1.0911606531142544</v>
      </c>
      <c r="AA187">
        <f t="shared" ca="1" si="60"/>
        <v>0.12827485798175453</v>
      </c>
      <c r="AB187">
        <f t="shared" ca="1" si="61"/>
        <v>175.63359999999997</v>
      </c>
    </row>
    <row r="188" spans="1:28" x14ac:dyDescent="0.25">
      <c r="A188" s="20">
        <f t="shared" ca="1" si="41"/>
        <v>45971</v>
      </c>
      <c r="B188" vm="555">
        <f ca="1"/>
        <v>45973</v>
      </c>
      <c r="C188" vm="556">
        <f ca="1"/>
        <v>194.39</v>
      </c>
      <c r="D188" vm="557">
        <f ca="1"/>
        <v>8803005</v>
      </c>
      <c r="E188">
        <f t="shared" ca="1" si="42"/>
        <v>1711216141.9499998</v>
      </c>
      <c r="F188">
        <f ca="1">SUM($E$2:E188)/SUM($D$2:D188)</f>
        <v>166.67287920794712</v>
      </c>
      <c r="G188">
        <f ca="1">_xlfn.STDEV.P($C$2:C188)</f>
        <v>13.358840748048337</v>
      </c>
      <c r="H188">
        <f t="shared" ca="1" si="43"/>
        <v>180.03171995599547</v>
      </c>
      <c r="I188">
        <f t="shared" ca="1" si="44"/>
        <v>153.31403845989877</v>
      </c>
      <c r="J188">
        <f t="shared" ca="1" si="53"/>
        <v>189.8895</v>
      </c>
      <c r="K188">
        <f t="shared" ca="1" si="54"/>
        <v>2.9683620771483774</v>
      </c>
      <c r="L188">
        <f t="shared" ca="1" si="55"/>
        <v>195.82622415429677</v>
      </c>
      <c r="M188">
        <f t="shared" ca="1" si="56"/>
        <v>183.95277584570323</v>
      </c>
      <c r="N188">
        <f t="shared" ca="1" si="45"/>
        <v>0.55999999999997385</v>
      </c>
      <c r="O188">
        <f t="shared" ca="1" si="46"/>
        <v>0.55999999999997385</v>
      </c>
      <c r="P188">
        <f t="shared" ca="1" si="47"/>
        <v>0</v>
      </c>
      <c r="Q188">
        <f t="shared" ca="1" si="51"/>
        <v>0.93224969922367584</v>
      </c>
      <c r="R188">
        <f t="shared" ca="1" si="52"/>
        <v>0.46747659213270598</v>
      </c>
      <c r="S188">
        <f t="shared" ca="1" si="49"/>
        <v>1.9942168547319079</v>
      </c>
      <c r="T188">
        <f t="shared" ca="1" si="50"/>
        <v>66.602285388259347</v>
      </c>
      <c r="U188">
        <f>70</f>
        <v>70</v>
      </c>
      <c r="V188">
        <f>30</f>
        <v>30</v>
      </c>
      <c r="W188">
        <f t="shared" ca="1" si="48"/>
        <v>189.68386549157938</v>
      </c>
      <c r="X188">
        <f t="shared" ca="1" si="58"/>
        <v>188.46442998048337</v>
      </c>
      <c r="Y188">
        <f t="shared" ca="1" si="57"/>
        <v>1.5731290807463836</v>
      </c>
      <c r="Z188">
        <f t="shared" ca="1" si="59"/>
        <v>1.1875543386406804</v>
      </c>
      <c r="AA188">
        <f t="shared" ca="1" si="60"/>
        <v>0.38557474210570319</v>
      </c>
      <c r="AB188">
        <f t="shared" ca="1" si="61"/>
        <v>176.06429999999997</v>
      </c>
    </row>
    <row r="189" spans="1:28" x14ac:dyDescent="0.25">
      <c r="A189" s="20">
        <f t="shared" ca="1" si="41"/>
        <v>45971</v>
      </c>
      <c r="B189" vm="558">
        <f ca="1"/>
        <v>45974</v>
      </c>
      <c r="C189" vm="559">
        <f ca="1"/>
        <v>195.25</v>
      </c>
      <c r="D189" vm="560">
        <f ca="1"/>
        <v>8631614</v>
      </c>
      <c r="E189">
        <f t="shared" ca="1" si="42"/>
        <v>1685322633.5</v>
      </c>
      <c r="F189">
        <f ca="1">SUM($E$2:E189)/SUM($D$2:D189)</f>
        <v>166.82230377456338</v>
      </c>
      <c r="G189">
        <f ca="1">_xlfn.STDEV.P($C$2:C189)</f>
        <v>13.477817494935033</v>
      </c>
      <c r="H189">
        <f t="shared" ca="1" si="43"/>
        <v>180.30012126949842</v>
      </c>
      <c r="I189">
        <f t="shared" ca="1" si="44"/>
        <v>153.34448627962834</v>
      </c>
      <c r="J189">
        <f t="shared" ca="1" si="53"/>
        <v>190.04599999999999</v>
      </c>
      <c r="K189">
        <f t="shared" ca="1" si="54"/>
        <v>3.1679503584627411</v>
      </c>
      <c r="L189">
        <f t="shared" ca="1" si="55"/>
        <v>196.38190071692549</v>
      </c>
      <c r="M189">
        <f t="shared" ca="1" si="56"/>
        <v>183.7100992830745</v>
      </c>
      <c r="N189">
        <f t="shared" ca="1" si="45"/>
        <v>0.86000000000001364</v>
      </c>
      <c r="O189">
        <f t="shared" ca="1" si="46"/>
        <v>0.86000000000001364</v>
      </c>
      <c r="P189">
        <f t="shared" ca="1" si="47"/>
        <v>0</v>
      </c>
      <c r="Q189">
        <f t="shared" ca="1" si="51"/>
        <v>0.92708900642198577</v>
      </c>
      <c r="R189">
        <f t="shared" ca="1" si="52"/>
        <v>0.43408540698036985</v>
      </c>
      <c r="S189">
        <f t="shared" ca="1" si="49"/>
        <v>2.1357294935830691</v>
      </c>
      <c r="T189">
        <f t="shared" ca="1" si="50"/>
        <v>68.109494073184834</v>
      </c>
      <c r="U189">
        <f>70</f>
        <v>70</v>
      </c>
      <c r="V189">
        <f>30</f>
        <v>30</v>
      </c>
      <c r="W189">
        <f t="shared" ca="1" si="48"/>
        <v>190.54019387749025</v>
      </c>
      <c r="X189">
        <f t="shared" ca="1" si="58"/>
        <v>188.96706479674387</v>
      </c>
      <c r="Y189">
        <f t="shared" ca="1" si="57"/>
        <v>1.8865570446520223</v>
      </c>
      <c r="Z189">
        <f t="shared" ca="1" si="59"/>
        <v>1.3273548798429489</v>
      </c>
      <c r="AA189">
        <f t="shared" ca="1" si="60"/>
        <v>0.55920216480907348</v>
      </c>
      <c r="AB189">
        <f t="shared" ca="1" si="61"/>
        <v>176.49489999999994</v>
      </c>
    </row>
    <row r="190" spans="1:28" x14ac:dyDescent="0.25">
      <c r="A190" s="20">
        <f t="shared" ca="1" si="41"/>
        <v>45971</v>
      </c>
      <c r="B190" vm="561">
        <f ca="1"/>
        <v>45975</v>
      </c>
      <c r="C190" vm="562">
        <f ca="1"/>
        <v>195.93</v>
      </c>
      <c r="D190" vm="563">
        <f ca="1"/>
        <v>8824847</v>
      </c>
      <c r="E190">
        <f t="shared" ca="1" si="42"/>
        <v>1729052272.71</v>
      </c>
      <c r="F190">
        <f ca="1">SUM($E$2:E190)/SUM($D$2:D190)</f>
        <v>166.9770824202414</v>
      </c>
      <c r="G190">
        <f ca="1">_xlfn.STDEV.P($C$2:C190)</f>
        <v>13.60032193751754</v>
      </c>
      <c r="H190">
        <f t="shared" ca="1" si="43"/>
        <v>180.57740435775895</v>
      </c>
      <c r="I190">
        <f t="shared" ca="1" si="44"/>
        <v>153.37676048272385</v>
      </c>
      <c r="J190">
        <f t="shared" ca="1" si="53"/>
        <v>190.18149999999997</v>
      </c>
      <c r="K190">
        <f t="shared" ca="1" si="54"/>
        <v>3.3628172321495717</v>
      </c>
      <c r="L190">
        <f t="shared" ca="1" si="55"/>
        <v>196.90713446429911</v>
      </c>
      <c r="M190">
        <f t="shared" ca="1" si="56"/>
        <v>183.45586553570084</v>
      </c>
      <c r="N190">
        <f t="shared" ca="1" si="45"/>
        <v>0.68000000000000682</v>
      </c>
      <c r="O190">
        <f t="shared" ca="1" si="46"/>
        <v>0.68000000000000682</v>
      </c>
      <c r="P190">
        <f t="shared" ca="1" si="47"/>
        <v>0</v>
      </c>
      <c r="Q190">
        <f t="shared" ca="1" si="51"/>
        <v>0.90943979167755873</v>
      </c>
      <c r="R190">
        <f t="shared" ca="1" si="52"/>
        <v>0.40307930648177198</v>
      </c>
      <c r="S190">
        <f t="shared" ca="1" si="49"/>
        <v>2.2562304168266336</v>
      </c>
      <c r="T190">
        <f t="shared" ca="1" si="50"/>
        <v>69.289642562378859</v>
      </c>
      <c r="U190">
        <f>70</f>
        <v>70</v>
      </c>
      <c r="V190">
        <f>30</f>
        <v>30</v>
      </c>
      <c r="W190">
        <f t="shared" ca="1" si="48"/>
        <v>191.36939481941485</v>
      </c>
      <c r="X190">
        <f t="shared" ca="1" si="58"/>
        <v>189.48283777476283</v>
      </c>
      <c r="Y190">
        <f t="shared" ca="1" si="57"/>
        <v>2.4017891298241807</v>
      </c>
      <c r="Z190">
        <f t="shared" ca="1" si="59"/>
        <v>1.5422417298391953</v>
      </c>
      <c r="AA190">
        <f t="shared" ca="1" si="60"/>
        <v>0.85954739998498542</v>
      </c>
      <c r="AB190">
        <f t="shared" ca="1" si="61"/>
        <v>176.93139999999997</v>
      </c>
    </row>
    <row r="191" spans="1:28" x14ac:dyDescent="0.25">
      <c r="A191" s="20">
        <f t="shared" ca="1" si="41"/>
        <v>45978</v>
      </c>
      <c r="B191" vm="564">
        <f ca="1"/>
        <v>45978</v>
      </c>
      <c r="C191" vm="565">
        <f ca="1"/>
        <v>199.58</v>
      </c>
      <c r="D191" vm="566">
        <f ca="1"/>
        <v>13256995</v>
      </c>
      <c r="E191">
        <f t="shared" ca="1" si="42"/>
        <v>2645831062.1000004</v>
      </c>
      <c r="F191">
        <f ca="1">SUM($E$2:E191)/SUM($D$2:D191)</f>
        <v>167.23545248626513</v>
      </c>
      <c r="G191">
        <f ca="1">_xlfn.STDEV.P($C$2:C191)</f>
        <v>13.760809981877543</v>
      </c>
      <c r="H191">
        <f t="shared" ca="1" si="43"/>
        <v>180.99626246814267</v>
      </c>
      <c r="I191">
        <f t="shared" ca="1" si="44"/>
        <v>153.47464250438759</v>
      </c>
      <c r="J191">
        <f t="shared" ca="1" si="53"/>
        <v>190.47449999999998</v>
      </c>
      <c r="K191">
        <f t="shared" ca="1" si="54"/>
        <v>3.8997712146119294</v>
      </c>
      <c r="L191">
        <f t="shared" ca="1" si="55"/>
        <v>198.27404242922384</v>
      </c>
      <c r="M191">
        <f t="shared" ca="1" si="56"/>
        <v>182.67495757077612</v>
      </c>
      <c r="N191">
        <f t="shared" ca="1" si="45"/>
        <v>3.6500000000000057</v>
      </c>
      <c r="O191">
        <f t="shared" ca="1" si="46"/>
        <v>3.6500000000000057</v>
      </c>
      <c r="P191">
        <f t="shared" ca="1" si="47"/>
        <v>0</v>
      </c>
      <c r="Q191">
        <f t="shared" ca="1" si="51"/>
        <v>1.1051940922720191</v>
      </c>
      <c r="R191">
        <f t="shared" ca="1" si="52"/>
        <v>0.37428792744735967</v>
      </c>
      <c r="S191">
        <f t="shared" ca="1" si="49"/>
        <v>2.9527911835399903</v>
      </c>
      <c r="T191">
        <f t="shared" ca="1" si="50"/>
        <v>74.701421006903971</v>
      </c>
      <c r="U191">
        <f>70</f>
        <v>70</v>
      </c>
      <c r="V191">
        <f>30</f>
        <v>30</v>
      </c>
      <c r="W191">
        <f t="shared" ca="1" si="48"/>
        <v>192.63256484719719</v>
      </c>
      <c r="X191">
        <f t="shared" ca="1" si="58"/>
        <v>190.23077571737301</v>
      </c>
      <c r="Y191">
        <f t="shared" ca="1" si="57"/>
        <v>2.8115944486362991</v>
      </c>
      <c r="Z191">
        <f t="shared" ca="1" si="59"/>
        <v>1.7961122735986161</v>
      </c>
      <c r="AA191">
        <f t="shared" ca="1" si="60"/>
        <v>1.015482175037683</v>
      </c>
      <c r="AB191">
        <f t="shared" ca="1" si="61"/>
        <v>177.40709999999996</v>
      </c>
    </row>
    <row r="192" spans="1:28" x14ac:dyDescent="0.25">
      <c r="A192" s="20">
        <f t="shared" ca="1" si="41"/>
        <v>45978</v>
      </c>
      <c r="B192" vm="567">
        <f ca="1"/>
        <v>45979</v>
      </c>
      <c r="C192" vm="568">
        <f ca="1"/>
        <v>200</v>
      </c>
      <c r="D192" vm="569">
        <f ca="1"/>
        <v>12468619</v>
      </c>
      <c r="E192">
        <f t="shared" ca="1" si="42"/>
        <v>2493723800</v>
      </c>
      <c r="F192">
        <f ca="1">SUM($E$2:E192)/SUM($D$2:D192)</f>
        <v>167.47785558435561</v>
      </c>
      <c r="G192">
        <f ca="1">_xlfn.STDEV.P($C$2:C192)</f>
        <v>13.92082573975444</v>
      </c>
      <c r="H192">
        <f t="shared" ca="1" si="43"/>
        <v>181.39868132411004</v>
      </c>
      <c r="I192">
        <f t="shared" ca="1" si="44"/>
        <v>153.55702984460117</v>
      </c>
      <c r="J192">
        <f t="shared" ca="1" si="53"/>
        <v>190.88049999999996</v>
      </c>
      <c r="K192">
        <f t="shared" ca="1" si="54"/>
        <v>4.439174265321733</v>
      </c>
      <c r="L192">
        <f t="shared" ca="1" si="55"/>
        <v>199.75884853064343</v>
      </c>
      <c r="M192">
        <f t="shared" ca="1" si="56"/>
        <v>182.00215146935648</v>
      </c>
      <c r="N192">
        <f t="shared" ca="1" si="45"/>
        <v>0.41999999999998749</v>
      </c>
      <c r="O192">
        <f t="shared" ca="1" si="46"/>
        <v>0.41999999999998749</v>
      </c>
      <c r="P192">
        <f t="shared" ca="1" si="47"/>
        <v>0</v>
      </c>
      <c r="Q192">
        <f t="shared" ca="1" si="51"/>
        <v>1.0562516571097311</v>
      </c>
      <c r="R192">
        <f t="shared" ca="1" si="52"/>
        <v>0.34755307548683401</v>
      </c>
      <c r="S192">
        <f t="shared" ca="1" si="49"/>
        <v>3.0391089350315474</v>
      </c>
      <c r="T192">
        <f t="shared" ca="1" si="50"/>
        <v>75.242064126398972</v>
      </c>
      <c r="U192">
        <f>70</f>
        <v>70</v>
      </c>
      <c r="V192">
        <f>30</f>
        <v>30</v>
      </c>
      <c r="W192">
        <f t="shared" ca="1" si="48"/>
        <v>193.76601640916687</v>
      </c>
      <c r="X192">
        <f t="shared" ca="1" si="58"/>
        <v>190.95442196053057</v>
      </c>
      <c r="Y192">
        <f t="shared" ca="1" si="57"/>
        <v>3.3008539497154459</v>
      </c>
      <c r="Z192">
        <f t="shared" ca="1" si="59"/>
        <v>2.0970606088219821</v>
      </c>
      <c r="AA192">
        <f t="shared" ca="1" si="60"/>
        <v>1.2037933408934638</v>
      </c>
      <c r="AB192">
        <f t="shared" ca="1" si="61"/>
        <v>177.88299999999998</v>
      </c>
    </row>
    <row r="193" spans="1:28" x14ac:dyDescent="0.25">
      <c r="A193" s="20">
        <f t="shared" ca="1" si="41"/>
        <v>45978</v>
      </c>
      <c r="B193" vm="570">
        <f ca="1"/>
        <v>45980</v>
      </c>
      <c r="C193" vm="571">
        <f ca="1"/>
        <v>202.51</v>
      </c>
      <c r="D193" vm="572">
        <f ca="1"/>
        <v>14690837</v>
      </c>
      <c r="E193">
        <f t="shared" ca="1" si="42"/>
        <v>2975041400.8699999</v>
      </c>
      <c r="F193">
        <f ca="1">SUM($E$2:E193)/SUM($D$2:D193)</f>
        <v>167.78058847068939</v>
      </c>
      <c r="G193">
        <f ca="1">_xlfn.STDEV.P($C$2:C193)</f>
        <v>14.106167018625463</v>
      </c>
      <c r="H193">
        <f t="shared" ca="1" si="43"/>
        <v>181.88675548931485</v>
      </c>
      <c r="I193">
        <f t="shared" ca="1" si="44"/>
        <v>153.67442145206394</v>
      </c>
      <c r="J193">
        <f t="shared" ca="1" si="53"/>
        <v>191.35899999999998</v>
      </c>
      <c r="K193">
        <f t="shared" ca="1" si="54"/>
        <v>5.1342174107698861</v>
      </c>
      <c r="L193">
        <f t="shared" ca="1" si="55"/>
        <v>201.62743482153977</v>
      </c>
      <c r="M193">
        <f t="shared" ca="1" si="56"/>
        <v>181.0905651784602</v>
      </c>
      <c r="N193">
        <f t="shared" ca="1" si="45"/>
        <v>2.5099999999999909</v>
      </c>
      <c r="O193">
        <f t="shared" ca="1" si="46"/>
        <v>2.5099999999999909</v>
      </c>
      <c r="P193">
        <f t="shared" ca="1" si="47"/>
        <v>0</v>
      </c>
      <c r="Q193">
        <f t="shared" ca="1" si="51"/>
        <v>1.1600908244590353</v>
      </c>
      <c r="R193">
        <f t="shared" ca="1" si="52"/>
        <v>0.32272785580920299</v>
      </c>
      <c r="S193">
        <f t="shared" ca="1" si="49"/>
        <v>3.59464113052851</v>
      </c>
      <c r="T193">
        <f t="shared" ca="1" si="50"/>
        <v>78.235514557260473</v>
      </c>
      <c r="U193">
        <f>70</f>
        <v>70</v>
      </c>
      <c r="V193">
        <f>30</f>
        <v>30</v>
      </c>
      <c r="W193">
        <f t="shared" ca="1" si="48"/>
        <v>195.1112446539104</v>
      </c>
      <c r="X193">
        <f t="shared" ca="1" si="58"/>
        <v>191.81039070419496</v>
      </c>
      <c r="Y193">
        <f t="shared" ca="1" si="57"/>
        <v>3.6912327160912639</v>
      </c>
      <c r="Z193">
        <f t="shared" ca="1" si="59"/>
        <v>2.4158950302758386</v>
      </c>
      <c r="AA193">
        <f t="shared" ca="1" si="60"/>
        <v>1.2753376858154253</v>
      </c>
      <c r="AB193">
        <f t="shared" ca="1" si="61"/>
        <v>178.38059999999999</v>
      </c>
    </row>
    <row r="194" spans="1:28" x14ac:dyDescent="0.25">
      <c r="A194" s="20">
        <f t="shared" ca="1" si="41"/>
        <v>45978</v>
      </c>
      <c r="B194" vm="573">
        <f ca="1"/>
        <v>45981</v>
      </c>
      <c r="C194" vm="574">
        <f ca="1"/>
        <v>203.07</v>
      </c>
      <c r="D194" vm="575">
        <f ca="1"/>
        <v>10612550</v>
      </c>
      <c r="E194">
        <f t="shared" ca="1" si="42"/>
        <v>2155090528.5</v>
      </c>
      <c r="F194">
        <f ca="1">SUM($E$2:E194)/SUM($D$2:D194)</f>
        <v>167.99951974328732</v>
      </c>
      <c r="G194">
        <f ca="1">_xlfn.STDEV.P($C$2:C194)</f>
        <v>14.291992963878073</v>
      </c>
      <c r="H194">
        <f t="shared" ca="1" si="43"/>
        <v>182.2915127071654</v>
      </c>
      <c r="I194">
        <f t="shared" ca="1" si="44"/>
        <v>153.70752677940925</v>
      </c>
      <c r="J194">
        <f t="shared" ca="1" si="53"/>
        <v>191.88899999999995</v>
      </c>
      <c r="K194">
        <f t="shared" ca="1" si="54"/>
        <v>5.7634911751746252</v>
      </c>
      <c r="L194">
        <f t="shared" ca="1" si="55"/>
        <v>203.4159823503492</v>
      </c>
      <c r="M194">
        <f t="shared" ca="1" si="56"/>
        <v>180.36201764965071</v>
      </c>
      <c r="N194">
        <f t="shared" ca="1" si="45"/>
        <v>0.56000000000000227</v>
      </c>
      <c r="O194">
        <f t="shared" ca="1" si="46"/>
        <v>0.56000000000000227</v>
      </c>
      <c r="P194">
        <f t="shared" ca="1" si="47"/>
        <v>0</v>
      </c>
      <c r="Q194">
        <f t="shared" ca="1" si="51"/>
        <v>1.117227194140533</v>
      </c>
      <c r="R194">
        <f t="shared" ca="1" si="52"/>
        <v>0.29967586610854563</v>
      </c>
      <c r="S194">
        <f t="shared" ca="1" si="49"/>
        <v>3.7281186791860708</v>
      </c>
      <c r="T194">
        <f t="shared" ca="1" si="50"/>
        <v>78.849938678524325</v>
      </c>
      <c r="U194">
        <f>70</f>
        <v>70</v>
      </c>
      <c r="V194">
        <f>30</f>
        <v>30</v>
      </c>
      <c r="W194">
        <f t="shared" ca="1" si="48"/>
        <v>196.33566855330881</v>
      </c>
      <c r="X194">
        <f t="shared" ca="1" si="58"/>
        <v>192.64443583721754</v>
      </c>
      <c r="Y194">
        <f t="shared" ca="1" si="57"/>
        <v>4.0212305220427709</v>
      </c>
      <c r="Z194">
        <f t="shared" ca="1" si="59"/>
        <v>2.7369621286292252</v>
      </c>
      <c r="AA194">
        <f t="shared" ca="1" si="60"/>
        <v>1.2842683934135457</v>
      </c>
      <c r="AB194">
        <f t="shared" ca="1" si="61"/>
        <v>178.85209999999995</v>
      </c>
    </row>
    <row r="195" spans="1:28" x14ac:dyDescent="0.25">
      <c r="A195" s="20">
        <f t="shared" ref="A195:A251" ca="1" si="62">B195 - WEEKDAY(B195, 2) + 1</f>
        <v>45978</v>
      </c>
      <c r="B195" vm="576">
        <f ca="1"/>
        <v>45982</v>
      </c>
      <c r="C195" vm="577">
        <f ca="1"/>
        <v>203.9</v>
      </c>
      <c r="D195" vm="578">
        <f ca="1"/>
        <v>13189055</v>
      </c>
      <c r="E195">
        <f t="shared" ref="E195:E251" ca="1" si="63">C195*D195</f>
        <v>2689248314.5</v>
      </c>
      <c r="F195">
        <f ca="1">SUM($E$2:E195)/SUM($D$2:D195)</f>
        <v>168.27419654552494</v>
      </c>
      <c r="G195">
        <f ca="1">_xlfn.STDEV.P($C$2:C195)</f>
        <v>14.481673355436424</v>
      </c>
      <c r="H195">
        <f t="shared" ref="H195:H251" ca="1" si="64">F195 + G195</f>
        <v>182.75586990096136</v>
      </c>
      <c r="I195">
        <f t="shared" ref="I195:I251" ca="1" si="65">F195 - G195</f>
        <v>153.79252319008853</v>
      </c>
      <c r="J195">
        <f t="shared" ca="1" si="53"/>
        <v>192.56399999999999</v>
      </c>
      <c r="K195">
        <f t="shared" ca="1" si="54"/>
        <v>6.3414811485878229</v>
      </c>
      <c r="L195">
        <f t="shared" ca="1" si="55"/>
        <v>205.24696229717563</v>
      </c>
      <c r="M195">
        <f t="shared" ca="1" si="56"/>
        <v>179.88103770282436</v>
      </c>
      <c r="N195">
        <f t="shared" ca="1" si="45"/>
        <v>0.83000000000001251</v>
      </c>
      <c r="O195">
        <f t="shared" ca="1" si="46"/>
        <v>0.83000000000001251</v>
      </c>
      <c r="P195">
        <f t="shared" ca="1" si="47"/>
        <v>0</v>
      </c>
      <c r="Q195">
        <f t="shared" ca="1" si="51"/>
        <v>1.0967109659876386</v>
      </c>
      <c r="R195">
        <f t="shared" ca="1" si="52"/>
        <v>0.27827044710079235</v>
      </c>
      <c r="S195">
        <f t="shared" ca="1" si="49"/>
        <v>3.9411693818510267</v>
      </c>
      <c r="T195">
        <f t="shared" ca="1" si="50"/>
        <v>79.761875727777891</v>
      </c>
      <c r="U195">
        <f>70</f>
        <v>70</v>
      </c>
      <c r="V195">
        <f>30</f>
        <v>30</v>
      </c>
      <c r="W195">
        <f t="shared" ca="1" si="48"/>
        <v>197.49941185279977</v>
      </c>
      <c r="X195">
        <f t="shared" ca="1" si="58"/>
        <v>193.478181330757</v>
      </c>
      <c r="Y195">
        <f t="shared" ca="1" si="57"/>
        <v>4.405459794260679</v>
      </c>
      <c r="Z195">
        <f t="shared" ca="1" si="59"/>
        <v>3.070661661755516</v>
      </c>
      <c r="AA195">
        <f t="shared" ca="1" si="60"/>
        <v>1.334798132505163</v>
      </c>
      <c r="AB195">
        <f t="shared" ca="1" si="61"/>
        <v>179.33549999999997</v>
      </c>
    </row>
    <row r="196" spans="1:28" x14ac:dyDescent="0.25">
      <c r="A196" s="20">
        <f t="shared" ca="1" si="62"/>
        <v>45985</v>
      </c>
      <c r="B196" vm="579">
        <f ca="1"/>
        <v>45985</v>
      </c>
      <c r="C196" vm="580">
        <f ca="1"/>
        <v>206.05</v>
      </c>
      <c r="D196" vm="581">
        <f ca="1"/>
        <v>14803873</v>
      </c>
      <c r="E196">
        <f t="shared" ca="1" si="63"/>
        <v>3050338031.6500001</v>
      </c>
      <c r="F196">
        <f ca="1">SUM($E$2:E196)/SUM($D$2:D196)</f>
        <v>168.59584641740173</v>
      </c>
      <c r="G196">
        <f ca="1">_xlfn.STDEV.P($C$2:C196)</f>
        <v>14.692021708050344</v>
      </c>
      <c r="H196">
        <f t="shared" ca="1" si="64"/>
        <v>183.28786812545206</v>
      </c>
      <c r="I196">
        <f t="shared" ca="1" si="65"/>
        <v>153.9038247093514</v>
      </c>
      <c r="J196">
        <f t="shared" ca="1" si="53"/>
        <v>193.35149999999999</v>
      </c>
      <c r="K196">
        <f t="shared" ca="1" si="54"/>
        <v>6.9902814302204046</v>
      </c>
      <c r="L196">
        <f t="shared" ca="1" si="55"/>
        <v>207.3320628604408</v>
      </c>
      <c r="M196">
        <f t="shared" ca="1" si="56"/>
        <v>179.37093713955917</v>
      </c>
      <c r="N196">
        <f t="shared" ref="N196:N251" ca="1" si="66">C196-C195</f>
        <v>2.1500000000000057</v>
      </c>
      <c r="O196">
        <f t="shared" ref="O196:O251" ca="1" si="67">MAX(N196,0)</f>
        <v>2.1500000000000057</v>
      </c>
      <c r="P196">
        <f t="shared" ref="P196:P251" ca="1" si="68">MAX(-N196,0)</f>
        <v>0</v>
      </c>
      <c r="Q196">
        <f t="shared" ca="1" si="51"/>
        <v>1.1719458969885219</v>
      </c>
      <c r="R196">
        <f t="shared" ca="1" si="52"/>
        <v>0.25839398659359286</v>
      </c>
      <c r="S196">
        <f t="shared" ca="1" si="49"/>
        <v>4.5354998869682728</v>
      </c>
      <c r="T196">
        <f t="shared" ca="1" si="50"/>
        <v>81.934784203424698</v>
      </c>
      <c r="U196">
        <f>70</f>
        <v>70</v>
      </c>
      <c r="V196">
        <f>30</f>
        <v>30</v>
      </c>
      <c r="W196">
        <f t="shared" ca="1" si="48"/>
        <v>198.81488695236902</v>
      </c>
      <c r="X196">
        <f t="shared" ca="1" si="58"/>
        <v>194.40942715810834</v>
      </c>
      <c r="Y196">
        <f t="shared" ca="1" si="57"/>
        <v>4.7057481437845752</v>
      </c>
      <c r="Z196">
        <f t="shared" ca="1" si="59"/>
        <v>3.397678958161328</v>
      </c>
      <c r="AA196">
        <f t="shared" ca="1" si="60"/>
        <v>1.3080691856232471</v>
      </c>
      <c r="AB196">
        <f t="shared" ca="1" si="61"/>
        <v>179.83589999999995</v>
      </c>
    </row>
    <row r="197" spans="1:28" x14ac:dyDescent="0.25">
      <c r="A197" s="20">
        <f t="shared" ca="1" si="62"/>
        <v>45985</v>
      </c>
      <c r="B197" vm="582">
        <f ca="1"/>
        <v>45986</v>
      </c>
      <c r="C197" vm="583">
        <f ca="1"/>
        <v>206.67</v>
      </c>
      <c r="D197" vm="584">
        <f ca="1"/>
        <v>10275724</v>
      </c>
      <c r="E197">
        <f t="shared" ca="1" si="63"/>
        <v>2123683879.0799999</v>
      </c>
      <c r="F197">
        <f ca="1">SUM($E$2:E197)/SUM($D$2:D197)</f>
        <v>168.81955248896466</v>
      </c>
      <c r="G197">
        <f ca="1">_xlfn.STDEV.P($C$2:C197)</f>
        <v>14.902808238670456</v>
      </c>
      <c r="H197">
        <f t="shared" ca="1" si="64"/>
        <v>183.72236072763511</v>
      </c>
      <c r="I197">
        <f t="shared" ca="1" si="65"/>
        <v>153.91674425029422</v>
      </c>
      <c r="J197">
        <f t="shared" ca="1" si="53"/>
        <v>194.33850000000001</v>
      </c>
      <c r="K197">
        <f t="shared" ca="1" si="54"/>
        <v>7.4164825504448286</v>
      </c>
      <c r="L197">
        <f t="shared" ca="1" si="55"/>
        <v>209.17146510088966</v>
      </c>
      <c r="M197">
        <f t="shared" ca="1" si="56"/>
        <v>179.50553489911036</v>
      </c>
      <c r="N197">
        <f t="shared" ca="1" si="66"/>
        <v>0.61999999999997613</v>
      </c>
      <c r="O197">
        <f t="shared" ca="1" si="67"/>
        <v>0.61999999999997613</v>
      </c>
      <c r="P197">
        <f t="shared" ca="1" si="68"/>
        <v>0</v>
      </c>
      <c r="Q197">
        <f t="shared" ca="1" si="51"/>
        <v>1.1325211900607688</v>
      </c>
      <c r="R197">
        <f t="shared" ca="1" si="52"/>
        <v>0.23993727326547906</v>
      </c>
      <c r="S197">
        <f t="shared" ca="1" si="49"/>
        <v>4.7200719365002053</v>
      </c>
      <c r="T197">
        <f t="shared" ca="1" si="50"/>
        <v>82.517702380298303</v>
      </c>
      <c r="U197">
        <f>70</f>
        <v>70</v>
      </c>
      <c r="V197">
        <f>30</f>
        <v>30</v>
      </c>
      <c r="W197">
        <f t="shared" ca="1" si="48"/>
        <v>200.02336588277379</v>
      </c>
      <c r="X197">
        <f t="shared" ca="1" si="58"/>
        <v>195.31761773898921</v>
      </c>
      <c r="Y197">
        <f t="shared" ca="1" si="57"/>
        <v>4.9583871852202606</v>
      </c>
      <c r="Z197">
        <f t="shared" ca="1" si="59"/>
        <v>3.7098206035731147</v>
      </c>
      <c r="AA197">
        <f t="shared" ca="1" si="60"/>
        <v>1.2485665816471458</v>
      </c>
      <c r="AB197">
        <f t="shared" ca="1" si="61"/>
        <v>180.34989999999993</v>
      </c>
    </row>
    <row r="198" spans="1:28" x14ac:dyDescent="0.25">
      <c r="A198" s="20">
        <f t="shared" ca="1" si="62"/>
        <v>45985</v>
      </c>
      <c r="B198" vm="585">
        <f ca="1"/>
        <v>45987</v>
      </c>
      <c r="C198" vm="586">
        <f ca="1"/>
        <v>207.56</v>
      </c>
      <c r="D198" vm="587">
        <f ca="1"/>
        <v>6728994</v>
      </c>
      <c r="E198">
        <f t="shared" ca="1" si="63"/>
        <v>1396669994.6400001</v>
      </c>
      <c r="F198">
        <f ca="1">SUM($E$2:E198)/SUM($D$2:D198)</f>
        <v>168.96803732040044</v>
      </c>
      <c r="G198">
        <f ca="1">_xlfn.STDEV.P($C$2:C198)</f>
        <v>15.117490173805074</v>
      </c>
      <c r="H198">
        <f t="shared" ca="1" si="64"/>
        <v>184.08552749420551</v>
      </c>
      <c r="I198">
        <f t="shared" ca="1" si="65"/>
        <v>153.85054714659537</v>
      </c>
      <c r="J198">
        <f t="shared" ca="1" si="53"/>
        <v>195.38650000000001</v>
      </c>
      <c r="K198">
        <f t="shared" ca="1" si="54"/>
        <v>7.7392970407014703</v>
      </c>
      <c r="L198">
        <f t="shared" ca="1" si="55"/>
        <v>210.86509408140296</v>
      </c>
      <c r="M198">
        <f t="shared" ca="1" si="56"/>
        <v>179.90790591859707</v>
      </c>
      <c r="N198">
        <f t="shared" ca="1" si="66"/>
        <v>0.89000000000001478</v>
      </c>
      <c r="O198">
        <f t="shared" ca="1" si="67"/>
        <v>0.89000000000001478</v>
      </c>
      <c r="P198">
        <f t="shared" ca="1" si="68"/>
        <v>0</v>
      </c>
      <c r="Q198">
        <f t="shared" ca="1" si="51"/>
        <v>1.115198247913572</v>
      </c>
      <c r="R198">
        <f t="shared" ca="1" si="52"/>
        <v>0.22279889660365912</v>
      </c>
      <c r="S198">
        <f t="shared" ca="1" si="49"/>
        <v>5.0054029212605027</v>
      </c>
      <c r="T198">
        <f t="shared" ca="1" si="50"/>
        <v>83.348327945494361</v>
      </c>
      <c r="U198">
        <f>70</f>
        <v>70</v>
      </c>
      <c r="V198">
        <f>30</f>
        <v>30</v>
      </c>
      <c r="W198">
        <f t="shared" ca="1" si="48"/>
        <v>201.18284805465473</v>
      </c>
      <c r="X198">
        <f t="shared" ca="1" si="58"/>
        <v>196.22446086943447</v>
      </c>
      <c r="Y198">
        <f t="shared" ca="1" si="57"/>
        <v>5.0487637882229421</v>
      </c>
      <c r="Z198">
        <f t="shared" ca="1" si="59"/>
        <v>3.9776092405030807</v>
      </c>
      <c r="AA198">
        <f t="shared" ca="1" si="60"/>
        <v>1.0711545477198614</v>
      </c>
      <c r="AB198">
        <f t="shared" ca="1" si="61"/>
        <v>180.86759999999995</v>
      </c>
    </row>
    <row r="199" spans="1:28" x14ac:dyDescent="0.25">
      <c r="A199" s="20">
        <f t="shared" ca="1" si="62"/>
        <v>45985</v>
      </c>
      <c r="B199" vm="588">
        <f ca="1"/>
        <v>45989</v>
      </c>
      <c r="C199" vm="589">
        <f ca="1"/>
        <v>206.92</v>
      </c>
      <c r="D199" vm="590">
        <f ca="1"/>
        <v>5638279</v>
      </c>
      <c r="E199">
        <f t="shared" ca="1" si="63"/>
        <v>1166672690.6799998</v>
      </c>
      <c r="F199">
        <f ca="1">SUM($E$2:E199)/SUM($D$2:D199)</f>
        <v>169.08953153495355</v>
      </c>
      <c r="G199">
        <f ca="1">_xlfn.STDEV.P($C$2:C199)</f>
        <v>15.316539848454447</v>
      </c>
      <c r="H199">
        <f t="shared" ca="1" si="64"/>
        <v>184.406071383408</v>
      </c>
      <c r="I199">
        <f t="shared" ca="1" si="65"/>
        <v>153.7729916864991</v>
      </c>
      <c r="J199">
        <f t="shared" ca="1" si="53"/>
        <v>196.28</v>
      </c>
      <c r="K199">
        <f t="shared" ca="1" si="54"/>
        <v>7.996516346773169</v>
      </c>
      <c r="L199">
        <f t="shared" ca="1" si="55"/>
        <v>212.27303269354633</v>
      </c>
      <c r="M199">
        <f t="shared" ca="1" si="56"/>
        <v>180.28696730645368</v>
      </c>
      <c r="N199">
        <f t="shared" ca="1" si="66"/>
        <v>-0.64000000000001478</v>
      </c>
      <c r="O199">
        <f t="shared" ca="1" si="67"/>
        <v>0</v>
      </c>
      <c r="P199">
        <f t="shared" ca="1" si="68"/>
        <v>0.64000000000001478</v>
      </c>
      <c r="Q199">
        <f t="shared" ca="1" si="51"/>
        <v>1.0355412302054599</v>
      </c>
      <c r="R199">
        <f t="shared" ca="1" si="52"/>
        <v>0.25259897541768456</v>
      </c>
      <c r="S199">
        <f t="shared" ca="1" si="49"/>
        <v>4.099546439145854</v>
      </c>
      <c r="T199">
        <f t="shared" ca="1" si="50"/>
        <v>80.390412913516002</v>
      </c>
      <c r="U199">
        <f>70</f>
        <v>70</v>
      </c>
      <c r="V199">
        <f>30</f>
        <v>30</v>
      </c>
      <c r="W199">
        <f t="shared" ca="1" si="48"/>
        <v>202.06548681547707</v>
      </c>
      <c r="X199">
        <f t="shared" ca="1" si="58"/>
        <v>197.01672302725413</v>
      </c>
      <c r="Y199">
        <f t="shared" ca="1" si="57"/>
        <v>4.9359960123620965</v>
      </c>
      <c r="Z199">
        <f t="shared" ca="1" si="59"/>
        <v>4.1692865948748841</v>
      </c>
      <c r="AA199">
        <f t="shared" ca="1" si="60"/>
        <v>0.76670941748721244</v>
      </c>
      <c r="AB199">
        <f t="shared" ca="1" si="61"/>
        <v>181.37399999999994</v>
      </c>
    </row>
    <row r="200" spans="1:28" x14ac:dyDescent="0.25">
      <c r="A200" s="20">
        <f t="shared" ca="1" si="62"/>
        <v>45992</v>
      </c>
      <c r="B200" vm="591">
        <f ca="1"/>
        <v>45992</v>
      </c>
      <c r="C200" vm="592">
        <f ca="1"/>
        <v>205.34</v>
      </c>
      <c r="D200" vm="593">
        <f ca="1"/>
        <v>8473726</v>
      </c>
      <c r="E200">
        <f t="shared" ca="1" si="63"/>
        <v>1739994896.8399999</v>
      </c>
      <c r="F200">
        <f ca="1">SUM($E$2:E200)/SUM($D$2:D200)</f>
        <v>169.26310302357425</v>
      </c>
      <c r="G200">
        <f ca="1">_xlfn.STDEV.P($C$2:C200)</f>
        <v>15.489939191004156</v>
      </c>
      <c r="H200">
        <f t="shared" ca="1" si="64"/>
        <v>184.75304221457841</v>
      </c>
      <c r="I200">
        <f t="shared" ca="1" si="65"/>
        <v>153.77316383257008</v>
      </c>
      <c r="J200">
        <f t="shared" ca="1" si="53"/>
        <v>197.10350000000005</v>
      </c>
      <c r="K200">
        <f t="shared" ca="1" si="54"/>
        <v>8.0411888849976982</v>
      </c>
      <c r="L200">
        <f t="shared" ca="1" si="55"/>
        <v>213.18587776999544</v>
      </c>
      <c r="M200">
        <f t="shared" ca="1" si="56"/>
        <v>181.02112223000466</v>
      </c>
      <c r="N200">
        <f t="shared" ca="1" si="66"/>
        <v>-1.5799999999999841</v>
      </c>
      <c r="O200">
        <f t="shared" ca="1" si="67"/>
        <v>0</v>
      </c>
      <c r="P200">
        <f t="shared" ca="1" si="68"/>
        <v>1.5799999999999841</v>
      </c>
      <c r="Q200">
        <f t="shared" ca="1" si="51"/>
        <v>0.96157399947649846</v>
      </c>
      <c r="R200">
        <f t="shared" ca="1" si="52"/>
        <v>0.34741333431642024</v>
      </c>
      <c r="S200">
        <f t="shared" ca="1" si="49"/>
        <v>2.7678097081924538</v>
      </c>
      <c r="T200">
        <f t="shared" ca="1" si="50"/>
        <v>73.459381512137611</v>
      </c>
      <c r="U200">
        <f>70</f>
        <v>70</v>
      </c>
      <c r="V200">
        <f>30</f>
        <v>30</v>
      </c>
      <c r="W200">
        <f t="shared" ca="1" si="48"/>
        <v>202.56925807463446</v>
      </c>
      <c r="X200">
        <f t="shared" ca="1" si="58"/>
        <v>197.63326206227237</v>
      </c>
      <c r="Y200">
        <f t="shared" ca="1" si="57"/>
        <v>4.7977762903929317</v>
      </c>
      <c r="Z200">
        <f t="shared" ca="1" si="59"/>
        <v>4.2949845339784938</v>
      </c>
      <c r="AA200">
        <f t="shared" ca="1" si="60"/>
        <v>0.50279175641443796</v>
      </c>
      <c r="AB200">
        <f t="shared" ca="1" si="61"/>
        <v>181.85049999999993</v>
      </c>
    </row>
    <row r="201" spans="1:28" x14ac:dyDescent="0.25">
      <c r="A201" s="20">
        <f t="shared" ca="1" si="62"/>
        <v>45992</v>
      </c>
      <c r="B201" vm="594">
        <f ca="1"/>
        <v>45993</v>
      </c>
      <c r="C201" vm="595">
        <f ca="1"/>
        <v>205.42</v>
      </c>
      <c r="D201" vm="596">
        <f ca="1"/>
        <v>8393565</v>
      </c>
      <c r="E201">
        <f t="shared" ca="1" si="63"/>
        <v>1724206122.3</v>
      </c>
      <c r="F201">
        <f ca="1">SUM($E$2:E201)/SUM($D$2:D201)</f>
        <v>169.43377925524419</v>
      </c>
      <c r="G201">
        <f ca="1">_xlfn.STDEV.P($C$2:C201)</f>
        <v>15.658555928309607</v>
      </c>
      <c r="H201">
        <f t="shared" ca="1" si="64"/>
        <v>185.09233518355379</v>
      </c>
      <c r="I201">
        <f t="shared" ca="1" si="65"/>
        <v>153.77522332693459</v>
      </c>
      <c r="J201">
        <f t="shared" ca="1" si="53"/>
        <v>198.06150000000005</v>
      </c>
      <c r="K201">
        <f t="shared" ca="1" si="54"/>
        <v>7.8196145247569238</v>
      </c>
      <c r="L201">
        <f t="shared" ca="1" si="55"/>
        <v>213.70072904951391</v>
      </c>
      <c r="M201">
        <f t="shared" ca="1" si="56"/>
        <v>182.42227095048619</v>
      </c>
      <c r="N201">
        <f t="shared" ca="1" si="66"/>
        <v>7.9999999999984084E-2</v>
      </c>
      <c r="O201">
        <f t="shared" ca="1" si="67"/>
        <v>7.9999999999984084E-2</v>
      </c>
      <c r="P201">
        <f t="shared" ca="1" si="68"/>
        <v>0</v>
      </c>
      <c r="Q201">
        <f t="shared" ca="1" si="51"/>
        <v>0.89860442808531893</v>
      </c>
      <c r="R201">
        <f t="shared" ca="1" si="52"/>
        <v>0.32259809615096163</v>
      </c>
      <c r="S201">
        <f t="shared" ca="1" si="49"/>
        <v>2.7855230356499434</v>
      </c>
      <c r="T201">
        <f t="shared" ca="1" si="50"/>
        <v>73.58357113184735</v>
      </c>
      <c r="U201">
        <f>70</f>
        <v>70</v>
      </c>
      <c r="V201">
        <f>30</f>
        <v>30</v>
      </c>
      <c r="W201">
        <f t="shared" ca="1" si="48"/>
        <v>203.00783375545993</v>
      </c>
      <c r="X201">
        <f t="shared" ca="1" si="58"/>
        <v>198.210057465067</v>
      </c>
      <c r="Y201">
        <f t="shared" ca="1" si="57"/>
        <v>4.6276294849710098</v>
      </c>
      <c r="Z201">
        <f t="shared" ca="1" si="59"/>
        <v>4.3615135241769973</v>
      </c>
      <c r="AA201">
        <f t="shared" ca="1" si="60"/>
        <v>0.26611596079401245</v>
      </c>
      <c r="AB201">
        <f t="shared" ca="1" si="61"/>
        <v>182.33569999999992</v>
      </c>
    </row>
    <row r="202" spans="1:28" x14ac:dyDescent="0.25">
      <c r="A202" s="20">
        <f t="shared" ca="1" si="62"/>
        <v>45992</v>
      </c>
      <c r="B202" vm="597">
        <f ca="1"/>
        <v>45994</v>
      </c>
      <c r="C202" vm="598">
        <f ca="1"/>
        <v>205.33</v>
      </c>
      <c r="D202" vm="599">
        <f ca="1"/>
        <v>8363292</v>
      </c>
      <c r="E202">
        <f t="shared" ca="1" si="63"/>
        <v>1717234746.3600001</v>
      </c>
      <c r="F202">
        <f ca="1">SUM($E$2:E202)/SUM($D$2:D202)</f>
        <v>169.6018234630485</v>
      </c>
      <c r="G202">
        <f ca="1">_xlfn.STDEV.P($C$2:C202)</f>
        <v>15.820698611528439</v>
      </c>
      <c r="H202">
        <f t="shared" ca="1" si="64"/>
        <v>185.42252207457693</v>
      </c>
      <c r="I202">
        <f t="shared" ca="1" si="65"/>
        <v>153.78112485152008</v>
      </c>
      <c r="J202">
        <f t="shared" ca="1" si="53"/>
        <v>198.98500000000004</v>
      </c>
      <c r="K202">
        <f t="shared" ca="1" si="54"/>
        <v>7.5116803782684434</v>
      </c>
      <c r="L202">
        <f t="shared" ca="1" si="55"/>
        <v>214.00836075653692</v>
      </c>
      <c r="M202">
        <f t="shared" ca="1" si="56"/>
        <v>183.96163924346317</v>
      </c>
      <c r="N202">
        <f t="shared" ca="1" si="66"/>
        <v>-8.9999999999974989E-2</v>
      </c>
      <c r="O202">
        <f t="shared" ca="1" si="67"/>
        <v>0</v>
      </c>
      <c r="P202">
        <f t="shared" ca="1" si="68"/>
        <v>8.9999999999974989E-2</v>
      </c>
      <c r="Q202">
        <f t="shared" ca="1" si="51"/>
        <v>0.83441839750779612</v>
      </c>
      <c r="R202">
        <f t="shared" ca="1" si="52"/>
        <v>0.30598394642589116</v>
      </c>
      <c r="S202">
        <f t="shared" ca="1" si="49"/>
        <v>2.7270005739006669</v>
      </c>
      <c r="T202">
        <f t="shared" ca="1" si="50"/>
        <v>73.168772578067973</v>
      </c>
      <c r="U202">
        <f>70</f>
        <v>70</v>
      </c>
      <c r="V202">
        <f>30</f>
        <v>30</v>
      </c>
      <c r="W202">
        <f t="shared" ca="1" si="48"/>
        <v>203.36509010077378</v>
      </c>
      <c r="X202">
        <f t="shared" ca="1" si="58"/>
        <v>198.73746061580277</v>
      </c>
      <c r="Y202">
        <f t="shared" ca="1" si="57"/>
        <v>4.2142366375894937</v>
      </c>
      <c r="Z202">
        <f t="shared" ca="1" si="59"/>
        <v>4.332058146859497</v>
      </c>
      <c r="AA202">
        <f t="shared" ca="1" si="60"/>
        <v>-0.11782150927000323</v>
      </c>
      <c r="AB202">
        <f t="shared" ca="1" si="61"/>
        <v>182.82079999999991</v>
      </c>
    </row>
    <row r="203" spans="1:28" x14ac:dyDescent="0.25">
      <c r="A203" s="20">
        <f t="shared" ca="1" si="62"/>
        <v>45992</v>
      </c>
      <c r="B203" vm="600">
        <f ca="1"/>
        <v>45995</v>
      </c>
      <c r="C203" vm="601">
        <f ca="1"/>
        <v>202.48</v>
      </c>
      <c r="D203" vm="602">
        <f ca="1"/>
        <v>9049943</v>
      </c>
      <c r="E203">
        <f t="shared" ca="1" si="63"/>
        <v>1832432458.6399999</v>
      </c>
      <c r="F203">
        <f ca="1">SUM($E$2:E203)/SUM($D$2:D203)</f>
        <v>169.76753649189061</v>
      </c>
      <c r="G203">
        <f ca="1">_xlfn.STDEV.P($C$2:C203)</f>
        <v>15.947640482824246</v>
      </c>
      <c r="H203">
        <f t="shared" ca="1" si="64"/>
        <v>185.71517697471486</v>
      </c>
      <c r="I203">
        <f t="shared" ca="1" si="65"/>
        <v>153.81989600906635</v>
      </c>
      <c r="J203">
        <f t="shared" ca="1" si="53"/>
        <v>199.80900000000003</v>
      </c>
      <c r="K203">
        <f t="shared" ca="1" si="54"/>
        <v>6.8905227820918151</v>
      </c>
      <c r="L203">
        <f t="shared" ca="1" si="55"/>
        <v>213.59004556418367</v>
      </c>
      <c r="M203">
        <f t="shared" ca="1" si="56"/>
        <v>186.02795443581638</v>
      </c>
      <c r="N203">
        <f t="shared" ca="1" si="66"/>
        <v>-2.8500000000000227</v>
      </c>
      <c r="O203">
        <f t="shared" ca="1" si="67"/>
        <v>0</v>
      </c>
      <c r="P203">
        <f t="shared" ca="1" si="68"/>
        <v>2.8500000000000227</v>
      </c>
      <c r="Q203">
        <f t="shared" ca="1" si="51"/>
        <v>0.77481708340009636</v>
      </c>
      <c r="R203">
        <f t="shared" ca="1" si="52"/>
        <v>0.48769937882404341</v>
      </c>
      <c r="S203">
        <f t="shared" ca="1" si="49"/>
        <v>1.5887186185644946</v>
      </c>
      <c r="T203">
        <f t="shared" ca="1" si="50"/>
        <v>61.370849932136565</v>
      </c>
      <c r="U203">
        <f>70</f>
        <v>70</v>
      </c>
      <c r="V203">
        <f>30</f>
        <v>30</v>
      </c>
      <c r="W203">
        <f t="shared" ca="1" si="48"/>
        <v>203.22892239296243</v>
      </c>
      <c r="X203">
        <f t="shared" ca="1" si="58"/>
        <v>199.01468575537294</v>
      </c>
      <c r="Y203">
        <f t="shared" ca="1" si="57"/>
        <v>3.7984532199818659</v>
      </c>
      <c r="Z203">
        <f t="shared" ca="1" si="59"/>
        <v>4.2253371614839708</v>
      </c>
      <c r="AA203">
        <f t="shared" ca="1" si="60"/>
        <v>-0.42688394150210485</v>
      </c>
      <c r="AB203">
        <f t="shared" ca="1" si="61"/>
        <v>183.29389999999992</v>
      </c>
    </row>
    <row r="204" spans="1:28" x14ac:dyDescent="0.25">
      <c r="A204" s="20">
        <f t="shared" ca="1" si="62"/>
        <v>45992</v>
      </c>
      <c r="B204" vm="603">
        <f ca="1"/>
        <v>45996</v>
      </c>
      <c r="C204" vm="604">
        <f ca="1"/>
        <v>201.93</v>
      </c>
      <c r="D204" vm="605">
        <f ca="1"/>
        <v>7785552</v>
      </c>
      <c r="E204">
        <f t="shared" ca="1" si="63"/>
        <v>1572136515.3600001</v>
      </c>
      <c r="F204">
        <f ca="1">SUM($E$2:E204)/SUM($D$2:D204)</f>
        <v>169.90639188763384</v>
      </c>
      <c r="G204">
        <f ca="1">_xlfn.STDEV.P($C$2:C204)</f>
        <v>16.065320297038927</v>
      </c>
      <c r="H204">
        <f t="shared" ca="1" si="64"/>
        <v>185.97171218467278</v>
      </c>
      <c r="I204">
        <f t="shared" ca="1" si="65"/>
        <v>153.84107159059491</v>
      </c>
      <c r="J204">
        <f t="shared" ca="1" si="53"/>
        <v>200.55700000000002</v>
      </c>
      <c r="K204">
        <f t="shared" ca="1" si="54"/>
        <v>6.2009142789379732</v>
      </c>
      <c r="L204">
        <f t="shared" ca="1" si="55"/>
        <v>212.95882855787596</v>
      </c>
      <c r="M204">
        <f t="shared" ca="1" si="56"/>
        <v>188.15517144212407</v>
      </c>
      <c r="N204">
        <f t="shared" ca="1" si="66"/>
        <v>-0.54999999999998295</v>
      </c>
      <c r="O204">
        <f t="shared" ca="1" si="67"/>
        <v>0</v>
      </c>
      <c r="P204">
        <f t="shared" ca="1" si="68"/>
        <v>0.54999999999998295</v>
      </c>
      <c r="Q204">
        <f t="shared" ca="1" si="51"/>
        <v>0.71947300601437525</v>
      </c>
      <c r="R204">
        <f t="shared" ca="1" si="52"/>
        <v>0.49214942319375338</v>
      </c>
      <c r="S204">
        <f t="shared" ca="1" si="49"/>
        <v>1.461899520973587</v>
      </c>
      <c r="T204">
        <f t="shared" ca="1" si="50"/>
        <v>59.380958017143676</v>
      </c>
      <c r="U204">
        <f>70</f>
        <v>70</v>
      </c>
      <c r="V204">
        <f>30</f>
        <v>30</v>
      </c>
      <c r="W204">
        <f t="shared" ca="1" si="48"/>
        <v>203.02908817866052</v>
      </c>
      <c r="X204">
        <f t="shared" ca="1" si="58"/>
        <v>199.23063495867865</v>
      </c>
      <c r="Y204">
        <f t="shared" ca="1" si="57"/>
        <v>3.4046804202040164</v>
      </c>
      <c r="Z204">
        <f t="shared" ca="1" si="59"/>
        <v>4.0612058132279802</v>
      </c>
      <c r="AA204">
        <f t="shared" ca="1" si="60"/>
        <v>-0.65652539302396384</v>
      </c>
      <c r="AB204">
        <f t="shared" ca="1" si="61"/>
        <v>183.66539999999995</v>
      </c>
    </row>
    <row r="205" spans="1:28" x14ac:dyDescent="0.25">
      <c r="A205" s="20">
        <f t="shared" ca="1" si="62"/>
        <v>45999</v>
      </c>
      <c r="B205" vm="606">
        <f ca="1"/>
        <v>45999</v>
      </c>
      <c r="C205" vm="607">
        <f ca="1"/>
        <v>201.62</v>
      </c>
      <c r="D205" vm="608">
        <f ca="1"/>
        <v>7785708</v>
      </c>
      <c r="E205">
        <f t="shared" ca="1" si="63"/>
        <v>1569754446.96</v>
      </c>
      <c r="F205">
        <f ca="1">SUM($E$2:E205)/SUM($D$2:D205)</f>
        <v>170.042723579669</v>
      </c>
      <c r="G205">
        <f ca="1">_xlfn.STDEV.P($C$2:C205)</f>
        <v>16.176527656464994</v>
      </c>
      <c r="H205">
        <f t="shared" ca="1" si="64"/>
        <v>186.219251236134</v>
      </c>
      <c r="I205">
        <f t="shared" ca="1" si="65"/>
        <v>153.866195923204</v>
      </c>
      <c r="J205">
        <f t="shared" ca="1" si="53"/>
        <v>201.30950000000001</v>
      </c>
      <c r="K205">
        <f t="shared" ca="1" si="54"/>
        <v>5.2552935468114326</v>
      </c>
      <c r="L205">
        <f t="shared" ca="1" si="55"/>
        <v>211.82008709362287</v>
      </c>
      <c r="M205">
        <f t="shared" ca="1" si="56"/>
        <v>190.79891290637715</v>
      </c>
      <c r="N205">
        <f t="shared" ca="1" si="66"/>
        <v>-0.31000000000000227</v>
      </c>
      <c r="O205">
        <f t="shared" ca="1" si="67"/>
        <v>0</v>
      </c>
      <c r="P205">
        <f t="shared" ca="1" si="68"/>
        <v>0.31000000000000227</v>
      </c>
      <c r="Q205">
        <f t="shared" ca="1" si="51"/>
        <v>0.66808207701334843</v>
      </c>
      <c r="R205">
        <f t="shared" ca="1" si="52"/>
        <v>0.47913875010848545</v>
      </c>
      <c r="S205">
        <f t="shared" ca="1" si="49"/>
        <v>1.3943394827950837</v>
      </c>
      <c r="T205">
        <f t="shared" ca="1" si="50"/>
        <v>58.234828135873677</v>
      </c>
      <c r="U205">
        <f>70</f>
        <v>70</v>
      </c>
      <c r="V205">
        <f>30</f>
        <v>30</v>
      </c>
      <c r="W205">
        <f t="shared" ca="1" si="48"/>
        <v>202.8123053819435</v>
      </c>
      <c r="X205">
        <f t="shared" ca="1" si="58"/>
        <v>199.40762496173949</v>
      </c>
      <c r="Y205">
        <f t="shared" ca="1" si="57"/>
        <v>2.9249475380965748</v>
      </c>
      <c r="Z205">
        <f t="shared" ca="1" si="59"/>
        <v>3.8339541582016992</v>
      </c>
      <c r="AA205">
        <f t="shared" ca="1" si="60"/>
        <v>-0.90900662010512434</v>
      </c>
      <c r="AB205">
        <f t="shared" ca="1" si="61"/>
        <v>184.05179999999993</v>
      </c>
    </row>
    <row r="206" spans="1:28" x14ac:dyDescent="0.25">
      <c r="A206" s="20">
        <f t="shared" ca="1" si="62"/>
        <v>45999</v>
      </c>
      <c r="B206" vm="609">
        <f ca="1"/>
        <v>46000</v>
      </c>
      <c r="C206" vm="610">
        <f ca="1"/>
        <v>199.96</v>
      </c>
      <c r="D206" vm="611">
        <f ca="1"/>
        <v>7509402</v>
      </c>
      <c r="E206">
        <f t="shared" ca="1" si="63"/>
        <v>1501580023.9200001</v>
      </c>
      <c r="F206">
        <f ca="1">SUM($E$2:E206)/SUM($D$2:D206)</f>
        <v>170.16625672042247</v>
      </c>
      <c r="G206">
        <f ca="1">_xlfn.STDEV.P($C$2:C206)</f>
        <v>16.269331873343695</v>
      </c>
      <c r="H206">
        <f t="shared" ca="1" si="64"/>
        <v>186.43558859376617</v>
      </c>
      <c r="I206">
        <f t="shared" ca="1" si="65"/>
        <v>153.89692484707876</v>
      </c>
      <c r="J206">
        <f t="shared" ca="1" si="53"/>
        <v>201.887</v>
      </c>
      <c r="K206">
        <f t="shared" ca="1" si="54"/>
        <v>4.3133697902415467</v>
      </c>
      <c r="L206">
        <f t="shared" ca="1" si="55"/>
        <v>210.5137395804831</v>
      </c>
      <c r="M206">
        <f t="shared" ca="1" si="56"/>
        <v>193.2602604195169</v>
      </c>
      <c r="N206">
        <f t="shared" ca="1" si="66"/>
        <v>-1.6599999999999966</v>
      </c>
      <c r="O206">
        <f t="shared" ca="1" si="67"/>
        <v>0</v>
      </c>
      <c r="P206">
        <f t="shared" ca="1" si="68"/>
        <v>1.6599999999999966</v>
      </c>
      <c r="Q206">
        <f t="shared" ca="1" si="51"/>
        <v>0.62036192865525208</v>
      </c>
      <c r="R206">
        <f t="shared" ca="1" si="52"/>
        <v>0.56348598224359336</v>
      </c>
      <c r="S206">
        <f t="shared" ca="1" si="49"/>
        <v>1.1009358674464265</v>
      </c>
      <c r="T206">
        <f t="shared" ca="1" si="50"/>
        <v>52.402164411832061</v>
      </c>
      <c r="U206">
        <f>70</f>
        <v>70</v>
      </c>
      <c r="V206">
        <f>30</f>
        <v>30</v>
      </c>
      <c r="W206">
        <f t="shared" ca="1" si="48"/>
        <v>202.37348916933684</v>
      </c>
      <c r="X206">
        <f t="shared" ca="1" si="58"/>
        <v>199.44854163124026</v>
      </c>
      <c r="Y206">
        <f t="shared" ca="1" si="57"/>
        <v>3.040655991851736</v>
      </c>
      <c r="Z206">
        <f t="shared" ca="1" si="59"/>
        <v>3.6752945249317071</v>
      </c>
      <c r="AA206">
        <f t="shared" ca="1" si="60"/>
        <v>-0.63463853307997109</v>
      </c>
      <c r="AB206">
        <f t="shared" ca="1" si="61"/>
        <v>184.41439999999992</v>
      </c>
    </row>
    <row r="207" spans="1:28" x14ac:dyDescent="0.25">
      <c r="A207" s="20">
        <f t="shared" ca="1" si="62"/>
        <v>45999</v>
      </c>
      <c r="B207" vm="612">
        <f ca="1"/>
        <v>46001</v>
      </c>
      <c r="C207" vm="613">
        <f ca="1"/>
        <v>206.54</v>
      </c>
      <c r="D207" vm="614">
        <f ca="1"/>
        <v>11599785</v>
      </c>
      <c r="E207">
        <f t="shared" ca="1" si="63"/>
        <v>2395819593.9000001</v>
      </c>
      <c r="F207">
        <f ca="1">SUM($E$2:E207)/SUM($D$2:D207)</f>
        <v>170.3967895291533</v>
      </c>
      <c r="G207">
        <f ca="1">_xlfn.STDEV.P($C$2:C207)</f>
        <v>16.423183043664245</v>
      </c>
      <c r="H207">
        <f t="shared" ca="1" si="64"/>
        <v>186.81997257281753</v>
      </c>
      <c r="I207">
        <f t="shared" ca="1" si="65"/>
        <v>153.97360648548906</v>
      </c>
      <c r="J207">
        <f t="shared" ca="1" si="53"/>
        <v>202.52249999999998</v>
      </c>
      <c r="K207">
        <f t="shared" ca="1" si="54"/>
        <v>3.9878498031685656</v>
      </c>
      <c r="L207">
        <f t="shared" ca="1" si="55"/>
        <v>210.49819960633712</v>
      </c>
      <c r="M207">
        <f t="shared" ca="1" si="56"/>
        <v>194.54680039366283</v>
      </c>
      <c r="N207">
        <f t="shared" ca="1" si="66"/>
        <v>6.5799999999999841</v>
      </c>
      <c r="O207">
        <f t="shared" ca="1" si="67"/>
        <v>6.5799999999999841</v>
      </c>
      <c r="P207">
        <f t="shared" ca="1" si="68"/>
        <v>0</v>
      </c>
      <c r="Q207">
        <f t="shared" ca="1" si="51"/>
        <v>1.0460503623227331</v>
      </c>
      <c r="R207">
        <f t="shared" ca="1" si="52"/>
        <v>0.52323698351190806</v>
      </c>
      <c r="S207">
        <f t="shared" ca="1" si="49"/>
        <v>1.9991904152144602</v>
      </c>
      <c r="T207">
        <f t="shared" ca="1" si="50"/>
        <v>66.65766885199605</v>
      </c>
      <c r="U207">
        <f>70</f>
        <v>70</v>
      </c>
      <c r="V207">
        <f>30</f>
        <v>30</v>
      </c>
      <c r="W207">
        <f t="shared" ref="W207:W251" ca="1" si="69">C207*(2/(12+1)) + W206*(1-(2/(12+1)))</f>
        <v>203.01449083559271</v>
      </c>
      <c r="X207">
        <f t="shared" ca="1" si="58"/>
        <v>199.97383484374097</v>
      </c>
      <c r="Y207">
        <f t="shared" ca="1" si="57"/>
        <v>3.3734685297869191</v>
      </c>
      <c r="Z207">
        <f t="shared" ca="1" si="59"/>
        <v>3.6149293259027493</v>
      </c>
      <c r="AA207">
        <f t="shared" ca="1" si="60"/>
        <v>-0.24146079611583016</v>
      </c>
      <c r="AB207">
        <f t="shared" ca="1" si="61"/>
        <v>184.83619999999991</v>
      </c>
    </row>
    <row r="208" spans="1:28" x14ac:dyDescent="0.25">
      <c r="A208" s="20">
        <f t="shared" ca="1" si="62"/>
        <v>45999</v>
      </c>
      <c r="B208" vm="615">
        <f ca="1"/>
        <v>46002</v>
      </c>
      <c r="C208" vm="616">
        <f ca="1"/>
        <v>210.01</v>
      </c>
      <c r="D208" vm="617">
        <f ca="1"/>
        <v>9008960</v>
      </c>
      <c r="E208">
        <f t="shared" ca="1" si="63"/>
        <v>1891971689.5999999</v>
      </c>
      <c r="F208">
        <f ca="1">SUM($E$2:E208)/SUM($D$2:D208)</f>
        <v>170.59082316167087</v>
      </c>
      <c r="G208">
        <f ca="1">_xlfn.STDEV.P($C$2:C208)</f>
        <v>16.610229761261095</v>
      </c>
      <c r="H208">
        <f t="shared" ca="1" si="64"/>
        <v>187.20105292293198</v>
      </c>
      <c r="I208">
        <f t="shared" ca="1" si="65"/>
        <v>153.98059340040976</v>
      </c>
      <c r="J208">
        <f t="shared" ca="1" si="53"/>
        <v>203.30349999999999</v>
      </c>
      <c r="K208">
        <f t="shared" ca="1" si="54"/>
        <v>3.8380494977746697</v>
      </c>
      <c r="L208">
        <f t="shared" ca="1" si="55"/>
        <v>210.97959899554934</v>
      </c>
      <c r="M208">
        <f t="shared" ca="1" si="56"/>
        <v>195.62740100445063</v>
      </c>
      <c r="N208">
        <f t="shared" ca="1" si="66"/>
        <v>3.4699999999999989</v>
      </c>
      <c r="O208">
        <f t="shared" ca="1" si="67"/>
        <v>3.4699999999999989</v>
      </c>
      <c r="P208">
        <f t="shared" ca="1" si="68"/>
        <v>0</v>
      </c>
      <c r="Q208">
        <f t="shared" ca="1" si="51"/>
        <v>1.2191896221568237</v>
      </c>
      <c r="R208">
        <f t="shared" ca="1" si="52"/>
        <v>0.48586291326105746</v>
      </c>
      <c r="S208">
        <f t="shared" ref="S208:S251" ca="1" si="70">IF(R208=0,NA(),Q208/R208)</f>
        <v>2.5093284317046542</v>
      </c>
      <c r="T208">
        <f t="shared" ref="T208:T251" ca="1" si="71">100-(100/(1+S208))</f>
        <v>71.50451946971944</v>
      </c>
      <c r="U208">
        <f>70</f>
        <v>70</v>
      </c>
      <c r="V208">
        <f>30</f>
        <v>30</v>
      </c>
      <c r="W208">
        <f t="shared" ca="1" si="69"/>
        <v>204.09072301473228</v>
      </c>
      <c r="X208">
        <f t="shared" ca="1" si="58"/>
        <v>200.71725448494536</v>
      </c>
      <c r="Y208">
        <f t="shared" ca="1" si="57"/>
        <v>3.7210171731288995</v>
      </c>
      <c r="Z208">
        <f t="shared" ca="1" si="59"/>
        <v>3.6361468953479794</v>
      </c>
      <c r="AA208">
        <f t="shared" ca="1" si="60"/>
        <v>8.4870277780920045E-2</v>
      </c>
      <c r="AB208">
        <f t="shared" ca="1" si="61"/>
        <v>185.25699999999989</v>
      </c>
    </row>
    <row r="209" spans="1:28" x14ac:dyDescent="0.25">
      <c r="A209" s="20">
        <f t="shared" ca="1" si="62"/>
        <v>45999</v>
      </c>
      <c r="B209" vm="618">
        <f ca="1"/>
        <v>46003</v>
      </c>
      <c r="C209" vm="619">
        <f ca="1"/>
        <v>211.58</v>
      </c>
      <c r="D209" vm="620">
        <f ca="1"/>
        <v>6922683</v>
      </c>
      <c r="E209">
        <f t="shared" ca="1" si="63"/>
        <v>1464701269.1400001</v>
      </c>
      <c r="F209">
        <f ca="1">SUM($E$2:E209)/SUM($D$2:D209)</f>
        <v>170.74452334605357</v>
      </c>
      <c r="G209">
        <f ca="1">_xlfn.STDEV.P($C$2:C209)</f>
        <v>16.809197437929747</v>
      </c>
      <c r="H209">
        <f t="shared" ca="1" si="64"/>
        <v>187.55372078398332</v>
      </c>
      <c r="I209">
        <f t="shared" ca="1" si="65"/>
        <v>153.93532590812381</v>
      </c>
      <c r="J209">
        <f t="shared" ca="1" si="53"/>
        <v>204.11999999999998</v>
      </c>
      <c r="K209">
        <f t="shared" ca="1" si="54"/>
        <v>3.7710113120739188</v>
      </c>
      <c r="L209">
        <f t="shared" ca="1" si="55"/>
        <v>211.66202262414782</v>
      </c>
      <c r="M209">
        <f t="shared" ca="1" si="56"/>
        <v>196.57797737585213</v>
      </c>
      <c r="N209">
        <f t="shared" ca="1" si="66"/>
        <v>1.5700000000000216</v>
      </c>
      <c r="O209">
        <f t="shared" ca="1" si="67"/>
        <v>1.5700000000000216</v>
      </c>
      <c r="P209">
        <f t="shared" ca="1" si="68"/>
        <v>0</v>
      </c>
      <c r="Q209">
        <f t="shared" ref="Q209:Q251" ca="1" si="72">(Q208*13+O209)/14</f>
        <v>1.2442475062884806</v>
      </c>
      <c r="R209">
        <f t="shared" ref="R209:R251" ca="1" si="73">(R208*13+P209)/14</f>
        <v>0.45115841945669616</v>
      </c>
      <c r="S209">
        <f t="shared" ca="1" si="70"/>
        <v>2.7578949048249073</v>
      </c>
      <c r="T209">
        <f t="shared" ca="1" si="71"/>
        <v>73.389356931827422</v>
      </c>
      <c r="U209">
        <f>70</f>
        <v>70</v>
      </c>
      <c r="V209">
        <f>30</f>
        <v>30</v>
      </c>
      <c r="W209">
        <f t="shared" ca="1" si="69"/>
        <v>205.24291947400422</v>
      </c>
      <c r="X209">
        <f t="shared" ca="1" si="58"/>
        <v>201.52190230087533</v>
      </c>
      <c r="Y209">
        <f t="shared" ca="1" si="57"/>
        <v>4.1575180512671466</v>
      </c>
      <c r="Z209">
        <f t="shared" ca="1" si="59"/>
        <v>3.740421126531813</v>
      </c>
      <c r="AA209">
        <f t="shared" ca="1" si="60"/>
        <v>0.41709692473533355</v>
      </c>
      <c r="AB209">
        <f t="shared" ca="1" si="61"/>
        <v>185.6817999999999</v>
      </c>
    </row>
    <row r="210" spans="1:28" x14ac:dyDescent="0.25">
      <c r="A210" s="20">
        <f t="shared" ca="1" si="62"/>
        <v>46006</v>
      </c>
      <c r="B210" vm="621">
        <f ca="1"/>
        <v>46006</v>
      </c>
      <c r="C210" vm="622">
        <f ca="1"/>
        <v>214.17</v>
      </c>
      <c r="D210" vm="623">
        <f ca="1"/>
        <v>8466964</v>
      </c>
      <c r="E210">
        <f t="shared" ca="1" si="63"/>
        <v>1813369679.8799999</v>
      </c>
      <c r="F210">
        <f ca="1">SUM($E$2:E210)/SUM($D$2:D210)</f>
        <v>170.94277454439495</v>
      </c>
      <c r="G210">
        <f ca="1">_xlfn.STDEV.P($C$2:C210)</f>
        <v>17.032119718189286</v>
      </c>
      <c r="H210">
        <f t="shared" ca="1" si="64"/>
        <v>187.97489426258423</v>
      </c>
      <c r="I210">
        <f t="shared" ca="1" si="65"/>
        <v>153.91065482620567</v>
      </c>
      <c r="J210">
        <f t="shared" ca="1" si="53"/>
        <v>205.03199999999998</v>
      </c>
      <c r="K210">
        <f t="shared" ca="1" si="54"/>
        <v>3.8898080050035184</v>
      </c>
      <c r="L210">
        <f t="shared" ca="1" si="55"/>
        <v>212.81161601000701</v>
      </c>
      <c r="M210">
        <f t="shared" ca="1" si="56"/>
        <v>197.25238398999295</v>
      </c>
      <c r="N210">
        <f t="shared" ca="1" si="66"/>
        <v>2.589999999999975</v>
      </c>
      <c r="O210">
        <f t="shared" ca="1" si="67"/>
        <v>2.589999999999975</v>
      </c>
      <c r="P210">
        <f t="shared" ca="1" si="68"/>
        <v>0</v>
      </c>
      <c r="Q210">
        <f t="shared" ca="1" si="72"/>
        <v>1.34037268441073</v>
      </c>
      <c r="R210">
        <f t="shared" ca="1" si="73"/>
        <v>0.41893281806693217</v>
      </c>
      <c r="S210">
        <f t="shared" ca="1" si="70"/>
        <v>3.1994931564339297</v>
      </c>
      <c r="T210">
        <f t="shared" ca="1" si="71"/>
        <v>76.187602580851291</v>
      </c>
      <c r="U210">
        <f>70</f>
        <v>70</v>
      </c>
      <c r="V210">
        <f>30</f>
        <v>30</v>
      </c>
      <c r="W210">
        <f t="shared" ca="1" si="69"/>
        <v>206.61631647800357</v>
      </c>
      <c r="X210">
        <f t="shared" ca="1" si="58"/>
        <v>202.45879842673642</v>
      </c>
      <c r="Y210">
        <f t="shared" ca="1" si="57"/>
        <v>4.0636367671730227</v>
      </c>
      <c r="Z210">
        <f t="shared" ca="1" si="59"/>
        <v>3.805064254660055</v>
      </c>
      <c r="AA210">
        <f t="shared" ca="1" si="60"/>
        <v>0.25857251251296764</v>
      </c>
      <c r="AB210">
        <f t="shared" ca="1" si="61"/>
        <v>186.1278999999999</v>
      </c>
    </row>
    <row r="211" spans="1:28" x14ac:dyDescent="0.25">
      <c r="A211" s="20">
        <f t="shared" ca="1" si="62"/>
        <v>46006</v>
      </c>
      <c r="B211" vm="624">
        <f ca="1"/>
        <v>46007</v>
      </c>
      <c r="C211" vm="625">
        <f ca="1"/>
        <v>209.3</v>
      </c>
      <c r="D211" vm="626">
        <f ca="1"/>
        <v>9949810</v>
      </c>
      <c r="E211">
        <f t="shared" ca="1" si="63"/>
        <v>2082495233</v>
      </c>
      <c r="F211">
        <f ca="1">SUM($E$2:E211)/SUM($D$2:D211)</f>
        <v>171.14745754999672</v>
      </c>
      <c r="G211">
        <f ca="1">_xlfn.STDEV.P($C$2:C211)</f>
        <v>17.193246132462264</v>
      </c>
      <c r="H211">
        <f t="shared" ca="1" si="64"/>
        <v>188.34070368245898</v>
      </c>
      <c r="I211">
        <f t="shared" ca="1" si="65"/>
        <v>153.95421141753445</v>
      </c>
      <c r="J211">
        <f t="shared" ca="1" si="53"/>
        <v>205.51799999999997</v>
      </c>
      <c r="K211">
        <f t="shared" ca="1" si="54"/>
        <v>3.7783950923221625</v>
      </c>
      <c r="L211">
        <f t="shared" ca="1" si="55"/>
        <v>213.07479018464429</v>
      </c>
      <c r="M211">
        <f t="shared" ca="1" si="56"/>
        <v>197.96120981535566</v>
      </c>
      <c r="N211">
        <f t="shared" ca="1" si="66"/>
        <v>-4.8699999999999761</v>
      </c>
      <c r="O211">
        <f t="shared" ca="1" si="67"/>
        <v>0</v>
      </c>
      <c r="P211">
        <f t="shared" ca="1" si="68"/>
        <v>4.8699999999999761</v>
      </c>
      <c r="Q211">
        <f t="shared" ca="1" si="72"/>
        <v>1.2446317783813921</v>
      </c>
      <c r="R211">
        <f t="shared" ca="1" si="73"/>
        <v>0.73686618820500682</v>
      </c>
      <c r="S211">
        <f t="shared" ca="1" si="70"/>
        <v>1.6890879216663386</v>
      </c>
      <c r="T211">
        <f t="shared" ca="1" si="71"/>
        <v>62.81266997843889</v>
      </c>
      <c r="U211">
        <f>70</f>
        <v>70</v>
      </c>
      <c r="V211">
        <f>30</f>
        <v>30</v>
      </c>
      <c r="W211">
        <f t="shared" ca="1" si="69"/>
        <v>207.02919086600303</v>
      </c>
      <c r="X211">
        <f t="shared" ca="1" si="58"/>
        <v>202.96555409883001</v>
      </c>
      <c r="Y211">
        <f t="shared" ca="1" si="57"/>
        <v>4.0259390458209339</v>
      </c>
      <c r="Z211">
        <f t="shared" ca="1" si="59"/>
        <v>3.8492392128922313</v>
      </c>
      <c r="AA211">
        <f t="shared" ca="1" si="60"/>
        <v>0.17669983292870262</v>
      </c>
      <c r="AB211">
        <f t="shared" ca="1" si="61"/>
        <v>186.53789999999989</v>
      </c>
    </row>
    <row r="212" spans="1:28" x14ac:dyDescent="0.25">
      <c r="A212" s="20">
        <f t="shared" ca="1" si="62"/>
        <v>46006</v>
      </c>
      <c r="B212" vm="627">
        <f ca="1"/>
        <v>46008</v>
      </c>
      <c r="C212" vm="628">
        <f ca="1"/>
        <v>210.33</v>
      </c>
      <c r="D212" vm="629">
        <f ca="1"/>
        <v>8457560</v>
      </c>
      <c r="E212">
        <f t="shared" ca="1" si="63"/>
        <v>1778878594.8000002</v>
      </c>
      <c r="F212">
        <f ca="1">SUM($E$2:E212)/SUM($D$2:D212)</f>
        <v>171.32438370703167</v>
      </c>
      <c r="G212">
        <f ca="1">_xlfn.STDEV.P($C$2:C212)</f>
        <v>17.36026750878078</v>
      </c>
      <c r="H212">
        <f t="shared" ca="1" si="64"/>
        <v>188.68465121581244</v>
      </c>
      <c r="I212">
        <f t="shared" ca="1" si="65"/>
        <v>153.96411619825091</v>
      </c>
      <c r="J212">
        <f t="shared" ca="1" si="53"/>
        <v>206.03449999999998</v>
      </c>
      <c r="K212">
        <f t="shared" ca="1" si="54"/>
        <v>3.6893922976983333</v>
      </c>
      <c r="L212">
        <f t="shared" ca="1" si="55"/>
        <v>213.41328459539665</v>
      </c>
      <c r="M212">
        <f t="shared" ca="1" si="56"/>
        <v>198.65571540460331</v>
      </c>
      <c r="N212">
        <f t="shared" ca="1" si="66"/>
        <v>1.0300000000000011</v>
      </c>
      <c r="O212">
        <f t="shared" ca="1" si="67"/>
        <v>1.0300000000000011</v>
      </c>
      <c r="P212">
        <f t="shared" ca="1" si="68"/>
        <v>0</v>
      </c>
      <c r="Q212">
        <f t="shared" ca="1" si="72"/>
        <v>1.2293009370684356</v>
      </c>
      <c r="R212">
        <f t="shared" ca="1" si="73"/>
        <v>0.68423288904750634</v>
      </c>
      <c r="S212">
        <f t="shared" ca="1" si="70"/>
        <v>1.7966118798815662</v>
      </c>
      <c r="T212">
        <f t="shared" ca="1" si="71"/>
        <v>64.242446111530171</v>
      </c>
      <c r="U212">
        <f>70</f>
        <v>70</v>
      </c>
      <c r="V212">
        <f>30</f>
        <v>30</v>
      </c>
      <c r="W212">
        <f t="shared" ca="1" si="69"/>
        <v>207.53700765584873</v>
      </c>
      <c r="X212">
        <f t="shared" ca="1" si="58"/>
        <v>203.51106861002779</v>
      </c>
      <c r="Y212">
        <f t="shared" ca="1" si="57"/>
        <v>3.7893845456639212</v>
      </c>
      <c r="Z212">
        <f t="shared" ca="1" si="59"/>
        <v>3.8372682794465693</v>
      </c>
      <c r="AA212">
        <f t="shared" ca="1" si="60"/>
        <v>-4.7883733782648097E-2</v>
      </c>
      <c r="AB212">
        <f t="shared" ca="1" si="61"/>
        <v>186.97899999999993</v>
      </c>
    </row>
    <row r="213" spans="1:28" x14ac:dyDescent="0.25">
      <c r="A213" s="20">
        <f t="shared" ca="1" si="62"/>
        <v>46006</v>
      </c>
      <c r="B213" vm="630">
        <f ca="1"/>
        <v>46009</v>
      </c>
      <c r="C213" vm="631">
        <f ca="1"/>
        <v>208.31</v>
      </c>
      <c r="D213" vm="632">
        <f ca="1"/>
        <v>7499852</v>
      </c>
      <c r="E213">
        <f t="shared" ca="1" si="63"/>
        <v>1562294170.1200001</v>
      </c>
      <c r="F213">
        <f ca="1">SUM($E$2:E213)/SUM($D$2:D213)</f>
        <v>171.47188791243386</v>
      </c>
      <c r="G213">
        <f ca="1">_xlfn.STDEV.P($C$2:C213)</f>
        <v>17.501752743430416</v>
      </c>
      <c r="H213">
        <f t="shared" ca="1" si="64"/>
        <v>188.97364065586427</v>
      </c>
      <c r="I213">
        <f t="shared" ca="1" si="65"/>
        <v>153.97013516900344</v>
      </c>
      <c r="J213">
        <f t="shared" ca="1" si="53"/>
        <v>206.3245</v>
      </c>
      <c r="K213">
        <f t="shared" ca="1" si="54"/>
        <v>3.6251642068071601</v>
      </c>
      <c r="L213">
        <f t="shared" ca="1" si="55"/>
        <v>213.57482841361431</v>
      </c>
      <c r="M213">
        <f t="shared" ca="1" si="56"/>
        <v>199.07417158638569</v>
      </c>
      <c r="N213">
        <f t="shared" ca="1" si="66"/>
        <v>-2.0200000000000102</v>
      </c>
      <c r="O213">
        <f t="shared" ca="1" si="67"/>
        <v>0</v>
      </c>
      <c r="P213">
        <f t="shared" ca="1" si="68"/>
        <v>2.0200000000000102</v>
      </c>
      <c r="Q213">
        <f t="shared" ca="1" si="72"/>
        <v>1.1414937272778329</v>
      </c>
      <c r="R213">
        <f t="shared" ca="1" si="73"/>
        <v>0.77964482554411385</v>
      </c>
      <c r="S213">
        <f t="shared" ca="1" si="70"/>
        <v>1.4641201863697164</v>
      </c>
      <c r="T213">
        <f t="shared" ca="1" si="71"/>
        <v>59.417563902462994</v>
      </c>
      <c r="U213">
        <f>70</f>
        <v>70</v>
      </c>
      <c r="V213">
        <f>30</f>
        <v>30</v>
      </c>
      <c r="W213">
        <f t="shared" ca="1" si="69"/>
        <v>207.65592955494893</v>
      </c>
      <c r="X213">
        <f t="shared" ca="1" si="58"/>
        <v>203.86654500928501</v>
      </c>
      <c r="Y213">
        <f t="shared" ca="1" si="57"/>
        <v>3.406108119094597</v>
      </c>
      <c r="Z213">
        <f t="shared" ca="1" si="59"/>
        <v>3.7510362473761751</v>
      </c>
      <c r="AA213">
        <f t="shared" ca="1" si="60"/>
        <v>-0.34492812828157815</v>
      </c>
      <c r="AB213">
        <f t="shared" ca="1" si="61"/>
        <v>187.38099999999994</v>
      </c>
    </row>
    <row r="214" spans="1:28" x14ac:dyDescent="0.25">
      <c r="A214" s="20">
        <f t="shared" ca="1" si="62"/>
        <v>46006</v>
      </c>
      <c r="B214" vm="633">
        <f ca="1"/>
        <v>46010</v>
      </c>
      <c r="C214" vm="634">
        <f ca="1"/>
        <v>206.37</v>
      </c>
      <c r="D214" vm="635">
        <f ca="1"/>
        <v>24803920</v>
      </c>
      <c r="E214">
        <f t="shared" ca="1" si="63"/>
        <v>5118784970.4000006</v>
      </c>
      <c r="F214">
        <f ca="1">SUM($E$2:E214)/SUM($D$2:D214)</f>
        <v>171.92619580633405</v>
      </c>
      <c r="G214">
        <f ca="1">_xlfn.STDEV.P($C$2:C214)</f>
        <v>17.620778701098214</v>
      </c>
      <c r="H214">
        <f t="shared" ca="1" si="64"/>
        <v>189.54697450743225</v>
      </c>
      <c r="I214">
        <f t="shared" ca="1" si="65"/>
        <v>154.30541710523585</v>
      </c>
      <c r="J214">
        <f t="shared" ref="J214:J251" ca="1" si="74">AVERAGE(C195:C214)</f>
        <v>206.48949999999999</v>
      </c>
      <c r="K214">
        <f t="shared" ref="K214:K251" ca="1" si="75">_xlfn.STDEV.S(C195:C214)</f>
        <v>3.5434171360425508</v>
      </c>
      <c r="L214">
        <f t="shared" ref="L214:L251" ca="1" si="76">J214 + 2*K214</f>
        <v>213.57633427208509</v>
      </c>
      <c r="M214">
        <f t="shared" ref="M214:M251" ca="1" si="77">J214-2*K214</f>
        <v>199.40266572791489</v>
      </c>
      <c r="N214">
        <f t="shared" ca="1" si="66"/>
        <v>-1.9399999999999977</v>
      </c>
      <c r="O214">
        <f t="shared" ca="1" si="67"/>
        <v>0</v>
      </c>
      <c r="P214">
        <f t="shared" ca="1" si="68"/>
        <v>1.9399999999999977</v>
      </c>
      <c r="Q214">
        <f t="shared" ca="1" si="72"/>
        <v>1.0599584610437021</v>
      </c>
      <c r="R214">
        <f t="shared" ca="1" si="73"/>
        <v>0.8625273380052485</v>
      </c>
      <c r="S214">
        <f t="shared" ca="1" si="70"/>
        <v>1.2288983946816676</v>
      </c>
      <c r="T214">
        <f t="shared" ca="1" si="71"/>
        <v>55.1347875530764</v>
      </c>
      <c r="U214">
        <f>70</f>
        <v>70</v>
      </c>
      <c r="V214">
        <f>30</f>
        <v>30</v>
      </c>
      <c r="W214">
        <f t="shared" ca="1" si="69"/>
        <v>207.45809423880294</v>
      </c>
      <c r="X214">
        <f t="shared" ca="1" si="58"/>
        <v>204.05198611970835</v>
      </c>
      <c r="Y214">
        <f t="shared" ca="1" si="57"/>
        <v>3.1427877493426308</v>
      </c>
      <c r="Z214">
        <f t="shared" ca="1" si="59"/>
        <v>3.6293865477694665</v>
      </c>
      <c r="AA214">
        <f t="shared" ca="1" si="60"/>
        <v>-0.48659879842683562</v>
      </c>
      <c r="AB214">
        <f t="shared" ca="1" si="61"/>
        <v>187.77209999999997</v>
      </c>
    </row>
    <row r="215" spans="1:28" x14ac:dyDescent="0.25">
      <c r="A215" s="20">
        <f t="shared" ca="1" si="62"/>
        <v>46013</v>
      </c>
      <c r="B215" vm="636">
        <f ca="1"/>
        <v>46013</v>
      </c>
      <c r="C215" vm="637">
        <f ca="1"/>
        <v>207.32</v>
      </c>
      <c r="D215" vm="638">
        <f ca="1"/>
        <v>8187755</v>
      </c>
      <c r="E215">
        <f t="shared" ca="1" si="63"/>
        <v>1697485366.5999999</v>
      </c>
      <c r="F215">
        <f ca="1">SUM($E$2:E215)/SUM($D$2:D215)</f>
        <v>172.07764181345465</v>
      </c>
      <c r="G215">
        <f ca="1">_xlfn.STDEV.P($C$2:C215)</f>
        <v>17.74514549401535</v>
      </c>
      <c r="H215">
        <f t="shared" ca="1" si="64"/>
        <v>189.82278730747001</v>
      </c>
      <c r="I215">
        <f t="shared" ca="1" si="65"/>
        <v>154.33249631943929</v>
      </c>
      <c r="J215">
        <f t="shared" ca="1" si="74"/>
        <v>206.66050000000001</v>
      </c>
      <c r="K215">
        <f t="shared" ca="1" si="75"/>
        <v>3.4940528044092285</v>
      </c>
      <c r="L215">
        <f t="shared" ca="1" si="76"/>
        <v>213.64860560881846</v>
      </c>
      <c r="M215">
        <f t="shared" ca="1" si="77"/>
        <v>199.67239439118157</v>
      </c>
      <c r="N215">
        <f t="shared" ca="1" si="66"/>
        <v>0.94999999999998863</v>
      </c>
      <c r="O215">
        <f t="shared" ca="1" si="67"/>
        <v>0.94999999999998863</v>
      </c>
      <c r="P215">
        <f t="shared" ca="1" si="68"/>
        <v>0</v>
      </c>
      <c r="Q215">
        <f t="shared" ca="1" si="72"/>
        <v>1.0521042852548654</v>
      </c>
      <c r="R215">
        <f t="shared" ca="1" si="73"/>
        <v>0.800918242433445</v>
      </c>
      <c r="S215">
        <f t="shared" ca="1" si="70"/>
        <v>1.3136225765793985</v>
      </c>
      <c r="T215">
        <f t="shared" ca="1" si="71"/>
        <v>56.777738507442244</v>
      </c>
      <c r="U215">
        <f>70</f>
        <v>70</v>
      </c>
      <c r="V215">
        <f>30</f>
        <v>30</v>
      </c>
      <c r="W215">
        <f t="shared" ca="1" si="69"/>
        <v>207.43684897129481</v>
      </c>
      <c r="X215">
        <f t="shared" ca="1" si="58"/>
        <v>204.29406122195218</v>
      </c>
      <c r="Y215">
        <f t="shared" ca="1" si="57"/>
        <v>2.7778183684903297</v>
      </c>
      <c r="Z215">
        <f t="shared" ca="1" si="59"/>
        <v>3.4590729119136392</v>
      </c>
      <c r="AA215">
        <f t="shared" ca="1" si="60"/>
        <v>-0.68125454342330949</v>
      </c>
      <c r="AB215">
        <f t="shared" ca="1" si="61"/>
        <v>188.19789999999989</v>
      </c>
    </row>
    <row r="216" spans="1:28" x14ac:dyDescent="0.25">
      <c r="A216" s="20">
        <f t="shared" ca="1" si="62"/>
        <v>46013</v>
      </c>
      <c r="B216" vm="639">
        <f ca="1"/>
        <v>46014</v>
      </c>
      <c r="C216" vm="640">
        <f ca="1"/>
        <v>205.78</v>
      </c>
      <c r="D216" vm="641">
        <f ca="1"/>
        <v>7047346</v>
      </c>
      <c r="E216">
        <f t="shared" ca="1" si="63"/>
        <v>1450202859.8800001</v>
      </c>
      <c r="F216">
        <f ca="1">SUM($E$2:E216)/SUM($D$2:D216)</f>
        <v>172.20130917605059</v>
      </c>
      <c r="G216">
        <f ca="1">_xlfn.STDEV.P($C$2:C216)</f>
        <v>17.852202690725086</v>
      </c>
      <c r="H216">
        <f t="shared" ca="1" si="64"/>
        <v>190.05351186677566</v>
      </c>
      <c r="I216">
        <f t="shared" ca="1" si="65"/>
        <v>154.34910648532551</v>
      </c>
      <c r="J216">
        <f t="shared" ca="1" si="74"/>
        <v>206.64699999999999</v>
      </c>
      <c r="K216">
        <f t="shared" ca="1" si="75"/>
        <v>3.4970560551171572</v>
      </c>
      <c r="L216">
        <f t="shared" ca="1" si="76"/>
        <v>213.6411121102343</v>
      </c>
      <c r="M216">
        <f t="shared" ca="1" si="77"/>
        <v>199.65288788976568</v>
      </c>
      <c r="N216">
        <f t="shared" ca="1" si="66"/>
        <v>-1.539999999999992</v>
      </c>
      <c r="O216">
        <f t="shared" ca="1" si="67"/>
        <v>0</v>
      </c>
      <c r="P216">
        <f t="shared" ca="1" si="68"/>
        <v>1.539999999999992</v>
      </c>
      <c r="Q216">
        <f t="shared" ca="1" si="72"/>
        <v>0.97695397916523219</v>
      </c>
      <c r="R216">
        <f t="shared" ca="1" si="73"/>
        <v>0.85370979654534118</v>
      </c>
      <c r="S216">
        <f t="shared" ca="1" si="70"/>
        <v>1.144363088157845</v>
      </c>
      <c r="T216">
        <f t="shared" ca="1" si="71"/>
        <v>53.366106443332377</v>
      </c>
      <c r="U216">
        <f>70</f>
        <v>70</v>
      </c>
      <c r="V216">
        <f>30</f>
        <v>30</v>
      </c>
      <c r="W216">
        <f t="shared" ca="1" si="69"/>
        <v>207.18194912955715</v>
      </c>
      <c r="X216">
        <f t="shared" ca="1" si="58"/>
        <v>204.40413076106682</v>
      </c>
      <c r="Y216">
        <f t="shared" ca="1" si="57"/>
        <v>2.6197618066431687</v>
      </c>
      <c r="Z216">
        <f t="shared" ca="1" si="59"/>
        <v>3.2912106908595451</v>
      </c>
      <c r="AA216">
        <f t="shared" ca="1" si="60"/>
        <v>-0.67144888421637638</v>
      </c>
      <c r="AB216">
        <f t="shared" ca="1" si="61"/>
        <v>188.58239999999989</v>
      </c>
    </row>
    <row r="217" spans="1:28" x14ac:dyDescent="0.25">
      <c r="A217" s="20">
        <f t="shared" ca="1" si="62"/>
        <v>46013</v>
      </c>
      <c r="B217" vm="642">
        <f ca="1"/>
        <v>46015</v>
      </c>
      <c r="C217" vm="643">
        <f ca="1"/>
        <v>207.78</v>
      </c>
      <c r="D217" vm="644">
        <f ca="1"/>
        <v>2376541</v>
      </c>
      <c r="E217">
        <f t="shared" ca="1" si="63"/>
        <v>493797688.98000002</v>
      </c>
      <c r="F217">
        <f ca="1">SUM($E$2:E217)/SUM($D$2:D217)</f>
        <v>172.24528028512978</v>
      </c>
      <c r="G217">
        <f ca="1">_xlfn.STDEV.P($C$2:C217)</f>
        <v>17.974035771967969</v>
      </c>
      <c r="H217">
        <f t="shared" ca="1" si="64"/>
        <v>190.21931605709776</v>
      </c>
      <c r="I217">
        <f t="shared" ca="1" si="65"/>
        <v>154.2712445131618</v>
      </c>
      <c r="J217">
        <f t="shared" ca="1" si="74"/>
        <v>206.70250000000001</v>
      </c>
      <c r="K217">
        <f t="shared" ca="1" si="75"/>
        <v>3.5062363612644005</v>
      </c>
      <c r="L217">
        <f t="shared" ca="1" si="76"/>
        <v>213.71497272252881</v>
      </c>
      <c r="M217">
        <f t="shared" ca="1" si="77"/>
        <v>199.69002727747122</v>
      </c>
      <c r="N217">
        <f t="shared" ca="1" si="66"/>
        <v>2</v>
      </c>
      <c r="O217">
        <f t="shared" ca="1" si="67"/>
        <v>2</v>
      </c>
      <c r="P217">
        <f t="shared" ca="1" si="68"/>
        <v>0</v>
      </c>
      <c r="Q217">
        <f t="shared" ca="1" si="72"/>
        <v>1.0500286949391442</v>
      </c>
      <c r="R217">
        <f t="shared" ca="1" si="73"/>
        <v>0.79273052536353106</v>
      </c>
      <c r="S217">
        <f t="shared" ca="1" si="70"/>
        <v>1.3245720473014724</v>
      </c>
      <c r="T217">
        <f t="shared" ca="1" si="71"/>
        <v>56.9813290510453</v>
      </c>
      <c r="U217">
        <f>70</f>
        <v>70</v>
      </c>
      <c r="V217">
        <f>30</f>
        <v>30</v>
      </c>
      <c r="W217">
        <f t="shared" ca="1" si="69"/>
        <v>207.27395695577911</v>
      </c>
      <c r="X217">
        <f t="shared" ca="1" si="58"/>
        <v>204.65419514913594</v>
      </c>
      <c r="Y217">
        <f t="shared" ca="1" si="57"/>
        <v>2.4541076706473177</v>
      </c>
      <c r="Z217">
        <f t="shared" ca="1" si="59"/>
        <v>3.1237900868170998</v>
      </c>
      <c r="AA217">
        <f t="shared" ca="1" si="60"/>
        <v>-0.66968241616978208</v>
      </c>
      <c r="AB217">
        <f t="shared" ca="1" si="61"/>
        <v>188.9497999999999</v>
      </c>
    </row>
    <row r="218" spans="1:28" x14ac:dyDescent="0.25">
      <c r="A218" s="20">
        <f t="shared" ca="1" si="62"/>
        <v>46013</v>
      </c>
      <c r="B218" vm="645">
        <f ca="1"/>
        <v>46017</v>
      </c>
      <c r="C218" vm="646">
        <f ca="1"/>
        <v>207.63</v>
      </c>
      <c r="D218" vm="647">
        <f ca="1"/>
        <v>2316730</v>
      </c>
      <c r="E218">
        <f t="shared" ca="1" si="63"/>
        <v>481022649.89999998</v>
      </c>
      <c r="F218">
        <f ca="1">SUM($E$2:E218)/SUM($D$2:D218)</f>
        <v>172.28785977103479</v>
      </c>
      <c r="G218">
        <f ca="1">_xlfn.STDEV.P($C$2:C218)</f>
        <v>18.091111484024673</v>
      </c>
      <c r="H218">
        <f t="shared" ca="1" si="64"/>
        <v>190.37897125505947</v>
      </c>
      <c r="I218">
        <f t="shared" ca="1" si="65"/>
        <v>154.19674828701011</v>
      </c>
      <c r="J218">
        <f t="shared" ca="1" si="74"/>
        <v>206.70600000000005</v>
      </c>
      <c r="K218">
        <f t="shared" ca="1" si="75"/>
        <v>3.5071722002355767</v>
      </c>
      <c r="L218">
        <f t="shared" ca="1" si="76"/>
        <v>213.72034440047119</v>
      </c>
      <c r="M218">
        <f t="shared" ca="1" si="77"/>
        <v>199.6916555995289</v>
      </c>
      <c r="N218">
        <f t="shared" ca="1" si="66"/>
        <v>-0.15000000000000568</v>
      </c>
      <c r="O218">
        <f t="shared" ca="1" si="67"/>
        <v>0</v>
      </c>
      <c r="P218">
        <f t="shared" ca="1" si="68"/>
        <v>0.15000000000000568</v>
      </c>
      <c r="Q218">
        <f t="shared" ca="1" si="72"/>
        <v>0.97502664530063388</v>
      </c>
      <c r="R218">
        <f t="shared" ca="1" si="73"/>
        <v>0.74682120212327929</v>
      </c>
      <c r="S218">
        <f t="shared" ca="1" si="70"/>
        <v>1.305569047221137</v>
      </c>
      <c r="T218">
        <f t="shared" ca="1" si="71"/>
        <v>56.626759835916303</v>
      </c>
      <c r="U218">
        <f>70</f>
        <v>70</v>
      </c>
      <c r="V218">
        <f>30</f>
        <v>30</v>
      </c>
      <c r="W218">
        <f t="shared" ca="1" si="69"/>
        <v>207.32873280873616</v>
      </c>
      <c r="X218">
        <f t="shared" ca="1" si="58"/>
        <v>204.87462513808885</v>
      </c>
      <c r="Y218">
        <f t="shared" ca="1" si="57"/>
        <v>2.2907705820962008</v>
      </c>
      <c r="Z218">
        <f t="shared" ca="1" si="59"/>
        <v>2.9571861858729198</v>
      </c>
      <c r="AA218">
        <f t="shared" ca="1" si="60"/>
        <v>-0.66641560377671905</v>
      </c>
      <c r="AB218">
        <f t="shared" ca="1" si="61"/>
        <v>189.31869999999992</v>
      </c>
    </row>
    <row r="219" spans="1:28" x14ac:dyDescent="0.25">
      <c r="A219" s="20">
        <f t="shared" ca="1" si="62"/>
        <v>46020</v>
      </c>
      <c r="B219" vm="648">
        <f ca="1"/>
        <v>46020</v>
      </c>
      <c r="C219" vm="586">
        <f ca="1"/>
        <v>207.56</v>
      </c>
      <c r="D219" vm="649">
        <f ca="1"/>
        <v>4348854</v>
      </c>
      <c r="E219">
        <f t="shared" ca="1" si="63"/>
        <v>902648136.24000001</v>
      </c>
      <c r="F219">
        <f ca="1">SUM($E$2:E219)/SUM($D$2:D219)</f>
        <v>172.3673540691363</v>
      </c>
      <c r="G219">
        <f ca="1">_xlfn.STDEV.P($C$2:C219)</f>
        <v>18.204322149204692</v>
      </c>
      <c r="H219">
        <f t="shared" ca="1" si="64"/>
        <v>190.571676218341</v>
      </c>
      <c r="I219">
        <f t="shared" ca="1" si="65"/>
        <v>154.1630319199316</v>
      </c>
      <c r="J219">
        <f t="shared" ca="1" si="74"/>
        <v>206.73800000000006</v>
      </c>
      <c r="K219">
        <f t="shared" ca="1" si="75"/>
        <v>3.5121437448103574</v>
      </c>
      <c r="L219">
        <f t="shared" ca="1" si="76"/>
        <v>213.76228748962077</v>
      </c>
      <c r="M219">
        <f t="shared" ca="1" si="77"/>
        <v>199.71371251037934</v>
      </c>
      <c r="N219">
        <f t="shared" ca="1" si="66"/>
        <v>-6.9999999999993179E-2</v>
      </c>
      <c r="O219">
        <f t="shared" ca="1" si="67"/>
        <v>0</v>
      </c>
      <c r="P219">
        <f t="shared" ca="1" si="68"/>
        <v>6.9999999999993179E-2</v>
      </c>
      <c r="Q219">
        <f t="shared" ca="1" si="72"/>
        <v>0.9053818849220171</v>
      </c>
      <c r="R219">
        <f t="shared" ca="1" si="73"/>
        <v>0.69847683054304455</v>
      </c>
      <c r="S219">
        <f t="shared" ca="1" si="70"/>
        <v>1.2962232179099056</v>
      </c>
      <c r="T219">
        <f t="shared" ca="1" si="71"/>
        <v>56.45022695527696</v>
      </c>
      <c r="U219">
        <f>70</f>
        <v>70</v>
      </c>
      <c r="V219">
        <f>30</f>
        <v>30</v>
      </c>
      <c r="W219">
        <f t="shared" ca="1" si="69"/>
        <v>207.36431237662291</v>
      </c>
      <c r="X219">
        <f t="shared" ca="1" si="58"/>
        <v>205.0735417945267</v>
      </c>
      <c r="Y219">
        <f t="shared" ca="1" si="57"/>
        <v>2.0848424291618812</v>
      </c>
      <c r="Z219">
        <f t="shared" ca="1" si="59"/>
        <v>2.7827174345307122</v>
      </c>
      <c r="AA219">
        <f t="shared" ca="1" si="60"/>
        <v>-0.69787500536883096</v>
      </c>
      <c r="AB219">
        <f t="shared" ca="1" si="61"/>
        <v>189.68839999999992</v>
      </c>
    </row>
    <row r="220" spans="1:28" x14ac:dyDescent="0.25">
      <c r="A220" s="20">
        <f t="shared" ca="1" si="62"/>
        <v>46020</v>
      </c>
      <c r="B220" vm="650">
        <f ca="1"/>
        <v>46021</v>
      </c>
      <c r="C220" vm="651">
        <f ca="1"/>
        <v>206.91</v>
      </c>
      <c r="D220" vm="652">
        <f ca="1"/>
        <v>3937395</v>
      </c>
      <c r="E220">
        <f t="shared" ca="1" si="63"/>
        <v>814686399.44999993</v>
      </c>
      <c r="F220">
        <f ca="1">SUM($E$2:E220)/SUM($D$2:D220)</f>
        <v>172.43769508674453</v>
      </c>
      <c r="G220">
        <f ca="1">_xlfn.STDEV.P($C$2:C220)</f>
        <v>18.308839196156644</v>
      </c>
      <c r="H220">
        <f t="shared" ca="1" si="64"/>
        <v>190.74653428290117</v>
      </c>
      <c r="I220">
        <f t="shared" ca="1" si="65"/>
        <v>154.12885589058789</v>
      </c>
      <c r="J220">
        <f t="shared" ca="1" si="74"/>
        <v>206.81650000000005</v>
      </c>
      <c r="K220">
        <f t="shared" ca="1" si="75"/>
        <v>3.4967643314174999</v>
      </c>
      <c r="L220">
        <f t="shared" ca="1" si="76"/>
        <v>213.81002866283504</v>
      </c>
      <c r="M220">
        <f t="shared" ca="1" si="77"/>
        <v>199.82297133716506</v>
      </c>
      <c r="N220">
        <f t="shared" ca="1" si="66"/>
        <v>-0.65000000000000568</v>
      </c>
      <c r="O220">
        <f t="shared" ca="1" si="67"/>
        <v>0</v>
      </c>
      <c r="P220">
        <f t="shared" ca="1" si="68"/>
        <v>0.65000000000000568</v>
      </c>
      <c r="Q220">
        <f t="shared" ca="1" si="72"/>
        <v>0.84071175028473011</v>
      </c>
      <c r="R220">
        <f t="shared" ca="1" si="73"/>
        <v>0.69501419978997026</v>
      </c>
      <c r="S220">
        <f t="shared" ca="1" si="70"/>
        <v>1.2096324802267189</v>
      </c>
      <c r="T220">
        <f t="shared" ca="1" si="71"/>
        <v>54.743605149332559</v>
      </c>
      <c r="U220">
        <f>70</f>
        <v>70</v>
      </c>
      <c r="V220">
        <f>30</f>
        <v>30</v>
      </c>
      <c r="W220">
        <f t="shared" ca="1" si="69"/>
        <v>207.29441816483475</v>
      </c>
      <c r="X220">
        <f t="shared" ca="1" si="58"/>
        <v>205.20957573567287</v>
      </c>
      <c r="Y220">
        <f t="shared" ref="Y220:Y250" ca="1" si="78">W221-X221</f>
        <v>1.9029347033112174</v>
      </c>
      <c r="Z220">
        <f t="shared" ca="1" si="59"/>
        <v>2.6067608882868134</v>
      </c>
      <c r="AA220">
        <f t="shared" ca="1" si="60"/>
        <v>-0.70382618497559601</v>
      </c>
      <c r="AB220">
        <f t="shared" ca="1" si="61"/>
        <v>190.04219999999998</v>
      </c>
    </row>
    <row r="221" spans="1:28" x14ac:dyDescent="0.25">
      <c r="A221" s="20">
        <f t="shared" ca="1" si="62"/>
        <v>46020</v>
      </c>
      <c r="B221" vm="653">
        <f ca="1"/>
        <v>46022</v>
      </c>
      <c r="C221" vm="654">
        <f ca="1"/>
        <v>206.95</v>
      </c>
      <c r="D221" vm="655">
        <f ca="1"/>
        <v>4084013</v>
      </c>
      <c r="E221">
        <f t="shared" ca="1" si="63"/>
        <v>845186490.3499999</v>
      </c>
      <c r="F221">
        <f ca="1">SUM($E$2:E221)/SUM($D$2:D221)</f>
        <v>172.51043768338937</v>
      </c>
      <c r="G221">
        <f ca="1">_xlfn.STDEV.P($C$2:C221)</f>
        <v>18.410846352890335</v>
      </c>
      <c r="H221">
        <f t="shared" ca="1" si="64"/>
        <v>190.9212840362797</v>
      </c>
      <c r="I221">
        <f t="shared" ca="1" si="65"/>
        <v>154.09959133049904</v>
      </c>
      <c r="J221">
        <f t="shared" ca="1" si="74"/>
        <v>206.89300000000003</v>
      </c>
      <c r="K221">
        <f t="shared" ca="1" si="75"/>
        <v>3.4813066210079335</v>
      </c>
      <c r="L221">
        <f t="shared" ca="1" si="76"/>
        <v>213.85561324201589</v>
      </c>
      <c r="M221">
        <f t="shared" ca="1" si="77"/>
        <v>199.93038675798417</v>
      </c>
      <c r="N221">
        <f t="shared" ca="1" si="66"/>
        <v>3.9999999999992042E-2</v>
      </c>
      <c r="O221">
        <f t="shared" ca="1" si="67"/>
        <v>3.9999999999992042E-2</v>
      </c>
      <c r="P221">
        <f t="shared" ca="1" si="68"/>
        <v>0</v>
      </c>
      <c r="Q221">
        <f t="shared" ca="1" si="72"/>
        <v>0.78351805383582018</v>
      </c>
      <c r="R221">
        <f t="shared" ca="1" si="73"/>
        <v>0.64537032837640085</v>
      </c>
      <c r="S221">
        <f t="shared" ca="1" si="70"/>
        <v>1.2140596172231319</v>
      </c>
      <c r="T221">
        <f t="shared" ca="1" si="71"/>
        <v>54.834097861637645</v>
      </c>
      <c r="U221">
        <f>70</f>
        <v>70</v>
      </c>
      <c r="V221">
        <f>30</f>
        <v>30</v>
      </c>
      <c r="W221">
        <f t="shared" ca="1" si="69"/>
        <v>207.24143075486018</v>
      </c>
      <c r="X221">
        <f t="shared" ref="X221:X251" ca="1" si="79">C221*(2/(26+1)) + X220*(1-(2/(26+1)))</f>
        <v>205.33849605154896</v>
      </c>
      <c r="Y221">
        <f t="shared" ca="1" si="78"/>
        <v>1.7706373716241046</v>
      </c>
      <c r="Z221">
        <f t="shared" ca="1" si="59"/>
        <v>2.4395361849542718</v>
      </c>
      <c r="AA221">
        <f t="shared" ca="1" si="60"/>
        <v>-0.66889881333016721</v>
      </c>
      <c r="AB221">
        <f t="shared" ca="1" si="61"/>
        <v>190.37839999999997</v>
      </c>
    </row>
    <row r="222" spans="1:28" x14ac:dyDescent="0.25">
      <c r="A222" s="20">
        <f t="shared" ca="1" si="62"/>
        <v>46020</v>
      </c>
      <c r="B222" vm="656">
        <f ca="1"/>
        <v>46024</v>
      </c>
      <c r="C222" vm="657">
        <f ca="1"/>
        <v>207.35</v>
      </c>
      <c r="D222" vm="658">
        <f ca="1"/>
        <v>6325672</v>
      </c>
      <c r="E222">
        <f t="shared" ca="1" si="63"/>
        <v>1311628089.2</v>
      </c>
      <c r="F222">
        <f ca="1">SUM($E$2:E222)/SUM($D$2:D222)</f>
        <v>172.62380596810368</v>
      </c>
      <c r="G222">
        <f ca="1">_xlfn.STDEV.P($C$2:C222)</f>
        <v>18.513419460178046</v>
      </c>
      <c r="H222">
        <f t="shared" ca="1" si="64"/>
        <v>191.13722542828174</v>
      </c>
      <c r="I222">
        <f t="shared" ca="1" si="65"/>
        <v>154.11038650792563</v>
      </c>
      <c r="J222">
        <f t="shared" ca="1" si="74"/>
        <v>206.994</v>
      </c>
      <c r="K222">
        <f t="shared" ca="1" si="75"/>
        <v>3.462827259852697</v>
      </c>
      <c r="L222">
        <f t="shared" ca="1" si="76"/>
        <v>213.9196545197054</v>
      </c>
      <c r="M222">
        <f t="shared" ca="1" si="77"/>
        <v>200.0683454802946</v>
      </c>
      <c r="N222">
        <f t="shared" ca="1" si="66"/>
        <v>0.40000000000000568</v>
      </c>
      <c r="O222">
        <f t="shared" ca="1" si="67"/>
        <v>0.40000000000000568</v>
      </c>
      <c r="P222">
        <f t="shared" ca="1" si="68"/>
        <v>0</v>
      </c>
      <c r="Q222">
        <f t="shared" ca="1" si="72"/>
        <v>0.75612390713326205</v>
      </c>
      <c r="R222">
        <f t="shared" ca="1" si="73"/>
        <v>0.59927244777808653</v>
      </c>
      <c r="S222">
        <f t="shared" ca="1" si="70"/>
        <v>1.2617364771845114</v>
      </c>
      <c r="T222">
        <f t="shared" ca="1" si="71"/>
        <v>55.786184195745257</v>
      </c>
      <c r="U222">
        <f>70</f>
        <v>70</v>
      </c>
      <c r="V222">
        <f>30</f>
        <v>30</v>
      </c>
      <c r="W222">
        <f t="shared" ca="1" si="69"/>
        <v>207.25813371565093</v>
      </c>
      <c r="X222">
        <f t="shared" ca="1" si="79"/>
        <v>205.48749634402682</v>
      </c>
      <c r="Y222">
        <f t="shared" ca="1" si="78"/>
        <v>1.4043002898564225</v>
      </c>
      <c r="Z222">
        <f t="shared" ca="1" si="59"/>
        <v>2.2324890059347018</v>
      </c>
      <c r="AA222">
        <f t="shared" ca="1" si="60"/>
        <v>-0.82818871607827926</v>
      </c>
      <c r="AB222">
        <f t="shared" ca="1" si="61"/>
        <v>190.71369999999996</v>
      </c>
    </row>
    <row r="223" spans="1:28" x14ac:dyDescent="0.25">
      <c r="A223" s="20">
        <f t="shared" ca="1" si="62"/>
        <v>46027</v>
      </c>
      <c r="B223" vm="659">
        <f ca="1"/>
        <v>46027</v>
      </c>
      <c r="C223" vm="660">
        <f ca="1"/>
        <v>204.31</v>
      </c>
      <c r="D223" vm="661">
        <f ca="1"/>
        <v>9476975</v>
      </c>
      <c r="E223">
        <f t="shared" ca="1" si="63"/>
        <v>1936240762.25</v>
      </c>
      <c r="F223">
        <f ca="1">SUM($E$2:E223)/SUM($D$2:D223)</f>
        <v>172.77752935742888</v>
      </c>
      <c r="G223">
        <f ca="1">_xlfn.STDEV.P($C$2:C223)</f>
        <v>18.58926834836284</v>
      </c>
      <c r="H223">
        <f t="shared" ca="1" si="64"/>
        <v>191.36679770579173</v>
      </c>
      <c r="I223">
        <f t="shared" ca="1" si="65"/>
        <v>154.18826100906603</v>
      </c>
      <c r="J223">
        <f t="shared" ca="1" si="74"/>
        <v>207.0855</v>
      </c>
      <c r="K223">
        <f t="shared" ca="1" si="75"/>
        <v>3.3599224223500332</v>
      </c>
      <c r="L223">
        <f t="shared" ca="1" si="76"/>
        <v>213.80534484470007</v>
      </c>
      <c r="M223">
        <f t="shared" ca="1" si="77"/>
        <v>200.36565515529992</v>
      </c>
      <c r="N223">
        <f t="shared" ca="1" si="66"/>
        <v>-3.039999999999992</v>
      </c>
      <c r="O223">
        <f t="shared" ca="1" si="67"/>
        <v>0</v>
      </c>
      <c r="P223">
        <f t="shared" ca="1" si="68"/>
        <v>3.039999999999992</v>
      </c>
      <c r="Q223">
        <f t="shared" ca="1" si="72"/>
        <v>0.70211505662374329</v>
      </c>
      <c r="R223">
        <f t="shared" ca="1" si="73"/>
        <v>0.77361013007965107</v>
      </c>
      <c r="S223">
        <f t="shared" ca="1" si="70"/>
        <v>0.90758255266312682</v>
      </c>
      <c r="T223">
        <f t="shared" ca="1" si="71"/>
        <v>47.577629151413355</v>
      </c>
      <c r="U223">
        <f>70</f>
        <v>70</v>
      </c>
      <c r="V223">
        <f>30</f>
        <v>30</v>
      </c>
      <c r="W223">
        <f t="shared" ca="1" si="69"/>
        <v>206.80457468247386</v>
      </c>
      <c r="X223">
        <f t="shared" ca="1" si="79"/>
        <v>205.40027439261743</v>
      </c>
      <c r="Y223">
        <f t="shared" ca="1" si="78"/>
        <v>1.1395712338862154</v>
      </c>
      <c r="Z223">
        <f t="shared" ca="1" si="59"/>
        <v>2.0139054515250048</v>
      </c>
      <c r="AA223">
        <f t="shared" ca="1" si="60"/>
        <v>-0.87433421763878938</v>
      </c>
      <c r="AB223">
        <f t="shared" ca="1" si="61"/>
        <v>191.02899999999994</v>
      </c>
    </row>
    <row r="224" spans="1:28" x14ac:dyDescent="0.25">
      <c r="A224" s="20">
        <f t="shared" ca="1" si="62"/>
        <v>46027</v>
      </c>
      <c r="B224" vm="662">
        <f ca="1"/>
        <v>46028</v>
      </c>
      <c r="C224" vm="663">
        <f ca="1"/>
        <v>204.79</v>
      </c>
      <c r="D224" vm="664">
        <f ca="1"/>
        <v>8107853</v>
      </c>
      <c r="E224">
        <f t="shared" ca="1" si="63"/>
        <v>1660407215.8699999</v>
      </c>
      <c r="F224">
        <f ca="1">SUM($E$2:E224)/SUM($D$2:D224)</f>
        <v>172.90984962377271</v>
      </c>
      <c r="G224">
        <f ca="1">_xlfn.STDEV.P($C$2:C224)</f>
        <v>18.666680903730644</v>
      </c>
      <c r="H224">
        <f t="shared" ca="1" si="64"/>
        <v>191.57653052750337</v>
      </c>
      <c r="I224">
        <f t="shared" ca="1" si="65"/>
        <v>154.24316872004206</v>
      </c>
      <c r="J224">
        <f t="shared" ca="1" si="74"/>
        <v>207.22850000000003</v>
      </c>
      <c r="K224">
        <f t="shared" ca="1" si="75"/>
        <v>3.1852757874484365</v>
      </c>
      <c r="L224">
        <f t="shared" ca="1" si="76"/>
        <v>213.59905157489689</v>
      </c>
      <c r="M224">
        <f t="shared" ca="1" si="77"/>
        <v>200.85794842510316</v>
      </c>
      <c r="N224">
        <f t="shared" ca="1" si="66"/>
        <v>0.47999999999998977</v>
      </c>
      <c r="O224">
        <f t="shared" ca="1" si="67"/>
        <v>0.47999999999998977</v>
      </c>
      <c r="P224">
        <f t="shared" ca="1" si="68"/>
        <v>0</v>
      </c>
      <c r="Q224">
        <f t="shared" ca="1" si="72"/>
        <v>0.68624969543633241</v>
      </c>
      <c r="R224">
        <f t="shared" ca="1" si="73"/>
        <v>0.71835226364539029</v>
      </c>
      <c r="S224">
        <f t="shared" ca="1" si="70"/>
        <v>0.95531082752332619</v>
      </c>
      <c r="T224">
        <f t="shared" ca="1" si="71"/>
        <v>48.857236101605416</v>
      </c>
      <c r="U224">
        <f>70</f>
        <v>70</v>
      </c>
      <c r="V224">
        <f>30</f>
        <v>30</v>
      </c>
      <c r="W224">
        <f t="shared" ca="1" si="69"/>
        <v>206.4946401159394</v>
      </c>
      <c r="X224">
        <f t="shared" ca="1" si="79"/>
        <v>205.35506888205319</v>
      </c>
      <c r="Y224">
        <f t="shared" ca="1" si="78"/>
        <v>1.1345604779678524</v>
      </c>
      <c r="Z224">
        <f t="shared" ca="1" si="59"/>
        <v>1.8380364568135743</v>
      </c>
      <c r="AA224">
        <f t="shared" ca="1" si="60"/>
        <v>-0.70347597884572188</v>
      </c>
      <c r="AB224">
        <f t="shared" ca="1" si="61"/>
        <v>191.33270000000002</v>
      </c>
    </row>
    <row r="225" spans="1:28" x14ac:dyDescent="0.25">
      <c r="A225" s="20">
        <f t="shared" ca="1" si="62"/>
        <v>46027</v>
      </c>
      <c r="B225" vm="665">
        <f ca="1"/>
        <v>46029</v>
      </c>
      <c r="C225" vm="666">
        <f ca="1"/>
        <v>207.49</v>
      </c>
      <c r="D225" vm="667">
        <f ca="1"/>
        <v>7545920</v>
      </c>
      <c r="E225">
        <f t="shared" ca="1" si="63"/>
        <v>1565702940.8</v>
      </c>
      <c r="F225">
        <f ca="1">SUM($E$2:E225)/SUM($D$2:D225)</f>
        <v>173.04236701848203</v>
      </c>
      <c r="G225">
        <f ca="1">_xlfn.STDEV.P($C$2:C225)</f>
        <v>18.762975099016593</v>
      </c>
      <c r="H225">
        <f t="shared" ca="1" si="64"/>
        <v>191.80534211749861</v>
      </c>
      <c r="I225">
        <f t="shared" ca="1" si="65"/>
        <v>154.27939191946544</v>
      </c>
      <c r="J225">
        <f t="shared" ca="1" si="74"/>
        <v>207.52199999999999</v>
      </c>
      <c r="K225">
        <f t="shared" ca="1" si="75"/>
        <v>2.8988556725932928</v>
      </c>
      <c r="L225">
        <f t="shared" ca="1" si="76"/>
        <v>213.31971134518659</v>
      </c>
      <c r="M225">
        <f t="shared" ca="1" si="77"/>
        <v>201.72428865481339</v>
      </c>
      <c r="N225">
        <f t="shared" ca="1" si="66"/>
        <v>2.7000000000000171</v>
      </c>
      <c r="O225">
        <f t="shared" ca="1" si="67"/>
        <v>2.7000000000000171</v>
      </c>
      <c r="P225">
        <f t="shared" ca="1" si="68"/>
        <v>0</v>
      </c>
      <c r="Q225">
        <f t="shared" ca="1" si="72"/>
        <v>0.83008900290516696</v>
      </c>
      <c r="R225">
        <f t="shared" ca="1" si="73"/>
        <v>0.66704138767071952</v>
      </c>
      <c r="S225">
        <f t="shared" ca="1" si="70"/>
        <v>1.2444340310033877</v>
      </c>
      <c r="T225">
        <f t="shared" ca="1" si="71"/>
        <v>55.445337836329983</v>
      </c>
      <c r="U225">
        <f>70</f>
        <v>70</v>
      </c>
      <c r="V225">
        <f>30</f>
        <v>30</v>
      </c>
      <c r="W225">
        <f t="shared" ca="1" si="69"/>
        <v>206.64777240579488</v>
      </c>
      <c r="X225">
        <f t="shared" ca="1" si="79"/>
        <v>205.51321192782703</v>
      </c>
      <c r="Y225">
        <f t="shared" ca="1" si="78"/>
        <v>0.9789017891091305</v>
      </c>
      <c r="Z225">
        <f t="shared" ca="1" si="59"/>
        <v>1.6662095232726855</v>
      </c>
      <c r="AA225">
        <f t="shared" ca="1" si="60"/>
        <v>-0.68730773416355495</v>
      </c>
      <c r="AB225">
        <f t="shared" ca="1" si="61"/>
        <v>191.66040000000001</v>
      </c>
    </row>
    <row r="226" spans="1:28" x14ac:dyDescent="0.25">
      <c r="A226" s="20">
        <f t="shared" ca="1" si="62"/>
        <v>46027</v>
      </c>
      <c r="B226" vm="668">
        <f ca="1"/>
        <v>46030</v>
      </c>
      <c r="C226" vm="669">
        <f ca="1"/>
        <v>205.75</v>
      </c>
      <c r="D226" vm="670">
        <f ca="1"/>
        <v>6557776</v>
      </c>
      <c r="E226">
        <f t="shared" ca="1" si="63"/>
        <v>1349262412</v>
      </c>
      <c r="F226">
        <f ca="1">SUM($E$2:E226)/SUM($D$2:D226)</f>
        <v>173.15093344857567</v>
      </c>
      <c r="G226">
        <f ca="1">_xlfn.STDEV.P($C$2:C226)</f>
        <v>18.8432183072795</v>
      </c>
      <c r="H226">
        <f t="shared" ca="1" si="64"/>
        <v>191.99415175585517</v>
      </c>
      <c r="I226">
        <f t="shared" ca="1" si="65"/>
        <v>154.30771514129617</v>
      </c>
      <c r="J226">
        <f t="shared" ca="1" si="74"/>
        <v>207.81149999999997</v>
      </c>
      <c r="K226">
        <f t="shared" ca="1" si="75"/>
        <v>2.3389590014633259</v>
      </c>
      <c r="L226">
        <f t="shared" ca="1" si="76"/>
        <v>212.48941800292661</v>
      </c>
      <c r="M226">
        <f t="shared" ca="1" si="77"/>
        <v>203.13358199707332</v>
      </c>
      <c r="N226">
        <f t="shared" ca="1" si="66"/>
        <v>-1.7400000000000091</v>
      </c>
      <c r="O226">
        <f t="shared" ca="1" si="67"/>
        <v>0</v>
      </c>
      <c r="P226">
        <f t="shared" ca="1" si="68"/>
        <v>1.7400000000000091</v>
      </c>
      <c r="Q226">
        <f t="shared" ca="1" si="72"/>
        <v>0.77079693126908366</v>
      </c>
      <c r="R226">
        <f t="shared" ca="1" si="73"/>
        <v>0.74368128855138305</v>
      </c>
      <c r="S226">
        <f t="shared" ca="1" si="70"/>
        <v>1.0364613755047127</v>
      </c>
      <c r="T226">
        <f t="shared" ca="1" si="71"/>
        <v>50.895214020341442</v>
      </c>
      <c r="U226">
        <f>70</f>
        <v>70</v>
      </c>
      <c r="V226">
        <f>30</f>
        <v>30</v>
      </c>
      <c r="W226">
        <f t="shared" ca="1" si="69"/>
        <v>206.50965357413415</v>
      </c>
      <c r="X226">
        <f t="shared" ca="1" si="79"/>
        <v>205.53075178502502</v>
      </c>
      <c r="Y226">
        <f t="shared" ca="1" si="78"/>
        <v>0.7373013714664296</v>
      </c>
      <c r="Z226">
        <f t="shared" ca="1" si="59"/>
        <v>1.4804278929114345</v>
      </c>
      <c r="AA226">
        <f t="shared" ca="1" si="60"/>
        <v>-0.74312652144500491</v>
      </c>
      <c r="AB226">
        <f t="shared" ca="1" si="61"/>
        <v>191.95149999999998</v>
      </c>
    </row>
    <row r="227" spans="1:28" x14ac:dyDescent="0.25">
      <c r="A227" s="20">
        <f t="shared" ca="1" si="62"/>
        <v>46027</v>
      </c>
      <c r="B227" vm="671">
        <f ca="1"/>
        <v>46031</v>
      </c>
      <c r="C227" vm="672">
        <f ca="1"/>
        <v>204.39</v>
      </c>
      <c r="D227" vm="673">
        <f ca="1"/>
        <v>6154326</v>
      </c>
      <c r="E227">
        <f t="shared" ca="1" si="63"/>
        <v>1257882691.1399999</v>
      </c>
      <c r="F227">
        <f ca="1">SUM($E$2:E227)/SUM($D$2:D227)</f>
        <v>173.24794370367752</v>
      </c>
      <c r="G227">
        <f ca="1">_xlfn.STDEV.P($C$2:C227)</f>
        <v>18.911417303852037</v>
      </c>
      <c r="H227">
        <f t="shared" ca="1" si="64"/>
        <v>192.15936100752955</v>
      </c>
      <c r="I227">
        <f t="shared" ca="1" si="65"/>
        <v>154.33652639982549</v>
      </c>
      <c r="J227">
        <f t="shared" ca="1" si="74"/>
        <v>207.70400000000001</v>
      </c>
      <c r="K227">
        <f t="shared" ca="1" si="75"/>
        <v>2.4473689417090574</v>
      </c>
      <c r="L227">
        <f t="shared" ca="1" si="76"/>
        <v>212.59873788341812</v>
      </c>
      <c r="M227">
        <f t="shared" ca="1" si="77"/>
        <v>202.80926211658189</v>
      </c>
      <c r="N227">
        <f t="shared" ca="1" si="66"/>
        <v>-1.3600000000000136</v>
      </c>
      <c r="O227">
        <f t="shared" ca="1" si="67"/>
        <v>0</v>
      </c>
      <c r="P227">
        <f t="shared" ca="1" si="68"/>
        <v>1.3600000000000136</v>
      </c>
      <c r="Q227">
        <f t="shared" ca="1" si="72"/>
        <v>0.71574000760700618</v>
      </c>
      <c r="R227">
        <f t="shared" ca="1" si="73"/>
        <v>0.78770405365485663</v>
      </c>
      <c r="S227">
        <f t="shared" ca="1" si="70"/>
        <v>0.90864075700265157</v>
      </c>
      <c r="T227">
        <f t="shared" ca="1" si="71"/>
        <v>47.606693594324689</v>
      </c>
      <c r="U227">
        <f>70</f>
        <v>70</v>
      </c>
      <c r="V227">
        <f>30</f>
        <v>30</v>
      </c>
      <c r="W227">
        <f t="shared" ca="1" si="69"/>
        <v>206.18355302426735</v>
      </c>
      <c r="X227">
        <f t="shared" ca="1" si="79"/>
        <v>205.44625165280092</v>
      </c>
      <c r="Y227">
        <f t="shared" ca="1" si="78"/>
        <v>0.96479618531938627</v>
      </c>
      <c r="Z227">
        <f t="shared" ca="1" si="59"/>
        <v>1.3773015513930249</v>
      </c>
      <c r="AA227">
        <f t="shared" ca="1" si="60"/>
        <v>-0.41250536607363864</v>
      </c>
      <c r="AB227">
        <f t="shared" ca="1" si="61"/>
        <v>192.23289999999997</v>
      </c>
    </row>
    <row r="228" spans="1:28" x14ac:dyDescent="0.25">
      <c r="A228" s="20">
        <f t="shared" ca="1" si="62"/>
        <v>46034</v>
      </c>
      <c r="B228" vm="674">
        <f ca="1"/>
        <v>46034</v>
      </c>
      <c r="C228" vm="675">
        <f ca="1"/>
        <v>209.72</v>
      </c>
      <c r="D228" vm="676">
        <f ca="1"/>
        <v>11794339</v>
      </c>
      <c r="E228">
        <f t="shared" ca="1" si="63"/>
        <v>2473508775.0799999</v>
      </c>
      <c r="F228">
        <f ca="1">SUM($E$2:E228)/SUM($D$2:D228)</f>
        <v>173.46371615496872</v>
      </c>
      <c r="G228">
        <f ca="1">_xlfn.STDEV.P($C$2:C228)</f>
        <v>19.018676000354173</v>
      </c>
      <c r="H228">
        <f t="shared" ca="1" si="64"/>
        <v>192.48239215532288</v>
      </c>
      <c r="I228">
        <f t="shared" ca="1" si="65"/>
        <v>154.44504015461456</v>
      </c>
      <c r="J228">
        <f t="shared" ca="1" si="74"/>
        <v>207.68949999999995</v>
      </c>
      <c r="K228">
        <f t="shared" ca="1" si="75"/>
        <v>2.4338089597648351</v>
      </c>
      <c r="L228">
        <f t="shared" ca="1" si="76"/>
        <v>212.55711791952962</v>
      </c>
      <c r="M228">
        <f t="shared" ca="1" si="77"/>
        <v>202.82188208047029</v>
      </c>
      <c r="N228">
        <f t="shared" ca="1" si="66"/>
        <v>5.3300000000000125</v>
      </c>
      <c r="O228">
        <f t="shared" ca="1" si="67"/>
        <v>5.3300000000000125</v>
      </c>
      <c r="P228">
        <f t="shared" ca="1" si="68"/>
        <v>0</v>
      </c>
      <c r="Q228">
        <f t="shared" ca="1" si="72"/>
        <v>1.0453300070636495</v>
      </c>
      <c r="R228">
        <f t="shared" ca="1" si="73"/>
        <v>0.73143947839379542</v>
      </c>
      <c r="S228">
        <f t="shared" ca="1" si="70"/>
        <v>1.429140807875372</v>
      </c>
      <c r="T228">
        <f t="shared" ca="1" si="71"/>
        <v>58.833180984899691</v>
      </c>
      <c r="U228">
        <f>70</f>
        <v>70</v>
      </c>
      <c r="V228">
        <f>30</f>
        <v>30</v>
      </c>
      <c r="W228">
        <f t="shared" ca="1" si="69"/>
        <v>206.72762178976467</v>
      </c>
      <c r="X228">
        <f t="shared" ca="1" si="79"/>
        <v>205.76282560444528</v>
      </c>
      <c r="Y228">
        <f t="shared" ca="1" si="78"/>
        <v>1.4455423080210323</v>
      </c>
      <c r="Z228">
        <f t="shared" ca="1" si="59"/>
        <v>1.3909497027186266</v>
      </c>
      <c r="AA228">
        <f t="shared" ca="1" si="60"/>
        <v>5.4592605302405728E-2</v>
      </c>
      <c r="AB228">
        <f t="shared" ca="1" si="61"/>
        <v>192.55210000000002</v>
      </c>
    </row>
    <row r="229" spans="1:28" x14ac:dyDescent="0.25">
      <c r="A229" s="20">
        <f t="shared" ca="1" si="62"/>
        <v>46034</v>
      </c>
      <c r="B229" vm="677">
        <f ca="1"/>
        <v>46035</v>
      </c>
      <c r="C229" vm="678">
        <f ca="1"/>
        <v>213.65</v>
      </c>
      <c r="D229" vm="679">
        <f ca="1"/>
        <v>11379590</v>
      </c>
      <c r="E229">
        <f t="shared" ca="1" si="63"/>
        <v>2431249403.5</v>
      </c>
      <c r="F229">
        <f ca="1">SUM($E$2:E229)/SUM($D$2:D229)</f>
        <v>173.69180007575488</v>
      </c>
      <c r="G229">
        <f ca="1">_xlfn.STDEV.P($C$2:C229)</f>
        <v>19.156895312186244</v>
      </c>
      <c r="H229">
        <f t="shared" ca="1" si="64"/>
        <v>192.84869538794112</v>
      </c>
      <c r="I229">
        <f t="shared" ca="1" si="65"/>
        <v>154.53490476356865</v>
      </c>
      <c r="J229">
        <f t="shared" ca="1" si="74"/>
        <v>207.79299999999995</v>
      </c>
      <c r="K229">
        <f t="shared" ca="1" si="75"/>
        <v>2.6429889379858928</v>
      </c>
      <c r="L229">
        <f t="shared" ca="1" si="76"/>
        <v>213.07897787597173</v>
      </c>
      <c r="M229">
        <f t="shared" ca="1" si="77"/>
        <v>202.50702212402817</v>
      </c>
      <c r="N229">
        <f t="shared" ca="1" si="66"/>
        <v>3.9300000000000068</v>
      </c>
      <c r="O229">
        <f t="shared" ca="1" si="67"/>
        <v>3.9300000000000068</v>
      </c>
      <c r="P229">
        <f t="shared" ca="1" si="68"/>
        <v>0</v>
      </c>
      <c r="Q229">
        <f t="shared" ca="1" si="72"/>
        <v>1.2513778637019608</v>
      </c>
      <c r="R229">
        <f t="shared" ca="1" si="73"/>
        <v>0.67919380136566709</v>
      </c>
      <c r="S229">
        <f t="shared" ca="1" si="70"/>
        <v>1.8424459428012931</v>
      </c>
      <c r="T229">
        <f t="shared" ca="1" si="71"/>
        <v>64.819031913955143</v>
      </c>
      <c r="U229">
        <f>70</f>
        <v>70</v>
      </c>
      <c r="V229">
        <f>30</f>
        <v>30</v>
      </c>
      <c r="W229">
        <f t="shared" ca="1" si="69"/>
        <v>207.79260305287778</v>
      </c>
      <c r="X229">
        <f t="shared" ca="1" si="79"/>
        <v>206.34706074485675</v>
      </c>
      <c r="Y229">
        <f t="shared" ca="1" si="78"/>
        <v>2.1966050274252211</v>
      </c>
      <c r="Z229">
        <f t="shared" ca="1" si="59"/>
        <v>1.5520807676599455</v>
      </c>
      <c r="AA229">
        <f t="shared" ca="1" si="60"/>
        <v>0.64452425976527561</v>
      </c>
      <c r="AB229">
        <f t="shared" ca="1" si="61"/>
        <v>192.90020000000004</v>
      </c>
    </row>
    <row r="230" spans="1:28" x14ac:dyDescent="0.25">
      <c r="A230" s="20">
        <f t="shared" ca="1" si="62"/>
        <v>46034</v>
      </c>
      <c r="B230" vm="680">
        <f ca="1"/>
        <v>46036</v>
      </c>
      <c r="C230" vm="681">
        <f ca="1"/>
        <v>218.55</v>
      </c>
      <c r="D230" vm="682">
        <f ca="1"/>
        <v>11858784</v>
      </c>
      <c r="E230">
        <f t="shared" ca="1" si="63"/>
        <v>2591737243.2000003</v>
      </c>
      <c r="F230">
        <f ca="1">SUM($E$2:E230)/SUM($D$2:D230)</f>
        <v>173.95556137141844</v>
      </c>
      <c r="G230">
        <f ca="1">_xlfn.STDEV.P($C$2:C230)</f>
        <v>19.337621805129597</v>
      </c>
      <c r="H230">
        <f t="shared" ca="1" si="64"/>
        <v>193.29318317654804</v>
      </c>
      <c r="I230">
        <f t="shared" ca="1" si="65"/>
        <v>154.61793956628884</v>
      </c>
      <c r="J230">
        <f t="shared" ca="1" si="74"/>
        <v>208.01199999999994</v>
      </c>
      <c r="K230">
        <f t="shared" ca="1" si="75"/>
        <v>3.2992034126277763</v>
      </c>
      <c r="L230">
        <f t="shared" ca="1" si="76"/>
        <v>214.6104068252555</v>
      </c>
      <c r="M230">
        <f t="shared" ca="1" si="77"/>
        <v>201.41359317474439</v>
      </c>
      <c r="N230">
        <f t="shared" ca="1" si="66"/>
        <v>4.9000000000000057</v>
      </c>
      <c r="O230">
        <f t="shared" ca="1" si="67"/>
        <v>4.9000000000000057</v>
      </c>
      <c r="P230">
        <f t="shared" ca="1" si="68"/>
        <v>0</v>
      </c>
      <c r="Q230">
        <f t="shared" ca="1" si="72"/>
        <v>1.5119937305803925</v>
      </c>
      <c r="R230">
        <f t="shared" ca="1" si="73"/>
        <v>0.63067995841097668</v>
      </c>
      <c r="S230">
        <f t="shared" ca="1" si="70"/>
        <v>2.3974025342265848</v>
      </c>
      <c r="T230">
        <f t="shared" ca="1" si="71"/>
        <v>70.565748688132743</v>
      </c>
      <c r="U230">
        <f>70</f>
        <v>70</v>
      </c>
      <c r="V230">
        <f>30</f>
        <v>30</v>
      </c>
      <c r="W230">
        <f t="shared" ca="1" si="69"/>
        <v>209.44758719858888</v>
      </c>
      <c r="X230">
        <f t="shared" ca="1" si="79"/>
        <v>207.25098217116366</v>
      </c>
      <c r="Y230">
        <f t="shared" ca="1" si="78"/>
        <v>2.8413794653923219</v>
      </c>
      <c r="Z230">
        <f t="shared" ref="Z230:Z251" ca="1" si="80">Y230*(2/(9+1)) + Z229*(1-(2/(9+1)))</f>
        <v>1.809940507206421</v>
      </c>
      <c r="AA230">
        <f t="shared" ref="AA230:AA251" ca="1" si="81">Y230-Z230</f>
        <v>1.0314389581859009</v>
      </c>
      <c r="AB230">
        <f t="shared" ref="AB230:AB251" ca="1" si="82">AVERAGE(C131:C230)</f>
        <v>193.29640000000003</v>
      </c>
    </row>
    <row r="231" spans="1:28" x14ac:dyDescent="0.25">
      <c r="A231" s="20">
        <f t="shared" ca="1" si="62"/>
        <v>46034</v>
      </c>
      <c r="B231" vm="683">
        <f ca="1"/>
        <v>46037</v>
      </c>
      <c r="C231" vm="684">
        <f ca="1"/>
        <v>219.57</v>
      </c>
      <c r="D231" vm="685">
        <f ca="1"/>
        <v>8492116</v>
      </c>
      <c r="E231">
        <f t="shared" ca="1" si="63"/>
        <v>1864613910.1199999</v>
      </c>
      <c r="F231">
        <f ca="1">SUM($E$2:E231)/SUM($D$2:D231)</f>
        <v>174.14682065005081</v>
      </c>
      <c r="G231">
        <f ca="1">_xlfn.STDEV.P($C$2:C231)</f>
        <v>19.523335301308482</v>
      </c>
      <c r="H231">
        <f t="shared" ca="1" si="64"/>
        <v>193.67015595135931</v>
      </c>
      <c r="I231">
        <f t="shared" ca="1" si="65"/>
        <v>154.62348534874232</v>
      </c>
      <c r="J231">
        <f t="shared" ca="1" si="74"/>
        <v>208.52550000000002</v>
      </c>
      <c r="K231">
        <f t="shared" ca="1" si="75"/>
        <v>4.1893655781476564</v>
      </c>
      <c r="L231">
        <f t="shared" ca="1" si="76"/>
        <v>216.90423115629534</v>
      </c>
      <c r="M231">
        <f t="shared" ca="1" si="77"/>
        <v>200.14676884370471</v>
      </c>
      <c r="N231">
        <f t="shared" ca="1" si="66"/>
        <v>1.0199999999999818</v>
      </c>
      <c r="O231">
        <f t="shared" ca="1" si="67"/>
        <v>1.0199999999999818</v>
      </c>
      <c r="P231">
        <f t="shared" ca="1" si="68"/>
        <v>0</v>
      </c>
      <c r="Q231">
        <f t="shared" ca="1" si="72"/>
        <v>1.4768513212532202</v>
      </c>
      <c r="R231">
        <f t="shared" ca="1" si="73"/>
        <v>0.58563138995304975</v>
      </c>
      <c r="S231">
        <f t="shared" ca="1" si="70"/>
        <v>2.5218103854911531</v>
      </c>
      <c r="T231">
        <f t="shared" ca="1" si="71"/>
        <v>71.60551277491507</v>
      </c>
      <c r="U231">
        <f>70</f>
        <v>70</v>
      </c>
      <c r="V231">
        <f>30</f>
        <v>30</v>
      </c>
      <c r="W231">
        <f t="shared" ca="1" si="69"/>
        <v>211.00488147572904</v>
      </c>
      <c r="X231">
        <f t="shared" ca="1" si="79"/>
        <v>208.16350201033671</v>
      </c>
      <c r="Y231">
        <f t="shared" ca="1" si="78"/>
        <v>3.2415716379831565</v>
      </c>
      <c r="Z231">
        <f t="shared" ca="1" si="80"/>
        <v>2.0962667333617682</v>
      </c>
      <c r="AA231">
        <f t="shared" ca="1" si="81"/>
        <v>1.1453049046213883</v>
      </c>
      <c r="AB231">
        <f t="shared" ca="1" si="82"/>
        <v>193.69920000000005</v>
      </c>
    </row>
    <row r="232" spans="1:28" x14ac:dyDescent="0.25">
      <c r="A232" s="20">
        <f t="shared" ca="1" si="62"/>
        <v>46034</v>
      </c>
      <c r="B232" vm="686">
        <f ca="1"/>
        <v>46038</v>
      </c>
      <c r="C232" vm="687">
        <f ca="1"/>
        <v>218.66</v>
      </c>
      <c r="D232" vm="688">
        <f ca="1"/>
        <v>10021515</v>
      </c>
      <c r="E232">
        <f t="shared" ca="1" si="63"/>
        <v>2191304469.9000001</v>
      </c>
      <c r="F232">
        <f ca="1">SUM($E$2:E232)/SUM($D$2:D232)</f>
        <v>174.3659914170392</v>
      </c>
      <c r="G232">
        <f ca="1">_xlfn.STDEV.P($C$2:C232)</f>
        <v>19.694909705036849</v>
      </c>
      <c r="H232">
        <f t="shared" ca="1" si="64"/>
        <v>194.06090112207605</v>
      </c>
      <c r="I232">
        <f t="shared" ca="1" si="65"/>
        <v>154.67108171200235</v>
      </c>
      <c r="J232">
        <f t="shared" ca="1" si="74"/>
        <v>208.94200000000001</v>
      </c>
      <c r="K232">
        <f t="shared" ca="1" si="75"/>
        <v>4.7542076654597034</v>
      </c>
      <c r="L232">
        <f t="shared" ca="1" si="76"/>
        <v>218.45041533091941</v>
      </c>
      <c r="M232">
        <f t="shared" ca="1" si="77"/>
        <v>199.4335846690806</v>
      </c>
      <c r="N232">
        <f t="shared" ca="1" si="66"/>
        <v>-0.90999999999999659</v>
      </c>
      <c r="O232">
        <f t="shared" ca="1" si="67"/>
        <v>0</v>
      </c>
      <c r="P232">
        <f t="shared" ca="1" si="68"/>
        <v>0.90999999999999659</v>
      </c>
      <c r="Q232">
        <f t="shared" ca="1" si="72"/>
        <v>1.3713619411637044</v>
      </c>
      <c r="R232">
        <f t="shared" ca="1" si="73"/>
        <v>0.60880057638497453</v>
      </c>
      <c r="S232">
        <f t="shared" ca="1" si="70"/>
        <v>2.2525634737515832</v>
      </c>
      <c r="T232">
        <f t="shared" ca="1" si="71"/>
        <v>69.255019676938801</v>
      </c>
      <c r="U232">
        <f>70</f>
        <v>70</v>
      </c>
      <c r="V232">
        <f>30</f>
        <v>30</v>
      </c>
      <c r="W232">
        <f t="shared" ca="1" si="69"/>
        <v>212.18259201792455</v>
      </c>
      <c r="X232">
        <f t="shared" ca="1" si="79"/>
        <v>208.94102037994139</v>
      </c>
      <c r="Y232">
        <f t="shared" ca="1" si="78"/>
        <v>3.4822740907197556</v>
      </c>
      <c r="Z232">
        <f t="shared" ca="1" si="80"/>
        <v>2.3734682048333657</v>
      </c>
      <c r="AA232">
        <f t="shared" ca="1" si="81"/>
        <v>1.1088058858863898</v>
      </c>
      <c r="AB232">
        <f t="shared" ca="1" si="82"/>
        <v>194.10170000000005</v>
      </c>
    </row>
    <row r="233" spans="1:28" x14ac:dyDescent="0.25">
      <c r="A233" s="20">
        <f t="shared" ca="1" si="62"/>
        <v>46041</v>
      </c>
      <c r="B233" vm="689">
        <f ca="1"/>
        <v>46042</v>
      </c>
      <c r="C233" vm="690">
        <f ca="1"/>
        <v>218.21</v>
      </c>
      <c r="D233" vm="691">
        <f ca="1"/>
        <v>14057136</v>
      </c>
      <c r="E233">
        <f t="shared" ca="1" si="63"/>
        <v>3067407646.5599999</v>
      </c>
      <c r="F233">
        <f ca="1">SUM($E$2:E233)/SUM($D$2:D233)</f>
        <v>174.66672268936443</v>
      </c>
      <c r="G233">
        <f ca="1">_xlfn.STDEV.P($C$2:C233)</f>
        <v>19.857484527459818</v>
      </c>
      <c r="H233">
        <f t="shared" ca="1" si="64"/>
        <v>194.52420721682427</v>
      </c>
      <c r="I233">
        <f t="shared" ca="1" si="65"/>
        <v>154.8092381619046</v>
      </c>
      <c r="J233">
        <f t="shared" ca="1" si="74"/>
        <v>209.43699999999998</v>
      </c>
      <c r="K233">
        <f t="shared" ca="1" si="75"/>
        <v>5.1811562416124861</v>
      </c>
      <c r="L233">
        <f t="shared" ca="1" si="76"/>
        <v>219.79931248322495</v>
      </c>
      <c r="M233">
        <f t="shared" ca="1" si="77"/>
        <v>199.07468751677501</v>
      </c>
      <c r="N233">
        <f t="shared" ca="1" si="66"/>
        <v>-0.44999999999998863</v>
      </c>
      <c r="O233">
        <f t="shared" ca="1" si="67"/>
        <v>0</v>
      </c>
      <c r="P233">
        <f t="shared" ca="1" si="68"/>
        <v>0.44999999999998863</v>
      </c>
      <c r="Q233">
        <f t="shared" ca="1" si="72"/>
        <v>1.2734075167948684</v>
      </c>
      <c r="R233">
        <f t="shared" ca="1" si="73"/>
        <v>0.5974576780717612</v>
      </c>
      <c r="S233">
        <f t="shared" ca="1" si="70"/>
        <v>2.1313769385384287</v>
      </c>
      <c r="T233">
        <f t="shared" ca="1" si="71"/>
        <v>68.065166869794012</v>
      </c>
      <c r="U233">
        <f>70</f>
        <v>70</v>
      </c>
      <c r="V233">
        <f>30</f>
        <v>30</v>
      </c>
      <c r="W233">
        <f t="shared" ca="1" si="69"/>
        <v>213.10988555362846</v>
      </c>
      <c r="X233">
        <f t="shared" ca="1" si="79"/>
        <v>209.6276114629087</v>
      </c>
      <c r="Y233">
        <f t="shared" ca="1" si="78"/>
        <v>3.6152201822858387</v>
      </c>
      <c r="Z233">
        <f t="shared" ca="1" si="80"/>
        <v>2.6218186003238602</v>
      </c>
      <c r="AA233">
        <f t="shared" ca="1" si="81"/>
        <v>0.99340158196197859</v>
      </c>
      <c r="AB233">
        <f t="shared" ca="1" si="82"/>
        <v>194.51890000000003</v>
      </c>
    </row>
    <row r="234" spans="1:28" x14ac:dyDescent="0.25">
      <c r="A234" s="20">
        <f t="shared" ca="1" si="62"/>
        <v>46041</v>
      </c>
      <c r="B234" vm="692">
        <f ca="1"/>
        <v>46043</v>
      </c>
      <c r="C234" vm="693">
        <f ca="1"/>
        <v>218.01</v>
      </c>
      <c r="D234" vm="694">
        <f ca="1"/>
        <v>14762883</v>
      </c>
      <c r="E234">
        <f t="shared" ca="1" si="63"/>
        <v>3218456122.8299999</v>
      </c>
      <c r="F234">
        <f ca="1">SUM($E$2:E234)/SUM($D$2:D234)</f>
        <v>174.97671234060277</v>
      </c>
      <c r="G234">
        <f ca="1">_xlfn.STDEV.P($C$2:C234)</f>
        <v>20.013787557717244</v>
      </c>
      <c r="H234">
        <f t="shared" ca="1" si="64"/>
        <v>194.99049989832002</v>
      </c>
      <c r="I234">
        <f t="shared" ca="1" si="65"/>
        <v>154.96292478288552</v>
      </c>
      <c r="J234">
        <f t="shared" ca="1" si="74"/>
        <v>210.01900000000001</v>
      </c>
      <c r="K234">
        <f t="shared" ca="1" si="75"/>
        <v>5.4645199143874352</v>
      </c>
      <c r="L234">
        <f t="shared" ca="1" si="76"/>
        <v>220.94803982877488</v>
      </c>
      <c r="M234">
        <f t="shared" ca="1" si="77"/>
        <v>199.08996017122513</v>
      </c>
      <c r="N234">
        <f t="shared" ca="1" si="66"/>
        <v>-0.20000000000001705</v>
      </c>
      <c r="O234">
        <f t="shared" ca="1" si="67"/>
        <v>0</v>
      </c>
      <c r="P234">
        <f t="shared" ca="1" si="68"/>
        <v>0.20000000000001705</v>
      </c>
      <c r="Q234">
        <f t="shared" ca="1" si="72"/>
        <v>1.1824498370238063</v>
      </c>
      <c r="R234">
        <f t="shared" ca="1" si="73"/>
        <v>0.56906784392377951</v>
      </c>
      <c r="S234">
        <f t="shared" ca="1" si="70"/>
        <v>2.0778714693676887</v>
      </c>
      <c r="T234">
        <f t="shared" ca="1" si="71"/>
        <v>67.510014308510492</v>
      </c>
      <c r="U234">
        <f>70</f>
        <v>70</v>
      </c>
      <c r="V234">
        <f>30</f>
        <v>30</v>
      </c>
      <c r="W234">
        <f t="shared" ca="1" si="69"/>
        <v>213.8637493146087</v>
      </c>
      <c r="X234">
        <f t="shared" ca="1" si="79"/>
        <v>210.24852913232286</v>
      </c>
      <c r="Y234">
        <f t="shared" ca="1" si="78"/>
        <v>3.7164717334298132</v>
      </c>
      <c r="Z234">
        <f t="shared" ca="1" si="80"/>
        <v>2.8407492269450509</v>
      </c>
      <c r="AA234">
        <f t="shared" ca="1" si="81"/>
        <v>0.87572250648476224</v>
      </c>
      <c r="AB234">
        <f t="shared" ca="1" si="82"/>
        <v>194.93110000000001</v>
      </c>
    </row>
    <row r="235" spans="1:28" x14ac:dyDescent="0.25">
      <c r="A235" s="20">
        <f t="shared" ca="1" si="62"/>
        <v>46041</v>
      </c>
      <c r="B235" vm="695">
        <f ca="1"/>
        <v>46044</v>
      </c>
      <c r="C235" vm="696">
        <f ca="1"/>
        <v>218.49</v>
      </c>
      <c r="D235" vm="697">
        <f ca="1"/>
        <v>13160041</v>
      </c>
      <c r="E235">
        <f t="shared" ca="1" si="63"/>
        <v>2875337358.0900002</v>
      </c>
      <c r="F235">
        <f ca="1">SUM($E$2:E235)/SUM($D$2:D235)</f>
        <v>175.25237210025975</v>
      </c>
      <c r="G235">
        <f ca="1">_xlfn.STDEV.P($C$2:C235)</f>
        <v>20.170253418339041</v>
      </c>
      <c r="H235">
        <f t="shared" ca="1" si="64"/>
        <v>195.42262551859878</v>
      </c>
      <c r="I235">
        <f t="shared" ca="1" si="65"/>
        <v>155.08211868192072</v>
      </c>
      <c r="J235">
        <f t="shared" ca="1" si="74"/>
        <v>210.57750000000001</v>
      </c>
      <c r="K235">
        <f t="shared" ca="1" si="75"/>
        <v>5.7381152920853014</v>
      </c>
      <c r="L235">
        <f t="shared" ca="1" si="76"/>
        <v>222.05373058417061</v>
      </c>
      <c r="M235">
        <f t="shared" ca="1" si="77"/>
        <v>199.10126941582942</v>
      </c>
      <c r="N235">
        <f t="shared" ca="1" si="66"/>
        <v>0.48000000000001819</v>
      </c>
      <c r="O235">
        <f t="shared" ca="1" si="67"/>
        <v>0.48000000000001819</v>
      </c>
      <c r="P235">
        <f t="shared" ca="1" si="68"/>
        <v>0</v>
      </c>
      <c r="Q235">
        <f t="shared" ca="1" si="72"/>
        <v>1.1322748486649643</v>
      </c>
      <c r="R235">
        <f t="shared" ca="1" si="73"/>
        <v>0.52842014078636668</v>
      </c>
      <c r="S235">
        <f t="shared" ca="1" si="70"/>
        <v>2.1427549051782417</v>
      </c>
      <c r="T235">
        <f t="shared" ca="1" si="71"/>
        <v>68.180783097265277</v>
      </c>
      <c r="U235">
        <f>70</f>
        <v>70</v>
      </c>
      <c r="V235">
        <f>30</f>
        <v>30</v>
      </c>
      <c r="W235">
        <f t="shared" ca="1" si="69"/>
        <v>214.57548018928429</v>
      </c>
      <c r="X235">
        <f t="shared" ca="1" si="79"/>
        <v>210.85900845585448</v>
      </c>
      <c r="Y235">
        <f t="shared" ca="1" si="78"/>
        <v>3.8850708491872865</v>
      </c>
      <c r="Z235">
        <f t="shared" ca="1" si="80"/>
        <v>3.0496135513934983</v>
      </c>
      <c r="AA235">
        <f t="shared" ca="1" si="81"/>
        <v>0.83545729779378819</v>
      </c>
      <c r="AB235">
        <f t="shared" ca="1" si="82"/>
        <v>195.36150000000001</v>
      </c>
    </row>
    <row r="236" spans="1:28" x14ac:dyDescent="0.25">
      <c r="A236" s="20">
        <f t="shared" ca="1" si="62"/>
        <v>46041</v>
      </c>
      <c r="B236" vm="698">
        <f ca="1"/>
        <v>46045</v>
      </c>
      <c r="C236" vm="699">
        <f ca="1"/>
        <v>220.14</v>
      </c>
      <c r="D236" vm="700">
        <f ca="1"/>
        <v>6951040</v>
      </c>
      <c r="E236">
        <f t="shared" ca="1" si="63"/>
        <v>1530201945.5999999</v>
      </c>
      <c r="F236">
        <f ca="1">SUM($E$2:E236)/SUM($D$2:D236)</f>
        <v>175.40207144259509</v>
      </c>
      <c r="G236">
        <f ca="1">_xlfn.STDEV.P($C$2:C236)</f>
        <v>20.337660987060612</v>
      </c>
      <c r="H236">
        <f t="shared" ca="1" si="64"/>
        <v>195.7397324296557</v>
      </c>
      <c r="I236">
        <f t="shared" ca="1" si="65"/>
        <v>155.06441045553447</v>
      </c>
      <c r="J236">
        <f t="shared" ca="1" si="74"/>
        <v>211.2955</v>
      </c>
      <c r="K236">
        <f t="shared" ca="1" si="75"/>
        <v>5.9987204556691234</v>
      </c>
      <c r="L236">
        <f t="shared" ca="1" si="76"/>
        <v>223.29294091133826</v>
      </c>
      <c r="M236">
        <f t="shared" ca="1" si="77"/>
        <v>199.29805908866174</v>
      </c>
      <c r="N236">
        <f t="shared" ca="1" si="66"/>
        <v>1.6499999999999773</v>
      </c>
      <c r="O236">
        <f t="shared" ca="1" si="67"/>
        <v>1.6499999999999773</v>
      </c>
      <c r="P236">
        <f t="shared" ca="1" si="68"/>
        <v>0</v>
      </c>
      <c r="Q236">
        <f t="shared" ca="1" si="72"/>
        <v>1.1692552166174652</v>
      </c>
      <c r="R236">
        <f t="shared" ca="1" si="73"/>
        <v>0.49067584501591188</v>
      </c>
      <c r="S236">
        <f t="shared" ca="1" si="70"/>
        <v>2.3829483935153726</v>
      </c>
      <c r="T236">
        <f t="shared" ca="1" si="71"/>
        <v>70.439986553834018</v>
      </c>
      <c r="U236">
        <f>70</f>
        <v>70</v>
      </c>
      <c r="V236">
        <f>30</f>
        <v>30</v>
      </c>
      <c r="W236">
        <f t="shared" ca="1" si="69"/>
        <v>215.43156016016366</v>
      </c>
      <c r="X236">
        <f t="shared" ca="1" si="79"/>
        <v>211.54648931097637</v>
      </c>
      <c r="Y236">
        <f t="shared" ca="1" si="78"/>
        <v>4.0805821695193174</v>
      </c>
      <c r="Z236">
        <f t="shared" ca="1" si="80"/>
        <v>3.2558072750186624</v>
      </c>
      <c r="AA236">
        <f t="shared" ca="1" si="81"/>
        <v>0.824774894500655</v>
      </c>
      <c r="AB236">
        <f t="shared" ca="1" si="82"/>
        <v>195.7912</v>
      </c>
    </row>
    <row r="237" spans="1:28" x14ac:dyDescent="0.25">
      <c r="A237" s="20">
        <f t="shared" ca="1" si="62"/>
        <v>46048</v>
      </c>
      <c r="B237" vm="701">
        <f ca="1"/>
        <v>46048</v>
      </c>
      <c r="C237" vm="702">
        <f ca="1"/>
        <v>221.49</v>
      </c>
      <c r="D237" vm="703">
        <f ca="1"/>
        <v>6857093</v>
      </c>
      <c r="E237">
        <f t="shared" ca="1" si="63"/>
        <v>1518777528.5700002</v>
      </c>
      <c r="F237">
        <f ca="1">SUM($E$2:E237)/SUM($D$2:D237)</f>
        <v>175.55319919897374</v>
      </c>
      <c r="G237">
        <f ca="1">_xlfn.STDEV.P($C$2:C237)</f>
        <v>20.513132843065595</v>
      </c>
      <c r="H237">
        <f t="shared" ca="1" si="64"/>
        <v>196.06633204203933</v>
      </c>
      <c r="I237">
        <f t="shared" ca="1" si="65"/>
        <v>155.04006635590815</v>
      </c>
      <c r="J237">
        <f t="shared" ca="1" si="74"/>
        <v>211.98099999999999</v>
      </c>
      <c r="K237">
        <f t="shared" ca="1" si="75"/>
        <v>6.348970824182123</v>
      </c>
      <c r="L237">
        <f t="shared" ca="1" si="76"/>
        <v>224.67894164836423</v>
      </c>
      <c r="M237">
        <f t="shared" ca="1" si="77"/>
        <v>199.28305835163576</v>
      </c>
      <c r="N237">
        <f t="shared" ca="1" si="66"/>
        <v>1.3500000000000227</v>
      </c>
      <c r="O237">
        <f t="shared" ca="1" si="67"/>
        <v>1.3500000000000227</v>
      </c>
      <c r="P237">
        <f t="shared" ca="1" si="68"/>
        <v>0</v>
      </c>
      <c r="Q237">
        <f t="shared" ca="1" si="72"/>
        <v>1.182165558287648</v>
      </c>
      <c r="R237">
        <f t="shared" ca="1" si="73"/>
        <v>0.4556275703719182</v>
      </c>
      <c r="S237">
        <f t="shared" ca="1" si="70"/>
        <v>2.594587411211033</v>
      </c>
      <c r="T237">
        <f t="shared" ca="1" si="71"/>
        <v>72.18039553354204</v>
      </c>
      <c r="U237">
        <f>70</f>
        <v>70</v>
      </c>
      <c r="V237">
        <f>30</f>
        <v>30</v>
      </c>
      <c r="W237">
        <f t="shared" ca="1" si="69"/>
        <v>216.36362782783078</v>
      </c>
      <c r="X237">
        <f t="shared" ca="1" si="79"/>
        <v>212.28304565831147</v>
      </c>
      <c r="Y237">
        <f t="shared" ca="1" si="78"/>
        <v>4.4225858288162669</v>
      </c>
      <c r="Z237">
        <f t="shared" ca="1" si="80"/>
        <v>3.4891629857781838</v>
      </c>
      <c r="AA237">
        <f t="shared" ca="1" si="81"/>
        <v>0.93342284303808309</v>
      </c>
      <c r="AB237">
        <f t="shared" ca="1" si="82"/>
        <v>196.22550000000004</v>
      </c>
    </row>
    <row r="238" spans="1:28" x14ac:dyDescent="0.25">
      <c r="A238" s="20">
        <f t="shared" ca="1" si="62"/>
        <v>46048</v>
      </c>
      <c r="B238" vm="704">
        <f ca="1"/>
        <v>46049</v>
      </c>
      <c r="C238" vm="705">
        <f ca="1"/>
        <v>224.44</v>
      </c>
      <c r="D238" vm="706">
        <f ca="1"/>
        <v>8154489</v>
      </c>
      <c r="E238">
        <f t="shared" ca="1" si="63"/>
        <v>1830193511.1600001</v>
      </c>
      <c r="F238">
        <f ca="1">SUM($E$2:E238)/SUM($D$2:D238)</f>
        <v>175.74309489356918</v>
      </c>
      <c r="G238">
        <f ca="1">_xlfn.STDEV.P($C$2:C238)</f>
        <v>20.712144085641725</v>
      </c>
      <c r="H238">
        <f t="shared" ca="1" si="64"/>
        <v>196.45523897921089</v>
      </c>
      <c r="I238">
        <f t="shared" ca="1" si="65"/>
        <v>155.03095080792747</v>
      </c>
      <c r="J238">
        <f t="shared" ca="1" si="74"/>
        <v>212.82149999999996</v>
      </c>
      <c r="K238">
        <f t="shared" ca="1" si="75"/>
        <v>6.8366114067069663</v>
      </c>
      <c r="L238">
        <f t="shared" ca="1" si="76"/>
        <v>226.49472281341389</v>
      </c>
      <c r="M238">
        <f t="shared" ca="1" si="77"/>
        <v>199.14827718658603</v>
      </c>
      <c r="N238">
        <f t="shared" ca="1" si="66"/>
        <v>2.9499999999999886</v>
      </c>
      <c r="O238">
        <f t="shared" ca="1" si="67"/>
        <v>2.9499999999999886</v>
      </c>
      <c r="P238">
        <f t="shared" ca="1" si="68"/>
        <v>0</v>
      </c>
      <c r="Q238">
        <f t="shared" ca="1" si="72"/>
        <v>1.3084394469813867</v>
      </c>
      <c r="R238">
        <f t="shared" ca="1" si="73"/>
        <v>0.42308274391678119</v>
      </c>
      <c r="S238">
        <f t="shared" ca="1" si="70"/>
        <v>3.0926325069848555</v>
      </c>
      <c r="T238">
        <f t="shared" ca="1" si="71"/>
        <v>75.565849162041559</v>
      </c>
      <c r="U238">
        <f>70</f>
        <v>70</v>
      </c>
      <c r="V238">
        <f>30</f>
        <v>30</v>
      </c>
      <c r="W238">
        <f t="shared" ca="1" si="69"/>
        <v>217.60614662354911</v>
      </c>
      <c r="X238">
        <f t="shared" ca="1" si="79"/>
        <v>213.18356079473284</v>
      </c>
      <c r="Y238">
        <f t="shared" ca="1" si="78"/>
        <v>4.9017899968829397</v>
      </c>
      <c r="Z238">
        <f t="shared" ca="1" si="80"/>
        <v>3.7716883879991352</v>
      </c>
      <c r="AA238">
        <f t="shared" ca="1" si="81"/>
        <v>1.1301016088838045</v>
      </c>
      <c r="AB238">
        <f t="shared" ca="1" si="82"/>
        <v>196.68990000000002</v>
      </c>
    </row>
    <row r="239" spans="1:28" x14ac:dyDescent="0.25">
      <c r="A239" s="20">
        <f t="shared" ca="1" si="62"/>
        <v>46048</v>
      </c>
      <c r="B239" vm="707">
        <f ca="1"/>
        <v>46050</v>
      </c>
      <c r="C239" vm="708">
        <f ca="1"/>
        <v>227.72</v>
      </c>
      <c r="D239" vm="709">
        <f ca="1"/>
        <v>9026495</v>
      </c>
      <c r="E239">
        <f t="shared" ca="1" si="63"/>
        <v>2055513441.4000001</v>
      </c>
      <c r="F239">
        <f ca="1">SUM($E$2:E239)/SUM($D$2:D239)</f>
        <v>175.96562713679481</v>
      </c>
      <c r="G239">
        <f ca="1">_xlfn.STDEV.P($C$2:C239)</f>
        <v>20.938524221222576</v>
      </c>
      <c r="H239">
        <f t="shared" ca="1" si="64"/>
        <v>196.90415135801737</v>
      </c>
      <c r="I239">
        <f t="shared" ca="1" si="65"/>
        <v>155.02710291557224</v>
      </c>
      <c r="J239">
        <f t="shared" ca="1" si="74"/>
        <v>213.8295</v>
      </c>
      <c r="K239">
        <f t="shared" ca="1" si="75"/>
        <v>7.4763011365387468</v>
      </c>
      <c r="L239">
        <f t="shared" ca="1" si="76"/>
        <v>228.7821022730775</v>
      </c>
      <c r="M239">
        <f t="shared" ca="1" si="77"/>
        <v>198.87689772692249</v>
      </c>
      <c r="N239">
        <f t="shared" ca="1" si="66"/>
        <v>3.2800000000000011</v>
      </c>
      <c r="O239">
        <f t="shared" ca="1" si="67"/>
        <v>3.2800000000000011</v>
      </c>
      <c r="P239">
        <f t="shared" ca="1" si="68"/>
        <v>0</v>
      </c>
      <c r="Q239">
        <f t="shared" ca="1" si="72"/>
        <v>1.4492652007684306</v>
      </c>
      <c r="R239">
        <f t="shared" ca="1" si="73"/>
        <v>0.3928625479227254</v>
      </c>
      <c r="S239">
        <f t="shared" ca="1" si="70"/>
        <v>3.6889879384824833</v>
      </c>
      <c r="T239">
        <f t="shared" ca="1" si="71"/>
        <v>78.673436291166183</v>
      </c>
      <c r="U239">
        <f>70</f>
        <v>70</v>
      </c>
      <c r="V239">
        <f>30</f>
        <v>30</v>
      </c>
      <c r="W239">
        <f t="shared" ca="1" si="69"/>
        <v>219.16212406608003</v>
      </c>
      <c r="X239">
        <f t="shared" ca="1" si="79"/>
        <v>214.26033406919709</v>
      </c>
      <c r="Y239">
        <f t="shared" ca="1" si="78"/>
        <v>5.187072008936525</v>
      </c>
      <c r="Z239">
        <f t="shared" ca="1" si="80"/>
        <v>4.0547651121866135</v>
      </c>
      <c r="AA239">
        <f t="shared" ca="1" si="81"/>
        <v>1.1323068967499115</v>
      </c>
      <c r="AB239">
        <f t="shared" ca="1" si="82"/>
        <v>197.17950000000002</v>
      </c>
    </row>
    <row r="240" spans="1:28" x14ac:dyDescent="0.25">
      <c r="A240" s="20">
        <f t="shared" ca="1" si="62"/>
        <v>46048</v>
      </c>
      <c r="B240" vm="710">
        <f ca="1"/>
        <v>46051</v>
      </c>
      <c r="C240" vm="711">
        <f ca="1"/>
        <v>227.29</v>
      </c>
      <c r="D240" vm="712">
        <f ca="1"/>
        <v>9645348</v>
      </c>
      <c r="E240">
        <f t="shared" ca="1" si="63"/>
        <v>2192291146.9200001</v>
      </c>
      <c r="F240">
        <f ca="1">SUM($E$2:E240)/SUM($D$2:D240)</f>
        <v>176.19936152617478</v>
      </c>
      <c r="G240">
        <f ca="1">_xlfn.STDEV.P($C$2:C240)</f>
        <v>21.15405595471843</v>
      </c>
      <c r="H240">
        <f t="shared" ca="1" si="64"/>
        <v>197.3534174808932</v>
      </c>
      <c r="I240">
        <f t="shared" ca="1" si="65"/>
        <v>155.04530557145637</v>
      </c>
      <c r="J240">
        <f t="shared" ca="1" si="74"/>
        <v>214.84849999999997</v>
      </c>
      <c r="K240">
        <f t="shared" ca="1" si="75"/>
        <v>7.8624519243781652</v>
      </c>
      <c r="L240">
        <f t="shared" ca="1" si="76"/>
        <v>230.5734038487563</v>
      </c>
      <c r="M240">
        <f t="shared" ca="1" si="77"/>
        <v>199.12359615124365</v>
      </c>
      <c r="N240">
        <f t="shared" ca="1" si="66"/>
        <v>-0.43000000000000682</v>
      </c>
      <c r="O240">
        <f t="shared" ca="1" si="67"/>
        <v>0</v>
      </c>
      <c r="P240">
        <f t="shared" ca="1" si="68"/>
        <v>0.43000000000000682</v>
      </c>
      <c r="Q240">
        <f t="shared" ca="1" si="72"/>
        <v>1.3457462578563997</v>
      </c>
      <c r="R240">
        <f t="shared" ca="1" si="73"/>
        <v>0.39551522307110265</v>
      </c>
      <c r="S240">
        <f t="shared" ca="1" si="70"/>
        <v>3.4025144402962004</v>
      </c>
      <c r="T240">
        <f t="shared" ca="1" si="71"/>
        <v>77.285707666350774</v>
      </c>
      <c r="U240">
        <f>70</f>
        <v>70</v>
      </c>
      <c r="V240">
        <f>30</f>
        <v>30</v>
      </c>
      <c r="W240">
        <f t="shared" ca="1" si="69"/>
        <v>220.41256651745235</v>
      </c>
      <c r="X240">
        <f t="shared" ca="1" si="79"/>
        <v>215.22549450851582</v>
      </c>
      <c r="Y240">
        <f t="shared" ca="1" si="78"/>
        <v>5.3482807419250946</v>
      </c>
      <c r="Z240">
        <f t="shared" ca="1" si="80"/>
        <v>4.3134682381343099</v>
      </c>
      <c r="AA240">
        <f t="shared" ca="1" si="81"/>
        <v>1.0348125037907847</v>
      </c>
      <c r="AB240">
        <f t="shared" ca="1" si="82"/>
        <v>197.66810000000004</v>
      </c>
    </row>
    <row r="241" spans="1:28" x14ac:dyDescent="0.25">
      <c r="A241" s="20">
        <f t="shared" ca="1" si="62"/>
        <v>46048</v>
      </c>
      <c r="B241" vm="713">
        <f ca="1"/>
        <v>46052</v>
      </c>
      <c r="C241" vm="714">
        <f ca="1"/>
        <v>227.25</v>
      </c>
      <c r="D241" vm="715">
        <f ca="1"/>
        <v>11045529</v>
      </c>
      <c r="E241">
        <f t="shared" ca="1" si="63"/>
        <v>2510096465.25</v>
      </c>
      <c r="F241">
        <f ca="1">SUM($E$2:E241)/SUM($D$2:D241)</f>
        <v>176.46421747441318</v>
      </c>
      <c r="G241">
        <f ca="1">_xlfn.STDEV.P($C$2:C241)</f>
        <v>21.363130664532935</v>
      </c>
      <c r="H241">
        <f t="shared" ca="1" si="64"/>
        <v>197.82734813894612</v>
      </c>
      <c r="I241">
        <f t="shared" ca="1" si="65"/>
        <v>155.10108680988023</v>
      </c>
      <c r="J241">
        <f t="shared" ca="1" si="74"/>
        <v>215.86349999999999</v>
      </c>
      <c r="K241">
        <f t="shared" ca="1" si="75"/>
        <v>8.0959744870359405</v>
      </c>
      <c r="L241">
        <f t="shared" ca="1" si="76"/>
        <v>232.05544897407188</v>
      </c>
      <c r="M241">
        <f t="shared" ca="1" si="77"/>
        <v>199.6715510259281</v>
      </c>
      <c r="N241">
        <f t="shared" ca="1" si="66"/>
        <v>-3.9999999999992042E-2</v>
      </c>
      <c r="O241">
        <f t="shared" ca="1" si="67"/>
        <v>0</v>
      </c>
      <c r="P241">
        <f t="shared" ca="1" si="68"/>
        <v>3.9999999999992042E-2</v>
      </c>
      <c r="Q241">
        <f t="shared" ca="1" si="72"/>
        <v>1.249621525152371</v>
      </c>
      <c r="R241">
        <f t="shared" ca="1" si="73"/>
        <v>0.37012127856602334</v>
      </c>
      <c r="S241">
        <f t="shared" ca="1" si="70"/>
        <v>3.3762488068609104</v>
      </c>
      <c r="T241">
        <f t="shared" ca="1" si="71"/>
        <v>77.149379659761593</v>
      </c>
      <c r="U241">
        <f>70</f>
        <v>70</v>
      </c>
      <c r="V241">
        <f>30</f>
        <v>30</v>
      </c>
      <c r="W241">
        <f t="shared" ca="1" si="69"/>
        <v>221.46447936092125</v>
      </c>
      <c r="X241">
        <f t="shared" ca="1" si="79"/>
        <v>216.11619861899615</v>
      </c>
      <c r="Y241">
        <f t="shared" ca="1" si="78"/>
        <v>5.6928370912246749</v>
      </c>
      <c r="Z241">
        <f t="shared" ca="1" si="80"/>
        <v>4.5893420087523831</v>
      </c>
      <c r="AA241">
        <f t="shared" ca="1" si="81"/>
        <v>1.1034950824722918</v>
      </c>
      <c r="AB241">
        <f t="shared" ca="1" si="82"/>
        <v>198.1593</v>
      </c>
    </row>
    <row r="242" spans="1:28" x14ac:dyDescent="0.25">
      <c r="A242" s="20">
        <f t="shared" ca="1" si="62"/>
        <v>46055</v>
      </c>
      <c r="B242" vm="716">
        <f ca="1"/>
        <v>46055</v>
      </c>
      <c r="C242" vm="717">
        <f ca="1"/>
        <v>230.75</v>
      </c>
      <c r="D242" vm="718">
        <f ca="1"/>
        <v>8187529</v>
      </c>
      <c r="E242">
        <f t="shared" ca="1" si="63"/>
        <v>1889272316.75</v>
      </c>
      <c r="F242">
        <f ca="1">SUM($E$2:E242)/SUM($D$2:D242)</f>
        <v>176.67218428211166</v>
      </c>
      <c r="G242">
        <f ca="1">_xlfn.STDEV.P($C$2:C242)</f>
        <v>21.601551035635648</v>
      </c>
      <c r="H242">
        <f t="shared" ca="1" si="64"/>
        <v>198.27373531774731</v>
      </c>
      <c r="I242">
        <f t="shared" ca="1" si="65"/>
        <v>155.07063324647601</v>
      </c>
      <c r="J242">
        <f t="shared" ca="1" si="74"/>
        <v>217.0335</v>
      </c>
      <c r="K242">
        <f t="shared" ca="1" si="75"/>
        <v>8.4824942179700145</v>
      </c>
      <c r="L242">
        <f t="shared" ca="1" si="76"/>
        <v>233.99848843594003</v>
      </c>
      <c r="M242">
        <f t="shared" ca="1" si="77"/>
        <v>200.06851156405997</v>
      </c>
      <c r="N242">
        <f t="shared" ca="1" si="66"/>
        <v>3.5</v>
      </c>
      <c r="O242">
        <f t="shared" ca="1" si="67"/>
        <v>3.5</v>
      </c>
      <c r="P242">
        <f t="shared" ca="1" si="68"/>
        <v>0</v>
      </c>
      <c r="Q242">
        <f t="shared" ca="1" si="72"/>
        <v>1.4103628447843446</v>
      </c>
      <c r="R242">
        <f t="shared" ca="1" si="73"/>
        <v>0.34368404438273592</v>
      </c>
      <c r="S242">
        <f t="shared" ca="1" si="70"/>
        <v>4.1036611033758845</v>
      </c>
      <c r="T242">
        <f t="shared" ca="1" si="71"/>
        <v>80.406222518604608</v>
      </c>
      <c r="U242">
        <f>70</f>
        <v>70</v>
      </c>
      <c r="V242">
        <f>30</f>
        <v>30</v>
      </c>
      <c r="W242">
        <f t="shared" ca="1" si="69"/>
        <v>222.89302099770259</v>
      </c>
      <c r="X242">
        <f t="shared" ca="1" si="79"/>
        <v>217.20018390647792</v>
      </c>
      <c r="Y242">
        <f t="shared" ca="1" si="78"/>
        <v>6.0853773980408619</v>
      </c>
      <c r="Z242">
        <f t="shared" ca="1" si="80"/>
        <v>4.8885490866100794</v>
      </c>
      <c r="AA242">
        <f t="shared" ca="1" si="81"/>
        <v>1.1968283114307825</v>
      </c>
      <c r="AB242">
        <f t="shared" ca="1" si="82"/>
        <v>198.69720000000001</v>
      </c>
    </row>
    <row r="243" spans="1:28" x14ac:dyDescent="0.25">
      <c r="A243" s="20">
        <f t="shared" ca="1" si="62"/>
        <v>46055</v>
      </c>
      <c r="B243" vm="719">
        <f ca="1"/>
        <v>46056</v>
      </c>
      <c r="C243" vm="720">
        <f ca="1"/>
        <v>233.1</v>
      </c>
      <c r="D243" vm="721">
        <f ca="1"/>
        <v>9346605</v>
      </c>
      <c r="E243">
        <f t="shared" ca="1" si="63"/>
        <v>2178693625.5</v>
      </c>
      <c r="F243">
        <f ca="1">SUM($E$2:E243)/SUM($D$2:D243)</f>
        <v>176.91788534913371</v>
      </c>
      <c r="G243">
        <f ca="1">_xlfn.STDEV.P($C$2:C243)</f>
        <v>21.857555196125698</v>
      </c>
      <c r="H243">
        <f t="shared" ca="1" si="64"/>
        <v>198.77544054525941</v>
      </c>
      <c r="I243">
        <f t="shared" ca="1" si="65"/>
        <v>155.06033015300801</v>
      </c>
      <c r="J243">
        <f t="shared" ca="1" si="74"/>
        <v>218.47300000000001</v>
      </c>
      <c r="K243">
        <f t="shared" ca="1" si="75"/>
        <v>8.6508387789246992</v>
      </c>
      <c r="L243">
        <f t="shared" ca="1" si="76"/>
        <v>235.7746775578494</v>
      </c>
      <c r="M243">
        <f t="shared" ca="1" si="77"/>
        <v>201.17132244215063</v>
      </c>
      <c r="N243">
        <f t="shared" ca="1" si="66"/>
        <v>2.3499999999999943</v>
      </c>
      <c r="O243">
        <f t="shared" ca="1" si="67"/>
        <v>2.3499999999999943</v>
      </c>
      <c r="P243">
        <f t="shared" ca="1" si="68"/>
        <v>0</v>
      </c>
      <c r="Q243">
        <f t="shared" ca="1" si="72"/>
        <v>1.4774797844426053</v>
      </c>
      <c r="R243">
        <f t="shared" ca="1" si="73"/>
        <v>0.31913518406968333</v>
      </c>
      <c r="S243">
        <f t="shared" ca="1" si="70"/>
        <v>4.6296361485482489</v>
      </c>
      <c r="T243">
        <f t="shared" ca="1" si="71"/>
        <v>82.236862674368808</v>
      </c>
      <c r="U243">
        <f>70</f>
        <v>70</v>
      </c>
      <c r="V243">
        <f>30</f>
        <v>30</v>
      </c>
      <c r="W243">
        <f t="shared" ca="1" si="69"/>
        <v>224.4633254595945</v>
      </c>
      <c r="X243">
        <f t="shared" ca="1" si="79"/>
        <v>218.37794806155364</v>
      </c>
      <c r="Y243">
        <f t="shared" ca="1" si="78"/>
        <v>6.4328619415801427</v>
      </c>
      <c r="Z243">
        <f t="shared" ca="1" si="80"/>
        <v>5.1974116576040927</v>
      </c>
      <c r="AA243">
        <f t="shared" ca="1" si="81"/>
        <v>1.2354502839760499</v>
      </c>
      <c r="AB243">
        <f t="shared" ca="1" si="82"/>
        <v>199.27029999999999</v>
      </c>
    </row>
    <row r="244" spans="1:28" x14ac:dyDescent="0.25">
      <c r="A244" s="20">
        <f t="shared" ca="1" si="62"/>
        <v>46055</v>
      </c>
      <c r="B244" vm="722">
        <f ca="1"/>
        <v>46057</v>
      </c>
      <c r="C244" vm="723">
        <f ca="1"/>
        <v>234.47</v>
      </c>
      <c r="D244" vm="724">
        <f ca="1"/>
        <v>8641449</v>
      </c>
      <c r="E244">
        <f t="shared" ca="1" si="63"/>
        <v>2026160547.03</v>
      </c>
      <c r="F244">
        <f ca="1">SUM($E$2:E244)/SUM($D$2:D244)</f>
        <v>177.14864661934999</v>
      </c>
      <c r="G244">
        <f ca="1">_xlfn.STDEV.P($C$2:C244)</f>
        <v>22.12051986747645</v>
      </c>
      <c r="H244">
        <f t="shared" ca="1" si="64"/>
        <v>199.26916648682644</v>
      </c>
      <c r="I244">
        <f t="shared" ca="1" si="65"/>
        <v>155.02812675187354</v>
      </c>
      <c r="J244">
        <f t="shared" ca="1" si="74"/>
        <v>219.95700000000002</v>
      </c>
      <c r="K244">
        <f t="shared" ca="1" si="75"/>
        <v>8.7254546556250236</v>
      </c>
      <c r="L244">
        <f t="shared" ca="1" si="76"/>
        <v>237.40790931125008</v>
      </c>
      <c r="M244">
        <f t="shared" ca="1" si="77"/>
        <v>202.50609068874996</v>
      </c>
      <c r="N244">
        <f t="shared" ca="1" si="66"/>
        <v>1.3700000000000045</v>
      </c>
      <c r="O244">
        <f t="shared" ca="1" si="67"/>
        <v>1.3700000000000045</v>
      </c>
      <c r="P244">
        <f t="shared" ca="1" si="68"/>
        <v>0</v>
      </c>
      <c r="Q244">
        <f t="shared" ca="1" si="72"/>
        <v>1.4698026569824196</v>
      </c>
      <c r="R244">
        <f t="shared" ca="1" si="73"/>
        <v>0.29633981377899171</v>
      </c>
      <c r="S244">
        <f t="shared" ca="1" si="70"/>
        <v>4.9598555058774139</v>
      </c>
      <c r="T244">
        <f t="shared" ca="1" si="71"/>
        <v>83.221069722012004</v>
      </c>
      <c r="U244">
        <f>70</f>
        <v>70</v>
      </c>
      <c r="V244">
        <f>30</f>
        <v>30</v>
      </c>
      <c r="W244">
        <f t="shared" ca="1" si="69"/>
        <v>226.00281385042612</v>
      </c>
      <c r="X244">
        <f t="shared" ca="1" si="79"/>
        <v>219.56995190884598</v>
      </c>
      <c r="Y244">
        <f t="shared" ca="1" si="78"/>
        <v>6.8966420034234091</v>
      </c>
      <c r="Z244">
        <f t="shared" ca="1" si="80"/>
        <v>5.5372577267679564</v>
      </c>
      <c r="AA244">
        <f t="shared" ca="1" si="81"/>
        <v>1.3593842766554527</v>
      </c>
      <c r="AB244">
        <f t="shared" ca="1" si="82"/>
        <v>199.83000000000004</v>
      </c>
    </row>
    <row r="245" spans="1:28" x14ac:dyDescent="0.25">
      <c r="A245" s="20">
        <f t="shared" ca="1" si="62"/>
        <v>46055</v>
      </c>
      <c r="B245" vm="725">
        <f ca="1"/>
        <v>46058</v>
      </c>
      <c r="C245" vm="726">
        <f ca="1"/>
        <v>237.79</v>
      </c>
      <c r="D245" vm="727">
        <f ca="1"/>
        <v>10267498</v>
      </c>
      <c r="E245">
        <f t="shared" ca="1" si="63"/>
        <v>2441508349.4200001</v>
      </c>
      <c r="F245">
        <f ca="1">SUM($E$2:E245)/SUM($D$2:D245)</f>
        <v>177.43617748532716</v>
      </c>
      <c r="G245">
        <f ca="1">_xlfn.STDEV.P($C$2:C245)</f>
        <v>22.411440127812043</v>
      </c>
      <c r="H245">
        <f t="shared" ca="1" si="64"/>
        <v>199.84761761313922</v>
      </c>
      <c r="I245">
        <f t="shared" ca="1" si="65"/>
        <v>155.02473735751511</v>
      </c>
      <c r="J245">
        <f t="shared" ca="1" si="74"/>
        <v>221.47199999999998</v>
      </c>
      <c r="K245">
        <f t="shared" ca="1" si="75"/>
        <v>9.0705507289423046</v>
      </c>
      <c r="L245">
        <f t="shared" ca="1" si="76"/>
        <v>239.6131014578846</v>
      </c>
      <c r="M245">
        <f t="shared" ca="1" si="77"/>
        <v>203.33089854211536</v>
      </c>
      <c r="N245">
        <f t="shared" ca="1" si="66"/>
        <v>3.3199999999999932</v>
      </c>
      <c r="O245">
        <f t="shared" ca="1" si="67"/>
        <v>3.3199999999999932</v>
      </c>
      <c r="P245">
        <f t="shared" ca="1" si="68"/>
        <v>0</v>
      </c>
      <c r="Q245">
        <f t="shared" ca="1" si="72"/>
        <v>1.6019596100551035</v>
      </c>
      <c r="R245">
        <f t="shared" ca="1" si="73"/>
        <v>0.27517268422334945</v>
      </c>
      <c r="S245">
        <f t="shared" ca="1" si="70"/>
        <v>5.8216520094517836</v>
      </c>
      <c r="T245">
        <f t="shared" ca="1" si="71"/>
        <v>85.340794302986382</v>
      </c>
      <c r="U245">
        <f>70</f>
        <v>70</v>
      </c>
      <c r="V245">
        <f>30</f>
        <v>30</v>
      </c>
      <c r="W245">
        <f t="shared" ca="1" si="69"/>
        <v>227.81622710420672</v>
      </c>
      <c r="X245">
        <f t="shared" ca="1" si="79"/>
        <v>220.91958510078331</v>
      </c>
      <c r="Y245">
        <f t="shared" ca="1" si="78"/>
        <v>7.3569068153698538</v>
      </c>
      <c r="Z245">
        <f t="shared" ca="1" si="80"/>
        <v>5.9011875444883364</v>
      </c>
      <c r="AA245">
        <f t="shared" ca="1" si="81"/>
        <v>1.4557192708815174</v>
      </c>
      <c r="AB245">
        <f t="shared" ca="1" si="82"/>
        <v>200.4273</v>
      </c>
    </row>
    <row r="246" spans="1:28" x14ac:dyDescent="0.25">
      <c r="A246" s="20">
        <f t="shared" ca="1" si="62"/>
        <v>46055</v>
      </c>
      <c r="B246" vm="728">
        <f ca="1"/>
        <v>46059</v>
      </c>
      <c r="C246" vm="729">
        <f ca="1"/>
        <v>239.99</v>
      </c>
      <c r="D246" vm="730">
        <f ca="1"/>
        <v>8274034</v>
      </c>
      <c r="E246">
        <f t="shared" ca="1" si="63"/>
        <v>1985685419.6600001</v>
      </c>
      <c r="F246">
        <f ca="1">SUM($E$2:E246)/SUM($D$2:D246)</f>
        <v>177.67428103579482</v>
      </c>
      <c r="G246">
        <f ca="1">_xlfn.STDEV.P($C$2:C246)</f>
        <v>22.717803765402678</v>
      </c>
      <c r="H246">
        <f t="shared" ca="1" si="64"/>
        <v>200.39208480119748</v>
      </c>
      <c r="I246">
        <f t="shared" ca="1" si="65"/>
        <v>154.95647727039216</v>
      </c>
      <c r="J246">
        <f t="shared" ca="1" si="74"/>
        <v>223.18399999999997</v>
      </c>
      <c r="K246">
        <f t="shared" ca="1" si="75"/>
        <v>9.177601681898107</v>
      </c>
      <c r="L246">
        <f t="shared" ca="1" si="76"/>
        <v>241.53920336379619</v>
      </c>
      <c r="M246">
        <f t="shared" ca="1" si="77"/>
        <v>204.82879663620375</v>
      </c>
      <c r="N246">
        <f t="shared" ca="1" si="66"/>
        <v>2.2000000000000171</v>
      </c>
      <c r="O246">
        <f t="shared" ca="1" si="67"/>
        <v>2.2000000000000171</v>
      </c>
      <c r="P246">
        <f t="shared" ca="1" si="68"/>
        <v>0</v>
      </c>
      <c r="Q246">
        <f t="shared" ca="1" si="72"/>
        <v>1.6446767807654545</v>
      </c>
      <c r="R246">
        <f t="shared" ca="1" si="73"/>
        <v>0.25551749249311018</v>
      </c>
      <c r="S246">
        <f t="shared" ca="1" si="70"/>
        <v>6.4366504411035654</v>
      </c>
      <c r="T246">
        <f t="shared" ca="1" si="71"/>
        <v>86.55308585606177</v>
      </c>
      <c r="U246">
        <f>70</f>
        <v>70</v>
      </c>
      <c r="V246">
        <f>30</f>
        <v>30</v>
      </c>
      <c r="W246">
        <f t="shared" ca="1" si="69"/>
        <v>229.68911524202107</v>
      </c>
      <c r="X246">
        <f t="shared" ca="1" si="79"/>
        <v>222.33220842665122</v>
      </c>
      <c r="Y246">
        <f t="shared" ca="1" si="78"/>
        <v>7.5259814479162799</v>
      </c>
      <c r="Z246">
        <f t="shared" ca="1" si="80"/>
        <v>6.2261463251739251</v>
      </c>
      <c r="AA246">
        <f t="shared" ca="1" si="81"/>
        <v>1.2998351227423548</v>
      </c>
      <c r="AB246">
        <f t="shared" ca="1" si="82"/>
        <v>201.05320000000003</v>
      </c>
    </row>
    <row r="247" spans="1:28" x14ac:dyDescent="0.25">
      <c r="A247" s="20">
        <f t="shared" ca="1" si="62"/>
        <v>46062</v>
      </c>
      <c r="B247" vm="731">
        <f ca="1"/>
        <v>46062</v>
      </c>
      <c r="C247" vm="732">
        <f ca="1"/>
        <v>238.64</v>
      </c>
      <c r="D247" vm="733">
        <f ca="1"/>
        <v>9378548</v>
      </c>
      <c r="E247">
        <f t="shared" ca="1" si="63"/>
        <v>2238096694.7199998</v>
      </c>
      <c r="F247">
        <f ca="1">SUM($E$2:E247)/SUM($D$2:D247)</f>
        <v>177.93618754349382</v>
      </c>
      <c r="G247">
        <f ca="1">_xlfn.STDEV.P($C$2:C247)</f>
        <v>23.000231540366848</v>
      </c>
      <c r="H247">
        <f t="shared" ca="1" si="64"/>
        <v>200.93641908386067</v>
      </c>
      <c r="I247">
        <f t="shared" ca="1" si="65"/>
        <v>154.93595600312696</v>
      </c>
      <c r="J247">
        <f t="shared" ca="1" si="74"/>
        <v>224.89649999999997</v>
      </c>
      <c r="K247">
        <f t="shared" ca="1" si="75"/>
        <v>8.6674207144977817</v>
      </c>
      <c r="L247">
        <f t="shared" ca="1" si="76"/>
        <v>242.23134142899553</v>
      </c>
      <c r="M247">
        <f t="shared" ca="1" si="77"/>
        <v>207.56165857100441</v>
      </c>
      <c r="N247">
        <f t="shared" ca="1" si="66"/>
        <v>-1.3500000000000227</v>
      </c>
      <c r="O247">
        <f t="shared" ca="1" si="67"/>
        <v>0</v>
      </c>
      <c r="P247">
        <f t="shared" ca="1" si="68"/>
        <v>1.3500000000000227</v>
      </c>
      <c r="Q247">
        <f t="shared" ca="1" si="72"/>
        <v>1.5271998678536363</v>
      </c>
      <c r="R247">
        <f t="shared" ca="1" si="73"/>
        <v>0.33369481445788962</v>
      </c>
      <c r="S247">
        <f t="shared" ca="1" si="70"/>
        <v>4.5766365004343221</v>
      </c>
      <c r="T247">
        <f t="shared" ca="1" si="71"/>
        <v>82.068044063440084</v>
      </c>
      <c r="U247">
        <f>70</f>
        <v>70</v>
      </c>
      <c r="V247">
        <f>30</f>
        <v>30</v>
      </c>
      <c r="W247">
        <f t="shared" ca="1" si="69"/>
        <v>231.06617443555629</v>
      </c>
      <c r="X247">
        <f t="shared" ca="1" si="79"/>
        <v>223.54019298764001</v>
      </c>
      <c r="Y247">
        <f t="shared" ca="1" si="78"/>
        <v>7.5495472546359395</v>
      </c>
      <c r="Z247">
        <f t="shared" ca="1" si="80"/>
        <v>6.490826511066329</v>
      </c>
      <c r="AA247">
        <f t="shared" ca="1" si="81"/>
        <v>1.0587207435696104</v>
      </c>
      <c r="AB247">
        <f t="shared" ca="1" si="82"/>
        <v>201.67500000000001</v>
      </c>
    </row>
    <row r="248" spans="1:28" x14ac:dyDescent="0.25">
      <c r="A248" s="20">
        <f t="shared" ca="1" si="62"/>
        <v>46062</v>
      </c>
      <c r="B248" vm="734">
        <f ca="1"/>
        <v>46063</v>
      </c>
      <c r="C248" vm="735">
        <f ca="1"/>
        <v>238.35</v>
      </c>
      <c r="D248" vm="736">
        <f ca="1"/>
        <v>6723253</v>
      </c>
      <c r="E248">
        <f t="shared" ca="1" si="63"/>
        <v>1602487352.55</v>
      </c>
      <c r="F248">
        <f ca="1">SUM($E$2:E248)/SUM($D$2:D248)</f>
        <v>178.12167103081165</v>
      </c>
      <c r="G248">
        <f ca="1">_xlfn.STDEV.P($C$2:C248)</f>
        <v>23.271347488257785</v>
      </c>
      <c r="H248">
        <f t="shared" ca="1" si="64"/>
        <v>201.39301851906944</v>
      </c>
      <c r="I248">
        <f t="shared" ca="1" si="65"/>
        <v>154.85032354255387</v>
      </c>
      <c r="J248">
        <f t="shared" ca="1" si="74"/>
        <v>226.32799999999997</v>
      </c>
      <c r="K248">
        <f t="shared" ca="1" si="75"/>
        <v>8.3887334217420815</v>
      </c>
      <c r="L248">
        <f t="shared" ca="1" si="76"/>
        <v>243.10546684348412</v>
      </c>
      <c r="M248">
        <f t="shared" ca="1" si="77"/>
        <v>209.55053315651583</v>
      </c>
      <c r="N248">
        <f t="shared" ca="1" si="66"/>
        <v>-0.28999999999999204</v>
      </c>
      <c r="O248">
        <f t="shared" ca="1" si="67"/>
        <v>0</v>
      </c>
      <c r="P248">
        <f t="shared" ca="1" si="68"/>
        <v>0.28999999999999204</v>
      </c>
      <c r="Q248">
        <f t="shared" ca="1" si="72"/>
        <v>1.4181141630069478</v>
      </c>
      <c r="R248">
        <f t="shared" ca="1" si="73"/>
        <v>0.33057375628232549</v>
      </c>
      <c r="S248">
        <f t="shared" ca="1" si="70"/>
        <v>4.289857062324729</v>
      </c>
      <c r="T248">
        <f t="shared" ca="1" si="71"/>
        <v>81.09589752203</v>
      </c>
      <c r="U248">
        <f>70</f>
        <v>70</v>
      </c>
      <c r="V248">
        <f>30</f>
        <v>30</v>
      </c>
      <c r="W248">
        <f t="shared" ca="1" si="69"/>
        <v>232.18676298393225</v>
      </c>
      <c r="X248">
        <f t="shared" ca="1" si="79"/>
        <v>224.63721572929632</v>
      </c>
      <c r="Y248">
        <f t="shared" ca="1" si="78"/>
        <v>7.6822036871982107</v>
      </c>
      <c r="Z248">
        <f t="shared" ca="1" si="80"/>
        <v>6.7291019462927064</v>
      </c>
      <c r="AA248">
        <f t="shared" ca="1" si="81"/>
        <v>0.95310174090550426</v>
      </c>
      <c r="AB248">
        <f t="shared" ca="1" si="82"/>
        <v>202.28650000000002</v>
      </c>
    </row>
    <row r="249" spans="1:28" x14ac:dyDescent="0.25">
      <c r="A249" s="20">
        <f t="shared" ca="1" si="62"/>
        <v>46062</v>
      </c>
      <c r="B249" vm="737">
        <f ca="1"/>
        <v>46064</v>
      </c>
      <c r="C249" vm="738">
        <f ca="1"/>
        <v>240.86</v>
      </c>
      <c r="D249" vm="739">
        <f ca="1"/>
        <v>6803917</v>
      </c>
      <c r="E249">
        <f t="shared" ca="1" si="63"/>
        <v>1638791448.6200001</v>
      </c>
      <c r="F249">
        <f ca="1">SUM($E$2:E249)/SUM($D$2:D249)</f>
        <v>178.31599851386173</v>
      </c>
      <c r="G249">
        <f ca="1">_xlfn.STDEV.P($C$2:C249)</f>
        <v>23.560953602335076</v>
      </c>
      <c r="H249">
        <f t="shared" ca="1" si="64"/>
        <v>201.8769521161968</v>
      </c>
      <c r="I249">
        <f t="shared" ca="1" si="65"/>
        <v>154.75504491152665</v>
      </c>
      <c r="J249">
        <f t="shared" ca="1" si="74"/>
        <v>227.68849999999998</v>
      </c>
      <c r="K249">
        <f t="shared" ca="1" si="75"/>
        <v>8.4307527759044767</v>
      </c>
      <c r="L249">
        <f t="shared" ca="1" si="76"/>
        <v>244.55000555180894</v>
      </c>
      <c r="M249">
        <f t="shared" ca="1" si="77"/>
        <v>210.82699444819102</v>
      </c>
      <c r="N249">
        <f t="shared" ca="1" si="66"/>
        <v>2.5100000000000193</v>
      </c>
      <c r="O249">
        <f t="shared" ca="1" si="67"/>
        <v>2.5100000000000193</v>
      </c>
      <c r="P249">
        <f t="shared" ca="1" si="68"/>
        <v>0</v>
      </c>
      <c r="Q249">
        <f t="shared" ca="1" si="72"/>
        <v>1.496106008506453</v>
      </c>
      <c r="R249">
        <f t="shared" ca="1" si="73"/>
        <v>0.30696134511930223</v>
      </c>
      <c r="S249">
        <f t="shared" ca="1" si="70"/>
        <v>4.8739231577350015</v>
      </c>
      <c r="T249">
        <f t="shared" ca="1" si="71"/>
        <v>82.975602963359123</v>
      </c>
      <c r="U249">
        <f>70</f>
        <v>70</v>
      </c>
      <c r="V249">
        <f>30</f>
        <v>30</v>
      </c>
      <c r="W249">
        <f t="shared" ca="1" si="69"/>
        <v>233.52110714025036</v>
      </c>
      <c r="X249">
        <f t="shared" ca="1" si="79"/>
        <v>225.83890345305215</v>
      </c>
      <c r="Y249">
        <f t="shared" ca="1" si="78"/>
        <v>7.9929492832262383</v>
      </c>
      <c r="Z249">
        <f t="shared" ca="1" si="80"/>
        <v>6.9818714136794133</v>
      </c>
      <c r="AA249">
        <f t="shared" ca="1" si="81"/>
        <v>1.011077869546825</v>
      </c>
      <c r="AB249">
        <f t="shared" ca="1" si="82"/>
        <v>202.95349999999999</v>
      </c>
    </row>
    <row r="250" spans="1:28" x14ac:dyDescent="0.25">
      <c r="A250" s="20">
        <f t="shared" ca="1" si="62"/>
        <v>46062</v>
      </c>
      <c r="B250" vm="740">
        <f ca="1"/>
        <v>46065</v>
      </c>
      <c r="C250" vm="741">
        <f ca="1"/>
        <v>244.55</v>
      </c>
      <c r="D250" vm="742">
        <f ca="1"/>
        <v>10254260</v>
      </c>
      <c r="E250">
        <f t="shared" ca="1" si="63"/>
        <v>2507679283</v>
      </c>
      <c r="F250">
        <f ca="1">SUM($E$2:E250)/SUM($D$2:D250)</f>
        <v>178.62375339308556</v>
      </c>
      <c r="G250">
        <f ca="1">_xlfn.STDEV.P($C$2:C250)</f>
        <v>23.881834074891309</v>
      </c>
      <c r="H250">
        <f t="shared" ca="1" si="64"/>
        <v>202.50558746797688</v>
      </c>
      <c r="I250">
        <f t="shared" ca="1" si="65"/>
        <v>154.74191931819425</v>
      </c>
      <c r="J250">
        <f t="shared" ca="1" si="74"/>
        <v>228.98849999999999</v>
      </c>
      <c r="K250">
        <f t="shared" ca="1" si="75"/>
        <v>8.9368316975018445</v>
      </c>
      <c r="L250">
        <f t="shared" ca="1" si="76"/>
        <v>246.86216339500368</v>
      </c>
      <c r="M250">
        <f t="shared" ca="1" si="77"/>
        <v>211.1148366049963</v>
      </c>
      <c r="N250">
        <f t="shared" ca="1" si="66"/>
        <v>3.6899999999999977</v>
      </c>
      <c r="O250">
        <f t="shared" ca="1" si="67"/>
        <v>3.6899999999999977</v>
      </c>
      <c r="P250">
        <f t="shared" ca="1" si="68"/>
        <v>0</v>
      </c>
      <c r="Q250">
        <f t="shared" ca="1" si="72"/>
        <v>1.6528127221845634</v>
      </c>
      <c r="R250">
        <f t="shared" ca="1" si="73"/>
        <v>0.2850355347536378</v>
      </c>
      <c r="S250">
        <f t="shared" ca="1" si="70"/>
        <v>5.7986198935270448</v>
      </c>
      <c r="T250">
        <f t="shared" ca="1" si="71"/>
        <v>85.291132381851526</v>
      </c>
      <c r="U250">
        <f>70</f>
        <v>70</v>
      </c>
      <c r="V250">
        <f>30</f>
        <v>30</v>
      </c>
      <c r="W250">
        <f t="shared" ca="1" si="69"/>
        <v>235.21785988790415</v>
      </c>
      <c r="X250">
        <f t="shared" ca="1" si="79"/>
        <v>227.22491060467792</v>
      </c>
      <c r="Y250">
        <f t="shared" ca="1" si="78"/>
        <v>8.0575739036672758</v>
      </c>
      <c r="Z250">
        <f t="shared" ca="1" si="80"/>
        <v>7.1970119116769862</v>
      </c>
      <c r="AA250">
        <f t="shared" ca="1" si="81"/>
        <v>0.8605619919902896</v>
      </c>
      <c r="AB250">
        <f t="shared" ca="1" si="82"/>
        <v>203.6371</v>
      </c>
    </row>
    <row r="251" spans="1:28" x14ac:dyDescent="0.25">
      <c r="A251" s="20">
        <f t="shared" ca="1" si="62"/>
        <v>46062</v>
      </c>
      <c r="B251" vm="743">
        <f ca="1"/>
        <v>46066</v>
      </c>
      <c r="C251" vm="744">
        <f ca="1"/>
        <v>243.45</v>
      </c>
      <c r="D251" vm="745">
        <f ca="1"/>
        <v>13268519</v>
      </c>
      <c r="E251">
        <f t="shared" ca="1" si="63"/>
        <v>3230220950.5499997</v>
      </c>
      <c r="F251">
        <f ca="1">SUM($E$2:E251)/SUM($D$2:D251)</f>
        <v>179.01118019098607</v>
      </c>
      <c r="G251">
        <f ca="1">_xlfn.STDEV.P($C$2:C251)</f>
        <v>24.181248858269857</v>
      </c>
      <c r="H251">
        <f t="shared" ca="1" si="64"/>
        <v>203.19242904925594</v>
      </c>
      <c r="I251">
        <f t="shared" ca="1" si="65"/>
        <v>154.8299313327162</v>
      </c>
      <c r="J251">
        <f t="shared" ca="1" si="74"/>
        <v>230.18249999999995</v>
      </c>
      <c r="K251">
        <f t="shared" ca="1" si="75"/>
        <v>9.2035072691138549</v>
      </c>
      <c r="L251">
        <f t="shared" ca="1" si="76"/>
        <v>248.58951453822766</v>
      </c>
      <c r="M251">
        <f t="shared" ca="1" si="77"/>
        <v>211.77548546177223</v>
      </c>
      <c r="N251">
        <f t="shared" ca="1" si="66"/>
        <v>-1.1000000000000227</v>
      </c>
      <c r="O251">
        <f t="shared" ca="1" si="67"/>
        <v>0</v>
      </c>
      <c r="P251">
        <f t="shared" ca="1" si="68"/>
        <v>1.1000000000000227</v>
      </c>
      <c r="Q251">
        <f t="shared" ca="1" si="72"/>
        <v>1.5347546705999517</v>
      </c>
      <c r="R251">
        <f t="shared" ca="1" si="73"/>
        <v>0.34324728227123674</v>
      </c>
      <c r="S251">
        <f t="shared" ca="1" si="70"/>
        <v>4.4712798902430242</v>
      </c>
      <c r="T251">
        <f t="shared" ca="1" si="71"/>
        <v>81.722740929717233</v>
      </c>
      <c r="U251">
        <f>70</f>
        <v>70</v>
      </c>
      <c r="V251">
        <f>30</f>
        <v>30</v>
      </c>
      <c r="W251">
        <f t="shared" ca="1" si="69"/>
        <v>236.48434298207275</v>
      </c>
      <c r="X251">
        <f t="shared" ca="1" si="79"/>
        <v>228.42676907840547</v>
      </c>
      <c r="Y251">
        <f t="shared" ref="Y251" si="83">W252-X252</f>
        <v>0</v>
      </c>
      <c r="Z251">
        <f t="shared" ref="Z251" ca="1" si="84">Y251*(2/(9+1)) + Z250*(1-(2/(9+1)))</f>
        <v>5.7576095293415896</v>
      </c>
      <c r="AA251">
        <f t="shared" ref="AA251" ca="1" si="85">Y251-Z251</f>
        <v>-5.7576095293415896</v>
      </c>
      <c r="AB251">
        <f t="shared" ca="1" si="82"/>
        <v>204.3295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C209A-9CEE-412E-9AE1-617730C271EB}">
  <dimension ref="A1:B53"/>
  <sheetViews>
    <sheetView topLeftCell="A41" workbookViewId="0">
      <selection activeCell="F52" sqref="F52"/>
    </sheetView>
  </sheetViews>
  <sheetFormatPr defaultRowHeight="15" x14ac:dyDescent="0.25"/>
  <cols>
    <col min="1" max="2" width="10.42578125" bestFit="1" customWidth="1"/>
  </cols>
  <sheetData>
    <row r="1" spans="1:2" x14ac:dyDescent="0.25">
      <c r="A1" t="s">
        <v>45</v>
      </c>
      <c r="B1" t="s">
        <v>46</v>
      </c>
    </row>
    <row r="2" spans="1:2" x14ac:dyDescent="0.25">
      <c r="A2" s="22">
        <v>45705</v>
      </c>
      <c r="B2">
        <v>158.715</v>
      </c>
    </row>
    <row r="3" spans="1:2" x14ac:dyDescent="0.25">
      <c r="A3" s="22">
        <v>45712</v>
      </c>
      <c r="B3">
        <v>164.33199999999999</v>
      </c>
    </row>
    <row r="4" spans="1:2" x14ac:dyDescent="0.25">
      <c r="A4" s="22">
        <v>45719</v>
      </c>
      <c r="B4">
        <v>166.06800000000001</v>
      </c>
    </row>
    <row r="5" spans="1:2" x14ac:dyDescent="0.25">
      <c r="A5" s="22">
        <v>45726</v>
      </c>
      <c r="B5">
        <v>164.44200000000001</v>
      </c>
    </row>
    <row r="6" spans="1:2" x14ac:dyDescent="0.25">
      <c r="A6" s="22">
        <v>45733</v>
      </c>
      <c r="B6">
        <v>163.346</v>
      </c>
    </row>
    <row r="7" spans="1:2" x14ac:dyDescent="0.25">
      <c r="A7" s="22">
        <v>45740</v>
      </c>
      <c r="B7">
        <v>162.57400000000001</v>
      </c>
    </row>
    <row r="8" spans="1:2" x14ac:dyDescent="0.25">
      <c r="A8" s="22">
        <v>45747</v>
      </c>
      <c r="B8">
        <v>157.50200000000001</v>
      </c>
    </row>
    <row r="9" spans="1:2" x14ac:dyDescent="0.25">
      <c r="A9" s="22">
        <v>45754</v>
      </c>
      <c r="B9">
        <v>150.40199999999999</v>
      </c>
    </row>
    <row r="10" spans="1:2" x14ac:dyDescent="0.25">
      <c r="A10" s="22">
        <v>45761</v>
      </c>
      <c r="B10">
        <v>154.84</v>
      </c>
    </row>
    <row r="11" spans="1:2" x14ac:dyDescent="0.25">
      <c r="A11" s="22">
        <v>45768</v>
      </c>
      <c r="B11">
        <v>155.91200000000001</v>
      </c>
    </row>
    <row r="12" spans="1:2" x14ac:dyDescent="0.25">
      <c r="A12" s="22">
        <v>45775</v>
      </c>
      <c r="B12">
        <v>155.63</v>
      </c>
    </row>
    <row r="13" spans="1:2" x14ac:dyDescent="0.25">
      <c r="A13" s="22">
        <v>45782</v>
      </c>
      <c r="B13">
        <v>155.33000000000001</v>
      </c>
    </row>
    <row r="14" spans="1:2" x14ac:dyDescent="0.25">
      <c r="A14" s="22">
        <v>45789</v>
      </c>
      <c r="B14">
        <v>149.976</v>
      </c>
    </row>
    <row r="15" spans="1:2" x14ac:dyDescent="0.25">
      <c r="A15" s="22">
        <v>45796</v>
      </c>
      <c r="B15">
        <v>152.976</v>
      </c>
    </row>
    <row r="16" spans="1:2" x14ac:dyDescent="0.25">
      <c r="A16" s="22">
        <v>45803</v>
      </c>
      <c r="B16">
        <v>153.61750000000001</v>
      </c>
    </row>
    <row r="17" spans="1:2" x14ac:dyDescent="0.25">
      <c r="A17" s="22">
        <v>45810</v>
      </c>
      <c r="B17">
        <v>154.346</v>
      </c>
    </row>
    <row r="18" spans="1:2" x14ac:dyDescent="0.25">
      <c r="A18" s="22">
        <v>45817</v>
      </c>
      <c r="B18">
        <v>156.13999999999999</v>
      </c>
    </row>
    <row r="19" spans="1:2" x14ac:dyDescent="0.25">
      <c r="A19" s="22">
        <v>45824</v>
      </c>
      <c r="B19">
        <v>152.03</v>
      </c>
    </row>
    <row r="20" spans="1:2" x14ac:dyDescent="0.25">
      <c r="A20" s="22">
        <v>45831</v>
      </c>
      <c r="B20">
        <v>152.042</v>
      </c>
    </row>
    <row r="21" spans="1:2" x14ac:dyDescent="0.25">
      <c r="A21" s="22">
        <v>45838</v>
      </c>
      <c r="B21">
        <v>155.06</v>
      </c>
    </row>
    <row r="22" spans="1:2" x14ac:dyDescent="0.25">
      <c r="A22" s="22">
        <v>45845</v>
      </c>
      <c r="B22">
        <v>156.386</v>
      </c>
    </row>
    <row r="23" spans="1:2" x14ac:dyDescent="0.25">
      <c r="A23" s="22">
        <v>45852</v>
      </c>
      <c r="B23">
        <v>160.69</v>
      </c>
    </row>
    <row r="24" spans="1:2" x14ac:dyDescent="0.25">
      <c r="A24" s="22">
        <v>45859</v>
      </c>
      <c r="B24">
        <v>167.85</v>
      </c>
    </row>
    <row r="25" spans="1:2" x14ac:dyDescent="0.25">
      <c r="A25" s="22">
        <v>45866</v>
      </c>
      <c r="B25">
        <v>166.732</v>
      </c>
    </row>
    <row r="26" spans="1:2" x14ac:dyDescent="0.25">
      <c r="A26" s="22">
        <v>45873</v>
      </c>
      <c r="B26">
        <v>171.446</v>
      </c>
    </row>
    <row r="27" spans="1:2" x14ac:dyDescent="0.25">
      <c r="A27" s="22">
        <v>45880</v>
      </c>
      <c r="B27">
        <v>174.476</v>
      </c>
    </row>
    <row r="28" spans="1:2" x14ac:dyDescent="0.25">
      <c r="A28" s="22">
        <v>45887</v>
      </c>
      <c r="B28">
        <v>178.22200000000001</v>
      </c>
    </row>
    <row r="29" spans="1:2" x14ac:dyDescent="0.25">
      <c r="A29" s="22">
        <v>45894</v>
      </c>
      <c r="B29">
        <v>176.86199999999999</v>
      </c>
    </row>
    <row r="30" spans="1:2" x14ac:dyDescent="0.25">
      <c r="A30" s="22">
        <v>45901</v>
      </c>
      <c r="B30">
        <v>178.3125</v>
      </c>
    </row>
    <row r="31" spans="1:2" x14ac:dyDescent="0.25">
      <c r="A31" s="22">
        <v>45908</v>
      </c>
      <c r="B31">
        <v>177.488</v>
      </c>
    </row>
    <row r="32" spans="1:2" x14ac:dyDescent="0.25">
      <c r="A32" s="22">
        <v>45915</v>
      </c>
      <c r="B32">
        <v>176.28200000000001</v>
      </c>
    </row>
    <row r="33" spans="1:2" x14ac:dyDescent="0.25">
      <c r="A33" s="22">
        <v>45922</v>
      </c>
      <c r="B33">
        <v>176.98400000000001</v>
      </c>
    </row>
    <row r="34" spans="1:2" x14ac:dyDescent="0.25">
      <c r="A34" s="22">
        <v>45929</v>
      </c>
      <c r="B34">
        <v>185.542</v>
      </c>
    </row>
    <row r="35" spans="1:2" x14ac:dyDescent="0.25">
      <c r="A35" s="22">
        <v>45936</v>
      </c>
      <c r="B35">
        <v>189.708</v>
      </c>
    </row>
    <row r="36" spans="1:2" x14ac:dyDescent="0.25">
      <c r="A36" s="22">
        <v>45943</v>
      </c>
      <c r="B36">
        <v>191.65199999999999</v>
      </c>
    </row>
    <row r="37" spans="1:2" x14ac:dyDescent="0.25">
      <c r="A37" s="22">
        <v>45950</v>
      </c>
      <c r="B37">
        <v>192.28200000000001</v>
      </c>
    </row>
    <row r="38" spans="1:2" x14ac:dyDescent="0.25">
      <c r="A38" s="22">
        <v>45957</v>
      </c>
      <c r="B38">
        <v>188.35</v>
      </c>
    </row>
    <row r="39" spans="1:2" x14ac:dyDescent="0.25">
      <c r="A39" s="22">
        <v>45964</v>
      </c>
      <c r="B39">
        <v>186.53200000000001</v>
      </c>
    </row>
    <row r="40" spans="1:2" x14ac:dyDescent="0.25">
      <c r="A40" s="22">
        <v>45971</v>
      </c>
      <c r="B40">
        <v>193.56200000000001</v>
      </c>
    </row>
    <row r="41" spans="1:2" x14ac:dyDescent="0.25">
      <c r="A41" s="22">
        <v>45978</v>
      </c>
      <c r="B41">
        <v>201.81200000000001</v>
      </c>
    </row>
    <row r="42" spans="1:2" x14ac:dyDescent="0.25">
      <c r="A42" s="22">
        <v>45985</v>
      </c>
      <c r="B42">
        <v>206.8</v>
      </c>
    </row>
    <row r="43" spans="1:2" x14ac:dyDescent="0.25">
      <c r="A43" s="22">
        <v>45992</v>
      </c>
      <c r="B43">
        <v>204.1</v>
      </c>
    </row>
    <row r="44" spans="1:2" x14ac:dyDescent="0.25">
      <c r="A44" s="22">
        <v>45999</v>
      </c>
      <c r="B44">
        <v>205.94200000000001</v>
      </c>
    </row>
    <row r="45" spans="1:2" x14ac:dyDescent="0.25">
      <c r="A45" s="22">
        <v>46006</v>
      </c>
      <c r="B45">
        <v>209.696</v>
      </c>
    </row>
    <row r="46" spans="1:2" x14ac:dyDescent="0.25">
      <c r="A46" s="22">
        <v>46013</v>
      </c>
      <c r="B46">
        <v>207.1275</v>
      </c>
    </row>
    <row r="47" spans="1:2" x14ac:dyDescent="0.25">
      <c r="A47" s="22">
        <v>46020</v>
      </c>
      <c r="B47">
        <v>207.1925</v>
      </c>
    </row>
    <row r="48" spans="1:2" x14ac:dyDescent="0.25">
      <c r="A48" s="22">
        <v>46027</v>
      </c>
      <c r="B48">
        <v>205.346</v>
      </c>
    </row>
    <row r="49" spans="1:2" x14ac:dyDescent="0.25">
      <c r="A49" s="22">
        <v>46034</v>
      </c>
      <c r="B49">
        <v>216.03</v>
      </c>
    </row>
    <row r="50" spans="1:2" x14ac:dyDescent="0.25">
      <c r="A50" s="22">
        <v>46041</v>
      </c>
      <c r="B50">
        <v>218.71250000000001</v>
      </c>
    </row>
    <row r="51" spans="1:2" x14ac:dyDescent="0.25">
      <c r="A51" s="22">
        <v>46048</v>
      </c>
      <c r="B51">
        <v>225.63800000000001</v>
      </c>
    </row>
    <row r="52" spans="1:2" x14ac:dyDescent="0.25">
      <c r="A52" s="22">
        <v>46055</v>
      </c>
      <c r="B52">
        <v>235.22</v>
      </c>
    </row>
    <row r="53" spans="1:2" x14ac:dyDescent="0.25">
      <c r="A53" s="22">
        <v>46062</v>
      </c>
      <c r="B53">
        <v>241.17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5C165-2628-4C3F-8AFA-6D40E34BAE8A}">
  <dimension ref="A1:F120"/>
  <sheetViews>
    <sheetView topLeftCell="A7" workbookViewId="0">
      <selection activeCell="G109" sqref="G109"/>
    </sheetView>
  </sheetViews>
  <sheetFormatPr defaultRowHeight="15" x14ac:dyDescent="0.25"/>
  <cols>
    <col min="1" max="2" width="10.42578125" bestFit="1" customWidth="1"/>
    <col min="3" max="3" width="10.42578125" customWidth="1"/>
    <col min="4" max="4" width="13.5703125" bestFit="1" customWidth="1"/>
    <col min="5" max="5" width="15.5703125" bestFit="1" customWidth="1"/>
    <col min="6" max="6" width="15.7109375" bestFit="1" customWidth="1"/>
  </cols>
  <sheetData>
    <row r="1" spans="1:6" x14ac:dyDescent="0.25">
      <c r="A1" t="s">
        <v>45</v>
      </c>
      <c r="B1" t="s">
        <v>46</v>
      </c>
      <c r="C1" t="s">
        <v>49</v>
      </c>
      <c r="D1" t="s">
        <v>47</v>
      </c>
      <c r="E1" t="s">
        <v>48</v>
      </c>
      <c r="F1" t="s">
        <v>52</v>
      </c>
    </row>
    <row r="2" spans="1:6" x14ac:dyDescent="0.25">
      <c r="A2" s="22">
        <v>45292</v>
      </c>
      <c r="B2">
        <v>160.67500000000001</v>
      </c>
    </row>
    <row r="3" spans="1:6" x14ac:dyDescent="0.25">
      <c r="A3" s="22">
        <v>45299</v>
      </c>
      <c r="B3">
        <v>161.714</v>
      </c>
    </row>
    <row r="4" spans="1:6" x14ac:dyDescent="0.25">
      <c r="A4" s="22">
        <v>45306</v>
      </c>
      <c r="B4">
        <v>160.96</v>
      </c>
    </row>
    <row r="5" spans="1:6" x14ac:dyDescent="0.25">
      <c r="A5" s="22">
        <v>45313</v>
      </c>
      <c r="B5">
        <v>160.06</v>
      </c>
    </row>
    <row r="6" spans="1:6" x14ac:dyDescent="0.25">
      <c r="A6" s="22">
        <v>45320</v>
      </c>
      <c r="B6">
        <v>158.4</v>
      </c>
    </row>
    <row r="7" spans="1:6" x14ac:dyDescent="0.25">
      <c r="A7" s="22">
        <v>45327</v>
      </c>
      <c r="B7">
        <v>157</v>
      </c>
    </row>
    <row r="8" spans="1:6" x14ac:dyDescent="0.25">
      <c r="A8" s="22">
        <v>45334</v>
      </c>
      <c r="B8">
        <v>156.90600000000001</v>
      </c>
    </row>
    <row r="9" spans="1:6" x14ac:dyDescent="0.25">
      <c r="A9" s="22">
        <v>45341</v>
      </c>
      <c r="B9">
        <v>159.70750000000001</v>
      </c>
    </row>
    <row r="10" spans="1:6" x14ac:dyDescent="0.25">
      <c r="A10" s="22">
        <v>45348</v>
      </c>
      <c r="B10">
        <v>161.364</v>
      </c>
    </row>
    <row r="11" spans="1:6" x14ac:dyDescent="0.25">
      <c r="A11" s="22">
        <v>45355</v>
      </c>
      <c r="B11">
        <v>159.50800000000001</v>
      </c>
    </row>
    <row r="12" spans="1:6" x14ac:dyDescent="0.25">
      <c r="A12" s="22">
        <v>45362</v>
      </c>
      <c r="B12">
        <v>160.49199999999999</v>
      </c>
    </row>
    <row r="13" spans="1:6" x14ac:dyDescent="0.25">
      <c r="A13" s="22">
        <v>45369</v>
      </c>
      <c r="B13">
        <v>155.94200000000001</v>
      </c>
    </row>
    <row r="14" spans="1:6" x14ac:dyDescent="0.25">
      <c r="A14" s="22">
        <v>45376</v>
      </c>
      <c r="B14">
        <v>156.785</v>
      </c>
    </row>
    <row r="15" spans="1:6" x14ac:dyDescent="0.25">
      <c r="A15" s="22">
        <v>45383</v>
      </c>
      <c r="B15">
        <v>154.93199999999999</v>
      </c>
    </row>
    <row r="16" spans="1:6" x14ac:dyDescent="0.25">
      <c r="A16" s="22">
        <v>45390</v>
      </c>
      <c r="B16">
        <v>150.078</v>
      </c>
    </row>
    <row r="17" spans="1:2" x14ac:dyDescent="0.25">
      <c r="A17" s="22">
        <v>45397</v>
      </c>
      <c r="B17">
        <v>146.09200000000001</v>
      </c>
    </row>
    <row r="18" spans="1:2" x14ac:dyDescent="0.25">
      <c r="A18" s="22">
        <v>45404</v>
      </c>
      <c r="B18">
        <v>148.03399999999999</v>
      </c>
    </row>
    <row r="19" spans="1:2" x14ac:dyDescent="0.25">
      <c r="A19" s="22">
        <v>45411</v>
      </c>
      <c r="B19">
        <v>148.35599999999999</v>
      </c>
    </row>
    <row r="20" spans="1:2" x14ac:dyDescent="0.25">
      <c r="A20" s="22">
        <v>45418</v>
      </c>
      <c r="B20">
        <v>149.202</v>
      </c>
    </row>
    <row r="21" spans="1:2" x14ac:dyDescent="0.25">
      <c r="A21" s="22">
        <v>45425</v>
      </c>
      <c r="B21">
        <v>152.83799999999999</v>
      </c>
    </row>
    <row r="22" spans="1:2" x14ac:dyDescent="0.25">
      <c r="A22" s="22">
        <v>45432</v>
      </c>
      <c r="B22">
        <v>150.536</v>
      </c>
    </row>
    <row r="23" spans="1:2" x14ac:dyDescent="0.25">
      <c r="A23" s="22">
        <v>45439</v>
      </c>
      <c r="B23">
        <v>145.1925</v>
      </c>
    </row>
    <row r="24" spans="1:2" x14ac:dyDescent="0.25">
      <c r="A24" s="22">
        <v>45446</v>
      </c>
      <c r="B24">
        <v>147.00200000000001</v>
      </c>
    </row>
    <row r="25" spans="1:2" x14ac:dyDescent="0.25">
      <c r="A25" s="22">
        <v>45453</v>
      </c>
      <c r="B25">
        <v>146.05799999999999</v>
      </c>
    </row>
    <row r="26" spans="1:2" x14ac:dyDescent="0.25">
      <c r="A26" s="22">
        <v>45460</v>
      </c>
      <c r="B26">
        <v>147.0325</v>
      </c>
    </row>
    <row r="27" spans="1:2" x14ac:dyDescent="0.25">
      <c r="A27" s="22">
        <v>45467</v>
      </c>
      <c r="B27">
        <v>147.018</v>
      </c>
    </row>
    <row r="28" spans="1:2" x14ac:dyDescent="0.25">
      <c r="A28" s="22">
        <v>45474</v>
      </c>
      <c r="B28">
        <v>146.16</v>
      </c>
    </row>
    <row r="29" spans="1:2" x14ac:dyDescent="0.25">
      <c r="A29" s="22">
        <v>45481</v>
      </c>
      <c r="B29">
        <v>148.30799999999999</v>
      </c>
    </row>
    <row r="30" spans="1:2" x14ac:dyDescent="0.25">
      <c r="A30" s="22">
        <v>45488</v>
      </c>
      <c r="B30">
        <v>153.38800000000001</v>
      </c>
    </row>
    <row r="31" spans="1:2" x14ac:dyDescent="0.25">
      <c r="A31" s="22">
        <v>45495</v>
      </c>
      <c r="B31">
        <v>156.63</v>
      </c>
    </row>
    <row r="32" spans="1:2" x14ac:dyDescent="0.25">
      <c r="A32" s="22">
        <v>45502</v>
      </c>
      <c r="B32">
        <v>160.52799999999999</v>
      </c>
    </row>
    <row r="33" spans="1:2" x14ac:dyDescent="0.25">
      <c r="A33" s="22">
        <v>45509</v>
      </c>
      <c r="B33">
        <v>159.99199999999999</v>
      </c>
    </row>
    <row r="34" spans="1:2" x14ac:dyDescent="0.25">
      <c r="A34" s="22">
        <v>45516</v>
      </c>
      <c r="B34">
        <v>159.04599999999999</v>
      </c>
    </row>
    <row r="35" spans="1:2" x14ac:dyDescent="0.25">
      <c r="A35" s="22">
        <v>45523</v>
      </c>
      <c r="B35">
        <v>161.54</v>
      </c>
    </row>
    <row r="36" spans="1:2" x14ac:dyDescent="0.25">
      <c r="A36" s="22">
        <v>45530</v>
      </c>
      <c r="B36">
        <v>164.31399999999999</v>
      </c>
    </row>
    <row r="37" spans="1:2" x14ac:dyDescent="0.25">
      <c r="A37" s="22">
        <v>45537</v>
      </c>
      <c r="B37">
        <v>165.9725</v>
      </c>
    </row>
    <row r="38" spans="1:2" x14ac:dyDescent="0.25">
      <c r="A38" s="22">
        <v>45544</v>
      </c>
      <c r="B38">
        <v>165.79400000000001</v>
      </c>
    </row>
    <row r="39" spans="1:2" x14ac:dyDescent="0.25">
      <c r="A39" s="22">
        <v>45551</v>
      </c>
      <c r="B39">
        <v>165.83799999999999</v>
      </c>
    </row>
    <row r="40" spans="1:2" x14ac:dyDescent="0.25">
      <c r="A40" s="22">
        <v>45558</v>
      </c>
      <c r="B40">
        <v>161.87799999999999</v>
      </c>
    </row>
    <row r="41" spans="1:2" x14ac:dyDescent="0.25">
      <c r="A41" s="22">
        <v>45565</v>
      </c>
      <c r="B41">
        <v>161.202</v>
      </c>
    </row>
    <row r="42" spans="1:2" x14ac:dyDescent="0.25">
      <c r="A42" s="22">
        <v>45572</v>
      </c>
      <c r="B42">
        <v>160.36799999999999</v>
      </c>
    </row>
    <row r="43" spans="1:2" x14ac:dyDescent="0.25">
      <c r="A43" s="22">
        <v>45579</v>
      </c>
      <c r="B43">
        <v>163.91399999999999</v>
      </c>
    </row>
    <row r="44" spans="1:2" x14ac:dyDescent="0.25">
      <c r="A44" s="22">
        <v>45586</v>
      </c>
      <c r="B44">
        <v>163.33799999999999</v>
      </c>
    </row>
    <row r="45" spans="1:2" x14ac:dyDescent="0.25">
      <c r="A45" s="22">
        <v>45593</v>
      </c>
      <c r="B45">
        <v>160.458</v>
      </c>
    </row>
    <row r="46" spans="1:2" x14ac:dyDescent="0.25">
      <c r="A46" s="22">
        <v>45600</v>
      </c>
      <c r="B46">
        <v>157.334</v>
      </c>
    </row>
    <row r="47" spans="1:2" x14ac:dyDescent="0.25">
      <c r="A47" s="22">
        <v>45607</v>
      </c>
      <c r="B47">
        <v>153.358</v>
      </c>
    </row>
    <row r="48" spans="1:2" x14ac:dyDescent="0.25">
      <c r="A48" s="22">
        <v>45614</v>
      </c>
      <c r="B48">
        <v>154.31</v>
      </c>
    </row>
    <row r="49" spans="1:2" x14ac:dyDescent="0.25">
      <c r="A49" s="22">
        <v>45621</v>
      </c>
      <c r="B49">
        <v>155.17750000000001</v>
      </c>
    </row>
    <row r="50" spans="1:2" x14ac:dyDescent="0.25">
      <c r="A50" s="22">
        <v>45628</v>
      </c>
      <c r="B50">
        <v>151.292</v>
      </c>
    </row>
    <row r="51" spans="1:2" x14ac:dyDescent="0.25">
      <c r="A51" s="22">
        <v>45635</v>
      </c>
      <c r="B51">
        <v>147.666</v>
      </c>
    </row>
    <row r="52" spans="1:2" x14ac:dyDescent="0.25">
      <c r="A52" s="22">
        <v>45642</v>
      </c>
      <c r="B52">
        <v>144.61199999999999</v>
      </c>
    </row>
    <row r="53" spans="1:2" x14ac:dyDescent="0.25">
      <c r="A53" s="22">
        <v>45649</v>
      </c>
      <c r="B53">
        <v>145.4375</v>
      </c>
    </row>
    <row r="54" spans="1:2" x14ac:dyDescent="0.25">
      <c r="A54" s="22">
        <v>45656</v>
      </c>
      <c r="B54">
        <v>144.04250000000002</v>
      </c>
    </row>
    <row r="55" spans="1:2" x14ac:dyDescent="0.25">
      <c r="A55" s="22">
        <v>45663</v>
      </c>
      <c r="B55">
        <v>143.55500000000001</v>
      </c>
    </row>
    <row r="56" spans="1:2" x14ac:dyDescent="0.25">
      <c r="A56" s="22">
        <v>45670</v>
      </c>
      <c r="B56">
        <v>145.798</v>
      </c>
    </row>
    <row r="57" spans="1:2" x14ac:dyDescent="0.25">
      <c r="A57" s="22">
        <v>45677</v>
      </c>
      <c r="B57">
        <v>146.72</v>
      </c>
    </row>
    <row r="58" spans="1:2" x14ac:dyDescent="0.25">
      <c r="A58" s="22">
        <v>45684</v>
      </c>
      <c r="B58">
        <v>151.88800000000001</v>
      </c>
    </row>
    <row r="59" spans="1:2" x14ac:dyDescent="0.25">
      <c r="A59" s="22">
        <v>45691</v>
      </c>
      <c r="B59">
        <v>153.33600000000001</v>
      </c>
    </row>
    <row r="60" spans="1:2" x14ac:dyDescent="0.25">
      <c r="A60" s="22">
        <v>45698</v>
      </c>
      <c r="B60">
        <v>155.80600000000001</v>
      </c>
    </row>
    <row r="61" spans="1:2" x14ac:dyDescent="0.25">
      <c r="A61" s="22">
        <v>45705</v>
      </c>
      <c r="B61">
        <v>158.715</v>
      </c>
    </row>
    <row r="62" spans="1:2" x14ac:dyDescent="0.25">
      <c r="A62" s="22">
        <v>45712</v>
      </c>
      <c r="B62">
        <v>164.33199999999999</v>
      </c>
    </row>
    <row r="63" spans="1:2" x14ac:dyDescent="0.25">
      <c r="A63" s="22">
        <v>45719</v>
      </c>
      <c r="B63">
        <v>166.06800000000001</v>
      </c>
    </row>
    <row r="64" spans="1:2" x14ac:dyDescent="0.25">
      <c r="A64" s="22">
        <v>45726</v>
      </c>
      <c r="B64">
        <v>164.44200000000001</v>
      </c>
    </row>
    <row r="65" spans="1:2" x14ac:dyDescent="0.25">
      <c r="A65" s="22">
        <v>45733</v>
      </c>
      <c r="B65">
        <v>163.346</v>
      </c>
    </row>
    <row r="66" spans="1:2" x14ac:dyDescent="0.25">
      <c r="A66" s="22">
        <v>45740</v>
      </c>
      <c r="B66">
        <v>162.57400000000001</v>
      </c>
    </row>
    <row r="67" spans="1:2" x14ac:dyDescent="0.25">
      <c r="A67" s="22">
        <v>45747</v>
      </c>
      <c r="B67">
        <v>157.50200000000001</v>
      </c>
    </row>
    <row r="68" spans="1:2" x14ac:dyDescent="0.25">
      <c r="A68" s="22">
        <v>45754</v>
      </c>
      <c r="B68">
        <v>150.40199999999999</v>
      </c>
    </row>
    <row r="69" spans="1:2" x14ac:dyDescent="0.25">
      <c r="A69" s="22">
        <v>45761</v>
      </c>
      <c r="B69">
        <v>154.84</v>
      </c>
    </row>
    <row r="70" spans="1:2" x14ac:dyDescent="0.25">
      <c r="A70" s="22">
        <v>45768</v>
      </c>
      <c r="B70">
        <v>155.91200000000001</v>
      </c>
    </row>
    <row r="71" spans="1:2" x14ac:dyDescent="0.25">
      <c r="A71" s="22">
        <v>45775</v>
      </c>
      <c r="B71">
        <v>155.63</v>
      </c>
    </row>
    <row r="72" spans="1:2" x14ac:dyDescent="0.25">
      <c r="A72" s="22">
        <v>45782</v>
      </c>
      <c r="B72">
        <v>155.33000000000001</v>
      </c>
    </row>
    <row r="73" spans="1:2" x14ac:dyDescent="0.25">
      <c r="A73" s="22">
        <v>45789</v>
      </c>
      <c r="B73">
        <v>149.976</v>
      </c>
    </row>
    <row r="74" spans="1:2" x14ac:dyDescent="0.25">
      <c r="A74" s="22">
        <v>45796</v>
      </c>
      <c r="B74">
        <v>152.976</v>
      </c>
    </row>
    <row r="75" spans="1:2" x14ac:dyDescent="0.25">
      <c r="A75" s="22">
        <v>45803</v>
      </c>
      <c r="B75">
        <v>153.61750000000001</v>
      </c>
    </row>
    <row r="76" spans="1:2" x14ac:dyDescent="0.25">
      <c r="A76" s="22">
        <v>45810</v>
      </c>
      <c r="B76">
        <v>154.346</v>
      </c>
    </row>
    <row r="77" spans="1:2" x14ac:dyDescent="0.25">
      <c r="A77" s="22">
        <v>45817</v>
      </c>
      <c r="B77">
        <v>156.13999999999999</v>
      </c>
    </row>
    <row r="78" spans="1:2" x14ac:dyDescent="0.25">
      <c r="A78" s="22">
        <v>45824</v>
      </c>
      <c r="B78">
        <v>152.03</v>
      </c>
    </row>
    <row r="79" spans="1:2" x14ac:dyDescent="0.25">
      <c r="A79" s="22">
        <v>45831</v>
      </c>
      <c r="B79">
        <v>152.042</v>
      </c>
    </row>
    <row r="80" spans="1:2" x14ac:dyDescent="0.25">
      <c r="A80" s="22">
        <v>45838</v>
      </c>
      <c r="B80">
        <v>155.06</v>
      </c>
    </row>
    <row r="81" spans="1:2" x14ac:dyDescent="0.25">
      <c r="A81" s="22">
        <v>45845</v>
      </c>
      <c r="B81">
        <v>156.386</v>
      </c>
    </row>
    <row r="82" spans="1:2" x14ac:dyDescent="0.25">
      <c r="A82" s="22">
        <v>45852</v>
      </c>
      <c r="B82">
        <v>160.69</v>
      </c>
    </row>
    <row r="83" spans="1:2" x14ac:dyDescent="0.25">
      <c r="A83" s="22">
        <v>45859</v>
      </c>
      <c r="B83">
        <v>167.85</v>
      </c>
    </row>
    <row r="84" spans="1:2" x14ac:dyDescent="0.25">
      <c r="A84" s="22">
        <v>45866</v>
      </c>
      <c r="B84">
        <v>166.732</v>
      </c>
    </row>
    <row r="85" spans="1:2" x14ac:dyDescent="0.25">
      <c r="A85" s="22">
        <v>45873</v>
      </c>
      <c r="B85">
        <v>171.446</v>
      </c>
    </row>
    <row r="86" spans="1:2" x14ac:dyDescent="0.25">
      <c r="A86" s="22">
        <v>45880</v>
      </c>
      <c r="B86">
        <v>174.476</v>
      </c>
    </row>
    <row r="87" spans="1:2" x14ac:dyDescent="0.25">
      <c r="A87" s="22">
        <v>45887</v>
      </c>
      <c r="B87">
        <v>178.22200000000001</v>
      </c>
    </row>
    <row r="88" spans="1:2" x14ac:dyDescent="0.25">
      <c r="A88" s="22">
        <v>45894</v>
      </c>
      <c r="B88">
        <v>176.86199999999999</v>
      </c>
    </row>
    <row r="89" spans="1:2" x14ac:dyDescent="0.25">
      <c r="A89" s="22">
        <v>45901</v>
      </c>
      <c r="B89">
        <v>178.3125</v>
      </c>
    </row>
    <row r="90" spans="1:2" x14ac:dyDescent="0.25">
      <c r="A90" s="22">
        <v>45908</v>
      </c>
      <c r="B90">
        <v>177.488</v>
      </c>
    </row>
    <row r="91" spans="1:2" x14ac:dyDescent="0.25">
      <c r="A91" s="22">
        <v>45915</v>
      </c>
      <c r="B91">
        <v>176.28200000000001</v>
      </c>
    </row>
    <row r="92" spans="1:2" x14ac:dyDescent="0.25">
      <c r="A92" s="22">
        <v>45922</v>
      </c>
      <c r="B92">
        <v>176.98400000000001</v>
      </c>
    </row>
    <row r="93" spans="1:2" x14ac:dyDescent="0.25">
      <c r="A93" s="22">
        <v>45929</v>
      </c>
      <c r="B93">
        <v>185.542</v>
      </c>
    </row>
    <row r="94" spans="1:2" x14ac:dyDescent="0.25">
      <c r="A94" s="22">
        <v>45936</v>
      </c>
      <c r="B94">
        <v>189.708</v>
      </c>
    </row>
    <row r="95" spans="1:2" x14ac:dyDescent="0.25">
      <c r="A95" s="22">
        <v>45943</v>
      </c>
      <c r="B95">
        <v>191.65199999999999</v>
      </c>
    </row>
    <row r="96" spans="1:2" x14ac:dyDescent="0.25">
      <c r="A96" s="22">
        <v>45950</v>
      </c>
      <c r="B96">
        <v>192.28200000000001</v>
      </c>
    </row>
    <row r="97" spans="1:6" x14ac:dyDescent="0.25">
      <c r="A97" s="22">
        <v>45957</v>
      </c>
      <c r="B97">
        <v>188.35</v>
      </c>
    </row>
    <row r="98" spans="1:6" x14ac:dyDescent="0.25">
      <c r="A98" s="22">
        <v>45964</v>
      </c>
      <c r="B98">
        <v>186.53200000000001</v>
      </c>
    </row>
    <row r="99" spans="1:6" x14ac:dyDescent="0.25">
      <c r="A99" s="22">
        <v>45971</v>
      </c>
      <c r="B99">
        <v>193.56200000000001</v>
      </c>
    </row>
    <row r="100" spans="1:6" x14ac:dyDescent="0.25">
      <c r="A100" s="22">
        <v>45978</v>
      </c>
      <c r="B100">
        <v>201.81200000000001</v>
      </c>
    </row>
    <row r="101" spans="1:6" x14ac:dyDescent="0.25">
      <c r="A101" s="22">
        <v>45985</v>
      </c>
      <c r="B101">
        <v>206.8</v>
      </c>
    </row>
    <row r="102" spans="1:6" x14ac:dyDescent="0.25">
      <c r="A102" s="22">
        <v>45992</v>
      </c>
      <c r="B102">
        <v>204.1</v>
      </c>
    </row>
    <row r="103" spans="1:6" x14ac:dyDescent="0.25">
      <c r="A103" s="22">
        <v>45999</v>
      </c>
      <c r="B103">
        <v>205.94200000000001</v>
      </c>
    </row>
    <row r="104" spans="1:6" x14ac:dyDescent="0.25">
      <c r="A104" s="22">
        <v>46006</v>
      </c>
      <c r="B104">
        <v>209.696</v>
      </c>
    </row>
    <row r="105" spans="1:6" x14ac:dyDescent="0.25">
      <c r="A105" s="22">
        <v>46013</v>
      </c>
      <c r="B105">
        <v>207.1275</v>
      </c>
    </row>
    <row r="106" spans="1:6" ht="15.75" thickBot="1" x14ac:dyDescent="0.3">
      <c r="A106" s="22">
        <v>46020</v>
      </c>
      <c r="B106">
        <v>207.1925</v>
      </c>
    </row>
    <row r="107" spans="1:6" ht="15.75" thickBot="1" x14ac:dyDescent="0.3">
      <c r="A107" s="22">
        <v>46027</v>
      </c>
      <c r="C107">
        <v>205.346</v>
      </c>
      <c r="D107">
        <f>_xlfn.FORECAST.ETS(Forecast[[#This Row],[Week]],B2:B106,A2:A106,1,1,1)</f>
        <v>207.54126685672819</v>
      </c>
      <c r="E107">
        <v>209.13519612130199</v>
      </c>
      <c r="F107" s="27">
        <v>214.25338199999999</v>
      </c>
    </row>
    <row r="108" spans="1:6" ht="15.75" thickBot="1" x14ac:dyDescent="0.3">
      <c r="A108" s="22">
        <v>46034</v>
      </c>
      <c r="C108">
        <v>216.03</v>
      </c>
      <c r="D108">
        <f>_xlfn.FORECAST.ETS(Forecast[[#This Row],[Week]],B3:B107,A3:A107,1,1,1)</f>
        <v>207.90792497066039</v>
      </c>
      <c r="E108">
        <v>207.62079139830001</v>
      </c>
      <c r="F108" s="27">
        <v>214.724277</v>
      </c>
    </row>
    <row r="109" spans="1:6" ht="15.75" thickBot="1" x14ac:dyDescent="0.3">
      <c r="A109" s="22">
        <v>46041</v>
      </c>
      <c r="C109">
        <v>218.71250000000001</v>
      </c>
      <c r="D109">
        <f>_xlfn.FORECAST.ETS(Forecast[[#This Row],[Week]],B4:B108,A4:A108,1,1,1)</f>
        <v>208.29523556319467</v>
      </c>
      <c r="E109">
        <v>206.983361229699</v>
      </c>
      <c r="F109" s="27">
        <v>215.19017199999999</v>
      </c>
    </row>
    <row r="110" spans="1:6" ht="15.75" thickBot="1" x14ac:dyDescent="0.3">
      <c r="A110" s="22">
        <v>46048</v>
      </c>
      <c r="C110">
        <v>225.63800000000001</v>
      </c>
      <c r="D110">
        <f>_xlfn.FORECAST.ETS(Forecast[[#This Row],[Week]],B5:B109,A5:A109,1,1,1)</f>
        <v>208.70203273659749</v>
      </c>
      <c r="E110">
        <v>206.10245859115901</v>
      </c>
      <c r="F110" s="27">
        <v>215.65784600000001</v>
      </c>
    </row>
    <row r="111" spans="1:6" ht="15.75" thickBot="1" x14ac:dyDescent="0.3">
      <c r="A111" s="22">
        <v>46055</v>
      </c>
      <c r="C111">
        <v>235.22</v>
      </c>
      <c r="D111">
        <f>_xlfn.FORECAST.ETS(Forecast[[#This Row],[Week]],B6:B110,A6:A110,1,1,1)</f>
        <v>209.12761555037855</v>
      </c>
      <c r="E111">
        <v>208.412927244787</v>
      </c>
      <c r="F111" s="27">
        <v>216.125079</v>
      </c>
    </row>
    <row r="112" spans="1:6" ht="15.75" thickBot="1" x14ac:dyDescent="0.3">
      <c r="A112" s="22">
        <v>46062</v>
      </c>
      <c r="C112">
        <v>241.17</v>
      </c>
      <c r="D112">
        <f>_xlfn.FORECAST.ETS(Forecast[[#This Row],[Week]],B7:B111,A7:A111,1,1,1)</f>
        <v>216.27092359965314</v>
      </c>
      <c r="E112">
        <v>210.27115681074</v>
      </c>
      <c r="F112" s="27">
        <v>216.59241599999999</v>
      </c>
    </row>
    <row r="113" spans="1:6" ht="15.75" thickBot="1" x14ac:dyDescent="0.3">
      <c r="A113" s="22">
        <v>46069</v>
      </c>
      <c r="D113">
        <f>_xlfn.FORECAST.ETS(Forecast[[#This Row],[Week]],B8:B112,A8:A112,1,1,1)</f>
        <v>217.78346945612378</v>
      </c>
      <c r="E113">
        <v>209.60050972867501</v>
      </c>
      <c r="F113" s="27">
        <v>219.00757899999999</v>
      </c>
    </row>
    <row r="114" spans="1:6" ht="15.75" thickBot="1" x14ac:dyDescent="0.3">
      <c r="A114" s="22">
        <v>46076</v>
      </c>
      <c r="D114">
        <f>_xlfn.FORECAST.ETS(Forecast[[#This Row],[Week]],B9:B113,A9:A113,1,1,1)</f>
        <v>219.29593038872713</v>
      </c>
      <c r="E114">
        <v>209.56279361684801</v>
      </c>
      <c r="F114" s="27">
        <v>217.52704600000001</v>
      </c>
    </row>
    <row r="115" spans="1:6" ht="15.75" thickBot="1" x14ac:dyDescent="0.3">
      <c r="A115" s="22">
        <v>46083</v>
      </c>
      <c r="D115">
        <f>_xlfn.FORECAST.ETS(Forecast[[#This Row],[Week]],B10:B114,A10:A114,1,1,1)</f>
        <v>220.80841031341083</v>
      </c>
      <c r="E115">
        <v>205.22510187355201</v>
      </c>
      <c r="F115" s="27">
        <v>223.553192</v>
      </c>
    </row>
    <row r="116" spans="1:6" ht="15.75" thickBot="1" x14ac:dyDescent="0.3">
      <c r="A116" s="22">
        <v>46090</v>
      </c>
      <c r="D116">
        <f>_xlfn.FORECAST.ETS(Forecast[[#This Row],[Week]],B11:B115,A11:A115,1,1,1)</f>
        <v>222.32104640413323</v>
      </c>
      <c r="E116">
        <v>205.209722245151</v>
      </c>
      <c r="F116" s="27">
        <v>225.76502300000001</v>
      </c>
    </row>
    <row r="117" spans="1:6" ht="15.75" thickBot="1" x14ac:dyDescent="0.3">
      <c r="A117" s="22">
        <v>46097</v>
      </c>
      <c r="D117">
        <f>_xlfn.FORECAST.ETS(Forecast[[#This Row],[Week]],B12:B116,A12:A116,1,1,1)</f>
        <v>223.83355204829257</v>
      </c>
      <c r="E117">
        <v>203.75569319264301</v>
      </c>
      <c r="F117" s="27">
        <v>223.66619600000001</v>
      </c>
    </row>
    <row r="118" spans="1:6" ht="15.75" thickBot="1" x14ac:dyDescent="0.3">
      <c r="A118" s="22">
        <v>46104</v>
      </c>
      <c r="D118">
        <f>_xlfn.FORECAST.ETS(Forecast[[#This Row],[Week]],B13:B117,A13:A117,1,1,1)</f>
        <v>225.34644836306347</v>
      </c>
      <c r="E118">
        <v>198.735574549163</v>
      </c>
      <c r="F118" s="27">
        <v>219.39631399999999</v>
      </c>
    </row>
    <row r="119" spans="1:6" ht="15.75" thickBot="1" x14ac:dyDescent="0.3">
      <c r="A119" s="22">
        <v>46111</v>
      </c>
      <c r="D119">
        <f>_xlfn.FORECAST.ETS(Forecast[[#This Row],[Week]],B14:B118,A14:A118,1,1,1)</f>
        <v>226.85898348246138</v>
      </c>
      <c r="E119">
        <v>194.18439835422399</v>
      </c>
      <c r="F119" s="27">
        <v>221.82826</v>
      </c>
    </row>
    <row r="120" spans="1:6" ht="15.75" thickBot="1" x14ac:dyDescent="0.3">
      <c r="A120" s="22">
        <v>46118</v>
      </c>
      <c r="D120">
        <f>_xlfn.FORECAST.ETS(Forecast[[#This Row],[Week]],B15:B119,A15:A119,1,1,1)</f>
        <v>228.3717918566681</v>
      </c>
      <c r="E120">
        <v>197.05752306043101</v>
      </c>
      <c r="F120" s="27">
        <v>220.33094800000001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F81AE-6741-49D9-9C2A-6D0CCE01A28E}">
  <dimension ref="A1:F120"/>
  <sheetViews>
    <sheetView workbookViewId="0">
      <selection activeCell="O14" sqref="O14"/>
    </sheetView>
  </sheetViews>
  <sheetFormatPr defaultRowHeight="15" x14ac:dyDescent="0.25"/>
  <cols>
    <col min="1" max="1" width="10.42578125" style="20" bestFit="1" customWidth="1"/>
    <col min="2" max="2" width="10.42578125" bestFit="1" customWidth="1"/>
    <col min="3" max="3" width="10.42578125" customWidth="1"/>
  </cols>
  <sheetData>
    <row r="1" spans="1:6" x14ac:dyDescent="0.25">
      <c r="A1" s="20" t="s">
        <v>45</v>
      </c>
      <c r="B1" t="s">
        <v>46</v>
      </c>
      <c r="C1" t="s">
        <v>36</v>
      </c>
      <c r="D1" t="s">
        <v>53</v>
      </c>
      <c r="E1" t="s">
        <v>5</v>
      </c>
      <c r="F1" t="s">
        <v>6</v>
      </c>
    </row>
    <row r="2" spans="1:6" x14ac:dyDescent="0.25">
      <c r="A2" s="20">
        <v>45292</v>
      </c>
      <c r="B2">
        <v>160.67500000000001</v>
      </c>
    </row>
    <row r="3" spans="1:6" x14ac:dyDescent="0.25">
      <c r="A3" s="20">
        <v>45299</v>
      </c>
      <c r="B3">
        <v>161.714</v>
      </c>
    </row>
    <row r="4" spans="1:6" x14ac:dyDescent="0.25">
      <c r="A4" s="20">
        <v>45306</v>
      </c>
      <c r="B4">
        <v>160.96</v>
      </c>
    </row>
    <row r="5" spans="1:6" x14ac:dyDescent="0.25">
      <c r="A5" s="20">
        <v>45313</v>
      </c>
      <c r="B5">
        <v>160.06</v>
      </c>
    </row>
    <row r="6" spans="1:6" x14ac:dyDescent="0.25">
      <c r="A6" s="20">
        <v>45320</v>
      </c>
      <c r="B6">
        <v>158.4</v>
      </c>
    </row>
    <row r="7" spans="1:6" x14ac:dyDescent="0.25">
      <c r="A7" s="20">
        <v>45327</v>
      </c>
      <c r="B7">
        <v>157</v>
      </c>
    </row>
    <row r="8" spans="1:6" x14ac:dyDescent="0.25">
      <c r="A8" s="20">
        <v>45334</v>
      </c>
      <c r="B8">
        <v>156.90600000000001</v>
      </c>
    </row>
    <row r="9" spans="1:6" x14ac:dyDescent="0.25">
      <c r="A9" s="20">
        <v>45341</v>
      </c>
      <c r="B9">
        <v>159.70750000000001</v>
      </c>
    </row>
    <row r="10" spans="1:6" x14ac:dyDescent="0.25">
      <c r="A10" s="20">
        <v>45348</v>
      </c>
      <c r="B10">
        <v>161.364</v>
      </c>
    </row>
    <row r="11" spans="1:6" x14ac:dyDescent="0.25">
      <c r="A11" s="20">
        <v>45355</v>
      </c>
      <c r="B11">
        <v>159.50800000000001</v>
      </c>
    </row>
    <row r="12" spans="1:6" x14ac:dyDescent="0.25">
      <c r="A12" s="20">
        <v>45362</v>
      </c>
      <c r="B12">
        <v>160.49199999999999</v>
      </c>
    </row>
    <row r="13" spans="1:6" x14ac:dyDescent="0.25">
      <c r="A13" s="20">
        <v>45369</v>
      </c>
      <c r="B13">
        <v>155.94200000000001</v>
      </c>
    </row>
    <row r="14" spans="1:6" x14ac:dyDescent="0.25">
      <c r="A14" s="20">
        <v>45376</v>
      </c>
      <c r="B14">
        <v>156.785</v>
      </c>
    </row>
    <row r="15" spans="1:6" x14ac:dyDescent="0.25">
      <c r="A15" s="20">
        <v>45383</v>
      </c>
      <c r="B15">
        <v>154.93199999999999</v>
      </c>
    </row>
    <row r="16" spans="1:6" x14ac:dyDescent="0.25">
      <c r="A16" s="20">
        <v>45390</v>
      </c>
      <c r="B16">
        <v>150.078</v>
      </c>
    </row>
    <row r="17" spans="1:2" x14ac:dyDescent="0.25">
      <c r="A17" s="20">
        <v>45397</v>
      </c>
      <c r="B17">
        <v>146.09200000000001</v>
      </c>
    </row>
    <row r="18" spans="1:2" x14ac:dyDescent="0.25">
      <c r="A18" s="20">
        <v>45404</v>
      </c>
      <c r="B18">
        <v>148.03399999999999</v>
      </c>
    </row>
    <row r="19" spans="1:2" x14ac:dyDescent="0.25">
      <c r="A19" s="20">
        <v>45411</v>
      </c>
      <c r="B19">
        <v>148.35599999999999</v>
      </c>
    </row>
    <row r="20" spans="1:2" x14ac:dyDescent="0.25">
      <c r="A20" s="20">
        <v>45418</v>
      </c>
      <c r="B20">
        <v>149.202</v>
      </c>
    </row>
    <row r="21" spans="1:2" x14ac:dyDescent="0.25">
      <c r="A21" s="20">
        <v>45425</v>
      </c>
      <c r="B21">
        <v>152.83799999999999</v>
      </c>
    </row>
    <row r="22" spans="1:2" x14ac:dyDescent="0.25">
      <c r="A22" s="20">
        <v>45432</v>
      </c>
      <c r="B22">
        <v>150.536</v>
      </c>
    </row>
    <row r="23" spans="1:2" x14ac:dyDescent="0.25">
      <c r="A23" s="20">
        <v>45439</v>
      </c>
      <c r="B23">
        <v>145.1925</v>
      </c>
    </row>
    <row r="24" spans="1:2" x14ac:dyDescent="0.25">
      <c r="A24" s="20">
        <v>45446</v>
      </c>
      <c r="B24">
        <v>147.00200000000001</v>
      </c>
    </row>
    <row r="25" spans="1:2" x14ac:dyDescent="0.25">
      <c r="A25" s="20">
        <v>45453</v>
      </c>
      <c r="B25">
        <v>146.05799999999999</v>
      </c>
    </row>
    <row r="26" spans="1:2" x14ac:dyDescent="0.25">
      <c r="A26" s="20">
        <v>45460</v>
      </c>
      <c r="B26">
        <v>147.0325</v>
      </c>
    </row>
    <row r="27" spans="1:2" x14ac:dyDescent="0.25">
      <c r="A27" s="20">
        <v>45467</v>
      </c>
      <c r="B27">
        <v>147.018</v>
      </c>
    </row>
    <row r="28" spans="1:2" x14ac:dyDescent="0.25">
      <c r="A28" s="20">
        <v>45474</v>
      </c>
      <c r="B28">
        <v>146.16</v>
      </c>
    </row>
    <row r="29" spans="1:2" x14ac:dyDescent="0.25">
      <c r="A29" s="20">
        <v>45481</v>
      </c>
      <c r="B29">
        <v>148.30799999999999</v>
      </c>
    </row>
    <row r="30" spans="1:2" x14ac:dyDescent="0.25">
      <c r="A30" s="20">
        <v>45488</v>
      </c>
      <c r="B30">
        <v>153.38800000000001</v>
      </c>
    </row>
    <row r="31" spans="1:2" x14ac:dyDescent="0.25">
      <c r="A31" s="20">
        <v>45495</v>
      </c>
      <c r="B31">
        <v>156.63</v>
      </c>
    </row>
    <row r="32" spans="1:2" x14ac:dyDescent="0.25">
      <c r="A32" s="20">
        <v>45502</v>
      </c>
      <c r="B32">
        <v>160.52799999999999</v>
      </c>
    </row>
    <row r="33" spans="1:2" x14ac:dyDescent="0.25">
      <c r="A33" s="20">
        <v>45509</v>
      </c>
      <c r="B33">
        <v>159.99199999999999</v>
      </c>
    </row>
    <row r="34" spans="1:2" x14ac:dyDescent="0.25">
      <c r="A34" s="20">
        <v>45516</v>
      </c>
      <c r="B34">
        <v>159.04599999999999</v>
      </c>
    </row>
    <row r="35" spans="1:2" x14ac:dyDescent="0.25">
      <c r="A35" s="20">
        <v>45523</v>
      </c>
      <c r="B35">
        <v>161.54</v>
      </c>
    </row>
    <row r="36" spans="1:2" x14ac:dyDescent="0.25">
      <c r="A36" s="20">
        <v>45530</v>
      </c>
      <c r="B36">
        <v>164.31399999999999</v>
      </c>
    </row>
    <row r="37" spans="1:2" x14ac:dyDescent="0.25">
      <c r="A37" s="20">
        <v>45537</v>
      </c>
      <c r="B37">
        <v>165.9725</v>
      </c>
    </row>
    <row r="38" spans="1:2" x14ac:dyDescent="0.25">
      <c r="A38" s="20">
        <v>45544</v>
      </c>
      <c r="B38">
        <v>165.79400000000001</v>
      </c>
    </row>
    <row r="39" spans="1:2" x14ac:dyDescent="0.25">
      <c r="A39" s="20">
        <v>45551</v>
      </c>
      <c r="B39">
        <v>165.83799999999999</v>
      </c>
    </row>
    <row r="40" spans="1:2" x14ac:dyDescent="0.25">
      <c r="A40" s="20">
        <v>45558</v>
      </c>
      <c r="B40">
        <v>161.87799999999999</v>
      </c>
    </row>
    <row r="41" spans="1:2" x14ac:dyDescent="0.25">
      <c r="A41" s="20">
        <v>45565</v>
      </c>
      <c r="B41">
        <v>161.202</v>
      </c>
    </row>
    <row r="42" spans="1:2" x14ac:dyDescent="0.25">
      <c r="A42" s="20">
        <v>45572</v>
      </c>
      <c r="B42">
        <v>160.36799999999999</v>
      </c>
    </row>
    <row r="43" spans="1:2" x14ac:dyDescent="0.25">
      <c r="A43" s="20">
        <v>45579</v>
      </c>
      <c r="B43">
        <v>163.91399999999999</v>
      </c>
    </row>
    <row r="44" spans="1:2" x14ac:dyDescent="0.25">
      <c r="A44" s="20">
        <v>45586</v>
      </c>
      <c r="B44">
        <v>163.33799999999999</v>
      </c>
    </row>
    <row r="45" spans="1:2" x14ac:dyDescent="0.25">
      <c r="A45" s="20">
        <v>45593</v>
      </c>
      <c r="B45">
        <v>160.458</v>
      </c>
    </row>
    <row r="46" spans="1:2" x14ac:dyDescent="0.25">
      <c r="A46" s="20">
        <v>45600</v>
      </c>
      <c r="B46">
        <v>157.334</v>
      </c>
    </row>
    <row r="47" spans="1:2" x14ac:dyDescent="0.25">
      <c r="A47" s="20">
        <v>45607</v>
      </c>
      <c r="B47">
        <v>153.358</v>
      </c>
    </row>
    <row r="48" spans="1:2" x14ac:dyDescent="0.25">
      <c r="A48" s="20">
        <v>45614</v>
      </c>
      <c r="B48">
        <v>154.31</v>
      </c>
    </row>
    <row r="49" spans="1:2" x14ac:dyDescent="0.25">
      <c r="A49" s="20">
        <v>45621</v>
      </c>
      <c r="B49">
        <v>155.17750000000001</v>
      </c>
    </row>
    <row r="50" spans="1:2" x14ac:dyDescent="0.25">
      <c r="A50" s="20">
        <v>45628</v>
      </c>
      <c r="B50">
        <v>151.292</v>
      </c>
    </row>
    <row r="51" spans="1:2" x14ac:dyDescent="0.25">
      <c r="A51" s="20">
        <v>45635</v>
      </c>
      <c r="B51">
        <v>147.666</v>
      </c>
    </row>
    <row r="52" spans="1:2" x14ac:dyDescent="0.25">
      <c r="A52" s="20">
        <v>45642</v>
      </c>
      <c r="B52">
        <v>144.61199999999999</v>
      </c>
    </row>
    <row r="53" spans="1:2" x14ac:dyDescent="0.25">
      <c r="A53" s="20">
        <v>45649</v>
      </c>
      <c r="B53">
        <v>145.4375</v>
      </c>
    </row>
    <row r="54" spans="1:2" x14ac:dyDescent="0.25">
      <c r="A54" s="20">
        <v>45656</v>
      </c>
      <c r="B54">
        <v>144.04250000000002</v>
      </c>
    </row>
    <row r="55" spans="1:2" x14ac:dyDescent="0.25">
      <c r="A55" s="20">
        <v>45663</v>
      </c>
      <c r="B55">
        <v>143.55500000000001</v>
      </c>
    </row>
    <row r="56" spans="1:2" x14ac:dyDescent="0.25">
      <c r="A56" s="20">
        <v>45670</v>
      </c>
      <c r="B56">
        <v>145.798</v>
      </c>
    </row>
    <row r="57" spans="1:2" x14ac:dyDescent="0.25">
      <c r="A57" s="20">
        <v>45677</v>
      </c>
      <c r="B57">
        <v>146.72</v>
      </c>
    </row>
    <row r="58" spans="1:2" x14ac:dyDescent="0.25">
      <c r="A58" s="20">
        <v>45684</v>
      </c>
      <c r="B58">
        <v>151.88800000000001</v>
      </c>
    </row>
    <row r="59" spans="1:2" x14ac:dyDescent="0.25">
      <c r="A59" s="20">
        <v>45691</v>
      </c>
      <c r="B59">
        <v>153.33600000000001</v>
      </c>
    </row>
    <row r="60" spans="1:2" x14ac:dyDescent="0.25">
      <c r="A60" s="20">
        <v>45698</v>
      </c>
      <c r="B60">
        <v>155.80600000000001</v>
      </c>
    </row>
    <row r="61" spans="1:2" x14ac:dyDescent="0.25">
      <c r="A61" s="20">
        <v>45705</v>
      </c>
      <c r="B61">
        <v>158.715</v>
      </c>
    </row>
    <row r="62" spans="1:2" x14ac:dyDescent="0.25">
      <c r="A62" s="20">
        <v>45712</v>
      </c>
      <c r="B62">
        <v>164.33199999999999</v>
      </c>
    </row>
    <row r="63" spans="1:2" x14ac:dyDescent="0.25">
      <c r="A63" s="20">
        <v>45719</v>
      </c>
      <c r="B63">
        <v>166.06800000000001</v>
      </c>
    </row>
    <row r="64" spans="1:2" x14ac:dyDescent="0.25">
      <c r="A64" s="20">
        <v>45726</v>
      </c>
      <c r="B64">
        <v>164.44200000000001</v>
      </c>
    </row>
    <row r="65" spans="1:2" x14ac:dyDescent="0.25">
      <c r="A65" s="20">
        <v>45733</v>
      </c>
      <c r="B65">
        <v>163.346</v>
      </c>
    </row>
    <row r="66" spans="1:2" x14ac:dyDescent="0.25">
      <c r="A66" s="20">
        <v>45740</v>
      </c>
      <c r="B66">
        <v>162.57400000000001</v>
      </c>
    </row>
    <row r="67" spans="1:2" x14ac:dyDescent="0.25">
      <c r="A67" s="20">
        <v>45747</v>
      </c>
      <c r="B67">
        <v>157.50200000000001</v>
      </c>
    </row>
    <row r="68" spans="1:2" x14ac:dyDescent="0.25">
      <c r="A68" s="20">
        <v>45754</v>
      </c>
      <c r="B68">
        <v>150.40199999999999</v>
      </c>
    </row>
    <row r="69" spans="1:2" x14ac:dyDescent="0.25">
      <c r="A69" s="20">
        <v>45761</v>
      </c>
      <c r="B69">
        <v>154.84</v>
      </c>
    </row>
    <row r="70" spans="1:2" x14ac:dyDescent="0.25">
      <c r="A70" s="20">
        <v>45768</v>
      </c>
      <c r="B70">
        <v>155.91200000000001</v>
      </c>
    </row>
    <row r="71" spans="1:2" x14ac:dyDescent="0.25">
      <c r="A71" s="20">
        <v>45775</v>
      </c>
      <c r="B71">
        <v>155.63</v>
      </c>
    </row>
    <row r="72" spans="1:2" x14ac:dyDescent="0.25">
      <c r="A72" s="20">
        <v>45782</v>
      </c>
      <c r="B72">
        <v>155.33000000000001</v>
      </c>
    </row>
    <row r="73" spans="1:2" x14ac:dyDescent="0.25">
      <c r="A73" s="20">
        <v>45789</v>
      </c>
      <c r="B73">
        <v>149.976</v>
      </c>
    </row>
    <row r="74" spans="1:2" x14ac:dyDescent="0.25">
      <c r="A74" s="20">
        <v>45796</v>
      </c>
      <c r="B74">
        <v>152.976</v>
      </c>
    </row>
    <row r="75" spans="1:2" x14ac:dyDescent="0.25">
      <c r="A75" s="20">
        <v>45803</v>
      </c>
      <c r="B75">
        <v>153.61750000000001</v>
      </c>
    </row>
    <row r="76" spans="1:2" x14ac:dyDescent="0.25">
      <c r="A76" s="20">
        <v>45810</v>
      </c>
      <c r="B76">
        <v>154.346</v>
      </c>
    </row>
    <row r="77" spans="1:2" x14ac:dyDescent="0.25">
      <c r="A77" s="20">
        <v>45817</v>
      </c>
      <c r="B77">
        <v>156.13999999999999</v>
      </c>
    </row>
    <row r="78" spans="1:2" x14ac:dyDescent="0.25">
      <c r="A78" s="20">
        <v>45824</v>
      </c>
      <c r="B78">
        <v>152.03</v>
      </c>
    </row>
    <row r="79" spans="1:2" x14ac:dyDescent="0.25">
      <c r="A79" s="20">
        <v>45831</v>
      </c>
      <c r="B79">
        <v>152.042</v>
      </c>
    </row>
    <row r="80" spans="1:2" x14ac:dyDescent="0.25">
      <c r="A80" s="20">
        <v>45838</v>
      </c>
      <c r="B80">
        <v>155.06</v>
      </c>
    </row>
    <row r="81" spans="1:2" x14ac:dyDescent="0.25">
      <c r="A81" s="20">
        <v>45845</v>
      </c>
      <c r="B81">
        <v>156.386</v>
      </c>
    </row>
    <row r="82" spans="1:2" x14ac:dyDescent="0.25">
      <c r="A82" s="20">
        <v>45852</v>
      </c>
      <c r="B82">
        <v>160.69</v>
      </c>
    </row>
    <row r="83" spans="1:2" x14ac:dyDescent="0.25">
      <c r="A83" s="20">
        <v>45859</v>
      </c>
      <c r="B83">
        <v>167.85</v>
      </c>
    </row>
    <row r="84" spans="1:2" x14ac:dyDescent="0.25">
      <c r="A84" s="20">
        <v>45866</v>
      </c>
      <c r="B84">
        <v>166.732</v>
      </c>
    </row>
    <row r="85" spans="1:2" x14ac:dyDescent="0.25">
      <c r="A85" s="20">
        <v>45873</v>
      </c>
      <c r="B85">
        <v>171.446</v>
      </c>
    </row>
    <row r="86" spans="1:2" x14ac:dyDescent="0.25">
      <c r="A86" s="20">
        <v>45880</v>
      </c>
      <c r="B86">
        <v>174.476</v>
      </c>
    </row>
    <row r="87" spans="1:2" x14ac:dyDescent="0.25">
      <c r="A87" s="20">
        <v>45887</v>
      </c>
      <c r="B87">
        <v>178.22200000000001</v>
      </c>
    </row>
    <row r="88" spans="1:2" x14ac:dyDescent="0.25">
      <c r="A88" s="20">
        <v>45894</v>
      </c>
      <c r="B88">
        <v>176.86199999999999</v>
      </c>
    </row>
    <row r="89" spans="1:2" x14ac:dyDescent="0.25">
      <c r="A89" s="20">
        <v>45901</v>
      </c>
      <c r="B89">
        <v>178.3125</v>
      </c>
    </row>
    <row r="90" spans="1:2" x14ac:dyDescent="0.25">
      <c r="A90" s="20">
        <v>45908</v>
      </c>
      <c r="B90">
        <v>177.488</v>
      </c>
    </row>
    <row r="91" spans="1:2" x14ac:dyDescent="0.25">
      <c r="A91" s="20">
        <v>45915</v>
      </c>
      <c r="B91">
        <v>176.28200000000001</v>
      </c>
    </row>
    <row r="92" spans="1:2" x14ac:dyDescent="0.25">
      <c r="A92" s="20">
        <v>45922</v>
      </c>
      <c r="B92">
        <v>176.98400000000001</v>
      </c>
    </row>
    <row r="93" spans="1:2" x14ac:dyDescent="0.25">
      <c r="A93" s="20">
        <v>45929</v>
      </c>
      <c r="B93">
        <v>185.542</v>
      </c>
    </row>
    <row r="94" spans="1:2" x14ac:dyDescent="0.25">
      <c r="A94" s="20">
        <v>45936</v>
      </c>
      <c r="B94">
        <v>189.708</v>
      </c>
    </row>
    <row r="95" spans="1:2" x14ac:dyDescent="0.25">
      <c r="A95" s="20">
        <v>45943</v>
      </c>
      <c r="B95">
        <v>191.65199999999999</v>
      </c>
    </row>
    <row r="96" spans="1:2" x14ac:dyDescent="0.25">
      <c r="A96" s="20">
        <v>45950</v>
      </c>
      <c r="B96">
        <v>192.28200000000001</v>
      </c>
    </row>
    <row r="97" spans="1:2" x14ac:dyDescent="0.25">
      <c r="A97" s="20">
        <v>45957</v>
      </c>
      <c r="B97">
        <v>188.35</v>
      </c>
    </row>
    <row r="98" spans="1:2" x14ac:dyDescent="0.25">
      <c r="A98" s="20">
        <v>45964</v>
      </c>
      <c r="B98">
        <v>186.53200000000001</v>
      </c>
    </row>
    <row r="99" spans="1:2" x14ac:dyDescent="0.25">
      <c r="A99" s="20">
        <v>45971</v>
      </c>
      <c r="B99">
        <v>193.56200000000001</v>
      </c>
    </row>
    <row r="100" spans="1:2" x14ac:dyDescent="0.25">
      <c r="A100" s="20">
        <v>45978</v>
      </c>
      <c r="B100">
        <v>201.81200000000001</v>
      </c>
    </row>
    <row r="101" spans="1:2" x14ac:dyDescent="0.25">
      <c r="A101" s="20">
        <v>45985</v>
      </c>
      <c r="B101">
        <v>206.8</v>
      </c>
    </row>
    <row r="102" spans="1:2" x14ac:dyDescent="0.25">
      <c r="A102" s="20">
        <v>45992</v>
      </c>
      <c r="B102">
        <v>204.1</v>
      </c>
    </row>
    <row r="103" spans="1:2" x14ac:dyDescent="0.25">
      <c r="A103" s="20">
        <v>45999</v>
      </c>
      <c r="B103">
        <v>205.94200000000001</v>
      </c>
    </row>
    <row r="104" spans="1:2" x14ac:dyDescent="0.25">
      <c r="A104" s="20">
        <v>46006</v>
      </c>
      <c r="B104">
        <v>209.696</v>
      </c>
    </row>
    <row r="105" spans="1:2" x14ac:dyDescent="0.25">
      <c r="A105" s="20">
        <v>46013</v>
      </c>
      <c r="B105">
        <v>207.1275</v>
      </c>
    </row>
    <row r="106" spans="1:2" x14ac:dyDescent="0.25">
      <c r="A106" s="20">
        <v>46020</v>
      </c>
      <c r="B106">
        <v>207.1925</v>
      </c>
    </row>
    <row r="107" spans="1:2" x14ac:dyDescent="0.25">
      <c r="A107" s="20">
        <v>46027</v>
      </c>
      <c r="B107">
        <v>205.346</v>
      </c>
    </row>
    <row r="108" spans="1:2" x14ac:dyDescent="0.25">
      <c r="A108" s="20">
        <v>46034</v>
      </c>
      <c r="B108">
        <v>216.03</v>
      </c>
    </row>
    <row r="109" spans="1:2" x14ac:dyDescent="0.25">
      <c r="A109" s="20">
        <v>46041</v>
      </c>
      <c r="B109">
        <v>218.71250000000001</v>
      </c>
    </row>
    <row r="110" spans="1:2" x14ac:dyDescent="0.25">
      <c r="A110" s="20">
        <v>46048</v>
      </c>
      <c r="B110">
        <v>225.63800000000001</v>
      </c>
    </row>
    <row r="111" spans="1:2" x14ac:dyDescent="0.25">
      <c r="A111" s="20">
        <v>46055</v>
      </c>
      <c r="B111">
        <v>235.22</v>
      </c>
    </row>
    <row r="112" spans="1:2" x14ac:dyDescent="0.25">
      <c r="A112" s="20">
        <v>46062</v>
      </c>
      <c r="B112">
        <v>241.17</v>
      </c>
    </row>
    <row r="113" spans="1:6" x14ac:dyDescent="0.25">
      <c r="A113" s="20">
        <v>46069</v>
      </c>
      <c r="C113">
        <f>_xlfn.FORECAST.ETS(Forecast5[[#This Row],[Week]],B2:B112,A2:A112,1,1,1)</f>
        <v>241.63446464987715</v>
      </c>
      <c r="D113">
        <f>_xlfn.FORECAST.ETS.CONFINT(Forecast5[[#This Row],[Week]],B2:B112,A2:A112,0.95,1,1,1)</f>
        <v>7.1910035047187311</v>
      </c>
      <c r="E113">
        <f>Forecast5[[#This Row],[Forecast]]-Forecast5[[#This Row],[PI]]</f>
        <v>234.44346114515841</v>
      </c>
      <c r="F113">
        <f>Forecast5[[#This Row],[Forecast]]+Forecast5[[#This Row],[PI]]</f>
        <v>248.82546815459588</v>
      </c>
    </row>
    <row r="114" spans="1:6" x14ac:dyDescent="0.25">
      <c r="A114" s="20">
        <v>46076</v>
      </c>
      <c r="C114">
        <f>_xlfn.FORECAST.ETS(Forecast5[[#This Row],[Week]],B3:B113,A3:A113,1,1,1)</f>
        <v>242.11903768455693</v>
      </c>
      <c r="D114">
        <f>_xlfn.FORECAST.ETS.CONFINT(Forecast5[[#This Row],[Week]],B3:B113,A3:A113,0.95,1,1,1)</f>
        <v>8.6834579460118491</v>
      </c>
      <c r="E114">
        <f>Forecast5[[#This Row],[Forecast]]-Forecast5[[#This Row],[PI]]</f>
        <v>233.43557973854507</v>
      </c>
      <c r="F114">
        <f>Forecast5[[#This Row],[Forecast]]+Forecast5[[#This Row],[PI]]</f>
        <v>250.80249563056879</v>
      </c>
    </row>
    <row r="115" spans="1:6" x14ac:dyDescent="0.25">
      <c r="A115" s="20">
        <v>46083</v>
      </c>
      <c r="C115">
        <f>_xlfn.FORECAST.ETS(Forecast5[[#This Row],[Week]],B4:B114,A4:A114,1,1,1)</f>
        <v>242.62627329719211</v>
      </c>
      <c r="D115">
        <f>_xlfn.FORECAST.ETS.CONFINT(Forecast5[[#This Row],[Week]],B4:B114,A4:A114,0.95,1,1,1)</f>
        <v>9.9766413050405109</v>
      </c>
      <c r="E115">
        <f>Forecast5[[#This Row],[Forecast]]-Forecast5[[#This Row],[PI]]</f>
        <v>232.6496319921516</v>
      </c>
      <c r="F115">
        <f>Forecast5[[#This Row],[Forecast]]+Forecast5[[#This Row],[PI]]</f>
        <v>252.60291460223263</v>
      </c>
    </row>
    <row r="116" spans="1:6" x14ac:dyDescent="0.25">
      <c r="A116" s="20">
        <v>46090</v>
      </c>
      <c r="C116">
        <f>_xlfn.FORECAST.ETS(Forecast5[[#This Row],[Week]],B5:B115,A5:A115,1,1,1)</f>
        <v>243.15521476273494</v>
      </c>
      <c r="D116">
        <f>_xlfn.FORECAST.ETS.CONFINT(Forecast5[[#This Row],[Week]],B5:B115,A5:A115,0.95,1,1,1)</f>
        <v>11.135538563919043</v>
      </c>
      <c r="E116">
        <f>Forecast5[[#This Row],[Forecast]]-Forecast5[[#This Row],[PI]]</f>
        <v>232.01967619881589</v>
      </c>
      <c r="F116">
        <f>Forecast5[[#This Row],[Forecast]]+Forecast5[[#This Row],[PI]]</f>
        <v>254.290753326654</v>
      </c>
    </row>
    <row r="117" spans="1:6" x14ac:dyDescent="0.25">
      <c r="A117" s="20">
        <v>46097</v>
      </c>
      <c r="C117">
        <f>_xlfn.FORECAST.ETS(Forecast5[[#This Row],[Week]],B6:B116,A6:A116,1,1,1)</f>
        <v>243.70532928250944</v>
      </c>
      <c r="D117">
        <f>_xlfn.FORECAST.ETS.CONFINT(Forecast5[[#This Row],[Week]],B6:B116,A6:A116,0.95,1,1,1)</f>
        <v>12.190320371724408</v>
      </c>
      <c r="E117">
        <f>Forecast5[[#This Row],[Forecast]]-Forecast5[[#This Row],[PI]]</f>
        <v>231.51500891078504</v>
      </c>
      <c r="F117">
        <f>Forecast5[[#This Row],[Forecast]]+Forecast5[[#This Row],[PI]]</f>
        <v>255.89564965423384</v>
      </c>
    </row>
    <row r="118" spans="1:6" x14ac:dyDescent="0.25">
      <c r="A118" s="20">
        <v>46104</v>
      </c>
      <c r="C118">
        <f>_xlfn.FORECAST.ETS(Forecast5[[#This Row],[Week]],B7:B117,A7:A117,1,1,1)</f>
        <v>244.27368345215001</v>
      </c>
      <c r="D118">
        <f>_xlfn.FORECAST.ETS.CONFINT(Forecast5[[#This Row],[Week]],B7:B117,A7:A117,0.95,1,1,1)</f>
        <v>13.195611325210452</v>
      </c>
      <c r="E118">
        <f>Forecast5[[#This Row],[Forecast]]-Forecast5[[#This Row],[PI]]</f>
        <v>231.07807212693956</v>
      </c>
      <c r="F118">
        <f>Forecast5[[#This Row],[Forecast]]+Forecast5[[#This Row],[PI]]</f>
        <v>257.46929477736046</v>
      </c>
    </row>
    <row r="119" spans="1:6" x14ac:dyDescent="0.25">
      <c r="A119" s="20">
        <v>46111</v>
      </c>
      <c r="C119">
        <f>_xlfn.FORECAST.ETS(Forecast5[[#This Row],[Week]],B8:B118,A8:A118,1,1,1)</f>
        <v>244.85925736574745</v>
      </c>
      <c r="D119">
        <f>_xlfn.FORECAST.ETS.CONFINT(Forecast5[[#This Row],[Week]],B8:B118,A8:A118,0.95,1,1,1)</f>
        <v>14.963752617620528</v>
      </c>
      <c r="E119">
        <f>Forecast5[[#This Row],[Forecast]]-Forecast5[[#This Row],[PI]]</f>
        <v>229.89550474812694</v>
      </c>
      <c r="F119">
        <f>Forecast5[[#This Row],[Forecast]]+Forecast5[[#This Row],[PI]]</f>
        <v>259.82300998336797</v>
      </c>
    </row>
    <row r="120" spans="1:6" x14ac:dyDescent="0.25">
      <c r="A120" s="20">
        <v>46118</v>
      </c>
      <c r="C120">
        <f>_xlfn.FORECAST.ETS(Forecast5[[#This Row],[Week]],B9:B119,A9:A119,1,1,1)</f>
        <v>245.46615111490453</v>
      </c>
      <c r="D120">
        <f>_xlfn.FORECAST.ETS.CONFINT(Forecast5[[#This Row],[Week]],B9:B119,A9:A119,0.95,1,1,1)</f>
        <v>15.099739781400956</v>
      </c>
      <c r="E120">
        <f>Forecast5[[#This Row],[Forecast]]-Forecast5[[#This Row],[PI]]</f>
        <v>230.36641133350358</v>
      </c>
      <c r="F120">
        <f>Forecast5[[#This Row],[Forecast]]+Forecast5[[#This Row],[PI]]</f>
        <v>260.56589089630552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6E50A-E299-439D-A2AA-837DC999D981}">
  <dimension ref="A1:B105"/>
  <sheetViews>
    <sheetView workbookViewId="0">
      <selection activeCell="O5" sqref="O5"/>
    </sheetView>
  </sheetViews>
  <sheetFormatPr defaultRowHeight="15" x14ac:dyDescent="0.25"/>
  <cols>
    <col min="1" max="1" width="10.42578125" style="24" bestFit="1" customWidth="1"/>
    <col min="2" max="2" width="10.140625" bestFit="1" customWidth="1"/>
  </cols>
  <sheetData>
    <row r="1" spans="1:2" x14ac:dyDescent="0.25">
      <c r="A1" s="23" t="s">
        <v>50</v>
      </c>
      <c r="B1" s="23" t="s">
        <v>51</v>
      </c>
    </row>
    <row r="2" spans="1:2" x14ac:dyDescent="0.25">
      <c r="A2" s="24">
        <v>36567</v>
      </c>
      <c r="B2">
        <v>0.14000000000000001</v>
      </c>
    </row>
    <row r="3" spans="1:2" x14ac:dyDescent="0.25">
      <c r="A3" s="24">
        <v>36665</v>
      </c>
      <c r="B3">
        <v>0.16</v>
      </c>
    </row>
    <row r="4" spans="1:2" x14ac:dyDescent="0.25">
      <c r="A4" s="24">
        <v>36756</v>
      </c>
      <c r="B4">
        <v>0.16</v>
      </c>
    </row>
    <row r="5" spans="1:2" x14ac:dyDescent="0.25">
      <c r="A5" s="24">
        <v>36847</v>
      </c>
      <c r="B5">
        <v>0.16</v>
      </c>
    </row>
    <row r="6" spans="1:2" x14ac:dyDescent="0.25">
      <c r="A6" s="24">
        <v>36937</v>
      </c>
      <c r="B6">
        <v>0.16</v>
      </c>
    </row>
    <row r="7" spans="1:2" x14ac:dyDescent="0.25">
      <c r="A7" s="24">
        <v>37029</v>
      </c>
      <c r="B7">
        <v>0.18</v>
      </c>
    </row>
    <row r="8" spans="1:2" x14ac:dyDescent="0.25">
      <c r="A8" s="24">
        <v>37120</v>
      </c>
      <c r="B8">
        <v>0.18</v>
      </c>
    </row>
    <row r="9" spans="1:2" x14ac:dyDescent="0.25">
      <c r="A9" s="24">
        <v>37211</v>
      </c>
      <c r="B9">
        <v>0.18</v>
      </c>
    </row>
    <row r="10" spans="1:2" x14ac:dyDescent="0.25">
      <c r="A10" s="24">
        <v>37301</v>
      </c>
      <c r="B10">
        <v>0.18</v>
      </c>
    </row>
    <row r="11" spans="1:2" x14ac:dyDescent="0.25">
      <c r="A11" s="24">
        <v>37393</v>
      </c>
      <c r="B11">
        <v>0.20499999999999999</v>
      </c>
    </row>
    <row r="12" spans="1:2" x14ac:dyDescent="0.25">
      <c r="A12" s="24">
        <v>37484</v>
      </c>
      <c r="B12">
        <v>0.20499999999999999</v>
      </c>
    </row>
    <row r="13" spans="1:2" x14ac:dyDescent="0.25">
      <c r="A13" s="24">
        <v>37575</v>
      </c>
      <c r="B13">
        <v>0.20499999999999999</v>
      </c>
    </row>
    <row r="14" spans="1:2" x14ac:dyDescent="0.25">
      <c r="A14" s="24">
        <v>37665</v>
      </c>
      <c r="B14">
        <v>0.20499999999999999</v>
      </c>
    </row>
    <row r="15" spans="1:2" x14ac:dyDescent="0.25">
      <c r="A15" s="24">
        <v>37757</v>
      </c>
      <c r="B15">
        <v>0.24</v>
      </c>
    </row>
    <row r="16" spans="1:2" x14ac:dyDescent="0.25">
      <c r="A16" s="24">
        <v>37848</v>
      </c>
      <c r="B16">
        <v>0.24</v>
      </c>
    </row>
    <row r="17" spans="1:2" x14ac:dyDescent="0.25">
      <c r="A17" s="24">
        <v>37939</v>
      </c>
      <c r="B17">
        <v>0.24</v>
      </c>
    </row>
    <row r="18" spans="1:2" x14ac:dyDescent="0.25">
      <c r="A18" s="24">
        <v>38029</v>
      </c>
      <c r="B18">
        <v>0.24</v>
      </c>
    </row>
    <row r="19" spans="1:2" x14ac:dyDescent="0.25">
      <c r="A19" s="24">
        <v>38121</v>
      </c>
      <c r="B19">
        <v>0.28499999999999998</v>
      </c>
    </row>
    <row r="20" spans="1:2" x14ac:dyDescent="0.25">
      <c r="A20" s="24">
        <v>38212</v>
      </c>
      <c r="B20">
        <v>0.28499999999999998</v>
      </c>
    </row>
    <row r="21" spans="1:2" x14ac:dyDescent="0.25">
      <c r="A21" s="24">
        <v>38303</v>
      </c>
      <c r="B21">
        <v>0.28499999999999998</v>
      </c>
    </row>
    <row r="22" spans="1:2" x14ac:dyDescent="0.25">
      <c r="A22" s="24">
        <v>38394</v>
      </c>
      <c r="B22">
        <v>0.28499999999999998</v>
      </c>
    </row>
    <row r="23" spans="1:2" x14ac:dyDescent="0.25">
      <c r="A23" s="24">
        <v>38485</v>
      </c>
      <c r="B23">
        <v>0.33</v>
      </c>
    </row>
    <row r="24" spans="1:2" x14ac:dyDescent="0.25">
      <c r="A24" s="24">
        <v>38583</v>
      </c>
      <c r="B24">
        <v>0.33</v>
      </c>
    </row>
    <row r="25" spans="1:2" x14ac:dyDescent="0.25">
      <c r="A25" s="24">
        <v>38674</v>
      </c>
      <c r="B25">
        <v>0.33</v>
      </c>
    </row>
    <row r="26" spans="1:2" x14ac:dyDescent="0.25">
      <c r="A26" s="24">
        <v>38772</v>
      </c>
      <c r="B26">
        <v>0.33</v>
      </c>
    </row>
    <row r="27" spans="1:2" x14ac:dyDescent="0.25">
      <c r="A27" s="24">
        <v>38862</v>
      </c>
      <c r="B27">
        <v>0.375</v>
      </c>
    </row>
    <row r="28" spans="1:2" x14ac:dyDescent="0.25">
      <c r="A28" s="24">
        <v>38954</v>
      </c>
      <c r="B28">
        <v>0.375</v>
      </c>
    </row>
    <row r="29" spans="1:2" x14ac:dyDescent="0.25">
      <c r="A29" s="24">
        <v>39045</v>
      </c>
      <c r="B29">
        <v>0.375</v>
      </c>
    </row>
    <row r="30" spans="1:2" x14ac:dyDescent="0.25">
      <c r="A30" s="24">
        <v>39136</v>
      </c>
      <c r="B30">
        <v>0.375</v>
      </c>
    </row>
    <row r="31" spans="1:2" x14ac:dyDescent="0.25">
      <c r="A31" s="24">
        <v>39226</v>
      </c>
      <c r="B31">
        <v>0.41499999999999998</v>
      </c>
    </row>
    <row r="32" spans="1:2" x14ac:dyDescent="0.25">
      <c r="A32" s="24">
        <v>39318</v>
      </c>
      <c r="B32">
        <v>0.41499999999999998</v>
      </c>
    </row>
    <row r="33" spans="1:2" x14ac:dyDescent="0.25">
      <c r="A33" s="24">
        <v>39409</v>
      </c>
      <c r="B33">
        <v>0.41499999999999998</v>
      </c>
    </row>
    <row r="34" spans="1:2" x14ac:dyDescent="0.25">
      <c r="A34" s="24">
        <v>39500</v>
      </c>
      <c r="B34">
        <v>0.41499999999999998</v>
      </c>
    </row>
    <row r="35" spans="1:2" x14ac:dyDescent="0.25">
      <c r="A35" s="24">
        <v>39590</v>
      </c>
      <c r="B35">
        <v>0.46</v>
      </c>
    </row>
    <row r="36" spans="1:2" x14ac:dyDescent="0.25">
      <c r="A36" s="24">
        <v>39682</v>
      </c>
      <c r="B36">
        <v>0.46</v>
      </c>
    </row>
    <row r="37" spans="1:2" x14ac:dyDescent="0.25">
      <c r="A37" s="24">
        <v>39773</v>
      </c>
      <c r="B37">
        <v>0.46</v>
      </c>
    </row>
    <row r="38" spans="1:2" x14ac:dyDescent="0.25">
      <c r="A38" s="24">
        <v>39864</v>
      </c>
      <c r="B38">
        <v>0.46</v>
      </c>
    </row>
    <row r="39" spans="1:2" x14ac:dyDescent="0.25">
      <c r="A39" s="24">
        <v>39954</v>
      </c>
      <c r="B39">
        <v>0.49</v>
      </c>
    </row>
    <row r="40" spans="1:2" x14ac:dyDescent="0.25">
      <c r="A40" s="24">
        <v>40046</v>
      </c>
      <c r="B40">
        <v>0.49</v>
      </c>
    </row>
    <row r="41" spans="1:2" x14ac:dyDescent="0.25">
      <c r="A41" s="24">
        <v>40137</v>
      </c>
      <c r="B41">
        <v>0.49</v>
      </c>
    </row>
    <row r="42" spans="1:2" x14ac:dyDescent="0.25">
      <c r="A42" s="24">
        <v>40228</v>
      </c>
      <c r="B42">
        <v>0.49</v>
      </c>
    </row>
    <row r="43" spans="1:2" x14ac:dyDescent="0.25">
      <c r="A43" s="24">
        <v>40325</v>
      </c>
      <c r="B43">
        <v>0.54</v>
      </c>
    </row>
    <row r="44" spans="1:2" x14ac:dyDescent="0.25">
      <c r="A44" s="24">
        <v>40417</v>
      </c>
      <c r="B44">
        <v>0.54</v>
      </c>
    </row>
    <row r="45" spans="1:2" x14ac:dyDescent="0.25">
      <c r="A45" s="24">
        <v>40508</v>
      </c>
      <c r="B45">
        <v>0.54</v>
      </c>
    </row>
    <row r="46" spans="1:2" x14ac:dyDescent="0.25">
      <c r="A46" s="24">
        <v>40599</v>
      </c>
      <c r="B46">
        <v>0.54</v>
      </c>
    </row>
    <row r="47" spans="1:2" x14ac:dyDescent="0.25">
      <c r="A47" s="24">
        <v>40689</v>
      </c>
      <c r="B47">
        <v>0.56999999999999995</v>
      </c>
    </row>
    <row r="48" spans="1:2" x14ac:dyDescent="0.25">
      <c r="A48" s="24">
        <v>40781</v>
      </c>
      <c r="B48">
        <v>0.56999999999999995</v>
      </c>
    </row>
    <row r="49" spans="1:2" x14ac:dyDescent="0.25">
      <c r="A49" s="24">
        <v>40872</v>
      </c>
      <c r="B49">
        <v>0.56999999999999995</v>
      </c>
    </row>
    <row r="50" spans="1:2" x14ac:dyDescent="0.25">
      <c r="A50" s="24">
        <v>40963</v>
      </c>
      <c r="B50">
        <v>0.56999999999999995</v>
      </c>
    </row>
    <row r="51" spans="1:2" x14ac:dyDescent="0.25">
      <c r="A51" s="24">
        <v>41053</v>
      </c>
      <c r="B51">
        <v>0.61</v>
      </c>
    </row>
    <row r="52" spans="1:2" x14ac:dyDescent="0.25">
      <c r="A52" s="24">
        <v>41145</v>
      </c>
      <c r="B52">
        <v>0.61</v>
      </c>
    </row>
    <row r="53" spans="1:2" x14ac:dyDescent="0.25">
      <c r="A53" s="24">
        <v>41236</v>
      </c>
      <c r="B53">
        <v>0.61</v>
      </c>
    </row>
    <row r="54" spans="1:2" x14ac:dyDescent="0.25">
      <c r="A54" s="24">
        <v>41327</v>
      </c>
      <c r="B54">
        <v>0.61</v>
      </c>
    </row>
    <row r="55" spans="1:2" x14ac:dyDescent="0.25">
      <c r="A55" s="24">
        <v>41417</v>
      </c>
      <c r="B55">
        <v>0.66</v>
      </c>
    </row>
    <row r="56" spans="1:2" x14ac:dyDescent="0.25">
      <c r="A56" s="24">
        <v>41509</v>
      </c>
      <c r="B56">
        <v>0.66</v>
      </c>
    </row>
    <row r="57" spans="1:2" x14ac:dyDescent="0.25">
      <c r="A57" s="24">
        <v>41600</v>
      </c>
      <c r="B57">
        <v>0.66</v>
      </c>
    </row>
    <row r="58" spans="1:2" x14ac:dyDescent="0.25">
      <c r="A58" s="24">
        <v>41691</v>
      </c>
      <c r="B58">
        <v>0.66</v>
      </c>
    </row>
    <row r="59" spans="1:2" x14ac:dyDescent="0.25">
      <c r="A59" s="24">
        <v>41781</v>
      </c>
      <c r="B59">
        <v>0.7</v>
      </c>
    </row>
    <row r="60" spans="1:2" x14ac:dyDescent="0.25">
      <c r="A60" s="24">
        <v>41873</v>
      </c>
      <c r="B60">
        <v>0.7</v>
      </c>
    </row>
    <row r="61" spans="1:2" x14ac:dyDescent="0.25">
      <c r="A61" s="24">
        <v>41964</v>
      </c>
      <c r="B61">
        <v>0.7</v>
      </c>
    </row>
    <row r="62" spans="1:2" x14ac:dyDescent="0.25">
      <c r="A62" s="24">
        <v>42055</v>
      </c>
      <c r="B62">
        <v>0.7</v>
      </c>
    </row>
    <row r="63" spans="1:2" x14ac:dyDescent="0.25">
      <c r="A63" s="24">
        <v>42145</v>
      </c>
      <c r="B63">
        <v>0.75</v>
      </c>
    </row>
    <row r="64" spans="1:2" x14ac:dyDescent="0.25">
      <c r="A64" s="24">
        <v>42237</v>
      </c>
      <c r="B64">
        <v>0.75</v>
      </c>
    </row>
    <row r="65" spans="1:2" x14ac:dyDescent="0.25">
      <c r="A65" s="24">
        <v>42328</v>
      </c>
      <c r="B65">
        <v>0.75</v>
      </c>
    </row>
    <row r="66" spans="1:2" x14ac:dyDescent="0.25">
      <c r="A66" s="24">
        <v>42419</v>
      </c>
      <c r="B66">
        <v>0.75</v>
      </c>
    </row>
    <row r="67" spans="1:2" x14ac:dyDescent="0.25">
      <c r="A67" s="24">
        <v>42510</v>
      </c>
      <c r="B67">
        <v>0.8</v>
      </c>
    </row>
    <row r="68" spans="1:2" x14ac:dyDescent="0.25">
      <c r="A68" s="24">
        <v>42601</v>
      </c>
      <c r="B68">
        <v>0.8</v>
      </c>
    </row>
    <row r="69" spans="1:2" x14ac:dyDescent="0.25">
      <c r="A69" s="24">
        <v>42692</v>
      </c>
      <c r="B69">
        <v>0.8</v>
      </c>
    </row>
    <row r="70" spans="1:2" x14ac:dyDescent="0.25">
      <c r="A70" s="24">
        <v>42790</v>
      </c>
      <c r="B70">
        <v>0.8</v>
      </c>
    </row>
    <row r="71" spans="1:2" x14ac:dyDescent="0.25">
      <c r="A71" s="24">
        <v>42880</v>
      </c>
      <c r="B71">
        <v>0.84</v>
      </c>
    </row>
    <row r="72" spans="1:2" x14ac:dyDescent="0.25">
      <c r="A72" s="24">
        <v>42972</v>
      </c>
      <c r="B72">
        <v>0.84</v>
      </c>
    </row>
    <row r="73" spans="1:2" x14ac:dyDescent="0.25">
      <c r="A73" s="24">
        <v>43066</v>
      </c>
      <c r="B73">
        <v>0.84</v>
      </c>
    </row>
    <row r="74" spans="1:2" x14ac:dyDescent="0.25">
      <c r="A74" s="24">
        <v>43157</v>
      </c>
      <c r="B74">
        <v>0.84</v>
      </c>
    </row>
    <row r="75" spans="1:2" x14ac:dyDescent="0.25">
      <c r="A75" s="24">
        <v>43245</v>
      </c>
      <c r="B75">
        <v>0.9</v>
      </c>
    </row>
    <row r="76" spans="1:2" x14ac:dyDescent="0.25">
      <c r="A76" s="24">
        <v>43339</v>
      </c>
      <c r="B76">
        <v>0.9</v>
      </c>
    </row>
    <row r="77" spans="1:2" x14ac:dyDescent="0.25">
      <c r="A77" s="24">
        <v>43430</v>
      </c>
      <c r="B77">
        <v>0.9</v>
      </c>
    </row>
    <row r="78" spans="1:2" x14ac:dyDescent="0.25">
      <c r="A78" s="24">
        <v>43521</v>
      </c>
      <c r="B78">
        <v>0.9</v>
      </c>
    </row>
    <row r="79" spans="1:2" x14ac:dyDescent="0.25">
      <c r="A79" s="24">
        <v>43609</v>
      </c>
      <c r="B79">
        <v>0.95</v>
      </c>
    </row>
    <row r="80" spans="1:2" x14ac:dyDescent="0.25">
      <c r="A80" s="24">
        <v>43703</v>
      </c>
      <c r="B80">
        <v>0.95</v>
      </c>
    </row>
    <row r="81" spans="1:2" x14ac:dyDescent="0.25">
      <c r="A81" s="24">
        <v>43794</v>
      </c>
      <c r="B81">
        <v>0.95</v>
      </c>
    </row>
    <row r="82" spans="1:2" x14ac:dyDescent="0.25">
      <c r="A82" s="24">
        <v>43885</v>
      </c>
      <c r="B82">
        <v>0.95</v>
      </c>
    </row>
    <row r="83" spans="1:2" x14ac:dyDescent="0.25">
      <c r="A83" s="24">
        <v>43973</v>
      </c>
      <c r="B83">
        <v>1.01</v>
      </c>
    </row>
    <row r="84" spans="1:2" x14ac:dyDescent="0.25">
      <c r="A84" s="24">
        <v>44067</v>
      </c>
      <c r="B84">
        <v>1.01</v>
      </c>
    </row>
    <row r="85" spans="1:2" x14ac:dyDescent="0.25">
      <c r="A85" s="24">
        <v>44158</v>
      </c>
      <c r="B85">
        <v>1.01</v>
      </c>
    </row>
    <row r="86" spans="1:2" x14ac:dyDescent="0.25">
      <c r="A86" s="24">
        <v>44249</v>
      </c>
      <c r="B86">
        <v>1.01</v>
      </c>
    </row>
    <row r="87" spans="1:2" x14ac:dyDescent="0.25">
      <c r="A87" s="24">
        <v>44340</v>
      </c>
      <c r="B87">
        <v>1.06</v>
      </c>
    </row>
    <row r="88" spans="1:2" x14ac:dyDescent="0.25">
      <c r="A88" s="24">
        <v>44431</v>
      </c>
      <c r="B88">
        <v>1.06</v>
      </c>
    </row>
    <row r="89" spans="1:2" x14ac:dyDescent="0.25">
      <c r="A89" s="24">
        <v>44522</v>
      </c>
      <c r="B89">
        <v>1.06</v>
      </c>
    </row>
    <row r="90" spans="1:2" x14ac:dyDescent="0.25">
      <c r="A90" s="24">
        <v>44610</v>
      </c>
      <c r="B90">
        <v>1.06</v>
      </c>
    </row>
    <row r="91" spans="1:2" x14ac:dyDescent="0.25">
      <c r="A91" s="24">
        <v>44704</v>
      </c>
      <c r="B91">
        <v>1.1299999999999999</v>
      </c>
    </row>
    <row r="92" spans="1:2" x14ac:dyDescent="0.25">
      <c r="A92" s="24">
        <v>44795</v>
      </c>
      <c r="B92">
        <v>1.1299999999999999</v>
      </c>
    </row>
    <row r="93" spans="1:2" x14ac:dyDescent="0.25">
      <c r="A93" s="24">
        <v>44886</v>
      </c>
      <c r="B93">
        <v>1.1299999999999999</v>
      </c>
    </row>
    <row r="94" spans="1:2" x14ac:dyDescent="0.25">
      <c r="A94" s="24">
        <v>44974</v>
      </c>
      <c r="B94">
        <v>1.1299999999999999</v>
      </c>
    </row>
    <row r="95" spans="1:2" x14ac:dyDescent="0.25">
      <c r="A95" s="24">
        <v>45068</v>
      </c>
      <c r="B95">
        <v>1.19</v>
      </c>
    </row>
    <row r="96" spans="1:2" x14ac:dyDescent="0.25">
      <c r="A96" s="24">
        <v>45163</v>
      </c>
      <c r="B96">
        <v>1.19</v>
      </c>
    </row>
    <row r="97" spans="1:2" x14ac:dyDescent="0.25">
      <c r="A97" s="24">
        <v>45250</v>
      </c>
      <c r="B97">
        <v>1.19</v>
      </c>
    </row>
    <row r="98" spans="1:2" x14ac:dyDescent="0.25">
      <c r="A98" s="24">
        <v>45338</v>
      </c>
      <c r="B98">
        <v>1.19</v>
      </c>
    </row>
    <row r="99" spans="1:2" x14ac:dyDescent="0.25">
      <c r="A99" s="24">
        <v>45432</v>
      </c>
      <c r="B99">
        <v>1.24</v>
      </c>
    </row>
    <row r="100" spans="1:2" x14ac:dyDescent="0.25">
      <c r="A100" s="24">
        <v>45531</v>
      </c>
      <c r="B100">
        <v>1.24</v>
      </c>
    </row>
    <row r="101" spans="1:2" x14ac:dyDescent="0.25">
      <c r="A101" s="24">
        <v>45622</v>
      </c>
      <c r="B101">
        <v>1.24</v>
      </c>
    </row>
    <row r="102" spans="1:2" x14ac:dyDescent="0.25">
      <c r="A102" s="24">
        <v>45706</v>
      </c>
      <c r="B102">
        <v>1.24</v>
      </c>
    </row>
    <row r="103" spans="1:2" x14ac:dyDescent="0.25">
      <c r="A103" s="24">
        <v>45804</v>
      </c>
      <c r="B103">
        <v>1.3</v>
      </c>
    </row>
    <row r="104" spans="1:2" x14ac:dyDescent="0.25">
      <c r="A104" s="24">
        <v>45895</v>
      </c>
      <c r="B104">
        <v>1.3</v>
      </c>
    </row>
    <row r="105" spans="1:2" x14ac:dyDescent="0.25">
      <c r="A105" s="24">
        <v>45986</v>
      </c>
      <c r="B105">
        <v>1.3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380F720-A55F-4C9A-BC8B-B653E2D6BBF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Intro</vt:lpstr>
      <vt:lpstr>Dashboard</vt:lpstr>
      <vt:lpstr>Data</vt:lpstr>
      <vt:lpstr>Weekly</vt:lpstr>
      <vt:lpstr>Forecast</vt:lpstr>
      <vt:lpstr>Rolling</vt:lpstr>
      <vt:lpstr>Dividends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Jackson</dc:creator>
  <cp:lastModifiedBy>David Jackson</cp:lastModifiedBy>
  <dcterms:created xsi:type="dcterms:W3CDTF">2026-01-19T03:32:40Z</dcterms:created>
  <dcterms:modified xsi:type="dcterms:W3CDTF">2026-02-16T02:09:46Z</dcterms:modified>
</cp:coreProperties>
</file>