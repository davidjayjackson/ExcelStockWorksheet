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7BCD8CDE-9E9B-4A23-B0D5-A60961AFE55E}" xr6:coauthVersionLast="47" xr6:coauthVersionMax="47" xr10:uidLastSave="{00000000-0000-0000-0000-000000000000}"/>
  <bookViews>
    <workbookView xWindow="-120" yWindow="-120" windowWidth="20730" windowHeight="11040" activeTab="1" xr2:uid="{92AFEA67-FCE1-458C-9A7E-ADF426D7B024}"/>
  </bookViews>
  <sheets>
    <sheet name="Intro" sheetId="10" r:id="rId1"/>
    <sheet name="Dashboard" sheetId="14" r:id="rId2"/>
    <sheet name="Data" sheetId="1" r:id="rId3"/>
    <sheet name="Weekly" sheetId="19" r:id="rId4"/>
    <sheet name="Forecast" sheetId="17" r:id="rId5"/>
    <sheet name="Dividends" sheetId="15" r:id="rId6"/>
  </sheets>
  <definedNames>
    <definedName name="data">Data!$1:$1048576</definedName>
    <definedName name="ExternalData_1" localSheetId="4" hidden="1">Forecast!$A$1:$B$120</definedName>
    <definedName name="ExternalData_1" localSheetId="3" hidden="1">Weekly!$A$1:$B$53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15" i="1"/>
  <c r="C113" i="17"/>
  <c r="C114" i="17"/>
  <c r="C115" i="17"/>
  <c r="C116" i="17"/>
  <c r="C118" i="17"/>
  <c r="C117" i="17"/>
  <c r="C119" i="17"/>
  <c r="C120" i="17"/>
  <c r="C112" i="17"/>
  <c r="B1" i="1" a="1"/>
  <c r="B1" i="1" l="1"/>
  <c r="AD6" i="1" s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6" i="1"/>
  <c r="A82" i="1"/>
  <c r="A114" i="1"/>
  <c r="A138" i="1"/>
  <c r="A162" i="1"/>
  <c r="A186" i="1"/>
  <c r="A218" i="1"/>
  <c r="A250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18" i="1"/>
  <c r="A34" i="1"/>
  <c r="A50" i="1"/>
  <c r="A66" i="1"/>
  <c r="A90" i="1"/>
  <c r="A106" i="1"/>
  <c r="A130" i="1"/>
  <c r="A154" i="1"/>
  <c r="A178" i="1"/>
  <c r="A202" i="1"/>
  <c r="A242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10" i="1"/>
  <c r="A42" i="1"/>
  <c r="A58" i="1"/>
  <c r="A74" i="1"/>
  <c r="A98" i="1"/>
  <c r="A122" i="1"/>
  <c r="A146" i="1"/>
  <c r="A170" i="1"/>
  <c r="A194" i="1"/>
  <c r="A226" i="1"/>
  <c r="A210" i="1"/>
  <c r="A234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N114" i="1"/>
  <c r="AB105" i="1"/>
  <c r="AB241" i="1"/>
  <c r="N34" i="1"/>
  <c r="N108" i="1"/>
  <c r="AB178" i="1"/>
  <c r="N54" i="1"/>
  <c r="N142" i="1"/>
  <c r="N59" i="1"/>
  <c r="N139" i="1"/>
  <c r="N145" i="1"/>
  <c r="AB101" i="1"/>
  <c r="AB115" i="1"/>
  <c r="AB104" i="1"/>
  <c r="AB211" i="1"/>
  <c r="AB217" i="1"/>
  <c r="AB220" i="1"/>
  <c r="N132" i="1"/>
  <c r="N121" i="1"/>
  <c r="N71" i="1"/>
  <c r="N167" i="1"/>
  <c r="N80" i="1"/>
  <c r="N56" i="1"/>
  <c r="K102" i="1"/>
  <c r="AB174" i="1"/>
  <c r="N168" i="1"/>
  <c r="AB145" i="1"/>
  <c r="AB225" i="1"/>
  <c r="N51" i="1"/>
  <c r="N150" i="1"/>
  <c r="K205" i="1"/>
  <c r="N53" i="1"/>
  <c r="N125" i="1"/>
  <c r="AB235" i="1"/>
  <c r="K53" i="1"/>
  <c r="AB135" i="1"/>
  <c r="AB231" i="1"/>
  <c r="N77" i="1"/>
  <c r="K135" i="1"/>
  <c r="N35" i="1"/>
  <c r="AB116" i="1"/>
  <c r="AB215" i="1"/>
  <c r="K86" i="1"/>
  <c r="N129" i="1"/>
  <c r="N126" i="1"/>
  <c r="AB187" i="1"/>
  <c r="AB120" i="1"/>
  <c r="AB197" i="1"/>
  <c r="N55" i="1"/>
  <c r="N5" i="1"/>
  <c r="N143" i="1"/>
  <c r="AB111" i="1"/>
  <c r="AB158" i="1"/>
  <c r="N165" i="1"/>
  <c r="AB216" i="1"/>
  <c r="AB121" i="1"/>
  <c r="AB190" i="1"/>
  <c r="AB125" i="1"/>
  <c r="AB205" i="1"/>
  <c r="AB188" i="1"/>
  <c r="N68" i="1"/>
  <c r="N90" i="1"/>
  <c r="N186" i="1"/>
  <c r="AB119" i="1"/>
  <c r="N175" i="1"/>
  <c r="AB131" i="1"/>
  <c r="AB234" i="1"/>
  <c r="AB207" i="1"/>
  <c r="N243" i="1"/>
  <c r="AB237" i="1"/>
  <c r="N195" i="1"/>
  <c r="N219" i="1"/>
  <c r="J150" i="1"/>
  <c r="AB160" i="1"/>
  <c r="N29" i="1"/>
  <c r="N100" i="1"/>
  <c r="N111" i="1"/>
  <c r="K164" i="1"/>
  <c r="AB132" i="1"/>
  <c r="AB210" i="1"/>
  <c r="AB236" i="1"/>
  <c r="K94" i="1"/>
  <c r="AB230" i="1"/>
  <c r="N224" i="1"/>
  <c r="N74" i="1"/>
  <c r="N217" i="1"/>
  <c r="AB122" i="1"/>
  <c r="N162" i="1"/>
  <c r="AB138" i="1"/>
  <c r="AB136" i="1"/>
  <c r="AB218" i="1"/>
  <c r="AB191" i="1"/>
  <c r="N6" i="1"/>
  <c r="AB223" i="1"/>
  <c r="N102" i="1"/>
  <c r="N182" i="1"/>
  <c r="N87" i="1"/>
  <c r="K127" i="1"/>
  <c r="N91" i="1"/>
  <c r="AB228" i="1"/>
  <c r="AB206" i="1"/>
  <c r="AB144" i="1"/>
  <c r="N238" i="1"/>
  <c r="AB243" i="1"/>
  <c r="AB232" i="1"/>
  <c r="N203" i="1"/>
  <c r="N17" i="1"/>
  <c r="N88" i="1"/>
  <c r="N220" i="1"/>
  <c r="K32" i="1"/>
  <c r="N169" i="1"/>
  <c r="AB177" i="1"/>
  <c r="N45" i="1"/>
  <c r="N123" i="1"/>
  <c r="AB114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N214" i="1"/>
  <c r="AB107" i="1"/>
  <c r="N221" i="1"/>
  <c r="N78" i="1"/>
  <c r="N75" i="1"/>
  <c r="N229" i="1"/>
  <c r="N163" i="1"/>
  <c r="AB147" i="1"/>
  <c r="AB153" i="1"/>
  <c r="AB227" i="1"/>
  <c r="K214" i="1"/>
  <c r="N7" i="1"/>
  <c r="AB248" i="1"/>
  <c r="N103" i="1"/>
  <c r="N16" i="1"/>
  <c r="N107" i="1"/>
  <c r="N95" i="1"/>
  <c r="K38" i="1"/>
  <c r="AB110" i="1"/>
  <c r="N104" i="1"/>
  <c r="AB239" i="1"/>
  <c r="AB161" i="1"/>
  <c r="N196" i="1"/>
  <c r="AB129" i="1"/>
  <c r="AB157" i="1"/>
  <c r="AB249" i="1"/>
  <c r="AB244" i="1"/>
  <c r="N69" i="1"/>
  <c r="AB212" i="1"/>
  <c r="K175" i="1"/>
  <c r="N152" i="1"/>
  <c r="K129" i="1"/>
  <c r="AB182" i="1"/>
  <c r="K22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AB123" i="1"/>
  <c r="AB133" i="1"/>
  <c r="N234" i="1"/>
  <c r="N222" i="1"/>
  <c r="N79" i="1"/>
  <c r="N33" i="1"/>
  <c r="N200" i="1"/>
  <c r="AB164" i="1"/>
  <c r="AB126" i="1"/>
  <c r="AB141" i="1"/>
  <c r="K222" i="1"/>
  <c r="N26" i="1"/>
  <c r="AB229" i="1"/>
  <c r="N122" i="1"/>
  <c r="N202" i="1"/>
  <c r="N115" i="1"/>
  <c r="AB170" i="1"/>
  <c r="AB143" i="1"/>
  <c r="N209" i="1"/>
  <c r="N117" i="1"/>
  <c r="N134" i="1"/>
  <c r="N230" i="1"/>
  <c r="AB140" i="1"/>
  <c r="N176" i="1"/>
  <c r="K238" i="1"/>
  <c r="K192" i="1"/>
  <c r="N207" i="1"/>
  <c r="K58" i="1"/>
  <c r="K40" i="1"/>
  <c r="AB146" i="1"/>
  <c r="AB148" i="1"/>
  <c r="AB246" i="1"/>
  <c r="K30" i="1"/>
  <c r="AB166" i="1"/>
  <c r="N160" i="1"/>
  <c r="N10" i="1"/>
  <c r="N76" i="1"/>
  <c r="N242" i="1"/>
  <c r="N98" i="1"/>
  <c r="AB154" i="1"/>
  <c r="AB127" i="1"/>
  <c r="N236" i="1"/>
  <c r="N28" i="1"/>
  <c r="N137" i="1"/>
  <c r="AB139" i="1"/>
  <c r="AB242" i="1"/>
  <c r="AB159" i="1"/>
  <c r="N38" i="1"/>
  <c r="N118" i="1"/>
  <c r="K63" i="1"/>
  <c r="N27" i="1"/>
  <c r="N206" i="1"/>
  <c r="AB142" i="1"/>
  <c r="N49" i="1"/>
  <c r="N110" i="1"/>
  <c r="AB179" i="1"/>
  <c r="AB168" i="1"/>
  <c r="N52" i="1"/>
  <c r="AB233" i="1"/>
  <c r="N127" i="1"/>
  <c r="N135" i="1"/>
  <c r="N64" i="1"/>
  <c r="AB150" i="1"/>
  <c r="N144" i="1"/>
  <c r="N93" i="1"/>
  <c r="N184" i="1"/>
  <c r="AB176" i="1"/>
  <c r="K166" i="1"/>
  <c r="N227" i="1"/>
  <c r="K70" i="1"/>
  <c r="N245" i="1"/>
  <c r="K244" i="1"/>
  <c r="K137" i="1"/>
  <c r="N84" i="1"/>
  <c r="AB251" i="1"/>
  <c r="N119" i="1"/>
  <c r="N41" i="1"/>
  <c r="K95" i="1"/>
  <c r="AB203" i="1"/>
  <c r="K221" i="1"/>
  <c r="N180" i="1"/>
  <c r="J214" i="1"/>
  <c r="N85" i="1"/>
  <c r="K223" i="1"/>
  <c r="N92" i="1"/>
  <c r="N73" i="1"/>
  <c r="AB171" i="1"/>
  <c r="K37" i="1"/>
  <c r="K239" i="1"/>
  <c r="J156" i="1"/>
  <c r="J82" i="1"/>
  <c r="K235" i="1"/>
  <c r="N198" i="1"/>
  <c r="K62" i="1"/>
  <c r="K97" i="1"/>
  <c r="N65" i="1"/>
  <c r="J110" i="1"/>
  <c r="K28" i="1"/>
  <c r="K100" i="1"/>
  <c r="N128" i="1"/>
  <c r="N140" i="1"/>
  <c r="K77" i="1"/>
  <c r="N67" i="1"/>
  <c r="K216" i="1"/>
  <c r="N249" i="1"/>
  <c r="AB193" i="1"/>
  <c r="K55" i="1"/>
  <c r="K248" i="1"/>
  <c r="J94" i="1"/>
  <c r="J127" i="1"/>
  <c r="G221" i="1"/>
  <c r="E213" i="1"/>
  <c r="E106" i="1"/>
  <c r="K154" i="1"/>
  <c r="K36" i="1"/>
  <c r="J28" i="1"/>
  <c r="J69" i="1"/>
  <c r="J188" i="1"/>
  <c r="J177" i="1"/>
  <c r="G134" i="1"/>
  <c r="G193" i="1"/>
  <c r="J197" i="1"/>
  <c r="K181" i="1"/>
  <c r="K80" i="1"/>
  <c r="J87" i="1"/>
  <c r="K89" i="1"/>
  <c r="E21" i="1"/>
  <c r="J125" i="1"/>
  <c r="J48" i="1"/>
  <c r="G113" i="1"/>
  <c r="G212" i="1"/>
  <c r="J78" i="1"/>
  <c r="J248" i="1"/>
  <c r="K69" i="1"/>
  <c r="G135" i="1"/>
  <c r="J244" i="1"/>
  <c r="E144" i="1"/>
  <c r="E158" i="1"/>
  <c r="J180" i="1"/>
  <c r="K49" i="1"/>
  <c r="J215" i="1"/>
  <c r="K113" i="1"/>
  <c r="J68" i="1"/>
  <c r="G20" i="1"/>
  <c r="G195" i="1"/>
  <c r="G217" i="1"/>
  <c r="G24" i="1"/>
  <c r="G81" i="1"/>
  <c r="E39" i="1"/>
  <c r="E191" i="1"/>
  <c r="N21" i="1"/>
  <c r="N173" i="1"/>
  <c r="K158" i="1"/>
  <c r="AB165" i="1"/>
  <c r="N138" i="1"/>
  <c r="AB202" i="1"/>
  <c r="N89" i="1"/>
  <c r="N70" i="1"/>
  <c r="K191" i="1"/>
  <c r="N157" i="1"/>
  <c r="N105" i="1"/>
  <c r="K103" i="1"/>
  <c r="N120" i="1"/>
  <c r="N190" i="1"/>
  <c r="N188" i="1"/>
  <c r="K132" i="1"/>
  <c r="N241" i="1"/>
  <c r="K250" i="1"/>
  <c r="K232" i="1"/>
  <c r="K147" i="1"/>
  <c r="J245" i="1"/>
  <c r="N18" i="1"/>
  <c r="N30" i="1"/>
  <c r="AB151" i="1"/>
  <c r="N151" i="1"/>
  <c r="K26" i="1"/>
  <c r="K87" i="1"/>
  <c r="N185" i="1"/>
  <c r="AB214" i="1"/>
  <c r="N179" i="1"/>
  <c r="J22" i="1"/>
  <c r="N251" i="1"/>
  <c r="J137" i="1"/>
  <c r="J238" i="1"/>
  <c r="N66" i="1"/>
  <c r="K106" i="1"/>
  <c r="J103" i="1"/>
  <c r="K42" i="1"/>
  <c r="G9" i="1"/>
  <c r="J161" i="1"/>
  <c r="G59" i="1"/>
  <c r="G225" i="1"/>
  <c r="G203" i="1"/>
  <c r="G167" i="1"/>
  <c r="E16" i="1"/>
  <c r="G125" i="1"/>
  <c r="K130" i="1"/>
  <c r="N164" i="1"/>
  <c r="K211" i="1"/>
  <c r="J122" i="1"/>
  <c r="K184" i="1"/>
  <c r="N147" i="1"/>
  <c r="J40" i="1"/>
  <c r="J231" i="1"/>
  <c r="G162" i="1"/>
  <c r="E182" i="1"/>
  <c r="K186" i="1"/>
  <c r="J199" i="1"/>
  <c r="J95" i="1"/>
  <c r="J105" i="1"/>
  <c r="J221" i="1"/>
  <c r="G90" i="1"/>
  <c r="G5" i="1"/>
  <c r="G72" i="1"/>
  <c r="J57" i="1"/>
  <c r="E53" i="1"/>
  <c r="E84" i="1"/>
  <c r="G126" i="1"/>
  <c r="J146" i="1"/>
  <c r="E201" i="1"/>
  <c r="K200" i="1"/>
  <c r="J168" i="1"/>
  <c r="K195" i="1"/>
  <c r="K116" i="1"/>
  <c r="J93" i="1"/>
  <c r="E4" i="1"/>
  <c r="J106" i="1"/>
  <c r="K201" i="1"/>
  <c r="N86" i="1"/>
  <c r="AB199" i="1"/>
  <c r="N97" i="1"/>
  <c r="AB163" i="1"/>
  <c r="AB184" i="1"/>
  <c r="AB175" i="1"/>
  <c r="AB185" i="1"/>
  <c r="AB103" i="1"/>
  <c r="K218" i="1"/>
  <c r="K45" i="1"/>
  <c r="N187" i="1"/>
  <c r="N148" i="1"/>
  <c r="N194" i="1"/>
  <c r="N36" i="1"/>
  <c r="N136" i="1"/>
  <c r="K57" i="1"/>
  <c r="N181" i="1"/>
  <c r="AB186" i="1"/>
  <c r="N20" i="1"/>
  <c r="K171" i="1"/>
  <c r="J158" i="1"/>
  <c r="N50" i="1"/>
  <c r="K84" i="1"/>
  <c r="N240" i="1"/>
  <c r="K88" i="1"/>
  <c r="J246" i="1"/>
  <c r="N146" i="1"/>
  <c r="N158" i="1"/>
  <c r="K111" i="1"/>
  <c r="N208" i="1"/>
  <c r="K242" i="1"/>
  <c r="AB149" i="1"/>
  <c r="N218" i="1"/>
  <c r="K226" i="1"/>
  <c r="J56" i="1"/>
  <c r="K29" i="1"/>
  <c r="K153" i="1"/>
  <c r="G85" i="1"/>
  <c r="K251" i="1"/>
  <c r="G169" i="1"/>
  <c r="E195" i="1"/>
  <c r="G21" i="1"/>
  <c r="G160" i="1"/>
  <c r="E231" i="1"/>
  <c r="N213" i="1"/>
  <c r="K117" i="1"/>
  <c r="J23" i="1"/>
  <c r="K108" i="1"/>
  <c r="J222" i="1"/>
  <c r="K144" i="1"/>
  <c r="E140" i="1"/>
  <c r="G112" i="1"/>
  <c r="AB167" i="1"/>
  <c r="K119" i="1"/>
  <c r="J138" i="1"/>
  <c r="K68" i="1"/>
  <c r="J184" i="1"/>
  <c r="G208" i="1"/>
  <c r="J116" i="1"/>
  <c r="J54" i="1"/>
  <c r="J203" i="1"/>
  <c r="J234" i="1"/>
  <c r="J205" i="1"/>
  <c r="N24" i="1"/>
  <c r="G182" i="1"/>
  <c r="G43" i="1"/>
  <c r="E61" i="1"/>
  <c r="E156" i="1"/>
  <c r="E249" i="1"/>
  <c r="K61" i="1"/>
  <c r="E116" i="1"/>
  <c r="AB247" i="1"/>
  <c r="K96" i="1"/>
  <c r="K213" i="1"/>
  <c r="J25" i="1"/>
  <c r="J206" i="1"/>
  <c r="K21" i="1"/>
  <c r="J183" i="1"/>
  <c r="G241" i="1"/>
  <c r="E171" i="1"/>
  <c r="N106" i="1"/>
  <c r="AB224" i="1"/>
  <c r="AB106" i="1"/>
  <c r="AB200" i="1"/>
  <c r="N61" i="1"/>
  <c r="N246" i="1"/>
  <c r="N149" i="1"/>
  <c r="AB128" i="1"/>
  <c r="AB192" i="1"/>
  <c r="K139" i="1"/>
  <c r="AB113" i="1"/>
  <c r="N237" i="1"/>
  <c r="N193" i="1"/>
  <c r="N124" i="1"/>
  <c r="K228" i="1"/>
  <c r="N216" i="1"/>
  <c r="K237" i="1"/>
  <c r="J135" i="1"/>
  <c r="K177" i="1"/>
  <c r="N233" i="1"/>
  <c r="K185" i="1"/>
  <c r="N8" i="1"/>
  <c r="N178" i="1"/>
  <c r="N210" i="1"/>
  <c r="K152" i="1"/>
  <c r="J216" i="1"/>
  <c r="N172" i="1"/>
  <c r="K196" i="1"/>
  <c r="N174" i="1"/>
  <c r="K163" i="1"/>
  <c r="K72" i="1"/>
  <c r="J207" i="1"/>
  <c r="J162" i="1"/>
  <c r="J210" i="1"/>
  <c r="E85" i="1"/>
  <c r="G10" i="1"/>
  <c r="E96" i="1"/>
  <c r="E146" i="1"/>
  <c r="E118" i="1"/>
  <c r="E187" i="1"/>
  <c r="AB226" i="1"/>
  <c r="J167" i="1"/>
  <c r="K170" i="1"/>
  <c r="G249" i="1"/>
  <c r="G142" i="1"/>
  <c r="E20" i="1"/>
  <c r="K122" i="1"/>
  <c r="J71" i="1"/>
  <c r="J31" i="1"/>
  <c r="J41" i="1"/>
  <c r="J242" i="1"/>
  <c r="G84" i="1"/>
  <c r="G181" i="1"/>
  <c r="E172" i="1"/>
  <c r="J59" i="1"/>
  <c r="J172" i="1"/>
  <c r="K212" i="1"/>
  <c r="G236" i="1"/>
  <c r="E35" i="1"/>
  <c r="E240" i="1"/>
  <c r="J164" i="1"/>
  <c r="N37" i="1"/>
  <c r="J159" i="1"/>
  <c r="J169" i="1"/>
  <c r="J47" i="1"/>
  <c r="G22" i="1"/>
  <c r="G73" i="1"/>
  <c r="J185" i="1"/>
  <c r="G123" i="1"/>
  <c r="E244" i="1"/>
  <c r="G248" i="1"/>
  <c r="E243" i="1"/>
  <c r="AB213" i="1"/>
  <c r="N99" i="1"/>
  <c r="AB112" i="1"/>
  <c r="N39" i="1"/>
  <c r="N130" i="1"/>
  <c r="AB173" i="1"/>
  <c r="N250" i="1"/>
  <c r="N116" i="1"/>
  <c r="K66" i="1"/>
  <c r="AB238" i="1"/>
  <c r="AB169" i="1"/>
  <c r="K246" i="1"/>
  <c r="N235" i="1"/>
  <c r="K54" i="1"/>
  <c r="K207" i="1"/>
  <c r="N177" i="1"/>
  <c r="N248" i="1"/>
  <c r="N47" i="1"/>
  <c r="K24" i="1"/>
  <c r="J182" i="1"/>
  <c r="K179" i="1"/>
  <c r="J88" i="1"/>
  <c r="K27" i="1"/>
  <c r="N153" i="1"/>
  <c r="K78" i="1"/>
  <c r="K114" i="1"/>
  <c r="AB204" i="1"/>
  <c r="N141" i="1"/>
  <c r="N9" i="1"/>
  <c r="K156" i="1"/>
  <c r="K249" i="1"/>
  <c r="K134" i="1"/>
  <c r="N42" i="1"/>
  <c r="J73" i="1"/>
  <c r="K110" i="1"/>
  <c r="N197" i="1"/>
  <c r="K64" i="1"/>
  <c r="N244" i="1"/>
  <c r="K229" i="1"/>
  <c r="K98" i="1"/>
  <c r="K109" i="1"/>
  <c r="E68" i="1"/>
  <c r="J154" i="1"/>
  <c r="E65" i="1"/>
  <c r="G175" i="1"/>
  <c r="G152" i="1"/>
  <c r="E154" i="1"/>
  <c r="K23" i="1"/>
  <c r="J166" i="1"/>
  <c r="J120" i="1"/>
  <c r="K157" i="1"/>
  <c r="K82" i="1"/>
  <c r="G238" i="1"/>
  <c r="J229" i="1"/>
  <c r="J139" i="1"/>
  <c r="J50" i="1"/>
  <c r="G128" i="1"/>
  <c r="G75" i="1"/>
  <c r="J171" i="1"/>
  <c r="K141" i="1"/>
  <c r="K168" i="1"/>
  <c r="J220" i="1"/>
  <c r="K187" i="1"/>
  <c r="K34" i="1"/>
  <c r="E246" i="1"/>
  <c r="G185" i="1"/>
  <c r="J51" i="1"/>
  <c r="K25" i="1"/>
  <c r="G28" i="1"/>
  <c r="G218" i="1"/>
  <c r="E217" i="1"/>
  <c r="G15" i="1"/>
  <c r="J118" i="1"/>
  <c r="J201" i="1"/>
  <c r="K151" i="1"/>
  <c r="J114" i="1"/>
  <c r="J115" i="1"/>
  <c r="G102" i="1"/>
  <c r="G156" i="1"/>
  <c r="E192" i="1"/>
  <c r="N94" i="1"/>
  <c r="N189" i="1"/>
  <c r="N72" i="1"/>
  <c r="AB118" i="1"/>
  <c r="N58" i="1"/>
  <c r="N48" i="1"/>
  <c r="N19" i="1"/>
  <c r="AB156" i="1"/>
  <c r="N82" i="1"/>
  <c r="N232" i="1"/>
  <c r="AB130" i="1"/>
  <c r="AB109" i="1"/>
  <c r="K159" i="1"/>
  <c r="N43" i="1"/>
  <c r="AB194" i="1"/>
  <c r="K180" i="1"/>
  <c r="N228" i="1"/>
  <c r="N170" i="1"/>
  <c r="K121" i="1"/>
  <c r="N212" i="1"/>
  <c r="K245" i="1"/>
  <c r="J38" i="1"/>
  <c r="AB108" i="1"/>
  <c r="K35" i="1"/>
  <c r="N109" i="1"/>
  <c r="N205" i="1"/>
  <c r="K178" i="1"/>
  <c r="AB240" i="1"/>
  <c r="N32" i="1"/>
  <c r="K126" i="1"/>
  <c r="K161" i="1"/>
  <c r="J174" i="1"/>
  <c r="K85" i="1"/>
  <c r="K190" i="1"/>
  <c r="N4" i="1"/>
  <c r="K92" i="1"/>
  <c r="J181" i="1"/>
  <c r="J155" i="1"/>
  <c r="J84" i="1"/>
  <c r="K123" i="1"/>
  <c r="G41" i="1"/>
  <c r="J80" i="1"/>
  <c r="G233" i="1"/>
  <c r="E174" i="1"/>
  <c r="K71" i="1"/>
  <c r="J144" i="1"/>
  <c r="G211" i="1"/>
  <c r="J250" i="1"/>
  <c r="K209" i="1"/>
  <c r="J108" i="1"/>
  <c r="K247" i="1"/>
  <c r="J134" i="1"/>
  <c r="E67" i="1"/>
  <c r="J157" i="1"/>
  <c r="N215" i="1"/>
  <c r="J198" i="1"/>
  <c r="N57" i="1"/>
  <c r="J35" i="1"/>
  <c r="K210" i="1"/>
  <c r="G104" i="1"/>
  <c r="J45" i="1"/>
  <c r="J235" i="1"/>
  <c r="E228" i="1"/>
  <c r="G23" i="1"/>
  <c r="G230" i="1"/>
  <c r="J123" i="1"/>
  <c r="J236" i="1"/>
  <c r="K136" i="1"/>
  <c r="J109" i="1"/>
  <c r="J119" i="1"/>
  <c r="G157" i="1"/>
  <c r="E149" i="1"/>
  <c r="E236" i="1"/>
  <c r="E73" i="1"/>
  <c r="E22" i="1"/>
  <c r="G194" i="1"/>
  <c r="K160" i="1"/>
  <c r="AB155" i="1"/>
  <c r="K199" i="1"/>
  <c r="AB183" i="1"/>
  <c r="N159" i="1"/>
  <c r="K231" i="1"/>
  <c r="J79" i="1"/>
  <c r="N199" i="1"/>
  <c r="K99" i="1"/>
  <c r="K90" i="1"/>
  <c r="K143" i="1"/>
  <c r="K233" i="1"/>
  <c r="J75" i="1"/>
  <c r="J186" i="1"/>
  <c r="J43" i="1"/>
  <c r="J92" i="1"/>
  <c r="E44" i="1"/>
  <c r="K217" i="1"/>
  <c r="G147" i="1"/>
  <c r="G133" i="1"/>
  <c r="J64" i="1"/>
  <c r="J243" i="1"/>
  <c r="K176" i="1"/>
  <c r="G228" i="1"/>
  <c r="E129" i="1"/>
  <c r="E58" i="1"/>
  <c r="J96" i="1"/>
  <c r="K227" i="1"/>
  <c r="J126" i="1"/>
  <c r="J196" i="1"/>
  <c r="G117" i="1"/>
  <c r="J170" i="1"/>
  <c r="E108" i="1"/>
  <c r="E196" i="1"/>
  <c r="E226" i="1"/>
  <c r="E59" i="1"/>
  <c r="G82" i="1"/>
  <c r="E204" i="1"/>
  <c r="G141" i="1"/>
  <c r="E107" i="1"/>
  <c r="G154" i="1"/>
  <c r="G166" i="1"/>
  <c r="E242" i="1"/>
  <c r="E210" i="1"/>
  <c r="E10" i="1"/>
  <c r="E36" i="1"/>
  <c r="E184" i="1"/>
  <c r="E87" i="1"/>
  <c r="G111" i="1"/>
  <c r="AB208" i="1"/>
  <c r="N171" i="1"/>
  <c r="K206" i="1"/>
  <c r="K224" i="1"/>
  <c r="AB221" i="1"/>
  <c r="K33" i="1"/>
  <c r="N44" i="1"/>
  <c r="K165" i="1"/>
  <c r="AB134" i="1"/>
  <c r="K83" i="1"/>
  <c r="J74" i="1"/>
  <c r="J148" i="1"/>
  <c r="K31" i="1"/>
  <c r="J44" i="1"/>
  <c r="J212" i="1"/>
  <c r="J37" i="1"/>
  <c r="N191" i="1"/>
  <c r="K67" i="1"/>
  <c r="E139" i="1"/>
  <c r="G27" i="1"/>
  <c r="G19" i="1"/>
  <c r="J99" i="1"/>
  <c r="G105" i="1"/>
  <c r="K43" i="1"/>
  <c r="J251" i="1"/>
  <c r="J226" i="1"/>
  <c r="G48" i="1"/>
  <c r="J65" i="1"/>
  <c r="E117" i="1"/>
  <c r="E178" i="1"/>
  <c r="E102" i="1"/>
  <c r="G3" i="1"/>
  <c r="K169" i="1"/>
  <c r="AB189" i="1"/>
  <c r="K208" i="1"/>
  <c r="N12" i="1"/>
  <c r="K230" i="1"/>
  <c r="K183" i="1"/>
  <c r="J124" i="1"/>
  <c r="E229" i="1"/>
  <c r="K173" i="1"/>
  <c r="J98" i="1"/>
  <c r="G237" i="1"/>
  <c r="K59" i="1"/>
  <c r="J241" i="1"/>
  <c r="J86" i="1"/>
  <c r="J21" i="1"/>
  <c r="E132" i="1"/>
  <c r="G16" i="1"/>
  <c r="E13" i="1"/>
  <c r="E91" i="1"/>
  <c r="G14" i="1"/>
  <c r="E14" i="1"/>
  <c r="K65" i="1"/>
  <c r="J30" i="1"/>
  <c r="J153" i="1"/>
  <c r="J230" i="1"/>
  <c r="J63" i="1"/>
  <c r="G93" i="1"/>
  <c r="E3" i="1"/>
  <c r="J149" i="1"/>
  <c r="J72" i="1"/>
  <c r="G7" i="1"/>
  <c r="G88" i="1"/>
  <c r="G188" i="1"/>
  <c r="E225" i="1"/>
  <c r="E27" i="1"/>
  <c r="J217" i="1"/>
  <c r="J200" i="1"/>
  <c r="G122" i="1"/>
  <c r="E234" i="1"/>
  <c r="J239" i="1"/>
  <c r="N101" i="1"/>
  <c r="E209" i="1"/>
  <c r="E241" i="1"/>
  <c r="J218" i="1"/>
  <c r="G40" i="1"/>
  <c r="E162" i="1"/>
  <c r="E64" i="1"/>
  <c r="G192" i="1"/>
  <c r="E142" i="1"/>
  <c r="E230" i="1"/>
  <c r="K105" i="1"/>
  <c r="E165" i="1"/>
  <c r="AB196" i="1"/>
  <c r="N166" i="1"/>
  <c r="K234" i="1"/>
  <c r="AB250" i="1"/>
  <c r="AB162" i="1"/>
  <c r="J117" i="1"/>
  <c r="N3" i="1"/>
  <c r="N204" i="1"/>
  <c r="K189" i="1"/>
  <c r="J208" i="1"/>
  <c r="J70" i="1"/>
  <c r="G213" i="1"/>
  <c r="K47" i="1"/>
  <c r="G183" i="1"/>
  <c r="E89" i="1"/>
  <c r="G144" i="1"/>
  <c r="N223" i="1"/>
  <c r="K167" i="1"/>
  <c r="J163" i="1"/>
  <c r="G145" i="1"/>
  <c r="J133" i="1"/>
  <c r="K197" i="1"/>
  <c r="G74" i="1"/>
  <c r="J81" i="1"/>
  <c r="E120" i="1"/>
  <c r="K107" i="1"/>
  <c r="J24" i="1"/>
  <c r="N46" i="1"/>
  <c r="J90" i="1"/>
  <c r="N15" i="1"/>
  <c r="AB152" i="1"/>
  <c r="N226" i="1"/>
  <c r="AB181" i="1"/>
  <c r="N31" i="1"/>
  <c r="K182" i="1"/>
  <c r="N161" i="1"/>
  <c r="K215" i="1"/>
  <c r="J26" i="1"/>
  <c r="E56" i="1"/>
  <c r="E75" i="1"/>
  <c r="J58" i="1"/>
  <c r="J219" i="1"/>
  <c r="G130" i="1"/>
  <c r="K155" i="1"/>
  <c r="G174" i="1"/>
  <c r="G226" i="1"/>
  <c r="K149" i="1"/>
  <c r="J165" i="1"/>
  <c r="E159" i="1"/>
  <c r="J62" i="1"/>
  <c r="K124" i="1"/>
  <c r="J232" i="1"/>
  <c r="K91" i="1"/>
  <c r="E221" i="1"/>
  <c r="E62" i="1"/>
  <c r="G108" i="1"/>
  <c r="E202" i="1"/>
  <c r="K79" i="1"/>
  <c r="K138" i="1"/>
  <c r="K188" i="1"/>
  <c r="J189" i="1"/>
  <c r="G131" i="1"/>
  <c r="J32" i="1"/>
  <c r="G49" i="1"/>
  <c r="G148" i="1"/>
  <c r="G245" i="1"/>
  <c r="J193" i="1"/>
  <c r="G187" i="1"/>
  <c r="K74" i="1"/>
  <c r="E38" i="1"/>
  <c r="G219" i="1"/>
  <c r="G127" i="1"/>
  <c r="G95" i="1"/>
  <c r="J225" i="1"/>
  <c r="J152" i="1"/>
  <c r="E232" i="1"/>
  <c r="E103" i="1"/>
  <c r="E12" i="1"/>
  <c r="G109" i="1"/>
  <c r="N156" i="1"/>
  <c r="G115" i="1"/>
  <c r="E17" i="1"/>
  <c r="E80" i="1"/>
  <c r="E48" i="1"/>
  <c r="E150" i="1"/>
  <c r="K128" i="1"/>
  <c r="G132" i="1"/>
  <c r="E30" i="1"/>
  <c r="N11" i="1"/>
  <c r="AB222" i="1"/>
  <c r="N154" i="1"/>
  <c r="K118" i="1"/>
  <c r="N131" i="1"/>
  <c r="N83" i="1"/>
  <c r="K50" i="1"/>
  <c r="K101" i="1"/>
  <c r="K140" i="1"/>
  <c r="AB137" i="1"/>
  <c r="K225" i="1"/>
  <c r="G53" i="1"/>
  <c r="G137" i="1"/>
  <c r="J209" i="1"/>
  <c r="K104" i="1"/>
  <c r="J42" i="1"/>
  <c r="J194" i="1"/>
  <c r="J151" i="1"/>
  <c r="G106" i="1"/>
  <c r="G63" i="1"/>
  <c r="G51" i="1"/>
  <c r="N113" i="1"/>
  <c r="K41" i="1"/>
  <c r="J89" i="1"/>
  <c r="J102" i="1"/>
  <c r="G172" i="1"/>
  <c r="G176" i="1"/>
  <c r="G197" i="1"/>
  <c r="G178" i="1"/>
  <c r="E181" i="1"/>
  <c r="E127" i="1"/>
  <c r="N23" i="1"/>
  <c r="K125" i="1"/>
  <c r="J66" i="1"/>
  <c r="E251" i="1"/>
  <c r="G139" i="1"/>
  <c r="E212" i="1"/>
  <c r="E19" i="1"/>
  <c r="N14" i="1"/>
  <c r="AB124" i="1"/>
  <c r="N225" i="1"/>
  <c r="K142" i="1"/>
  <c r="E123" i="1"/>
  <c r="K75" i="1"/>
  <c r="G66" i="1"/>
  <c r="J179" i="1"/>
  <c r="J132" i="1"/>
  <c r="N201" i="1"/>
  <c r="J129" i="1"/>
  <c r="G78" i="1"/>
  <c r="E199" i="1"/>
  <c r="E223" i="1"/>
  <c r="E69" i="1"/>
  <c r="E219" i="1"/>
  <c r="G92" i="1"/>
  <c r="G98" i="1"/>
  <c r="E74" i="1"/>
  <c r="G29" i="1"/>
  <c r="J91" i="1"/>
  <c r="G101" i="1"/>
  <c r="G140" i="1"/>
  <c r="G45" i="1"/>
  <c r="J60" i="1"/>
  <c r="E121" i="1"/>
  <c r="E41" i="1"/>
  <c r="E60" i="1"/>
  <c r="E105" i="1"/>
  <c r="G68" i="1"/>
  <c r="E220" i="1"/>
  <c r="G37" i="1"/>
  <c r="J85" i="1"/>
  <c r="E200" i="1"/>
  <c r="G171" i="1"/>
  <c r="K198" i="1"/>
  <c r="E45" i="1"/>
  <c r="E110" i="1"/>
  <c r="E148" i="1"/>
  <c r="K133" i="1"/>
  <c r="G168" i="1"/>
  <c r="E190" i="1"/>
  <c r="E83" i="1"/>
  <c r="G204" i="1"/>
  <c r="E37" i="1"/>
  <c r="E46" i="1"/>
  <c r="E18" i="1"/>
  <c r="E141" i="1"/>
  <c r="E124" i="1"/>
  <c r="E2" i="1"/>
  <c r="G17" i="1"/>
  <c r="K148" i="1"/>
  <c r="E49" i="1"/>
  <c r="G177" i="1"/>
  <c r="J39" i="1"/>
  <c r="E197" i="1"/>
  <c r="J33" i="1"/>
  <c r="E138" i="1"/>
  <c r="G170" i="1"/>
  <c r="E125" i="1"/>
  <c r="G200" i="1"/>
  <c r="E9" i="1"/>
  <c r="E24" i="1"/>
  <c r="E115" i="1"/>
  <c r="G205" i="1"/>
  <c r="E168" i="1"/>
  <c r="E180" i="1"/>
  <c r="E167" i="1"/>
  <c r="K56" i="1"/>
  <c r="E93" i="1"/>
  <c r="E29" i="1"/>
  <c r="E203" i="1"/>
  <c r="K204" i="1"/>
  <c r="E185" i="1"/>
  <c r="E42" i="1"/>
  <c r="N62" i="1"/>
  <c r="G62" i="1"/>
  <c r="G6" i="1"/>
  <c r="E179" i="1"/>
  <c r="E70" i="1"/>
  <c r="G30" i="1"/>
  <c r="N247" i="1"/>
  <c r="G55" i="1"/>
  <c r="K44" i="1"/>
  <c r="K194" i="1"/>
  <c r="J104" i="1"/>
  <c r="J52" i="1"/>
  <c r="J27" i="1"/>
  <c r="G149" i="1"/>
  <c r="J140" i="1"/>
  <c r="J83" i="1"/>
  <c r="E216" i="1"/>
  <c r="G47" i="1"/>
  <c r="E164" i="1"/>
  <c r="J192" i="1"/>
  <c r="E157" i="1"/>
  <c r="G36" i="1"/>
  <c r="J173" i="1"/>
  <c r="E206" i="1"/>
  <c r="J49" i="1"/>
  <c r="E25" i="1"/>
  <c r="E183" i="1"/>
  <c r="E82" i="1"/>
  <c r="J34" i="1"/>
  <c r="G240" i="1"/>
  <c r="J97" i="1"/>
  <c r="E8" i="1"/>
  <c r="G184" i="1"/>
  <c r="J130" i="1"/>
  <c r="G138" i="1"/>
  <c r="G38" i="1"/>
  <c r="E79" i="1"/>
  <c r="J237" i="1"/>
  <c r="G103" i="1"/>
  <c r="J136" i="1"/>
  <c r="E248" i="1"/>
  <c r="E250" i="1"/>
  <c r="E6" i="1"/>
  <c r="G100" i="1"/>
  <c r="G13" i="1"/>
  <c r="J249" i="1"/>
  <c r="E40" i="1"/>
  <c r="E189" i="1"/>
  <c r="E235" i="1"/>
  <c r="G242" i="1"/>
  <c r="J211" i="1"/>
  <c r="G159" i="1"/>
  <c r="E113" i="1"/>
  <c r="G4" i="1"/>
  <c r="J143" i="1"/>
  <c r="K150" i="1"/>
  <c r="AB209" i="1"/>
  <c r="AB180" i="1"/>
  <c r="AB195" i="1"/>
  <c r="J113" i="1"/>
  <c r="J141" i="1"/>
  <c r="K236" i="1"/>
  <c r="K73" i="1"/>
  <c r="G39" i="1"/>
  <c r="G110" i="1"/>
  <c r="G25" i="1"/>
  <c r="AB117" i="1"/>
  <c r="G215" i="1"/>
  <c r="J142" i="1"/>
  <c r="E131" i="1"/>
  <c r="E137" i="1"/>
  <c r="J121" i="1"/>
  <c r="G206" i="1"/>
  <c r="J247" i="1"/>
  <c r="E95" i="1"/>
  <c r="E166" i="1"/>
  <c r="E76" i="1"/>
  <c r="G70" i="1"/>
  <c r="E109" i="1"/>
  <c r="J160" i="1"/>
  <c r="E98" i="1"/>
  <c r="G96" i="1"/>
  <c r="E239" i="1"/>
  <c r="N231" i="1"/>
  <c r="G83" i="1"/>
  <c r="G231" i="1"/>
  <c r="E194" i="1"/>
  <c r="K120" i="1"/>
  <c r="G94" i="1"/>
  <c r="E160" i="1"/>
  <c r="G150" i="1"/>
  <c r="G143" i="1"/>
  <c r="J204" i="1"/>
  <c r="E81" i="1"/>
  <c r="E55" i="1"/>
  <c r="E133" i="1"/>
  <c r="G18" i="1"/>
  <c r="E147" i="1"/>
  <c r="G239" i="1"/>
  <c r="J224" i="1"/>
  <c r="G120" i="1"/>
  <c r="G246" i="1"/>
  <c r="E50" i="1"/>
  <c r="E7" i="1"/>
  <c r="G60" i="1"/>
  <c r="G151" i="1"/>
  <c r="G89" i="1"/>
  <c r="E238" i="1"/>
  <c r="G223" i="1"/>
  <c r="E173" i="1"/>
  <c r="G32" i="1"/>
  <c r="E26" i="1"/>
  <c r="E222" i="1"/>
  <c r="E122" i="1"/>
  <c r="J55" i="1"/>
  <c r="E101" i="1"/>
  <c r="K48" i="1"/>
  <c r="J112" i="1"/>
  <c r="G179" i="1"/>
  <c r="J76" i="1"/>
  <c r="G173" i="1"/>
  <c r="J187" i="1"/>
  <c r="J111" i="1"/>
  <c r="J178" i="1"/>
  <c r="E78" i="1"/>
  <c r="E193" i="1"/>
  <c r="J46" i="1"/>
  <c r="K81" i="1"/>
  <c r="J29" i="1"/>
  <c r="AB245" i="1"/>
  <c r="N81" i="1"/>
  <c r="J223" i="1"/>
  <c r="K115" i="1"/>
  <c r="K219" i="1"/>
  <c r="J147" i="1"/>
  <c r="E11" i="1"/>
  <c r="G107" i="1"/>
  <c r="E134" i="1"/>
  <c r="E23" i="1"/>
  <c r="J77" i="1"/>
  <c r="K202" i="1"/>
  <c r="E177" i="1"/>
  <c r="G116" i="1"/>
  <c r="G199" i="1"/>
  <c r="G153" i="1"/>
  <c r="E237" i="1"/>
  <c r="G186" i="1"/>
  <c r="G161" i="1"/>
  <c r="E51" i="1"/>
  <c r="E32" i="1"/>
  <c r="G124" i="1"/>
  <c r="E245" i="1"/>
  <c r="G67" i="1"/>
  <c r="G235" i="1"/>
  <c r="E145" i="1"/>
  <c r="K220" i="1"/>
  <c r="G201" i="1"/>
  <c r="N40" i="1"/>
  <c r="K203" i="1"/>
  <c r="N133" i="1"/>
  <c r="N25" i="1"/>
  <c r="G190" i="1"/>
  <c r="J176" i="1"/>
  <c r="K162" i="1"/>
  <c r="K51" i="1"/>
  <c r="J202" i="1"/>
  <c r="G196" i="1"/>
  <c r="G2" i="1"/>
  <c r="G52" i="1"/>
  <c r="J175" i="1"/>
  <c r="G79" i="1"/>
  <c r="K60" i="1"/>
  <c r="N60" i="1"/>
  <c r="G189" i="1"/>
  <c r="E143" i="1"/>
  <c r="G224" i="1"/>
  <c r="K39" i="1"/>
  <c r="G69" i="1"/>
  <c r="K52" i="1"/>
  <c r="N183" i="1"/>
  <c r="G80" i="1"/>
  <c r="E54" i="1"/>
  <c r="E104" i="1"/>
  <c r="J53" i="1"/>
  <c r="N112" i="1"/>
  <c r="G114" i="1"/>
  <c r="E34" i="1"/>
  <c r="E119" i="1"/>
  <c r="G214" i="1"/>
  <c r="N211" i="1"/>
  <c r="G164" i="1"/>
  <c r="E205" i="1"/>
  <c r="G163" i="1"/>
  <c r="G216" i="1"/>
  <c r="E100" i="1"/>
  <c r="E153" i="1"/>
  <c r="E152" i="1"/>
  <c r="E186" i="1"/>
  <c r="J213" i="1"/>
  <c r="E92" i="1"/>
  <c r="E5" i="1"/>
  <c r="K146" i="1"/>
  <c r="E128" i="1"/>
  <c r="E126" i="1"/>
  <c r="G129" i="1"/>
  <c r="E33" i="1"/>
  <c r="J145" i="1"/>
  <c r="K241" i="1"/>
  <c r="G202" i="1"/>
  <c r="J100" i="1"/>
  <c r="E218" i="1"/>
  <c r="E57" i="1"/>
  <c r="K240" i="1"/>
  <c r="G42" i="1"/>
  <c r="G77" i="1"/>
  <c r="E161" i="1"/>
  <c r="G91" i="1"/>
  <c r="N63" i="1"/>
  <c r="G243" i="1"/>
  <c r="E188" i="1"/>
  <c r="E28" i="1"/>
  <c r="E155" i="1"/>
  <c r="E163" i="1"/>
  <c r="G57" i="1"/>
  <c r="E111" i="1"/>
  <c r="N155" i="1"/>
  <c r="AB201" i="1"/>
  <c r="K112" i="1"/>
  <c r="K172" i="1"/>
  <c r="K46" i="1"/>
  <c r="G86" i="1"/>
  <c r="J131" i="1"/>
  <c r="N239" i="1"/>
  <c r="J233" i="1"/>
  <c r="G35" i="1"/>
  <c r="E170" i="1"/>
  <c r="N13" i="1"/>
  <c r="J128" i="1"/>
  <c r="J191" i="1"/>
  <c r="G165" i="1"/>
  <c r="E77" i="1"/>
  <c r="G146" i="1"/>
  <c r="K174" i="1"/>
  <c r="E233" i="1"/>
  <c r="G222" i="1"/>
  <c r="E215" i="1"/>
  <c r="N22" i="1"/>
  <c r="G244" i="1"/>
  <c r="G58" i="1"/>
  <c r="G136" i="1"/>
  <c r="G99" i="1"/>
  <c r="J61" i="1"/>
  <c r="G250" i="1"/>
  <c r="G44" i="1"/>
  <c r="G54" i="1"/>
  <c r="G56" i="1"/>
  <c r="E97" i="1"/>
  <c r="G180" i="1"/>
  <c r="J101" i="1"/>
  <c r="E86" i="1"/>
  <c r="G34" i="1"/>
  <c r="E227" i="1"/>
  <c r="E136" i="1"/>
  <c r="E112" i="1"/>
  <c r="E214" i="1"/>
  <c r="G234" i="1"/>
  <c r="J36" i="1"/>
  <c r="G8" i="1"/>
  <c r="G220" i="1"/>
  <c r="E31" i="1"/>
  <c r="G229" i="1"/>
  <c r="G227" i="1"/>
  <c r="E15" i="1"/>
  <c r="E176" i="1"/>
  <c r="G121" i="1"/>
  <c r="G87" i="1"/>
  <c r="G119" i="1"/>
  <c r="G64" i="1"/>
  <c r="E208" i="1"/>
  <c r="E72" i="1"/>
  <c r="E71" i="1"/>
  <c r="E207" i="1"/>
  <c r="J190" i="1"/>
  <c r="G61" i="1"/>
  <c r="K93" i="1"/>
  <c r="J227" i="1"/>
  <c r="K193" i="1"/>
  <c r="G76" i="1"/>
  <c r="G31" i="1"/>
  <c r="G71" i="1"/>
  <c r="G12" i="1"/>
  <c r="E94" i="1"/>
  <c r="E52" i="1"/>
  <c r="G191" i="1"/>
  <c r="G155" i="1"/>
  <c r="E130" i="1"/>
  <c r="E175" i="1"/>
  <c r="K131" i="1"/>
  <c r="G158" i="1"/>
  <c r="G11" i="1"/>
  <c r="K145" i="1"/>
  <c r="G118" i="1"/>
  <c r="G65" i="1"/>
  <c r="G97" i="1"/>
  <c r="G232" i="1"/>
  <c r="G210" i="1"/>
  <c r="E114" i="1"/>
  <c r="E66" i="1"/>
  <c r="E90" i="1"/>
  <c r="J195" i="1"/>
  <c r="E224" i="1"/>
  <c r="J67" i="1"/>
  <c r="E43" i="1"/>
  <c r="G46" i="1"/>
  <c r="E169" i="1"/>
  <c r="G198" i="1"/>
  <c r="K76" i="1"/>
  <c r="E198" i="1"/>
  <c r="E151" i="1"/>
  <c r="J107" i="1"/>
  <c r="E47" i="1"/>
  <c r="G251" i="1"/>
  <c r="E63" i="1"/>
  <c r="J228" i="1"/>
  <c r="E88" i="1"/>
  <c r="G247" i="1"/>
  <c r="G207" i="1"/>
  <c r="E247" i="1"/>
  <c r="E99" i="1"/>
  <c r="G209" i="1"/>
  <c r="J240" i="1"/>
  <c r="K243" i="1"/>
  <c r="E211" i="1"/>
  <c r="G50" i="1"/>
  <c r="G33" i="1"/>
  <c r="G26" i="1"/>
  <c r="E135" i="1"/>
  <c r="Y28" i="1" l="1"/>
  <c r="Y27" i="1"/>
  <c r="M36" i="1"/>
  <c r="L36" i="1"/>
  <c r="O22" i="1"/>
  <c r="P22" i="1"/>
  <c r="L191" i="1"/>
  <c r="M191" i="1"/>
  <c r="M53" i="1"/>
  <c r="L53" i="1"/>
  <c r="O60" i="1"/>
  <c r="P60" i="1"/>
  <c r="M224" i="1"/>
  <c r="L224" i="1"/>
  <c r="M121" i="1"/>
  <c r="L121" i="1"/>
  <c r="M49" i="1"/>
  <c r="L49" i="1"/>
  <c r="L192" i="1"/>
  <c r="M192" i="1"/>
  <c r="O247" i="1"/>
  <c r="P247" i="1"/>
  <c r="M39" i="1"/>
  <c r="L39" i="1"/>
  <c r="F75" i="1"/>
  <c r="F201" i="1"/>
  <c r="F29" i="1"/>
  <c r="F5" i="1"/>
  <c r="F246" i="1"/>
  <c r="F92" i="1"/>
  <c r="F25" i="1"/>
  <c r="F67" i="1"/>
  <c r="F131" i="1"/>
  <c r="F12" i="1"/>
  <c r="F118" i="1"/>
  <c r="F99" i="1"/>
  <c r="F206" i="1"/>
  <c r="F239" i="1"/>
  <c r="F79" i="1"/>
  <c r="F177" i="1"/>
  <c r="F72" i="1"/>
  <c r="F107" i="1"/>
  <c r="F175" i="1"/>
  <c r="F36" i="1"/>
  <c r="F115" i="1"/>
  <c r="F105" i="1"/>
  <c r="F145" i="1"/>
  <c r="F164" i="1"/>
  <c r="F43" i="1"/>
  <c r="F28" i="1"/>
  <c r="F60" i="1"/>
  <c r="F33" i="1"/>
  <c r="F41" i="1"/>
  <c r="F236" i="1"/>
  <c r="F158" i="1"/>
  <c r="F104" i="1"/>
  <c r="F130" i="1"/>
  <c r="F191" i="1"/>
  <c r="F51" i="1"/>
  <c r="F174" i="1"/>
  <c r="F232" i="1"/>
  <c r="F53" i="1"/>
  <c r="F31" i="1"/>
  <c r="F134" i="1"/>
  <c r="F103" i="1"/>
  <c r="F139" i="1"/>
  <c r="F214" i="1"/>
  <c r="F126" i="1"/>
  <c r="F240" i="1"/>
  <c r="F80" i="1"/>
  <c r="F45" i="1"/>
  <c r="F113" i="1"/>
  <c r="F204" i="1"/>
  <c r="F9" i="1"/>
  <c r="F58" i="1"/>
  <c r="F192" i="1"/>
  <c r="F76" i="1"/>
  <c r="F187" i="1"/>
  <c r="F223" i="1"/>
  <c r="F16" i="1"/>
  <c r="F132" i="1"/>
  <c r="F196" i="1"/>
  <c r="F225" i="1"/>
  <c r="F137" i="1"/>
  <c r="F250" i="1"/>
  <c r="F98" i="1"/>
  <c r="F112" i="1"/>
  <c r="F165" i="1"/>
  <c r="F63" i="1"/>
  <c r="F194" i="1"/>
  <c r="F182" i="1"/>
  <c r="F142" i="1"/>
  <c r="F121" i="1"/>
  <c r="F54" i="1"/>
  <c r="F124" i="1"/>
  <c r="F69" i="1"/>
  <c r="F219" i="1"/>
  <c r="F153" i="1"/>
  <c r="F21" i="1"/>
  <c r="F111" i="1"/>
  <c r="F73" i="1"/>
  <c r="F116" i="1"/>
  <c r="F68" i="1"/>
  <c r="F6" i="1"/>
  <c r="F35" i="1"/>
  <c r="F189" i="1"/>
  <c r="F179" i="1"/>
  <c r="F211" i="1"/>
  <c r="F215" i="1"/>
  <c r="F231" i="1"/>
  <c r="F247" i="1"/>
  <c r="F83" i="1"/>
  <c r="F245" i="1"/>
  <c r="F198" i="1"/>
  <c r="F208" i="1"/>
  <c r="F96" i="1"/>
  <c r="F30" i="1"/>
  <c r="F123" i="1"/>
  <c r="F178" i="1"/>
  <c r="F248" i="1"/>
  <c r="F37" i="1"/>
  <c r="F218" i="1"/>
  <c r="F149" i="1"/>
  <c r="F154" i="1"/>
  <c r="F148" i="1"/>
  <c r="F109" i="1"/>
  <c r="F169" i="1"/>
  <c r="F203" i="1"/>
  <c r="F81" i="1"/>
  <c r="F184" i="1"/>
  <c r="F32" i="1"/>
  <c r="F197" i="1"/>
  <c r="F224" i="1"/>
  <c r="F185" i="1"/>
  <c r="F106" i="1"/>
  <c r="F4" i="1"/>
  <c r="F167" i="1"/>
  <c r="F108" i="1"/>
  <c r="F146" i="1"/>
  <c r="F2" i="1"/>
  <c r="F55" i="1"/>
  <c r="F46" i="1"/>
  <c r="F89" i="1"/>
  <c r="F24" i="1"/>
  <c r="F249" i="1"/>
  <c r="F230" i="1"/>
  <c r="F242" i="1"/>
  <c r="F61" i="1"/>
  <c r="F155" i="1"/>
  <c r="F56" i="1"/>
  <c r="F237" i="1"/>
  <c r="F229" i="1"/>
  <c r="F94" i="1"/>
  <c r="F3" i="1"/>
  <c r="F222" i="1"/>
  <c r="F34" i="1"/>
  <c r="F166" i="1"/>
  <c r="F151" i="1"/>
  <c r="F23" i="1"/>
  <c r="F86" i="1"/>
  <c r="F38" i="1"/>
  <c r="F135" i="1"/>
  <c r="F27" i="1"/>
  <c r="F220" i="1"/>
  <c r="F8" i="1"/>
  <c r="F95" i="1"/>
  <c r="F90" i="1"/>
  <c r="F244" i="1"/>
  <c r="F181" i="1"/>
  <c r="F183" i="1"/>
  <c r="F42" i="1"/>
  <c r="F101" i="1"/>
  <c r="F173" i="1"/>
  <c r="F241" i="1"/>
  <c r="F162" i="1"/>
  <c r="F18" i="1"/>
  <c r="F205" i="1"/>
  <c r="F77" i="1"/>
  <c r="F120" i="1"/>
  <c r="F163" i="1"/>
  <c r="F235" i="1"/>
  <c r="F114" i="1"/>
  <c r="F40" i="1"/>
  <c r="F207" i="1"/>
  <c r="F156" i="1"/>
  <c r="F44" i="1"/>
  <c r="F93" i="1"/>
  <c r="F228" i="1"/>
  <c r="F152" i="1"/>
  <c r="F168" i="1"/>
  <c r="F234" i="1"/>
  <c r="F119" i="1"/>
  <c r="F117" i="1"/>
  <c r="F102" i="1"/>
  <c r="F110" i="1"/>
  <c r="F199" i="1"/>
  <c r="F22" i="1"/>
  <c r="F87" i="1"/>
  <c r="F200" i="1"/>
  <c r="F39" i="1"/>
  <c r="F157" i="1"/>
  <c r="F147" i="1"/>
  <c r="F195" i="1"/>
  <c r="F129" i="1"/>
  <c r="F171" i="1"/>
  <c r="F85" i="1"/>
  <c r="F57" i="1"/>
  <c r="F251" i="1"/>
  <c r="F144" i="1"/>
  <c r="F19" i="1"/>
  <c r="F243" i="1"/>
  <c r="F213" i="1"/>
  <c r="F216" i="1"/>
  <c r="F52" i="1"/>
  <c r="F26" i="1"/>
  <c r="F59" i="1"/>
  <c r="F217" i="1"/>
  <c r="F188" i="1"/>
  <c r="F15" i="1"/>
  <c r="F186" i="1"/>
  <c r="F14" i="1"/>
  <c r="F161" i="1"/>
  <c r="F47" i="1"/>
  <c r="F238" i="1"/>
  <c r="F233" i="1"/>
  <c r="F140" i="1"/>
  <c r="F65" i="1"/>
  <c r="F78" i="1"/>
  <c r="F88" i="1"/>
  <c r="F20" i="1"/>
  <c r="F133" i="1"/>
  <c r="F190" i="1"/>
  <c r="F91" i="1"/>
  <c r="F138" i="1"/>
  <c r="F84" i="1"/>
  <c r="F50" i="1"/>
  <c r="F172" i="1"/>
  <c r="F176" i="1"/>
  <c r="F48" i="1"/>
  <c r="F74" i="1"/>
  <c r="F127" i="1"/>
  <c r="F49" i="1"/>
  <c r="F62" i="1"/>
  <c r="F141" i="1"/>
  <c r="F82" i="1"/>
  <c r="F180" i="1"/>
  <c r="F70" i="1"/>
  <c r="F221" i="1"/>
  <c r="F227" i="1"/>
  <c r="F11" i="1"/>
  <c r="F128" i="1"/>
  <c r="F122" i="1"/>
  <c r="F170" i="1"/>
  <c r="F71" i="1"/>
  <c r="F97" i="1"/>
  <c r="F193" i="1"/>
  <c r="F150" i="1"/>
  <c r="F160" i="1"/>
  <c r="F17" i="1"/>
  <c r="F210" i="1"/>
  <c r="F13" i="1"/>
  <c r="F64" i="1"/>
  <c r="F226" i="1"/>
  <c r="F202" i="1"/>
  <c r="F212" i="1"/>
  <c r="F7" i="1"/>
  <c r="F159" i="1"/>
  <c r="F143" i="1"/>
  <c r="F10" i="1"/>
  <c r="F125" i="1"/>
  <c r="F209" i="1"/>
  <c r="F136" i="1"/>
  <c r="F66" i="1"/>
  <c r="F100" i="1"/>
  <c r="L85" i="1"/>
  <c r="M85" i="1"/>
  <c r="O201" i="1"/>
  <c r="P201" i="1"/>
  <c r="P23" i="1"/>
  <c r="O23" i="1"/>
  <c r="L89" i="1"/>
  <c r="M89" i="1"/>
  <c r="M81" i="1"/>
  <c r="L81" i="1"/>
  <c r="P204" i="1"/>
  <c r="O204" i="1"/>
  <c r="M218" i="1"/>
  <c r="L218" i="1"/>
  <c r="L86" i="1"/>
  <c r="M86" i="1"/>
  <c r="M124" i="1"/>
  <c r="L124" i="1"/>
  <c r="P12" i="1"/>
  <c r="O12" i="1"/>
  <c r="L37" i="1"/>
  <c r="M37" i="1"/>
  <c r="M64" i="1"/>
  <c r="L64" i="1"/>
  <c r="P43" i="1"/>
  <c r="O43" i="1"/>
  <c r="O19" i="1"/>
  <c r="P19" i="1"/>
  <c r="P189" i="1"/>
  <c r="O189" i="1"/>
  <c r="M220" i="1"/>
  <c r="L220" i="1"/>
  <c r="L50" i="1"/>
  <c r="M50" i="1"/>
  <c r="L120" i="1"/>
  <c r="M120" i="1"/>
  <c r="O42" i="1"/>
  <c r="P42" i="1"/>
  <c r="P47" i="1"/>
  <c r="O47" i="1"/>
  <c r="L169" i="1"/>
  <c r="M169" i="1"/>
  <c r="L164" i="1"/>
  <c r="M164" i="1"/>
  <c r="L203" i="1"/>
  <c r="M203" i="1"/>
  <c r="O158" i="1"/>
  <c r="P158" i="1"/>
  <c r="O97" i="1"/>
  <c r="P97" i="1"/>
  <c r="L105" i="1"/>
  <c r="M105" i="1"/>
  <c r="L40" i="1"/>
  <c r="M40" i="1"/>
  <c r="L28" i="1"/>
  <c r="M28" i="1"/>
  <c r="O65" i="1"/>
  <c r="P65" i="1"/>
  <c r="O92" i="1"/>
  <c r="P92" i="1"/>
  <c r="P93" i="1"/>
  <c r="O93" i="1"/>
  <c r="O137" i="1"/>
  <c r="P137" i="1"/>
  <c r="P230" i="1"/>
  <c r="O230" i="1"/>
  <c r="P26" i="1"/>
  <c r="O26" i="1"/>
  <c r="O33" i="1"/>
  <c r="P33" i="1"/>
  <c r="O16" i="1"/>
  <c r="P16" i="1"/>
  <c r="O45" i="1"/>
  <c r="P45" i="1"/>
  <c r="P220" i="1"/>
  <c r="O220" i="1"/>
  <c r="O143" i="1"/>
  <c r="P143" i="1"/>
  <c r="P145" i="1"/>
  <c r="O145" i="1"/>
  <c r="M228" i="1"/>
  <c r="L228" i="1"/>
  <c r="L90" i="1"/>
  <c r="M90" i="1"/>
  <c r="M163" i="1"/>
  <c r="L163" i="1"/>
  <c r="P199" i="1"/>
  <c r="O199" i="1"/>
  <c r="L236" i="1"/>
  <c r="M236" i="1"/>
  <c r="P116" i="1"/>
  <c r="O116" i="1"/>
  <c r="L159" i="1"/>
  <c r="M159" i="1"/>
  <c r="O146" i="1"/>
  <c r="P146" i="1"/>
  <c r="O50" i="1"/>
  <c r="P50" i="1"/>
  <c r="P20" i="1"/>
  <c r="O20" i="1"/>
  <c r="O194" i="1"/>
  <c r="P194" i="1"/>
  <c r="M93" i="1"/>
  <c r="L93" i="1"/>
  <c r="M95" i="1"/>
  <c r="L95" i="1"/>
  <c r="L103" i="1"/>
  <c r="M103" i="1"/>
  <c r="L87" i="1"/>
  <c r="M87" i="1"/>
  <c r="O140" i="1"/>
  <c r="P140" i="1"/>
  <c r="P144" i="1"/>
  <c r="O144" i="1"/>
  <c r="O118" i="1"/>
  <c r="P118" i="1"/>
  <c r="P28" i="1"/>
  <c r="O28" i="1"/>
  <c r="O115" i="1"/>
  <c r="P115" i="1"/>
  <c r="O222" i="1"/>
  <c r="P222" i="1"/>
  <c r="P152" i="1"/>
  <c r="O152" i="1"/>
  <c r="P104" i="1"/>
  <c r="O104" i="1"/>
  <c r="O78" i="1"/>
  <c r="P78" i="1"/>
  <c r="O217" i="1"/>
  <c r="P217" i="1"/>
  <c r="O186" i="1"/>
  <c r="P186" i="1"/>
  <c r="P150" i="1"/>
  <c r="O150" i="1"/>
  <c r="O71" i="1"/>
  <c r="P71" i="1"/>
  <c r="P139" i="1"/>
  <c r="O139" i="1"/>
  <c r="L240" i="1"/>
  <c r="M240" i="1"/>
  <c r="O155" i="1"/>
  <c r="P155" i="1"/>
  <c r="O25" i="1"/>
  <c r="P25" i="1"/>
  <c r="M178" i="1"/>
  <c r="L178" i="1"/>
  <c r="M112" i="1"/>
  <c r="L112" i="1"/>
  <c r="L249" i="1"/>
  <c r="M249" i="1"/>
  <c r="M33" i="1"/>
  <c r="L33" i="1"/>
  <c r="L60" i="1"/>
  <c r="M60" i="1"/>
  <c r="M91" i="1"/>
  <c r="L91" i="1"/>
  <c r="P156" i="1"/>
  <c r="O156" i="1"/>
  <c r="M225" i="1"/>
  <c r="L225" i="1"/>
  <c r="M32" i="1"/>
  <c r="L32" i="1"/>
  <c r="L26" i="1"/>
  <c r="M26" i="1"/>
  <c r="O161" i="1"/>
  <c r="P161" i="1"/>
  <c r="O46" i="1"/>
  <c r="P46" i="1"/>
  <c r="M239" i="1"/>
  <c r="L239" i="1"/>
  <c r="M230" i="1"/>
  <c r="L230" i="1"/>
  <c r="L44" i="1"/>
  <c r="M44" i="1"/>
  <c r="M126" i="1"/>
  <c r="L126" i="1"/>
  <c r="P159" i="1"/>
  <c r="O159" i="1"/>
  <c r="O215" i="1"/>
  <c r="P215" i="1"/>
  <c r="O4" i="1"/>
  <c r="P4" i="1"/>
  <c r="L38" i="1"/>
  <c r="M38" i="1"/>
  <c r="O170" i="1"/>
  <c r="P170" i="1"/>
  <c r="P58" i="1"/>
  <c r="O58" i="1"/>
  <c r="O250" i="1"/>
  <c r="P250" i="1"/>
  <c r="O39" i="1"/>
  <c r="P39" i="1"/>
  <c r="M185" i="1"/>
  <c r="L185" i="1"/>
  <c r="L242" i="1"/>
  <c r="M242" i="1"/>
  <c r="O174" i="1"/>
  <c r="P174" i="1"/>
  <c r="P8" i="1"/>
  <c r="O8" i="1"/>
  <c r="O124" i="1"/>
  <c r="P124" i="1"/>
  <c r="O237" i="1"/>
  <c r="P237" i="1"/>
  <c r="P106" i="1"/>
  <c r="O106" i="1"/>
  <c r="L206" i="1"/>
  <c r="M206" i="1"/>
  <c r="M222" i="1"/>
  <c r="L222" i="1"/>
  <c r="M57" i="1"/>
  <c r="L57" i="1"/>
  <c r="L122" i="1"/>
  <c r="M122" i="1"/>
  <c r="P89" i="1"/>
  <c r="O89" i="1"/>
  <c r="L68" i="1"/>
  <c r="M68" i="1"/>
  <c r="L180" i="1"/>
  <c r="M180" i="1"/>
  <c r="M78" i="1"/>
  <c r="L78" i="1"/>
  <c r="M48" i="1"/>
  <c r="L48" i="1"/>
  <c r="M94" i="1"/>
  <c r="L94" i="1"/>
  <c r="O128" i="1"/>
  <c r="P128" i="1"/>
  <c r="O206" i="1"/>
  <c r="P206" i="1"/>
  <c r="P236" i="1"/>
  <c r="O236" i="1"/>
  <c r="P234" i="1"/>
  <c r="O234" i="1"/>
  <c r="O103" i="1"/>
  <c r="P103" i="1"/>
  <c r="P169" i="1"/>
  <c r="O169" i="1"/>
  <c r="O6" i="1"/>
  <c r="P6" i="1"/>
  <c r="P74" i="1"/>
  <c r="O74" i="1"/>
  <c r="P165" i="1"/>
  <c r="O165" i="1"/>
  <c r="P51" i="1"/>
  <c r="O51" i="1"/>
  <c r="P56" i="1"/>
  <c r="O56" i="1"/>
  <c r="O34" i="1"/>
  <c r="P34" i="1"/>
  <c r="M247" i="1"/>
  <c r="L247" i="1"/>
  <c r="L140" i="1"/>
  <c r="M140" i="1"/>
  <c r="P62" i="1"/>
  <c r="O62" i="1"/>
  <c r="M66" i="1"/>
  <c r="L66" i="1"/>
  <c r="O154" i="1"/>
  <c r="P154" i="1"/>
  <c r="L63" i="1"/>
  <c r="M63" i="1"/>
  <c r="M251" i="1"/>
  <c r="L251" i="1"/>
  <c r="M212" i="1"/>
  <c r="L212" i="1"/>
  <c r="M170" i="1"/>
  <c r="L170" i="1"/>
  <c r="O94" i="1"/>
  <c r="P94" i="1"/>
  <c r="O244" i="1"/>
  <c r="P244" i="1"/>
  <c r="M59" i="1"/>
  <c r="L59" i="1"/>
  <c r="L167" i="1"/>
  <c r="M167" i="1"/>
  <c r="M207" i="1"/>
  <c r="L207" i="1"/>
  <c r="O70" i="1"/>
  <c r="P70" i="1"/>
  <c r="L248" i="1"/>
  <c r="M248" i="1"/>
  <c r="O243" i="1"/>
  <c r="P243" i="1"/>
  <c r="L128" i="1"/>
  <c r="M128" i="1"/>
  <c r="P239" i="1"/>
  <c r="O239" i="1"/>
  <c r="M100" i="1"/>
  <c r="L100" i="1"/>
  <c r="M202" i="1"/>
  <c r="L202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136" i="1"/>
  <c r="M136" i="1"/>
  <c r="L97" i="1"/>
  <c r="M97" i="1"/>
  <c r="M173" i="1"/>
  <c r="L173" i="1"/>
  <c r="M52" i="1"/>
  <c r="L52" i="1"/>
  <c r="M132" i="1"/>
  <c r="L132" i="1"/>
  <c r="P113" i="1"/>
  <c r="O113" i="1"/>
  <c r="L232" i="1"/>
  <c r="M232" i="1"/>
  <c r="O31" i="1"/>
  <c r="P31" i="1"/>
  <c r="M24" i="1"/>
  <c r="L24" i="1"/>
  <c r="P3" i="1"/>
  <c r="O3" i="1"/>
  <c r="L98" i="1"/>
  <c r="M98" i="1"/>
  <c r="L92" i="1"/>
  <c r="M92" i="1"/>
  <c r="L123" i="1"/>
  <c r="M123" i="1"/>
  <c r="L35" i="1"/>
  <c r="M35" i="1"/>
  <c r="M84" i="1"/>
  <c r="L84" i="1"/>
  <c r="O228" i="1"/>
  <c r="P228" i="1"/>
  <c r="L201" i="1"/>
  <c r="M201" i="1"/>
  <c r="M229" i="1"/>
  <c r="L229" i="1"/>
  <c r="L166" i="1"/>
  <c r="M166" i="1"/>
  <c r="O197" i="1"/>
  <c r="P197" i="1"/>
  <c r="M88" i="1"/>
  <c r="L88" i="1"/>
  <c r="O248" i="1"/>
  <c r="P248" i="1"/>
  <c r="P235" i="1"/>
  <c r="O235" i="1"/>
  <c r="L41" i="1"/>
  <c r="M41" i="1"/>
  <c r="P193" i="1"/>
  <c r="O193" i="1"/>
  <c r="L183" i="1"/>
  <c r="M183" i="1"/>
  <c r="M25" i="1"/>
  <c r="L25" i="1"/>
  <c r="O24" i="1"/>
  <c r="P24" i="1"/>
  <c r="M54" i="1"/>
  <c r="L54" i="1"/>
  <c r="L246" i="1"/>
  <c r="M246" i="1"/>
  <c r="P136" i="1"/>
  <c r="O136" i="1"/>
  <c r="P148" i="1"/>
  <c r="O148" i="1"/>
  <c r="P86" i="1"/>
  <c r="O86" i="1"/>
  <c r="L146" i="1"/>
  <c r="M146" i="1"/>
  <c r="P147" i="1"/>
  <c r="O147" i="1"/>
  <c r="P30" i="1"/>
  <c r="O30" i="1"/>
  <c r="P241" i="1"/>
  <c r="O241" i="1"/>
  <c r="O190" i="1"/>
  <c r="P190" i="1"/>
  <c r="M125" i="1"/>
  <c r="L125" i="1"/>
  <c r="M177" i="1"/>
  <c r="L177" i="1"/>
  <c r="P249" i="1"/>
  <c r="O249" i="1"/>
  <c r="P85" i="1"/>
  <c r="O85" i="1"/>
  <c r="O41" i="1"/>
  <c r="P41" i="1"/>
  <c r="P64" i="1"/>
  <c r="O64" i="1"/>
  <c r="P110" i="1"/>
  <c r="O110" i="1"/>
  <c r="P27" i="1"/>
  <c r="O27" i="1"/>
  <c r="P38" i="1"/>
  <c r="O38" i="1"/>
  <c r="O160" i="1"/>
  <c r="P160" i="1"/>
  <c r="P134" i="1"/>
  <c r="O134" i="1"/>
  <c r="P202" i="1"/>
  <c r="O202" i="1"/>
  <c r="P229" i="1"/>
  <c r="O229" i="1"/>
  <c r="O88" i="1"/>
  <c r="P88" i="1"/>
  <c r="P203" i="1"/>
  <c r="O203" i="1"/>
  <c r="O162" i="1"/>
  <c r="P162" i="1"/>
  <c r="M150" i="1"/>
  <c r="L150" i="1"/>
  <c r="O5" i="1"/>
  <c r="P5" i="1"/>
  <c r="O77" i="1"/>
  <c r="P77" i="1"/>
  <c r="P121" i="1"/>
  <c r="O121" i="1"/>
  <c r="O59" i="1"/>
  <c r="P59" i="1"/>
  <c r="P192" i="1"/>
  <c r="O192" i="1"/>
  <c r="P231" i="1"/>
  <c r="O231" i="1"/>
  <c r="L130" i="1"/>
  <c r="M130" i="1"/>
  <c r="L83" i="1"/>
  <c r="M83" i="1"/>
  <c r="L27" i="1"/>
  <c r="M27" i="1"/>
  <c r="L151" i="1"/>
  <c r="M151" i="1"/>
  <c r="P83" i="1"/>
  <c r="O83" i="1"/>
  <c r="O11" i="1"/>
  <c r="P11" i="1"/>
  <c r="L189" i="1"/>
  <c r="M189" i="1"/>
  <c r="M70" i="1"/>
  <c r="L70" i="1"/>
  <c r="M200" i="1"/>
  <c r="L200" i="1"/>
  <c r="L226" i="1"/>
  <c r="M226" i="1"/>
  <c r="P191" i="1"/>
  <c r="O191" i="1"/>
  <c r="L196" i="1"/>
  <c r="M196" i="1"/>
  <c r="L96" i="1"/>
  <c r="M96" i="1"/>
  <c r="M43" i="1"/>
  <c r="L43" i="1"/>
  <c r="M79" i="1"/>
  <c r="L79" i="1"/>
  <c r="L119" i="1"/>
  <c r="M119" i="1"/>
  <c r="L235" i="1"/>
  <c r="M235" i="1"/>
  <c r="P57" i="1"/>
  <c r="O57" i="1"/>
  <c r="L157" i="1"/>
  <c r="M157" i="1"/>
  <c r="L108" i="1"/>
  <c r="M108" i="1"/>
  <c r="O232" i="1"/>
  <c r="P232" i="1"/>
  <c r="P48" i="1"/>
  <c r="O48" i="1"/>
  <c r="M118" i="1"/>
  <c r="L118" i="1"/>
  <c r="M171" i="1"/>
  <c r="L171" i="1"/>
  <c r="L139" i="1"/>
  <c r="M139" i="1"/>
  <c r="P177" i="1"/>
  <c r="O177" i="1"/>
  <c r="M31" i="1"/>
  <c r="L31" i="1"/>
  <c r="P210" i="1"/>
  <c r="O210" i="1"/>
  <c r="L135" i="1"/>
  <c r="M135" i="1"/>
  <c r="O149" i="1"/>
  <c r="P149" i="1"/>
  <c r="M205" i="1"/>
  <c r="L205" i="1"/>
  <c r="L184" i="1"/>
  <c r="M184" i="1"/>
  <c r="L23" i="1"/>
  <c r="M23" i="1"/>
  <c r="O187" i="1"/>
  <c r="P187" i="1"/>
  <c r="M199" i="1"/>
  <c r="L199" i="1"/>
  <c r="L161" i="1"/>
  <c r="M161" i="1"/>
  <c r="P251" i="1"/>
  <c r="O251" i="1"/>
  <c r="P18" i="1"/>
  <c r="O18" i="1"/>
  <c r="P173" i="1"/>
  <c r="O173" i="1"/>
  <c r="L244" i="1"/>
  <c r="M244" i="1"/>
  <c r="M188" i="1"/>
  <c r="L188" i="1"/>
  <c r="M214" i="1"/>
  <c r="L214" i="1"/>
  <c r="O227" i="1"/>
  <c r="P227" i="1"/>
  <c r="P242" i="1"/>
  <c r="O242" i="1"/>
  <c r="P207" i="1"/>
  <c r="O207" i="1"/>
  <c r="P79" i="1"/>
  <c r="O79" i="1"/>
  <c r="O196" i="1"/>
  <c r="P196" i="1"/>
  <c r="O221" i="1"/>
  <c r="P221" i="1"/>
  <c r="P17" i="1"/>
  <c r="O17" i="1"/>
  <c r="P87" i="1"/>
  <c r="O87" i="1"/>
  <c r="P111" i="1"/>
  <c r="O111" i="1"/>
  <c r="O29" i="1"/>
  <c r="P29" i="1"/>
  <c r="O219" i="1"/>
  <c r="P219" i="1"/>
  <c r="P90" i="1"/>
  <c r="O90" i="1"/>
  <c r="O80" i="1"/>
  <c r="P80" i="1"/>
  <c r="P132" i="1"/>
  <c r="O132" i="1"/>
  <c r="P54" i="1"/>
  <c r="O54" i="1"/>
  <c r="M233" i="1"/>
  <c r="L233" i="1"/>
  <c r="L195" i="1"/>
  <c r="M195" i="1"/>
  <c r="M61" i="1"/>
  <c r="L61" i="1"/>
  <c r="O81" i="1"/>
  <c r="P81" i="1"/>
  <c r="L107" i="1"/>
  <c r="M107" i="1"/>
  <c r="L213" i="1"/>
  <c r="M213" i="1"/>
  <c r="M175" i="1"/>
  <c r="L175" i="1"/>
  <c r="M187" i="1"/>
  <c r="L187" i="1"/>
  <c r="M55" i="1"/>
  <c r="L55" i="1"/>
  <c r="L160" i="1"/>
  <c r="M160" i="1"/>
  <c r="L113" i="1"/>
  <c r="M113" i="1"/>
  <c r="M237" i="1"/>
  <c r="L237" i="1"/>
  <c r="L104" i="1"/>
  <c r="M104" i="1"/>
  <c r="L129" i="1"/>
  <c r="M129" i="1"/>
  <c r="M179" i="1"/>
  <c r="L179" i="1"/>
  <c r="P225" i="1"/>
  <c r="O225" i="1"/>
  <c r="L102" i="1"/>
  <c r="M102" i="1"/>
  <c r="M194" i="1"/>
  <c r="L194" i="1"/>
  <c r="M209" i="1"/>
  <c r="L209" i="1"/>
  <c r="L152" i="1"/>
  <c r="M152" i="1"/>
  <c r="M62" i="1"/>
  <c r="L62" i="1"/>
  <c r="L219" i="1"/>
  <c r="M219" i="1"/>
  <c r="O226" i="1"/>
  <c r="P226" i="1"/>
  <c r="L208" i="1"/>
  <c r="M208" i="1"/>
  <c r="L117" i="1"/>
  <c r="M117" i="1"/>
  <c r="L217" i="1"/>
  <c r="M217" i="1"/>
  <c r="M72" i="1"/>
  <c r="L72" i="1"/>
  <c r="L153" i="1"/>
  <c r="M153" i="1"/>
  <c r="M99" i="1"/>
  <c r="L99" i="1"/>
  <c r="M148" i="1"/>
  <c r="L148" i="1"/>
  <c r="P44" i="1"/>
  <c r="O44" i="1"/>
  <c r="L186" i="1"/>
  <c r="M186" i="1"/>
  <c r="L109" i="1"/>
  <c r="M109" i="1"/>
  <c r="M45" i="1"/>
  <c r="L45" i="1"/>
  <c r="M155" i="1"/>
  <c r="L155" i="1"/>
  <c r="P82" i="1"/>
  <c r="O82" i="1"/>
  <c r="M115" i="1"/>
  <c r="L115" i="1"/>
  <c r="L51" i="1"/>
  <c r="M51" i="1"/>
  <c r="P9" i="1"/>
  <c r="O9" i="1"/>
  <c r="M182" i="1"/>
  <c r="L182" i="1"/>
  <c r="P99" i="1"/>
  <c r="O99" i="1"/>
  <c r="P172" i="1"/>
  <c r="O172" i="1"/>
  <c r="P233" i="1"/>
  <c r="O233" i="1"/>
  <c r="O216" i="1"/>
  <c r="P216" i="1"/>
  <c r="P246" i="1"/>
  <c r="O246" i="1"/>
  <c r="L234" i="1"/>
  <c r="M234" i="1"/>
  <c r="P218" i="1"/>
  <c r="O218" i="1"/>
  <c r="M158" i="1"/>
  <c r="L158" i="1"/>
  <c r="P36" i="1"/>
  <c r="O36" i="1"/>
  <c r="M168" i="1"/>
  <c r="L168" i="1"/>
  <c r="O164" i="1"/>
  <c r="P164" i="1"/>
  <c r="P66" i="1"/>
  <c r="O66" i="1"/>
  <c r="M22" i="1"/>
  <c r="L22" i="1"/>
  <c r="O157" i="1"/>
  <c r="P157" i="1"/>
  <c r="P138" i="1"/>
  <c r="O138" i="1"/>
  <c r="L197" i="1"/>
  <c r="M197" i="1"/>
  <c r="L127" i="1"/>
  <c r="M127" i="1"/>
  <c r="O67" i="1"/>
  <c r="P67" i="1"/>
  <c r="P198" i="1"/>
  <c r="O198" i="1"/>
  <c r="O73" i="1"/>
  <c r="P73" i="1"/>
  <c r="O180" i="1"/>
  <c r="P180" i="1"/>
  <c r="O84" i="1"/>
  <c r="P84" i="1"/>
  <c r="O76" i="1"/>
  <c r="P76" i="1"/>
  <c r="P176" i="1"/>
  <c r="O176" i="1"/>
  <c r="O117" i="1"/>
  <c r="P117" i="1"/>
  <c r="P122" i="1"/>
  <c r="O122" i="1"/>
  <c r="O200" i="1"/>
  <c r="P200" i="1"/>
  <c r="O7" i="1"/>
  <c r="P7" i="1"/>
  <c r="P75" i="1"/>
  <c r="O75" i="1"/>
  <c r="P182" i="1"/>
  <c r="O182" i="1"/>
  <c r="O100" i="1"/>
  <c r="P100" i="1"/>
  <c r="O175" i="1"/>
  <c r="P175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P13" i="1"/>
  <c r="O13" i="1"/>
  <c r="P133" i="1"/>
  <c r="O133" i="1"/>
  <c r="L67" i="1"/>
  <c r="M67" i="1"/>
  <c r="L131" i="1"/>
  <c r="M131" i="1"/>
  <c r="O63" i="1"/>
  <c r="P63" i="1"/>
  <c r="P40" i="1"/>
  <c r="O40" i="1"/>
  <c r="L193" i="1"/>
  <c r="M193" i="1"/>
  <c r="M149" i="1"/>
  <c r="L149" i="1"/>
  <c r="L65" i="1"/>
  <c r="M65" i="1"/>
  <c r="M74" i="1"/>
  <c r="L74" i="1"/>
  <c r="M75" i="1"/>
  <c r="L75" i="1"/>
  <c r="M250" i="1"/>
  <c r="L250" i="1"/>
  <c r="M144" i="1"/>
  <c r="L144" i="1"/>
  <c r="M80" i="1"/>
  <c r="L80" i="1"/>
  <c r="P32" i="1"/>
  <c r="O32" i="1"/>
  <c r="P205" i="1"/>
  <c r="O205" i="1"/>
  <c r="O212" i="1"/>
  <c r="P212" i="1"/>
  <c r="P72" i="1"/>
  <c r="O72" i="1"/>
  <c r="M73" i="1"/>
  <c r="L73" i="1"/>
  <c r="P153" i="1"/>
  <c r="O153" i="1"/>
  <c r="P130" i="1"/>
  <c r="O130" i="1"/>
  <c r="O37" i="1"/>
  <c r="P37" i="1"/>
  <c r="L210" i="1"/>
  <c r="M210" i="1"/>
  <c r="M138" i="1"/>
  <c r="L138" i="1"/>
  <c r="P240" i="1"/>
  <c r="O240" i="1"/>
  <c r="P181" i="1"/>
  <c r="O181" i="1"/>
  <c r="M106" i="1"/>
  <c r="L106" i="1"/>
  <c r="L231" i="1"/>
  <c r="M231" i="1"/>
  <c r="L238" i="1"/>
  <c r="M238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L215" i="1"/>
  <c r="M215" i="1"/>
  <c r="M69" i="1"/>
  <c r="L69" i="1"/>
  <c r="M110" i="1"/>
  <c r="L110" i="1"/>
  <c r="P119" i="1"/>
  <c r="O119" i="1"/>
  <c r="P245" i="1"/>
  <c r="O245" i="1"/>
  <c r="P135" i="1"/>
  <c r="O135" i="1"/>
  <c r="O49" i="1"/>
  <c r="P49" i="1"/>
  <c r="P10" i="1"/>
  <c r="O10" i="1"/>
  <c r="O209" i="1"/>
  <c r="P209" i="1"/>
  <c r="P95" i="1"/>
  <c r="O95" i="1"/>
  <c r="P163" i="1"/>
  <c r="O163" i="1"/>
  <c r="O195" i="1"/>
  <c r="P195" i="1"/>
  <c r="O68" i="1"/>
  <c r="P68" i="1"/>
  <c r="P167" i="1"/>
  <c r="O167" i="1"/>
  <c r="O96" i="1"/>
  <c r="P96" i="1"/>
  <c r="L190" i="1"/>
  <c r="M190" i="1"/>
  <c r="M101" i="1"/>
  <c r="L101" i="1"/>
  <c r="P183" i="1"/>
  <c r="O183" i="1"/>
  <c r="M176" i="1"/>
  <c r="L176" i="1"/>
  <c r="L29" i="1"/>
  <c r="M29" i="1"/>
  <c r="M42" i="1"/>
  <c r="L42" i="1"/>
  <c r="M58" i="1"/>
  <c r="L58" i="1"/>
  <c r="P166" i="1"/>
  <c r="O166" i="1"/>
  <c r="P171" i="1"/>
  <c r="O171" i="1"/>
  <c r="W30" i="1"/>
  <c r="M227" i="1"/>
  <c r="L227" i="1"/>
  <c r="M145" i="1"/>
  <c r="L145" i="1"/>
  <c r="P211" i="1"/>
  <c r="O211" i="1"/>
  <c r="P112" i="1"/>
  <c r="O112" i="1"/>
  <c r="L77" i="1"/>
  <c r="M77" i="1"/>
  <c r="M76" i="1"/>
  <c r="L76" i="1"/>
  <c r="L204" i="1"/>
  <c r="M204" i="1"/>
  <c r="M142" i="1"/>
  <c r="L142" i="1"/>
  <c r="M211" i="1"/>
  <c r="L211" i="1"/>
  <c r="L34" i="1"/>
  <c r="M34" i="1"/>
  <c r="P14" i="1"/>
  <c r="O14" i="1"/>
  <c r="P131" i="1"/>
  <c r="O131" i="1"/>
  <c r="L165" i="1"/>
  <c r="M165" i="1"/>
  <c r="O15" i="1"/>
  <c r="P15" i="1"/>
  <c r="M133" i="1"/>
  <c r="L133" i="1"/>
  <c r="P223" i="1"/>
  <c r="O223" i="1"/>
  <c r="O101" i="1"/>
  <c r="P101" i="1"/>
  <c r="L30" i="1"/>
  <c r="M30" i="1"/>
  <c r="L21" i="1"/>
  <c r="M21" i="1"/>
  <c r="L241" i="1"/>
  <c r="M241" i="1"/>
  <c r="L243" i="1"/>
  <c r="M243" i="1"/>
  <c r="M198" i="1"/>
  <c r="L198" i="1"/>
  <c r="L134" i="1"/>
  <c r="M134" i="1"/>
  <c r="L181" i="1"/>
  <c r="M181" i="1"/>
  <c r="M174" i="1"/>
  <c r="L174" i="1"/>
  <c r="O109" i="1"/>
  <c r="P109" i="1"/>
  <c r="L114" i="1"/>
  <c r="M114" i="1"/>
  <c r="L154" i="1"/>
  <c r="M154" i="1"/>
  <c r="O141" i="1"/>
  <c r="P141" i="1"/>
  <c r="L47" i="1"/>
  <c r="M47" i="1"/>
  <c r="M172" i="1"/>
  <c r="L172" i="1"/>
  <c r="M71" i="1"/>
  <c r="L71" i="1"/>
  <c r="L162" i="1"/>
  <c r="M162" i="1"/>
  <c r="L216" i="1"/>
  <c r="M216" i="1"/>
  <c r="P178" i="1"/>
  <c r="O178" i="1"/>
  <c r="O61" i="1"/>
  <c r="P61" i="1"/>
  <c r="M116" i="1"/>
  <c r="L116" i="1"/>
  <c r="P213" i="1"/>
  <c r="O213" i="1"/>
  <c r="M56" i="1"/>
  <c r="L56" i="1"/>
  <c r="P208" i="1"/>
  <c r="O208" i="1"/>
  <c r="M221" i="1"/>
  <c r="L221" i="1"/>
  <c r="L137" i="1"/>
  <c r="M137" i="1"/>
  <c r="P179" i="1"/>
  <c r="O179" i="1"/>
  <c r="O21" i="1"/>
  <c r="P21" i="1"/>
  <c r="M82" i="1"/>
  <c r="L82" i="1"/>
  <c r="L156" i="1"/>
  <c r="M156" i="1"/>
  <c r="P184" i="1"/>
  <c r="O184" i="1"/>
  <c r="P127" i="1"/>
  <c r="O127" i="1"/>
  <c r="P52" i="1"/>
  <c r="O52" i="1"/>
  <c r="P98" i="1"/>
  <c r="O98" i="1"/>
  <c r="O69" i="1"/>
  <c r="P69" i="1"/>
  <c r="P107" i="1"/>
  <c r="O107" i="1"/>
  <c r="O214" i="1"/>
  <c r="P214" i="1"/>
  <c r="P123" i="1"/>
  <c r="O123" i="1"/>
  <c r="O238" i="1"/>
  <c r="P238" i="1"/>
  <c r="P91" i="1"/>
  <c r="O91" i="1"/>
  <c r="P102" i="1"/>
  <c r="O102" i="1"/>
  <c r="P224" i="1"/>
  <c r="O224" i="1"/>
  <c r="P55" i="1"/>
  <c r="O55" i="1"/>
  <c r="P129" i="1"/>
  <c r="O129" i="1"/>
  <c r="O53" i="1"/>
  <c r="P53" i="1"/>
  <c r="P114" i="1"/>
  <c r="O114" i="1"/>
  <c r="H171" i="1" l="1"/>
  <c r="I171" i="1"/>
  <c r="R15" i="1"/>
  <c r="H143" i="1"/>
  <c r="I14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1" i="1"/>
  <c r="H251" i="1"/>
  <c r="H39" i="1"/>
  <c r="I39" i="1"/>
  <c r="H110" i="1"/>
  <c r="I110" i="1"/>
  <c r="H234" i="1"/>
  <c r="I234" i="1"/>
  <c r="H205" i="1"/>
  <c r="I205" i="1"/>
  <c r="H8" i="1"/>
  <c r="I8" i="1"/>
  <c r="H135" i="1"/>
  <c r="I135" i="1"/>
  <c r="I3" i="1"/>
  <c r="H3" i="1"/>
  <c r="H55" i="1"/>
  <c r="I55" i="1"/>
  <c r="I224" i="1"/>
  <c r="H224" i="1"/>
  <c r="H81" i="1"/>
  <c r="I81" i="1"/>
  <c r="I6" i="1"/>
  <c r="H6" i="1"/>
  <c r="H73" i="1"/>
  <c r="I73" i="1"/>
  <c r="H69" i="1"/>
  <c r="I69" i="1"/>
  <c r="H121" i="1"/>
  <c r="I121" i="1"/>
  <c r="I223" i="1"/>
  <c r="H223" i="1"/>
  <c r="H58" i="1"/>
  <c r="I58" i="1"/>
  <c r="H53" i="1"/>
  <c r="I53" i="1"/>
  <c r="I130" i="1"/>
  <c r="H130" i="1"/>
  <c r="H41" i="1"/>
  <c r="I41" i="1"/>
  <c r="I43" i="1"/>
  <c r="H43" i="1"/>
  <c r="I115" i="1"/>
  <c r="H115" i="1"/>
  <c r="H246" i="1"/>
  <c r="I246" i="1"/>
  <c r="H201" i="1"/>
  <c r="I201" i="1"/>
  <c r="H160" i="1"/>
  <c r="I160" i="1"/>
  <c r="I221" i="1"/>
  <c r="H221" i="1"/>
  <c r="H172" i="1"/>
  <c r="I172" i="1"/>
  <c r="H133" i="1"/>
  <c r="I133" i="1"/>
  <c r="H217" i="1"/>
  <c r="I217" i="1"/>
  <c r="I57" i="1"/>
  <c r="H57" i="1"/>
  <c r="I168" i="1"/>
  <c r="H168" i="1"/>
  <c r="H18" i="1"/>
  <c r="I18" i="1"/>
  <c r="I183" i="1"/>
  <c r="H183" i="1"/>
  <c r="H38" i="1"/>
  <c r="I38" i="1"/>
  <c r="I166" i="1"/>
  <c r="H166" i="1"/>
  <c r="H155" i="1"/>
  <c r="I155" i="1"/>
  <c r="H2" i="1"/>
  <c r="I2" i="1"/>
  <c r="I106" i="1"/>
  <c r="H106" i="1"/>
  <c r="I203" i="1"/>
  <c r="H203" i="1"/>
  <c r="H148" i="1"/>
  <c r="I148" i="1"/>
  <c r="I37" i="1"/>
  <c r="H37" i="1"/>
  <c r="H96" i="1"/>
  <c r="I96" i="1"/>
  <c r="I111" i="1"/>
  <c r="H111" i="1"/>
  <c r="H142" i="1"/>
  <c r="I142" i="1"/>
  <c r="H63" i="1"/>
  <c r="I63" i="1"/>
  <c r="H250" i="1"/>
  <c r="I250" i="1"/>
  <c r="I187" i="1"/>
  <c r="H187" i="1"/>
  <c r="I9" i="1"/>
  <c r="H9" i="1"/>
  <c r="I104" i="1"/>
  <c r="H104" i="1"/>
  <c r="H33" i="1"/>
  <c r="I33" i="1"/>
  <c r="H164" i="1"/>
  <c r="I164" i="1"/>
  <c r="H36" i="1"/>
  <c r="I36" i="1"/>
  <c r="H79" i="1"/>
  <c r="I79" i="1"/>
  <c r="H118" i="1"/>
  <c r="I118" i="1"/>
  <c r="I75" i="1"/>
  <c r="H75" i="1"/>
  <c r="H100" i="1"/>
  <c r="I100" i="1"/>
  <c r="H125" i="1"/>
  <c r="I125" i="1"/>
  <c r="H159" i="1"/>
  <c r="I159" i="1"/>
  <c r="I150" i="1"/>
  <c r="H150" i="1"/>
  <c r="I128" i="1"/>
  <c r="H128" i="1"/>
  <c r="I49" i="1"/>
  <c r="H49" i="1"/>
  <c r="I50" i="1"/>
  <c r="H50" i="1"/>
  <c r="H78" i="1"/>
  <c r="I78" i="1"/>
  <c r="I47" i="1"/>
  <c r="H47" i="1"/>
  <c r="H59" i="1"/>
  <c r="I59" i="1"/>
  <c r="H213" i="1"/>
  <c r="I213" i="1"/>
  <c r="H200" i="1"/>
  <c r="I200" i="1"/>
  <c r="H102" i="1"/>
  <c r="I102" i="1"/>
  <c r="I152" i="1"/>
  <c r="H152" i="1"/>
  <c r="I93" i="1"/>
  <c r="H93" i="1"/>
  <c r="H114" i="1"/>
  <c r="I114" i="1"/>
  <c r="H162" i="1"/>
  <c r="I162" i="1"/>
  <c r="H94" i="1"/>
  <c r="I94" i="1"/>
  <c r="I61" i="1"/>
  <c r="H61" i="1"/>
  <c r="H108" i="1"/>
  <c r="I108" i="1"/>
  <c r="H154" i="1"/>
  <c r="I154" i="1"/>
  <c r="H248" i="1"/>
  <c r="I248" i="1"/>
  <c r="H83" i="1"/>
  <c r="I83" i="1"/>
  <c r="I211" i="1"/>
  <c r="H211" i="1"/>
  <c r="H68" i="1"/>
  <c r="I68" i="1"/>
  <c r="H182" i="1"/>
  <c r="I182" i="1"/>
  <c r="H165" i="1"/>
  <c r="I165" i="1"/>
  <c r="I137" i="1"/>
  <c r="H137" i="1"/>
  <c r="H204" i="1"/>
  <c r="I204" i="1"/>
  <c r="I214" i="1"/>
  <c r="H214" i="1"/>
  <c r="H232" i="1"/>
  <c r="I232" i="1"/>
  <c r="H60" i="1"/>
  <c r="I60" i="1"/>
  <c r="H239" i="1"/>
  <c r="I239" i="1"/>
  <c r="H12" i="1"/>
  <c r="I12" i="1"/>
  <c r="H5" i="1"/>
  <c r="I5" i="1"/>
  <c r="H195" i="1"/>
  <c r="I195" i="1"/>
  <c r="I66" i="1"/>
  <c r="H66" i="1"/>
  <c r="I7" i="1"/>
  <c r="H7" i="1"/>
  <c r="H226" i="1"/>
  <c r="I226" i="1"/>
  <c r="H193" i="1"/>
  <c r="I193" i="1"/>
  <c r="H70" i="1"/>
  <c r="I70" i="1"/>
  <c r="H127" i="1"/>
  <c r="I127" i="1"/>
  <c r="H84" i="1"/>
  <c r="I84" i="1"/>
  <c r="H65" i="1"/>
  <c r="I65" i="1"/>
  <c r="H26" i="1"/>
  <c r="I26" i="1"/>
  <c r="H243" i="1"/>
  <c r="I243" i="1"/>
  <c r="I85" i="1"/>
  <c r="H85" i="1"/>
  <c r="H235" i="1"/>
  <c r="I235" i="1"/>
  <c r="I173" i="1"/>
  <c r="H173" i="1"/>
  <c r="H181" i="1"/>
  <c r="I181" i="1"/>
  <c r="I220" i="1"/>
  <c r="H220" i="1"/>
  <c r="H86" i="1"/>
  <c r="I86" i="1"/>
  <c r="H242" i="1"/>
  <c r="I242" i="1"/>
  <c r="H197" i="1"/>
  <c r="I197" i="1"/>
  <c r="I178" i="1"/>
  <c r="H178" i="1"/>
  <c r="H208" i="1"/>
  <c r="I208" i="1"/>
  <c r="H179" i="1"/>
  <c r="I179" i="1"/>
  <c r="I21" i="1"/>
  <c r="H21" i="1"/>
  <c r="H225" i="1"/>
  <c r="I225" i="1"/>
  <c r="H113" i="1"/>
  <c r="I113" i="1"/>
  <c r="I80" i="1"/>
  <c r="H80" i="1"/>
  <c r="H139" i="1"/>
  <c r="I139" i="1"/>
  <c r="H174" i="1"/>
  <c r="I174" i="1"/>
  <c r="H158" i="1"/>
  <c r="I158" i="1"/>
  <c r="I28" i="1"/>
  <c r="H28" i="1"/>
  <c r="H175" i="1"/>
  <c r="I175" i="1"/>
  <c r="H163" i="1"/>
  <c r="I163" i="1"/>
  <c r="H101" i="1"/>
  <c r="I101" i="1"/>
  <c r="H244" i="1"/>
  <c r="I244" i="1"/>
  <c r="H23" i="1"/>
  <c r="I23" i="1"/>
  <c r="H34" i="1"/>
  <c r="I34" i="1"/>
  <c r="I229" i="1"/>
  <c r="H229" i="1"/>
  <c r="H24" i="1"/>
  <c r="I24" i="1"/>
  <c r="H146" i="1"/>
  <c r="I146" i="1"/>
  <c r="I32" i="1"/>
  <c r="H32" i="1"/>
  <c r="H169" i="1"/>
  <c r="I169" i="1"/>
  <c r="H247" i="1"/>
  <c r="I247" i="1"/>
  <c r="I189" i="1"/>
  <c r="H189" i="1"/>
  <c r="H116" i="1"/>
  <c r="I116" i="1"/>
  <c r="I153" i="1"/>
  <c r="H153" i="1"/>
  <c r="H112" i="1"/>
  <c r="I112" i="1"/>
  <c r="I196" i="1"/>
  <c r="H196" i="1"/>
  <c r="I240" i="1"/>
  <c r="H240" i="1"/>
  <c r="I103" i="1"/>
  <c r="H103" i="1"/>
  <c r="I51" i="1"/>
  <c r="H51" i="1"/>
  <c r="H107" i="1"/>
  <c r="I107" i="1"/>
  <c r="H206" i="1"/>
  <c r="I206" i="1"/>
  <c r="H131" i="1"/>
  <c r="I131" i="1"/>
  <c r="H180" i="1"/>
  <c r="I180" i="1"/>
  <c r="I138" i="1"/>
  <c r="H138" i="1"/>
  <c r="H20" i="1"/>
  <c r="I20" i="1"/>
  <c r="I136" i="1"/>
  <c r="H136" i="1"/>
  <c r="I212" i="1"/>
  <c r="H212" i="1"/>
  <c r="H13" i="1"/>
  <c r="I13" i="1"/>
  <c r="I71" i="1"/>
  <c r="H71" i="1"/>
  <c r="I82" i="1"/>
  <c r="H82" i="1"/>
  <c r="H161" i="1"/>
  <c r="I161" i="1"/>
  <c r="H15" i="1"/>
  <c r="I15" i="1"/>
  <c r="H52" i="1"/>
  <c r="I52" i="1"/>
  <c r="H22" i="1"/>
  <c r="I22" i="1"/>
  <c r="I117" i="1"/>
  <c r="H117" i="1"/>
  <c r="H44" i="1"/>
  <c r="I44" i="1"/>
  <c r="H120" i="1"/>
  <c r="I120" i="1"/>
  <c r="H241" i="1"/>
  <c r="I241" i="1"/>
  <c r="H27" i="1"/>
  <c r="I27" i="1"/>
  <c r="H222" i="1"/>
  <c r="I222" i="1"/>
  <c r="H89" i="1"/>
  <c r="I89" i="1"/>
  <c r="I167" i="1"/>
  <c r="H167" i="1"/>
  <c r="I185" i="1"/>
  <c r="H185" i="1"/>
  <c r="H109" i="1"/>
  <c r="I109" i="1"/>
  <c r="H231" i="1"/>
  <c r="I231" i="1"/>
  <c r="H219" i="1"/>
  <c r="I219" i="1"/>
  <c r="H194" i="1"/>
  <c r="I194" i="1"/>
  <c r="H98" i="1"/>
  <c r="I98" i="1"/>
  <c r="H76" i="1"/>
  <c r="I76" i="1"/>
  <c r="I126" i="1"/>
  <c r="H126" i="1"/>
  <c r="I134" i="1"/>
  <c r="H134" i="1"/>
  <c r="I145" i="1"/>
  <c r="H145" i="1"/>
  <c r="I72" i="1"/>
  <c r="H72" i="1"/>
  <c r="H67" i="1"/>
  <c r="I67" i="1"/>
  <c r="H64" i="1"/>
  <c r="I64" i="1"/>
  <c r="I97" i="1"/>
  <c r="H97" i="1"/>
  <c r="H140" i="1"/>
  <c r="I140" i="1"/>
  <c r="H87" i="1"/>
  <c r="I87" i="1"/>
  <c r="Y29" i="1"/>
  <c r="W31" i="1"/>
  <c r="H209" i="1"/>
  <c r="I209" i="1"/>
  <c r="H10" i="1"/>
  <c r="I10" i="1"/>
  <c r="I202" i="1"/>
  <c r="H202" i="1"/>
  <c r="I170" i="1"/>
  <c r="H170" i="1"/>
  <c r="H141" i="1"/>
  <c r="I141" i="1"/>
  <c r="I74" i="1"/>
  <c r="H74" i="1"/>
  <c r="I91" i="1"/>
  <c r="H91" i="1"/>
  <c r="H233" i="1"/>
  <c r="I233" i="1"/>
  <c r="H19" i="1"/>
  <c r="I19" i="1"/>
  <c r="I147" i="1"/>
  <c r="H147" i="1"/>
  <c r="H157" i="1"/>
  <c r="I157" i="1"/>
  <c r="H119" i="1"/>
  <c r="I119" i="1"/>
  <c r="H156" i="1"/>
  <c r="I156" i="1"/>
  <c r="I40" i="1"/>
  <c r="H40" i="1"/>
  <c r="H42" i="1"/>
  <c r="I42" i="1"/>
  <c r="H90" i="1"/>
  <c r="I90" i="1"/>
  <c r="H237" i="1"/>
  <c r="I237" i="1"/>
  <c r="I230" i="1"/>
  <c r="H230" i="1"/>
  <c r="H46" i="1"/>
  <c r="I46" i="1"/>
  <c r="I4" i="1"/>
  <c r="H4" i="1"/>
  <c r="H149" i="1"/>
  <c r="I149" i="1"/>
  <c r="H123" i="1"/>
  <c r="I123" i="1"/>
  <c r="H198" i="1"/>
  <c r="I198" i="1"/>
  <c r="I124" i="1"/>
  <c r="H124" i="1"/>
  <c r="I132" i="1"/>
  <c r="H132" i="1"/>
  <c r="H192" i="1"/>
  <c r="I192" i="1"/>
  <c r="H45" i="1"/>
  <c r="I45" i="1"/>
  <c r="H31" i="1"/>
  <c r="I31" i="1"/>
  <c r="I99" i="1"/>
  <c r="H99" i="1"/>
  <c r="H25" i="1"/>
  <c r="I25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H210" i="1"/>
  <c r="I210" i="1"/>
  <c r="H11" i="1"/>
  <c r="I11" i="1"/>
  <c r="I48" i="1"/>
  <c r="H48" i="1"/>
  <c r="I14" i="1"/>
  <c r="H14" i="1"/>
  <c r="H188" i="1"/>
  <c r="I188" i="1"/>
  <c r="I216" i="1"/>
  <c r="H216" i="1"/>
  <c r="I144" i="1"/>
  <c r="H144" i="1"/>
  <c r="I129" i="1"/>
  <c r="H129" i="1"/>
  <c r="H199" i="1"/>
  <c r="I199" i="1"/>
  <c r="H228" i="1"/>
  <c r="I228" i="1"/>
  <c r="H207" i="1"/>
  <c r="I207" i="1"/>
  <c r="I77" i="1"/>
  <c r="H77" i="1"/>
  <c r="I95" i="1"/>
  <c r="H95" i="1"/>
  <c r="H151" i="1"/>
  <c r="I151" i="1"/>
  <c r="I56" i="1"/>
  <c r="H56" i="1"/>
  <c r="I249" i="1"/>
  <c r="H249" i="1"/>
  <c r="H184" i="1"/>
  <c r="I184" i="1"/>
  <c r="H218" i="1"/>
  <c r="I218" i="1"/>
  <c r="I30" i="1"/>
  <c r="H30" i="1"/>
  <c r="I245" i="1"/>
  <c r="H245" i="1"/>
  <c r="I215" i="1"/>
  <c r="H215" i="1"/>
  <c r="H35" i="1"/>
  <c r="I35" i="1"/>
  <c r="H54" i="1"/>
  <c r="I54" i="1"/>
  <c r="H16" i="1"/>
  <c r="I16" i="1"/>
  <c r="H191" i="1"/>
  <c r="I191" i="1"/>
  <c r="H236" i="1"/>
  <c r="I236" i="1"/>
  <c r="I105" i="1"/>
  <c r="H105" i="1"/>
  <c r="I177" i="1"/>
  <c r="H177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W238" i="1"/>
  <c r="R222" i="1"/>
  <c r="S221" i="1"/>
  <c r="T221" i="1" s="1"/>
  <c r="Z236" i="1" l="1"/>
  <c r="AA236" i="1" s="1"/>
  <c r="R223" i="1"/>
  <c r="S222" i="1"/>
  <c r="T222" i="1" s="1"/>
  <c r="Y237" i="1"/>
  <c r="W239" i="1"/>
  <c r="Z237" i="1" l="1"/>
  <c r="AA237" i="1" s="1"/>
  <c r="Y238" i="1"/>
  <c r="W240" i="1"/>
  <c r="R224" i="1"/>
  <c r="S223" i="1"/>
  <c r="T223" i="1" s="1"/>
  <c r="Z238" i="1" l="1"/>
  <c r="AA238" i="1" s="1"/>
  <c r="S224" i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R236" i="1"/>
  <c r="S235" i="1"/>
  <c r="T235" i="1" s="1"/>
  <c r="R237" i="1" l="1"/>
  <c r="S236" i="1"/>
  <c r="T236" i="1" s="1"/>
  <c r="Y251" i="1"/>
  <c r="Z251" i="1" s="1"/>
  <c r="AA251" i="1" s="1"/>
  <c r="R238" i="1" l="1"/>
  <c r="S237" i="1"/>
  <c r="T237" i="1" s="1"/>
  <c r="R239" i="1" l="1"/>
  <c r="S238" i="1"/>
  <c r="T238" i="1" s="1"/>
  <c r="R240" i="1" l="1"/>
  <c r="S239" i="1"/>
  <c r="T239" i="1" s="1"/>
  <c r="R241" i="1" l="1"/>
  <c r="S240" i="1"/>
  <c r="T240" i="1" s="1"/>
  <c r="R242" i="1" l="1"/>
  <c r="S241" i="1"/>
  <c r="T241" i="1" s="1"/>
  <c r="R243" i="1" l="1"/>
  <c r="S242" i="1"/>
  <c r="T242" i="1" s="1"/>
  <c r="R244" i="1" l="1"/>
  <c r="S243" i="1"/>
  <c r="T243" i="1" s="1"/>
  <c r="R245" i="1" l="1"/>
  <c r="S244" i="1"/>
  <c r="T244" i="1" s="1"/>
  <c r="R246" i="1" l="1"/>
  <c r="S245" i="1"/>
  <c r="T245" i="1" s="1"/>
  <c r="R247" i="1" l="1"/>
  <c r="S246" i="1"/>
  <c r="T246" i="1" s="1"/>
  <c r="R248" i="1" l="1"/>
  <c r="S247" i="1"/>
  <c r="T247" i="1" s="1"/>
  <c r="R249" i="1" l="1"/>
  <c r="S248" i="1"/>
  <c r="T248" i="1" s="1"/>
  <c r="R250" i="1" l="1"/>
  <c r="S249" i="1"/>
  <c r="T249" i="1" s="1"/>
  <c r="R251" i="1" l="1"/>
  <c r="S250" i="1"/>
  <c r="T250" i="1" s="1"/>
  <c r="S251" i="1" l="1"/>
  <c r="T25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80B2AF-164B-457A-AE45-B2685B896595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3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</futureMetadata>
  <cellMetadata count="1">
    <bk>
      <rc t="1" v="0"/>
    </bk>
  </cellMetadata>
  <valueMetadata count="73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</valueMetadata>
</metadata>
</file>

<file path=xl/sharedStrings.xml><?xml version="1.0" encoding="utf-8"?>
<sst xmlns="http://schemas.openxmlformats.org/spreadsheetml/2006/main" count="60" uniqueCount="52">
  <si>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</si>
  <si>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</si>
  <si>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</si>
  <si>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</si>
  <si>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</si>
  <si>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</si>
  <si>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</si>
  <si>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</si>
  <si>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</si>
  <si>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</si>
  <si>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</si>
  <si>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</si>
  <si>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</si>
  <si>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</si>
  <si>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</si>
  <si>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</si>
  <si>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</si>
  <si>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</si>
  <si>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</si>
  <si>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</si>
  <si>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</si>
  <si>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</si>
  <si>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</si>
  <si>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</si>
  <si>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</si>
  <si>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</si>
  <si>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</si>
  <si>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</si>
  <si>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</si>
  <si>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</si>
  <si>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</si>
  <si>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</si>
  <si>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</si>
  <si>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</si>
  <si>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</si>
  <si>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</si>
  <si>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</si>
  <si>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</si>
  <si>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</si>
  <si>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</si>
  <si>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</si>
  <si>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</si>
  <si>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</si>
  <si>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</si>
  <si>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</si>
  <si>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</si>
  <si>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</si>
  <si>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Date</t>
  </si>
  <si>
    <t>Dividends</t>
  </si>
  <si>
    <t>XL Forecast</t>
  </si>
  <si>
    <t>Calc Forecast</t>
  </si>
  <si>
    <t>Simple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</si>
</sst>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yyyy\-mm\-dd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0" applyNumberFormat="1"/>
    <xf numFmtId="0" fontId="6" fillId="10" borderId="1" xfId="0" applyFont="1" applyFill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0" fillId="11" borderId="0" xfId="0" applyFill="1"/>
  </cellXfs>
  <cellStyles count="2">
    <cellStyle name="Comma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AF2D0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4" formatCode="yyyy\-mm\-dd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+ 20/100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Data!$C$2:$C$251</c:f>
              <c:numCache>
                <c:formatCode>_([$$-409]* #,##0.00_);_([$$-409]* \(#,##0.00\);_([$$-409]* "-"??_);_(@_)</c:formatCode>
                <c:ptCount val="250"/>
                <c:pt idx="0">
                  <c:v>95.76</c:v>
                </c:pt>
                <c:pt idx="1">
                  <c:v>95.26</c:v>
                </c:pt>
                <c:pt idx="2">
                  <c:v>95.76</c:v>
                </c:pt>
                <c:pt idx="3">
                  <c:v>98.26</c:v>
                </c:pt>
                <c:pt idx="4">
                  <c:v>99.68</c:v>
                </c:pt>
                <c:pt idx="5">
                  <c:v>100.97</c:v>
                </c:pt>
                <c:pt idx="6">
                  <c:v>99.96</c:v>
                </c:pt>
                <c:pt idx="7">
                  <c:v>99.92</c:v>
                </c:pt>
                <c:pt idx="8">
                  <c:v>101.52</c:v>
                </c:pt>
                <c:pt idx="9">
                  <c:v>104.02</c:v>
                </c:pt>
                <c:pt idx="10">
                  <c:v>102.15</c:v>
                </c:pt>
                <c:pt idx="11">
                  <c:v>100.2</c:v>
                </c:pt>
                <c:pt idx="12">
                  <c:v>100.91</c:v>
                </c:pt>
                <c:pt idx="13">
                  <c:v>103.64</c:v>
                </c:pt>
                <c:pt idx="14">
                  <c:v>106.66</c:v>
                </c:pt>
                <c:pt idx="15">
                  <c:v>103.77</c:v>
                </c:pt>
                <c:pt idx="16">
                  <c:v>102.64</c:v>
                </c:pt>
                <c:pt idx="17">
                  <c:v>104.57</c:v>
                </c:pt>
                <c:pt idx="18">
                  <c:v>106.41</c:v>
                </c:pt>
                <c:pt idx="19">
                  <c:v>107.62</c:v>
                </c:pt>
                <c:pt idx="20">
                  <c:v>107.81</c:v>
                </c:pt>
                <c:pt idx="21">
                  <c:v>107.49</c:v>
                </c:pt>
                <c:pt idx="22">
                  <c:v>108.48</c:v>
                </c:pt>
                <c:pt idx="23">
                  <c:v>107.8</c:v>
                </c:pt>
                <c:pt idx="24">
                  <c:v>106.83</c:v>
                </c:pt>
                <c:pt idx="25">
                  <c:v>105.55</c:v>
                </c:pt>
                <c:pt idx="26">
                  <c:v>107.46</c:v>
                </c:pt>
                <c:pt idx="27">
                  <c:v>107.89</c:v>
                </c:pt>
                <c:pt idx="28">
                  <c:v>108.77</c:v>
                </c:pt>
                <c:pt idx="29">
                  <c:v>110.59</c:v>
                </c:pt>
                <c:pt idx="30">
                  <c:v>110.06</c:v>
                </c:pt>
                <c:pt idx="31">
                  <c:v>109.58</c:v>
                </c:pt>
                <c:pt idx="32">
                  <c:v>112.72</c:v>
                </c:pt>
                <c:pt idx="33">
                  <c:v>109.32</c:v>
                </c:pt>
                <c:pt idx="34">
                  <c:v>105.4</c:v>
                </c:pt>
                <c:pt idx="35">
                  <c:v>106.05</c:v>
                </c:pt>
                <c:pt idx="36">
                  <c:v>105.77</c:v>
                </c:pt>
                <c:pt idx="37">
                  <c:v>108.3</c:v>
                </c:pt>
                <c:pt idx="38">
                  <c:v>109.84</c:v>
                </c:pt>
                <c:pt idx="39">
                  <c:v>112.25</c:v>
                </c:pt>
                <c:pt idx="40">
                  <c:v>111.81</c:v>
                </c:pt>
                <c:pt idx="41">
                  <c:v>111.44</c:v>
                </c:pt>
                <c:pt idx="42">
                  <c:v>112.1</c:v>
                </c:pt>
                <c:pt idx="43">
                  <c:v>110.96</c:v>
                </c:pt>
                <c:pt idx="44">
                  <c:v>113.3</c:v>
                </c:pt>
                <c:pt idx="45">
                  <c:v>112.52</c:v>
                </c:pt>
                <c:pt idx="46">
                  <c:v>111.29</c:v>
                </c:pt>
                <c:pt idx="47">
                  <c:v>110.45</c:v>
                </c:pt>
                <c:pt idx="48">
                  <c:v>111.13</c:v>
                </c:pt>
                <c:pt idx="49">
                  <c:v>112.13</c:v>
                </c:pt>
                <c:pt idx="50">
                  <c:v>112.75</c:v>
                </c:pt>
                <c:pt idx="51">
                  <c:v>112.56</c:v>
                </c:pt>
                <c:pt idx="52">
                  <c:v>110.03</c:v>
                </c:pt>
                <c:pt idx="53">
                  <c:v>109.52</c:v>
                </c:pt>
                <c:pt idx="54">
                  <c:v>110.47</c:v>
                </c:pt>
                <c:pt idx="55">
                  <c:v>111.04</c:v>
                </c:pt>
                <c:pt idx="56">
                  <c:v>107.75</c:v>
                </c:pt>
                <c:pt idx="57">
                  <c:v>107.68</c:v>
                </c:pt>
                <c:pt idx="58">
                  <c:v>103.54</c:v>
                </c:pt>
                <c:pt idx="59">
                  <c:v>100.58</c:v>
                </c:pt>
                <c:pt idx="60">
                  <c:v>99.27</c:v>
                </c:pt>
                <c:pt idx="61">
                  <c:v>102.01</c:v>
                </c:pt>
                <c:pt idx="62">
                  <c:v>104.29</c:v>
                </c:pt>
                <c:pt idx="63">
                  <c:v>105.38</c:v>
                </c:pt>
                <c:pt idx="64">
                  <c:v>105.71</c:v>
                </c:pt>
                <c:pt idx="65">
                  <c:v>105.22</c:v>
                </c:pt>
                <c:pt idx="66">
                  <c:v>103.42</c:v>
                </c:pt>
                <c:pt idx="67">
                  <c:v>104.1</c:v>
                </c:pt>
                <c:pt idx="68">
                  <c:v>103.97</c:v>
                </c:pt>
                <c:pt idx="69">
                  <c:v>102.11</c:v>
                </c:pt>
                <c:pt idx="70">
                  <c:v>103.38</c:v>
                </c:pt>
                <c:pt idx="71">
                  <c:v>104.49</c:v>
                </c:pt>
                <c:pt idx="72">
                  <c:v>103.86</c:v>
                </c:pt>
                <c:pt idx="73">
                  <c:v>103.24</c:v>
                </c:pt>
                <c:pt idx="74">
                  <c:v>102.21</c:v>
                </c:pt>
                <c:pt idx="75">
                  <c:v>102.27</c:v>
                </c:pt>
                <c:pt idx="76">
                  <c:v>101.61</c:v>
                </c:pt>
                <c:pt idx="77">
                  <c:v>101.11</c:v>
                </c:pt>
                <c:pt idx="78">
                  <c:v>102.4</c:v>
                </c:pt>
                <c:pt idx="79">
                  <c:v>102.55</c:v>
                </c:pt>
                <c:pt idx="80">
                  <c:v>103.76</c:v>
                </c:pt>
                <c:pt idx="81">
                  <c:v>103.96</c:v>
                </c:pt>
                <c:pt idx="82">
                  <c:v>101.63</c:v>
                </c:pt>
                <c:pt idx="83">
                  <c:v>101.35</c:v>
                </c:pt>
                <c:pt idx="84">
                  <c:v>100.73</c:v>
                </c:pt>
                <c:pt idx="85">
                  <c:v>100.97</c:v>
                </c:pt>
                <c:pt idx="86">
                  <c:v>101.15</c:v>
                </c:pt>
                <c:pt idx="87">
                  <c:v>100.19</c:v>
                </c:pt>
                <c:pt idx="88">
                  <c:v>98.05</c:v>
                </c:pt>
                <c:pt idx="89">
                  <c:v>98.41</c:v>
                </c:pt>
                <c:pt idx="90">
                  <c:v>98.15</c:v>
                </c:pt>
                <c:pt idx="91">
                  <c:v>100.35</c:v>
                </c:pt>
                <c:pt idx="92">
                  <c:v>100.78</c:v>
                </c:pt>
                <c:pt idx="93">
                  <c:v>99.92</c:v>
                </c:pt>
                <c:pt idx="94">
                  <c:v>100.31</c:v>
                </c:pt>
                <c:pt idx="95">
                  <c:v>99.71</c:v>
                </c:pt>
                <c:pt idx="96">
                  <c:v>99.31</c:v>
                </c:pt>
                <c:pt idx="97">
                  <c:v>99.97</c:v>
                </c:pt>
                <c:pt idx="98">
                  <c:v>101.07</c:v>
                </c:pt>
                <c:pt idx="99">
                  <c:v>100.59</c:v>
                </c:pt>
                <c:pt idx="100">
                  <c:v>101.01</c:v>
                </c:pt>
                <c:pt idx="101">
                  <c:v>99.95</c:v>
                </c:pt>
                <c:pt idx="102">
                  <c:v>100.46</c:v>
                </c:pt>
                <c:pt idx="103">
                  <c:v>100.6</c:v>
                </c:pt>
                <c:pt idx="104">
                  <c:v>101.08</c:v>
                </c:pt>
                <c:pt idx="105">
                  <c:v>102.07</c:v>
                </c:pt>
                <c:pt idx="106">
                  <c:v>103.59</c:v>
                </c:pt>
                <c:pt idx="107">
                  <c:v>102.55</c:v>
                </c:pt>
                <c:pt idx="108">
                  <c:v>102.05</c:v>
                </c:pt>
                <c:pt idx="109">
                  <c:v>102.26</c:v>
                </c:pt>
                <c:pt idx="110">
                  <c:v>100.98</c:v>
                </c:pt>
                <c:pt idx="111">
                  <c:v>102.24</c:v>
                </c:pt>
                <c:pt idx="112">
                  <c:v>102.59</c:v>
                </c:pt>
                <c:pt idx="113">
                  <c:v>103.5</c:v>
                </c:pt>
                <c:pt idx="114">
                  <c:v>104.44</c:v>
                </c:pt>
                <c:pt idx="115">
                  <c:v>105.36</c:v>
                </c:pt>
                <c:pt idx="116">
                  <c:v>104.18</c:v>
                </c:pt>
                <c:pt idx="117">
                  <c:v>104.15</c:v>
                </c:pt>
                <c:pt idx="118">
                  <c:v>105</c:v>
                </c:pt>
                <c:pt idx="119">
                  <c:v>104.48</c:v>
                </c:pt>
                <c:pt idx="120">
                  <c:v>104.12</c:v>
                </c:pt>
                <c:pt idx="121">
                  <c:v>103.69</c:v>
                </c:pt>
                <c:pt idx="122">
                  <c:v>103.66</c:v>
                </c:pt>
                <c:pt idx="123">
                  <c:v>102.86</c:v>
                </c:pt>
                <c:pt idx="124">
                  <c:v>100.77</c:v>
                </c:pt>
                <c:pt idx="125">
                  <c:v>99.74</c:v>
                </c:pt>
                <c:pt idx="126">
                  <c:v>101.1</c:v>
                </c:pt>
                <c:pt idx="127">
                  <c:v>101.76</c:v>
                </c:pt>
                <c:pt idx="128">
                  <c:v>101.5</c:v>
                </c:pt>
                <c:pt idx="129">
                  <c:v>101.65</c:v>
                </c:pt>
                <c:pt idx="130">
                  <c:v>99.95</c:v>
                </c:pt>
                <c:pt idx="131">
                  <c:v>99.72</c:v>
                </c:pt>
                <c:pt idx="132">
                  <c:v>100.07</c:v>
                </c:pt>
                <c:pt idx="133">
                  <c:v>98.17</c:v>
                </c:pt>
                <c:pt idx="134">
                  <c:v>98.23</c:v>
                </c:pt>
                <c:pt idx="135">
                  <c:v>97.2</c:v>
                </c:pt>
                <c:pt idx="136">
                  <c:v>97.85</c:v>
                </c:pt>
                <c:pt idx="137">
                  <c:v>97.8</c:v>
                </c:pt>
                <c:pt idx="138">
                  <c:v>98.05</c:v>
                </c:pt>
                <c:pt idx="139">
                  <c:v>96.65</c:v>
                </c:pt>
                <c:pt idx="140">
                  <c:v>96.98</c:v>
                </c:pt>
                <c:pt idx="141">
                  <c:v>97.08</c:v>
                </c:pt>
                <c:pt idx="142">
                  <c:v>97.7</c:v>
                </c:pt>
                <c:pt idx="143">
                  <c:v>97.55</c:v>
                </c:pt>
                <c:pt idx="144">
                  <c:v>97</c:v>
                </c:pt>
                <c:pt idx="145">
                  <c:v>95.57</c:v>
                </c:pt>
                <c:pt idx="146">
                  <c:v>96.4</c:v>
                </c:pt>
                <c:pt idx="147">
                  <c:v>96.35</c:v>
                </c:pt>
                <c:pt idx="148">
                  <c:v>96.33</c:v>
                </c:pt>
                <c:pt idx="149">
                  <c:v>96.62</c:v>
                </c:pt>
                <c:pt idx="150">
                  <c:v>98.55</c:v>
                </c:pt>
                <c:pt idx="151">
                  <c:v>98.81</c:v>
                </c:pt>
                <c:pt idx="152">
                  <c:v>98.35</c:v>
                </c:pt>
                <c:pt idx="153">
                  <c:v>99.62</c:v>
                </c:pt>
                <c:pt idx="154">
                  <c:v>99.57</c:v>
                </c:pt>
                <c:pt idx="155">
                  <c:v>100.52</c:v>
                </c:pt>
                <c:pt idx="156">
                  <c:v>98.17</c:v>
                </c:pt>
                <c:pt idx="157">
                  <c:v>97.64</c:v>
                </c:pt>
                <c:pt idx="158">
                  <c:v>98.81</c:v>
                </c:pt>
                <c:pt idx="159">
                  <c:v>99.33</c:v>
                </c:pt>
                <c:pt idx="160">
                  <c:v>100.04</c:v>
                </c:pt>
                <c:pt idx="161">
                  <c:v>100.83</c:v>
                </c:pt>
                <c:pt idx="162">
                  <c:v>100.8</c:v>
                </c:pt>
                <c:pt idx="163">
                  <c:v>102.39</c:v>
                </c:pt>
                <c:pt idx="164">
                  <c:v>100.86</c:v>
                </c:pt>
                <c:pt idx="165">
                  <c:v>101.89</c:v>
                </c:pt>
                <c:pt idx="166">
                  <c:v>102.29</c:v>
                </c:pt>
                <c:pt idx="167">
                  <c:v>101.07</c:v>
                </c:pt>
                <c:pt idx="168">
                  <c:v>101.19</c:v>
                </c:pt>
                <c:pt idx="169">
                  <c:v>101.72</c:v>
                </c:pt>
                <c:pt idx="170">
                  <c:v>101.56</c:v>
                </c:pt>
                <c:pt idx="171">
                  <c:v>101.94</c:v>
                </c:pt>
                <c:pt idx="172">
                  <c:v>100.77</c:v>
                </c:pt>
                <c:pt idx="173">
                  <c:v>100.04</c:v>
                </c:pt>
                <c:pt idx="174">
                  <c:v>100.22</c:v>
                </c:pt>
                <c:pt idx="175">
                  <c:v>98.55</c:v>
                </c:pt>
                <c:pt idx="176">
                  <c:v>97</c:v>
                </c:pt>
                <c:pt idx="177">
                  <c:v>98.19</c:v>
                </c:pt>
                <c:pt idx="178">
                  <c:v>97.41</c:v>
                </c:pt>
                <c:pt idx="179">
                  <c:v>96.64</c:v>
                </c:pt>
                <c:pt idx="180">
                  <c:v>97.96</c:v>
                </c:pt>
                <c:pt idx="181">
                  <c:v>96.11</c:v>
                </c:pt>
                <c:pt idx="182">
                  <c:v>96.99</c:v>
                </c:pt>
                <c:pt idx="183">
                  <c:v>98.52</c:v>
                </c:pt>
                <c:pt idx="184">
                  <c:v>98.24</c:v>
                </c:pt>
                <c:pt idx="185">
                  <c:v>99.59</c:v>
                </c:pt>
                <c:pt idx="186">
                  <c:v>100.19</c:v>
                </c:pt>
                <c:pt idx="187">
                  <c:v>100.95</c:v>
                </c:pt>
                <c:pt idx="188">
                  <c:v>101.66</c:v>
                </c:pt>
                <c:pt idx="189">
                  <c:v>103.85</c:v>
                </c:pt>
                <c:pt idx="190">
                  <c:v>102.91</c:v>
                </c:pt>
                <c:pt idx="191">
                  <c:v>100.38</c:v>
                </c:pt>
                <c:pt idx="192">
                  <c:v>100.95</c:v>
                </c:pt>
                <c:pt idx="193">
                  <c:v>100.16</c:v>
                </c:pt>
                <c:pt idx="194">
                  <c:v>98.92</c:v>
                </c:pt>
                <c:pt idx="195">
                  <c:v>98.85</c:v>
                </c:pt>
                <c:pt idx="196">
                  <c:v>100.14</c:v>
                </c:pt>
                <c:pt idx="197">
                  <c:v>100.36</c:v>
                </c:pt>
                <c:pt idx="198">
                  <c:v>97.88</c:v>
                </c:pt>
                <c:pt idx="199">
                  <c:v>96.87</c:v>
                </c:pt>
                <c:pt idx="200">
                  <c:v>96.45</c:v>
                </c:pt>
                <c:pt idx="201">
                  <c:v>96.22</c:v>
                </c:pt>
                <c:pt idx="202">
                  <c:v>96.6</c:v>
                </c:pt>
                <c:pt idx="203">
                  <c:v>95.45</c:v>
                </c:pt>
                <c:pt idx="204">
                  <c:v>95.82</c:v>
                </c:pt>
                <c:pt idx="205">
                  <c:v>95.41</c:v>
                </c:pt>
                <c:pt idx="206">
                  <c:v>95.64</c:v>
                </c:pt>
                <c:pt idx="207">
                  <c:v>97.53</c:v>
                </c:pt>
                <c:pt idx="208">
                  <c:v>99.39</c:v>
                </c:pt>
                <c:pt idx="209">
                  <c:v>98.9</c:v>
                </c:pt>
                <c:pt idx="210">
                  <c:v>100.21</c:v>
                </c:pt>
                <c:pt idx="211">
                  <c:v>99.99</c:v>
                </c:pt>
                <c:pt idx="212">
                  <c:v>98.06</c:v>
                </c:pt>
                <c:pt idx="213">
                  <c:v>98.57</c:v>
                </c:pt>
                <c:pt idx="214">
                  <c:v>98.95</c:v>
                </c:pt>
                <c:pt idx="215">
                  <c:v>99.53</c:v>
                </c:pt>
                <c:pt idx="216">
                  <c:v>99.3</c:v>
                </c:pt>
                <c:pt idx="217">
                  <c:v>99.54</c:v>
                </c:pt>
                <c:pt idx="218">
                  <c:v>99.89</c:v>
                </c:pt>
                <c:pt idx="219">
                  <c:v>99.32</c:v>
                </c:pt>
                <c:pt idx="220">
                  <c:v>99.99</c:v>
                </c:pt>
                <c:pt idx="221">
                  <c:v>98.5</c:v>
                </c:pt>
                <c:pt idx="222">
                  <c:v>99.32</c:v>
                </c:pt>
                <c:pt idx="223">
                  <c:v>99.37</c:v>
                </c:pt>
                <c:pt idx="224">
                  <c:v>100.18</c:v>
                </c:pt>
                <c:pt idx="225">
                  <c:v>99.21</c:v>
                </c:pt>
                <c:pt idx="226">
                  <c:v>98.83</c:v>
                </c:pt>
                <c:pt idx="227">
                  <c:v>100.21</c:v>
                </c:pt>
                <c:pt idx="228">
                  <c:v>101.47</c:v>
                </c:pt>
                <c:pt idx="229">
                  <c:v>102.58</c:v>
                </c:pt>
                <c:pt idx="230">
                  <c:v>103.81</c:v>
                </c:pt>
                <c:pt idx="231">
                  <c:v>105.05</c:v>
                </c:pt>
                <c:pt idx="232">
                  <c:v>103.84</c:v>
                </c:pt>
                <c:pt idx="233">
                  <c:v>103.18</c:v>
                </c:pt>
                <c:pt idx="234">
                  <c:v>103.87</c:v>
                </c:pt>
                <c:pt idx="235">
                  <c:v>104.59</c:v>
                </c:pt>
                <c:pt idx="236">
                  <c:v>105.35</c:v>
                </c:pt>
                <c:pt idx="237">
                  <c:v>105.18</c:v>
                </c:pt>
                <c:pt idx="238">
                  <c:v>105.96</c:v>
                </c:pt>
                <c:pt idx="239">
                  <c:v>106.63</c:v>
                </c:pt>
                <c:pt idx="240">
                  <c:v>105.42</c:v>
                </c:pt>
                <c:pt idx="241">
                  <c:v>107.45</c:v>
                </c:pt>
                <c:pt idx="242">
                  <c:v>108.38</c:v>
                </c:pt>
                <c:pt idx="243">
                  <c:v>108.87</c:v>
                </c:pt>
                <c:pt idx="244">
                  <c:v>107.34</c:v>
                </c:pt>
                <c:pt idx="245">
                  <c:v>106.68</c:v>
                </c:pt>
                <c:pt idx="246">
                  <c:v>108.43</c:v>
                </c:pt>
                <c:pt idx="247">
                  <c:v>109.87</c:v>
                </c:pt>
                <c:pt idx="248">
                  <c:v>111.72</c:v>
                </c:pt>
                <c:pt idx="249">
                  <c:v>113.72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4-4F60-A64C-C2852D24BEEA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Data!$J$2:$J$251</c:f>
              <c:numCache>
                <c:formatCode>General</c:formatCode>
                <c:ptCount val="250"/>
                <c:pt idx="19">
                  <c:v>101.48400000000001</c:v>
                </c:pt>
                <c:pt idx="20">
                  <c:v>102.08650000000003</c:v>
                </c:pt>
                <c:pt idx="21">
                  <c:v>102.69800000000001</c:v>
                </c:pt>
                <c:pt idx="22">
                  <c:v>103.33399999999999</c:v>
                </c:pt>
                <c:pt idx="23">
                  <c:v>103.81100000000001</c:v>
                </c:pt>
                <c:pt idx="24">
                  <c:v>104.16849999999999</c:v>
                </c:pt>
                <c:pt idx="25">
                  <c:v>104.39749999999999</c:v>
                </c:pt>
                <c:pt idx="26">
                  <c:v>104.77249999999999</c:v>
                </c:pt>
                <c:pt idx="27">
                  <c:v>105.17100000000001</c:v>
                </c:pt>
                <c:pt idx="28">
                  <c:v>105.5335</c:v>
                </c:pt>
                <c:pt idx="29">
                  <c:v>105.86199999999999</c:v>
                </c:pt>
                <c:pt idx="30">
                  <c:v>106.25749999999998</c:v>
                </c:pt>
                <c:pt idx="31">
                  <c:v>106.72649999999999</c:v>
                </c:pt>
                <c:pt idx="32">
                  <c:v>107.31699999999998</c:v>
                </c:pt>
                <c:pt idx="33">
                  <c:v>107.601</c:v>
                </c:pt>
                <c:pt idx="34">
                  <c:v>107.53799999999998</c:v>
                </c:pt>
                <c:pt idx="35">
                  <c:v>107.652</c:v>
                </c:pt>
                <c:pt idx="36">
                  <c:v>107.80850000000001</c:v>
                </c:pt>
                <c:pt idx="37">
                  <c:v>107.995</c:v>
                </c:pt>
                <c:pt idx="38">
                  <c:v>108.1665</c:v>
                </c:pt>
                <c:pt idx="39">
                  <c:v>108.398</c:v>
                </c:pt>
                <c:pt idx="40">
                  <c:v>108.59799999999998</c:v>
                </c:pt>
                <c:pt idx="41">
                  <c:v>108.79549999999999</c:v>
                </c:pt>
                <c:pt idx="42">
                  <c:v>108.97649999999999</c:v>
                </c:pt>
                <c:pt idx="43">
                  <c:v>109.1345</c:v>
                </c:pt>
                <c:pt idx="44">
                  <c:v>109.458</c:v>
                </c:pt>
                <c:pt idx="45">
                  <c:v>109.8065</c:v>
                </c:pt>
                <c:pt idx="46">
                  <c:v>109.998</c:v>
                </c:pt>
                <c:pt idx="47">
                  <c:v>110.12599999999998</c:v>
                </c:pt>
                <c:pt idx="48">
                  <c:v>110.24399999999999</c:v>
                </c:pt>
                <c:pt idx="49">
                  <c:v>110.321</c:v>
                </c:pt>
                <c:pt idx="50">
                  <c:v>110.4555</c:v>
                </c:pt>
                <c:pt idx="51">
                  <c:v>110.6045</c:v>
                </c:pt>
                <c:pt idx="52">
                  <c:v>110.47</c:v>
                </c:pt>
                <c:pt idx="53">
                  <c:v>110.48000000000002</c:v>
                </c:pt>
                <c:pt idx="54">
                  <c:v>110.73350000000001</c:v>
                </c:pt>
                <c:pt idx="55">
                  <c:v>110.98300000000002</c:v>
                </c:pt>
                <c:pt idx="56">
                  <c:v>111.08199999999999</c:v>
                </c:pt>
                <c:pt idx="57">
                  <c:v>111.05099999999997</c:v>
                </c:pt>
                <c:pt idx="58">
                  <c:v>110.73599999999999</c:v>
                </c:pt>
                <c:pt idx="59">
                  <c:v>110.1525</c:v>
                </c:pt>
                <c:pt idx="60">
                  <c:v>109.52550000000001</c:v>
                </c:pt>
                <c:pt idx="61">
                  <c:v>109.05400000000002</c:v>
                </c:pt>
                <c:pt idx="62">
                  <c:v>108.6635</c:v>
                </c:pt>
                <c:pt idx="63">
                  <c:v>108.3845</c:v>
                </c:pt>
                <c:pt idx="64">
                  <c:v>108.005</c:v>
                </c:pt>
                <c:pt idx="65">
                  <c:v>107.63999999999999</c:v>
                </c:pt>
                <c:pt idx="66">
                  <c:v>107.2465</c:v>
                </c:pt>
                <c:pt idx="67">
                  <c:v>106.929</c:v>
                </c:pt>
                <c:pt idx="68">
                  <c:v>106.571</c:v>
                </c:pt>
                <c:pt idx="69">
                  <c:v>106.07000000000001</c:v>
                </c:pt>
                <c:pt idx="70">
                  <c:v>105.60149999999999</c:v>
                </c:pt>
                <c:pt idx="71">
                  <c:v>105.19799999999998</c:v>
                </c:pt>
                <c:pt idx="72">
                  <c:v>104.8895</c:v>
                </c:pt>
                <c:pt idx="73">
                  <c:v>104.57549999999999</c:v>
                </c:pt>
                <c:pt idx="74">
                  <c:v>104.16249999999998</c:v>
                </c:pt>
                <c:pt idx="75">
                  <c:v>103.724</c:v>
                </c:pt>
                <c:pt idx="76">
                  <c:v>103.41699999999999</c:v>
                </c:pt>
                <c:pt idx="77">
                  <c:v>103.0885</c:v>
                </c:pt>
                <c:pt idx="78">
                  <c:v>103.03149999999998</c:v>
                </c:pt>
                <c:pt idx="79">
                  <c:v>103.13</c:v>
                </c:pt>
                <c:pt idx="80">
                  <c:v>103.3545</c:v>
                </c:pt>
                <c:pt idx="81">
                  <c:v>103.45199999999997</c:v>
                </c:pt>
                <c:pt idx="82">
                  <c:v>103.31899999999999</c:v>
                </c:pt>
                <c:pt idx="83">
                  <c:v>103.11749999999999</c:v>
                </c:pt>
                <c:pt idx="84">
                  <c:v>102.8685</c:v>
                </c:pt>
                <c:pt idx="85">
                  <c:v>102.65599999999999</c:v>
                </c:pt>
                <c:pt idx="86">
                  <c:v>102.54249999999999</c:v>
                </c:pt>
                <c:pt idx="87">
                  <c:v>102.34700000000001</c:v>
                </c:pt>
                <c:pt idx="88">
                  <c:v>102.051</c:v>
                </c:pt>
                <c:pt idx="89">
                  <c:v>101.86600000000001</c:v>
                </c:pt>
                <c:pt idx="90">
                  <c:v>101.60450000000002</c:v>
                </c:pt>
                <c:pt idx="91">
                  <c:v>101.39750000000001</c:v>
                </c:pt>
                <c:pt idx="92">
                  <c:v>101.24350000000001</c:v>
                </c:pt>
                <c:pt idx="93">
                  <c:v>101.07750000000001</c:v>
                </c:pt>
                <c:pt idx="94">
                  <c:v>100.98250000000002</c:v>
                </c:pt>
                <c:pt idx="95">
                  <c:v>100.8545</c:v>
                </c:pt>
                <c:pt idx="96">
                  <c:v>100.73949999999999</c:v>
                </c:pt>
                <c:pt idx="97">
                  <c:v>100.6825</c:v>
                </c:pt>
                <c:pt idx="98">
                  <c:v>100.616</c:v>
                </c:pt>
                <c:pt idx="99">
                  <c:v>100.51799999999999</c:v>
                </c:pt>
                <c:pt idx="100">
                  <c:v>100.38049999999998</c:v>
                </c:pt>
                <c:pt idx="101">
                  <c:v>100.17999999999999</c:v>
                </c:pt>
                <c:pt idx="102">
                  <c:v>100.1215</c:v>
                </c:pt>
                <c:pt idx="103">
                  <c:v>100.08399999999999</c:v>
                </c:pt>
                <c:pt idx="104">
                  <c:v>100.10149999999999</c:v>
                </c:pt>
                <c:pt idx="105">
                  <c:v>100.15649999999998</c:v>
                </c:pt>
                <c:pt idx="106">
                  <c:v>100.27849999999998</c:v>
                </c:pt>
                <c:pt idx="107">
                  <c:v>100.39649999999997</c:v>
                </c:pt>
                <c:pt idx="108">
                  <c:v>100.59649999999998</c:v>
                </c:pt>
                <c:pt idx="109">
                  <c:v>100.78899999999999</c:v>
                </c:pt>
                <c:pt idx="110">
                  <c:v>100.93049999999998</c:v>
                </c:pt>
                <c:pt idx="111">
                  <c:v>101.02499999999998</c:v>
                </c:pt>
                <c:pt idx="112">
                  <c:v>101.11549999999998</c:v>
                </c:pt>
                <c:pt idx="113">
                  <c:v>101.29449999999999</c:v>
                </c:pt>
                <c:pt idx="114">
                  <c:v>101.501</c:v>
                </c:pt>
                <c:pt idx="115">
                  <c:v>101.78349999999999</c:v>
                </c:pt>
                <c:pt idx="116">
                  <c:v>102.027</c:v>
                </c:pt>
                <c:pt idx="117">
                  <c:v>102.236</c:v>
                </c:pt>
                <c:pt idx="118">
                  <c:v>102.4325</c:v>
                </c:pt>
                <c:pt idx="119">
                  <c:v>102.627</c:v>
                </c:pt>
                <c:pt idx="120">
                  <c:v>102.7825</c:v>
                </c:pt>
                <c:pt idx="121">
                  <c:v>102.9695</c:v>
                </c:pt>
                <c:pt idx="122">
                  <c:v>103.12950000000001</c:v>
                </c:pt>
                <c:pt idx="123">
                  <c:v>103.24250000000002</c:v>
                </c:pt>
                <c:pt idx="124">
                  <c:v>103.227</c:v>
                </c:pt>
                <c:pt idx="125">
                  <c:v>103.1105</c:v>
                </c:pt>
                <c:pt idx="126">
                  <c:v>102.98600000000002</c:v>
                </c:pt>
                <c:pt idx="127">
                  <c:v>102.94649999999999</c:v>
                </c:pt>
                <c:pt idx="128">
                  <c:v>102.91899999999998</c:v>
                </c:pt>
                <c:pt idx="129">
                  <c:v>102.88849999999999</c:v>
                </c:pt>
                <c:pt idx="130">
                  <c:v>102.83699999999999</c:v>
                </c:pt>
                <c:pt idx="131">
                  <c:v>102.71099999999998</c:v>
                </c:pt>
                <c:pt idx="132">
                  <c:v>102.58500000000001</c:v>
                </c:pt>
                <c:pt idx="133">
                  <c:v>102.3185</c:v>
                </c:pt>
                <c:pt idx="134">
                  <c:v>102.00800000000001</c:v>
                </c:pt>
                <c:pt idx="135">
                  <c:v>101.60000000000001</c:v>
                </c:pt>
                <c:pt idx="136">
                  <c:v>101.2835</c:v>
                </c:pt>
                <c:pt idx="137">
                  <c:v>100.96600000000001</c:v>
                </c:pt>
                <c:pt idx="138">
                  <c:v>100.61850000000001</c:v>
                </c:pt>
                <c:pt idx="139">
                  <c:v>100.227</c:v>
                </c:pt>
                <c:pt idx="140">
                  <c:v>99.86999999999999</c:v>
                </c:pt>
                <c:pt idx="141">
                  <c:v>99.539500000000004</c:v>
                </c:pt>
                <c:pt idx="142">
                  <c:v>99.241500000000002</c:v>
                </c:pt>
                <c:pt idx="143">
                  <c:v>98.975999999999985</c:v>
                </c:pt>
                <c:pt idx="144">
                  <c:v>98.787499999999994</c:v>
                </c:pt>
                <c:pt idx="145">
                  <c:v>98.578999999999994</c:v>
                </c:pt>
                <c:pt idx="146">
                  <c:v>98.343999999999994</c:v>
                </c:pt>
                <c:pt idx="147">
                  <c:v>98.073499999999996</c:v>
                </c:pt>
                <c:pt idx="148">
                  <c:v>97.814999999999998</c:v>
                </c:pt>
                <c:pt idx="149">
                  <c:v>97.563499999999976</c:v>
                </c:pt>
                <c:pt idx="150">
                  <c:v>97.493499999999983</c:v>
                </c:pt>
                <c:pt idx="151">
                  <c:v>97.447999999999993</c:v>
                </c:pt>
                <c:pt idx="152">
                  <c:v>97.361999999999995</c:v>
                </c:pt>
                <c:pt idx="153">
                  <c:v>97.4345</c:v>
                </c:pt>
                <c:pt idx="154">
                  <c:v>97.501499999999993</c:v>
                </c:pt>
                <c:pt idx="155">
                  <c:v>97.66749999999999</c:v>
                </c:pt>
                <c:pt idx="156">
                  <c:v>97.683499999999995</c:v>
                </c:pt>
                <c:pt idx="157">
                  <c:v>97.675499999999985</c:v>
                </c:pt>
                <c:pt idx="158">
                  <c:v>97.713499999999996</c:v>
                </c:pt>
                <c:pt idx="159">
                  <c:v>97.847499999999997</c:v>
                </c:pt>
                <c:pt idx="160">
                  <c:v>98.000499999999988</c:v>
                </c:pt>
                <c:pt idx="161">
                  <c:v>98.187999999999988</c:v>
                </c:pt>
                <c:pt idx="162">
                  <c:v>98.342999999999989</c:v>
                </c:pt>
                <c:pt idx="163">
                  <c:v>98.584999999999994</c:v>
                </c:pt>
                <c:pt idx="164">
                  <c:v>98.777999999999992</c:v>
                </c:pt>
                <c:pt idx="165">
                  <c:v>99.093999999999994</c:v>
                </c:pt>
                <c:pt idx="166">
                  <c:v>99.388499999999993</c:v>
                </c:pt>
                <c:pt idx="167">
                  <c:v>99.624499999999983</c:v>
                </c:pt>
                <c:pt idx="168">
                  <c:v>99.867499999999978</c:v>
                </c:pt>
                <c:pt idx="169">
                  <c:v>100.1225</c:v>
                </c:pt>
                <c:pt idx="170">
                  <c:v>100.273</c:v>
                </c:pt>
                <c:pt idx="171">
                  <c:v>100.4295</c:v>
                </c:pt>
                <c:pt idx="172">
                  <c:v>100.5505</c:v>
                </c:pt>
                <c:pt idx="173">
                  <c:v>100.57149999999999</c:v>
                </c:pt>
                <c:pt idx="174">
                  <c:v>100.604</c:v>
                </c:pt>
                <c:pt idx="175">
                  <c:v>100.5055</c:v>
                </c:pt>
                <c:pt idx="176">
                  <c:v>100.44699999999999</c:v>
                </c:pt>
                <c:pt idx="177">
                  <c:v>100.47450000000001</c:v>
                </c:pt>
                <c:pt idx="178">
                  <c:v>100.40450000000001</c:v>
                </c:pt>
                <c:pt idx="179">
                  <c:v>100.27000000000001</c:v>
                </c:pt>
                <c:pt idx="180">
                  <c:v>100.16600000000001</c:v>
                </c:pt>
                <c:pt idx="181">
                  <c:v>99.93</c:v>
                </c:pt>
                <c:pt idx="182">
                  <c:v>99.739500000000007</c:v>
                </c:pt>
                <c:pt idx="183">
                  <c:v>99.546000000000006</c:v>
                </c:pt>
                <c:pt idx="184">
                  <c:v>99.415000000000006</c:v>
                </c:pt>
                <c:pt idx="185">
                  <c:v>99.3</c:v>
                </c:pt>
                <c:pt idx="186">
                  <c:v>99.195000000000007</c:v>
                </c:pt>
                <c:pt idx="187">
                  <c:v>99.189000000000007</c:v>
                </c:pt>
                <c:pt idx="188">
                  <c:v>99.212500000000006</c:v>
                </c:pt>
                <c:pt idx="189">
                  <c:v>99.318999999999988</c:v>
                </c:pt>
                <c:pt idx="190">
                  <c:v>99.386499999999998</c:v>
                </c:pt>
                <c:pt idx="191">
                  <c:v>99.308500000000009</c:v>
                </c:pt>
                <c:pt idx="192">
                  <c:v>99.31750000000001</c:v>
                </c:pt>
                <c:pt idx="193">
                  <c:v>99.32350000000001</c:v>
                </c:pt>
                <c:pt idx="194">
                  <c:v>99.258500000000026</c:v>
                </c:pt>
                <c:pt idx="195">
                  <c:v>99.273500000000013</c:v>
                </c:pt>
                <c:pt idx="196">
                  <c:v>99.430500000000023</c:v>
                </c:pt>
                <c:pt idx="197">
                  <c:v>99.539000000000016</c:v>
                </c:pt>
                <c:pt idx="198">
                  <c:v>99.562500000000028</c:v>
                </c:pt>
                <c:pt idx="199">
                  <c:v>99.573999999999998</c:v>
                </c:pt>
                <c:pt idx="200">
                  <c:v>99.498500000000007</c:v>
                </c:pt>
                <c:pt idx="201">
                  <c:v>99.503999999999991</c:v>
                </c:pt>
                <c:pt idx="202">
                  <c:v>99.484499999999997</c:v>
                </c:pt>
                <c:pt idx="203">
                  <c:v>99.330999999999989</c:v>
                </c:pt>
                <c:pt idx="204">
                  <c:v>99.21</c:v>
                </c:pt>
                <c:pt idx="205">
                  <c:v>99.000999999999991</c:v>
                </c:pt>
                <c:pt idx="206">
                  <c:v>98.773499999999984</c:v>
                </c:pt>
                <c:pt idx="207">
                  <c:v>98.602499999999992</c:v>
                </c:pt>
                <c:pt idx="208">
                  <c:v>98.489000000000004</c:v>
                </c:pt>
                <c:pt idx="209">
                  <c:v>98.241500000000002</c:v>
                </c:pt>
                <c:pt idx="210">
                  <c:v>98.106500000000011</c:v>
                </c:pt>
                <c:pt idx="211">
                  <c:v>98.087000000000018</c:v>
                </c:pt>
                <c:pt idx="212">
                  <c:v>97.942500000000024</c:v>
                </c:pt>
                <c:pt idx="213">
                  <c:v>97.863000000000028</c:v>
                </c:pt>
                <c:pt idx="214">
                  <c:v>97.864500000000021</c:v>
                </c:pt>
                <c:pt idx="215">
                  <c:v>97.898499999999999</c:v>
                </c:pt>
                <c:pt idx="216">
                  <c:v>97.856500000000011</c:v>
                </c:pt>
                <c:pt idx="217">
                  <c:v>97.8155</c:v>
                </c:pt>
                <c:pt idx="218">
                  <c:v>97.915999999999997</c:v>
                </c:pt>
                <c:pt idx="219">
                  <c:v>98.038499999999985</c:v>
                </c:pt>
                <c:pt idx="220">
                  <c:v>98.215499999999992</c:v>
                </c:pt>
                <c:pt idx="221">
                  <c:v>98.329499999999996</c:v>
                </c:pt>
                <c:pt idx="222">
                  <c:v>98.465499999999992</c:v>
                </c:pt>
                <c:pt idx="223">
                  <c:v>98.661500000000004</c:v>
                </c:pt>
                <c:pt idx="224">
                  <c:v>98.879499999999993</c:v>
                </c:pt>
                <c:pt idx="225">
                  <c:v>99.069500000000005</c:v>
                </c:pt>
                <c:pt idx="226">
                  <c:v>99.229000000000013</c:v>
                </c:pt>
                <c:pt idx="227">
                  <c:v>99.363</c:v>
                </c:pt>
                <c:pt idx="228">
                  <c:v>99.467000000000013</c:v>
                </c:pt>
                <c:pt idx="229">
                  <c:v>99.650999999999996</c:v>
                </c:pt>
                <c:pt idx="230">
                  <c:v>99.830999999999989</c:v>
                </c:pt>
                <c:pt idx="231">
                  <c:v>100.084</c:v>
                </c:pt>
                <c:pt idx="232">
                  <c:v>100.37299999999998</c:v>
                </c:pt>
                <c:pt idx="233">
                  <c:v>100.60349999999998</c:v>
                </c:pt>
                <c:pt idx="234">
                  <c:v>100.84949999999999</c:v>
                </c:pt>
                <c:pt idx="235">
                  <c:v>101.10249999999998</c:v>
                </c:pt>
                <c:pt idx="236">
                  <c:v>101.40499999999999</c:v>
                </c:pt>
                <c:pt idx="237">
                  <c:v>101.68699999999998</c:v>
                </c:pt>
                <c:pt idx="238">
                  <c:v>101.9905</c:v>
                </c:pt>
                <c:pt idx="239">
                  <c:v>102.35600000000002</c:v>
                </c:pt>
                <c:pt idx="240">
                  <c:v>102.62750000000001</c:v>
                </c:pt>
                <c:pt idx="241">
                  <c:v>103.075</c:v>
                </c:pt>
                <c:pt idx="242">
                  <c:v>103.52799999999999</c:v>
                </c:pt>
                <c:pt idx="243">
                  <c:v>104.003</c:v>
                </c:pt>
                <c:pt idx="244">
                  <c:v>104.36100000000002</c:v>
                </c:pt>
                <c:pt idx="245">
                  <c:v>104.7345</c:v>
                </c:pt>
                <c:pt idx="246">
                  <c:v>105.2145</c:v>
                </c:pt>
                <c:pt idx="247">
                  <c:v>105.69750000000002</c:v>
                </c:pt>
                <c:pt idx="248">
                  <c:v>106.21</c:v>
                </c:pt>
                <c:pt idx="249">
                  <c:v>106.76700000000001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74-4F60-A64C-C2852D24BEEA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Data!$AB$2:$AB$251</c:f>
              <c:numCache>
                <c:formatCode>General</c:formatCode>
                <c:ptCount val="250"/>
                <c:pt idx="99">
                  <c:v>104.73649999999998</c:v>
                </c:pt>
                <c:pt idx="100">
                  <c:v>104.78899999999997</c:v>
                </c:pt>
                <c:pt idx="101">
                  <c:v>104.83589999999998</c:v>
                </c:pt>
                <c:pt idx="102">
                  <c:v>104.88289999999998</c:v>
                </c:pt>
                <c:pt idx="103">
                  <c:v>104.90629999999999</c:v>
                </c:pt>
                <c:pt idx="104">
                  <c:v>104.92029999999998</c:v>
                </c:pt>
                <c:pt idx="105">
                  <c:v>104.93129999999999</c:v>
                </c:pt>
                <c:pt idx="106">
                  <c:v>104.9676</c:v>
                </c:pt>
                <c:pt idx="107">
                  <c:v>104.9939</c:v>
                </c:pt>
                <c:pt idx="108">
                  <c:v>104.9992</c:v>
                </c:pt>
                <c:pt idx="109">
                  <c:v>104.98159999999999</c:v>
                </c:pt>
                <c:pt idx="110">
                  <c:v>104.96989999999998</c:v>
                </c:pt>
                <c:pt idx="111">
                  <c:v>104.99029999999999</c:v>
                </c:pt>
                <c:pt idx="112">
                  <c:v>105.00709999999999</c:v>
                </c:pt>
                <c:pt idx="113">
                  <c:v>105.00569999999998</c:v>
                </c:pt>
                <c:pt idx="114">
                  <c:v>104.98349999999999</c:v>
                </c:pt>
                <c:pt idx="115">
                  <c:v>104.99939999999997</c:v>
                </c:pt>
                <c:pt idx="116">
                  <c:v>105.01479999999998</c:v>
                </c:pt>
                <c:pt idx="117">
                  <c:v>105.0106</c:v>
                </c:pt>
                <c:pt idx="118">
                  <c:v>104.9965</c:v>
                </c:pt>
                <c:pt idx="119">
                  <c:v>104.96510000000001</c:v>
                </c:pt>
                <c:pt idx="120">
                  <c:v>104.92820000000002</c:v>
                </c:pt>
                <c:pt idx="121">
                  <c:v>104.89020000000001</c:v>
                </c:pt>
                <c:pt idx="122">
                  <c:v>104.84200000000001</c:v>
                </c:pt>
                <c:pt idx="123">
                  <c:v>104.79260000000001</c:v>
                </c:pt>
                <c:pt idx="124">
                  <c:v>104.73200000000001</c:v>
                </c:pt>
                <c:pt idx="125">
                  <c:v>104.67390000000002</c:v>
                </c:pt>
                <c:pt idx="126">
                  <c:v>104.61030000000002</c:v>
                </c:pt>
                <c:pt idx="127">
                  <c:v>104.54900000000002</c:v>
                </c:pt>
                <c:pt idx="128">
                  <c:v>104.47630000000001</c:v>
                </c:pt>
                <c:pt idx="129">
                  <c:v>104.38690000000003</c:v>
                </c:pt>
                <c:pt idx="130">
                  <c:v>104.28580000000002</c:v>
                </c:pt>
                <c:pt idx="131">
                  <c:v>104.18720000000003</c:v>
                </c:pt>
                <c:pt idx="132">
                  <c:v>104.06070000000001</c:v>
                </c:pt>
                <c:pt idx="133">
                  <c:v>103.94920000000002</c:v>
                </c:pt>
                <c:pt idx="134">
                  <c:v>103.87750000000004</c:v>
                </c:pt>
                <c:pt idx="135">
                  <c:v>103.78900000000003</c:v>
                </c:pt>
                <c:pt idx="136">
                  <c:v>103.70980000000002</c:v>
                </c:pt>
                <c:pt idx="137">
                  <c:v>103.6048</c:v>
                </c:pt>
                <c:pt idx="138">
                  <c:v>103.48690000000001</c:v>
                </c:pt>
                <c:pt idx="139">
                  <c:v>103.3309</c:v>
                </c:pt>
                <c:pt idx="140">
                  <c:v>103.18260000000001</c:v>
                </c:pt>
                <c:pt idx="141">
                  <c:v>103.039</c:v>
                </c:pt>
                <c:pt idx="142">
                  <c:v>102.895</c:v>
                </c:pt>
                <c:pt idx="143">
                  <c:v>102.76089999999998</c:v>
                </c:pt>
                <c:pt idx="144">
                  <c:v>102.59789999999997</c:v>
                </c:pt>
                <c:pt idx="145">
                  <c:v>102.42839999999997</c:v>
                </c:pt>
                <c:pt idx="146">
                  <c:v>102.27949999999996</c:v>
                </c:pt>
                <c:pt idx="147">
                  <c:v>102.13849999999996</c:v>
                </c:pt>
                <c:pt idx="148">
                  <c:v>101.99049999999997</c:v>
                </c:pt>
                <c:pt idx="149">
                  <c:v>101.83539999999999</c:v>
                </c:pt>
                <c:pt idx="150">
                  <c:v>101.69339999999997</c:v>
                </c:pt>
                <c:pt idx="151">
                  <c:v>101.55589999999997</c:v>
                </c:pt>
                <c:pt idx="152">
                  <c:v>101.43909999999998</c:v>
                </c:pt>
                <c:pt idx="153">
                  <c:v>101.34009999999998</c:v>
                </c:pt>
                <c:pt idx="154">
                  <c:v>101.23109999999997</c:v>
                </c:pt>
                <c:pt idx="155">
                  <c:v>101.12589999999996</c:v>
                </c:pt>
                <c:pt idx="156">
                  <c:v>101.03009999999996</c:v>
                </c:pt>
                <c:pt idx="157">
                  <c:v>100.92969999999997</c:v>
                </c:pt>
                <c:pt idx="158">
                  <c:v>100.88239999999998</c:v>
                </c:pt>
                <c:pt idx="159">
                  <c:v>100.86989999999997</c:v>
                </c:pt>
                <c:pt idx="160">
                  <c:v>100.87759999999999</c:v>
                </c:pt>
                <c:pt idx="161">
                  <c:v>100.86579999999996</c:v>
                </c:pt>
                <c:pt idx="162">
                  <c:v>100.83089999999997</c:v>
                </c:pt>
                <c:pt idx="163">
                  <c:v>100.80099999999997</c:v>
                </c:pt>
                <c:pt idx="164">
                  <c:v>100.75249999999998</c:v>
                </c:pt>
                <c:pt idx="165">
                  <c:v>100.71919999999996</c:v>
                </c:pt>
                <c:pt idx="166">
                  <c:v>100.70789999999997</c:v>
                </c:pt>
                <c:pt idx="167">
                  <c:v>100.67759999999997</c:v>
                </c:pt>
                <c:pt idx="168">
                  <c:v>100.64979999999997</c:v>
                </c:pt>
                <c:pt idx="169">
                  <c:v>100.64589999999998</c:v>
                </c:pt>
                <c:pt idx="170">
                  <c:v>100.62769999999999</c:v>
                </c:pt>
                <c:pt idx="171">
                  <c:v>100.60219999999998</c:v>
                </c:pt>
                <c:pt idx="172">
                  <c:v>100.57129999999998</c:v>
                </c:pt>
                <c:pt idx="173">
                  <c:v>100.53929999999998</c:v>
                </c:pt>
                <c:pt idx="174">
                  <c:v>100.51939999999999</c:v>
                </c:pt>
                <c:pt idx="175">
                  <c:v>100.48219999999999</c:v>
                </c:pt>
                <c:pt idx="176">
                  <c:v>100.43609999999998</c:v>
                </c:pt>
                <c:pt idx="177">
                  <c:v>100.40690000000001</c:v>
                </c:pt>
                <c:pt idx="178">
                  <c:v>100.35700000000001</c:v>
                </c:pt>
                <c:pt idx="179">
                  <c:v>100.29789999999998</c:v>
                </c:pt>
                <c:pt idx="180">
                  <c:v>100.23989999999998</c:v>
                </c:pt>
                <c:pt idx="181">
                  <c:v>100.16140000000001</c:v>
                </c:pt>
                <c:pt idx="182">
                  <c:v>100.11499999999999</c:v>
                </c:pt>
                <c:pt idx="183">
                  <c:v>100.08670000000002</c:v>
                </c:pt>
                <c:pt idx="184">
                  <c:v>100.06180000000001</c:v>
                </c:pt>
                <c:pt idx="185">
                  <c:v>100.04800000000002</c:v>
                </c:pt>
                <c:pt idx="186">
                  <c:v>100.03839999999998</c:v>
                </c:pt>
                <c:pt idx="187">
                  <c:v>100.04600000000001</c:v>
                </c:pt>
                <c:pt idx="188">
                  <c:v>100.08210000000001</c:v>
                </c:pt>
                <c:pt idx="189">
                  <c:v>100.13650000000001</c:v>
                </c:pt>
                <c:pt idx="190">
                  <c:v>100.1841</c:v>
                </c:pt>
                <c:pt idx="191">
                  <c:v>100.18439999999998</c:v>
                </c:pt>
                <c:pt idx="192">
                  <c:v>100.18610000000001</c:v>
                </c:pt>
                <c:pt idx="193">
                  <c:v>100.1885</c:v>
                </c:pt>
                <c:pt idx="194">
                  <c:v>100.17460000000003</c:v>
                </c:pt>
                <c:pt idx="195">
                  <c:v>100.16600000000003</c:v>
                </c:pt>
                <c:pt idx="196">
                  <c:v>100.1743</c:v>
                </c:pt>
                <c:pt idx="197">
                  <c:v>100.17820000000002</c:v>
                </c:pt>
                <c:pt idx="198">
                  <c:v>100.14630000000002</c:v>
                </c:pt>
                <c:pt idx="199">
                  <c:v>100.10910000000004</c:v>
                </c:pt>
                <c:pt idx="200">
                  <c:v>100.06350000000003</c:v>
                </c:pt>
                <c:pt idx="201">
                  <c:v>100.02620000000003</c:v>
                </c:pt>
                <c:pt idx="202">
                  <c:v>99.987600000000043</c:v>
                </c:pt>
                <c:pt idx="203">
                  <c:v>99.936100000000039</c:v>
                </c:pt>
                <c:pt idx="204">
                  <c:v>99.883500000000041</c:v>
                </c:pt>
                <c:pt idx="205">
                  <c:v>99.816900000000047</c:v>
                </c:pt>
                <c:pt idx="206">
                  <c:v>99.737400000000036</c:v>
                </c:pt>
                <c:pt idx="207">
                  <c:v>99.687200000000033</c:v>
                </c:pt>
                <c:pt idx="208">
                  <c:v>99.660600000000031</c:v>
                </c:pt>
                <c:pt idx="209">
                  <c:v>99.627000000000024</c:v>
                </c:pt>
                <c:pt idx="210">
                  <c:v>99.61930000000001</c:v>
                </c:pt>
                <c:pt idx="211">
                  <c:v>99.596800000000002</c:v>
                </c:pt>
                <c:pt idx="212">
                  <c:v>99.55149999999999</c:v>
                </c:pt>
                <c:pt idx="213">
                  <c:v>99.502199999999988</c:v>
                </c:pt>
                <c:pt idx="214">
                  <c:v>99.447299999999998</c:v>
                </c:pt>
                <c:pt idx="215">
                  <c:v>99.38900000000001</c:v>
                </c:pt>
                <c:pt idx="216">
                  <c:v>99.34020000000001</c:v>
                </c:pt>
                <c:pt idx="217">
                  <c:v>99.2941</c:v>
                </c:pt>
                <c:pt idx="218">
                  <c:v>99.242999999999995</c:v>
                </c:pt>
                <c:pt idx="219">
                  <c:v>99.191399999999973</c:v>
                </c:pt>
                <c:pt idx="220">
                  <c:v>99.150099999999981</c:v>
                </c:pt>
                <c:pt idx="221">
                  <c:v>99.098199999999977</c:v>
                </c:pt>
                <c:pt idx="222">
                  <c:v>99.054799999999972</c:v>
                </c:pt>
                <c:pt idx="223">
                  <c:v>99.019899999999978</c:v>
                </c:pt>
                <c:pt idx="224">
                  <c:v>99.013999999999982</c:v>
                </c:pt>
                <c:pt idx="225">
                  <c:v>99.008699999999976</c:v>
                </c:pt>
                <c:pt idx="226">
                  <c:v>98.98599999999999</c:v>
                </c:pt>
                <c:pt idx="227">
                  <c:v>98.970499999999973</c:v>
                </c:pt>
                <c:pt idx="228">
                  <c:v>98.970199999999991</c:v>
                </c:pt>
                <c:pt idx="229">
                  <c:v>98.979499999999973</c:v>
                </c:pt>
                <c:pt idx="230">
                  <c:v>99.018099999999976</c:v>
                </c:pt>
                <c:pt idx="231">
                  <c:v>99.071399999999954</c:v>
                </c:pt>
                <c:pt idx="232">
                  <c:v>99.109099999999955</c:v>
                </c:pt>
                <c:pt idx="233">
                  <c:v>99.159199999999942</c:v>
                </c:pt>
                <c:pt idx="234">
                  <c:v>99.215599999999952</c:v>
                </c:pt>
                <c:pt idx="235">
                  <c:v>99.289499999999947</c:v>
                </c:pt>
                <c:pt idx="236">
                  <c:v>99.364499999999992</c:v>
                </c:pt>
                <c:pt idx="237">
                  <c:v>99.438299999999984</c:v>
                </c:pt>
                <c:pt idx="238">
                  <c:v>99.517399999999967</c:v>
                </c:pt>
                <c:pt idx="239">
                  <c:v>99.617199999999954</c:v>
                </c:pt>
                <c:pt idx="240">
                  <c:v>99.701599999999956</c:v>
                </c:pt>
                <c:pt idx="241">
                  <c:v>99.805299999999946</c:v>
                </c:pt>
                <c:pt idx="242">
                  <c:v>99.912099999999953</c:v>
                </c:pt>
                <c:pt idx="243">
                  <c:v>100.02529999999997</c:v>
                </c:pt>
                <c:pt idx="244">
                  <c:v>100.12869999999997</c:v>
                </c:pt>
                <c:pt idx="245">
                  <c:v>100.2398</c:v>
                </c:pt>
                <c:pt idx="246">
                  <c:v>100.3601</c:v>
                </c:pt>
                <c:pt idx="247">
                  <c:v>100.4953</c:v>
                </c:pt>
                <c:pt idx="248">
                  <c:v>100.64920000000001</c:v>
                </c:pt>
                <c:pt idx="249">
                  <c:v>100.8202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74-4F60-A64C-C2852D24B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53407"/>
        <c:axId val="189741407"/>
      </c:lineChart>
      <c:dateAx>
        <c:axId val="189753407"/>
        <c:scaling>
          <c:orientation val="minMax"/>
          <c:min val="459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1407"/>
        <c:crosses val="autoZero"/>
        <c:auto val="1"/>
        <c:lblOffset val="100"/>
        <c:baseTimeUnit val="days"/>
      </c:dateAx>
      <c:valAx>
        <c:axId val="189741407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VWAP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Data!$C$2:$C$251</c:f>
              <c:numCache>
                <c:formatCode>_([$$-409]* #,##0.00_);_([$$-409]* \(#,##0.00\);_([$$-409]* "-"??_);_(@_)</c:formatCode>
                <c:ptCount val="250"/>
                <c:pt idx="0">
                  <c:v>95.76</c:v>
                </c:pt>
                <c:pt idx="1">
                  <c:v>95.26</c:v>
                </c:pt>
                <c:pt idx="2">
                  <c:v>95.76</c:v>
                </c:pt>
                <c:pt idx="3">
                  <c:v>98.26</c:v>
                </c:pt>
                <c:pt idx="4">
                  <c:v>99.68</c:v>
                </c:pt>
                <c:pt idx="5">
                  <c:v>100.97</c:v>
                </c:pt>
                <c:pt idx="6">
                  <c:v>99.96</c:v>
                </c:pt>
                <c:pt idx="7">
                  <c:v>99.92</c:v>
                </c:pt>
                <c:pt idx="8">
                  <c:v>101.52</c:v>
                </c:pt>
                <c:pt idx="9">
                  <c:v>104.02</c:v>
                </c:pt>
                <c:pt idx="10">
                  <c:v>102.15</c:v>
                </c:pt>
                <c:pt idx="11">
                  <c:v>100.2</c:v>
                </c:pt>
                <c:pt idx="12">
                  <c:v>100.91</c:v>
                </c:pt>
                <c:pt idx="13">
                  <c:v>103.64</c:v>
                </c:pt>
                <c:pt idx="14">
                  <c:v>106.66</c:v>
                </c:pt>
                <c:pt idx="15">
                  <c:v>103.77</c:v>
                </c:pt>
                <c:pt idx="16">
                  <c:v>102.64</c:v>
                </c:pt>
                <c:pt idx="17">
                  <c:v>104.57</c:v>
                </c:pt>
                <c:pt idx="18">
                  <c:v>106.41</c:v>
                </c:pt>
                <c:pt idx="19">
                  <c:v>107.62</c:v>
                </c:pt>
                <c:pt idx="20">
                  <c:v>107.81</c:v>
                </c:pt>
                <c:pt idx="21">
                  <c:v>107.49</c:v>
                </c:pt>
                <c:pt idx="22">
                  <c:v>108.48</c:v>
                </c:pt>
                <c:pt idx="23">
                  <c:v>107.8</c:v>
                </c:pt>
                <c:pt idx="24">
                  <c:v>106.83</c:v>
                </c:pt>
                <c:pt idx="25">
                  <c:v>105.55</c:v>
                </c:pt>
                <c:pt idx="26">
                  <c:v>107.46</c:v>
                </c:pt>
                <c:pt idx="27">
                  <c:v>107.89</c:v>
                </c:pt>
                <c:pt idx="28">
                  <c:v>108.77</c:v>
                </c:pt>
                <c:pt idx="29">
                  <c:v>110.59</c:v>
                </c:pt>
                <c:pt idx="30">
                  <c:v>110.06</c:v>
                </c:pt>
                <c:pt idx="31">
                  <c:v>109.58</c:v>
                </c:pt>
                <c:pt idx="32">
                  <c:v>112.72</c:v>
                </c:pt>
                <c:pt idx="33">
                  <c:v>109.32</c:v>
                </c:pt>
                <c:pt idx="34">
                  <c:v>105.4</c:v>
                </c:pt>
                <c:pt idx="35">
                  <c:v>106.05</c:v>
                </c:pt>
                <c:pt idx="36">
                  <c:v>105.77</c:v>
                </c:pt>
                <c:pt idx="37">
                  <c:v>108.3</c:v>
                </c:pt>
                <c:pt idx="38">
                  <c:v>109.84</c:v>
                </c:pt>
                <c:pt idx="39">
                  <c:v>112.25</c:v>
                </c:pt>
                <c:pt idx="40">
                  <c:v>111.81</c:v>
                </c:pt>
                <c:pt idx="41">
                  <c:v>111.44</c:v>
                </c:pt>
                <c:pt idx="42">
                  <c:v>112.1</c:v>
                </c:pt>
                <c:pt idx="43">
                  <c:v>110.96</c:v>
                </c:pt>
                <c:pt idx="44">
                  <c:v>113.3</c:v>
                </c:pt>
                <c:pt idx="45">
                  <c:v>112.52</c:v>
                </c:pt>
                <c:pt idx="46">
                  <c:v>111.29</c:v>
                </c:pt>
                <c:pt idx="47">
                  <c:v>110.45</c:v>
                </c:pt>
                <c:pt idx="48">
                  <c:v>111.13</c:v>
                </c:pt>
                <c:pt idx="49">
                  <c:v>112.13</c:v>
                </c:pt>
                <c:pt idx="50">
                  <c:v>112.75</c:v>
                </c:pt>
                <c:pt idx="51">
                  <c:v>112.56</c:v>
                </c:pt>
                <c:pt idx="52">
                  <c:v>110.03</c:v>
                </c:pt>
                <c:pt idx="53">
                  <c:v>109.52</c:v>
                </c:pt>
                <c:pt idx="54">
                  <c:v>110.47</c:v>
                </c:pt>
                <c:pt idx="55">
                  <c:v>111.04</c:v>
                </c:pt>
                <c:pt idx="56">
                  <c:v>107.75</c:v>
                </c:pt>
                <c:pt idx="57">
                  <c:v>107.68</c:v>
                </c:pt>
                <c:pt idx="58">
                  <c:v>103.54</c:v>
                </c:pt>
                <c:pt idx="59">
                  <c:v>100.58</c:v>
                </c:pt>
                <c:pt idx="60">
                  <c:v>99.27</c:v>
                </c:pt>
                <c:pt idx="61">
                  <c:v>102.01</c:v>
                </c:pt>
                <c:pt idx="62">
                  <c:v>104.29</c:v>
                </c:pt>
                <c:pt idx="63">
                  <c:v>105.38</c:v>
                </c:pt>
                <c:pt idx="64">
                  <c:v>105.71</c:v>
                </c:pt>
                <c:pt idx="65">
                  <c:v>105.22</c:v>
                </c:pt>
                <c:pt idx="66">
                  <c:v>103.42</c:v>
                </c:pt>
                <c:pt idx="67">
                  <c:v>104.1</c:v>
                </c:pt>
                <c:pt idx="68">
                  <c:v>103.97</c:v>
                </c:pt>
                <c:pt idx="69">
                  <c:v>102.11</c:v>
                </c:pt>
                <c:pt idx="70">
                  <c:v>103.38</c:v>
                </c:pt>
                <c:pt idx="71">
                  <c:v>104.49</c:v>
                </c:pt>
                <c:pt idx="72">
                  <c:v>103.86</c:v>
                </c:pt>
                <c:pt idx="73">
                  <c:v>103.24</c:v>
                </c:pt>
                <c:pt idx="74">
                  <c:v>102.21</c:v>
                </c:pt>
                <c:pt idx="75">
                  <c:v>102.27</c:v>
                </c:pt>
                <c:pt idx="76">
                  <c:v>101.61</c:v>
                </c:pt>
                <c:pt idx="77">
                  <c:v>101.11</c:v>
                </c:pt>
                <c:pt idx="78">
                  <c:v>102.4</c:v>
                </c:pt>
                <c:pt idx="79">
                  <c:v>102.55</c:v>
                </c:pt>
                <c:pt idx="80">
                  <c:v>103.76</c:v>
                </c:pt>
                <c:pt idx="81">
                  <c:v>103.96</c:v>
                </c:pt>
                <c:pt idx="82">
                  <c:v>101.63</c:v>
                </c:pt>
                <c:pt idx="83">
                  <c:v>101.35</c:v>
                </c:pt>
                <c:pt idx="84">
                  <c:v>100.73</c:v>
                </c:pt>
                <c:pt idx="85">
                  <c:v>100.97</c:v>
                </c:pt>
                <c:pt idx="86">
                  <c:v>101.15</c:v>
                </c:pt>
                <c:pt idx="87">
                  <c:v>100.19</c:v>
                </c:pt>
                <c:pt idx="88">
                  <c:v>98.05</c:v>
                </c:pt>
                <c:pt idx="89">
                  <c:v>98.41</c:v>
                </c:pt>
                <c:pt idx="90">
                  <c:v>98.15</c:v>
                </c:pt>
                <c:pt idx="91">
                  <c:v>100.35</c:v>
                </c:pt>
                <c:pt idx="92">
                  <c:v>100.78</c:v>
                </c:pt>
                <c:pt idx="93">
                  <c:v>99.92</c:v>
                </c:pt>
                <c:pt idx="94">
                  <c:v>100.31</c:v>
                </c:pt>
                <c:pt idx="95">
                  <c:v>99.71</c:v>
                </c:pt>
                <c:pt idx="96">
                  <c:v>99.31</c:v>
                </c:pt>
                <c:pt idx="97">
                  <c:v>99.97</c:v>
                </c:pt>
                <c:pt idx="98">
                  <c:v>101.07</c:v>
                </c:pt>
                <c:pt idx="99">
                  <c:v>100.59</c:v>
                </c:pt>
                <c:pt idx="100">
                  <c:v>101.01</c:v>
                </c:pt>
                <c:pt idx="101">
                  <c:v>99.95</c:v>
                </c:pt>
                <c:pt idx="102">
                  <c:v>100.46</c:v>
                </c:pt>
                <c:pt idx="103">
                  <c:v>100.6</c:v>
                </c:pt>
                <c:pt idx="104">
                  <c:v>101.08</c:v>
                </c:pt>
                <c:pt idx="105">
                  <c:v>102.07</c:v>
                </c:pt>
                <c:pt idx="106">
                  <c:v>103.59</c:v>
                </c:pt>
                <c:pt idx="107">
                  <c:v>102.55</c:v>
                </c:pt>
                <c:pt idx="108">
                  <c:v>102.05</c:v>
                </c:pt>
                <c:pt idx="109">
                  <c:v>102.26</c:v>
                </c:pt>
                <c:pt idx="110">
                  <c:v>100.98</c:v>
                </c:pt>
                <c:pt idx="111">
                  <c:v>102.24</c:v>
                </c:pt>
                <c:pt idx="112">
                  <c:v>102.59</c:v>
                </c:pt>
                <c:pt idx="113">
                  <c:v>103.5</c:v>
                </c:pt>
                <c:pt idx="114">
                  <c:v>104.44</c:v>
                </c:pt>
                <c:pt idx="115">
                  <c:v>105.36</c:v>
                </c:pt>
                <c:pt idx="116">
                  <c:v>104.18</c:v>
                </c:pt>
                <c:pt idx="117">
                  <c:v>104.15</c:v>
                </c:pt>
                <c:pt idx="118">
                  <c:v>105</c:v>
                </c:pt>
                <c:pt idx="119">
                  <c:v>104.48</c:v>
                </c:pt>
                <c:pt idx="120">
                  <c:v>104.12</c:v>
                </c:pt>
                <c:pt idx="121">
                  <c:v>103.69</c:v>
                </c:pt>
                <c:pt idx="122">
                  <c:v>103.66</c:v>
                </c:pt>
                <c:pt idx="123">
                  <c:v>102.86</c:v>
                </c:pt>
                <c:pt idx="124">
                  <c:v>100.77</c:v>
                </c:pt>
                <c:pt idx="125">
                  <c:v>99.74</c:v>
                </c:pt>
                <c:pt idx="126">
                  <c:v>101.1</c:v>
                </c:pt>
                <c:pt idx="127">
                  <c:v>101.76</c:v>
                </c:pt>
                <c:pt idx="128">
                  <c:v>101.5</c:v>
                </c:pt>
                <c:pt idx="129">
                  <c:v>101.65</c:v>
                </c:pt>
                <c:pt idx="130">
                  <c:v>99.95</c:v>
                </c:pt>
                <c:pt idx="131">
                  <c:v>99.72</c:v>
                </c:pt>
                <c:pt idx="132">
                  <c:v>100.07</c:v>
                </c:pt>
                <c:pt idx="133">
                  <c:v>98.17</c:v>
                </c:pt>
                <c:pt idx="134">
                  <c:v>98.23</c:v>
                </c:pt>
                <c:pt idx="135">
                  <c:v>97.2</c:v>
                </c:pt>
                <c:pt idx="136">
                  <c:v>97.85</c:v>
                </c:pt>
                <c:pt idx="137">
                  <c:v>97.8</c:v>
                </c:pt>
                <c:pt idx="138">
                  <c:v>98.05</c:v>
                </c:pt>
                <c:pt idx="139">
                  <c:v>96.65</c:v>
                </c:pt>
                <c:pt idx="140">
                  <c:v>96.98</c:v>
                </c:pt>
                <c:pt idx="141">
                  <c:v>97.08</c:v>
                </c:pt>
                <c:pt idx="142">
                  <c:v>97.7</c:v>
                </c:pt>
                <c:pt idx="143">
                  <c:v>97.55</c:v>
                </c:pt>
                <c:pt idx="144">
                  <c:v>97</c:v>
                </c:pt>
                <c:pt idx="145">
                  <c:v>95.57</c:v>
                </c:pt>
                <c:pt idx="146">
                  <c:v>96.4</c:v>
                </c:pt>
                <c:pt idx="147">
                  <c:v>96.35</c:v>
                </c:pt>
                <c:pt idx="148">
                  <c:v>96.33</c:v>
                </c:pt>
                <c:pt idx="149">
                  <c:v>96.62</c:v>
                </c:pt>
                <c:pt idx="150">
                  <c:v>98.55</c:v>
                </c:pt>
                <c:pt idx="151">
                  <c:v>98.81</c:v>
                </c:pt>
                <c:pt idx="152">
                  <c:v>98.35</c:v>
                </c:pt>
                <c:pt idx="153">
                  <c:v>99.62</c:v>
                </c:pt>
                <c:pt idx="154">
                  <c:v>99.57</c:v>
                </c:pt>
                <c:pt idx="155">
                  <c:v>100.52</c:v>
                </c:pt>
                <c:pt idx="156">
                  <c:v>98.17</c:v>
                </c:pt>
                <c:pt idx="157">
                  <c:v>97.64</c:v>
                </c:pt>
                <c:pt idx="158">
                  <c:v>98.81</c:v>
                </c:pt>
                <c:pt idx="159">
                  <c:v>99.33</c:v>
                </c:pt>
                <c:pt idx="160">
                  <c:v>100.04</c:v>
                </c:pt>
                <c:pt idx="161">
                  <c:v>100.83</c:v>
                </c:pt>
                <c:pt idx="162">
                  <c:v>100.8</c:v>
                </c:pt>
                <c:pt idx="163">
                  <c:v>102.39</c:v>
                </c:pt>
                <c:pt idx="164">
                  <c:v>100.86</c:v>
                </c:pt>
                <c:pt idx="165">
                  <c:v>101.89</c:v>
                </c:pt>
                <c:pt idx="166">
                  <c:v>102.29</c:v>
                </c:pt>
                <c:pt idx="167">
                  <c:v>101.07</c:v>
                </c:pt>
                <c:pt idx="168">
                  <c:v>101.19</c:v>
                </c:pt>
                <c:pt idx="169">
                  <c:v>101.72</c:v>
                </c:pt>
                <c:pt idx="170">
                  <c:v>101.56</c:v>
                </c:pt>
                <c:pt idx="171">
                  <c:v>101.94</c:v>
                </c:pt>
                <c:pt idx="172">
                  <c:v>100.77</c:v>
                </c:pt>
                <c:pt idx="173">
                  <c:v>100.04</c:v>
                </c:pt>
                <c:pt idx="174">
                  <c:v>100.22</c:v>
                </c:pt>
                <c:pt idx="175">
                  <c:v>98.55</c:v>
                </c:pt>
                <c:pt idx="176">
                  <c:v>97</c:v>
                </c:pt>
                <c:pt idx="177">
                  <c:v>98.19</c:v>
                </c:pt>
                <c:pt idx="178">
                  <c:v>97.41</c:v>
                </c:pt>
                <c:pt idx="179">
                  <c:v>96.64</c:v>
                </c:pt>
                <c:pt idx="180">
                  <c:v>97.96</c:v>
                </c:pt>
                <c:pt idx="181">
                  <c:v>96.11</c:v>
                </c:pt>
                <c:pt idx="182">
                  <c:v>96.99</c:v>
                </c:pt>
                <c:pt idx="183">
                  <c:v>98.52</c:v>
                </c:pt>
                <c:pt idx="184">
                  <c:v>98.24</c:v>
                </c:pt>
                <c:pt idx="185">
                  <c:v>99.59</c:v>
                </c:pt>
                <c:pt idx="186">
                  <c:v>100.19</c:v>
                </c:pt>
                <c:pt idx="187">
                  <c:v>100.95</c:v>
                </c:pt>
                <c:pt idx="188">
                  <c:v>101.66</c:v>
                </c:pt>
                <c:pt idx="189">
                  <c:v>103.85</c:v>
                </c:pt>
                <c:pt idx="190">
                  <c:v>102.91</c:v>
                </c:pt>
                <c:pt idx="191">
                  <c:v>100.38</c:v>
                </c:pt>
                <c:pt idx="192">
                  <c:v>100.95</c:v>
                </c:pt>
                <c:pt idx="193">
                  <c:v>100.16</c:v>
                </c:pt>
                <c:pt idx="194">
                  <c:v>98.92</c:v>
                </c:pt>
                <c:pt idx="195">
                  <c:v>98.85</c:v>
                </c:pt>
                <c:pt idx="196">
                  <c:v>100.14</c:v>
                </c:pt>
                <c:pt idx="197">
                  <c:v>100.36</c:v>
                </c:pt>
                <c:pt idx="198">
                  <c:v>97.88</c:v>
                </c:pt>
                <c:pt idx="199">
                  <c:v>96.87</c:v>
                </c:pt>
                <c:pt idx="200">
                  <c:v>96.45</c:v>
                </c:pt>
                <c:pt idx="201">
                  <c:v>96.22</c:v>
                </c:pt>
                <c:pt idx="202">
                  <c:v>96.6</c:v>
                </c:pt>
                <c:pt idx="203">
                  <c:v>95.45</c:v>
                </c:pt>
                <c:pt idx="204">
                  <c:v>95.82</c:v>
                </c:pt>
                <c:pt idx="205">
                  <c:v>95.41</c:v>
                </c:pt>
                <c:pt idx="206">
                  <c:v>95.64</c:v>
                </c:pt>
                <c:pt idx="207">
                  <c:v>97.53</c:v>
                </c:pt>
                <c:pt idx="208">
                  <c:v>99.39</c:v>
                </c:pt>
                <c:pt idx="209">
                  <c:v>98.9</c:v>
                </c:pt>
                <c:pt idx="210">
                  <c:v>100.21</c:v>
                </c:pt>
                <c:pt idx="211">
                  <c:v>99.99</c:v>
                </c:pt>
                <c:pt idx="212">
                  <c:v>98.06</c:v>
                </c:pt>
                <c:pt idx="213">
                  <c:v>98.57</c:v>
                </c:pt>
                <c:pt idx="214">
                  <c:v>98.95</c:v>
                </c:pt>
                <c:pt idx="215">
                  <c:v>99.53</c:v>
                </c:pt>
                <c:pt idx="216">
                  <c:v>99.3</c:v>
                </c:pt>
                <c:pt idx="217">
                  <c:v>99.54</c:v>
                </c:pt>
                <c:pt idx="218">
                  <c:v>99.89</c:v>
                </c:pt>
                <c:pt idx="219">
                  <c:v>99.32</c:v>
                </c:pt>
                <c:pt idx="220">
                  <c:v>99.99</c:v>
                </c:pt>
                <c:pt idx="221">
                  <c:v>98.5</c:v>
                </c:pt>
                <c:pt idx="222">
                  <c:v>99.32</c:v>
                </c:pt>
                <c:pt idx="223">
                  <c:v>99.37</c:v>
                </c:pt>
                <c:pt idx="224">
                  <c:v>100.18</c:v>
                </c:pt>
                <c:pt idx="225">
                  <c:v>99.21</c:v>
                </c:pt>
                <c:pt idx="226">
                  <c:v>98.83</c:v>
                </c:pt>
                <c:pt idx="227">
                  <c:v>100.21</c:v>
                </c:pt>
                <c:pt idx="228">
                  <c:v>101.47</c:v>
                </c:pt>
                <c:pt idx="229">
                  <c:v>102.58</c:v>
                </c:pt>
                <c:pt idx="230">
                  <c:v>103.81</c:v>
                </c:pt>
                <c:pt idx="231">
                  <c:v>105.05</c:v>
                </c:pt>
                <c:pt idx="232">
                  <c:v>103.84</c:v>
                </c:pt>
                <c:pt idx="233">
                  <c:v>103.18</c:v>
                </c:pt>
                <c:pt idx="234">
                  <c:v>103.87</c:v>
                </c:pt>
                <c:pt idx="235">
                  <c:v>104.59</c:v>
                </c:pt>
                <c:pt idx="236">
                  <c:v>105.35</c:v>
                </c:pt>
                <c:pt idx="237">
                  <c:v>105.18</c:v>
                </c:pt>
                <c:pt idx="238">
                  <c:v>105.96</c:v>
                </c:pt>
                <c:pt idx="239">
                  <c:v>106.63</c:v>
                </c:pt>
                <c:pt idx="240">
                  <c:v>105.42</c:v>
                </c:pt>
                <c:pt idx="241">
                  <c:v>107.45</c:v>
                </c:pt>
                <c:pt idx="242">
                  <c:v>108.38</c:v>
                </c:pt>
                <c:pt idx="243">
                  <c:v>108.87</c:v>
                </c:pt>
                <c:pt idx="244">
                  <c:v>107.34</c:v>
                </c:pt>
                <c:pt idx="245">
                  <c:v>106.68</c:v>
                </c:pt>
                <c:pt idx="246">
                  <c:v>108.43</c:v>
                </c:pt>
                <c:pt idx="247">
                  <c:v>109.87</c:v>
                </c:pt>
                <c:pt idx="248">
                  <c:v>111.72</c:v>
                </c:pt>
                <c:pt idx="249">
                  <c:v>113.72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2-4758-819C-42EC0AB12717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Data!$F$2:$F$251</c:f>
              <c:numCache>
                <c:formatCode>General</c:formatCode>
                <c:ptCount val="250"/>
                <c:pt idx="0">
                  <c:v>95.76</c:v>
                </c:pt>
                <c:pt idx="1">
                  <c:v>95.550156711155637</c:v>
                </c:pt>
                <c:pt idx="2">
                  <c:v>95.627435687878574</c:v>
                </c:pt>
                <c:pt idx="3">
                  <c:v>96.645067482465606</c:v>
                </c:pt>
                <c:pt idx="4">
                  <c:v>97.266894488259808</c:v>
                </c:pt>
                <c:pt idx="5">
                  <c:v>97.989304082062432</c:v>
                </c:pt>
                <c:pt idx="6">
                  <c:v>98.194376215154705</c:v>
                </c:pt>
                <c:pt idx="7">
                  <c:v>98.44053662734477</c:v>
                </c:pt>
                <c:pt idx="8">
                  <c:v>99.008564634233466</c:v>
                </c:pt>
                <c:pt idx="9">
                  <c:v>99.56470188827349</c:v>
                </c:pt>
                <c:pt idx="10">
                  <c:v>99.825302533586239</c:v>
                </c:pt>
                <c:pt idx="11">
                  <c:v>99.875478320728476</c:v>
                </c:pt>
                <c:pt idx="12">
                  <c:v>99.974310930008585</c:v>
                </c:pt>
                <c:pt idx="13">
                  <c:v>100.19155320905051</c:v>
                </c:pt>
                <c:pt idx="14">
                  <c:v>100.6248651692439</c:v>
                </c:pt>
                <c:pt idx="15">
                  <c:v>100.78231194670883</c:v>
                </c:pt>
                <c:pt idx="16">
                  <c:v>100.90146190918534</c:v>
                </c:pt>
                <c:pt idx="17">
                  <c:v>101.04605946555522</c:v>
                </c:pt>
                <c:pt idx="18">
                  <c:v>101.3604877673563</c:v>
                </c:pt>
                <c:pt idx="19">
                  <c:v>101.72019889535619</c:v>
                </c:pt>
                <c:pt idx="20">
                  <c:v>101.99851124965072</c:v>
                </c:pt>
                <c:pt idx="21">
                  <c:v>102.16878753220189</c:v>
                </c:pt>
                <c:pt idx="22">
                  <c:v>102.32652704397471</c:v>
                </c:pt>
                <c:pt idx="23">
                  <c:v>102.62756587621108</c:v>
                </c:pt>
                <c:pt idx="24">
                  <c:v>102.72462113006328</c:v>
                </c:pt>
                <c:pt idx="25">
                  <c:v>102.80945154880273</c:v>
                </c:pt>
                <c:pt idx="26">
                  <c:v>102.9127741069031</c:v>
                </c:pt>
                <c:pt idx="27">
                  <c:v>103.01732311216003</c:v>
                </c:pt>
                <c:pt idx="28">
                  <c:v>103.16872377688634</c:v>
                </c:pt>
                <c:pt idx="29">
                  <c:v>103.39973319061944</c:v>
                </c:pt>
                <c:pt idx="30">
                  <c:v>103.573115445236</c:v>
                </c:pt>
                <c:pt idx="31">
                  <c:v>103.69620500851178</c:v>
                </c:pt>
                <c:pt idx="32">
                  <c:v>104.063739729315</c:v>
                </c:pt>
                <c:pt idx="33">
                  <c:v>104.37240756687486</c:v>
                </c:pt>
                <c:pt idx="34">
                  <c:v>104.41235674056499</c:v>
                </c:pt>
                <c:pt idx="35">
                  <c:v>104.45023415862927</c:v>
                </c:pt>
                <c:pt idx="36">
                  <c:v>104.50385575324341</c:v>
                </c:pt>
                <c:pt idx="37">
                  <c:v>104.60715294887504</c:v>
                </c:pt>
                <c:pt idx="38">
                  <c:v>104.71506622642521</c:v>
                </c:pt>
                <c:pt idx="39">
                  <c:v>104.83962817806611</c:v>
                </c:pt>
                <c:pt idx="40">
                  <c:v>104.96244085038472</c:v>
                </c:pt>
                <c:pt idx="41">
                  <c:v>105.06594086613704</c:v>
                </c:pt>
                <c:pt idx="42">
                  <c:v>105.17259168370845</c:v>
                </c:pt>
                <c:pt idx="43">
                  <c:v>105.27055319893185</c:v>
                </c:pt>
                <c:pt idx="44">
                  <c:v>105.37593054626032</c:v>
                </c:pt>
                <c:pt idx="45">
                  <c:v>105.48163618967027</c:v>
                </c:pt>
                <c:pt idx="46">
                  <c:v>105.57787114749846</c:v>
                </c:pt>
                <c:pt idx="47">
                  <c:v>105.67134697912607</c:v>
                </c:pt>
                <c:pt idx="48">
                  <c:v>105.77829678992184</c:v>
                </c:pt>
                <c:pt idx="49">
                  <c:v>105.86190778562467</c:v>
                </c:pt>
                <c:pt idx="50">
                  <c:v>106.07880635820533</c:v>
                </c:pt>
                <c:pt idx="51">
                  <c:v>106.21094157376368</c:v>
                </c:pt>
                <c:pt idx="52">
                  <c:v>106.29082156151465</c:v>
                </c:pt>
                <c:pt idx="53">
                  <c:v>106.35325306896988</c:v>
                </c:pt>
                <c:pt idx="54">
                  <c:v>106.40652164680317</c:v>
                </c:pt>
                <c:pt idx="55">
                  <c:v>106.5019822672664</c:v>
                </c:pt>
                <c:pt idx="56">
                  <c:v>106.52785037441157</c:v>
                </c:pt>
                <c:pt idx="57">
                  <c:v>106.54236924410772</c:v>
                </c:pt>
                <c:pt idx="58">
                  <c:v>106.47786420965872</c:v>
                </c:pt>
                <c:pt idx="59">
                  <c:v>106.33597280212608</c:v>
                </c:pt>
                <c:pt idx="60">
                  <c:v>106.2103005259396</c:v>
                </c:pt>
                <c:pt idx="61">
                  <c:v>106.13448510114833</c:v>
                </c:pt>
                <c:pt idx="62">
                  <c:v>106.10859064404339</c:v>
                </c:pt>
                <c:pt idx="63">
                  <c:v>106.1010764711903</c:v>
                </c:pt>
                <c:pt idx="64">
                  <c:v>106.09683407269111</c:v>
                </c:pt>
                <c:pt idx="65">
                  <c:v>106.08502040703775</c:v>
                </c:pt>
                <c:pt idx="66">
                  <c:v>106.05566877885475</c:v>
                </c:pt>
                <c:pt idx="67">
                  <c:v>106.03575866999303</c:v>
                </c:pt>
                <c:pt idx="68">
                  <c:v>106.00986212611549</c:v>
                </c:pt>
                <c:pt idx="69">
                  <c:v>105.97414617714247</c:v>
                </c:pt>
                <c:pt idx="70">
                  <c:v>105.94084330499069</c:v>
                </c:pt>
                <c:pt idx="71">
                  <c:v>105.89895350872074</c:v>
                </c:pt>
                <c:pt idx="72">
                  <c:v>105.87807962542658</c:v>
                </c:pt>
                <c:pt idx="73">
                  <c:v>105.851063984305</c:v>
                </c:pt>
                <c:pt idx="74">
                  <c:v>105.82159740581018</c:v>
                </c:pt>
                <c:pt idx="75">
                  <c:v>105.77951941108681</c:v>
                </c:pt>
                <c:pt idx="76">
                  <c:v>105.74912940587221</c:v>
                </c:pt>
                <c:pt idx="77">
                  <c:v>105.71384645128303</c:v>
                </c:pt>
                <c:pt idx="78">
                  <c:v>105.6814646124829</c:v>
                </c:pt>
                <c:pt idx="79">
                  <c:v>105.64951010349645</c:v>
                </c:pt>
                <c:pt idx="80">
                  <c:v>105.63458924396834</c:v>
                </c:pt>
                <c:pt idx="81">
                  <c:v>105.61170997903454</c:v>
                </c:pt>
                <c:pt idx="82">
                  <c:v>105.56757415007414</c:v>
                </c:pt>
                <c:pt idx="83">
                  <c:v>105.51955157929399</c:v>
                </c:pt>
                <c:pt idx="84">
                  <c:v>105.46983743777928</c:v>
                </c:pt>
                <c:pt idx="85">
                  <c:v>105.33994991609892</c:v>
                </c:pt>
                <c:pt idx="86">
                  <c:v>105.27712035314971</c:v>
                </c:pt>
                <c:pt idx="87">
                  <c:v>105.22083548157968</c:v>
                </c:pt>
                <c:pt idx="88">
                  <c:v>105.10460518032933</c:v>
                </c:pt>
                <c:pt idx="89">
                  <c:v>105.0397066672277</c:v>
                </c:pt>
                <c:pt idx="90">
                  <c:v>104.96802589981144</c:v>
                </c:pt>
                <c:pt idx="91">
                  <c:v>104.91965060376771</c:v>
                </c:pt>
                <c:pt idx="92">
                  <c:v>104.87936594261396</c:v>
                </c:pt>
                <c:pt idx="93">
                  <c:v>104.83610705024708</c:v>
                </c:pt>
                <c:pt idx="94">
                  <c:v>104.81529354295914</c:v>
                </c:pt>
                <c:pt idx="95">
                  <c:v>104.78338417436564</c:v>
                </c:pt>
                <c:pt idx="96">
                  <c:v>104.71859412210053</c:v>
                </c:pt>
                <c:pt idx="97">
                  <c:v>104.67370302461732</c:v>
                </c:pt>
                <c:pt idx="98">
                  <c:v>104.65117226765386</c:v>
                </c:pt>
                <c:pt idx="99">
                  <c:v>104.62591366397265</c:v>
                </c:pt>
                <c:pt idx="100">
                  <c:v>104.60888944294064</c:v>
                </c:pt>
                <c:pt idx="101">
                  <c:v>104.58210833552648</c:v>
                </c:pt>
                <c:pt idx="102">
                  <c:v>104.55673533240309</c:v>
                </c:pt>
                <c:pt idx="103">
                  <c:v>104.52909727687467</c:v>
                </c:pt>
                <c:pt idx="104">
                  <c:v>104.50872304353629</c:v>
                </c:pt>
                <c:pt idx="105">
                  <c:v>104.49554609174635</c:v>
                </c:pt>
                <c:pt idx="106">
                  <c:v>104.49069086363889</c:v>
                </c:pt>
                <c:pt idx="107">
                  <c:v>104.47479335520541</c:v>
                </c:pt>
                <c:pt idx="108">
                  <c:v>104.45581825578343</c:v>
                </c:pt>
                <c:pt idx="109">
                  <c:v>104.44628065944708</c:v>
                </c:pt>
                <c:pt idx="110">
                  <c:v>104.42458162082912</c:v>
                </c:pt>
                <c:pt idx="111">
                  <c:v>104.41594522687102</c:v>
                </c:pt>
                <c:pt idx="112">
                  <c:v>104.40705727628219</c:v>
                </c:pt>
                <c:pt idx="113">
                  <c:v>104.39733710089266</c:v>
                </c:pt>
                <c:pt idx="114">
                  <c:v>104.39763331451104</c:v>
                </c:pt>
                <c:pt idx="115">
                  <c:v>104.40447946878969</c:v>
                </c:pt>
                <c:pt idx="116">
                  <c:v>104.40277922404999</c:v>
                </c:pt>
                <c:pt idx="117">
                  <c:v>104.40127150676879</c:v>
                </c:pt>
                <c:pt idx="118">
                  <c:v>104.40585463620353</c:v>
                </c:pt>
                <c:pt idx="119">
                  <c:v>104.40646529865791</c:v>
                </c:pt>
                <c:pt idx="120">
                  <c:v>104.40449030116874</c:v>
                </c:pt>
                <c:pt idx="121">
                  <c:v>104.39914160828401</c:v>
                </c:pt>
                <c:pt idx="122">
                  <c:v>104.39333329712052</c:v>
                </c:pt>
                <c:pt idx="123">
                  <c:v>104.38380199222706</c:v>
                </c:pt>
                <c:pt idx="124">
                  <c:v>104.35203177676972</c:v>
                </c:pt>
                <c:pt idx="125">
                  <c:v>104.31582110877277</c:v>
                </c:pt>
                <c:pt idx="126">
                  <c:v>104.2804740209092</c:v>
                </c:pt>
                <c:pt idx="127">
                  <c:v>104.25810577941701</c:v>
                </c:pt>
                <c:pt idx="128">
                  <c:v>104.2408430504484</c:v>
                </c:pt>
                <c:pt idx="129">
                  <c:v>104.22143255376284</c:v>
                </c:pt>
                <c:pt idx="130">
                  <c:v>104.19258164564187</c:v>
                </c:pt>
                <c:pt idx="131">
                  <c:v>104.15292771163551</c:v>
                </c:pt>
                <c:pt idx="132">
                  <c:v>104.10628178036502</c:v>
                </c:pt>
                <c:pt idx="133">
                  <c:v>104.06878589363822</c:v>
                </c:pt>
                <c:pt idx="134">
                  <c:v>104.00465325678439</c:v>
                </c:pt>
                <c:pt idx="135">
                  <c:v>103.95159577866481</c:v>
                </c:pt>
                <c:pt idx="136">
                  <c:v>103.88448162058182</c:v>
                </c:pt>
                <c:pt idx="137">
                  <c:v>103.85304724194832</c:v>
                </c:pt>
                <c:pt idx="138">
                  <c:v>103.82772854617086</c:v>
                </c:pt>
                <c:pt idx="139">
                  <c:v>103.78819257545636</c:v>
                </c:pt>
                <c:pt idx="140">
                  <c:v>103.76629287721612</c:v>
                </c:pt>
                <c:pt idx="141">
                  <c:v>103.73950626531763</c:v>
                </c:pt>
                <c:pt idx="142">
                  <c:v>103.71412018746335</c:v>
                </c:pt>
                <c:pt idx="143">
                  <c:v>103.69502356880859</c:v>
                </c:pt>
                <c:pt idx="144">
                  <c:v>103.67265672595744</c:v>
                </c:pt>
                <c:pt idx="145">
                  <c:v>103.63049379053359</c:v>
                </c:pt>
                <c:pt idx="146">
                  <c:v>103.59723471030124</c:v>
                </c:pt>
                <c:pt idx="147">
                  <c:v>103.56517697460114</c:v>
                </c:pt>
                <c:pt idx="148">
                  <c:v>103.4937670702124</c:v>
                </c:pt>
                <c:pt idx="149">
                  <c:v>103.4617669346098</c:v>
                </c:pt>
                <c:pt idx="150">
                  <c:v>103.43590887859372</c:v>
                </c:pt>
                <c:pt idx="151">
                  <c:v>103.4181700467436</c:v>
                </c:pt>
                <c:pt idx="152">
                  <c:v>103.39597898386488</c:v>
                </c:pt>
                <c:pt idx="153">
                  <c:v>103.37864180084163</c:v>
                </c:pt>
                <c:pt idx="154">
                  <c:v>103.36187535827196</c:v>
                </c:pt>
                <c:pt idx="155">
                  <c:v>103.34727926043972</c:v>
                </c:pt>
                <c:pt idx="156">
                  <c:v>103.31959595383043</c:v>
                </c:pt>
                <c:pt idx="157">
                  <c:v>103.30053668837043</c:v>
                </c:pt>
                <c:pt idx="158">
                  <c:v>103.28317794434076</c:v>
                </c:pt>
                <c:pt idx="159">
                  <c:v>103.26710868942212</c:v>
                </c:pt>
                <c:pt idx="160">
                  <c:v>103.25439513575392</c:v>
                </c:pt>
                <c:pt idx="161">
                  <c:v>103.24571516659026</c:v>
                </c:pt>
                <c:pt idx="162">
                  <c:v>103.23563171844826</c:v>
                </c:pt>
                <c:pt idx="163">
                  <c:v>103.23169700544211</c:v>
                </c:pt>
                <c:pt idx="164">
                  <c:v>103.22360205691419</c:v>
                </c:pt>
                <c:pt idx="165">
                  <c:v>103.21934149431283</c:v>
                </c:pt>
                <c:pt idx="166">
                  <c:v>103.21610556240286</c:v>
                </c:pt>
                <c:pt idx="167">
                  <c:v>103.20864838812976</c:v>
                </c:pt>
                <c:pt idx="168">
                  <c:v>103.20148515260779</c:v>
                </c:pt>
                <c:pt idx="169">
                  <c:v>103.19777822621106</c:v>
                </c:pt>
                <c:pt idx="170">
                  <c:v>103.19373507064027</c:v>
                </c:pt>
                <c:pt idx="171">
                  <c:v>103.18956760884302</c:v>
                </c:pt>
                <c:pt idx="172">
                  <c:v>103.18264350852293</c:v>
                </c:pt>
                <c:pt idx="173">
                  <c:v>103.17550584708539</c:v>
                </c:pt>
                <c:pt idx="174">
                  <c:v>103.16558038118065</c:v>
                </c:pt>
                <c:pt idx="175">
                  <c:v>103.15394835023331</c:v>
                </c:pt>
                <c:pt idx="176">
                  <c:v>103.12985412816862</c:v>
                </c:pt>
                <c:pt idx="177">
                  <c:v>103.10772774549713</c:v>
                </c:pt>
                <c:pt idx="178">
                  <c:v>103.07382370456054</c:v>
                </c:pt>
                <c:pt idx="179">
                  <c:v>103.05052751820676</c:v>
                </c:pt>
                <c:pt idx="180">
                  <c:v>103.03300045556969</c:v>
                </c:pt>
                <c:pt idx="181">
                  <c:v>102.99959401673549</c:v>
                </c:pt>
                <c:pt idx="182">
                  <c:v>102.96076439032265</c:v>
                </c:pt>
                <c:pt idx="183">
                  <c:v>102.93355066171512</c:v>
                </c:pt>
                <c:pt idx="184">
                  <c:v>102.91212020621113</c:v>
                </c:pt>
                <c:pt idx="185">
                  <c:v>102.89983235566132</c:v>
                </c:pt>
                <c:pt idx="186">
                  <c:v>102.89230550945327</c:v>
                </c:pt>
                <c:pt idx="187">
                  <c:v>102.88437668466268</c:v>
                </c:pt>
                <c:pt idx="188">
                  <c:v>102.87823334047178</c:v>
                </c:pt>
                <c:pt idx="189">
                  <c:v>102.88419904698092</c:v>
                </c:pt>
                <c:pt idx="190">
                  <c:v>102.88433448840392</c:v>
                </c:pt>
                <c:pt idx="191">
                  <c:v>102.86887315053094</c:v>
                </c:pt>
                <c:pt idx="192">
                  <c:v>102.85938628467753</c:v>
                </c:pt>
                <c:pt idx="193">
                  <c:v>102.83403438225841</c:v>
                </c:pt>
                <c:pt idx="194">
                  <c:v>102.77493541090053</c:v>
                </c:pt>
                <c:pt idx="195">
                  <c:v>102.7586482465439</c:v>
                </c:pt>
                <c:pt idx="196">
                  <c:v>102.75199532230299</c:v>
                </c:pt>
                <c:pt idx="197">
                  <c:v>102.74705636691498</c:v>
                </c:pt>
                <c:pt idx="198">
                  <c:v>102.72125307841505</c:v>
                </c:pt>
                <c:pt idx="199">
                  <c:v>102.69030230580407</c:v>
                </c:pt>
                <c:pt idx="200">
                  <c:v>102.66924782004072</c:v>
                </c:pt>
                <c:pt idx="201">
                  <c:v>102.6409263018969</c:v>
                </c:pt>
                <c:pt idx="202">
                  <c:v>102.62054395751296</c:v>
                </c:pt>
                <c:pt idx="203">
                  <c:v>102.59219222652088</c:v>
                </c:pt>
                <c:pt idx="204">
                  <c:v>102.56890460073556</c:v>
                </c:pt>
                <c:pt idx="205">
                  <c:v>102.54402802397711</c:v>
                </c:pt>
                <c:pt idx="206">
                  <c:v>102.52595172783552</c:v>
                </c:pt>
                <c:pt idx="207">
                  <c:v>102.5013669168991</c:v>
                </c:pt>
                <c:pt idx="208">
                  <c:v>102.4875691812605</c:v>
                </c:pt>
                <c:pt idx="209">
                  <c:v>102.47217207753344</c:v>
                </c:pt>
                <c:pt idx="210">
                  <c:v>102.46246499460335</c:v>
                </c:pt>
                <c:pt idx="211">
                  <c:v>102.45183493975827</c:v>
                </c:pt>
                <c:pt idx="212">
                  <c:v>102.41696144753652</c:v>
                </c:pt>
                <c:pt idx="213">
                  <c:v>102.40631342303847</c:v>
                </c:pt>
                <c:pt idx="214">
                  <c:v>102.39702942448368</c:v>
                </c:pt>
                <c:pt idx="215">
                  <c:v>102.39432221057017</c:v>
                </c:pt>
                <c:pt idx="216">
                  <c:v>102.39090692654213</c:v>
                </c:pt>
                <c:pt idx="217">
                  <c:v>102.38245202207092</c:v>
                </c:pt>
                <c:pt idx="218">
                  <c:v>102.37788570183652</c:v>
                </c:pt>
                <c:pt idx="219">
                  <c:v>102.37120849762707</c:v>
                </c:pt>
                <c:pt idx="220">
                  <c:v>102.36507345852144</c:v>
                </c:pt>
                <c:pt idx="221">
                  <c:v>102.35053175436276</c:v>
                </c:pt>
                <c:pt idx="222">
                  <c:v>102.34168511162852</c:v>
                </c:pt>
                <c:pt idx="223">
                  <c:v>102.33306086991266</c:v>
                </c:pt>
                <c:pt idx="224">
                  <c:v>102.32653233315223</c:v>
                </c:pt>
                <c:pt idx="225">
                  <c:v>102.31909934332076</c:v>
                </c:pt>
                <c:pt idx="226">
                  <c:v>102.30693043299014</c:v>
                </c:pt>
                <c:pt idx="227">
                  <c:v>102.29932795995047</c:v>
                </c:pt>
                <c:pt idx="228">
                  <c:v>102.29649088009444</c:v>
                </c:pt>
                <c:pt idx="229">
                  <c:v>102.29738402293208</c:v>
                </c:pt>
                <c:pt idx="230">
                  <c:v>102.3031478529675</c:v>
                </c:pt>
                <c:pt idx="231">
                  <c:v>102.31510292826246</c:v>
                </c:pt>
                <c:pt idx="232">
                  <c:v>102.32134804228566</c:v>
                </c:pt>
                <c:pt idx="233">
                  <c:v>102.32645437459104</c:v>
                </c:pt>
                <c:pt idx="234">
                  <c:v>102.33197849393616</c:v>
                </c:pt>
                <c:pt idx="235">
                  <c:v>102.33660838971548</c:v>
                </c:pt>
                <c:pt idx="236">
                  <c:v>102.34346980291819</c:v>
                </c:pt>
                <c:pt idx="237">
                  <c:v>102.35017268014586</c:v>
                </c:pt>
                <c:pt idx="238">
                  <c:v>102.36103935072374</c:v>
                </c:pt>
                <c:pt idx="239">
                  <c:v>102.37446209920701</c:v>
                </c:pt>
                <c:pt idx="240">
                  <c:v>102.38610180874882</c:v>
                </c:pt>
                <c:pt idx="241">
                  <c:v>102.40287854338798</c:v>
                </c:pt>
                <c:pt idx="242">
                  <c:v>102.42730571728644</c:v>
                </c:pt>
                <c:pt idx="243">
                  <c:v>102.44661165921582</c:v>
                </c:pt>
                <c:pt idx="244">
                  <c:v>102.46872098339239</c:v>
                </c:pt>
                <c:pt idx="245">
                  <c:v>102.47767776454018</c:v>
                </c:pt>
                <c:pt idx="246">
                  <c:v>102.50075035053456</c:v>
                </c:pt>
                <c:pt idx="247">
                  <c:v>102.51705257376015</c:v>
                </c:pt>
                <c:pt idx="248">
                  <c:v>102.53989079103245</c:v>
                </c:pt>
                <c:pt idx="249">
                  <c:v>102.58117769479716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2-4758-819C-42EC0AB12717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Data!$H$2:$H$251</c:f>
              <c:numCache>
                <c:formatCode>General</c:formatCode>
                <c:ptCount val="250"/>
                <c:pt idx="0">
                  <c:v>95.76</c:v>
                </c:pt>
                <c:pt idx="1">
                  <c:v>95.800156711155637</c:v>
                </c:pt>
                <c:pt idx="2">
                  <c:v>95.863137948274087</c:v>
                </c:pt>
                <c:pt idx="3">
                  <c:v>97.817671422421469</c:v>
                </c:pt>
                <c:pt idx="4">
                  <c:v>98.990676377014879</c:v>
                </c:pt>
                <c:pt idx="5">
                  <c:v>100.16356065999123</c:v>
                </c:pt>
                <c:pt idx="6">
                  <c:v>100.36817473387717</c:v>
                </c:pt>
                <c:pt idx="7">
                  <c:v>100.57576458648637</c:v>
                </c:pt>
                <c:pt idx="8">
                  <c:v>101.27654029112375</c:v>
                </c:pt>
                <c:pt idx="9">
                  <c:v>102.26783507034203</c:v>
                </c:pt>
                <c:pt idx="10">
                  <c:v>102.54668617534273</c:v>
                </c:pt>
                <c:pt idx="11">
                  <c:v>102.49066951832761</c:v>
                </c:pt>
                <c:pt idx="12">
                  <c:v>102.51664294432258</c:v>
                </c:pt>
                <c:pt idx="13">
                  <c:v>102.85653559594333</c:v>
                </c:pt>
                <c:pt idx="14">
                  <c:v>103.70830884294526</c:v>
                </c:pt>
                <c:pt idx="15">
                  <c:v>103.88300844104684</c:v>
                </c:pt>
                <c:pt idx="16">
                  <c:v>103.950369592649</c:v>
                </c:pt>
                <c:pt idx="17">
                  <c:v>104.14201466229933</c:v>
                </c:pt>
                <c:pt idx="18">
                  <c:v>104.61795674727378</c:v>
                </c:pt>
                <c:pt idx="19">
                  <c:v>105.19326008111149</c:v>
                </c:pt>
                <c:pt idx="20">
                  <c:v>105.6457915397764</c:v>
                </c:pt>
                <c:pt idx="21">
                  <c:v>105.92512003669314</c:v>
                </c:pt>
                <c:pt idx="22">
                  <c:v>106.22767049517502</c:v>
                </c:pt>
                <c:pt idx="23">
                  <c:v>106.6002258268403</c:v>
                </c:pt>
                <c:pt idx="24">
                  <c:v>106.70624781271448</c:v>
                </c:pt>
                <c:pt idx="25">
                  <c:v>106.75141055777306</c:v>
                </c:pt>
                <c:pt idx="26">
                  <c:v>106.87854165033083</c:v>
                </c:pt>
                <c:pt idx="27">
                  <c:v>107.01580769435884</c:v>
                </c:pt>
                <c:pt idx="28">
                  <c:v>107.22798508630228</c:v>
                </c:pt>
                <c:pt idx="29">
                  <c:v>107.59586957490863</c:v>
                </c:pt>
                <c:pt idx="30">
                  <c:v>107.85536122615514</c:v>
                </c:pt>
                <c:pt idx="31">
                  <c:v>108.02853585083486</c:v>
                </c:pt>
                <c:pt idx="32">
                  <c:v>108.5842330916319</c:v>
                </c:pt>
                <c:pt idx="33">
                  <c:v>108.90711769369179</c:v>
                </c:pt>
                <c:pt idx="34">
                  <c:v>108.88484174584437</c:v>
                </c:pt>
                <c:pt idx="35">
                  <c:v>108.86808522274306</c:v>
                </c:pt>
                <c:pt idx="36">
                  <c:v>108.86657216868329</c:v>
                </c:pt>
                <c:pt idx="37">
                  <c:v>108.95439132624696</c:v>
                </c:pt>
                <c:pt idx="38">
                  <c:v>109.08481860289801</c:v>
                </c:pt>
                <c:pt idx="39">
                  <c:v>109.31032711671094</c:v>
                </c:pt>
                <c:pt idx="40">
                  <c:v>109.5036298861349</c:v>
                </c:pt>
                <c:pt idx="41">
                  <c:v>109.65539896925468</c:v>
                </c:pt>
                <c:pt idx="42">
                  <c:v>109.82406903353672</c:v>
                </c:pt>
                <c:pt idx="43">
                  <c:v>109.94244711007133</c:v>
                </c:pt>
                <c:pt idx="44">
                  <c:v>110.13497807001266</c:v>
                </c:pt>
                <c:pt idx="45">
                  <c:v>110.29209386767073</c:v>
                </c:pt>
                <c:pt idx="46">
                  <c:v>110.40084850990623</c:v>
                </c:pt>
                <c:pt idx="47">
                  <c:v>110.48633406644434</c:v>
                </c:pt>
                <c:pt idx="48">
                  <c:v>110.59723675883512</c:v>
                </c:pt>
                <c:pt idx="49">
                  <c:v>110.70468434871324</c:v>
                </c:pt>
                <c:pt idx="50">
                  <c:v>110.95666590952327</c:v>
                </c:pt>
                <c:pt idx="51">
                  <c:v>111.11466896297408</c:v>
                </c:pt>
                <c:pt idx="52">
                  <c:v>111.17122226960775</c:v>
                </c:pt>
                <c:pt idx="53">
                  <c:v>111.20418940116799</c:v>
                </c:pt>
                <c:pt idx="54">
                  <c:v>111.24003919625164</c:v>
                </c:pt>
                <c:pt idx="55">
                  <c:v>111.3260497858102</c:v>
                </c:pt>
                <c:pt idx="56">
                  <c:v>111.31101989039696</c:v>
                </c:pt>
                <c:pt idx="57">
                  <c:v>111.28543843825821</c:v>
                </c:pt>
                <c:pt idx="58">
                  <c:v>111.19978848473166</c:v>
                </c:pt>
                <c:pt idx="59">
                  <c:v>111.08521045732461</c:v>
                </c:pt>
                <c:pt idx="60">
                  <c:v>111.01347014927474</c:v>
                </c:pt>
                <c:pt idx="61">
                  <c:v>110.93306686190559</c:v>
                </c:pt>
                <c:pt idx="62">
                  <c:v>110.87682310653162</c:v>
                </c:pt>
                <c:pt idx="63">
                  <c:v>110.83376627027654</c:v>
                </c:pt>
                <c:pt idx="64">
                  <c:v>110.79381782094498</c:v>
                </c:pt>
                <c:pt idx="65">
                  <c:v>110.74859242551602</c:v>
                </c:pt>
                <c:pt idx="66">
                  <c:v>110.69841411916184</c:v>
                </c:pt>
                <c:pt idx="67">
                  <c:v>110.65224845331869</c:v>
                </c:pt>
                <c:pt idx="68">
                  <c:v>110.6014099118957</c:v>
                </c:pt>
                <c:pt idx="69">
                  <c:v>110.5596952640645</c:v>
                </c:pt>
                <c:pt idx="70">
                  <c:v>110.50636311294706</c:v>
                </c:pt>
                <c:pt idx="71">
                  <c:v>110.43702493653571</c:v>
                </c:pt>
                <c:pt idx="72">
                  <c:v>110.39293334089274</c:v>
                </c:pt>
                <c:pt idx="73">
                  <c:v>110.34775388774011</c:v>
                </c:pt>
                <c:pt idx="74">
                  <c:v>110.31039778997619</c:v>
                </c:pt>
                <c:pt idx="75">
                  <c:v>110.25938709592798</c:v>
                </c:pt>
                <c:pt idx="76">
                  <c:v>110.2274158473414</c:v>
                </c:pt>
                <c:pt idx="77">
                  <c:v>110.19636240883017</c:v>
                </c:pt>
                <c:pt idx="78">
                  <c:v>110.15244096519905</c:v>
                </c:pt>
                <c:pt idx="79">
                  <c:v>110.10739440934996</c:v>
                </c:pt>
                <c:pt idx="80">
                  <c:v>110.07054382383031</c:v>
                </c:pt>
                <c:pt idx="81">
                  <c:v>110.02498702586584</c:v>
                </c:pt>
                <c:pt idx="82">
                  <c:v>109.9770880300682</c:v>
                </c:pt>
                <c:pt idx="83">
                  <c:v>109.92799325170216</c:v>
                </c:pt>
                <c:pt idx="84">
                  <c:v>109.8841685438685</c:v>
                </c:pt>
                <c:pt idx="85">
                  <c:v>109.75634005424938</c:v>
                </c:pt>
                <c:pt idx="86">
                  <c:v>109.69282134465715</c:v>
                </c:pt>
                <c:pt idx="87">
                  <c:v>109.64704595330144</c:v>
                </c:pt>
                <c:pt idx="88">
                  <c:v>109.5739213384058</c:v>
                </c:pt>
                <c:pt idx="89">
                  <c:v>109.54306295880501</c:v>
                </c:pt>
                <c:pt idx="90">
                  <c:v>109.50751110219603</c:v>
                </c:pt>
                <c:pt idx="91">
                  <c:v>109.46212274507323</c:v>
                </c:pt>
                <c:pt idx="92">
                  <c:v>109.41957427594232</c:v>
                </c:pt>
                <c:pt idx="93">
                  <c:v>109.38306455559666</c:v>
                </c:pt>
                <c:pt idx="94">
                  <c:v>109.36382053961808</c:v>
                </c:pt>
                <c:pt idx="95">
                  <c:v>109.33967208644499</c:v>
                </c:pt>
                <c:pt idx="96">
                  <c:v>109.28666990714788</c:v>
                </c:pt>
                <c:pt idx="97">
                  <c:v>109.24497277973943</c:v>
                </c:pt>
                <c:pt idx="98">
                  <c:v>109.2146971119144</c:v>
                </c:pt>
                <c:pt idx="99">
                  <c:v>109.18564751037202</c:v>
                </c:pt>
                <c:pt idx="100">
                  <c:v>109.16097153010703</c:v>
                </c:pt>
                <c:pt idx="101">
                  <c:v>109.1359304296721</c:v>
                </c:pt>
                <c:pt idx="102">
                  <c:v>109.10701009288627</c:v>
                </c:pt>
                <c:pt idx="103">
                  <c:v>109.07433891120205</c:v>
                </c:pt>
                <c:pt idx="104">
                  <c:v>109.04497813440508</c:v>
                </c:pt>
                <c:pt idx="105">
                  <c:v>109.01666503713298</c:v>
                </c:pt>
                <c:pt idx="106">
                  <c:v>108.99151774586952</c:v>
                </c:pt>
                <c:pt idx="107">
                  <c:v>108.958660098758</c:v>
                </c:pt>
                <c:pt idx="108">
                  <c:v>108.92512987895141</c:v>
                </c:pt>
                <c:pt idx="109">
                  <c:v>108.90016376512108</c:v>
                </c:pt>
                <c:pt idx="110">
                  <c:v>108.87044848029895</c:v>
                </c:pt>
                <c:pt idx="111">
                  <c:v>108.84665365334138</c:v>
                </c:pt>
                <c:pt idx="112">
                  <c:v>108.82136328969774</c:v>
                </c:pt>
                <c:pt idx="113">
                  <c:v>108.79300761487194</c:v>
                </c:pt>
                <c:pt idx="114">
                  <c:v>108.77415484285872</c:v>
                </c:pt>
                <c:pt idx="115">
                  <c:v>108.76304893528813</c:v>
                </c:pt>
                <c:pt idx="116">
                  <c:v>108.74272242204167</c:v>
                </c:pt>
                <c:pt idx="117">
                  <c:v>108.72283780001784</c:v>
                </c:pt>
                <c:pt idx="118">
                  <c:v>108.70959825024501</c:v>
                </c:pt>
                <c:pt idx="119">
                  <c:v>108.69224799571441</c:v>
                </c:pt>
                <c:pt idx="120">
                  <c:v>108.67259379546412</c:v>
                </c:pt>
                <c:pt idx="121">
                  <c:v>108.65017575219103</c:v>
                </c:pt>
                <c:pt idx="122">
                  <c:v>108.62754118041686</c:v>
                </c:pt>
                <c:pt idx="123">
                  <c:v>108.60306741127559</c:v>
                </c:pt>
                <c:pt idx="124">
                  <c:v>108.5665314976856</c:v>
                </c:pt>
                <c:pt idx="125">
                  <c:v>108.53327802177746</c:v>
                </c:pt>
                <c:pt idx="126">
                  <c:v>108.49076830282773</c:v>
                </c:pt>
                <c:pt idx="127">
                  <c:v>108.45773374421634</c:v>
                </c:pt>
                <c:pt idx="128">
                  <c:v>108.43110417739508</c:v>
                </c:pt>
                <c:pt idx="129">
                  <c:v>108.40161775392949</c:v>
                </c:pt>
                <c:pt idx="130">
                  <c:v>108.3732399841234</c:v>
                </c:pt>
                <c:pt idx="131">
                  <c:v>108.33559984872467</c:v>
                </c:pt>
                <c:pt idx="132">
                  <c:v>108.28801877495624</c:v>
                </c:pt>
                <c:pt idx="133">
                  <c:v>108.26615048982863</c:v>
                </c:pt>
                <c:pt idx="134">
                  <c:v>108.21628643462543</c:v>
                </c:pt>
                <c:pt idx="135">
                  <c:v>108.18801772561837</c:v>
                </c:pt>
                <c:pt idx="136">
                  <c:v>108.13747624052351</c:v>
                </c:pt>
                <c:pt idx="137">
                  <c:v>108.12236784222463</c:v>
                </c:pt>
                <c:pt idx="138">
                  <c:v>108.11014488091648</c:v>
                </c:pt>
                <c:pt idx="139">
                  <c:v>108.09805931128616</c:v>
                </c:pt>
                <c:pt idx="140">
                  <c:v>108.09871470912853</c:v>
                </c:pt>
                <c:pt idx="141">
                  <c:v>108.09244834921408</c:v>
                </c:pt>
                <c:pt idx="142">
                  <c:v>108.08049517083099</c:v>
                </c:pt>
                <c:pt idx="143">
                  <c:v>108.0756353048677</c:v>
                </c:pt>
                <c:pt idx="144">
                  <c:v>108.07229176865336</c:v>
                </c:pt>
                <c:pt idx="145">
                  <c:v>108.06435257707331</c:v>
                </c:pt>
                <c:pt idx="146">
                  <c:v>108.05447819612051</c:v>
                </c:pt>
                <c:pt idx="147">
                  <c:v>108.04538862777871</c:v>
                </c:pt>
                <c:pt idx="148">
                  <c:v>107.99623060219723</c:v>
                </c:pt>
                <c:pt idx="149">
                  <c:v>107.98266187501952</c:v>
                </c:pt>
                <c:pt idx="150">
                  <c:v>107.95840267253341</c:v>
                </c:pt>
                <c:pt idx="151">
                  <c:v>107.9402925339503</c:v>
                </c:pt>
                <c:pt idx="152">
                  <c:v>107.92063771949664</c:v>
                </c:pt>
                <c:pt idx="153">
                  <c:v>107.89789183788147</c:v>
                </c:pt>
                <c:pt idx="154">
                  <c:v>107.87591716350093</c:v>
                </c:pt>
                <c:pt idx="155">
                  <c:v>107.85184225993298</c:v>
                </c:pt>
                <c:pt idx="156">
                  <c:v>107.827338882414</c:v>
                </c:pt>
                <c:pt idx="157">
                  <c:v>107.81505866577908</c:v>
                </c:pt>
                <c:pt idx="158">
                  <c:v>107.79623231147826</c:v>
                </c:pt>
                <c:pt idx="159">
                  <c:v>107.77568964688534</c:v>
                </c:pt>
                <c:pt idx="160">
                  <c:v>107.75516127125674</c:v>
                </c:pt>
                <c:pt idx="161">
                  <c:v>107.73587406360481</c:v>
                </c:pt>
                <c:pt idx="162">
                  <c:v>107.71533834533614</c:v>
                </c:pt>
                <c:pt idx="163">
                  <c:v>107.69797934922872</c:v>
                </c:pt>
                <c:pt idx="164">
                  <c:v>107.67942173861279</c:v>
                </c:pt>
                <c:pt idx="165">
                  <c:v>107.66252842890421</c:v>
                </c:pt>
                <c:pt idx="166">
                  <c:v>107.64628835075021</c:v>
                </c:pt>
                <c:pt idx="167">
                  <c:v>107.62805578084726</c:v>
                </c:pt>
                <c:pt idx="168">
                  <c:v>107.60989661178802</c:v>
                </c:pt>
                <c:pt idx="169">
                  <c:v>107.59421567355108</c:v>
                </c:pt>
                <c:pt idx="170">
                  <c:v>107.57857162725139</c:v>
                </c:pt>
                <c:pt idx="171">
                  <c:v>107.56229670501543</c:v>
                </c:pt>
                <c:pt idx="172">
                  <c:v>107.54579504644191</c:v>
                </c:pt>
                <c:pt idx="173">
                  <c:v>107.53154223910731</c:v>
                </c:pt>
                <c:pt idx="174">
                  <c:v>107.51385753810952</c:v>
                </c:pt>
                <c:pt idx="175">
                  <c:v>107.50209378229364</c:v>
                </c:pt>
                <c:pt idx="176">
                  <c:v>107.48790938324596</c:v>
                </c:pt>
                <c:pt idx="177">
                  <c:v>107.46733760732306</c:v>
                </c:pt>
                <c:pt idx="178">
                  <c:v>107.43978589140116</c:v>
                </c:pt>
                <c:pt idx="179">
                  <c:v>107.42814782558331</c:v>
                </c:pt>
                <c:pt idx="180">
                  <c:v>107.41286179452011</c:v>
                </c:pt>
                <c:pt idx="181">
                  <c:v>107.39459345759263</c:v>
                </c:pt>
                <c:pt idx="182">
                  <c:v>107.36374209284733</c:v>
                </c:pt>
                <c:pt idx="183">
                  <c:v>107.33501087627134</c:v>
                </c:pt>
                <c:pt idx="184">
                  <c:v>107.31341789319363</c:v>
                </c:pt>
                <c:pt idx="185">
                  <c:v>107.29479593182656</c:v>
                </c:pt>
                <c:pt idx="186">
                  <c:v>107.27897604392379</c:v>
                </c:pt>
                <c:pt idx="187">
                  <c:v>107.26095253970236</c:v>
                </c:pt>
                <c:pt idx="188">
                  <c:v>107.2437059140715</c:v>
                </c:pt>
                <c:pt idx="189">
                  <c:v>107.23917328576795</c:v>
                </c:pt>
                <c:pt idx="190">
                  <c:v>107.22796512627197</c:v>
                </c:pt>
                <c:pt idx="191">
                  <c:v>107.20403324944596</c:v>
                </c:pt>
                <c:pt idx="192">
                  <c:v>107.18483467437233</c:v>
                </c:pt>
                <c:pt idx="193">
                  <c:v>107.15170242878243</c:v>
                </c:pt>
                <c:pt idx="194">
                  <c:v>107.08924663959517</c:v>
                </c:pt>
                <c:pt idx="195">
                  <c:v>107.06985508958229</c:v>
                </c:pt>
                <c:pt idx="196">
                  <c:v>107.05550568213681</c:v>
                </c:pt>
                <c:pt idx="197">
                  <c:v>107.04232652756662</c:v>
                </c:pt>
                <c:pt idx="198">
                  <c:v>107.01801316524285</c:v>
                </c:pt>
                <c:pt idx="199">
                  <c:v>106.99434449425901</c:v>
                </c:pt>
                <c:pt idx="200">
                  <c:v>106.98308802930389</c:v>
                </c:pt>
                <c:pt idx="201">
                  <c:v>106.96583173345971</c:v>
                </c:pt>
                <c:pt idx="202">
                  <c:v>106.95360742752609</c:v>
                </c:pt>
                <c:pt idx="203">
                  <c:v>106.94128113754775</c:v>
                </c:pt>
                <c:pt idx="204">
                  <c:v>106.93080382633138</c:v>
                </c:pt>
                <c:pt idx="205">
                  <c:v>106.92136279707904</c:v>
                </c:pt>
                <c:pt idx="206">
                  <c:v>106.91658106802589</c:v>
                </c:pt>
                <c:pt idx="207">
                  <c:v>106.89334295011369</c:v>
                </c:pt>
                <c:pt idx="208">
                  <c:v>106.87325685821695</c:v>
                </c:pt>
                <c:pt idx="209">
                  <c:v>106.85318481547171</c:v>
                </c:pt>
                <c:pt idx="210">
                  <c:v>106.83511895394983</c:v>
                </c:pt>
                <c:pt idx="211">
                  <c:v>106.81665751974596</c:v>
                </c:pt>
                <c:pt idx="212">
                  <c:v>106.7804171328695</c:v>
                </c:pt>
                <c:pt idx="213">
                  <c:v>106.76626568514369</c:v>
                </c:pt>
                <c:pt idx="214">
                  <c:v>106.75209815970247</c:v>
                </c:pt>
                <c:pt idx="215">
                  <c:v>106.74275183424398</c:v>
                </c:pt>
                <c:pt idx="216">
                  <c:v>106.73336217071248</c:v>
                </c:pt>
                <c:pt idx="217">
                  <c:v>106.71827581138619</c:v>
                </c:pt>
                <c:pt idx="218">
                  <c:v>106.70624135969835</c:v>
                </c:pt>
                <c:pt idx="219">
                  <c:v>106.69358019961722</c:v>
                </c:pt>
                <c:pt idx="220">
                  <c:v>106.67981548500973</c:v>
                </c:pt>
                <c:pt idx="221">
                  <c:v>106.66197496816358</c:v>
                </c:pt>
                <c:pt idx="222">
                  <c:v>106.64717348524347</c:v>
                </c:pt>
                <c:pt idx="223">
                  <c:v>106.6324697505769</c:v>
                </c:pt>
                <c:pt idx="224">
                  <c:v>106.61803857285783</c:v>
                </c:pt>
                <c:pt idx="225">
                  <c:v>106.60501010986208</c:v>
                </c:pt>
                <c:pt idx="226">
                  <c:v>106.58839625734011</c:v>
                </c:pt>
                <c:pt idx="227">
                  <c:v>106.5729263489211</c:v>
                </c:pt>
                <c:pt idx="228">
                  <c:v>106.56085778846347</c:v>
                </c:pt>
                <c:pt idx="229">
                  <c:v>106.55268411164387</c:v>
                </c:pt>
                <c:pt idx="230">
                  <c:v>106.55101185110721</c:v>
                </c:pt>
                <c:pt idx="231">
                  <c:v>106.55868694817437</c:v>
                </c:pt>
                <c:pt idx="232">
                  <c:v>106.55760606891607</c:v>
                </c:pt>
                <c:pt idx="233">
                  <c:v>106.55439463420312</c:v>
                </c:pt>
                <c:pt idx="234">
                  <c:v>106.5527268724354</c:v>
                </c:pt>
                <c:pt idx="235">
                  <c:v>106.55182200434224</c:v>
                </c:pt>
                <c:pt idx="236">
                  <c:v>106.55542027613106</c:v>
                </c:pt>
                <c:pt idx="237">
                  <c:v>106.55828638990705</c:v>
                </c:pt>
                <c:pt idx="238">
                  <c:v>106.56804930683091</c:v>
                </c:pt>
                <c:pt idx="239">
                  <c:v>106.58312967153617</c:v>
                </c:pt>
                <c:pt idx="240">
                  <c:v>106.59160553848677</c:v>
                </c:pt>
                <c:pt idx="241">
                  <c:v>106.61387277514807</c:v>
                </c:pt>
                <c:pt idx="242">
                  <c:v>106.64888628645599</c:v>
                </c:pt>
                <c:pt idx="243">
                  <c:v>106.68158510014207</c:v>
                </c:pt>
                <c:pt idx="244">
                  <c:v>106.70801830793972</c:v>
                </c:pt>
                <c:pt idx="245">
                  <c:v>106.71810146122867</c:v>
                </c:pt>
                <c:pt idx="246">
                  <c:v>106.75114312824022</c:v>
                </c:pt>
                <c:pt idx="247">
                  <c:v>106.78657778892052</c:v>
                </c:pt>
                <c:pt idx="248">
                  <c:v>106.8428323233509</c:v>
                </c:pt>
                <c:pt idx="249">
                  <c:v>106.93583628733917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52-4758-819C-42EC0AB12717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Data!$I$2:$I$251</c:f>
              <c:numCache>
                <c:formatCode>General</c:formatCode>
                <c:ptCount val="250"/>
                <c:pt idx="0">
                  <c:v>95.76</c:v>
                </c:pt>
                <c:pt idx="1">
                  <c:v>95.300156711155637</c:v>
                </c:pt>
                <c:pt idx="2">
                  <c:v>95.391733427483061</c:v>
                </c:pt>
                <c:pt idx="3">
                  <c:v>95.472463542509743</c:v>
                </c:pt>
                <c:pt idx="4">
                  <c:v>95.543112599504738</c:v>
                </c:pt>
                <c:pt idx="5">
                  <c:v>95.815047504133631</c:v>
                </c:pt>
                <c:pt idx="6">
                  <c:v>96.020577696432241</c:v>
                </c:pt>
                <c:pt idx="7">
                  <c:v>96.305308668203168</c:v>
                </c:pt>
                <c:pt idx="8">
                  <c:v>96.74058897734318</c:v>
                </c:pt>
                <c:pt idx="9">
                  <c:v>96.861568706204949</c:v>
                </c:pt>
                <c:pt idx="10">
                  <c:v>97.10391889182975</c:v>
                </c:pt>
                <c:pt idx="11">
                  <c:v>97.260287123129345</c:v>
                </c:pt>
                <c:pt idx="12">
                  <c:v>97.431978915694586</c:v>
                </c:pt>
                <c:pt idx="13">
                  <c:v>97.526570822157694</c:v>
                </c:pt>
                <c:pt idx="14">
                  <c:v>97.541421495542551</c:v>
                </c:pt>
                <c:pt idx="15">
                  <c:v>97.681615452370821</c:v>
                </c:pt>
                <c:pt idx="16">
                  <c:v>97.85255422572169</c:v>
                </c:pt>
                <c:pt idx="17">
                  <c:v>97.950104268811103</c:v>
                </c:pt>
                <c:pt idx="18">
                  <c:v>98.103018787438828</c:v>
                </c:pt>
                <c:pt idx="19">
                  <c:v>98.247137709600892</c:v>
                </c:pt>
                <c:pt idx="20">
                  <c:v>98.35123095952504</c:v>
                </c:pt>
                <c:pt idx="21">
                  <c:v>98.412455027710635</c:v>
                </c:pt>
                <c:pt idx="22">
                  <c:v>98.425383592774395</c:v>
                </c:pt>
                <c:pt idx="23">
                  <c:v>98.654905925581858</c:v>
                </c:pt>
                <c:pt idx="24">
                  <c:v>98.742994447412087</c:v>
                </c:pt>
                <c:pt idx="25">
                  <c:v>98.867492539832398</c:v>
                </c:pt>
                <c:pt idx="26">
                  <c:v>98.947006563475369</c:v>
                </c:pt>
                <c:pt idx="27">
                  <c:v>99.018838529961215</c:v>
                </c:pt>
                <c:pt idx="28">
                  <c:v>99.109462467470394</c:v>
                </c:pt>
                <c:pt idx="29">
                  <c:v>99.203596806330253</c:v>
                </c:pt>
                <c:pt idx="30">
                  <c:v>99.290869664316858</c:v>
                </c:pt>
                <c:pt idx="31">
                  <c:v>99.363874166188708</c:v>
                </c:pt>
                <c:pt idx="32">
                  <c:v>99.543246366998105</c:v>
                </c:pt>
                <c:pt idx="33">
                  <c:v>99.837697440057923</c:v>
                </c:pt>
                <c:pt idx="34">
                  <c:v>99.939871735285607</c:v>
                </c:pt>
                <c:pt idx="35">
                  <c:v>100.03238309451548</c:v>
                </c:pt>
                <c:pt idx="36">
                  <c:v>100.14113933780354</c:v>
                </c:pt>
                <c:pt idx="37">
                  <c:v>100.25991457150312</c:v>
                </c:pt>
                <c:pt idx="38">
                  <c:v>100.3453138499524</c:v>
                </c:pt>
                <c:pt idx="39">
                  <c:v>100.36892923942128</c:v>
                </c:pt>
                <c:pt idx="40">
                  <c:v>100.42125181463454</c:v>
                </c:pt>
                <c:pt idx="41">
                  <c:v>100.4764827630194</c:v>
                </c:pt>
                <c:pt idx="42">
                  <c:v>100.52111433388018</c:v>
                </c:pt>
                <c:pt idx="43">
                  <c:v>100.59865928779237</c:v>
                </c:pt>
                <c:pt idx="44">
                  <c:v>100.61688302250798</c:v>
                </c:pt>
                <c:pt idx="45">
                  <c:v>100.67117851166981</c:v>
                </c:pt>
                <c:pt idx="46">
                  <c:v>100.75489378509069</c:v>
                </c:pt>
                <c:pt idx="47">
                  <c:v>100.8563598918078</c:v>
                </c:pt>
                <c:pt idx="48">
                  <c:v>100.95935682100856</c:v>
                </c:pt>
                <c:pt idx="49">
                  <c:v>101.01913122253609</c:v>
                </c:pt>
                <c:pt idx="50">
                  <c:v>101.20094680688739</c:v>
                </c:pt>
                <c:pt idx="51">
                  <c:v>101.30721418455327</c:v>
                </c:pt>
                <c:pt idx="52">
                  <c:v>101.41042085342154</c:v>
                </c:pt>
                <c:pt idx="53">
                  <c:v>101.50231673677176</c:v>
                </c:pt>
                <c:pt idx="54">
                  <c:v>101.5730040973547</c:v>
                </c:pt>
                <c:pt idx="55">
                  <c:v>101.6779147487226</c:v>
                </c:pt>
                <c:pt idx="56">
                  <c:v>101.74468085842618</c:v>
                </c:pt>
                <c:pt idx="57">
                  <c:v>101.79930004995722</c:v>
                </c:pt>
                <c:pt idx="58">
                  <c:v>101.75593993458578</c:v>
                </c:pt>
                <c:pt idx="59">
                  <c:v>101.58673514692755</c:v>
                </c:pt>
                <c:pt idx="60">
                  <c:v>101.40713090260446</c:v>
                </c:pt>
                <c:pt idx="61">
                  <c:v>101.33590334039107</c:v>
                </c:pt>
                <c:pt idx="62">
                  <c:v>101.34035818155516</c:v>
                </c:pt>
                <c:pt idx="63">
                  <c:v>101.36838667210405</c:v>
                </c:pt>
                <c:pt idx="64">
                  <c:v>101.39985032443724</c:v>
                </c:pt>
                <c:pt idx="65">
                  <c:v>101.42144838855947</c:v>
                </c:pt>
                <c:pt idx="66">
                  <c:v>101.41292343854767</c:v>
                </c:pt>
                <c:pt idx="67">
                  <c:v>101.41926888666737</c:v>
                </c:pt>
                <c:pt idx="68">
                  <c:v>101.41831434033529</c:v>
                </c:pt>
                <c:pt idx="69">
                  <c:v>101.38859709022044</c:v>
                </c:pt>
                <c:pt idx="70">
                  <c:v>101.37532349703433</c:v>
                </c:pt>
                <c:pt idx="71">
                  <c:v>101.36088208090577</c:v>
                </c:pt>
                <c:pt idx="72">
                  <c:v>101.36322590996042</c:v>
                </c:pt>
                <c:pt idx="73">
                  <c:v>101.35437408086989</c:v>
                </c:pt>
                <c:pt idx="74">
                  <c:v>101.33279702164417</c:v>
                </c:pt>
                <c:pt idx="75">
                  <c:v>101.29965172624564</c:v>
                </c:pt>
                <c:pt idx="76">
                  <c:v>101.27084296440302</c:v>
                </c:pt>
                <c:pt idx="77">
                  <c:v>101.2313304937359</c:v>
                </c:pt>
                <c:pt idx="78">
                  <c:v>101.21048825976675</c:v>
                </c:pt>
                <c:pt idx="79">
                  <c:v>101.19162579764294</c:v>
                </c:pt>
                <c:pt idx="80">
                  <c:v>101.19863466410636</c:v>
                </c:pt>
                <c:pt idx="81">
                  <c:v>101.19843293220325</c:v>
                </c:pt>
                <c:pt idx="82">
                  <c:v>101.15806027008007</c:v>
                </c:pt>
                <c:pt idx="83">
                  <c:v>101.11110990688582</c:v>
                </c:pt>
                <c:pt idx="84">
                  <c:v>101.05550633169005</c:v>
                </c:pt>
                <c:pt idx="85">
                  <c:v>100.92355977794846</c:v>
                </c:pt>
                <c:pt idx="86">
                  <c:v>100.86141936164228</c:v>
                </c:pt>
                <c:pt idx="87">
                  <c:v>100.79462500985792</c:v>
                </c:pt>
                <c:pt idx="88">
                  <c:v>100.63528902225286</c:v>
                </c:pt>
                <c:pt idx="89">
                  <c:v>100.5363503756504</c:v>
                </c:pt>
                <c:pt idx="90">
                  <c:v>100.42854069742684</c:v>
                </c:pt>
                <c:pt idx="91">
                  <c:v>100.37717846246218</c:v>
                </c:pt>
                <c:pt idx="92">
                  <c:v>100.33915760928559</c:v>
                </c:pt>
                <c:pt idx="93">
                  <c:v>100.2891495448975</c:v>
                </c:pt>
                <c:pt idx="94">
                  <c:v>100.2667665463002</c:v>
                </c:pt>
                <c:pt idx="95">
                  <c:v>100.22709626228628</c:v>
                </c:pt>
                <c:pt idx="96">
                  <c:v>100.15051833705317</c:v>
                </c:pt>
                <c:pt idx="97">
                  <c:v>100.10243326949522</c:v>
                </c:pt>
                <c:pt idx="98">
                  <c:v>100.08764742339332</c:v>
                </c:pt>
                <c:pt idx="99">
                  <c:v>100.06617981757329</c:v>
                </c:pt>
                <c:pt idx="100">
                  <c:v>100.05680735577424</c:v>
                </c:pt>
                <c:pt idx="101">
                  <c:v>100.02828624138087</c:v>
                </c:pt>
                <c:pt idx="102">
                  <c:v>100.00646057191992</c:v>
                </c:pt>
                <c:pt idx="103">
                  <c:v>99.983855642547283</c:v>
                </c:pt>
                <c:pt idx="104">
                  <c:v>99.9724679526675</c:v>
                </c:pt>
                <c:pt idx="105">
                  <c:v>99.974427146359716</c:v>
                </c:pt>
                <c:pt idx="106">
                  <c:v>99.989863981408263</c:v>
                </c:pt>
                <c:pt idx="107">
                  <c:v>99.99092661165281</c:v>
                </c:pt>
                <c:pt idx="108">
                  <c:v>99.986506632615445</c:v>
                </c:pt>
                <c:pt idx="109">
                  <c:v>99.992397553773088</c:v>
                </c:pt>
                <c:pt idx="110">
                  <c:v>99.978714761359285</c:v>
                </c:pt>
                <c:pt idx="111">
                  <c:v>99.985236800400656</c:v>
                </c:pt>
                <c:pt idx="112">
                  <c:v>99.992751262866634</c:v>
                </c:pt>
                <c:pt idx="113">
                  <c:v>100.00166658691337</c:v>
                </c:pt>
                <c:pt idx="114">
                  <c:v>100.02111178616336</c:v>
                </c:pt>
                <c:pt idx="115">
                  <c:v>100.04591000229125</c:v>
                </c:pt>
                <c:pt idx="116">
                  <c:v>100.06283602605832</c:v>
                </c:pt>
                <c:pt idx="117">
                  <c:v>100.07970521351974</c:v>
                </c:pt>
                <c:pt idx="118">
                  <c:v>100.10211102216205</c:v>
                </c:pt>
                <c:pt idx="119">
                  <c:v>100.1206826016014</c:v>
                </c:pt>
                <c:pt idx="120">
                  <c:v>100.13638680687335</c:v>
                </c:pt>
                <c:pt idx="121">
                  <c:v>100.14810746437699</c:v>
                </c:pt>
                <c:pt idx="122">
                  <c:v>100.15912541382419</c:v>
                </c:pt>
                <c:pt idx="123">
                  <c:v>100.16453657317854</c:v>
                </c:pt>
                <c:pt idx="124">
                  <c:v>100.13753205585384</c:v>
                </c:pt>
                <c:pt idx="125">
                  <c:v>100.09836419576807</c:v>
                </c:pt>
                <c:pt idx="126">
                  <c:v>100.07017973899066</c:v>
                </c:pt>
                <c:pt idx="127">
                  <c:v>100.05847781461767</c:v>
                </c:pt>
                <c:pt idx="128">
                  <c:v>100.05058192350172</c:v>
                </c:pt>
                <c:pt idx="129">
                  <c:v>100.04124735359619</c:v>
                </c:pt>
                <c:pt idx="130">
                  <c:v>100.01192330716033</c:v>
                </c:pt>
                <c:pt idx="131">
                  <c:v>99.970255574546357</c:v>
                </c:pt>
                <c:pt idx="132">
                  <c:v>99.924544785773804</c:v>
                </c:pt>
                <c:pt idx="133">
                  <c:v>99.87142129744781</c:v>
                </c:pt>
                <c:pt idx="134">
                  <c:v>99.793020078943357</c:v>
                </c:pt>
                <c:pt idx="135">
                  <c:v>99.715173831711255</c:v>
                </c:pt>
                <c:pt idx="136">
                  <c:v>99.631487000640135</c:v>
                </c:pt>
                <c:pt idx="137">
                  <c:v>99.583726641672001</c:v>
                </c:pt>
                <c:pt idx="138">
                  <c:v>99.545312211425241</c:v>
                </c:pt>
                <c:pt idx="139">
                  <c:v>99.478325839626564</c:v>
                </c:pt>
                <c:pt idx="140">
                  <c:v>99.433871045303704</c:v>
                </c:pt>
                <c:pt idx="141">
                  <c:v>99.386564181421178</c:v>
                </c:pt>
                <c:pt idx="142">
                  <c:v>99.347745204095716</c:v>
                </c:pt>
                <c:pt idx="143">
                  <c:v>99.314411832749485</c:v>
                </c:pt>
                <c:pt idx="144">
                  <c:v>99.273021683261518</c:v>
                </c:pt>
                <c:pt idx="145">
                  <c:v>99.196635003993876</c:v>
                </c:pt>
                <c:pt idx="146">
                  <c:v>99.13999122448196</c:v>
                </c:pt>
                <c:pt idx="147">
                  <c:v>99.084965321423581</c:v>
                </c:pt>
                <c:pt idx="148">
                  <c:v>98.991303538227569</c:v>
                </c:pt>
                <c:pt idx="149">
                  <c:v>98.94087199420008</c:v>
                </c:pt>
                <c:pt idx="150">
                  <c:v>98.913415084654034</c:v>
                </c:pt>
                <c:pt idx="151">
                  <c:v>98.896047559536896</c:v>
                </c:pt>
                <c:pt idx="152">
                  <c:v>98.871320248233118</c:v>
                </c:pt>
                <c:pt idx="153">
                  <c:v>98.859391763801796</c:v>
                </c:pt>
                <c:pt idx="154">
                  <c:v>98.847833553042989</c:v>
                </c:pt>
                <c:pt idx="155">
                  <c:v>98.84271626094646</c:v>
                </c:pt>
                <c:pt idx="156">
                  <c:v>98.811853025246862</c:v>
                </c:pt>
                <c:pt idx="157">
                  <c:v>98.78601471096178</c:v>
                </c:pt>
                <c:pt idx="158">
                  <c:v>98.770123577203265</c:v>
                </c:pt>
                <c:pt idx="159">
                  <c:v>98.758527731958893</c:v>
                </c:pt>
                <c:pt idx="160">
                  <c:v>98.753629000251109</c:v>
                </c:pt>
                <c:pt idx="161">
                  <c:v>98.755556269575706</c:v>
                </c:pt>
                <c:pt idx="162">
                  <c:v>98.755925091560385</c:v>
                </c:pt>
                <c:pt idx="163">
                  <c:v>98.765414661655512</c:v>
                </c:pt>
                <c:pt idx="164">
                  <c:v>98.767782375215589</c:v>
                </c:pt>
                <c:pt idx="165">
                  <c:v>98.776154559721448</c:v>
                </c:pt>
                <c:pt idx="166">
                  <c:v>98.785922774055507</c:v>
                </c:pt>
                <c:pt idx="167">
                  <c:v>98.789240995412257</c:v>
                </c:pt>
                <c:pt idx="168">
                  <c:v>98.793073693427559</c:v>
                </c:pt>
                <c:pt idx="169">
                  <c:v>98.801340778871037</c:v>
                </c:pt>
                <c:pt idx="170">
                  <c:v>98.808898514029153</c:v>
                </c:pt>
                <c:pt idx="171">
                  <c:v>98.816838512670614</c:v>
                </c:pt>
                <c:pt idx="172">
                  <c:v>98.819491970603949</c:v>
                </c:pt>
                <c:pt idx="173">
                  <c:v>98.819469455063469</c:v>
                </c:pt>
                <c:pt idx="174">
                  <c:v>98.817303224251773</c:v>
                </c:pt>
                <c:pt idx="175">
                  <c:v>98.805802918172972</c:v>
                </c:pt>
                <c:pt idx="176">
                  <c:v>98.771798873091271</c:v>
                </c:pt>
                <c:pt idx="177">
                  <c:v>98.748117883671199</c:v>
                </c:pt>
                <c:pt idx="178">
                  <c:v>98.70786151771992</c:v>
                </c:pt>
                <c:pt idx="179">
                  <c:v>98.672907210830218</c:v>
                </c:pt>
                <c:pt idx="180">
                  <c:v>98.653139116619272</c:v>
                </c:pt>
                <c:pt idx="181">
                  <c:v>98.604594575878338</c:v>
                </c:pt>
                <c:pt idx="182">
                  <c:v>98.557786687797972</c:v>
                </c:pt>
                <c:pt idx="183">
                  <c:v>98.532090447158893</c:v>
                </c:pt>
                <c:pt idx="184">
                  <c:v>98.510822519228626</c:v>
                </c:pt>
                <c:pt idx="185">
                  <c:v>98.504868779496078</c:v>
                </c:pt>
                <c:pt idx="186">
                  <c:v>98.50563497498274</c:v>
                </c:pt>
                <c:pt idx="187">
                  <c:v>98.507800829623008</c:v>
                </c:pt>
                <c:pt idx="188">
                  <c:v>98.512760766872063</c:v>
                </c:pt>
                <c:pt idx="189">
                  <c:v>98.529224808193902</c:v>
                </c:pt>
                <c:pt idx="190">
                  <c:v>98.540703850535877</c:v>
                </c:pt>
                <c:pt idx="191">
                  <c:v>98.533713051615933</c:v>
                </c:pt>
                <c:pt idx="192">
                  <c:v>98.533937894982728</c:v>
                </c:pt>
                <c:pt idx="193">
                  <c:v>98.516366335734389</c:v>
                </c:pt>
                <c:pt idx="194">
                  <c:v>98.460624182205876</c:v>
                </c:pt>
                <c:pt idx="195">
                  <c:v>98.447441403505508</c:v>
                </c:pt>
                <c:pt idx="196">
                  <c:v>98.448484962469166</c:v>
                </c:pt>
                <c:pt idx="197">
                  <c:v>98.451786206263336</c:v>
                </c:pt>
                <c:pt idx="198">
                  <c:v>98.424492991587243</c:v>
                </c:pt>
                <c:pt idx="199">
                  <c:v>98.386260117349124</c:v>
                </c:pt>
                <c:pt idx="200">
                  <c:v>98.355407610777561</c:v>
                </c:pt>
                <c:pt idx="201">
                  <c:v>98.316020870334086</c:v>
                </c:pt>
                <c:pt idx="202">
                  <c:v>98.287480487499835</c:v>
                </c:pt>
                <c:pt idx="203">
                  <c:v>98.243103315494011</c:v>
                </c:pt>
                <c:pt idx="204">
                  <c:v>98.207005375139744</c:v>
                </c:pt>
                <c:pt idx="205">
                  <c:v>98.16669325087517</c:v>
                </c:pt>
                <c:pt idx="206">
                  <c:v>98.135322387645147</c:v>
                </c:pt>
                <c:pt idx="207">
                  <c:v>98.109390883684512</c:v>
                </c:pt>
                <c:pt idx="208">
                  <c:v>98.101881504304046</c:v>
                </c:pt>
                <c:pt idx="209">
                  <c:v>98.09115933959518</c:v>
                </c:pt>
                <c:pt idx="210">
                  <c:v>98.089811035256872</c:v>
                </c:pt>
                <c:pt idx="211">
                  <c:v>98.087012359770583</c:v>
                </c:pt>
                <c:pt idx="212">
                  <c:v>98.053505762203542</c:v>
                </c:pt>
                <c:pt idx="213">
                  <c:v>98.046361160933245</c:v>
                </c:pt>
                <c:pt idx="214">
                  <c:v>98.041960689264883</c:v>
                </c:pt>
                <c:pt idx="215">
                  <c:v>98.045892586896358</c:v>
                </c:pt>
                <c:pt idx="216">
                  <c:v>98.048451682371777</c:v>
                </c:pt>
                <c:pt idx="217">
                  <c:v>98.046628232755651</c:v>
                </c:pt>
                <c:pt idx="218">
                  <c:v>98.049530043974684</c:v>
                </c:pt>
                <c:pt idx="219">
                  <c:v>98.048836795636916</c:v>
                </c:pt>
                <c:pt idx="220">
                  <c:v>98.050331432033147</c:v>
                </c:pt>
                <c:pt idx="221">
                  <c:v>98.039088540561949</c:v>
                </c:pt>
                <c:pt idx="222">
                  <c:v>98.036196738013572</c:v>
                </c:pt>
                <c:pt idx="223">
                  <c:v>98.033651989248412</c:v>
                </c:pt>
                <c:pt idx="224">
                  <c:v>98.035026093446632</c:v>
                </c:pt>
                <c:pt idx="225">
                  <c:v>98.033188576779438</c:v>
                </c:pt>
                <c:pt idx="226">
                  <c:v>98.025464608640178</c:v>
                </c:pt>
                <c:pt idx="227">
                  <c:v>98.025729570979848</c:v>
                </c:pt>
                <c:pt idx="228">
                  <c:v>98.032123971725412</c:v>
                </c:pt>
                <c:pt idx="229">
                  <c:v>98.042083934220287</c:v>
                </c:pt>
                <c:pt idx="230">
                  <c:v>98.055283854827792</c:v>
                </c:pt>
                <c:pt idx="231">
                  <c:v>98.071518908350555</c:v>
                </c:pt>
                <c:pt idx="232">
                  <c:v>98.085090015655254</c:v>
                </c:pt>
                <c:pt idx="233">
                  <c:v>98.098514114978954</c:v>
                </c:pt>
                <c:pt idx="234">
                  <c:v>98.111230115436925</c:v>
                </c:pt>
                <c:pt idx="235">
                  <c:v>98.121394775088717</c:v>
                </c:pt>
                <c:pt idx="236">
                  <c:v>98.131519329705327</c:v>
                </c:pt>
                <c:pt idx="237">
                  <c:v>98.142058970384667</c:v>
                </c:pt>
                <c:pt idx="238">
                  <c:v>98.154029394616572</c:v>
                </c:pt>
                <c:pt idx="239">
                  <c:v>98.165794526877846</c:v>
                </c:pt>
                <c:pt idx="240">
                  <c:v>98.180598079010863</c:v>
                </c:pt>
                <c:pt idx="241">
                  <c:v>98.191884311627902</c:v>
                </c:pt>
                <c:pt idx="242">
                  <c:v>98.205725148116898</c:v>
                </c:pt>
                <c:pt idx="243">
                  <c:v>98.211638218289565</c:v>
                </c:pt>
                <c:pt idx="244">
                  <c:v>98.22942365884505</c:v>
                </c:pt>
                <c:pt idx="245">
                  <c:v>98.23725406785168</c:v>
                </c:pt>
                <c:pt idx="246">
                  <c:v>98.250357572828904</c:v>
                </c:pt>
                <c:pt idx="247">
                  <c:v>98.247527358599783</c:v>
                </c:pt>
                <c:pt idx="248">
                  <c:v>98.236949258713992</c:v>
                </c:pt>
                <c:pt idx="249">
                  <c:v>98.226519102255153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52-4758-819C-42EC0AB12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76255"/>
        <c:axId val="201085375"/>
      </c:lineChart>
      <c:dateAx>
        <c:axId val="201076255"/>
        <c:scaling>
          <c:orientation val="minMax"/>
          <c:min val="459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5375"/>
        <c:crosses val="autoZero"/>
        <c:auto val="1"/>
        <c:lblOffset val="100"/>
        <c:baseTimeUnit val="days"/>
      </c:dateAx>
      <c:valAx>
        <c:axId val="201085375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7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Data!$C$2:$C$251</c:f>
              <c:numCache>
                <c:formatCode>_([$$-409]* #,##0.00_);_([$$-409]* \(#,##0.00\);_([$$-409]* "-"??_);_(@_)</c:formatCode>
                <c:ptCount val="250"/>
                <c:pt idx="0">
                  <c:v>95.76</c:v>
                </c:pt>
                <c:pt idx="1">
                  <c:v>95.26</c:v>
                </c:pt>
                <c:pt idx="2">
                  <c:v>95.76</c:v>
                </c:pt>
                <c:pt idx="3">
                  <c:v>98.26</c:v>
                </c:pt>
                <c:pt idx="4">
                  <c:v>99.68</c:v>
                </c:pt>
                <c:pt idx="5">
                  <c:v>100.97</c:v>
                </c:pt>
                <c:pt idx="6">
                  <c:v>99.96</c:v>
                </c:pt>
                <c:pt idx="7">
                  <c:v>99.92</c:v>
                </c:pt>
                <c:pt idx="8">
                  <c:v>101.52</c:v>
                </c:pt>
                <c:pt idx="9">
                  <c:v>104.02</c:v>
                </c:pt>
                <c:pt idx="10">
                  <c:v>102.15</c:v>
                </c:pt>
                <c:pt idx="11">
                  <c:v>100.2</c:v>
                </c:pt>
                <c:pt idx="12">
                  <c:v>100.91</c:v>
                </c:pt>
                <c:pt idx="13">
                  <c:v>103.64</c:v>
                </c:pt>
                <c:pt idx="14">
                  <c:v>106.66</c:v>
                </c:pt>
                <c:pt idx="15">
                  <c:v>103.77</c:v>
                </c:pt>
                <c:pt idx="16">
                  <c:v>102.64</c:v>
                </c:pt>
                <c:pt idx="17">
                  <c:v>104.57</c:v>
                </c:pt>
                <c:pt idx="18">
                  <c:v>106.41</c:v>
                </c:pt>
                <c:pt idx="19">
                  <c:v>107.62</c:v>
                </c:pt>
                <c:pt idx="20">
                  <c:v>107.81</c:v>
                </c:pt>
                <c:pt idx="21">
                  <c:v>107.49</c:v>
                </c:pt>
                <c:pt idx="22">
                  <c:v>108.48</c:v>
                </c:pt>
                <c:pt idx="23">
                  <c:v>107.8</c:v>
                </c:pt>
                <c:pt idx="24">
                  <c:v>106.83</c:v>
                </c:pt>
                <c:pt idx="25">
                  <c:v>105.55</c:v>
                </c:pt>
                <c:pt idx="26">
                  <c:v>107.46</c:v>
                </c:pt>
                <c:pt idx="27">
                  <c:v>107.89</c:v>
                </c:pt>
                <c:pt idx="28">
                  <c:v>108.77</c:v>
                </c:pt>
                <c:pt idx="29">
                  <c:v>110.59</c:v>
                </c:pt>
                <c:pt idx="30">
                  <c:v>110.06</c:v>
                </c:pt>
                <c:pt idx="31">
                  <c:v>109.58</c:v>
                </c:pt>
                <c:pt idx="32">
                  <c:v>112.72</c:v>
                </c:pt>
                <c:pt idx="33">
                  <c:v>109.32</c:v>
                </c:pt>
                <c:pt idx="34">
                  <c:v>105.4</c:v>
                </c:pt>
                <c:pt idx="35">
                  <c:v>106.05</c:v>
                </c:pt>
                <c:pt idx="36">
                  <c:v>105.77</c:v>
                </c:pt>
                <c:pt idx="37">
                  <c:v>108.3</c:v>
                </c:pt>
                <c:pt idx="38">
                  <c:v>109.84</c:v>
                </c:pt>
                <c:pt idx="39">
                  <c:v>112.25</c:v>
                </c:pt>
                <c:pt idx="40">
                  <c:v>111.81</c:v>
                </c:pt>
                <c:pt idx="41">
                  <c:v>111.44</c:v>
                </c:pt>
                <c:pt idx="42">
                  <c:v>112.1</c:v>
                </c:pt>
                <c:pt idx="43">
                  <c:v>110.96</c:v>
                </c:pt>
                <c:pt idx="44">
                  <c:v>113.3</c:v>
                </c:pt>
                <c:pt idx="45">
                  <c:v>112.52</c:v>
                </c:pt>
                <c:pt idx="46">
                  <c:v>111.29</c:v>
                </c:pt>
                <c:pt idx="47">
                  <c:v>110.45</c:v>
                </c:pt>
                <c:pt idx="48">
                  <c:v>111.13</c:v>
                </c:pt>
                <c:pt idx="49">
                  <c:v>112.13</c:v>
                </c:pt>
                <c:pt idx="50">
                  <c:v>112.75</c:v>
                </c:pt>
                <c:pt idx="51">
                  <c:v>112.56</c:v>
                </c:pt>
                <c:pt idx="52">
                  <c:v>110.03</c:v>
                </c:pt>
                <c:pt idx="53">
                  <c:v>109.52</c:v>
                </c:pt>
                <c:pt idx="54">
                  <c:v>110.47</c:v>
                </c:pt>
                <c:pt idx="55">
                  <c:v>111.04</c:v>
                </c:pt>
                <c:pt idx="56">
                  <c:v>107.75</c:v>
                </c:pt>
                <c:pt idx="57">
                  <c:v>107.68</c:v>
                </c:pt>
                <c:pt idx="58">
                  <c:v>103.54</c:v>
                </c:pt>
                <c:pt idx="59">
                  <c:v>100.58</c:v>
                </c:pt>
                <c:pt idx="60">
                  <c:v>99.27</c:v>
                </c:pt>
                <c:pt idx="61">
                  <c:v>102.01</c:v>
                </c:pt>
                <c:pt idx="62">
                  <c:v>104.29</c:v>
                </c:pt>
                <c:pt idx="63">
                  <c:v>105.38</c:v>
                </c:pt>
                <c:pt idx="64">
                  <c:v>105.71</c:v>
                </c:pt>
                <c:pt idx="65">
                  <c:v>105.22</c:v>
                </c:pt>
                <c:pt idx="66">
                  <c:v>103.42</c:v>
                </c:pt>
                <c:pt idx="67">
                  <c:v>104.1</c:v>
                </c:pt>
                <c:pt idx="68">
                  <c:v>103.97</c:v>
                </c:pt>
                <c:pt idx="69">
                  <c:v>102.11</c:v>
                </c:pt>
                <c:pt idx="70">
                  <c:v>103.38</c:v>
                </c:pt>
                <c:pt idx="71">
                  <c:v>104.49</c:v>
                </c:pt>
                <c:pt idx="72">
                  <c:v>103.86</c:v>
                </c:pt>
                <c:pt idx="73">
                  <c:v>103.24</c:v>
                </c:pt>
                <c:pt idx="74">
                  <c:v>102.21</c:v>
                </c:pt>
                <c:pt idx="75">
                  <c:v>102.27</c:v>
                </c:pt>
                <c:pt idx="76">
                  <c:v>101.61</c:v>
                </c:pt>
                <c:pt idx="77">
                  <c:v>101.11</c:v>
                </c:pt>
                <c:pt idx="78">
                  <c:v>102.4</c:v>
                </c:pt>
                <c:pt idx="79">
                  <c:v>102.55</c:v>
                </c:pt>
                <c:pt idx="80">
                  <c:v>103.76</c:v>
                </c:pt>
                <c:pt idx="81">
                  <c:v>103.96</c:v>
                </c:pt>
                <c:pt idx="82">
                  <c:v>101.63</c:v>
                </c:pt>
                <c:pt idx="83">
                  <c:v>101.35</c:v>
                </c:pt>
                <c:pt idx="84">
                  <c:v>100.73</c:v>
                </c:pt>
                <c:pt idx="85">
                  <c:v>100.97</c:v>
                </c:pt>
                <c:pt idx="86">
                  <c:v>101.15</c:v>
                </c:pt>
                <c:pt idx="87">
                  <c:v>100.19</c:v>
                </c:pt>
                <c:pt idx="88">
                  <c:v>98.05</c:v>
                </c:pt>
                <c:pt idx="89">
                  <c:v>98.41</c:v>
                </c:pt>
                <c:pt idx="90">
                  <c:v>98.15</c:v>
                </c:pt>
                <c:pt idx="91">
                  <c:v>100.35</c:v>
                </c:pt>
                <c:pt idx="92">
                  <c:v>100.78</c:v>
                </c:pt>
                <c:pt idx="93">
                  <c:v>99.92</c:v>
                </c:pt>
                <c:pt idx="94">
                  <c:v>100.31</c:v>
                </c:pt>
                <c:pt idx="95">
                  <c:v>99.71</c:v>
                </c:pt>
                <c:pt idx="96">
                  <c:v>99.31</c:v>
                </c:pt>
                <c:pt idx="97">
                  <c:v>99.97</c:v>
                </c:pt>
                <c:pt idx="98">
                  <c:v>101.07</c:v>
                </c:pt>
                <c:pt idx="99">
                  <c:v>100.59</c:v>
                </c:pt>
                <c:pt idx="100">
                  <c:v>101.01</c:v>
                </c:pt>
                <c:pt idx="101">
                  <c:v>99.95</c:v>
                </c:pt>
                <c:pt idx="102">
                  <c:v>100.46</c:v>
                </c:pt>
                <c:pt idx="103">
                  <c:v>100.6</c:v>
                </c:pt>
                <c:pt idx="104">
                  <c:v>101.08</c:v>
                </c:pt>
                <c:pt idx="105">
                  <c:v>102.07</c:v>
                </c:pt>
                <c:pt idx="106">
                  <c:v>103.59</c:v>
                </c:pt>
                <c:pt idx="107">
                  <c:v>102.55</c:v>
                </c:pt>
                <c:pt idx="108">
                  <c:v>102.05</c:v>
                </c:pt>
                <c:pt idx="109">
                  <c:v>102.26</c:v>
                </c:pt>
                <c:pt idx="110">
                  <c:v>100.98</c:v>
                </c:pt>
                <c:pt idx="111">
                  <c:v>102.24</c:v>
                </c:pt>
                <c:pt idx="112">
                  <c:v>102.59</c:v>
                </c:pt>
                <c:pt idx="113">
                  <c:v>103.5</c:v>
                </c:pt>
                <c:pt idx="114">
                  <c:v>104.44</c:v>
                </c:pt>
                <c:pt idx="115">
                  <c:v>105.36</c:v>
                </c:pt>
                <c:pt idx="116">
                  <c:v>104.18</c:v>
                </c:pt>
                <c:pt idx="117">
                  <c:v>104.15</c:v>
                </c:pt>
                <c:pt idx="118">
                  <c:v>105</c:v>
                </c:pt>
                <c:pt idx="119">
                  <c:v>104.48</c:v>
                </c:pt>
                <c:pt idx="120">
                  <c:v>104.12</c:v>
                </c:pt>
                <c:pt idx="121">
                  <c:v>103.69</c:v>
                </c:pt>
                <c:pt idx="122">
                  <c:v>103.66</c:v>
                </c:pt>
                <c:pt idx="123">
                  <c:v>102.86</c:v>
                </c:pt>
                <c:pt idx="124">
                  <c:v>100.77</c:v>
                </c:pt>
                <c:pt idx="125">
                  <c:v>99.74</c:v>
                </c:pt>
                <c:pt idx="126">
                  <c:v>101.1</c:v>
                </c:pt>
                <c:pt idx="127">
                  <c:v>101.76</c:v>
                </c:pt>
                <c:pt idx="128">
                  <c:v>101.5</c:v>
                </c:pt>
                <c:pt idx="129">
                  <c:v>101.65</c:v>
                </c:pt>
                <c:pt idx="130">
                  <c:v>99.95</c:v>
                </c:pt>
                <c:pt idx="131">
                  <c:v>99.72</c:v>
                </c:pt>
                <c:pt idx="132">
                  <c:v>100.07</c:v>
                </c:pt>
                <c:pt idx="133">
                  <c:v>98.17</c:v>
                </c:pt>
                <c:pt idx="134">
                  <c:v>98.23</c:v>
                </c:pt>
                <c:pt idx="135">
                  <c:v>97.2</c:v>
                </c:pt>
                <c:pt idx="136">
                  <c:v>97.85</c:v>
                </c:pt>
                <c:pt idx="137">
                  <c:v>97.8</c:v>
                </c:pt>
                <c:pt idx="138">
                  <c:v>98.05</c:v>
                </c:pt>
                <c:pt idx="139">
                  <c:v>96.65</c:v>
                </c:pt>
                <c:pt idx="140">
                  <c:v>96.98</c:v>
                </c:pt>
                <c:pt idx="141">
                  <c:v>97.08</c:v>
                </c:pt>
                <c:pt idx="142">
                  <c:v>97.7</c:v>
                </c:pt>
                <c:pt idx="143">
                  <c:v>97.55</c:v>
                </c:pt>
                <c:pt idx="144">
                  <c:v>97</c:v>
                </c:pt>
                <c:pt idx="145">
                  <c:v>95.57</c:v>
                </c:pt>
                <c:pt idx="146">
                  <c:v>96.4</c:v>
                </c:pt>
                <c:pt idx="147">
                  <c:v>96.35</c:v>
                </c:pt>
                <c:pt idx="148">
                  <c:v>96.33</c:v>
                </c:pt>
                <c:pt idx="149">
                  <c:v>96.62</c:v>
                </c:pt>
                <c:pt idx="150">
                  <c:v>98.55</c:v>
                </c:pt>
                <c:pt idx="151">
                  <c:v>98.81</c:v>
                </c:pt>
                <c:pt idx="152">
                  <c:v>98.35</c:v>
                </c:pt>
                <c:pt idx="153">
                  <c:v>99.62</c:v>
                </c:pt>
                <c:pt idx="154">
                  <c:v>99.57</c:v>
                </c:pt>
                <c:pt idx="155">
                  <c:v>100.52</c:v>
                </c:pt>
                <c:pt idx="156">
                  <c:v>98.17</c:v>
                </c:pt>
                <c:pt idx="157">
                  <c:v>97.64</c:v>
                </c:pt>
                <c:pt idx="158">
                  <c:v>98.81</c:v>
                </c:pt>
                <c:pt idx="159">
                  <c:v>99.33</c:v>
                </c:pt>
                <c:pt idx="160">
                  <c:v>100.04</c:v>
                </c:pt>
                <c:pt idx="161">
                  <c:v>100.83</c:v>
                </c:pt>
                <c:pt idx="162">
                  <c:v>100.8</c:v>
                </c:pt>
                <c:pt idx="163">
                  <c:v>102.39</c:v>
                </c:pt>
                <c:pt idx="164">
                  <c:v>100.86</c:v>
                </c:pt>
                <c:pt idx="165">
                  <c:v>101.89</c:v>
                </c:pt>
                <c:pt idx="166">
                  <c:v>102.29</c:v>
                </c:pt>
                <c:pt idx="167">
                  <c:v>101.07</c:v>
                </c:pt>
                <c:pt idx="168">
                  <c:v>101.19</c:v>
                </c:pt>
                <c:pt idx="169">
                  <c:v>101.72</c:v>
                </c:pt>
                <c:pt idx="170">
                  <c:v>101.56</c:v>
                </c:pt>
                <c:pt idx="171">
                  <c:v>101.94</c:v>
                </c:pt>
                <c:pt idx="172">
                  <c:v>100.77</c:v>
                </c:pt>
                <c:pt idx="173">
                  <c:v>100.04</c:v>
                </c:pt>
                <c:pt idx="174">
                  <c:v>100.22</c:v>
                </c:pt>
                <c:pt idx="175">
                  <c:v>98.55</c:v>
                </c:pt>
                <c:pt idx="176">
                  <c:v>97</c:v>
                </c:pt>
                <c:pt idx="177">
                  <c:v>98.19</c:v>
                </c:pt>
                <c:pt idx="178">
                  <c:v>97.41</c:v>
                </c:pt>
                <c:pt idx="179">
                  <c:v>96.64</c:v>
                </c:pt>
                <c:pt idx="180">
                  <c:v>97.96</c:v>
                </c:pt>
                <c:pt idx="181">
                  <c:v>96.11</c:v>
                </c:pt>
                <c:pt idx="182">
                  <c:v>96.99</c:v>
                </c:pt>
                <c:pt idx="183">
                  <c:v>98.52</c:v>
                </c:pt>
                <c:pt idx="184">
                  <c:v>98.24</c:v>
                </c:pt>
                <c:pt idx="185">
                  <c:v>99.59</c:v>
                </c:pt>
                <c:pt idx="186">
                  <c:v>100.19</c:v>
                </c:pt>
                <c:pt idx="187">
                  <c:v>100.95</c:v>
                </c:pt>
                <c:pt idx="188">
                  <c:v>101.66</c:v>
                </c:pt>
                <c:pt idx="189">
                  <c:v>103.85</c:v>
                </c:pt>
                <c:pt idx="190">
                  <c:v>102.91</c:v>
                </c:pt>
                <c:pt idx="191">
                  <c:v>100.38</c:v>
                </c:pt>
                <c:pt idx="192">
                  <c:v>100.95</c:v>
                </c:pt>
                <c:pt idx="193">
                  <c:v>100.16</c:v>
                </c:pt>
                <c:pt idx="194">
                  <c:v>98.92</c:v>
                </c:pt>
                <c:pt idx="195">
                  <c:v>98.85</c:v>
                </c:pt>
                <c:pt idx="196">
                  <c:v>100.14</c:v>
                </c:pt>
                <c:pt idx="197">
                  <c:v>100.36</c:v>
                </c:pt>
                <c:pt idx="198">
                  <c:v>97.88</c:v>
                </c:pt>
                <c:pt idx="199">
                  <c:v>96.87</c:v>
                </c:pt>
                <c:pt idx="200">
                  <c:v>96.45</c:v>
                </c:pt>
                <c:pt idx="201">
                  <c:v>96.22</c:v>
                </c:pt>
                <c:pt idx="202">
                  <c:v>96.6</c:v>
                </c:pt>
                <c:pt idx="203">
                  <c:v>95.45</c:v>
                </c:pt>
                <c:pt idx="204">
                  <c:v>95.82</c:v>
                </c:pt>
                <c:pt idx="205">
                  <c:v>95.41</c:v>
                </c:pt>
                <c:pt idx="206">
                  <c:v>95.64</c:v>
                </c:pt>
                <c:pt idx="207">
                  <c:v>97.53</c:v>
                </c:pt>
                <c:pt idx="208">
                  <c:v>99.39</c:v>
                </c:pt>
                <c:pt idx="209">
                  <c:v>98.9</c:v>
                </c:pt>
                <c:pt idx="210">
                  <c:v>100.21</c:v>
                </c:pt>
                <c:pt idx="211">
                  <c:v>99.99</c:v>
                </c:pt>
                <c:pt idx="212">
                  <c:v>98.06</c:v>
                </c:pt>
                <c:pt idx="213">
                  <c:v>98.57</c:v>
                </c:pt>
                <c:pt idx="214">
                  <c:v>98.95</c:v>
                </c:pt>
                <c:pt idx="215">
                  <c:v>99.53</c:v>
                </c:pt>
                <c:pt idx="216">
                  <c:v>99.3</c:v>
                </c:pt>
                <c:pt idx="217">
                  <c:v>99.54</c:v>
                </c:pt>
                <c:pt idx="218">
                  <c:v>99.89</c:v>
                </c:pt>
                <c:pt idx="219">
                  <c:v>99.32</c:v>
                </c:pt>
                <c:pt idx="220">
                  <c:v>99.99</c:v>
                </c:pt>
                <c:pt idx="221">
                  <c:v>98.5</c:v>
                </c:pt>
                <c:pt idx="222">
                  <c:v>99.32</c:v>
                </c:pt>
                <c:pt idx="223">
                  <c:v>99.37</c:v>
                </c:pt>
                <c:pt idx="224">
                  <c:v>100.18</c:v>
                </c:pt>
                <c:pt idx="225">
                  <c:v>99.21</c:v>
                </c:pt>
                <c:pt idx="226">
                  <c:v>98.83</c:v>
                </c:pt>
                <c:pt idx="227">
                  <c:v>100.21</c:v>
                </c:pt>
                <c:pt idx="228">
                  <c:v>101.47</c:v>
                </c:pt>
                <c:pt idx="229">
                  <c:v>102.58</c:v>
                </c:pt>
                <c:pt idx="230">
                  <c:v>103.81</c:v>
                </c:pt>
                <c:pt idx="231">
                  <c:v>105.05</c:v>
                </c:pt>
                <c:pt idx="232">
                  <c:v>103.84</c:v>
                </c:pt>
                <c:pt idx="233">
                  <c:v>103.18</c:v>
                </c:pt>
                <c:pt idx="234">
                  <c:v>103.87</c:v>
                </c:pt>
                <c:pt idx="235">
                  <c:v>104.59</c:v>
                </c:pt>
                <c:pt idx="236">
                  <c:v>105.35</c:v>
                </c:pt>
                <c:pt idx="237">
                  <c:v>105.18</c:v>
                </c:pt>
                <c:pt idx="238">
                  <c:v>105.96</c:v>
                </c:pt>
                <c:pt idx="239">
                  <c:v>106.63</c:v>
                </c:pt>
                <c:pt idx="240">
                  <c:v>105.42</c:v>
                </c:pt>
                <c:pt idx="241">
                  <c:v>107.45</c:v>
                </c:pt>
                <c:pt idx="242">
                  <c:v>108.38</c:v>
                </c:pt>
                <c:pt idx="243">
                  <c:v>108.87</c:v>
                </c:pt>
                <c:pt idx="244">
                  <c:v>107.34</c:v>
                </c:pt>
                <c:pt idx="245">
                  <c:v>106.68</c:v>
                </c:pt>
                <c:pt idx="246">
                  <c:v>108.43</c:v>
                </c:pt>
                <c:pt idx="247">
                  <c:v>109.87</c:v>
                </c:pt>
                <c:pt idx="248">
                  <c:v>111.72</c:v>
                </c:pt>
                <c:pt idx="249">
                  <c:v>113.72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5-4D27-A931-A5332907839A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Data!$J$2:$J$251</c:f>
              <c:numCache>
                <c:formatCode>General</c:formatCode>
                <c:ptCount val="250"/>
                <c:pt idx="19">
                  <c:v>101.48400000000001</c:v>
                </c:pt>
                <c:pt idx="20">
                  <c:v>102.08650000000003</c:v>
                </c:pt>
                <c:pt idx="21">
                  <c:v>102.69800000000001</c:v>
                </c:pt>
                <c:pt idx="22">
                  <c:v>103.33399999999999</c:v>
                </c:pt>
                <c:pt idx="23">
                  <c:v>103.81100000000001</c:v>
                </c:pt>
                <c:pt idx="24">
                  <c:v>104.16849999999999</c:v>
                </c:pt>
                <c:pt idx="25">
                  <c:v>104.39749999999999</c:v>
                </c:pt>
                <c:pt idx="26">
                  <c:v>104.77249999999999</c:v>
                </c:pt>
                <c:pt idx="27">
                  <c:v>105.17100000000001</c:v>
                </c:pt>
                <c:pt idx="28">
                  <c:v>105.5335</c:v>
                </c:pt>
                <c:pt idx="29">
                  <c:v>105.86199999999999</c:v>
                </c:pt>
                <c:pt idx="30">
                  <c:v>106.25749999999998</c:v>
                </c:pt>
                <c:pt idx="31">
                  <c:v>106.72649999999999</c:v>
                </c:pt>
                <c:pt idx="32">
                  <c:v>107.31699999999998</c:v>
                </c:pt>
                <c:pt idx="33">
                  <c:v>107.601</c:v>
                </c:pt>
                <c:pt idx="34">
                  <c:v>107.53799999999998</c:v>
                </c:pt>
                <c:pt idx="35">
                  <c:v>107.652</c:v>
                </c:pt>
                <c:pt idx="36">
                  <c:v>107.80850000000001</c:v>
                </c:pt>
                <c:pt idx="37">
                  <c:v>107.995</c:v>
                </c:pt>
                <c:pt idx="38">
                  <c:v>108.1665</c:v>
                </c:pt>
                <c:pt idx="39">
                  <c:v>108.398</c:v>
                </c:pt>
                <c:pt idx="40">
                  <c:v>108.59799999999998</c:v>
                </c:pt>
                <c:pt idx="41">
                  <c:v>108.79549999999999</c:v>
                </c:pt>
                <c:pt idx="42">
                  <c:v>108.97649999999999</c:v>
                </c:pt>
                <c:pt idx="43">
                  <c:v>109.1345</c:v>
                </c:pt>
                <c:pt idx="44">
                  <c:v>109.458</c:v>
                </c:pt>
                <c:pt idx="45">
                  <c:v>109.8065</c:v>
                </c:pt>
                <c:pt idx="46">
                  <c:v>109.998</c:v>
                </c:pt>
                <c:pt idx="47">
                  <c:v>110.12599999999998</c:v>
                </c:pt>
                <c:pt idx="48">
                  <c:v>110.24399999999999</c:v>
                </c:pt>
                <c:pt idx="49">
                  <c:v>110.321</c:v>
                </c:pt>
                <c:pt idx="50">
                  <c:v>110.4555</c:v>
                </c:pt>
                <c:pt idx="51">
                  <c:v>110.6045</c:v>
                </c:pt>
                <c:pt idx="52">
                  <c:v>110.47</c:v>
                </c:pt>
                <c:pt idx="53">
                  <c:v>110.48000000000002</c:v>
                </c:pt>
                <c:pt idx="54">
                  <c:v>110.73350000000001</c:v>
                </c:pt>
                <c:pt idx="55">
                  <c:v>110.98300000000002</c:v>
                </c:pt>
                <c:pt idx="56">
                  <c:v>111.08199999999999</c:v>
                </c:pt>
                <c:pt idx="57">
                  <c:v>111.05099999999997</c:v>
                </c:pt>
                <c:pt idx="58">
                  <c:v>110.73599999999999</c:v>
                </c:pt>
                <c:pt idx="59">
                  <c:v>110.1525</c:v>
                </c:pt>
                <c:pt idx="60">
                  <c:v>109.52550000000001</c:v>
                </c:pt>
                <c:pt idx="61">
                  <c:v>109.05400000000002</c:v>
                </c:pt>
                <c:pt idx="62">
                  <c:v>108.6635</c:v>
                </c:pt>
                <c:pt idx="63">
                  <c:v>108.3845</c:v>
                </c:pt>
                <c:pt idx="64">
                  <c:v>108.005</c:v>
                </c:pt>
                <c:pt idx="65">
                  <c:v>107.63999999999999</c:v>
                </c:pt>
                <c:pt idx="66">
                  <c:v>107.2465</c:v>
                </c:pt>
                <c:pt idx="67">
                  <c:v>106.929</c:v>
                </c:pt>
                <c:pt idx="68">
                  <c:v>106.571</c:v>
                </c:pt>
                <c:pt idx="69">
                  <c:v>106.07000000000001</c:v>
                </c:pt>
                <c:pt idx="70">
                  <c:v>105.60149999999999</c:v>
                </c:pt>
                <c:pt idx="71">
                  <c:v>105.19799999999998</c:v>
                </c:pt>
                <c:pt idx="72">
                  <c:v>104.8895</c:v>
                </c:pt>
                <c:pt idx="73">
                  <c:v>104.57549999999999</c:v>
                </c:pt>
                <c:pt idx="74">
                  <c:v>104.16249999999998</c:v>
                </c:pt>
                <c:pt idx="75">
                  <c:v>103.724</c:v>
                </c:pt>
                <c:pt idx="76">
                  <c:v>103.41699999999999</c:v>
                </c:pt>
                <c:pt idx="77">
                  <c:v>103.0885</c:v>
                </c:pt>
                <c:pt idx="78">
                  <c:v>103.03149999999998</c:v>
                </c:pt>
                <c:pt idx="79">
                  <c:v>103.13</c:v>
                </c:pt>
                <c:pt idx="80">
                  <c:v>103.3545</c:v>
                </c:pt>
                <c:pt idx="81">
                  <c:v>103.45199999999997</c:v>
                </c:pt>
                <c:pt idx="82">
                  <c:v>103.31899999999999</c:v>
                </c:pt>
                <c:pt idx="83">
                  <c:v>103.11749999999999</c:v>
                </c:pt>
                <c:pt idx="84">
                  <c:v>102.8685</c:v>
                </c:pt>
                <c:pt idx="85">
                  <c:v>102.65599999999999</c:v>
                </c:pt>
                <c:pt idx="86">
                  <c:v>102.54249999999999</c:v>
                </c:pt>
                <c:pt idx="87">
                  <c:v>102.34700000000001</c:v>
                </c:pt>
                <c:pt idx="88">
                  <c:v>102.051</c:v>
                </c:pt>
                <c:pt idx="89">
                  <c:v>101.86600000000001</c:v>
                </c:pt>
                <c:pt idx="90">
                  <c:v>101.60450000000002</c:v>
                </c:pt>
                <c:pt idx="91">
                  <c:v>101.39750000000001</c:v>
                </c:pt>
                <c:pt idx="92">
                  <c:v>101.24350000000001</c:v>
                </c:pt>
                <c:pt idx="93">
                  <c:v>101.07750000000001</c:v>
                </c:pt>
                <c:pt idx="94">
                  <c:v>100.98250000000002</c:v>
                </c:pt>
                <c:pt idx="95">
                  <c:v>100.8545</c:v>
                </c:pt>
                <c:pt idx="96">
                  <c:v>100.73949999999999</c:v>
                </c:pt>
                <c:pt idx="97">
                  <c:v>100.6825</c:v>
                </c:pt>
                <c:pt idx="98">
                  <c:v>100.616</c:v>
                </c:pt>
                <c:pt idx="99">
                  <c:v>100.51799999999999</c:v>
                </c:pt>
                <c:pt idx="100">
                  <c:v>100.38049999999998</c:v>
                </c:pt>
                <c:pt idx="101">
                  <c:v>100.17999999999999</c:v>
                </c:pt>
                <c:pt idx="102">
                  <c:v>100.1215</c:v>
                </c:pt>
                <c:pt idx="103">
                  <c:v>100.08399999999999</c:v>
                </c:pt>
                <c:pt idx="104">
                  <c:v>100.10149999999999</c:v>
                </c:pt>
                <c:pt idx="105">
                  <c:v>100.15649999999998</c:v>
                </c:pt>
                <c:pt idx="106">
                  <c:v>100.27849999999998</c:v>
                </c:pt>
                <c:pt idx="107">
                  <c:v>100.39649999999997</c:v>
                </c:pt>
                <c:pt idx="108">
                  <c:v>100.59649999999998</c:v>
                </c:pt>
                <c:pt idx="109">
                  <c:v>100.78899999999999</c:v>
                </c:pt>
                <c:pt idx="110">
                  <c:v>100.93049999999998</c:v>
                </c:pt>
                <c:pt idx="111">
                  <c:v>101.02499999999998</c:v>
                </c:pt>
                <c:pt idx="112">
                  <c:v>101.11549999999998</c:v>
                </c:pt>
                <c:pt idx="113">
                  <c:v>101.29449999999999</c:v>
                </c:pt>
                <c:pt idx="114">
                  <c:v>101.501</c:v>
                </c:pt>
                <c:pt idx="115">
                  <c:v>101.78349999999999</c:v>
                </c:pt>
                <c:pt idx="116">
                  <c:v>102.027</c:v>
                </c:pt>
                <c:pt idx="117">
                  <c:v>102.236</c:v>
                </c:pt>
                <c:pt idx="118">
                  <c:v>102.4325</c:v>
                </c:pt>
                <c:pt idx="119">
                  <c:v>102.627</c:v>
                </c:pt>
                <c:pt idx="120">
                  <c:v>102.7825</c:v>
                </c:pt>
                <c:pt idx="121">
                  <c:v>102.9695</c:v>
                </c:pt>
                <c:pt idx="122">
                  <c:v>103.12950000000001</c:v>
                </c:pt>
                <c:pt idx="123">
                  <c:v>103.24250000000002</c:v>
                </c:pt>
                <c:pt idx="124">
                  <c:v>103.227</c:v>
                </c:pt>
                <c:pt idx="125">
                  <c:v>103.1105</c:v>
                </c:pt>
                <c:pt idx="126">
                  <c:v>102.98600000000002</c:v>
                </c:pt>
                <c:pt idx="127">
                  <c:v>102.94649999999999</c:v>
                </c:pt>
                <c:pt idx="128">
                  <c:v>102.91899999999998</c:v>
                </c:pt>
                <c:pt idx="129">
                  <c:v>102.88849999999999</c:v>
                </c:pt>
                <c:pt idx="130">
                  <c:v>102.83699999999999</c:v>
                </c:pt>
                <c:pt idx="131">
                  <c:v>102.71099999999998</c:v>
                </c:pt>
                <c:pt idx="132">
                  <c:v>102.58500000000001</c:v>
                </c:pt>
                <c:pt idx="133">
                  <c:v>102.3185</c:v>
                </c:pt>
                <c:pt idx="134">
                  <c:v>102.00800000000001</c:v>
                </c:pt>
                <c:pt idx="135">
                  <c:v>101.60000000000001</c:v>
                </c:pt>
                <c:pt idx="136">
                  <c:v>101.2835</c:v>
                </c:pt>
                <c:pt idx="137">
                  <c:v>100.96600000000001</c:v>
                </c:pt>
                <c:pt idx="138">
                  <c:v>100.61850000000001</c:v>
                </c:pt>
                <c:pt idx="139">
                  <c:v>100.227</c:v>
                </c:pt>
                <c:pt idx="140">
                  <c:v>99.86999999999999</c:v>
                </c:pt>
                <c:pt idx="141">
                  <c:v>99.539500000000004</c:v>
                </c:pt>
                <c:pt idx="142">
                  <c:v>99.241500000000002</c:v>
                </c:pt>
                <c:pt idx="143">
                  <c:v>98.975999999999985</c:v>
                </c:pt>
                <c:pt idx="144">
                  <c:v>98.787499999999994</c:v>
                </c:pt>
                <c:pt idx="145">
                  <c:v>98.578999999999994</c:v>
                </c:pt>
                <c:pt idx="146">
                  <c:v>98.343999999999994</c:v>
                </c:pt>
                <c:pt idx="147">
                  <c:v>98.073499999999996</c:v>
                </c:pt>
                <c:pt idx="148">
                  <c:v>97.814999999999998</c:v>
                </c:pt>
                <c:pt idx="149">
                  <c:v>97.563499999999976</c:v>
                </c:pt>
                <c:pt idx="150">
                  <c:v>97.493499999999983</c:v>
                </c:pt>
                <c:pt idx="151">
                  <c:v>97.447999999999993</c:v>
                </c:pt>
                <c:pt idx="152">
                  <c:v>97.361999999999995</c:v>
                </c:pt>
                <c:pt idx="153">
                  <c:v>97.4345</c:v>
                </c:pt>
                <c:pt idx="154">
                  <c:v>97.501499999999993</c:v>
                </c:pt>
                <c:pt idx="155">
                  <c:v>97.66749999999999</c:v>
                </c:pt>
                <c:pt idx="156">
                  <c:v>97.683499999999995</c:v>
                </c:pt>
                <c:pt idx="157">
                  <c:v>97.675499999999985</c:v>
                </c:pt>
                <c:pt idx="158">
                  <c:v>97.713499999999996</c:v>
                </c:pt>
                <c:pt idx="159">
                  <c:v>97.847499999999997</c:v>
                </c:pt>
                <c:pt idx="160">
                  <c:v>98.000499999999988</c:v>
                </c:pt>
                <c:pt idx="161">
                  <c:v>98.187999999999988</c:v>
                </c:pt>
                <c:pt idx="162">
                  <c:v>98.342999999999989</c:v>
                </c:pt>
                <c:pt idx="163">
                  <c:v>98.584999999999994</c:v>
                </c:pt>
                <c:pt idx="164">
                  <c:v>98.777999999999992</c:v>
                </c:pt>
                <c:pt idx="165">
                  <c:v>99.093999999999994</c:v>
                </c:pt>
                <c:pt idx="166">
                  <c:v>99.388499999999993</c:v>
                </c:pt>
                <c:pt idx="167">
                  <c:v>99.624499999999983</c:v>
                </c:pt>
                <c:pt idx="168">
                  <c:v>99.867499999999978</c:v>
                </c:pt>
                <c:pt idx="169">
                  <c:v>100.1225</c:v>
                </c:pt>
                <c:pt idx="170">
                  <c:v>100.273</c:v>
                </c:pt>
                <c:pt idx="171">
                  <c:v>100.4295</c:v>
                </c:pt>
                <c:pt idx="172">
                  <c:v>100.5505</c:v>
                </c:pt>
                <c:pt idx="173">
                  <c:v>100.57149999999999</c:v>
                </c:pt>
                <c:pt idx="174">
                  <c:v>100.604</c:v>
                </c:pt>
                <c:pt idx="175">
                  <c:v>100.5055</c:v>
                </c:pt>
                <c:pt idx="176">
                  <c:v>100.44699999999999</c:v>
                </c:pt>
                <c:pt idx="177">
                  <c:v>100.47450000000001</c:v>
                </c:pt>
                <c:pt idx="178">
                  <c:v>100.40450000000001</c:v>
                </c:pt>
                <c:pt idx="179">
                  <c:v>100.27000000000001</c:v>
                </c:pt>
                <c:pt idx="180">
                  <c:v>100.16600000000001</c:v>
                </c:pt>
                <c:pt idx="181">
                  <c:v>99.93</c:v>
                </c:pt>
                <c:pt idx="182">
                  <c:v>99.739500000000007</c:v>
                </c:pt>
                <c:pt idx="183">
                  <c:v>99.546000000000006</c:v>
                </c:pt>
                <c:pt idx="184">
                  <c:v>99.415000000000006</c:v>
                </c:pt>
                <c:pt idx="185">
                  <c:v>99.3</c:v>
                </c:pt>
                <c:pt idx="186">
                  <c:v>99.195000000000007</c:v>
                </c:pt>
                <c:pt idx="187">
                  <c:v>99.189000000000007</c:v>
                </c:pt>
                <c:pt idx="188">
                  <c:v>99.212500000000006</c:v>
                </c:pt>
                <c:pt idx="189">
                  <c:v>99.318999999999988</c:v>
                </c:pt>
                <c:pt idx="190">
                  <c:v>99.386499999999998</c:v>
                </c:pt>
                <c:pt idx="191">
                  <c:v>99.308500000000009</c:v>
                </c:pt>
                <c:pt idx="192">
                  <c:v>99.31750000000001</c:v>
                </c:pt>
                <c:pt idx="193">
                  <c:v>99.32350000000001</c:v>
                </c:pt>
                <c:pt idx="194">
                  <c:v>99.258500000000026</c:v>
                </c:pt>
                <c:pt idx="195">
                  <c:v>99.273500000000013</c:v>
                </c:pt>
                <c:pt idx="196">
                  <c:v>99.430500000000023</c:v>
                </c:pt>
                <c:pt idx="197">
                  <c:v>99.539000000000016</c:v>
                </c:pt>
                <c:pt idx="198">
                  <c:v>99.562500000000028</c:v>
                </c:pt>
                <c:pt idx="199">
                  <c:v>99.573999999999998</c:v>
                </c:pt>
                <c:pt idx="200">
                  <c:v>99.498500000000007</c:v>
                </c:pt>
                <c:pt idx="201">
                  <c:v>99.503999999999991</c:v>
                </c:pt>
                <c:pt idx="202">
                  <c:v>99.484499999999997</c:v>
                </c:pt>
                <c:pt idx="203">
                  <c:v>99.330999999999989</c:v>
                </c:pt>
                <c:pt idx="204">
                  <c:v>99.21</c:v>
                </c:pt>
                <c:pt idx="205">
                  <c:v>99.000999999999991</c:v>
                </c:pt>
                <c:pt idx="206">
                  <c:v>98.773499999999984</c:v>
                </c:pt>
                <c:pt idx="207">
                  <c:v>98.602499999999992</c:v>
                </c:pt>
                <c:pt idx="208">
                  <c:v>98.489000000000004</c:v>
                </c:pt>
                <c:pt idx="209">
                  <c:v>98.241500000000002</c:v>
                </c:pt>
                <c:pt idx="210">
                  <c:v>98.106500000000011</c:v>
                </c:pt>
                <c:pt idx="211">
                  <c:v>98.087000000000018</c:v>
                </c:pt>
                <c:pt idx="212">
                  <c:v>97.942500000000024</c:v>
                </c:pt>
                <c:pt idx="213">
                  <c:v>97.863000000000028</c:v>
                </c:pt>
                <c:pt idx="214">
                  <c:v>97.864500000000021</c:v>
                </c:pt>
                <c:pt idx="215">
                  <c:v>97.898499999999999</c:v>
                </c:pt>
                <c:pt idx="216">
                  <c:v>97.856500000000011</c:v>
                </c:pt>
                <c:pt idx="217">
                  <c:v>97.8155</c:v>
                </c:pt>
                <c:pt idx="218">
                  <c:v>97.915999999999997</c:v>
                </c:pt>
                <c:pt idx="219">
                  <c:v>98.038499999999985</c:v>
                </c:pt>
                <c:pt idx="220">
                  <c:v>98.215499999999992</c:v>
                </c:pt>
                <c:pt idx="221">
                  <c:v>98.329499999999996</c:v>
                </c:pt>
                <c:pt idx="222">
                  <c:v>98.465499999999992</c:v>
                </c:pt>
                <c:pt idx="223">
                  <c:v>98.661500000000004</c:v>
                </c:pt>
                <c:pt idx="224">
                  <c:v>98.879499999999993</c:v>
                </c:pt>
                <c:pt idx="225">
                  <c:v>99.069500000000005</c:v>
                </c:pt>
                <c:pt idx="226">
                  <c:v>99.229000000000013</c:v>
                </c:pt>
                <c:pt idx="227">
                  <c:v>99.363</c:v>
                </c:pt>
                <c:pt idx="228">
                  <c:v>99.467000000000013</c:v>
                </c:pt>
                <c:pt idx="229">
                  <c:v>99.650999999999996</c:v>
                </c:pt>
                <c:pt idx="230">
                  <c:v>99.830999999999989</c:v>
                </c:pt>
                <c:pt idx="231">
                  <c:v>100.084</c:v>
                </c:pt>
                <c:pt idx="232">
                  <c:v>100.37299999999998</c:v>
                </c:pt>
                <c:pt idx="233">
                  <c:v>100.60349999999998</c:v>
                </c:pt>
                <c:pt idx="234">
                  <c:v>100.84949999999999</c:v>
                </c:pt>
                <c:pt idx="235">
                  <c:v>101.10249999999998</c:v>
                </c:pt>
                <c:pt idx="236">
                  <c:v>101.40499999999999</c:v>
                </c:pt>
                <c:pt idx="237">
                  <c:v>101.68699999999998</c:v>
                </c:pt>
                <c:pt idx="238">
                  <c:v>101.9905</c:v>
                </c:pt>
                <c:pt idx="239">
                  <c:v>102.35600000000002</c:v>
                </c:pt>
                <c:pt idx="240">
                  <c:v>102.62750000000001</c:v>
                </c:pt>
                <c:pt idx="241">
                  <c:v>103.075</c:v>
                </c:pt>
                <c:pt idx="242">
                  <c:v>103.52799999999999</c:v>
                </c:pt>
                <c:pt idx="243">
                  <c:v>104.003</c:v>
                </c:pt>
                <c:pt idx="244">
                  <c:v>104.36100000000002</c:v>
                </c:pt>
                <c:pt idx="245">
                  <c:v>104.7345</c:v>
                </c:pt>
                <c:pt idx="246">
                  <c:v>105.2145</c:v>
                </c:pt>
                <c:pt idx="247">
                  <c:v>105.69750000000002</c:v>
                </c:pt>
                <c:pt idx="248">
                  <c:v>106.21</c:v>
                </c:pt>
                <c:pt idx="249">
                  <c:v>106.76700000000001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5-4D27-A931-A5332907839A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Data!$L$2:$L$251</c:f>
              <c:numCache>
                <c:formatCode>General</c:formatCode>
                <c:ptCount val="250"/>
                <c:pt idx="19">
                  <c:v>108.61057118410427</c:v>
                </c:pt>
                <c:pt idx="20">
                  <c:v>109.21298219116929</c:v>
                </c:pt>
                <c:pt idx="21">
                  <c:v>109.44695890606762</c:v>
                </c:pt>
                <c:pt idx="22">
                  <c:v>109.71754595404218</c:v>
                </c:pt>
                <c:pt idx="23">
                  <c:v>110.02151705619292</c:v>
                </c:pt>
                <c:pt idx="24">
                  <c:v>110.19830413402764</c:v>
                </c:pt>
                <c:pt idx="25">
                  <c:v>110.26143751313012</c:v>
                </c:pt>
                <c:pt idx="26">
                  <c:v>110.3958980174942</c:v>
                </c:pt>
                <c:pt idx="27">
                  <c:v>110.46654688791492</c:v>
                </c:pt>
                <c:pt idx="28">
                  <c:v>110.76897122495851</c:v>
                </c:pt>
                <c:pt idx="29">
                  <c:v>111.5061403242655</c:v>
                </c:pt>
                <c:pt idx="30">
                  <c:v>111.91497525984774</c:v>
                </c:pt>
                <c:pt idx="31">
                  <c:v>111.7940407717831</c:v>
                </c:pt>
                <c:pt idx="32">
                  <c:v>112.28206574928637</c:v>
                </c:pt>
                <c:pt idx="33">
                  <c:v>112.32440153970242</c:v>
                </c:pt>
                <c:pt idx="34">
                  <c:v>112.34708175938202</c:v>
                </c:pt>
                <c:pt idx="35">
                  <c:v>112.18517409421048</c:v>
                </c:pt>
                <c:pt idx="36">
                  <c:v>111.79645172329963</c:v>
                </c:pt>
                <c:pt idx="37">
                  <c:v>111.68284347196085</c:v>
                </c:pt>
                <c:pt idx="38">
                  <c:v>111.86299777349772</c:v>
                </c:pt>
                <c:pt idx="39">
                  <c:v>112.50726859928292</c:v>
                </c:pt>
                <c:pt idx="40">
                  <c:v>112.96787100857438</c:v>
                </c:pt>
                <c:pt idx="41">
                  <c:v>113.30920066400182</c:v>
                </c:pt>
                <c:pt idx="42">
                  <c:v>113.72133774887591</c:v>
                </c:pt>
                <c:pt idx="43">
                  <c:v>113.92461910630954</c:v>
                </c:pt>
                <c:pt idx="44">
                  <c:v>114.46194623219883</c:v>
                </c:pt>
                <c:pt idx="45">
                  <c:v>114.63213014701599</c:v>
                </c:pt>
                <c:pt idx="46">
                  <c:v>114.73471260641698</c:v>
                </c:pt>
                <c:pt idx="47">
                  <c:v>114.76010878276784</c:v>
                </c:pt>
                <c:pt idx="48">
                  <c:v>114.85284458634185</c:v>
                </c:pt>
                <c:pt idx="49">
                  <c:v>115.00502840568491</c:v>
                </c:pt>
                <c:pt idx="50">
                  <c:v>115.26088502756625</c:v>
                </c:pt>
                <c:pt idx="51">
                  <c:v>115.47987518124449</c:v>
                </c:pt>
                <c:pt idx="52">
                  <c:v>115.24707243535532</c:v>
                </c:pt>
                <c:pt idx="53">
                  <c:v>115.24776456501037</c:v>
                </c:pt>
                <c:pt idx="54">
                  <c:v>114.86001133398101</c:v>
                </c:pt>
                <c:pt idx="55">
                  <c:v>114.47124250726262</c:v>
                </c:pt>
                <c:pt idx="56">
                  <c:v>114.01558483770283</c:v>
                </c:pt>
                <c:pt idx="57">
                  <c:v>114.11841722317855</c:v>
                </c:pt>
                <c:pt idx="58">
                  <c:v>115.27024583179582</c:v>
                </c:pt>
                <c:pt idx="59">
                  <c:v>116.50528264766088</c:v>
                </c:pt>
                <c:pt idx="60">
                  <c:v>117.46631654292688</c:v>
                </c:pt>
                <c:pt idx="61">
                  <c:v>117.61203568214356</c:v>
                </c:pt>
                <c:pt idx="62">
                  <c:v>117.3481222836993</c:v>
                </c:pt>
                <c:pt idx="63">
                  <c:v>117.11687527221184</c:v>
                </c:pt>
                <c:pt idx="64">
                  <c:v>116.49423404889052</c:v>
                </c:pt>
                <c:pt idx="65">
                  <c:v>115.93743397239867</c:v>
                </c:pt>
                <c:pt idx="66">
                  <c:v>115.56153717116734</c:v>
                </c:pt>
                <c:pt idx="67">
                  <c:v>115.21387753617842</c:v>
                </c:pt>
                <c:pt idx="68">
                  <c:v>114.70902226070865</c:v>
                </c:pt>
                <c:pt idx="69">
                  <c:v>113.99807403438798</c:v>
                </c:pt>
                <c:pt idx="70">
                  <c:v>112.9540084155001</c:v>
                </c:pt>
                <c:pt idx="71">
                  <c:v>111.78891112621646</c:v>
                </c:pt>
                <c:pt idx="72">
                  <c:v>111.09440629302837</c:v>
                </c:pt>
                <c:pt idx="73">
                  <c:v>110.41883169203648</c:v>
                </c:pt>
                <c:pt idx="74">
                  <c:v>109.3864443657874</c:v>
                </c:pt>
                <c:pt idx="75">
                  <c:v>107.88045294122665</c:v>
                </c:pt>
                <c:pt idx="76">
                  <c:v>107.21275441499411</c:v>
                </c:pt>
                <c:pt idx="77">
                  <c:v>106.44229298234417</c:v>
                </c:pt>
                <c:pt idx="78">
                  <c:v>106.39172727928052</c:v>
                </c:pt>
                <c:pt idx="79">
                  <c:v>106.29762570888337</c:v>
                </c:pt>
                <c:pt idx="80">
                  <c:v>105.95612277293068</c:v>
                </c:pt>
                <c:pt idx="81">
                  <c:v>105.98676543085816</c:v>
                </c:pt>
                <c:pt idx="82">
                  <c:v>105.94608884308727</c:v>
                </c:pt>
                <c:pt idx="83">
                  <c:v>105.69676039990658</c:v>
                </c:pt>
                <c:pt idx="84">
                  <c:v>105.35377685633443</c:v>
                </c:pt>
                <c:pt idx="85">
                  <c:v>105.01844654631813</c:v>
                </c:pt>
                <c:pt idx="86">
                  <c:v>104.96768257587253</c:v>
                </c:pt>
                <c:pt idx="87">
                  <c:v>104.87187498387753</c:v>
                </c:pt>
                <c:pt idx="88">
                  <c:v>105.10693400314518</c:v>
                </c:pt>
                <c:pt idx="89">
                  <c:v>105.32790942141838</c:v>
                </c:pt>
                <c:pt idx="90">
                  <c:v>105.36234638771788</c:v>
                </c:pt>
                <c:pt idx="91">
                  <c:v>104.93578311026988</c:v>
                </c:pt>
                <c:pt idx="92">
                  <c:v>104.59361248829208</c:v>
                </c:pt>
                <c:pt idx="93">
                  <c:v>104.33891638588288</c:v>
                </c:pt>
                <c:pt idx="94">
                  <c:v>104.21558472547586</c:v>
                </c:pt>
                <c:pt idx="95">
                  <c:v>104.07564379815945</c:v>
                </c:pt>
                <c:pt idx="96">
                  <c:v>104.01091028658252</c:v>
                </c:pt>
                <c:pt idx="97">
                  <c:v>103.96643137308895</c:v>
                </c:pt>
                <c:pt idx="98">
                  <c:v>103.80601336410334</c:v>
                </c:pt>
                <c:pt idx="99">
                  <c:v>103.57552290519456</c:v>
                </c:pt>
                <c:pt idx="100">
                  <c:v>103.04640539572343</c:v>
                </c:pt>
                <c:pt idx="101">
                  <c:v>102.24866343832258</c:v>
                </c:pt>
                <c:pt idx="102">
                  <c:v>102.08079391148416</c:v>
                </c:pt>
                <c:pt idx="103">
                  <c:v>101.97169310619016</c:v>
                </c:pt>
                <c:pt idx="104">
                  <c:v>102.02063659314751</c:v>
                </c:pt>
                <c:pt idx="105">
                  <c:v>102.2367254432481</c:v>
                </c:pt>
                <c:pt idx="106">
                  <c:v>102.83559765575203</c:v>
                </c:pt>
                <c:pt idx="107">
                  <c:v>103.14690494626171</c:v>
                </c:pt>
                <c:pt idx="108">
                  <c:v>103.20662018275422</c:v>
                </c:pt>
                <c:pt idx="109">
                  <c:v>103.28555678675123</c:v>
                </c:pt>
                <c:pt idx="110">
                  <c:v>103.09614053974069</c:v>
                </c:pt>
                <c:pt idx="111">
                  <c:v>103.24816512159907</c:v>
                </c:pt>
                <c:pt idx="112">
                  <c:v>103.44164861271179</c:v>
                </c:pt>
                <c:pt idx="113">
                  <c:v>103.77888894319157</c:v>
                </c:pt>
                <c:pt idx="114">
                  <c:v>104.30663268031333</c:v>
                </c:pt>
                <c:pt idx="115">
                  <c:v>104.94504708963822</c:v>
                </c:pt>
                <c:pt idx="116">
                  <c:v>105.13614508472904</c:v>
                </c:pt>
                <c:pt idx="117">
                  <c:v>105.32484171784421</c:v>
                </c:pt>
                <c:pt idx="118">
                  <c:v>105.70366187309648</c:v>
                </c:pt>
                <c:pt idx="119">
                  <c:v>105.89947596589622</c:v>
                </c:pt>
                <c:pt idx="120">
                  <c:v>106.02689516705348</c:v>
                </c:pt>
                <c:pt idx="121">
                  <c:v>105.94660898267713</c:v>
                </c:pt>
                <c:pt idx="122">
                  <c:v>105.87357668298561</c:v>
                </c:pt>
                <c:pt idx="123">
                  <c:v>105.72130170540868</c:v>
                </c:pt>
                <c:pt idx="124">
                  <c:v>105.76588578959976</c:v>
                </c:pt>
                <c:pt idx="125">
                  <c:v>106.05444275545032</c:v>
                </c:pt>
                <c:pt idx="126">
                  <c:v>106.05261067836003</c:v>
                </c:pt>
                <c:pt idx="127">
                  <c:v>106.05679715960591</c:v>
                </c:pt>
                <c:pt idx="128">
                  <c:v>106.07210306640432</c:v>
                </c:pt>
                <c:pt idx="129">
                  <c:v>106.08001028429125</c:v>
                </c:pt>
                <c:pt idx="130">
                  <c:v>106.18746328296942</c:v>
                </c:pt>
                <c:pt idx="131">
                  <c:v>106.33441449900212</c:v>
                </c:pt>
                <c:pt idx="132">
                  <c:v>106.39650888756672</c:v>
                </c:pt>
                <c:pt idx="133">
                  <c:v>106.57947727856194</c:v>
                </c:pt>
                <c:pt idx="134">
                  <c:v>106.51594666759655</c:v>
                </c:pt>
                <c:pt idx="135">
                  <c:v>106.30339630927539</c:v>
                </c:pt>
                <c:pt idx="136">
                  <c:v>106.10629357786925</c:v>
                </c:pt>
                <c:pt idx="137">
                  <c:v>105.83012603714822</c:v>
                </c:pt>
                <c:pt idx="138">
                  <c:v>105.2569764967095</c:v>
                </c:pt>
                <c:pt idx="139">
                  <c:v>104.81464519345738</c:v>
                </c:pt>
                <c:pt idx="140">
                  <c:v>104.2902738662476</c:v>
                </c:pt>
                <c:pt idx="141">
                  <c:v>103.74016398260285</c:v>
                </c:pt>
                <c:pt idx="142">
                  <c:v>103.03749941766952</c:v>
                </c:pt>
                <c:pt idx="143">
                  <c:v>102.43412483412918</c:v>
                </c:pt>
                <c:pt idx="144">
                  <c:v>102.24487883678555</c:v>
                </c:pt>
                <c:pt idx="145">
                  <c:v>102.28829359142254</c:v>
                </c:pt>
                <c:pt idx="146">
                  <c:v>101.9755193282673</c:v>
                </c:pt>
                <c:pt idx="147">
                  <c:v>101.42913171556806</c:v>
                </c:pt>
                <c:pt idx="148">
                  <c:v>100.83941642913837</c:v>
                </c:pt>
                <c:pt idx="149">
                  <c:v>100.03030936050042</c:v>
                </c:pt>
                <c:pt idx="150">
                  <c:v>99.74524809285677</c:v>
                </c:pt>
                <c:pt idx="151">
                  <c:v>99.541534910397388</c:v>
                </c:pt>
                <c:pt idx="152">
                  <c:v>99.115764072232238</c:v>
                </c:pt>
                <c:pt idx="153">
                  <c:v>99.431871694054593</c:v>
                </c:pt>
                <c:pt idx="154">
                  <c:v>99.691806635586602</c:v>
                </c:pt>
                <c:pt idx="155">
                  <c:v>100.2327403191001</c:v>
                </c:pt>
                <c:pt idx="156">
                  <c:v>100.25750997830642</c:v>
                </c:pt>
                <c:pt idx="157">
                  <c:v>100.24897992946678</c:v>
                </c:pt>
                <c:pt idx="158">
                  <c:v>100.33230868857738</c:v>
                </c:pt>
                <c:pt idx="159">
                  <c:v>100.51106211827221</c:v>
                </c:pt>
                <c:pt idx="160">
                  <c:v>100.80220981629732</c:v>
                </c:pt>
                <c:pt idx="161">
                  <c:v>101.22257688024298</c:v>
                </c:pt>
                <c:pt idx="162">
                  <c:v>101.58239630503162</c:v>
                </c:pt>
                <c:pt idx="163">
                  <c:v>102.26776497956858</c:v>
                </c:pt>
                <c:pt idx="164">
                  <c:v>102.5151962471181</c:v>
                </c:pt>
                <c:pt idx="165">
                  <c:v>102.75712147592301</c:v>
                </c:pt>
                <c:pt idx="166">
                  <c:v>103.08657503268503</c:v>
                </c:pt>
                <c:pt idx="167">
                  <c:v>103.10197322060141</c:v>
                </c:pt>
                <c:pt idx="168">
                  <c:v>103.04163809270781</c:v>
                </c:pt>
                <c:pt idx="169">
                  <c:v>103.00409221337971</c:v>
                </c:pt>
                <c:pt idx="170">
                  <c:v>103.12302751602599</c:v>
                </c:pt>
                <c:pt idx="171">
                  <c:v>103.28501341129845</c:v>
                </c:pt>
                <c:pt idx="172">
                  <c:v>103.23496191805242</c:v>
                </c:pt>
                <c:pt idx="173">
                  <c:v>103.23177521330524</c:v>
                </c:pt>
                <c:pt idx="174">
                  <c:v>103.22839887854042</c:v>
                </c:pt>
                <c:pt idx="175">
                  <c:v>103.28638569760749</c:v>
                </c:pt>
                <c:pt idx="176">
                  <c:v>103.47316032552629</c:v>
                </c:pt>
                <c:pt idx="177">
                  <c:v>103.40163242107806</c:v>
                </c:pt>
                <c:pt idx="178">
                  <c:v>103.55748004400516</c:v>
                </c:pt>
                <c:pt idx="179">
                  <c:v>103.82042473367254</c:v>
                </c:pt>
                <c:pt idx="180">
                  <c:v>103.8635975130375</c:v>
                </c:pt>
                <c:pt idx="181">
                  <c:v>104.02979203580404</c:v>
                </c:pt>
                <c:pt idx="182">
                  <c:v>104.01920227690519</c:v>
                </c:pt>
                <c:pt idx="183">
                  <c:v>103.66817316217399</c:v>
                </c:pt>
                <c:pt idx="184">
                  <c:v>103.52786300589544</c:v>
                </c:pt>
                <c:pt idx="185">
                  <c:v>103.24674549470826</c:v>
                </c:pt>
                <c:pt idx="186">
                  <c:v>102.911854924034</c:v>
                </c:pt>
                <c:pt idx="187">
                  <c:v>102.89347751838375</c:v>
                </c:pt>
                <c:pt idx="188">
                  <c:v>102.97591879846392</c:v>
                </c:pt>
                <c:pt idx="189">
                  <c:v>103.48067425822575</c:v>
                </c:pt>
                <c:pt idx="190">
                  <c:v>103.74056295435956</c:v>
                </c:pt>
                <c:pt idx="191">
                  <c:v>103.52363201391569</c:v>
                </c:pt>
                <c:pt idx="192">
                  <c:v>103.54651693192713</c:v>
                </c:pt>
                <c:pt idx="193">
                  <c:v>103.55717092175151</c:v>
                </c:pt>
                <c:pt idx="194">
                  <c:v>103.47409648023987</c:v>
                </c:pt>
                <c:pt idx="195">
                  <c:v>103.48060814543298</c:v>
                </c:pt>
                <c:pt idx="196">
                  <c:v>103.5128856544402</c:v>
                </c:pt>
                <c:pt idx="197">
                  <c:v>103.59784557090082</c:v>
                </c:pt>
                <c:pt idx="198">
                  <c:v>103.57461782898814</c:v>
                </c:pt>
                <c:pt idx="199">
                  <c:v>103.55202066624253</c:v>
                </c:pt>
                <c:pt idx="200">
                  <c:v>103.65864815019597</c:v>
                </c:pt>
                <c:pt idx="201">
                  <c:v>103.64553493030631</c:v>
                </c:pt>
                <c:pt idx="202">
                  <c:v>103.67920581115115</c:v>
                </c:pt>
                <c:pt idx="203">
                  <c:v>103.88372226255895</c:v>
                </c:pt>
                <c:pt idx="204">
                  <c:v>104.00689812055117</c:v>
                </c:pt>
                <c:pt idx="205">
                  <c:v>104.08390385301033</c:v>
                </c:pt>
                <c:pt idx="206">
                  <c:v>104.03644004285975</c:v>
                </c:pt>
                <c:pt idx="207">
                  <c:v>103.78937361468705</c:v>
                </c:pt>
                <c:pt idx="208">
                  <c:v>103.49019101604281</c:v>
                </c:pt>
                <c:pt idx="209">
                  <c:v>102.57035192024034</c:v>
                </c:pt>
                <c:pt idx="210">
                  <c:v>101.96520594616219</c:v>
                </c:pt>
                <c:pt idx="211">
                  <c:v>101.90101349596047</c:v>
                </c:pt>
                <c:pt idx="212">
                  <c:v>101.51087498029568</c:v>
                </c:pt>
                <c:pt idx="213">
                  <c:v>101.29146351960514</c:v>
                </c:pt>
                <c:pt idx="214">
                  <c:v>101.2949363693575</c:v>
                </c:pt>
                <c:pt idx="215">
                  <c:v>101.38311445424553</c:v>
                </c:pt>
                <c:pt idx="216">
                  <c:v>101.2463192779029</c:v>
                </c:pt>
                <c:pt idx="217">
                  <c:v>101.09589455264951</c:v>
                </c:pt>
                <c:pt idx="218">
                  <c:v>101.32533949460503</c:v>
                </c:pt>
                <c:pt idx="219">
                  <c:v>101.46560726568723</c:v>
                </c:pt>
                <c:pt idx="220">
                  <c:v>101.66277184276127</c:v>
                </c:pt>
                <c:pt idx="221">
                  <c:v>101.64728286780415</c:v>
                </c:pt>
                <c:pt idx="222">
                  <c:v>101.70689330015901</c:v>
                </c:pt>
                <c:pt idx="223">
                  <c:v>101.59454422418972</c:v>
                </c:pt>
                <c:pt idx="224">
                  <c:v>101.56059541635111</c:v>
                </c:pt>
                <c:pt idx="225">
                  <c:v>101.19672181062036</c:v>
                </c:pt>
                <c:pt idx="226">
                  <c:v>100.62683140313094</c:v>
                </c:pt>
                <c:pt idx="227">
                  <c:v>100.57676491264078</c:v>
                </c:pt>
                <c:pt idx="228">
                  <c:v>101.00392926933786</c:v>
                </c:pt>
                <c:pt idx="229">
                  <c:v>101.69845695925457</c:v>
                </c:pt>
                <c:pt idx="230">
                  <c:v>102.59350001190759</c:v>
                </c:pt>
                <c:pt idx="231">
                  <c:v>103.70213211477967</c:v>
                </c:pt>
                <c:pt idx="232">
                  <c:v>104.22615236629628</c:v>
                </c:pt>
                <c:pt idx="233">
                  <c:v>104.55286517217107</c:v>
                </c:pt>
                <c:pt idx="234">
                  <c:v>104.97423144261347</c:v>
                </c:pt>
                <c:pt idx="235">
                  <c:v>105.49828206921133</c:v>
                </c:pt>
                <c:pt idx="236">
                  <c:v>106.10093104943552</c:v>
                </c:pt>
                <c:pt idx="237">
                  <c:v>106.58442832622654</c:v>
                </c:pt>
                <c:pt idx="238">
                  <c:v>107.1636064677151</c:v>
                </c:pt>
                <c:pt idx="239">
                  <c:v>107.76236038676475</c:v>
                </c:pt>
                <c:pt idx="240">
                  <c:v>108.07876494253254</c:v>
                </c:pt>
                <c:pt idx="241">
                  <c:v>108.56887218443853</c:v>
                </c:pt>
                <c:pt idx="242">
                  <c:v>109.20911034366011</c:v>
                </c:pt>
                <c:pt idx="243">
                  <c:v>109.80756843674378</c:v>
                </c:pt>
                <c:pt idx="244">
                  <c:v>110.05492621918074</c:v>
                </c:pt>
                <c:pt idx="245">
                  <c:v>109.96706392824377</c:v>
                </c:pt>
                <c:pt idx="246">
                  <c:v>109.89906131743861</c:v>
                </c:pt>
                <c:pt idx="247">
                  <c:v>110.19784326176175</c:v>
                </c:pt>
                <c:pt idx="248">
                  <c:v>111.00797764414176</c:v>
                </c:pt>
                <c:pt idx="249">
                  <c:v>112.31802683720485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95-4D27-A931-A5332907839A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Data!$M$2:$M$251</c:f>
              <c:numCache>
                <c:formatCode>General</c:formatCode>
                <c:ptCount val="250"/>
                <c:pt idx="19">
                  <c:v>94.357428815895744</c:v>
                </c:pt>
                <c:pt idx="20">
                  <c:v>94.96001780883077</c:v>
                </c:pt>
                <c:pt idx="21">
                  <c:v>95.949041093932394</c:v>
                </c:pt>
                <c:pt idx="22">
                  <c:v>96.950454045957798</c:v>
                </c:pt>
                <c:pt idx="23">
                  <c:v>97.600482943807094</c:v>
                </c:pt>
                <c:pt idx="24">
                  <c:v>98.138695865972352</c:v>
                </c:pt>
                <c:pt idx="25">
                  <c:v>98.533562486869869</c:v>
                </c:pt>
                <c:pt idx="26">
                  <c:v>99.149101982505783</c:v>
                </c:pt>
                <c:pt idx="27">
                  <c:v>99.875453112085097</c:v>
                </c:pt>
                <c:pt idx="28">
                  <c:v>100.2980287750415</c:v>
                </c:pt>
                <c:pt idx="29">
                  <c:v>100.21785967573449</c:v>
                </c:pt>
                <c:pt idx="30">
                  <c:v>100.60002474015222</c:v>
                </c:pt>
                <c:pt idx="31">
                  <c:v>101.65895922821687</c:v>
                </c:pt>
                <c:pt idx="32">
                  <c:v>102.35193425071358</c:v>
                </c:pt>
                <c:pt idx="33">
                  <c:v>102.87759846029758</c:v>
                </c:pt>
                <c:pt idx="34">
                  <c:v>102.72891824061794</c:v>
                </c:pt>
                <c:pt idx="35">
                  <c:v>103.11882590578952</c:v>
                </c:pt>
                <c:pt idx="36">
                  <c:v>103.82054827670039</c:v>
                </c:pt>
                <c:pt idx="37">
                  <c:v>104.30715652803916</c:v>
                </c:pt>
                <c:pt idx="38">
                  <c:v>104.47000222650227</c:v>
                </c:pt>
                <c:pt idx="39">
                  <c:v>104.28873140071707</c:v>
                </c:pt>
                <c:pt idx="40">
                  <c:v>104.22812899142559</c:v>
                </c:pt>
                <c:pt idx="41">
                  <c:v>104.28179933599816</c:v>
                </c:pt>
                <c:pt idx="42">
                  <c:v>104.23166225112406</c:v>
                </c:pt>
                <c:pt idx="43">
                  <c:v>104.34438089369047</c:v>
                </c:pt>
                <c:pt idx="44">
                  <c:v>104.45405376780117</c:v>
                </c:pt>
                <c:pt idx="45">
                  <c:v>104.98086985298401</c:v>
                </c:pt>
                <c:pt idx="46">
                  <c:v>105.26128739358303</c:v>
                </c:pt>
                <c:pt idx="47">
                  <c:v>105.49189121723211</c:v>
                </c:pt>
                <c:pt idx="48">
                  <c:v>105.63515541365813</c:v>
                </c:pt>
                <c:pt idx="49">
                  <c:v>105.63697159431509</c:v>
                </c:pt>
                <c:pt idx="50">
                  <c:v>105.65011497243376</c:v>
                </c:pt>
                <c:pt idx="51">
                  <c:v>105.72912481875551</c:v>
                </c:pt>
                <c:pt idx="52">
                  <c:v>105.69292756464468</c:v>
                </c:pt>
                <c:pt idx="53">
                  <c:v>105.71223543498967</c:v>
                </c:pt>
                <c:pt idx="54">
                  <c:v>106.60698866601901</c:v>
                </c:pt>
                <c:pt idx="55">
                  <c:v>107.49475749273742</c:v>
                </c:pt>
                <c:pt idx="56">
                  <c:v>108.14841516229716</c:v>
                </c:pt>
                <c:pt idx="57">
                  <c:v>107.98358277682139</c:v>
                </c:pt>
                <c:pt idx="58">
                  <c:v>106.20175416820416</c:v>
                </c:pt>
                <c:pt idx="59">
                  <c:v>103.79971735233913</c:v>
                </c:pt>
                <c:pt idx="60">
                  <c:v>101.58468345707314</c:v>
                </c:pt>
                <c:pt idx="61">
                  <c:v>100.49596431785648</c:v>
                </c:pt>
                <c:pt idx="62">
                  <c:v>99.978877716300701</c:v>
                </c:pt>
                <c:pt idx="63">
                  <c:v>99.652124727788163</c:v>
                </c:pt>
                <c:pt idx="64">
                  <c:v>99.515765951109472</c:v>
                </c:pt>
                <c:pt idx="65">
                  <c:v>99.342566027601308</c:v>
                </c:pt>
                <c:pt idx="66">
                  <c:v>98.93146282883265</c:v>
                </c:pt>
                <c:pt idx="67">
                  <c:v>98.644122463821589</c:v>
                </c:pt>
                <c:pt idx="68">
                  <c:v>98.432977739291346</c:v>
                </c:pt>
                <c:pt idx="69">
                  <c:v>98.141925965612032</c:v>
                </c:pt>
                <c:pt idx="70">
                  <c:v>98.248991584499876</c:v>
                </c:pt>
                <c:pt idx="71">
                  <c:v>98.607088873783496</c:v>
                </c:pt>
                <c:pt idx="72">
                  <c:v>98.684593706971626</c:v>
                </c:pt>
                <c:pt idx="73">
                  <c:v>98.732168307963505</c:v>
                </c:pt>
                <c:pt idx="74">
                  <c:v>98.938555634212562</c:v>
                </c:pt>
                <c:pt idx="75">
                  <c:v>99.567547058773357</c:v>
                </c:pt>
                <c:pt idx="76">
                  <c:v>99.621245585005866</c:v>
                </c:pt>
                <c:pt idx="77">
                  <c:v>99.734707017655822</c:v>
                </c:pt>
                <c:pt idx="78">
                  <c:v>99.671272720719443</c:v>
                </c:pt>
                <c:pt idx="79">
                  <c:v>99.962374291116618</c:v>
                </c:pt>
                <c:pt idx="80">
                  <c:v>100.75287722706932</c:v>
                </c:pt>
                <c:pt idx="81">
                  <c:v>100.91723456914178</c:v>
                </c:pt>
                <c:pt idx="82">
                  <c:v>100.69191115691271</c:v>
                </c:pt>
                <c:pt idx="83">
                  <c:v>100.53823960009341</c:v>
                </c:pt>
                <c:pt idx="84">
                  <c:v>100.38322314366556</c:v>
                </c:pt>
                <c:pt idx="85">
                  <c:v>100.29355345368185</c:v>
                </c:pt>
                <c:pt idx="86">
                  <c:v>100.11731742412745</c:v>
                </c:pt>
                <c:pt idx="87">
                  <c:v>99.822125016122484</c:v>
                </c:pt>
                <c:pt idx="88">
                  <c:v>98.995065996854819</c:v>
                </c:pt>
                <c:pt idx="89">
                  <c:v>98.404090578581645</c:v>
                </c:pt>
                <c:pt idx="90">
                  <c:v>97.846653612282154</c:v>
                </c:pt>
                <c:pt idx="91">
                  <c:v>97.859216889730135</c:v>
                </c:pt>
                <c:pt idx="92">
                  <c:v>97.893387511707942</c:v>
                </c:pt>
                <c:pt idx="93">
                  <c:v>97.816083614117147</c:v>
                </c:pt>
                <c:pt idx="94">
                  <c:v>97.749415274524168</c:v>
                </c:pt>
                <c:pt idx="95">
                  <c:v>97.633356201840556</c:v>
                </c:pt>
                <c:pt idx="96">
                  <c:v>97.46808971341747</c:v>
                </c:pt>
                <c:pt idx="97">
                  <c:v>97.398568626911057</c:v>
                </c:pt>
                <c:pt idx="98">
                  <c:v>97.425986635896663</c:v>
                </c:pt>
                <c:pt idx="99">
                  <c:v>97.460477094805412</c:v>
                </c:pt>
                <c:pt idx="100">
                  <c:v>97.714594604276542</c:v>
                </c:pt>
                <c:pt idx="101">
                  <c:v>98.111336561677405</c:v>
                </c:pt>
                <c:pt idx="102">
                  <c:v>98.162206088515831</c:v>
                </c:pt>
                <c:pt idx="103">
                  <c:v>98.196306893809819</c:v>
                </c:pt>
                <c:pt idx="104">
                  <c:v>98.18236340685246</c:v>
                </c:pt>
                <c:pt idx="105">
                  <c:v>98.076274556751855</c:v>
                </c:pt>
                <c:pt idx="106">
                  <c:v>97.721402344247934</c:v>
                </c:pt>
                <c:pt idx="107">
                  <c:v>97.646095053738236</c:v>
                </c:pt>
                <c:pt idx="108">
                  <c:v>97.986379817245734</c:v>
                </c:pt>
                <c:pt idx="109">
                  <c:v>98.292443213248745</c:v>
                </c:pt>
                <c:pt idx="110">
                  <c:v>98.764859460259274</c:v>
                </c:pt>
                <c:pt idx="111">
                  <c:v>98.801834878400882</c:v>
                </c:pt>
                <c:pt idx="112">
                  <c:v>98.789351387288178</c:v>
                </c:pt>
                <c:pt idx="113">
                  <c:v>98.810111056808395</c:v>
                </c:pt>
                <c:pt idx="114">
                  <c:v>98.695367319686682</c:v>
                </c:pt>
                <c:pt idx="115">
                  <c:v>98.621952910361756</c:v>
                </c:pt>
                <c:pt idx="116">
                  <c:v>98.917854915270965</c:v>
                </c:pt>
                <c:pt idx="117">
                  <c:v>99.1471582821558</c:v>
                </c:pt>
                <c:pt idx="118">
                  <c:v>99.16133812690353</c:v>
                </c:pt>
                <c:pt idx="119">
                  <c:v>99.354524034103775</c:v>
                </c:pt>
                <c:pt idx="120">
                  <c:v>99.538104832946516</c:v>
                </c:pt>
                <c:pt idx="121">
                  <c:v>99.992391017322859</c:v>
                </c:pt>
                <c:pt idx="122">
                  <c:v>100.3854233170144</c:v>
                </c:pt>
                <c:pt idx="123">
                  <c:v>100.76369829459136</c:v>
                </c:pt>
                <c:pt idx="124">
                  <c:v>100.68811421040024</c:v>
                </c:pt>
                <c:pt idx="125">
                  <c:v>100.16655724454968</c:v>
                </c:pt>
                <c:pt idx="126">
                  <c:v>99.919389321640011</c:v>
                </c:pt>
                <c:pt idx="127">
                  <c:v>99.836202840394066</c:v>
                </c:pt>
                <c:pt idx="128">
                  <c:v>99.765896933595641</c:v>
                </c:pt>
                <c:pt idx="129">
                  <c:v>99.696989715708739</c:v>
                </c:pt>
                <c:pt idx="130">
                  <c:v>99.48653671703056</c:v>
                </c:pt>
                <c:pt idx="131">
                  <c:v>99.087585500997847</c:v>
                </c:pt>
                <c:pt idx="132">
                  <c:v>98.773491112433291</c:v>
                </c:pt>
                <c:pt idx="133">
                  <c:v>98.057522721438062</c:v>
                </c:pt>
                <c:pt idx="134">
                  <c:v>97.500053332403468</c:v>
                </c:pt>
                <c:pt idx="135">
                  <c:v>96.896603690724632</c:v>
                </c:pt>
                <c:pt idx="136">
                  <c:v>96.460706422130755</c:v>
                </c:pt>
                <c:pt idx="137">
                  <c:v>96.101873962851798</c:v>
                </c:pt>
                <c:pt idx="138">
                  <c:v>95.980023503290525</c:v>
                </c:pt>
                <c:pt idx="139">
                  <c:v>95.639354806542627</c:v>
                </c:pt>
                <c:pt idx="140">
                  <c:v>95.449726133752378</c:v>
                </c:pt>
                <c:pt idx="141">
                  <c:v>95.338836017397156</c:v>
                </c:pt>
                <c:pt idx="142">
                  <c:v>95.445500582330482</c:v>
                </c:pt>
                <c:pt idx="143">
                  <c:v>95.517875165870791</c:v>
                </c:pt>
                <c:pt idx="144">
                  <c:v>95.330121163214443</c:v>
                </c:pt>
                <c:pt idx="145">
                  <c:v>94.869706408577443</c:v>
                </c:pt>
                <c:pt idx="146">
                  <c:v>94.712480671732692</c:v>
                </c:pt>
                <c:pt idx="147">
                  <c:v>94.71786828443193</c:v>
                </c:pt>
                <c:pt idx="148">
                  <c:v>94.790583570861628</c:v>
                </c:pt>
                <c:pt idx="149">
                  <c:v>95.096690639499528</c:v>
                </c:pt>
                <c:pt idx="150">
                  <c:v>95.241751907143197</c:v>
                </c:pt>
                <c:pt idx="151">
                  <c:v>95.354465089602598</c:v>
                </c:pt>
                <c:pt idx="152">
                  <c:v>95.608235927767751</c:v>
                </c:pt>
                <c:pt idx="153">
                  <c:v>95.437128305945407</c:v>
                </c:pt>
                <c:pt idx="154">
                  <c:v>95.311193364413384</c:v>
                </c:pt>
                <c:pt idx="155">
                  <c:v>95.102259680899877</c:v>
                </c:pt>
                <c:pt idx="156">
                  <c:v>95.109490021693574</c:v>
                </c:pt>
                <c:pt idx="157">
                  <c:v>95.102020070533186</c:v>
                </c:pt>
                <c:pt idx="158">
                  <c:v>95.094691311422608</c:v>
                </c:pt>
                <c:pt idx="159">
                  <c:v>95.183937881727786</c:v>
                </c:pt>
                <c:pt idx="160">
                  <c:v>95.198790183702656</c:v>
                </c:pt>
                <c:pt idx="161">
                  <c:v>95.153423119756994</c:v>
                </c:pt>
                <c:pt idx="162">
                  <c:v>95.103603694968356</c:v>
                </c:pt>
                <c:pt idx="163">
                  <c:v>94.902235020431405</c:v>
                </c:pt>
                <c:pt idx="164">
                  <c:v>95.040803752881885</c:v>
                </c:pt>
                <c:pt idx="165">
                  <c:v>95.430878524076974</c:v>
                </c:pt>
                <c:pt idx="166">
                  <c:v>95.690424967314954</c:v>
                </c:pt>
                <c:pt idx="167">
                  <c:v>96.147026779398558</c:v>
                </c:pt>
                <c:pt idx="168">
                  <c:v>96.693361907292143</c:v>
                </c:pt>
                <c:pt idx="169">
                  <c:v>97.240907786620298</c:v>
                </c:pt>
                <c:pt idx="170">
                  <c:v>97.422972483974007</c:v>
                </c:pt>
                <c:pt idx="171">
                  <c:v>97.573986588701558</c:v>
                </c:pt>
                <c:pt idx="172">
                  <c:v>97.866038081947579</c:v>
                </c:pt>
                <c:pt idx="173">
                  <c:v>97.911224786694731</c:v>
                </c:pt>
                <c:pt idx="174">
                  <c:v>97.979601121459581</c:v>
                </c:pt>
                <c:pt idx="175">
                  <c:v>97.72461430239251</c:v>
                </c:pt>
                <c:pt idx="176">
                  <c:v>97.420839674473683</c:v>
                </c:pt>
                <c:pt idx="177">
                  <c:v>97.54736757892195</c:v>
                </c:pt>
                <c:pt idx="178">
                  <c:v>97.251519955994866</c:v>
                </c:pt>
                <c:pt idx="179">
                  <c:v>96.719575266327482</c:v>
                </c:pt>
                <c:pt idx="180">
                  <c:v>96.468402486962518</c:v>
                </c:pt>
                <c:pt idx="181">
                  <c:v>95.830207964195978</c:v>
                </c:pt>
                <c:pt idx="182">
                  <c:v>95.459797723094823</c:v>
                </c:pt>
                <c:pt idx="183">
                  <c:v>95.423826837826027</c:v>
                </c:pt>
                <c:pt idx="184">
                  <c:v>95.302136994104572</c:v>
                </c:pt>
                <c:pt idx="185">
                  <c:v>95.35325450529173</c:v>
                </c:pt>
                <c:pt idx="186">
                  <c:v>95.478145075966012</c:v>
                </c:pt>
                <c:pt idx="187">
                  <c:v>95.484522481616267</c:v>
                </c:pt>
                <c:pt idx="188">
                  <c:v>95.449081201536089</c:v>
                </c:pt>
                <c:pt idx="189">
                  <c:v>95.15732574177423</c:v>
                </c:pt>
                <c:pt idx="190">
                  <c:v>95.032437045640435</c:v>
                </c:pt>
                <c:pt idx="191">
                  <c:v>95.093367986084331</c:v>
                </c:pt>
                <c:pt idx="192">
                  <c:v>95.08848306807289</c:v>
                </c:pt>
                <c:pt idx="193">
                  <c:v>95.089829078248513</c:v>
                </c:pt>
                <c:pt idx="194">
                  <c:v>95.042903519760188</c:v>
                </c:pt>
                <c:pt idx="195">
                  <c:v>95.066391854567044</c:v>
                </c:pt>
                <c:pt idx="196">
                  <c:v>95.34811434555985</c:v>
                </c:pt>
                <c:pt idx="197">
                  <c:v>95.480154429099215</c:v>
                </c:pt>
                <c:pt idx="198">
                  <c:v>95.550382171011918</c:v>
                </c:pt>
                <c:pt idx="199">
                  <c:v>95.595979333757469</c:v>
                </c:pt>
                <c:pt idx="200">
                  <c:v>95.338351849804042</c:v>
                </c:pt>
                <c:pt idx="201">
                  <c:v>95.36246506969367</c:v>
                </c:pt>
                <c:pt idx="202">
                  <c:v>95.289794188848845</c:v>
                </c:pt>
                <c:pt idx="203">
                  <c:v>94.77827773744103</c:v>
                </c:pt>
                <c:pt idx="204">
                  <c:v>94.413101879448817</c:v>
                </c:pt>
                <c:pt idx="205">
                  <c:v>93.918096146989654</c:v>
                </c:pt>
                <c:pt idx="206">
                  <c:v>93.510559957140217</c:v>
                </c:pt>
                <c:pt idx="207">
                  <c:v>93.415626385312933</c:v>
                </c:pt>
                <c:pt idx="208">
                  <c:v>93.487808983957194</c:v>
                </c:pt>
                <c:pt idx="209">
                  <c:v>93.912648079759663</c:v>
                </c:pt>
                <c:pt idx="210">
                  <c:v>94.247794053837836</c:v>
                </c:pt>
                <c:pt idx="211">
                  <c:v>94.272986504039565</c:v>
                </c:pt>
                <c:pt idx="212">
                  <c:v>94.374125019704366</c:v>
                </c:pt>
                <c:pt idx="213">
                  <c:v>94.434536480394911</c:v>
                </c:pt>
                <c:pt idx="214">
                  <c:v>94.434063630642541</c:v>
                </c:pt>
                <c:pt idx="215">
                  <c:v>94.413885545754468</c:v>
                </c:pt>
                <c:pt idx="216">
                  <c:v>94.466680722097124</c:v>
                </c:pt>
                <c:pt idx="217">
                  <c:v>94.535105447350489</c:v>
                </c:pt>
                <c:pt idx="218">
                  <c:v>94.506660505394962</c:v>
                </c:pt>
                <c:pt idx="219">
                  <c:v>94.611392734312744</c:v>
                </c:pt>
                <c:pt idx="220">
                  <c:v>94.76822815723871</c:v>
                </c:pt>
                <c:pt idx="221">
                  <c:v>95.011717132195841</c:v>
                </c:pt>
                <c:pt idx="222">
                  <c:v>95.224106699840974</c:v>
                </c:pt>
                <c:pt idx="223">
                  <c:v>95.728455775810289</c:v>
                </c:pt>
                <c:pt idx="224">
                  <c:v>96.19840458364888</c:v>
                </c:pt>
                <c:pt idx="225">
                  <c:v>96.94227818937965</c:v>
                </c:pt>
                <c:pt idx="226">
                  <c:v>97.831168596869091</c:v>
                </c:pt>
                <c:pt idx="227">
                  <c:v>98.149235087359216</c:v>
                </c:pt>
                <c:pt idx="228">
                  <c:v>97.930070730662166</c:v>
                </c:pt>
                <c:pt idx="229">
                  <c:v>97.603543040745421</c:v>
                </c:pt>
                <c:pt idx="230">
                  <c:v>97.068499988092384</c:v>
                </c:pt>
                <c:pt idx="231">
                  <c:v>96.465867885220334</c:v>
                </c:pt>
                <c:pt idx="232">
                  <c:v>96.519847633703677</c:v>
                </c:pt>
                <c:pt idx="233">
                  <c:v>96.654134827828898</c:v>
                </c:pt>
                <c:pt idx="234">
                  <c:v>96.724768557386511</c:v>
                </c:pt>
                <c:pt idx="235">
                  <c:v>96.706717930788628</c:v>
                </c:pt>
                <c:pt idx="236">
                  <c:v>96.709068950564458</c:v>
                </c:pt>
                <c:pt idx="237">
                  <c:v>96.789571673773423</c:v>
                </c:pt>
                <c:pt idx="238">
                  <c:v>96.817393532284896</c:v>
                </c:pt>
                <c:pt idx="239">
                  <c:v>96.949639613235291</c:v>
                </c:pt>
                <c:pt idx="240">
                  <c:v>97.17623505746748</c:v>
                </c:pt>
                <c:pt idx="241">
                  <c:v>97.581127815561473</c:v>
                </c:pt>
                <c:pt idx="242">
                  <c:v>97.846889656339869</c:v>
                </c:pt>
                <c:pt idx="243">
                  <c:v>98.198431563256221</c:v>
                </c:pt>
                <c:pt idx="244">
                  <c:v>98.667073780819294</c:v>
                </c:pt>
                <c:pt idx="245">
                  <c:v>99.501936071756219</c:v>
                </c:pt>
                <c:pt idx="246">
                  <c:v>100.52993868256139</c:v>
                </c:pt>
                <c:pt idx="247">
                  <c:v>101.19715673823829</c:v>
                </c:pt>
                <c:pt idx="248">
                  <c:v>101.41202235585823</c:v>
                </c:pt>
                <c:pt idx="249">
                  <c:v>101.21597316279517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95-4D27-A931-A53329078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536399"/>
        <c:axId val="1567545039"/>
      </c:lineChart>
      <c:dateAx>
        <c:axId val="1567536399"/>
        <c:scaling>
          <c:orientation val="minMax"/>
          <c:min val="459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45039"/>
        <c:crosses val="autoZero"/>
        <c:auto val="1"/>
        <c:lblOffset val="100"/>
        <c:baseTimeUnit val="days"/>
      </c:dateAx>
      <c:valAx>
        <c:axId val="1567545039"/>
        <c:scaling>
          <c:orientation val="minMax"/>
          <c:max val="115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3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Data!$AA$2:$AA$251</c:f>
              <c:numCache>
                <c:formatCode>General</c:formatCode>
                <c:ptCount val="250"/>
                <c:pt idx="35">
                  <c:v>-0.84093503725689756</c:v>
                </c:pt>
                <c:pt idx="36">
                  <c:v>-0.72870481478205384</c:v>
                </c:pt>
                <c:pt idx="37">
                  <c:v>-0.54314078471168603</c:v>
                </c:pt>
                <c:pt idx="38">
                  <c:v>-0.26458082260285565</c:v>
                </c:pt>
                <c:pt idx="39">
                  <c:v>-0.12361269410163533</c:v>
                </c:pt>
                <c:pt idx="40">
                  <c:v>-7.1525268742332671E-2</c:v>
                </c:pt>
                <c:pt idx="41">
                  <c:v>-1.1981840827012036E-2</c:v>
                </c:pt>
                <c:pt idx="42">
                  <c:v>-6.5730985671388353E-2</c:v>
                </c:pt>
                <c:pt idx="43">
                  <c:v>3.4563183007132459E-2</c:v>
                </c:pt>
                <c:pt idx="44">
                  <c:v>2.6961242639909955E-2</c:v>
                </c:pt>
                <c:pt idx="45">
                  <c:v>-7.6648781150143286E-2</c:v>
                </c:pt>
                <c:pt idx="46">
                  <c:v>-0.20993981602387279</c:v>
                </c:pt>
                <c:pt idx="47">
                  <c:v>-0.25736565301699277</c:v>
                </c:pt>
                <c:pt idx="48">
                  <c:v>-0.22747846591660403</c:v>
                </c:pt>
                <c:pt idx="49">
                  <c:v>-0.17443195166335923</c:v>
                </c:pt>
                <c:pt idx="50">
                  <c:v>-0.16094514774430979</c:v>
                </c:pt>
                <c:pt idx="51">
                  <c:v>-0.32192711119687023</c:v>
                </c:pt>
                <c:pt idx="52">
                  <c:v>-0.45417835956472996</c:v>
                </c:pt>
                <c:pt idx="53">
                  <c:v>-0.46727996982360276</c:v>
                </c:pt>
                <c:pt idx="54">
                  <c:v>-0.4281997738471508</c:v>
                </c:pt>
                <c:pt idx="55">
                  <c:v>-0.60382190953768866</c:v>
                </c:pt>
                <c:pt idx="56">
                  <c:v>-0.69793979492168523</c:v>
                </c:pt>
                <c:pt idx="57">
                  <c:v>-0.99418572590556498</c:v>
                </c:pt>
                <c:pt idx="58">
                  <c:v>-1.3240211050978345</c:v>
                </c:pt>
                <c:pt idx="59">
                  <c:v>-1.5493023268674109</c:v>
                </c:pt>
                <c:pt idx="60">
                  <c:v>-1.4352487025542178</c:v>
                </c:pt>
                <c:pt idx="61">
                  <c:v>-1.1405703534179783</c:v>
                </c:pt>
                <c:pt idx="62">
                  <c:v>-0.82147088143360092</c:v>
                </c:pt>
                <c:pt idx="63">
                  <c:v>-0.55042157056825791</c:v>
                </c:pt>
                <c:pt idx="64">
                  <c:v>-0.37477398480162694</c:v>
                </c:pt>
                <c:pt idx="65">
                  <c:v>-0.35087704265886743</c:v>
                </c:pt>
                <c:pt idx="66">
                  <c:v>-0.26427965521285302</c:v>
                </c:pt>
                <c:pt idx="67">
                  <c:v>-0.19401238240535013</c:v>
                </c:pt>
                <c:pt idx="68">
                  <c:v>-0.24762640057849916</c:v>
                </c:pt>
                <c:pt idx="69">
                  <c:v>-0.17576259812740491</c:v>
                </c:pt>
                <c:pt idx="70">
                  <c:v>-3.8829175588749987E-2</c:v>
                </c:pt>
                <c:pt idx="71">
                  <c:v>2.0756112434294982E-2</c:v>
                </c:pt>
                <c:pt idx="72">
                  <c:v>2.9328398226570407E-2</c:v>
                </c:pt>
                <c:pt idx="73">
                  <c:v>-2.0754738396917771E-2</c:v>
                </c:pt>
                <c:pt idx="74">
                  <c:v>-3.5367958857671633E-2</c:v>
                </c:pt>
                <c:pt idx="75">
                  <c:v>-7.2851381086623368E-2</c:v>
                </c:pt>
                <c:pt idx="76">
                  <c:v>-0.1123275905381218</c:v>
                </c:pt>
                <c:pt idx="77">
                  <c:v>-3.6493796749215157E-2</c:v>
                </c:pt>
                <c:pt idx="78">
                  <c:v>3.4969780357525959E-2</c:v>
                </c:pt>
                <c:pt idx="79">
                  <c:v>0.16751497195681209</c:v>
                </c:pt>
                <c:pt idx="80">
                  <c:v>0.26655905724657569</c:v>
                </c:pt>
                <c:pt idx="81">
                  <c:v>0.17734701204286218</c:v>
                </c:pt>
                <c:pt idx="82">
                  <c:v>0.10523831531077432</c:v>
                </c:pt>
                <c:pt idx="83">
                  <c:v>2.5691857984329936E-2</c:v>
                </c:pt>
                <c:pt idx="84">
                  <c:v>4.78147089963743E-4</c:v>
                </c:pt>
                <c:pt idx="85">
                  <c:v>6.8107438247917429E-3</c:v>
                </c:pt>
                <c:pt idx="86">
                  <c:v>-4.0183669971914027E-2</c:v>
                </c:pt>
                <c:pt idx="87">
                  <c:v>-0.19335215262072203</c:v>
                </c:pt>
                <c:pt idx="88">
                  <c:v>-0.24505429152206082</c:v>
                </c:pt>
                <c:pt idx="89">
                  <c:v>-0.26945740360445813</c:v>
                </c:pt>
                <c:pt idx="90">
                  <c:v>-0.1178651621672846</c:v>
                </c:pt>
                <c:pt idx="91">
                  <c:v>2.3402215057904963E-2</c:v>
                </c:pt>
                <c:pt idx="92">
                  <c:v>6.8414573366788023E-2</c:v>
                </c:pt>
                <c:pt idx="93">
                  <c:v>0.13035267750709112</c:v>
                </c:pt>
                <c:pt idx="94">
                  <c:v>0.13617602616229796</c:v>
                </c:pt>
                <c:pt idx="95">
                  <c:v>0.11897562369810677</c:v>
                </c:pt>
                <c:pt idx="96">
                  <c:v>0.15562160772997347</c:v>
                </c:pt>
                <c:pt idx="97">
                  <c:v>0.25182149955889255</c:v>
                </c:pt>
                <c:pt idx="98">
                  <c:v>0.2788998087839496</c:v>
                </c:pt>
                <c:pt idx="99">
                  <c:v>0.31803478778218919</c:v>
                </c:pt>
                <c:pt idx="100">
                  <c:v>0.2675001254878514</c:v>
                </c:pt>
                <c:pt idx="101">
                  <c:v>0.26299542502103623</c:v>
                </c:pt>
                <c:pt idx="102">
                  <c:v>0.26336560133662845</c:v>
                </c:pt>
                <c:pt idx="103">
                  <c:v>0.28786959294240955</c:v>
                </c:pt>
                <c:pt idx="104">
                  <c:v>0.35810654820613408</c:v>
                </c:pt>
                <c:pt idx="105">
                  <c:v>0.48633326640243413</c:v>
                </c:pt>
                <c:pt idx="106">
                  <c:v>0.47970331684154649</c:v>
                </c:pt>
                <c:pt idx="107">
                  <c:v>0.42226357101818263</c:v>
                </c:pt>
                <c:pt idx="108">
                  <c:v>0.38033643285462343</c:v>
                </c:pt>
                <c:pt idx="109">
                  <c:v>0.2543750037539585</c:v>
                </c:pt>
                <c:pt idx="110">
                  <c:v>0.24386270937206544</c:v>
                </c:pt>
                <c:pt idx="111">
                  <c:v>0.24763288133565198</c:v>
                </c:pt>
                <c:pt idx="112">
                  <c:v>0.295330874173309</c:v>
                </c:pt>
                <c:pt idx="113">
                  <c:v>0.3693029776227883</c:v>
                </c:pt>
                <c:pt idx="114">
                  <c:v>0.45374737522906305</c:v>
                </c:pt>
                <c:pt idx="115">
                  <c:v>0.40527761300159515</c:v>
                </c:pt>
                <c:pt idx="116">
                  <c:v>0.34850729912499856</c:v>
                </c:pt>
                <c:pt idx="117">
                  <c:v>0.34487557947412195</c:v>
                </c:pt>
                <c:pt idx="118">
                  <c:v>0.28652424132651633</c:v>
                </c:pt>
                <c:pt idx="119">
                  <c:v>0.20649235947398537</c:v>
                </c:pt>
                <c:pt idx="120">
                  <c:v>0.11212906201868811</c:v>
                </c:pt>
                <c:pt idx="121">
                  <c:v>3.9001291603147803E-2</c:v>
                </c:pt>
                <c:pt idx="122">
                  <c:v>-6.6211476273629333E-2</c:v>
                </c:pt>
                <c:pt idx="123">
                  <c:v>-0.26819294879859956</c:v>
                </c:pt>
                <c:pt idx="124">
                  <c:v>-0.45198097850051222</c:v>
                </c:pt>
                <c:pt idx="125">
                  <c:v>-0.46117686589362622</c:v>
                </c:pt>
                <c:pt idx="126">
                  <c:v>-0.40408096659531845</c:v>
                </c:pt>
                <c:pt idx="127">
                  <c:v>-0.36621898952409038</c:v>
                </c:pt>
                <c:pt idx="128">
                  <c:v>-0.31539732036297125</c:v>
                </c:pt>
                <c:pt idx="129">
                  <c:v>-0.37646074691836773</c:v>
                </c:pt>
                <c:pt idx="130">
                  <c:v>-0.40978054216744708</c:v>
                </c:pt>
                <c:pt idx="131">
                  <c:v>-0.38601627031193331</c:v>
                </c:pt>
                <c:pt idx="132">
                  <c:v>-0.4704285079233208</c:v>
                </c:pt>
                <c:pt idx="133">
                  <c:v>-0.49206383415103505</c:v>
                </c:pt>
                <c:pt idx="134">
                  <c:v>-0.54165738951175701</c:v>
                </c:pt>
                <c:pt idx="135">
                  <c:v>-0.49772662316025995</c:v>
                </c:pt>
                <c:pt idx="136">
                  <c:v>-0.44101749220948139</c:v>
                </c:pt>
                <c:pt idx="137">
                  <c:v>-0.35912144901904997</c:v>
                </c:pt>
                <c:pt idx="138">
                  <c:v>-0.37021249797326772</c:v>
                </c:pt>
                <c:pt idx="139">
                  <c:v>-0.32775629613739543</c:v>
                </c:pt>
                <c:pt idx="140">
                  <c:v>-0.26789437892562162</c:v>
                </c:pt>
                <c:pt idx="141">
                  <c:v>-0.16646518647411579</c:v>
                </c:pt>
                <c:pt idx="142">
                  <c:v>-9.3059710373565752E-2</c:v>
                </c:pt>
                <c:pt idx="143">
                  <c:v>-6.6381956749273163E-2</c:v>
                </c:pt>
                <c:pt idx="144">
                  <c:v>-0.12639897248697429</c:v>
                </c:pt>
                <c:pt idx="145">
                  <c:v>-9.3092389911492823E-2</c:v>
                </c:pt>
                <c:pt idx="146">
                  <c:v>-5.8985737759271295E-2</c:v>
                </c:pt>
                <c:pt idx="147">
                  <c:v>-2.411657421817992E-2</c:v>
                </c:pt>
                <c:pt idx="148">
                  <c:v>2.9241059852157081E-2</c:v>
                </c:pt>
                <c:pt idx="149">
                  <c:v>0.19598413609245657</c:v>
                </c:pt>
                <c:pt idx="150">
                  <c:v>0.3180318771923063</c:v>
                </c:pt>
                <c:pt idx="151">
                  <c:v>0.35899392692779952</c:v>
                </c:pt>
                <c:pt idx="152">
                  <c:v>0.45657207650134901</c:v>
                </c:pt>
                <c:pt idx="153">
                  <c:v>0.49924095641969501</c:v>
                </c:pt>
                <c:pt idx="154">
                  <c:v>0.56793678938711101</c:v>
                </c:pt>
                <c:pt idx="155">
                  <c:v>0.43745192979807201</c:v>
                </c:pt>
                <c:pt idx="156">
                  <c:v>0.30411580955426376</c:v>
                </c:pt>
                <c:pt idx="157">
                  <c:v>0.28377916116458179</c:v>
                </c:pt>
                <c:pt idx="158">
                  <c:v>0.29320620169040174</c:v>
                </c:pt>
                <c:pt idx="159">
                  <c:v>0.3322514446503696</c:v>
                </c:pt>
                <c:pt idx="160">
                  <c:v>0.39216213179646675</c:v>
                </c:pt>
                <c:pt idx="161">
                  <c:v>0.40878595675458107</c:v>
                </c:pt>
                <c:pt idx="162">
                  <c:v>0.49985987622555667</c:v>
                </c:pt>
                <c:pt idx="163">
                  <c:v>0.43257303436770356</c:v>
                </c:pt>
                <c:pt idx="164">
                  <c:v>0.43194332063049828</c:v>
                </c:pt>
                <c:pt idx="165">
                  <c:v>0.43193639966481473</c:v>
                </c:pt>
                <c:pt idx="166">
                  <c:v>0.32795111014008377</c:v>
                </c:pt>
                <c:pt idx="167">
                  <c:v>0.24901347690068243</c:v>
                </c:pt>
                <c:pt idx="168">
                  <c:v>0.21551096062098352</c:v>
                </c:pt>
                <c:pt idx="169">
                  <c:v>0.16771717158396326</c:v>
                </c:pt>
                <c:pt idx="170">
                  <c:v>0.14755059614924781</c:v>
                </c:pt>
                <c:pt idx="171">
                  <c:v>4.650371160794553E-2</c:v>
                </c:pt>
                <c:pt idx="172">
                  <c:v>-7.1966558395406777E-2</c:v>
                </c:pt>
                <c:pt idx="173">
                  <c:v>-0.13690896112489448</c:v>
                </c:pt>
                <c:pt idx="174">
                  <c:v>-0.28264738043736137</c:v>
                </c:pt>
                <c:pt idx="175">
                  <c:v>-0.46308499869159686</c:v>
                </c:pt>
                <c:pt idx="176">
                  <c:v>-0.47989670125450462</c:v>
                </c:pt>
                <c:pt idx="177">
                  <c:v>-0.51789656866002454</c:v>
                </c:pt>
                <c:pt idx="178">
                  <c:v>-0.56536618378687842</c:v>
                </c:pt>
                <c:pt idx="179">
                  <c:v>-0.48161531638759258</c:v>
                </c:pt>
                <c:pt idx="180">
                  <c:v>-0.52121264714010307</c:v>
                </c:pt>
                <c:pt idx="181">
                  <c:v>-0.46063631005741817</c:v>
                </c:pt>
                <c:pt idx="182">
                  <c:v>-0.29791720554035889</c:v>
                </c:pt>
                <c:pt idx="183">
                  <c:v>-0.19453795550509834</c:v>
                </c:pt>
                <c:pt idx="184">
                  <c:v>-2.9304904393609887E-2</c:v>
                </c:pt>
                <c:pt idx="185">
                  <c:v>0.11823866529290589</c:v>
                </c:pt>
                <c:pt idx="186">
                  <c:v>0.25690166937270009</c:v>
                </c:pt>
                <c:pt idx="187">
                  <c:v>0.37895314911049072</c:v>
                </c:pt>
                <c:pt idx="188">
                  <c:v>0.57778113853001156</c:v>
                </c:pt>
                <c:pt idx="189">
                  <c:v>0.61324209721975453</c:v>
                </c:pt>
                <c:pt idx="190">
                  <c:v>0.44158105568661832</c:v>
                </c:pt>
                <c:pt idx="191">
                  <c:v>0.34592701777353851</c:v>
                </c:pt>
                <c:pt idx="192">
                  <c:v>0.21534657951797676</c:v>
                </c:pt>
                <c:pt idx="193">
                  <c:v>4.0511425379048449E-2</c:v>
                </c:pt>
                <c:pt idx="194">
                  <c:v>-7.8322246704274401E-2</c:v>
                </c:pt>
                <c:pt idx="195">
                  <c:v>-6.8855282274989493E-2</c:v>
                </c:pt>
                <c:pt idx="196">
                  <c:v>-4.7596203563370854E-2</c:v>
                </c:pt>
                <c:pt idx="197">
                  <c:v>-0.1922597030378809</c:v>
                </c:pt>
                <c:pt idx="198">
                  <c:v>-0.33908659581207179</c:v>
                </c:pt>
                <c:pt idx="199">
                  <c:v>-0.44114728466100395</c:v>
                </c:pt>
                <c:pt idx="200">
                  <c:v>-0.49666837417628706</c:v>
                </c:pt>
                <c:pt idx="201">
                  <c:v>-0.48004805457527988</c:v>
                </c:pt>
                <c:pt idx="202">
                  <c:v>-0.51562906098969452</c:v>
                </c:pt>
                <c:pt idx="203">
                  <c:v>-0.4838855601578862</c:v>
                </c:pt>
                <c:pt idx="204">
                  <c:v>-0.46028331395002553</c:v>
                </c:pt>
                <c:pt idx="205">
                  <c:v>-0.40112873354368894</c:v>
                </c:pt>
                <c:pt idx="206">
                  <c:v>-0.21594004421707713</c:v>
                </c:pt>
                <c:pt idx="207">
                  <c:v>3.7114126916447443E-2</c:v>
                </c:pt>
                <c:pt idx="208">
                  <c:v>0.16938344889651769</c:v>
                </c:pt>
                <c:pt idx="209">
                  <c:v>0.33349912672469462</c:v>
                </c:pt>
                <c:pt idx="210">
                  <c:v>0.41057113080121765</c:v>
                </c:pt>
                <c:pt idx="211">
                  <c:v>0.31898162489193405</c:v>
                </c:pt>
                <c:pt idx="212">
                  <c:v>0.28146770135285903</c:v>
                </c:pt>
                <c:pt idx="213">
                  <c:v>0.27087602896330593</c:v>
                </c:pt>
                <c:pt idx="214">
                  <c:v>0.28986008649308564</c:v>
                </c:pt>
                <c:pt idx="215">
                  <c:v>0.27403350543174276</c:v>
                </c:pt>
                <c:pt idx="216">
                  <c:v>0.26658767023119256</c:v>
                </c:pt>
                <c:pt idx="217">
                  <c:v>0.27119738295337181</c:v>
                </c:pt>
                <c:pt idx="218">
                  <c:v>0.22379126639506006</c:v>
                </c:pt>
                <c:pt idx="219">
                  <c:v>0.22489158029216511</c:v>
                </c:pt>
                <c:pt idx="220">
                  <c:v>0.11797837755180976</c:v>
                </c:pt>
                <c:pt idx="221">
                  <c:v>9.6118868737768898E-2</c:v>
                </c:pt>
                <c:pt idx="222">
                  <c:v>7.9356603601735576E-2</c:v>
                </c:pt>
                <c:pt idx="223">
                  <c:v>0.11498845243943173</c:v>
                </c:pt>
                <c:pt idx="224">
                  <c:v>6.7734512939965186E-2</c:v>
                </c:pt>
                <c:pt idx="225">
                  <c:v>8.5045376634761971E-3</c:v>
                </c:pt>
                <c:pt idx="226">
                  <c:v>5.7172853110676713E-2</c:v>
                </c:pt>
                <c:pt idx="227">
                  <c:v>0.16313002517467079</c:v>
                </c:pt>
                <c:pt idx="228">
                  <c:v>0.28949583675311369</c:v>
                </c:pt>
                <c:pt idx="229">
                  <c:v>0.4290273836327928</c:v>
                </c:pt>
                <c:pt idx="230">
                  <c:v>0.56915682053179928</c:v>
                </c:pt>
                <c:pt idx="231">
                  <c:v>0.54466468680081781</c:v>
                </c:pt>
                <c:pt idx="232">
                  <c:v>0.45213317407446119</c:v>
                </c:pt>
                <c:pt idx="233">
                  <c:v>0.40692989472678365</c:v>
                </c:pt>
                <c:pt idx="234">
                  <c:v>0.39474772012990544</c:v>
                </c:pt>
                <c:pt idx="235">
                  <c:v>0.40555414063745054</c:v>
                </c:pt>
                <c:pt idx="236">
                  <c:v>0.36992810950147392</c:v>
                </c:pt>
                <c:pt idx="237">
                  <c:v>0.36685033227922847</c:v>
                </c:pt>
                <c:pt idx="238">
                  <c:v>0.37647844308005518</c:v>
                </c:pt>
                <c:pt idx="239">
                  <c:v>0.27273035835914494</c:v>
                </c:pt>
                <c:pt idx="240">
                  <c:v>0.30950653989863541</c:v>
                </c:pt>
                <c:pt idx="241">
                  <c:v>0.36152788270603664</c:v>
                </c:pt>
                <c:pt idx="242">
                  <c:v>0.39147378524311982</c:v>
                </c:pt>
                <c:pt idx="243">
                  <c:v>0.27620948694161451</c:v>
                </c:pt>
                <c:pt idx="244">
                  <c:v>0.13086442315493829</c:v>
                </c:pt>
                <c:pt idx="245">
                  <c:v>0.12778685004749835</c:v>
                </c:pt>
                <c:pt idx="246">
                  <c:v>0.19396638752289075</c:v>
                </c:pt>
                <c:pt idx="247">
                  <c:v>0.32580885300014772</c:v>
                </c:pt>
                <c:pt idx="248">
                  <c:v>0.50072623503932068</c:v>
                </c:pt>
                <c:pt idx="2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5-4526-8DB6-4B23B32E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9721727"/>
        <c:axId val="189721247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Data!$Y$2:$Y$251</c:f>
              <c:numCache>
                <c:formatCode>General</c:formatCode>
                <c:ptCount val="250"/>
                <c:pt idx="25">
                  <c:v>2.9031642130181154</c:v>
                </c:pt>
                <c:pt idx="26">
                  <c:v>2.8326409665059487</c:v>
                </c:pt>
                <c:pt idx="27">
                  <c:v>2.8153063321558989</c:v>
                </c:pt>
                <c:pt idx="28">
                  <c:v>2.914826988067901</c:v>
                </c:pt>
                <c:pt idx="29">
                  <c:v>2.91730240807793</c:v>
                </c:pt>
                <c:pt idx="30">
                  <c:v>2.8477056299310703</c:v>
                </c:pt>
                <c:pt idx="31">
                  <c:v>3.0112100843182219</c:v>
                </c:pt>
                <c:pt idx="32">
                  <c:v>2.8337710091592214</c:v>
                </c:pt>
                <c:pt idx="33">
                  <c:v>2.3497515513091969</c:v>
                </c:pt>
                <c:pt idx="34">
                  <c:v>1.9956080837479533</c:v>
                </c:pt>
                <c:pt idx="35">
                  <c:v>1.673067098237027</c:v>
                </c:pt>
                <c:pt idx="36">
                  <c:v>1.6031211170163573</c:v>
                </c:pt>
                <c:pt idx="37">
                  <c:v>1.6528999509088038</c:v>
                </c:pt>
                <c:pt idx="38">
                  <c:v>1.8653147073669203</c:v>
                </c:pt>
                <c:pt idx="39">
                  <c:v>1.975379662342732</c:v>
                </c:pt>
                <c:pt idx="40">
                  <c:v>2.0095857705164519</c:v>
                </c:pt>
                <c:pt idx="41">
                  <c:v>2.0661337382250196</c:v>
                </c:pt>
                <c:pt idx="42">
                  <c:v>1.9959518469627966</c:v>
                </c:pt>
                <c:pt idx="43">
                  <c:v>2.1048868113931007</c:v>
                </c:pt>
                <c:pt idx="44">
                  <c:v>2.1040251816858557</c:v>
                </c:pt>
                <c:pt idx="45">
                  <c:v>1.9812529626082664</c:v>
                </c:pt>
                <c:pt idx="46">
                  <c:v>1.7954769737285687</c:v>
                </c:pt>
                <c:pt idx="47">
                  <c:v>1.6837097234812006</c:v>
                </c:pt>
                <c:pt idx="48">
                  <c:v>1.6567272941024385</c:v>
                </c:pt>
                <c:pt idx="49">
                  <c:v>1.6661658204398435</c:v>
                </c:pt>
                <c:pt idx="50">
                  <c:v>1.6394163374228157</c:v>
                </c:pt>
                <c:pt idx="51">
                  <c:v>1.397952596171038</c:v>
                </c:pt>
                <c:pt idx="52">
                  <c:v>1.152156757911996</c:v>
                </c:pt>
                <c:pt idx="53">
                  <c:v>1.0222351551972224</c:v>
                </c:pt>
                <c:pt idx="54">
                  <c:v>0.95426540771188684</c:v>
                </c:pt>
                <c:pt idx="55">
                  <c:v>0.62768779463692681</c:v>
                </c:pt>
                <c:pt idx="56">
                  <c:v>0.35908496052250882</c:v>
                </c:pt>
                <c:pt idx="57">
                  <c:v>-0.18570740193776203</c:v>
                </c:pt>
                <c:pt idx="58">
                  <c:v>-0.84654805740449035</c:v>
                </c:pt>
                <c:pt idx="59">
                  <c:v>-1.4591548608909193</c:v>
                </c:pt>
                <c:pt idx="60">
                  <c:v>-1.7039134122162807</c:v>
                </c:pt>
                <c:pt idx="61">
                  <c:v>-1.6943776514345359</c:v>
                </c:pt>
                <c:pt idx="62">
                  <c:v>-1.5806458998085589</c:v>
                </c:pt>
                <c:pt idx="63">
                  <c:v>-1.4472019815852804</c:v>
                </c:pt>
                <c:pt idx="64">
                  <c:v>-1.3652478920190561</c:v>
                </c:pt>
                <c:pt idx="65">
                  <c:v>-1.4290702105410134</c:v>
                </c:pt>
                <c:pt idx="66">
                  <c:v>-1.4085427368982124</c:v>
                </c:pt>
                <c:pt idx="67">
                  <c:v>-1.386778559692047</c:v>
                </c:pt>
                <c:pt idx="68">
                  <c:v>-1.5022991780098209</c:v>
                </c:pt>
                <c:pt idx="69">
                  <c:v>-1.474376025090578</c:v>
                </c:pt>
                <c:pt idx="70">
                  <c:v>-1.3471498964491104</c:v>
                </c:pt>
                <c:pt idx="71">
                  <c:v>-1.2823755803174919</c:v>
                </c:pt>
                <c:pt idx="72">
                  <c:v>-1.2664711949685739</c:v>
                </c:pt>
                <c:pt idx="73">
                  <c:v>-1.3217430161912915</c:v>
                </c:pt>
                <c:pt idx="74">
                  <c:v>-1.3451982263664632</c:v>
                </c:pt>
                <c:pt idx="75">
                  <c:v>-1.4008944938670709</c:v>
                </c:pt>
                <c:pt idx="76">
                  <c:v>-1.4684526009530998</c:v>
                </c:pt>
                <c:pt idx="77">
                  <c:v>-1.401742256351497</c:v>
                </c:pt>
                <c:pt idx="78">
                  <c:v>-1.3215362341553742</c:v>
                </c:pt>
                <c:pt idx="79">
                  <c:v>-1.147112299566885</c:v>
                </c:pt>
                <c:pt idx="80">
                  <c:v>-0.98142844996547751</c:v>
                </c:pt>
                <c:pt idx="81">
                  <c:v>-1.0263037421584755</c:v>
                </c:pt>
                <c:pt idx="82">
                  <c:v>-1.0721028600628699</c:v>
                </c:pt>
                <c:pt idx="83">
                  <c:v>-1.145226352893232</c:v>
                </c:pt>
                <c:pt idx="84">
                  <c:v>-1.1703205270151074</c:v>
                </c:pt>
                <c:pt idx="85">
                  <c:v>-1.1622852443240816</c:v>
                </c:pt>
                <c:pt idx="86">
                  <c:v>-1.219325575613766</c:v>
                </c:pt>
                <c:pt idx="87">
                  <c:v>-1.4208320964177545</c:v>
                </c:pt>
                <c:pt idx="88">
                  <c:v>-1.5337978081996084</c:v>
                </c:pt>
                <c:pt idx="89">
                  <c:v>-1.6255652711831203</c:v>
                </c:pt>
                <c:pt idx="90">
                  <c:v>-1.5034393202877681</c:v>
                </c:pt>
                <c:pt idx="91">
                  <c:v>-1.3563213892981025</c:v>
                </c:pt>
                <c:pt idx="92">
                  <c:v>-1.2942053876475228</c:v>
                </c:pt>
                <c:pt idx="93">
                  <c:v>-1.199679114130447</c:v>
                </c:pt>
                <c:pt idx="94">
                  <c:v>-1.1598117589346657</c:v>
                </c:pt>
                <c:pt idx="95">
                  <c:v>-1.1472682554743301</c:v>
                </c:pt>
                <c:pt idx="96">
                  <c:v>-1.0717168695099701</c:v>
                </c:pt>
                <c:pt idx="97">
                  <c:v>-0.91256160279132814</c:v>
                </c:pt>
                <c:pt idx="98">
                  <c:v>-0.8157583413702838</c:v>
                </c:pt>
                <c:pt idx="99">
                  <c:v>-0.69711466542649703</c:v>
                </c:pt>
                <c:pt idx="100">
                  <c:v>-0.6807742963488721</c:v>
                </c:pt>
                <c:pt idx="101">
                  <c:v>-0.61953014056042832</c:v>
                </c:pt>
                <c:pt idx="102">
                  <c:v>-0.55331856391067902</c:v>
                </c:pt>
                <c:pt idx="103">
                  <c:v>-0.45684717406929565</c:v>
                </c:pt>
                <c:pt idx="104">
                  <c:v>-0.2970835817540376</c:v>
                </c:pt>
                <c:pt idx="105">
                  <c:v>-4.7273546957129042E-2</c:v>
                </c:pt>
                <c:pt idx="106">
                  <c:v>6.6022332692369901E-2</c:v>
                </c:pt>
                <c:pt idx="107">
                  <c:v>0.11414847962355168</c:v>
                </c:pt>
                <c:pt idx="108">
                  <c:v>0.16730544967364835</c:v>
                </c:pt>
                <c:pt idx="109">
                  <c:v>0.10493777151147299</c:v>
                </c:pt>
                <c:pt idx="110">
                  <c:v>0.15539115447259633</c:v>
                </c:pt>
                <c:pt idx="111">
                  <c:v>0.22106954677009583</c:v>
                </c:pt>
                <c:pt idx="112">
                  <c:v>0.34260025815108008</c:v>
                </c:pt>
                <c:pt idx="113">
                  <c:v>0.50889810600625651</c:v>
                </c:pt>
                <c:pt idx="114">
                  <c:v>0.70677934741979698</c:v>
                </c:pt>
                <c:pt idx="115">
                  <c:v>0.75962898844272786</c:v>
                </c:pt>
                <c:pt idx="116">
                  <c:v>0.78998549934738094</c:v>
                </c:pt>
                <c:pt idx="117">
                  <c:v>0.87257267456503484</c:v>
                </c:pt>
                <c:pt idx="118">
                  <c:v>0.88585239674905836</c:v>
                </c:pt>
                <c:pt idx="119">
                  <c:v>0.85744360476502379</c:v>
                </c:pt>
                <c:pt idx="120">
                  <c:v>0.79111257281439862</c:v>
                </c:pt>
                <c:pt idx="121">
                  <c:v>0.72773512529964535</c:v>
                </c:pt>
                <c:pt idx="122">
                  <c:v>0.60596948835446085</c:v>
                </c:pt>
                <c:pt idx="123">
                  <c:v>0.3369397786298407</c:v>
                </c:pt>
                <c:pt idx="124">
                  <c:v>4.0156504302800045E-2</c:v>
                </c:pt>
                <c:pt idx="125">
                  <c:v>-8.4333599563720441E-2</c:v>
                </c:pt>
                <c:pt idx="126">
                  <c:v>-0.12825794191424222</c:v>
                </c:pt>
                <c:pt idx="127">
                  <c:v>-0.18195071222403669</c:v>
                </c:pt>
                <c:pt idx="128">
                  <c:v>-0.20997837315366041</c:v>
                </c:pt>
                <c:pt idx="129">
                  <c:v>-0.3651569864386488</c:v>
                </c:pt>
                <c:pt idx="130">
                  <c:v>-0.50092191722959001</c:v>
                </c:pt>
                <c:pt idx="131">
                  <c:v>-0.57366171295205959</c:v>
                </c:pt>
                <c:pt idx="132">
                  <c:v>-0.77568107754427729</c:v>
                </c:pt>
                <c:pt idx="133">
                  <c:v>-0.92033236230975035</c:v>
                </c:pt>
                <c:pt idx="134">
                  <c:v>-1.1053402650484117</c:v>
                </c:pt>
                <c:pt idx="135">
                  <c:v>-1.1858411544869796</c:v>
                </c:pt>
                <c:pt idx="136">
                  <c:v>-1.2393863965885714</c:v>
                </c:pt>
                <c:pt idx="137">
                  <c:v>-1.2472707156529026</c:v>
                </c:pt>
                <c:pt idx="138">
                  <c:v>-1.3509148891004372</c:v>
                </c:pt>
                <c:pt idx="139">
                  <c:v>-1.3903977612989138</c:v>
                </c:pt>
                <c:pt idx="140">
                  <c:v>-1.3975094388185454</c:v>
                </c:pt>
                <c:pt idx="141">
                  <c:v>-1.3376965429855687</c:v>
                </c:pt>
                <c:pt idx="142">
                  <c:v>-1.2875559944784101</c:v>
                </c:pt>
                <c:pt idx="143">
                  <c:v>-1.2774737300414358</c:v>
                </c:pt>
                <c:pt idx="144">
                  <c:v>-1.3690904889008806</c:v>
                </c:pt>
                <c:pt idx="145">
                  <c:v>-1.3590570038032723</c:v>
                </c:pt>
                <c:pt idx="146">
                  <c:v>-1.3396967860908688</c:v>
                </c:pt>
                <c:pt idx="147">
                  <c:v>-1.3108567661043224</c:v>
                </c:pt>
                <c:pt idx="148">
                  <c:v>-1.2501888670709462</c:v>
                </c:pt>
                <c:pt idx="149">
                  <c:v>-1.0344497568075326</c:v>
                </c:pt>
                <c:pt idx="150">
                  <c:v>-0.8328940464096064</c:v>
                </c:pt>
                <c:pt idx="151">
                  <c:v>-0.70218351494216336</c:v>
                </c:pt>
                <c:pt idx="152">
                  <c:v>-0.49046234624327667</c:v>
                </c:pt>
                <c:pt idx="153">
                  <c:v>-0.32298322722000705</c:v>
                </c:pt>
                <c:pt idx="154">
                  <c:v>-0.11230319690581325</c:v>
                </c:pt>
                <c:pt idx="155">
                  <c:v>-0.13342507404533421</c:v>
                </c:pt>
                <c:pt idx="156">
                  <c:v>-0.19073224190057658</c:v>
                </c:pt>
                <c:pt idx="157">
                  <c:v>-0.14012409999911313</c:v>
                </c:pt>
                <c:pt idx="158">
                  <c:v>-5.7395509050692795E-2</c:v>
                </c:pt>
                <c:pt idx="159">
                  <c:v>6.471259507186744E-2</c:v>
                </c:pt>
                <c:pt idx="160">
                  <c:v>0.22266381516708122</c:v>
                </c:pt>
                <c:pt idx="161">
                  <c:v>0.34148412931384087</c:v>
                </c:pt>
                <c:pt idx="162">
                  <c:v>0.55752301784120561</c:v>
                </c:pt>
                <c:pt idx="163">
                  <c:v>0.59837943457527842</c:v>
                </c:pt>
                <c:pt idx="164">
                  <c:v>0.70573555099569774</c:v>
                </c:pt>
                <c:pt idx="165">
                  <c:v>0.81371272994621791</c:v>
                </c:pt>
                <c:pt idx="166">
                  <c:v>0.7917152179565079</c:v>
                </c:pt>
                <c:pt idx="167">
                  <c:v>0.77503095394227728</c:v>
                </c:pt>
                <c:pt idx="168">
                  <c:v>0.7954061778178243</c:v>
                </c:pt>
                <c:pt idx="169">
                  <c:v>0.78954168167679484</c:v>
                </c:pt>
                <c:pt idx="170">
                  <c:v>0.80626275527939129</c:v>
                </c:pt>
                <c:pt idx="171">
                  <c:v>0.71684179864007547</c:v>
                </c:pt>
                <c:pt idx="172">
                  <c:v>0.58037988903787152</c:v>
                </c:pt>
                <c:pt idx="173">
                  <c:v>0.48121024602716034</c:v>
                </c:pt>
                <c:pt idx="174">
                  <c:v>0.26480998160535307</c:v>
                </c:pt>
                <c:pt idx="175">
                  <c:v>-3.1398886321781561E-2</c:v>
                </c:pt>
                <c:pt idx="176">
                  <c:v>-0.16818476419831541</c:v>
                </c:pt>
                <c:pt idx="177">
                  <c:v>-0.33565877376884146</c:v>
                </c:pt>
                <c:pt idx="178">
                  <c:v>-0.52446993484241489</c:v>
                </c:pt>
                <c:pt idx="179">
                  <c:v>-0.56112289654002723</c:v>
                </c:pt>
                <c:pt idx="180">
                  <c:v>-0.73102338907756348</c:v>
                </c:pt>
                <c:pt idx="181">
                  <c:v>-0.78560612950923314</c:v>
                </c:pt>
                <c:pt idx="182">
                  <c:v>-0.69736632637726359</c:v>
                </c:pt>
                <c:pt idx="183">
                  <c:v>-0.64262156521827762</c:v>
                </c:pt>
                <c:pt idx="184">
                  <c:v>-0.48471474020519167</c:v>
                </c:pt>
                <c:pt idx="185">
                  <c:v>-0.30761150419544947</c:v>
                </c:pt>
                <c:pt idx="186">
                  <c:v>-0.10472308277248032</c:v>
                </c:pt>
                <c:pt idx="187">
                  <c:v>0.11206668424293298</c:v>
                </c:pt>
                <c:pt idx="188">
                  <c:v>0.45533995829495666</c:v>
                </c:pt>
                <c:pt idx="189">
                  <c:v>0.64411144128963826</c:v>
                </c:pt>
                <c:pt idx="190">
                  <c:v>0.58284566367815671</c:v>
                </c:pt>
                <c:pt idx="191">
                  <c:v>0.57367338020846148</c:v>
                </c:pt>
                <c:pt idx="192">
                  <c:v>0.49692958683239397</c:v>
                </c:pt>
                <c:pt idx="193">
                  <c:v>0.33222228903822781</c:v>
                </c:pt>
                <c:pt idx="194">
                  <c:v>0.19380805527883638</c:v>
                </c:pt>
                <c:pt idx="195">
                  <c:v>0.18606119913937391</c:v>
                </c:pt>
                <c:pt idx="196">
                  <c:v>0.19542122696014985</c:v>
                </c:pt>
                <c:pt idx="197">
                  <c:v>2.6928017261695913E-3</c:v>
                </c:pt>
                <c:pt idx="198">
                  <c:v>-0.22890574000103925</c:v>
                </c:pt>
                <c:pt idx="199">
                  <c:v>-0.44125325001522242</c:v>
                </c:pt>
                <c:pt idx="200">
                  <c:v>-0.62094143307457728</c:v>
                </c:pt>
                <c:pt idx="201">
                  <c:v>-0.72433312711739006</c:v>
                </c:pt>
                <c:pt idx="202">
                  <c:v>-0.88882139877922839</c:v>
                </c:pt>
                <c:pt idx="203">
                  <c:v>-0.97804928798689161</c:v>
                </c:pt>
                <c:pt idx="204">
                  <c:v>-1.0695178702665373</c:v>
                </c:pt>
                <c:pt idx="205">
                  <c:v>-1.1106454732461231</c:v>
                </c:pt>
                <c:pt idx="206">
                  <c:v>-0.97944179497378059</c:v>
                </c:pt>
                <c:pt idx="207">
                  <c:v>-0.71710909211114426</c:v>
                </c:pt>
                <c:pt idx="208">
                  <c:v>-0.54249390790694463</c:v>
                </c:pt>
                <c:pt idx="209">
                  <c:v>-0.29500344839759407</c:v>
                </c:pt>
                <c:pt idx="210">
                  <c:v>-0.11528866162076667</c:v>
                </c:pt>
                <c:pt idx="211">
                  <c:v>-0.12713276130706674</c:v>
                </c:pt>
                <c:pt idx="212">
                  <c:v>-9.4279759507926997E-2</c:v>
                </c:pt>
                <c:pt idx="213">
                  <c:v>-3.7152424656653693E-2</c:v>
                </c:pt>
                <c:pt idx="214">
                  <c:v>5.4296654496397423E-2</c:v>
                </c:pt>
                <c:pt idx="215">
                  <c:v>0.1069784497929902</c:v>
                </c:pt>
                <c:pt idx="216">
                  <c:v>0.16617953215023817</c:v>
                </c:pt>
                <c:pt idx="217">
                  <c:v>0.23858859061076032</c:v>
                </c:pt>
                <c:pt idx="218">
                  <c:v>0.24713029065121361</c:v>
                </c:pt>
                <c:pt idx="219">
                  <c:v>0.30445349962135992</c:v>
                </c:pt>
                <c:pt idx="220">
                  <c:v>0.22703489126895704</c:v>
                </c:pt>
                <c:pt idx="221">
                  <c:v>0.22920509963935842</c:v>
                </c:pt>
                <c:pt idx="222">
                  <c:v>0.23228198540375899</c:v>
                </c:pt>
                <c:pt idx="223">
                  <c:v>0.2966609473513131</c:v>
                </c:pt>
                <c:pt idx="224">
                  <c:v>0.26634063608683789</c:v>
                </c:pt>
                <c:pt idx="225">
                  <c:v>0.20923679522621796</c:v>
                </c:pt>
                <c:pt idx="226">
                  <c:v>0.27219832395108767</c:v>
                </c:pt>
                <c:pt idx="227">
                  <c:v>0.41893800230874945</c:v>
                </c:pt>
                <c:pt idx="228">
                  <c:v>0.61767777307547078</c:v>
                </c:pt>
                <c:pt idx="229">
                  <c:v>0.86446616586334812</c:v>
                </c:pt>
                <c:pt idx="230">
                  <c:v>1.1468848078953044</c:v>
                </c:pt>
                <c:pt idx="231">
                  <c:v>1.2585588458645276</c:v>
                </c:pt>
                <c:pt idx="232">
                  <c:v>1.2790606266567863</c:v>
                </c:pt>
                <c:pt idx="233">
                  <c:v>1.3355898209908048</c:v>
                </c:pt>
                <c:pt idx="234">
                  <c:v>1.422094576426403</c:v>
                </c:pt>
                <c:pt idx="235">
                  <c:v>1.534289532093311</c:v>
                </c:pt>
                <c:pt idx="236">
                  <c:v>1.591145528332703</c:v>
                </c:pt>
                <c:pt idx="237">
                  <c:v>1.6797803341802648</c:v>
                </c:pt>
                <c:pt idx="238">
                  <c:v>1.7835280557511055</c:v>
                </c:pt>
                <c:pt idx="239">
                  <c:v>1.7479625606199818</c:v>
                </c:pt>
                <c:pt idx="240">
                  <c:v>1.8621153771341312</c:v>
                </c:pt>
                <c:pt idx="241">
                  <c:v>2.0045186906180419</c:v>
                </c:pt>
                <c:pt idx="242">
                  <c:v>2.1323330394659052</c:v>
                </c:pt>
                <c:pt idx="243">
                  <c:v>2.0861211128998036</c:v>
                </c:pt>
                <c:pt idx="244">
                  <c:v>1.9734921549018622</c:v>
                </c:pt>
                <c:pt idx="245">
                  <c:v>2.0023612943062972</c:v>
                </c:pt>
                <c:pt idx="246">
                  <c:v>2.1170324286624123</c:v>
                </c:pt>
                <c:pt idx="247">
                  <c:v>2.3303271073897065</c:v>
                </c:pt>
                <c:pt idx="248">
                  <c:v>2.6304260481887098</c:v>
                </c:pt>
                <c:pt idx="2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15-4526-8DB6-4B23B32E7E7A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Data!$B$2:$B$251</c:f>
              <c:numCache>
                <c:formatCode>m/d/yyyy</c:formatCode>
                <c:ptCount val="250"/>
                <c:pt idx="0">
                  <c:v>45706</c:v>
                </c:pt>
                <c:pt idx="1">
                  <c:v>45707</c:v>
                </c:pt>
                <c:pt idx="2">
                  <c:v>45708</c:v>
                </c:pt>
                <c:pt idx="3">
                  <c:v>45709</c:v>
                </c:pt>
                <c:pt idx="4">
                  <c:v>45712</c:v>
                </c:pt>
                <c:pt idx="5">
                  <c:v>45713</c:v>
                </c:pt>
                <c:pt idx="6">
                  <c:v>45714</c:v>
                </c:pt>
                <c:pt idx="7">
                  <c:v>45715</c:v>
                </c:pt>
                <c:pt idx="8">
                  <c:v>45716</c:v>
                </c:pt>
                <c:pt idx="9">
                  <c:v>45719</c:v>
                </c:pt>
                <c:pt idx="10">
                  <c:v>45720</c:v>
                </c:pt>
                <c:pt idx="11">
                  <c:v>45721</c:v>
                </c:pt>
                <c:pt idx="12">
                  <c:v>45722</c:v>
                </c:pt>
                <c:pt idx="13">
                  <c:v>45723</c:v>
                </c:pt>
                <c:pt idx="14">
                  <c:v>45726</c:v>
                </c:pt>
                <c:pt idx="15">
                  <c:v>45727</c:v>
                </c:pt>
                <c:pt idx="16">
                  <c:v>45728</c:v>
                </c:pt>
                <c:pt idx="17">
                  <c:v>45729</c:v>
                </c:pt>
                <c:pt idx="18">
                  <c:v>45730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45740</c:v>
                </c:pt>
                <c:pt idx="25">
                  <c:v>45741</c:v>
                </c:pt>
                <c:pt idx="26">
                  <c:v>45742</c:v>
                </c:pt>
                <c:pt idx="27">
                  <c:v>45743</c:v>
                </c:pt>
                <c:pt idx="28">
                  <c:v>45744</c:v>
                </c:pt>
                <c:pt idx="29">
                  <c:v>45747</c:v>
                </c:pt>
                <c:pt idx="30">
                  <c:v>45748</c:v>
                </c:pt>
                <c:pt idx="31">
                  <c:v>45749</c:v>
                </c:pt>
                <c:pt idx="32">
                  <c:v>45750</c:v>
                </c:pt>
                <c:pt idx="33">
                  <c:v>45751</c:v>
                </c:pt>
                <c:pt idx="34">
                  <c:v>45754</c:v>
                </c:pt>
                <c:pt idx="35">
                  <c:v>45755</c:v>
                </c:pt>
                <c:pt idx="36">
                  <c:v>45756</c:v>
                </c:pt>
                <c:pt idx="37">
                  <c:v>45757</c:v>
                </c:pt>
                <c:pt idx="38">
                  <c:v>45758</c:v>
                </c:pt>
                <c:pt idx="39">
                  <c:v>45761</c:v>
                </c:pt>
                <c:pt idx="40">
                  <c:v>45762</c:v>
                </c:pt>
                <c:pt idx="41">
                  <c:v>45763</c:v>
                </c:pt>
                <c:pt idx="42">
                  <c:v>45764</c:v>
                </c:pt>
                <c:pt idx="43">
                  <c:v>45768</c:v>
                </c:pt>
                <c:pt idx="44">
                  <c:v>45769</c:v>
                </c:pt>
                <c:pt idx="45">
                  <c:v>45770</c:v>
                </c:pt>
                <c:pt idx="46">
                  <c:v>45771</c:v>
                </c:pt>
                <c:pt idx="47">
                  <c:v>45772</c:v>
                </c:pt>
                <c:pt idx="48">
                  <c:v>45775</c:v>
                </c:pt>
                <c:pt idx="49">
                  <c:v>45776</c:v>
                </c:pt>
                <c:pt idx="50">
                  <c:v>45777</c:v>
                </c:pt>
                <c:pt idx="51">
                  <c:v>45778</c:v>
                </c:pt>
                <c:pt idx="52">
                  <c:v>45779</c:v>
                </c:pt>
                <c:pt idx="53">
                  <c:v>45782</c:v>
                </c:pt>
                <c:pt idx="54">
                  <c:v>45783</c:v>
                </c:pt>
                <c:pt idx="55">
                  <c:v>45784</c:v>
                </c:pt>
                <c:pt idx="56">
                  <c:v>45785</c:v>
                </c:pt>
                <c:pt idx="57">
                  <c:v>45786</c:v>
                </c:pt>
                <c:pt idx="58">
                  <c:v>45789</c:v>
                </c:pt>
                <c:pt idx="59">
                  <c:v>45790</c:v>
                </c:pt>
                <c:pt idx="60">
                  <c:v>45791</c:v>
                </c:pt>
                <c:pt idx="61">
                  <c:v>45792</c:v>
                </c:pt>
                <c:pt idx="62">
                  <c:v>45793</c:v>
                </c:pt>
                <c:pt idx="63">
                  <c:v>45796</c:v>
                </c:pt>
                <c:pt idx="64">
                  <c:v>45797</c:v>
                </c:pt>
                <c:pt idx="65">
                  <c:v>45798</c:v>
                </c:pt>
                <c:pt idx="66">
                  <c:v>45799</c:v>
                </c:pt>
                <c:pt idx="67">
                  <c:v>45800</c:v>
                </c:pt>
                <c:pt idx="68">
                  <c:v>45804</c:v>
                </c:pt>
                <c:pt idx="69">
                  <c:v>45805</c:v>
                </c:pt>
                <c:pt idx="70">
                  <c:v>45806</c:v>
                </c:pt>
                <c:pt idx="71">
                  <c:v>45807</c:v>
                </c:pt>
                <c:pt idx="72">
                  <c:v>45810</c:v>
                </c:pt>
                <c:pt idx="73">
                  <c:v>45811</c:v>
                </c:pt>
                <c:pt idx="74">
                  <c:v>45812</c:v>
                </c:pt>
                <c:pt idx="75">
                  <c:v>45813</c:v>
                </c:pt>
                <c:pt idx="76">
                  <c:v>45814</c:v>
                </c:pt>
                <c:pt idx="77">
                  <c:v>45817</c:v>
                </c:pt>
                <c:pt idx="78">
                  <c:v>45818</c:v>
                </c:pt>
                <c:pt idx="79">
                  <c:v>45819</c:v>
                </c:pt>
                <c:pt idx="80">
                  <c:v>45820</c:v>
                </c:pt>
                <c:pt idx="81">
                  <c:v>45821</c:v>
                </c:pt>
                <c:pt idx="82">
                  <c:v>45824</c:v>
                </c:pt>
                <c:pt idx="83">
                  <c:v>45825</c:v>
                </c:pt>
                <c:pt idx="84">
                  <c:v>45826</c:v>
                </c:pt>
                <c:pt idx="85">
                  <c:v>45828</c:v>
                </c:pt>
                <c:pt idx="86">
                  <c:v>45831</c:v>
                </c:pt>
                <c:pt idx="87">
                  <c:v>45832</c:v>
                </c:pt>
                <c:pt idx="88">
                  <c:v>45833</c:v>
                </c:pt>
                <c:pt idx="89">
                  <c:v>45834</c:v>
                </c:pt>
                <c:pt idx="90">
                  <c:v>45835</c:v>
                </c:pt>
                <c:pt idx="91">
                  <c:v>45838</c:v>
                </c:pt>
                <c:pt idx="92">
                  <c:v>45839</c:v>
                </c:pt>
                <c:pt idx="93">
                  <c:v>45840</c:v>
                </c:pt>
                <c:pt idx="94">
                  <c:v>45841</c:v>
                </c:pt>
                <c:pt idx="95">
                  <c:v>45845</c:v>
                </c:pt>
                <c:pt idx="96">
                  <c:v>45846</c:v>
                </c:pt>
                <c:pt idx="97">
                  <c:v>45847</c:v>
                </c:pt>
                <c:pt idx="98">
                  <c:v>45848</c:v>
                </c:pt>
                <c:pt idx="99">
                  <c:v>45849</c:v>
                </c:pt>
                <c:pt idx="100">
                  <c:v>45852</c:v>
                </c:pt>
                <c:pt idx="101">
                  <c:v>45853</c:v>
                </c:pt>
                <c:pt idx="102">
                  <c:v>45854</c:v>
                </c:pt>
                <c:pt idx="103">
                  <c:v>45855</c:v>
                </c:pt>
                <c:pt idx="104">
                  <c:v>45856</c:v>
                </c:pt>
                <c:pt idx="105">
                  <c:v>45859</c:v>
                </c:pt>
                <c:pt idx="106">
                  <c:v>45860</c:v>
                </c:pt>
                <c:pt idx="107">
                  <c:v>45861</c:v>
                </c:pt>
                <c:pt idx="108">
                  <c:v>45862</c:v>
                </c:pt>
                <c:pt idx="109">
                  <c:v>45863</c:v>
                </c:pt>
                <c:pt idx="110">
                  <c:v>45866</c:v>
                </c:pt>
                <c:pt idx="111">
                  <c:v>45867</c:v>
                </c:pt>
                <c:pt idx="112">
                  <c:v>45868</c:v>
                </c:pt>
                <c:pt idx="113">
                  <c:v>45869</c:v>
                </c:pt>
                <c:pt idx="114">
                  <c:v>45870</c:v>
                </c:pt>
                <c:pt idx="115">
                  <c:v>45873</c:v>
                </c:pt>
                <c:pt idx="116">
                  <c:v>45874</c:v>
                </c:pt>
                <c:pt idx="117">
                  <c:v>45875</c:v>
                </c:pt>
                <c:pt idx="118">
                  <c:v>45876</c:v>
                </c:pt>
                <c:pt idx="119">
                  <c:v>45877</c:v>
                </c:pt>
                <c:pt idx="120">
                  <c:v>45880</c:v>
                </c:pt>
                <c:pt idx="121">
                  <c:v>45881</c:v>
                </c:pt>
                <c:pt idx="122">
                  <c:v>45882</c:v>
                </c:pt>
                <c:pt idx="123">
                  <c:v>45883</c:v>
                </c:pt>
                <c:pt idx="124">
                  <c:v>45884</c:v>
                </c:pt>
                <c:pt idx="125">
                  <c:v>45887</c:v>
                </c:pt>
                <c:pt idx="126">
                  <c:v>45888</c:v>
                </c:pt>
                <c:pt idx="127">
                  <c:v>45889</c:v>
                </c:pt>
                <c:pt idx="128">
                  <c:v>45890</c:v>
                </c:pt>
                <c:pt idx="129">
                  <c:v>45891</c:v>
                </c:pt>
                <c:pt idx="130">
                  <c:v>45894</c:v>
                </c:pt>
                <c:pt idx="131">
                  <c:v>45895</c:v>
                </c:pt>
                <c:pt idx="132">
                  <c:v>45896</c:v>
                </c:pt>
                <c:pt idx="133">
                  <c:v>45897</c:v>
                </c:pt>
                <c:pt idx="134">
                  <c:v>45898</c:v>
                </c:pt>
                <c:pt idx="135">
                  <c:v>45902</c:v>
                </c:pt>
                <c:pt idx="136">
                  <c:v>45903</c:v>
                </c:pt>
                <c:pt idx="137">
                  <c:v>45904</c:v>
                </c:pt>
                <c:pt idx="138">
                  <c:v>45905</c:v>
                </c:pt>
                <c:pt idx="139">
                  <c:v>45908</c:v>
                </c:pt>
                <c:pt idx="140">
                  <c:v>45909</c:v>
                </c:pt>
                <c:pt idx="141">
                  <c:v>45910</c:v>
                </c:pt>
                <c:pt idx="142">
                  <c:v>45911</c:v>
                </c:pt>
                <c:pt idx="143">
                  <c:v>45912</c:v>
                </c:pt>
                <c:pt idx="144">
                  <c:v>45915</c:v>
                </c:pt>
                <c:pt idx="145">
                  <c:v>45916</c:v>
                </c:pt>
                <c:pt idx="146">
                  <c:v>45917</c:v>
                </c:pt>
                <c:pt idx="147">
                  <c:v>45918</c:v>
                </c:pt>
                <c:pt idx="148">
                  <c:v>45919</c:v>
                </c:pt>
                <c:pt idx="149">
                  <c:v>45922</c:v>
                </c:pt>
                <c:pt idx="150">
                  <c:v>45923</c:v>
                </c:pt>
                <c:pt idx="151">
                  <c:v>45924</c:v>
                </c:pt>
                <c:pt idx="152">
                  <c:v>45925</c:v>
                </c:pt>
                <c:pt idx="153">
                  <c:v>45926</c:v>
                </c:pt>
                <c:pt idx="154">
                  <c:v>45929</c:v>
                </c:pt>
                <c:pt idx="155">
                  <c:v>45930</c:v>
                </c:pt>
                <c:pt idx="156">
                  <c:v>45931</c:v>
                </c:pt>
                <c:pt idx="157">
                  <c:v>45932</c:v>
                </c:pt>
                <c:pt idx="158">
                  <c:v>45933</c:v>
                </c:pt>
                <c:pt idx="159">
                  <c:v>45936</c:v>
                </c:pt>
                <c:pt idx="160">
                  <c:v>45937</c:v>
                </c:pt>
                <c:pt idx="161">
                  <c:v>45938</c:v>
                </c:pt>
                <c:pt idx="162">
                  <c:v>45939</c:v>
                </c:pt>
                <c:pt idx="163">
                  <c:v>45940</c:v>
                </c:pt>
                <c:pt idx="164">
                  <c:v>45943</c:v>
                </c:pt>
                <c:pt idx="165">
                  <c:v>45944</c:v>
                </c:pt>
                <c:pt idx="166">
                  <c:v>45945</c:v>
                </c:pt>
                <c:pt idx="167">
                  <c:v>45946</c:v>
                </c:pt>
                <c:pt idx="168">
                  <c:v>45947</c:v>
                </c:pt>
                <c:pt idx="169">
                  <c:v>45950</c:v>
                </c:pt>
                <c:pt idx="170">
                  <c:v>45951</c:v>
                </c:pt>
                <c:pt idx="171">
                  <c:v>45952</c:v>
                </c:pt>
                <c:pt idx="172">
                  <c:v>45953</c:v>
                </c:pt>
                <c:pt idx="173">
                  <c:v>45954</c:v>
                </c:pt>
                <c:pt idx="174">
                  <c:v>45957</c:v>
                </c:pt>
                <c:pt idx="175">
                  <c:v>45958</c:v>
                </c:pt>
                <c:pt idx="176">
                  <c:v>45959</c:v>
                </c:pt>
                <c:pt idx="177">
                  <c:v>45960</c:v>
                </c:pt>
                <c:pt idx="178">
                  <c:v>45961</c:v>
                </c:pt>
                <c:pt idx="179">
                  <c:v>45964</c:v>
                </c:pt>
                <c:pt idx="180">
                  <c:v>45965</c:v>
                </c:pt>
                <c:pt idx="181">
                  <c:v>45966</c:v>
                </c:pt>
                <c:pt idx="182">
                  <c:v>45967</c:v>
                </c:pt>
                <c:pt idx="183">
                  <c:v>45968</c:v>
                </c:pt>
                <c:pt idx="184">
                  <c:v>45971</c:v>
                </c:pt>
                <c:pt idx="185">
                  <c:v>45972</c:v>
                </c:pt>
                <c:pt idx="186">
                  <c:v>45973</c:v>
                </c:pt>
                <c:pt idx="187">
                  <c:v>45974</c:v>
                </c:pt>
                <c:pt idx="188">
                  <c:v>45975</c:v>
                </c:pt>
                <c:pt idx="189">
                  <c:v>45978</c:v>
                </c:pt>
                <c:pt idx="190">
                  <c:v>45979</c:v>
                </c:pt>
                <c:pt idx="191">
                  <c:v>45980</c:v>
                </c:pt>
                <c:pt idx="192">
                  <c:v>45981</c:v>
                </c:pt>
                <c:pt idx="193">
                  <c:v>45982</c:v>
                </c:pt>
                <c:pt idx="194">
                  <c:v>45985</c:v>
                </c:pt>
                <c:pt idx="195">
                  <c:v>45986</c:v>
                </c:pt>
                <c:pt idx="196">
                  <c:v>45987</c:v>
                </c:pt>
                <c:pt idx="197">
                  <c:v>45989</c:v>
                </c:pt>
                <c:pt idx="198">
                  <c:v>45992</c:v>
                </c:pt>
                <c:pt idx="199">
                  <c:v>45993</c:v>
                </c:pt>
                <c:pt idx="200">
                  <c:v>45994</c:v>
                </c:pt>
                <c:pt idx="201">
                  <c:v>45995</c:v>
                </c:pt>
                <c:pt idx="202">
                  <c:v>45996</c:v>
                </c:pt>
                <c:pt idx="203">
                  <c:v>45999</c:v>
                </c:pt>
                <c:pt idx="204">
                  <c:v>46000</c:v>
                </c:pt>
                <c:pt idx="205">
                  <c:v>46001</c:v>
                </c:pt>
                <c:pt idx="206">
                  <c:v>46002</c:v>
                </c:pt>
                <c:pt idx="207">
                  <c:v>46003</c:v>
                </c:pt>
                <c:pt idx="208">
                  <c:v>46006</c:v>
                </c:pt>
                <c:pt idx="209">
                  <c:v>46007</c:v>
                </c:pt>
                <c:pt idx="210">
                  <c:v>46008</c:v>
                </c:pt>
                <c:pt idx="211">
                  <c:v>46009</c:v>
                </c:pt>
                <c:pt idx="212">
                  <c:v>46010</c:v>
                </c:pt>
                <c:pt idx="213">
                  <c:v>46013</c:v>
                </c:pt>
                <c:pt idx="214">
                  <c:v>46014</c:v>
                </c:pt>
                <c:pt idx="215">
                  <c:v>46015</c:v>
                </c:pt>
                <c:pt idx="216">
                  <c:v>46017</c:v>
                </c:pt>
                <c:pt idx="217">
                  <c:v>46020</c:v>
                </c:pt>
                <c:pt idx="218">
                  <c:v>46021</c:v>
                </c:pt>
                <c:pt idx="219">
                  <c:v>46022</c:v>
                </c:pt>
                <c:pt idx="220">
                  <c:v>46024</c:v>
                </c:pt>
                <c:pt idx="221">
                  <c:v>46027</c:v>
                </c:pt>
                <c:pt idx="222">
                  <c:v>46028</c:v>
                </c:pt>
                <c:pt idx="223">
                  <c:v>46029</c:v>
                </c:pt>
                <c:pt idx="224">
                  <c:v>46030</c:v>
                </c:pt>
                <c:pt idx="225">
                  <c:v>46031</c:v>
                </c:pt>
                <c:pt idx="226">
                  <c:v>46034</c:v>
                </c:pt>
                <c:pt idx="227">
                  <c:v>46035</c:v>
                </c:pt>
                <c:pt idx="228">
                  <c:v>46036</c:v>
                </c:pt>
                <c:pt idx="229">
                  <c:v>46037</c:v>
                </c:pt>
                <c:pt idx="230">
                  <c:v>46038</c:v>
                </c:pt>
                <c:pt idx="231">
                  <c:v>46042</c:v>
                </c:pt>
                <c:pt idx="232">
                  <c:v>46043</c:v>
                </c:pt>
                <c:pt idx="233">
                  <c:v>46044</c:v>
                </c:pt>
                <c:pt idx="234">
                  <c:v>46045</c:v>
                </c:pt>
                <c:pt idx="235">
                  <c:v>46048</c:v>
                </c:pt>
                <c:pt idx="236">
                  <c:v>46049</c:v>
                </c:pt>
                <c:pt idx="237">
                  <c:v>46050</c:v>
                </c:pt>
                <c:pt idx="238">
                  <c:v>46051</c:v>
                </c:pt>
                <c:pt idx="239">
                  <c:v>46052</c:v>
                </c:pt>
                <c:pt idx="240">
                  <c:v>46055</c:v>
                </c:pt>
                <c:pt idx="241">
                  <c:v>46056</c:v>
                </c:pt>
                <c:pt idx="242">
                  <c:v>46057</c:v>
                </c:pt>
                <c:pt idx="243">
                  <c:v>46058</c:v>
                </c:pt>
                <c:pt idx="244">
                  <c:v>46059</c:v>
                </c:pt>
                <c:pt idx="245">
                  <c:v>46062</c:v>
                </c:pt>
                <c:pt idx="246">
                  <c:v>46063</c:v>
                </c:pt>
                <c:pt idx="247">
                  <c:v>46064</c:v>
                </c:pt>
                <c:pt idx="248">
                  <c:v>46065</c:v>
                </c:pt>
                <c:pt idx="249">
                  <c:v>46066</c:v>
                </c:pt>
              </c:numCache>
            </c:numRef>
          </c:cat>
          <c:val>
            <c:numRef>
              <c:f>Data!$Z$2:$Z$251</c:f>
              <c:numCache>
                <c:formatCode>General</c:formatCode>
                <c:ptCount val="250"/>
                <c:pt idx="34">
                  <c:v>2.7242358948081491</c:v>
                </c:pt>
                <c:pt idx="35">
                  <c:v>2.5140021354939246</c:v>
                </c:pt>
                <c:pt idx="36">
                  <c:v>2.3318259317984111</c:v>
                </c:pt>
                <c:pt idx="37">
                  <c:v>2.1960407356204898</c:v>
                </c:pt>
                <c:pt idx="38">
                  <c:v>2.1298955299697759</c:v>
                </c:pt>
                <c:pt idx="39">
                  <c:v>2.0989923564443673</c:v>
                </c:pt>
                <c:pt idx="40">
                  <c:v>2.0811110392587846</c:v>
                </c:pt>
                <c:pt idx="41">
                  <c:v>2.0781155790520316</c:v>
                </c:pt>
                <c:pt idx="42">
                  <c:v>2.0616828326341849</c:v>
                </c:pt>
                <c:pt idx="43">
                  <c:v>2.0703236283859683</c:v>
                </c:pt>
                <c:pt idx="44">
                  <c:v>2.0770639390459458</c:v>
                </c:pt>
                <c:pt idx="45">
                  <c:v>2.0579017437584097</c:v>
                </c:pt>
                <c:pt idx="46">
                  <c:v>2.0054167897524415</c:v>
                </c:pt>
                <c:pt idx="47">
                  <c:v>1.9410753764981934</c:v>
                </c:pt>
                <c:pt idx="48">
                  <c:v>1.8842057600190425</c:v>
                </c:pt>
                <c:pt idx="49">
                  <c:v>1.8405977721032027</c:v>
                </c:pt>
                <c:pt idx="50">
                  <c:v>1.8003614851671255</c:v>
                </c:pt>
                <c:pt idx="51">
                  <c:v>1.7198797073679082</c:v>
                </c:pt>
                <c:pt idx="52">
                  <c:v>1.606335117476726</c:v>
                </c:pt>
                <c:pt idx="53">
                  <c:v>1.4895151250208252</c:v>
                </c:pt>
                <c:pt idx="54">
                  <c:v>1.3824651815590376</c:v>
                </c:pt>
                <c:pt idx="55">
                  <c:v>1.2315097041746155</c:v>
                </c:pt>
                <c:pt idx="56">
                  <c:v>1.0570247554441941</c:v>
                </c:pt>
                <c:pt idx="57">
                  <c:v>0.80847832396780295</c:v>
                </c:pt>
                <c:pt idx="58">
                  <c:v>0.47747304769334431</c:v>
                </c:pt>
                <c:pt idx="59">
                  <c:v>9.0147465976491592E-2</c:v>
                </c:pt>
                <c:pt idx="60">
                  <c:v>-0.26866470966206291</c:v>
                </c:pt>
                <c:pt idx="61">
                  <c:v>-0.55380729801655759</c:v>
                </c:pt>
                <c:pt idx="62">
                  <c:v>-0.75917501837495793</c:v>
                </c:pt>
                <c:pt idx="63">
                  <c:v>-0.89678041101702244</c:v>
                </c:pt>
                <c:pt idx="64">
                  <c:v>-0.99047390721742912</c:v>
                </c:pt>
                <c:pt idx="65">
                  <c:v>-1.0781931678821459</c:v>
                </c:pt>
                <c:pt idx="66">
                  <c:v>-1.1442630816853594</c:v>
                </c:pt>
                <c:pt idx="67">
                  <c:v>-1.1927661772866969</c:v>
                </c:pt>
                <c:pt idx="68">
                  <c:v>-1.2546727774313218</c:v>
                </c:pt>
                <c:pt idx="69">
                  <c:v>-1.2986134269631731</c:v>
                </c:pt>
                <c:pt idx="70">
                  <c:v>-1.3083207208603604</c:v>
                </c:pt>
                <c:pt idx="71">
                  <c:v>-1.3031316927517869</c:v>
                </c:pt>
                <c:pt idx="72">
                  <c:v>-1.2957995931951443</c:v>
                </c:pt>
                <c:pt idx="73">
                  <c:v>-1.3009882777943738</c:v>
                </c:pt>
                <c:pt idx="74">
                  <c:v>-1.3098302675087916</c:v>
                </c:pt>
                <c:pt idx="75">
                  <c:v>-1.3280431127804475</c:v>
                </c:pt>
                <c:pt idx="76">
                  <c:v>-1.356125010414978</c:v>
                </c:pt>
                <c:pt idx="77">
                  <c:v>-1.3652484596022818</c:v>
                </c:pt>
                <c:pt idx="78">
                  <c:v>-1.3565060145129002</c:v>
                </c:pt>
                <c:pt idx="79">
                  <c:v>-1.3146272715236971</c:v>
                </c:pt>
                <c:pt idx="80">
                  <c:v>-1.2479875072120532</c:v>
                </c:pt>
                <c:pt idx="81">
                  <c:v>-1.2036507542013377</c:v>
                </c:pt>
                <c:pt idx="82">
                  <c:v>-1.1773411753736442</c:v>
                </c:pt>
                <c:pt idx="83">
                  <c:v>-1.170918210877562</c:v>
                </c:pt>
                <c:pt idx="84">
                  <c:v>-1.1707986741050711</c:v>
                </c:pt>
                <c:pt idx="85">
                  <c:v>-1.1690959881488734</c:v>
                </c:pt>
                <c:pt idx="86">
                  <c:v>-1.179141905641852</c:v>
                </c:pt>
                <c:pt idx="87">
                  <c:v>-1.2274799437970325</c:v>
                </c:pt>
                <c:pt idx="88">
                  <c:v>-1.2887435166775476</c:v>
                </c:pt>
                <c:pt idx="89">
                  <c:v>-1.3561078675786622</c:v>
                </c:pt>
                <c:pt idx="90">
                  <c:v>-1.3855741581204835</c:v>
                </c:pt>
                <c:pt idx="91">
                  <c:v>-1.3797236043560075</c:v>
                </c:pt>
                <c:pt idx="92">
                  <c:v>-1.3626199610143108</c:v>
                </c:pt>
                <c:pt idx="93">
                  <c:v>-1.3300317916375382</c:v>
                </c:pt>
                <c:pt idx="94">
                  <c:v>-1.2959877850969637</c:v>
                </c:pt>
                <c:pt idx="95">
                  <c:v>-1.2662438791724369</c:v>
                </c:pt>
                <c:pt idx="96">
                  <c:v>-1.2273384772399436</c:v>
                </c:pt>
                <c:pt idx="97">
                  <c:v>-1.1643831023502207</c:v>
                </c:pt>
                <c:pt idx="98">
                  <c:v>-1.0946581501542334</c:v>
                </c:pt>
                <c:pt idx="99">
                  <c:v>-1.0151494532086862</c:v>
                </c:pt>
                <c:pt idx="100">
                  <c:v>-0.9482744218367235</c:v>
                </c:pt>
                <c:pt idx="101">
                  <c:v>-0.88252556558146456</c:v>
                </c:pt>
                <c:pt idx="102">
                  <c:v>-0.81668416524730747</c:v>
                </c:pt>
                <c:pt idx="103">
                  <c:v>-0.74471676701170519</c:v>
                </c:pt>
                <c:pt idx="104">
                  <c:v>-0.65519012996017167</c:v>
                </c:pt>
                <c:pt idx="105">
                  <c:v>-0.53360681335956317</c:v>
                </c:pt>
                <c:pt idx="106">
                  <c:v>-0.41368098414917659</c:v>
                </c:pt>
                <c:pt idx="107">
                  <c:v>-0.30811509139463095</c:v>
                </c:pt>
                <c:pt idx="108">
                  <c:v>-0.21303098318097508</c:v>
                </c:pt>
                <c:pt idx="109">
                  <c:v>-0.14943723224248548</c:v>
                </c:pt>
                <c:pt idx="110">
                  <c:v>-8.8471554899469132E-2</c:v>
                </c:pt>
                <c:pt idx="111">
                  <c:v>-2.6563334565556138E-2</c:v>
                </c:pt>
                <c:pt idx="112">
                  <c:v>4.7269383977771105E-2</c:v>
                </c:pt>
                <c:pt idx="113">
                  <c:v>0.13959512838346819</c:v>
                </c:pt>
                <c:pt idx="114">
                  <c:v>0.25303197219073392</c:v>
                </c:pt>
                <c:pt idx="115">
                  <c:v>0.35435137544113271</c:v>
                </c:pt>
                <c:pt idx="116">
                  <c:v>0.44147820022238238</c:v>
                </c:pt>
                <c:pt idx="117">
                  <c:v>0.52769709509091289</c:v>
                </c:pt>
                <c:pt idx="118">
                  <c:v>0.59932815542254203</c:v>
                </c:pt>
                <c:pt idx="119">
                  <c:v>0.65095124529103843</c:v>
                </c:pt>
                <c:pt idx="120">
                  <c:v>0.67898351079571051</c:v>
                </c:pt>
                <c:pt idx="121">
                  <c:v>0.68873383369649754</c:v>
                </c:pt>
                <c:pt idx="122">
                  <c:v>0.67218096462809018</c:v>
                </c:pt>
                <c:pt idx="123">
                  <c:v>0.60513272742844026</c:v>
                </c:pt>
                <c:pt idx="124">
                  <c:v>0.49213748280331227</c:v>
                </c:pt>
                <c:pt idx="125">
                  <c:v>0.37684326632990578</c:v>
                </c:pt>
                <c:pt idx="126">
                  <c:v>0.27582302468107622</c:v>
                </c:pt>
                <c:pt idx="127">
                  <c:v>0.18426827730005366</c:v>
                </c:pt>
                <c:pt idx="128">
                  <c:v>0.10541894720931083</c:v>
                </c:pt>
                <c:pt idx="129">
                  <c:v>1.13037604797189E-2</c:v>
                </c:pt>
                <c:pt idx="130">
                  <c:v>-9.1141375062142899E-2</c:v>
                </c:pt>
                <c:pt idx="131">
                  <c:v>-0.18764544264012625</c:v>
                </c:pt>
                <c:pt idx="132">
                  <c:v>-0.30525256962095648</c:v>
                </c:pt>
                <c:pt idx="133">
                  <c:v>-0.4282685281587153</c:v>
                </c:pt>
                <c:pt idx="134">
                  <c:v>-0.56368287553665464</c:v>
                </c:pt>
                <c:pt idx="135">
                  <c:v>-0.68811453132671963</c:v>
                </c:pt>
                <c:pt idx="136">
                  <c:v>-0.79836890437909003</c:v>
                </c:pt>
                <c:pt idx="137">
                  <c:v>-0.88814926663385263</c:v>
                </c:pt>
                <c:pt idx="138">
                  <c:v>-0.9807023911271695</c:v>
                </c:pt>
                <c:pt idx="139">
                  <c:v>-1.0626414651615184</c:v>
                </c:pt>
                <c:pt idx="140">
                  <c:v>-1.1296150598929238</c:v>
                </c:pt>
                <c:pt idx="141">
                  <c:v>-1.1712313565114529</c:v>
                </c:pt>
                <c:pt idx="142">
                  <c:v>-1.1944962841048443</c:v>
                </c:pt>
                <c:pt idx="143">
                  <c:v>-1.2110917732921627</c:v>
                </c:pt>
                <c:pt idx="144">
                  <c:v>-1.2426915164139063</c:v>
                </c:pt>
                <c:pt idx="145">
                  <c:v>-1.2659646138917795</c:v>
                </c:pt>
                <c:pt idx="146">
                  <c:v>-1.2807110483315975</c:v>
                </c:pt>
                <c:pt idx="147">
                  <c:v>-1.2867401918861425</c:v>
                </c:pt>
                <c:pt idx="148">
                  <c:v>-1.2794299269231033</c:v>
                </c:pt>
                <c:pt idx="149">
                  <c:v>-1.2304338928999892</c:v>
                </c:pt>
                <c:pt idx="150">
                  <c:v>-1.1509259236019127</c:v>
                </c:pt>
                <c:pt idx="151">
                  <c:v>-1.0611774418699629</c:v>
                </c:pt>
                <c:pt idx="152">
                  <c:v>-0.94703442274462568</c:v>
                </c:pt>
                <c:pt idx="153">
                  <c:v>-0.82222418363970207</c:v>
                </c:pt>
                <c:pt idx="154">
                  <c:v>-0.68023998629292426</c:v>
                </c:pt>
                <c:pt idx="155">
                  <c:v>-0.57087700384340623</c:v>
                </c:pt>
                <c:pt idx="156">
                  <c:v>-0.49484805145484034</c:v>
                </c:pt>
                <c:pt idx="157">
                  <c:v>-0.42390326116369492</c:v>
                </c:pt>
                <c:pt idx="158">
                  <c:v>-0.35060171074109453</c:v>
                </c:pt>
                <c:pt idx="159">
                  <c:v>-0.26753884957850216</c:v>
                </c:pt>
                <c:pt idx="160">
                  <c:v>-0.1694983166293855</c:v>
                </c:pt>
                <c:pt idx="161">
                  <c:v>-6.7301827440740217E-2</c:v>
                </c:pt>
                <c:pt idx="162">
                  <c:v>5.766314161564895E-2</c:v>
                </c:pt>
                <c:pt idx="163">
                  <c:v>0.16580640020757487</c:v>
                </c:pt>
                <c:pt idx="164">
                  <c:v>0.27379223036519945</c:v>
                </c:pt>
                <c:pt idx="165">
                  <c:v>0.38177633028140318</c:v>
                </c:pt>
                <c:pt idx="166">
                  <c:v>0.46376410781642413</c:v>
                </c:pt>
                <c:pt idx="167">
                  <c:v>0.52601747704159485</c:v>
                </c:pt>
                <c:pt idx="168">
                  <c:v>0.57989521719684078</c:v>
                </c:pt>
                <c:pt idx="169">
                  <c:v>0.62182451009283157</c:v>
                </c:pt>
                <c:pt idx="170">
                  <c:v>0.65871215913014347</c:v>
                </c:pt>
                <c:pt idx="171">
                  <c:v>0.67033808703212994</c:v>
                </c:pt>
                <c:pt idx="172">
                  <c:v>0.6523464474332783</c:v>
                </c:pt>
                <c:pt idx="173">
                  <c:v>0.61811920715205482</c:v>
                </c:pt>
                <c:pt idx="174">
                  <c:v>0.54745736204271445</c:v>
                </c:pt>
                <c:pt idx="175">
                  <c:v>0.4316861123698153</c:v>
                </c:pt>
                <c:pt idx="176">
                  <c:v>0.31171193705618921</c:v>
                </c:pt>
                <c:pt idx="177">
                  <c:v>0.18223779489118308</c:v>
                </c:pt>
                <c:pt idx="178">
                  <c:v>4.0896248944463476E-2</c:v>
                </c:pt>
                <c:pt idx="179">
                  <c:v>-7.950758015243467E-2</c:v>
                </c:pt>
                <c:pt idx="180">
                  <c:v>-0.20981074193746041</c:v>
                </c:pt>
                <c:pt idx="181">
                  <c:v>-0.32496981945181497</c:v>
                </c:pt>
                <c:pt idx="182">
                  <c:v>-0.3994491208369047</c:v>
                </c:pt>
                <c:pt idx="183">
                  <c:v>-0.44808360971317929</c:v>
                </c:pt>
                <c:pt idx="184">
                  <c:v>-0.45540983581158179</c:v>
                </c:pt>
                <c:pt idx="185">
                  <c:v>-0.42585016948835536</c:v>
                </c:pt>
                <c:pt idx="186">
                  <c:v>-0.36162475214518042</c:v>
                </c:pt>
                <c:pt idx="187">
                  <c:v>-0.26688646486755774</c:v>
                </c:pt>
                <c:pt idx="188">
                  <c:v>-0.12244118023505486</c:v>
                </c:pt>
                <c:pt idx="189">
                  <c:v>3.0869344069883758E-2</c:v>
                </c:pt>
                <c:pt idx="190">
                  <c:v>0.14126460799153837</c:v>
                </c:pt>
                <c:pt idx="191">
                  <c:v>0.22774636243492299</c:v>
                </c:pt>
                <c:pt idx="192">
                  <c:v>0.28158300731441721</c:v>
                </c:pt>
                <c:pt idx="193">
                  <c:v>0.29171086365917936</c:v>
                </c:pt>
                <c:pt idx="194">
                  <c:v>0.27213030198311078</c:v>
                </c:pt>
                <c:pt idx="195">
                  <c:v>0.25491648141436341</c:v>
                </c:pt>
                <c:pt idx="196">
                  <c:v>0.24301743052352071</c:v>
                </c:pt>
                <c:pt idx="197">
                  <c:v>0.19495250476405049</c:v>
                </c:pt>
                <c:pt idx="198">
                  <c:v>0.11018085581103254</c:v>
                </c:pt>
                <c:pt idx="199">
                  <c:v>-1.0596535421845965E-4</c:v>
                </c:pt>
                <c:pt idx="200">
                  <c:v>-0.12427305889829023</c:v>
                </c:pt>
                <c:pt idx="201">
                  <c:v>-0.24428507254211021</c:v>
                </c:pt>
                <c:pt idx="202">
                  <c:v>-0.37319233778953387</c:v>
                </c:pt>
                <c:pt idx="203">
                  <c:v>-0.49416372782900542</c:v>
                </c:pt>
                <c:pt idx="204">
                  <c:v>-0.6092345563165118</c:v>
                </c:pt>
                <c:pt idx="205">
                  <c:v>-0.70951673970243412</c:v>
                </c:pt>
                <c:pt idx="206">
                  <c:v>-0.76350175075670346</c:v>
                </c:pt>
                <c:pt idx="207">
                  <c:v>-0.75422321902759171</c:v>
                </c:pt>
                <c:pt idx="208">
                  <c:v>-0.71187735680346231</c:v>
                </c:pt>
                <c:pt idx="209">
                  <c:v>-0.62850257512228869</c:v>
                </c:pt>
                <c:pt idx="210">
                  <c:v>-0.52585979242198433</c:v>
                </c:pt>
                <c:pt idx="211">
                  <c:v>-0.44611438619900079</c:v>
                </c:pt>
                <c:pt idx="212">
                  <c:v>-0.37574746086078603</c:v>
                </c:pt>
                <c:pt idx="213">
                  <c:v>-0.30802845361995962</c:v>
                </c:pt>
                <c:pt idx="214">
                  <c:v>-0.23556343199668822</c:v>
                </c:pt>
                <c:pt idx="215">
                  <c:v>-0.16705505563875256</c:v>
                </c:pt>
                <c:pt idx="216">
                  <c:v>-0.10040813808095442</c:v>
                </c:pt>
                <c:pt idx="217">
                  <c:v>-3.2608792342611471E-2</c:v>
                </c:pt>
                <c:pt idx="218">
                  <c:v>2.333902425615355E-2</c:v>
                </c:pt>
                <c:pt idx="219">
                  <c:v>7.9561919329194819E-2</c:v>
                </c:pt>
                <c:pt idx="220">
                  <c:v>0.10905651371714728</c:v>
                </c:pt>
                <c:pt idx="221">
                  <c:v>0.13308623090158953</c:v>
                </c:pt>
                <c:pt idx="222">
                  <c:v>0.15292538180202342</c:v>
                </c:pt>
                <c:pt idx="223">
                  <c:v>0.18167249491188137</c:v>
                </c:pt>
                <c:pt idx="224">
                  <c:v>0.1986061231468727</c:v>
                </c:pt>
                <c:pt idx="225">
                  <c:v>0.20073225756274177</c:v>
                </c:pt>
                <c:pt idx="226">
                  <c:v>0.21502547084041096</c:v>
                </c:pt>
                <c:pt idx="227">
                  <c:v>0.25580797713407866</c:v>
                </c:pt>
                <c:pt idx="228">
                  <c:v>0.32818193632235709</c:v>
                </c:pt>
                <c:pt idx="229">
                  <c:v>0.43543878223055532</c:v>
                </c:pt>
                <c:pt idx="230">
                  <c:v>0.57772798736350517</c:v>
                </c:pt>
                <c:pt idx="231">
                  <c:v>0.71389415906370979</c:v>
                </c:pt>
                <c:pt idx="232">
                  <c:v>0.82692745258232514</c:v>
                </c:pt>
                <c:pt idx="233">
                  <c:v>0.92865992626402116</c:v>
                </c:pt>
                <c:pt idx="234">
                  <c:v>1.0273468562964976</c:v>
                </c:pt>
                <c:pt idx="235">
                  <c:v>1.1287353914558604</c:v>
                </c:pt>
                <c:pt idx="236">
                  <c:v>1.221217418831229</c:v>
                </c:pt>
                <c:pt idx="237">
                  <c:v>1.3129300019010364</c:v>
                </c:pt>
                <c:pt idx="238">
                  <c:v>1.4070496126710503</c:v>
                </c:pt>
                <c:pt idx="239">
                  <c:v>1.4752322022608368</c:v>
                </c:pt>
                <c:pt idx="240">
                  <c:v>1.5526088372354958</c:v>
                </c:pt>
                <c:pt idx="241">
                  <c:v>1.6429908079120052</c:v>
                </c:pt>
                <c:pt idx="242">
                  <c:v>1.7408592542227854</c:v>
                </c:pt>
                <c:pt idx="243">
                  <c:v>1.8099116259581891</c:v>
                </c:pt>
                <c:pt idx="244">
                  <c:v>1.842627731746924</c:v>
                </c:pt>
                <c:pt idx="245">
                  <c:v>1.8745744442587988</c:v>
                </c:pt>
                <c:pt idx="246">
                  <c:v>1.9230660411395215</c:v>
                </c:pt>
                <c:pt idx="247">
                  <c:v>2.0045182543895588</c:v>
                </c:pt>
                <c:pt idx="248">
                  <c:v>2.1296998131493892</c:v>
                </c:pt>
                <c:pt idx="2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15-4526-8DB6-4B23B32E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22687"/>
        <c:axId val="189726047"/>
      </c:lineChart>
      <c:dateAx>
        <c:axId val="189722687"/>
        <c:scaling>
          <c:orientation val="minMax"/>
          <c:max val="46063"/>
          <c:min val="45948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6047"/>
        <c:crosses val="autoZero"/>
        <c:auto val="1"/>
        <c:lblOffset val="100"/>
        <c:baseTimeUnit val="days"/>
      </c:dateAx>
      <c:valAx>
        <c:axId val="189726047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2687"/>
        <c:crosses val="autoZero"/>
        <c:crossBetween val="between"/>
      </c:valAx>
      <c:valAx>
        <c:axId val="189721247"/>
        <c:scaling>
          <c:orientation val="minMax"/>
          <c:min val="-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1727"/>
        <c:crosses val="max"/>
        <c:crossBetween val="between"/>
      </c:valAx>
      <c:dateAx>
        <c:axId val="189721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897212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Quarter Forecast( Weekly Avg Close)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93.045000000000002</c:v>
                </c:pt>
                <c:pt idx="1">
                  <c:v>92.94</c:v>
                </c:pt>
                <c:pt idx="2">
                  <c:v>90.342500000000001</c:v>
                </c:pt>
                <c:pt idx="3">
                  <c:v>89.266000000000005</c:v>
                </c:pt>
                <c:pt idx="4">
                  <c:v>91.210000000000008</c:v>
                </c:pt>
                <c:pt idx="5">
                  <c:v>89.328000000000003</c:v>
                </c:pt>
                <c:pt idx="6">
                  <c:v>87.7</c:v>
                </c:pt>
                <c:pt idx="7">
                  <c:v>88.007499999999993</c:v>
                </c:pt>
                <c:pt idx="8">
                  <c:v>86.792000000000002</c:v>
                </c:pt>
                <c:pt idx="9">
                  <c:v>89.605999999999995</c:v>
                </c:pt>
                <c:pt idx="10">
                  <c:v>89.581999999999994</c:v>
                </c:pt>
                <c:pt idx="11">
                  <c:v>88.998000000000005</c:v>
                </c:pt>
                <c:pt idx="12">
                  <c:v>89.202500000000001</c:v>
                </c:pt>
                <c:pt idx="13">
                  <c:v>90.132000000000005</c:v>
                </c:pt>
                <c:pt idx="14">
                  <c:v>89.56</c:v>
                </c:pt>
                <c:pt idx="15">
                  <c:v>89.947999999999993</c:v>
                </c:pt>
                <c:pt idx="16">
                  <c:v>93.207999999999998</c:v>
                </c:pt>
                <c:pt idx="17">
                  <c:v>94.796000000000006</c:v>
                </c:pt>
                <c:pt idx="18">
                  <c:v>97.403999999999996</c:v>
                </c:pt>
                <c:pt idx="19">
                  <c:v>97.039999999999992</c:v>
                </c:pt>
                <c:pt idx="20">
                  <c:v>95.456000000000003</c:v>
                </c:pt>
                <c:pt idx="21">
                  <c:v>93.03</c:v>
                </c:pt>
                <c:pt idx="22">
                  <c:v>92.7</c:v>
                </c:pt>
                <c:pt idx="23">
                  <c:v>91.337999999999994</c:v>
                </c:pt>
                <c:pt idx="24">
                  <c:v>90.477500000000006</c:v>
                </c:pt>
                <c:pt idx="25">
                  <c:v>89.885999999999996</c:v>
                </c:pt>
                <c:pt idx="26">
                  <c:v>88.94</c:v>
                </c:pt>
                <c:pt idx="27">
                  <c:v>90.158000000000001</c:v>
                </c:pt>
                <c:pt idx="28">
                  <c:v>92.744</c:v>
                </c:pt>
                <c:pt idx="29">
                  <c:v>95.225999999999999</c:v>
                </c:pt>
                <c:pt idx="30">
                  <c:v>98.917999999999992</c:v>
                </c:pt>
                <c:pt idx="31">
                  <c:v>100.86</c:v>
                </c:pt>
                <c:pt idx="32">
                  <c:v>100.746</c:v>
                </c:pt>
                <c:pt idx="33">
                  <c:v>100.45399999999999</c:v>
                </c:pt>
                <c:pt idx="34">
                  <c:v>100.65</c:v>
                </c:pt>
                <c:pt idx="35">
                  <c:v>103.6875</c:v>
                </c:pt>
                <c:pt idx="36">
                  <c:v>104.298</c:v>
                </c:pt>
                <c:pt idx="37">
                  <c:v>103.654</c:v>
                </c:pt>
                <c:pt idx="38">
                  <c:v>103.434</c:v>
                </c:pt>
                <c:pt idx="39">
                  <c:v>104.18</c:v>
                </c:pt>
                <c:pt idx="40">
                  <c:v>101.904</c:v>
                </c:pt>
                <c:pt idx="41">
                  <c:v>105.41</c:v>
                </c:pt>
                <c:pt idx="42">
                  <c:v>106.19200000000001</c:v>
                </c:pt>
                <c:pt idx="43">
                  <c:v>102.42400000000001</c:v>
                </c:pt>
                <c:pt idx="44">
                  <c:v>98.727999999999994</c:v>
                </c:pt>
                <c:pt idx="45">
                  <c:v>96.522000000000006</c:v>
                </c:pt>
                <c:pt idx="46">
                  <c:v>97.671999999999997</c:v>
                </c:pt>
                <c:pt idx="47">
                  <c:v>100.83500000000001</c:v>
                </c:pt>
                <c:pt idx="48">
                  <c:v>96.793999999999997</c:v>
                </c:pt>
                <c:pt idx="49">
                  <c:v>93.504000000000005</c:v>
                </c:pt>
                <c:pt idx="50">
                  <c:v>90.013999999999996</c:v>
                </c:pt>
                <c:pt idx="51">
                  <c:v>89.6</c:v>
                </c:pt>
                <c:pt idx="52">
                  <c:v>89.164999999999992</c:v>
                </c:pt>
                <c:pt idx="53">
                  <c:v>88.382500000000007</c:v>
                </c:pt>
                <c:pt idx="54">
                  <c:v>90.787999999999997</c:v>
                </c:pt>
                <c:pt idx="55">
                  <c:v>91.334999999999994</c:v>
                </c:pt>
                <c:pt idx="56">
                  <c:v>93.69</c:v>
                </c:pt>
                <c:pt idx="57">
                  <c:v>95.644000000000005</c:v>
                </c:pt>
                <c:pt idx="58">
                  <c:v>95.632000000000005</c:v>
                </c:pt>
                <c:pt idx="59">
                  <c:v>96.26</c:v>
                </c:pt>
                <c:pt idx="60">
                  <c:v>100.41</c:v>
                </c:pt>
                <c:pt idx="61">
                  <c:v>102.184</c:v>
                </c:pt>
                <c:pt idx="62">
                  <c:v>104.81</c:v>
                </c:pt>
                <c:pt idx="63">
                  <c:v>107.84</c:v>
                </c:pt>
                <c:pt idx="64">
                  <c:v>107.3</c:v>
                </c:pt>
                <c:pt idx="65">
                  <c:v>110.45399999999999</c:v>
                </c:pt>
                <c:pt idx="66">
                  <c:v>107.072</c:v>
                </c:pt>
                <c:pt idx="67">
                  <c:v>111.9</c:v>
                </c:pt>
                <c:pt idx="68">
                  <c:v>111.70399999999999</c:v>
                </c:pt>
                <c:pt idx="69">
                  <c:v>111.72</c:v>
                </c:pt>
                <c:pt idx="70">
                  <c:v>109.292</c:v>
                </c:pt>
                <c:pt idx="71">
                  <c:v>101.938</c:v>
                </c:pt>
                <c:pt idx="72">
                  <c:v>104.76599999999999</c:v>
                </c:pt>
                <c:pt idx="73">
                  <c:v>103.4875</c:v>
                </c:pt>
                <c:pt idx="74">
                  <c:v>102.63799999999999</c:v>
                </c:pt>
                <c:pt idx="75">
                  <c:v>102.756</c:v>
                </c:pt>
                <c:pt idx="76">
                  <c:v>101.17</c:v>
                </c:pt>
                <c:pt idx="77">
                  <c:v>99.19</c:v>
                </c:pt>
                <c:pt idx="78">
                  <c:v>100.34</c:v>
                </c:pt>
                <c:pt idx="79">
                  <c:v>100.13</c:v>
                </c:pt>
                <c:pt idx="80">
                  <c:v>100.62</c:v>
                </c:pt>
                <c:pt idx="81">
                  <c:v>102.504</c:v>
                </c:pt>
                <c:pt idx="82">
                  <c:v>102.75</c:v>
                </c:pt>
                <c:pt idx="83">
                  <c:v>104.634</c:v>
                </c:pt>
                <c:pt idx="84">
                  <c:v>103.02</c:v>
                </c:pt>
                <c:pt idx="85">
                  <c:v>101.15</c:v>
                </c:pt>
                <c:pt idx="86">
                  <c:v>99.227999999999994</c:v>
                </c:pt>
                <c:pt idx="87">
                  <c:v>97.724999999999994</c:v>
                </c:pt>
                <c:pt idx="88">
                  <c:v>97.192000000000007</c:v>
                </c:pt>
                <c:pt idx="89">
                  <c:v>96.33</c:v>
                </c:pt>
                <c:pt idx="90">
                  <c:v>98.39</c:v>
                </c:pt>
                <c:pt idx="91">
                  <c:v>98.941999999999993</c:v>
                </c:pt>
                <c:pt idx="92">
                  <c:v>100.678</c:v>
                </c:pt>
                <c:pt idx="93">
                  <c:v>101.46</c:v>
                </c:pt>
                <c:pt idx="94">
                  <c:v>101.206</c:v>
                </c:pt>
                <c:pt idx="95">
                  <c:v>98.274000000000001</c:v>
                </c:pt>
                <c:pt idx="96">
                  <c:v>97.244</c:v>
                </c:pt>
                <c:pt idx="97">
                  <c:v>100.126</c:v>
                </c:pt>
                <c:pt idx="98">
                  <c:v>101.64999999999999</c:v>
                </c:pt>
                <c:pt idx="99">
                  <c:v>99.567499999999995</c:v>
                </c:pt>
                <c:pt idx="100">
                  <c:v>96.804000000000002</c:v>
                </c:pt>
                <c:pt idx="101">
                  <c:v>95.97</c:v>
                </c:pt>
                <c:pt idx="102">
                  <c:v>99.31</c:v>
                </c:pt>
                <c:pt idx="103">
                  <c:v>99.087500000000006</c:v>
                </c:pt>
                <c:pt idx="104">
                  <c:v>99.685000000000002</c:v>
                </c:pt>
                <c:pt idx="105">
                  <c:v>99.316000000000003</c:v>
                </c:pt>
                <c:pt idx="106">
                  <c:v>101.38</c:v>
                </c:pt>
                <c:pt idx="107">
                  <c:v>103.985</c:v>
                </c:pt>
                <c:pt idx="108">
                  <c:v>105.542</c:v>
                </c:pt>
                <c:pt idx="109">
                  <c:v>107.492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C-433B-9A5A-ADA161790A56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10">
                  <c:v>106.46826186045647</c:v>
                </c:pt>
                <c:pt idx="111">
                  <c:v>105.37055714670956</c:v>
                </c:pt>
                <c:pt idx="112">
                  <c:v>103.37095172963238</c:v>
                </c:pt>
                <c:pt idx="113">
                  <c:v>103.17076985713925</c:v>
                </c:pt>
                <c:pt idx="114">
                  <c:v>102.49552625562917</c:v>
                </c:pt>
                <c:pt idx="115">
                  <c:v>101.94388420718269</c:v>
                </c:pt>
                <c:pt idx="116">
                  <c:v>102.28562654015926</c:v>
                </c:pt>
                <c:pt idx="117">
                  <c:v>97.037318534831314</c:v>
                </c:pt>
                <c:pt idx="118">
                  <c:v>97.484922789214565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8C-433B-9A5A-ADA161790A56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10">
                  <c:v>106.091143284041</c:v>
                </c:pt>
                <c:pt idx="111">
                  <c:v>108.864403090612</c:v>
                </c:pt>
                <c:pt idx="112">
                  <c:v>108.904168002739</c:v>
                </c:pt>
                <c:pt idx="113">
                  <c:v>108.543550386899</c:v>
                </c:pt>
                <c:pt idx="114">
                  <c:v>108.723662466533</c:v>
                </c:pt>
                <c:pt idx="115">
                  <c:v>108.999348865306</c:v>
                </c:pt>
                <c:pt idx="116">
                  <c:v>109.11481116199499</c:v>
                </c:pt>
                <c:pt idx="117">
                  <c:v>108.47222195885701</c:v>
                </c:pt>
                <c:pt idx="118">
                  <c:v>112.38422261658501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8C-433B-9A5A-ADA161790A56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Simple ML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yyyy\-mm\-dd;@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Forecast!$E$2:$E$120</c:f>
              <c:numCache>
                <c:formatCode>General</c:formatCode>
                <c:ptCount val="119"/>
                <c:pt idx="110">
                  <c:v>104.627629</c:v>
                </c:pt>
                <c:pt idx="111">
                  <c:v>104.676574</c:v>
                </c:pt>
                <c:pt idx="112">
                  <c:v>107.613495</c:v>
                </c:pt>
                <c:pt idx="113">
                  <c:v>107.744578</c:v>
                </c:pt>
                <c:pt idx="114">
                  <c:v>107.87566099999999</c:v>
                </c:pt>
                <c:pt idx="115">
                  <c:v>108.006743</c:v>
                </c:pt>
                <c:pt idx="116">
                  <c:v>108.13782500000001</c:v>
                </c:pt>
                <c:pt idx="117">
                  <c:v>108.268908</c:v>
                </c:pt>
                <c:pt idx="118">
                  <c:v>108.39999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8C-433B-9A5A-ADA161790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45247"/>
        <c:axId val="189750527"/>
      </c:lineChart>
      <c:dateAx>
        <c:axId val="189745247"/>
        <c:scaling>
          <c:orientation val="minMax"/>
          <c:min val="45658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0527"/>
        <c:crosses val="autoZero"/>
        <c:auto val="1"/>
        <c:lblOffset val="100"/>
        <c:baseTimeUnit val="days"/>
      </c:dateAx>
      <c:valAx>
        <c:axId val="189750527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Dividends!$A$2:$A$105</c:f>
              <c:numCache>
                <c:formatCode>yyyy\-mm\-dd</c:formatCode>
                <c:ptCount val="104"/>
                <c:pt idx="0">
                  <c:v>36570</c:v>
                </c:pt>
                <c:pt idx="1">
                  <c:v>36661</c:v>
                </c:pt>
                <c:pt idx="2">
                  <c:v>36752</c:v>
                </c:pt>
                <c:pt idx="3">
                  <c:v>36843</c:v>
                </c:pt>
                <c:pt idx="4">
                  <c:v>36934</c:v>
                </c:pt>
                <c:pt idx="5">
                  <c:v>37025</c:v>
                </c:pt>
                <c:pt idx="6">
                  <c:v>37116</c:v>
                </c:pt>
                <c:pt idx="7">
                  <c:v>37204</c:v>
                </c:pt>
                <c:pt idx="8">
                  <c:v>37298</c:v>
                </c:pt>
                <c:pt idx="9">
                  <c:v>37389</c:v>
                </c:pt>
                <c:pt idx="10">
                  <c:v>37480</c:v>
                </c:pt>
                <c:pt idx="11">
                  <c:v>37568</c:v>
                </c:pt>
                <c:pt idx="12">
                  <c:v>37662</c:v>
                </c:pt>
                <c:pt idx="13">
                  <c:v>37753</c:v>
                </c:pt>
                <c:pt idx="14">
                  <c:v>37844</c:v>
                </c:pt>
                <c:pt idx="15">
                  <c:v>37932</c:v>
                </c:pt>
                <c:pt idx="16">
                  <c:v>38026</c:v>
                </c:pt>
                <c:pt idx="17">
                  <c:v>38117</c:v>
                </c:pt>
                <c:pt idx="18">
                  <c:v>38208</c:v>
                </c:pt>
                <c:pt idx="19">
                  <c:v>38299</c:v>
                </c:pt>
                <c:pt idx="20">
                  <c:v>38397</c:v>
                </c:pt>
                <c:pt idx="21">
                  <c:v>38488</c:v>
                </c:pt>
                <c:pt idx="22">
                  <c:v>38579</c:v>
                </c:pt>
                <c:pt idx="23">
                  <c:v>38670</c:v>
                </c:pt>
                <c:pt idx="24">
                  <c:v>38761</c:v>
                </c:pt>
                <c:pt idx="25">
                  <c:v>38848</c:v>
                </c:pt>
                <c:pt idx="26">
                  <c:v>38943</c:v>
                </c:pt>
                <c:pt idx="27">
                  <c:v>39034</c:v>
                </c:pt>
                <c:pt idx="28">
                  <c:v>39125</c:v>
                </c:pt>
                <c:pt idx="29">
                  <c:v>39216</c:v>
                </c:pt>
                <c:pt idx="30">
                  <c:v>39307</c:v>
                </c:pt>
                <c:pt idx="31">
                  <c:v>39395</c:v>
                </c:pt>
                <c:pt idx="32">
                  <c:v>39489</c:v>
                </c:pt>
                <c:pt idx="33">
                  <c:v>39580</c:v>
                </c:pt>
                <c:pt idx="34">
                  <c:v>39671</c:v>
                </c:pt>
                <c:pt idx="35">
                  <c:v>39759</c:v>
                </c:pt>
                <c:pt idx="36">
                  <c:v>39857</c:v>
                </c:pt>
                <c:pt idx="37">
                  <c:v>39944</c:v>
                </c:pt>
                <c:pt idx="38">
                  <c:v>40042</c:v>
                </c:pt>
                <c:pt idx="39">
                  <c:v>40133</c:v>
                </c:pt>
                <c:pt idx="40">
                  <c:v>40221</c:v>
                </c:pt>
                <c:pt idx="41">
                  <c:v>40308</c:v>
                </c:pt>
                <c:pt idx="42">
                  <c:v>40406</c:v>
                </c:pt>
                <c:pt idx="43">
                  <c:v>40497</c:v>
                </c:pt>
                <c:pt idx="44">
                  <c:v>40588</c:v>
                </c:pt>
                <c:pt idx="45">
                  <c:v>40679</c:v>
                </c:pt>
                <c:pt idx="46">
                  <c:v>40770</c:v>
                </c:pt>
                <c:pt idx="47">
                  <c:v>40861</c:v>
                </c:pt>
                <c:pt idx="48">
                  <c:v>40952</c:v>
                </c:pt>
                <c:pt idx="49">
                  <c:v>41043</c:v>
                </c:pt>
                <c:pt idx="50">
                  <c:v>41134</c:v>
                </c:pt>
                <c:pt idx="51">
                  <c:v>41222</c:v>
                </c:pt>
                <c:pt idx="52">
                  <c:v>41316</c:v>
                </c:pt>
                <c:pt idx="53">
                  <c:v>41407</c:v>
                </c:pt>
                <c:pt idx="54">
                  <c:v>41498</c:v>
                </c:pt>
                <c:pt idx="55">
                  <c:v>41586</c:v>
                </c:pt>
                <c:pt idx="56">
                  <c:v>41680</c:v>
                </c:pt>
                <c:pt idx="57">
                  <c:v>41771</c:v>
                </c:pt>
                <c:pt idx="58">
                  <c:v>41862</c:v>
                </c:pt>
                <c:pt idx="59">
                  <c:v>41950</c:v>
                </c:pt>
                <c:pt idx="60">
                  <c:v>42048</c:v>
                </c:pt>
                <c:pt idx="61">
                  <c:v>42142</c:v>
                </c:pt>
                <c:pt idx="62">
                  <c:v>42233</c:v>
                </c:pt>
                <c:pt idx="63">
                  <c:v>42324</c:v>
                </c:pt>
                <c:pt idx="64">
                  <c:v>42412</c:v>
                </c:pt>
                <c:pt idx="65">
                  <c:v>42506</c:v>
                </c:pt>
                <c:pt idx="66">
                  <c:v>42597</c:v>
                </c:pt>
                <c:pt idx="67">
                  <c:v>42688</c:v>
                </c:pt>
                <c:pt idx="68">
                  <c:v>42779</c:v>
                </c:pt>
                <c:pt idx="69">
                  <c:v>42870</c:v>
                </c:pt>
                <c:pt idx="70">
                  <c:v>42961</c:v>
                </c:pt>
                <c:pt idx="71">
                  <c:v>43053</c:v>
                </c:pt>
                <c:pt idx="72">
                  <c:v>43144</c:v>
                </c:pt>
                <c:pt idx="73">
                  <c:v>43235</c:v>
                </c:pt>
                <c:pt idx="74">
                  <c:v>43326</c:v>
                </c:pt>
                <c:pt idx="75">
                  <c:v>43417</c:v>
                </c:pt>
                <c:pt idx="76">
                  <c:v>43508</c:v>
                </c:pt>
                <c:pt idx="77">
                  <c:v>43599</c:v>
                </c:pt>
                <c:pt idx="78">
                  <c:v>43690</c:v>
                </c:pt>
                <c:pt idx="79">
                  <c:v>43781</c:v>
                </c:pt>
                <c:pt idx="80">
                  <c:v>43879</c:v>
                </c:pt>
                <c:pt idx="81">
                  <c:v>43963</c:v>
                </c:pt>
                <c:pt idx="82">
                  <c:v>44061</c:v>
                </c:pt>
                <c:pt idx="83">
                  <c:v>44152</c:v>
                </c:pt>
                <c:pt idx="84">
                  <c:v>44243</c:v>
                </c:pt>
                <c:pt idx="85">
                  <c:v>44334</c:v>
                </c:pt>
                <c:pt idx="86">
                  <c:v>44425</c:v>
                </c:pt>
                <c:pt idx="87">
                  <c:v>44516</c:v>
                </c:pt>
                <c:pt idx="88">
                  <c:v>44607</c:v>
                </c:pt>
                <c:pt idx="89">
                  <c:v>44698</c:v>
                </c:pt>
                <c:pt idx="90">
                  <c:v>44789</c:v>
                </c:pt>
                <c:pt idx="91">
                  <c:v>44880</c:v>
                </c:pt>
                <c:pt idx="92">
                  <c:v>44971</c:v>
                </c:pt>
                <c:pt idx="93">
                  <c:v>45062</c:v>
                </c:pt>
                <c:pt idx="94">
                  <c:v>45153</c:v>
                </c:pt>
                <c:pt idx="95">
                  <c:v>45244</c:v>
                </c:pt>
                <c:pt idx="96">
                  <c:v>45335</c:v>
                </c:pt>
                <c:pt idx="97">
                  <c:v>45426</c:v>
                </c:pt>
                <c:pt idx="98">
                  <c:v>45518</c:v>
                </c:pt>
                <c:pt idx="99">
                  <c:v>45609</c:v>
                </c:pt>
                <c:pt idx="100">
                  <c:v>45707</c:v>
                </c:pt>
                <c:pt idx="101">
                  <c:v>45791</c:v>
                </c:pt>
                <c:pt idx="102">
                  <c:v>45882</c:v>
                </c:pt>
                <c:pt idx="103">
                  <c:v>45980</c:v>
                </c:pt>
              </c:numCache>
            </c:numRef>
          </c:cat>
          <c:val>
            <c:numRef>
              <c:f>Dividends!$B$2:$B$105</c:f>
              <c:numCache>
                <c:formatCode>General</c:formatCode>
                <c:ptCount val="104"/>
                <c:pt idx="0">
                  <c:v>0.54500000000000004</c:v>
                </c:pt>
                <c:pt idx="1">
                  <c:v>0.54500000000000004</c:v>
                </c:pt>
                <c:pt idx="2">
                  <c:v>0.54500000000000004</c:v>
                </c:pt>
                <c:pt idx="3">
                  <c:v>0.54500000000000004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0.55500000000000005</c:v>
                </c:pt>
                <c:pt idx="9">
                  <c:v>0.55500000000000005</c:v>
                </c:pt>
                <c:pt idx="10">
                  <c:v>0.55500000000000005</c:v>
                </c:pt>
                <c:pt idx="11">
                  <c:v>0.55500000000000005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0.56000000000000005</c:v>
                </c:pt>
                <c:pt idx="15">
                  <c:v>0.56000000000000005</c:v>
                </c:pt>
                <c:pt idx="16">
                  <c:v>0.56499999999999995</c:v>
                </c:pt>
                <c:pt idx="17">
                  <c:v>0.56499999999999995</c:v>
                </c:pt>
                <c:pt idx="18">
                  <c:v>0.56499999999999995</c:v>
                </c:pt>
                <c:pt idx="19">
                  <c:v>0.56499999999999995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0.56999999999999995</c:v>
                </c:pt>
                <c:pt idx="24">
                  <c:v>0.57499999999999996</c:v>
                </c:pt>
                <c:pt idx="25">
                  <c:v>0.57499999999999996</c:v>
                </c:pt>
                <c:pt idx="26">
                  <c:v>0.57499999999999996</c:v>
                </c:pt>
                <c:pt idx="27">
                  <c:v>0.57499999999999996</c:v>
                </c:pt>
                <c:pt idx="28">
                  <c:v>0.57999999999999996</c:v>
                </c:pt>
                <c:pt idx="29">
                  <c:v>0.57999999999999996</c:v>
                </c:pt>
                <c:pt idx="30">
                  <c:v>0.57999999999999996</c:v>
                </c:pt>
                <c:pt idx="31">
                  <c:v>0.57999999999999996</c:v>
                </c:pt>
                <c:pt idx="32">
                  <c:v>0.58499999999999996</c:v>
                </c:pt>
                <c:pt idx="33">
                  <c:v>0.58499999999999996</c:v>
                </c:pt>
                <c:pt idx="34">
                  <c:v>0.58499999999999996</c:v>
                </c:pt>
                <c:pt idx="35">
                  <c:v>0.58499999999999996</c:v>
                </c:pt>
                <c:pt idx="36">
                  <c:v>0.59</c:v>
                </c:pt>
                <c:pt idx="37">
                  <c:v>0.59</c:v>
                </c:pt>
                <c:pt idx="38">
                  <c:v>0.59</c:v>
                </c:pt>
                <c:pt idx="39">
                  <c:v>0.59</c:v>
                </c:pt>
                <c:pt idx="40">
                  <c:v>0.59499999999999997</c:v>
                </c:pt>
                <c:pt idx="41">
                  <c:v>0.59499999999999997</c:v>
                </c:pt>
                <c:pt idx="42">
                  <c:v>0.59499999999999997</c:v>
                </c:pt>
                <c:pt idx="43">
                  <c:v>0.59499999999999997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0.60499999999999998</c:v>
                </c:pt>
                <c:pt idx="49">
                  <c:v>0.60499999999999998</c:v>
                </c:pt>
                <c:pt idx="50">
                  <c:v>0.60499999999999998</c:v>
                </c:pt>
                <c:pt idx="51">
                  <c:v>0.60499999999999998</c:v>
                </c:pt>
                <c:pt idx="52">
                  <c:v>0.61499999999999999</c:v>
                </c:pt>
                <c:pt idx="53">
                  <c:v>0.61499999999999999</c:v>
                </c:pt>
                <c:pt idx="54">
                  <c:v>0.61499999999999999</c:v>
                </c:pt>
                <c:pt idx="55">
                  <c:v>0.61499999999999999</c:v>
                </c:pt>
                <c:pt idx="56">
                  <c:v>0.63</c:v>
                </c:pt>
                <c:pt idx="57">
                  <c:v>0.63</c:v>
                </c:pt>
                <c:pt idx="58">
                  <c:v>0.63</c:v>
                </c:pt>
                <c:pt idx="59">
                  <c:v>0.63</c:v>
                </c:pt>
                <c:pt idx="60">
                  <c:v>0.65</c:v>
                </c:pt>
                <c:pt idx="61">
                  <c:v>0.65</c:v>
                </c:pt>
                <c:pt idx="62">
                  <c:v>0.65</c:v>
                </c:pt>
                <c:pt idx="63">
                  <c:v>0.65</c:v>
                </c:pt>
                <c:pt idx="64">
                  <c:v>0.67</c:v>
                </c:pt>
                <c:pt idx="65">
                  <c:v>0.67</c:v>
                </c:pt>
                <c:pt idx="66">
                  <c:v>0.67</c:v>
                </c:pt>
                <c:pt idx="67">
                  <c:v>0.67</c:v>
                </c:pt>
                <c:pt idx="68">
                  <c:v>0.69</c:v>
                </c:pt>
                <c:pt idx="69">
                  <c:v>0.69</c:v>
                </c:pt>
                <c:pt idx="70">
                  <c:v>0.69</c:v>
                </c:pt>
                <c:pt idx="71">
                  <c:v>0.69</c:v>
                </c:pt>
                <c:pt idx="72">
                  <c:v>0.71499999999999997</c:v>
                </c:pt>
                <c:pt idx="73">
                  <c:v>0.71499999999999997</c:v>
                </c:pt>
                <c:pt idx="74">
                  <c:v>0.71499999999999997</c:v>
                </c:pt>
                <c:pt idx="75">
                  <c:v>0.71499999999999997</c:v>
                </c:pt>
                <c:pt idx="76">
                  <c:v>0.74</c:v>
                </c:pt>
                <c:pt idx="77">
                  <c:v>0.74</c:v>
                </c:pt>
                <c:pt idx="78">
                  <c:v>0.74</c:v>
                </c:pt>
                <c:pt idx="79">
                  <c:v>0.74</c:v>
                </c:pt>
                <c:pt idx="80">
                  <c:v>0.76500000000000001</c:v>
                </c:pt>
                <c:pt idx="81">
                  <c:v>0.76500000000000001</c:v>
                </c:pt>
                <c:pt idx="82">
                  <c:v>0.76500000000000001</c:v>
                </c:pt>
                <c:pt idx="83">
                  <c:v>0.76500000000000001</c:v>
                </c:pt>
                <c:pt idx="84">
                  <c:v>0.77500000000000002</c:v>
                </c:pt>
                <c:pt idx="85">
                  <c:v>0.77500000000000002</c:v>
                </c:pt>
                <c:pt idx="86">
                  <c:v>0.77500000000000002</c:v>
                </c:pt>
                <c:pt idx="87">
                  <c:v>0.77500000000000002</c:v>
                </c:pt>
                <c:pt idx="88">
                  <c:v>0.79</c:v>
                </c:pt>
                <c:pt idx="89">
                  <c:v>0.79</c:v>
                </c:pt>
                <c:pt idx="90">
                  <c:v>0.79</c:v>
                </c:pt>
                <c:pt idx="91">
                  <c:v>0.79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0.83</c:v>
                </c:pt>
                <c:pt idx="97">
                  <c:v>0.83</c:v>
                </c:pt>
                <c:pt idx="98">
                  <c:v>0.83</c:v>
                </c:pt>
                <c:pt idx="99">
                  <c:v>0.83</c:v>
                </c:pt>
                <c:pt idx="100">
                  <c:v>0.85</c:v>
                </c:pt>
                <c:pt idx="101">
                  <c:v>0.85</c:v>
                </c:pt>
                <c:pt idx="102">
                  <c:v>0.85</c:v>
                </c:pt>
                <c:pt idx="10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7-4C92-9070-517B1F460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87775"/>
        <c:axId val="201077215"/>
      </c:barChart>
      <c:dateAx>
        <c:axId val="201087775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77215"/>
        <c:crosses val="autoZero"/>
        <c:auto val="1"/>
        <c:lblOffset val="100"/>
        <c:baseTimeUnit val="months"/>
      </c:dateAx>
      <c:valAx>
        <c:axId val="2010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</xdr:row>
      <xdr:rowOff>38100</xdr:rowOff>
    </xdr:from>
    <xdr:to>
      <xdr:col>12</xdr:col>
      <xdr:colOff>419100</xdr:colOff>
      <xdr:row>15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2F5987-2EA4-4870-B904-462F39127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533401</xdr:colOff>
      <xdr:row>17</xdr:row>
      <xdr:rowOff>85725</xdr:rowOff>
    </xdr:from>
    <xdr:to>
      <xdr:col>12</xdr:col>
      <xdr:colOff>476251</xdr:colOff>
      <xdr:row>31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81CF9C-7EB9-4F5F-853D-ECA2D5891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552450</xdr:colOff>
      <xdr:row>33</xdr:row>
      <xdr:rowOff>142875</xdr:rowOff>
    </xdr:from>
    <xdr:to>
      <xdr:col>12</xdr:col>
      <xdr:colOff>485775</xdr:colOff>
      <xdr:row>48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6BD07D-FC14-4835-9445-E06FDDA6E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571501</xdr:colOff>
      <xdr:row>50</xdr:row>
      <xdr:rowOff>142875</xdr:rowOff>
    </xdr:from>
    <xdr:to>
      <xdr:col>12</xdr:col>
      <xdr:colOff>476251</xdr:colOff>
      <xdr:row>65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AB3103-5F0F-4BCC-9410-18069ADC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581025</xdr:colOff>
      <xdr:row>67</xdr:row>
      <xdr:rowOff>85725</xdr:rowOff>
    </xdr:from>
    <xdr:to>
      <xdr:col>12</xdr:col>
      <xdr:colOff>533400</xdr:colOff>
      <xdr:row>81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296588C-29DE-4706-A336-91449C8BD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9525</xdr:colOff>
      <xdr:row>83</xdr:row>
      <xdr:rowOff>57150</xdr:rowOff>
    </xdr:from>
    <xdr:to>
      <xdr:col>12</xdr:col>
      <xdr:colOff>542925</xdr:colOff>
      <xdr:row>97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DB0D8DF-5844-4197-8A3F-B429E7350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4BBD6F-3F34-4E9E-81FB-21235D5BE675}" autoFormatId="16" applyNumberFormats="0" applyBorderFormats="0" applyFontFormats="0" applyPatternFormats="0" applyAlignmentFormats="0" applyWidthHeightFormats="0">
  <queryTableRefresh nextId="3">
    <queryTableFields count="2">
      <queryTableField id="1" name="Week" tableColumnId="1"/>
      <queryTableField id="2" name="Averag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52">
    <v t="i">0</v>
    <v t="i">1</v>
    <v t="i">2</v>
    <v t="i">3</v>
    <v t="i">6</v>
    <v t="i">7</v>
    <v t="i">8</v>
    <v t="i">9</v>
    <v t="i">10</v>
    <v t="i">13</v>
    <v t="i">14</v>
    <v t="i">15</v>
    <v t="i">16</v>
    <v t="i">17</v>
    <v t="i">20</v>
    <v t="i">21</v>
    <v t="i">22</v>
    <v t="i">23</v>
    <v t="i">24</v>
    <v t="i">27</v>
    <v t="i">28</v>
    <v t="i">29</v>
    <v t="i">30</v>
    <v t="i">31</v>
    <v t="i">34</v>
    <v t="i">35</v>
    <v t="i">36</v>
    <v t="i">37</v>
    <v t="i">38</v>
    <v t="i">41</v>
    <v t="i">42</v>
    <v t="i">43</v>
    <v t="i">44</v>
    <v t="i">45</v>
    <v t="i">48</v>
    <v t="i">49</v>
    <v t="i">50</v>
    <v t="i">51</v>
    <v t="i">52</v>
    <v t="i">55</v>
    <v t="i">56</v>
    <v t="i">57</v>
    <v t="i">58</v>
    <v t="i">62</v>
    <v t="i">63</v>
    <v t="i">64</v>
    <v t="i">65</v>
    <v t="i">66</v>
    <v t="i">69</v>
    <v t="i">70</v>
    <v t="i">71</v>
    <v t="i">72</v>
    <v t="i">73</v>
    <v t="i">76</v>
    <v t="i">77</v>
    <v t="i">78</v>
    <v t="i">79</v>
    <v t="i">80</v>
    <v t="i">83</v>
    <v t="i">84</v>
    <v t="i">85</v>
    <v t="i">86</v>
    <v t="i">87</v>
    <v t="i">90</v>
    <v t="i">91</v>
    <v t="i">92</v>
    <v t="i">93</v>
    <v t="i">94</v>
    <v t="i">98</v>
    <v t="i">99</v>
    <v t="i">100</v>
    <v t="i">101</v>
    <v t="i">104</v>
    <v t="i">105</v>
    <v t="i">106</v>
    <v t="i">107</v>
    <v t="i">108</v>
    <v t="i">111</v>
    <v t="i">112</v>
    <v t="i">113</v>
    <v t="i">114</v>
    <v t="i">115</v>
    <v t="i">118</v>
    <v t="i">119</v>
    <v t="i">120</v>
    <v t="i">122</v>
    <v t="i">125</v>
    <v t="i">126</v>
    <v t="i">127</v>
    <v t="i">128</v>
    <v t="i">129</v>
    <v t="i">132</v>
    <v t="i">133</v>
    <v t="i">134</v>
    <v t="i">135</v>
    <v t="i">139</v>
    <v t="i">140</v>
    <v t="i">141</v>
    <v t="i">142</v>
    <v t="i">143</v>
    <v t="i">146</v>
    <v t="i">147</v>
    <v t="i">148</v>
    <v t="i">149</v>
    <v t="i">150</v>
    <v t="i">153</v>
    <v t="i">154</v>
    <v t="i">155</v>
    <v t="i">156</v>
    <v t="i">157</v>
    <v t="i">160</v>
    <v t="i">161</v>
    <v t="i">162</v>
    <v t="i">163</v>
    <v t="i">164</v>
    <v t="i">167</v>
    <v t="i">168</v>
    <v t="i">169</v>
    <v t="i">170</v>
    <v t="i">171</v>
    <v t="i">174</v>
    <v t="i">175</v>
    <v t="i">176</v>
    <v t="i">177</v>
    <v t="i">178</v>
    <v t="i">181</v>
    <v t="i">182</v>
    <v t="i">183</v>
    <v t="i">184</v>
    <v t="i">185</v>
    <v t="i">188</v>
    <v t="i">189</v>
    <v t="i">190</v>
    <v t="i">191</v>
    <v t="i">192</v>
    <v t="i">196</v>
    <v t="i">197</v>
    <v t="i">198</v>
    <v t="i">199</v>
    <v t="i">202</v>
    <v t="i">203</v>
    <v t="i">204</v>
    <v t="i">205</v>
    <v t="i">206</v>
    <v t="i">209</v>
    <v t="i">210</v>
    <v t="i">211</v>
    <v t="i">212</v>
    <v t="i">213</v>
    <v t="i">216</v>
    <v t="i">217</v>
    <v t="i">218</v>
    <v t="i">219</v>
    <v t="i">220</v>
    <v t="i">223</v>
    <v t="i">224</v>
    <v t="i">225</v>
    <v t="i">226</v>
    <v t="i">227</v>
    <v t="i">230</v>
    <v t="i">231</v>
    <v t="i">232</v>
    <v t="i">233</v>
    <v t="i">234</v>
    <v t="i">237</v>
    <v t="i">238</v>
    <v t="i">239</v>
    <v t="i">240</v>
    <v t="i">241</v>
    <v t="i">244</v>
    <v t="i">245</v>
    <v t="i">246</v>
    <v t="i">247</v>
    <v t="i">248</v>
    <v t="i">251</v>
    <v t="i">252</v>
    <v t="i">253</v>
    <v t="i">254</v>
    <v t="i">255</v>
    <v t="i">258</v>
    <v t="i">259</v>
    <v t="i">260</v>
    <v t="i">261</v>
    <v t="i">262</v>
    <v t="i">265</v>
    <v t="i">266</v>
    <v t="i">267</v>
    <v t="i">268</v>
    <v t="i">269</v>
    <v t="i">272</v>
    <v t="i">273</v>
    <v t="i">274</v>
    <v t="i">275</v>
    <v t="i">276</v>
    <v t="i">279</v>
    <v t="i">280</v>
    <v t="i">281</v>
    <v t="i">283</v>
    <v t="i">286</v>
    <v t="i">287</v>
    <v t="i">288</v>
    <v t="i">289</v>
    <v t="i">290</v>
    <v t="i">293</v>
    <v t="i">294</v>
    <v t="i">295</v>
    <v t="i">296</v>
    <v t="i">297</v>
    <v t="i">300</v>
    <v t="i">301</v>
    <v t="i">302</v>
    <v t="i">303</v>
    <v t="i">304</v>
    <v t="i">307</v>
    <v t="i">308</v>
    <v t="i">309</v>
    <v t="i">311</v>
    <v t="i">314</v>
    <v t="i">315</v>
    <v t="i">316</v>
    <v t="i">318</v>
    <v t="i">321</v>
    <v t="i">322</v>
    <v t="i">323</v>
    <v t="i">324</v>
    <v t="i">325</v>
    <v t="i">328</v>
    <v t="i">329</v>
    <v t="i">330</v>
    <v t="i">331</v>
    <v t="i">332</v>
    <v t="i">336</v>
    <v t="i">337</v>
    <v t="i">338</v>
    <v t="i">339</v>
    <v t="i">342</v>
    <v t="i">343</v>
    <v t="i">344</v>
    <v t="i">345</v>
    <v t="i">346</v>
    <v t="i">349</v>
    <v t="i">350</v>
    <v t="i">351</v>
    <v t="i">352</v>
    <v t="i">353</v>
    <v t="i">356</v>
    <v t="i">357</v>
    <v t="i">358</v>
    <v t="i">359</v>
    <v t="i">360</v>
    <v t="i">364</v>
    <v t="i">365</v>
  </a>
  <a r="1" c="252">
    <v>95.76</v>
    <v>95.26</v>
    <v>95.76</v>
    <v>98.26</v>
    <v>99.68</v>
    <v>100.97</v>
    <v>99.96</v>
    <v>99.92</v>
    <v>101.52</v>
    <v>104.02</v>
    <v>102.15</v>
    <v>100.2</v>
    <v>100.91</v>
    <v>103.64</v>
    <v>106.66</v>
    <v>103.77</v>
    <v>102.64</v>
    <v>104.57</v>
    <v>106.41</v>
    <v>107.62</v>
    <v>107.81</v>
    <v>107.49</v>
    <v>108.48</v>
    <v>107.8</v>
    <v>106.83</v>
    <v>105.55</v>
    <v>107.46</v>
    <v>107.89</v>
    <v>108.77</v>
    <v>110.59</v>
    <v>110.06</v>
    <v>109.58</v>
    <v>112.72</v>
    <v>109.32</v>
    <v>105.4</v>
    <v>106.05</v>
    <v>105.77</v>
    <v>108.3</v>
    <v>109.84</v>
    <v>112.25</v>
    <v>111.81</v>
    <v>111.44</v>
    <v>112.1</v>
    <v>110.96</v>
    <v>113.3</v>
    <v>112.52</v>
    <v>111.29</v>
    <v>110.45</v>
    <v>111.13</v>
    <v>112.13</v>
    <v>112.75</v>
    <v>112.56</v>
    <v>110.03</v>
    <v>109.52</v>
    <v>110.47</v>
    <v>111.04</v>
    <v>107.75</v>
    <v>107.68</v>
    <v>103.54</v>
    <v>100.58</v>
    <v>99.27</v>
    <v>102.01</v>
    <v>104.29</v>
    <v>105.38</v>
    <v>105.71</v>
    <v>105.22</v>
    <v>103.42</v>
    <v>104.1</v>
    <v>103.97</v>
    <v>102.11</v>
    <v>103.38</v>
    <v>104.49</v>
    <v>103.86</v>
    <v>103.24</v>
    <v>102.21</v>
    <v>102.27</v>
    <v>101.61</v>
    <v>101.11</v>
    <v>102.4</v>
    <v>102.55</v>
    <v>103.76</v>
    <v>103.96</v>
    <v>101.63</v>
    <v>101.35</v>
    <v>100.73</v>
    <v>100.97</v>
    <v>101.15</v>
    <v>100.19</v>
    <v>98.05</v>
    <v>98.41</v>
    <v>98.15</v>
    <v>100.35</v>
    <v>100.78</v>
    <v>99.92</v>
    <v>100.31</v>
    <v>99.71</v>
    <v>99.31</v>
    <v>99.97</v>
    <v>101.07</v>
    <v>100.59</v>
    <v>101.01</v>
    <v>99.95</v>
    <v>100.46</v>
    <v>100.6</v>
    <v>101.08</v>
    <v>102.07</v>
    <v>103.59</v>
    <v>102.55</v>
    <v>102.05</v>
    <v>102.26</v>
    <v>100.98</v>
    <v>102.24</v>
    <v>102.59</v>
    <v>103.5</v>
    <v>104.44</v>
    <v>105.36</v>
    <v>104.18</v>
    <v>104.15</v>
    <v>105</v>
    <v>104.48</v>
    <v>104.12</v>
    <v>103.69</v>
    <v>103.66</v>
    <v>102.86</v>
    <v>100.77</v>
    <v>99.74</v>
    <v>101.1</v>
    <v>101.76</v>
    <v>101.5</v>
    <v>101.65</v>
    <v>99.95</v>
    <v>99.72</v>
    <v>100.07</v>
    <v>98.17</v>
    <v>98.23</v>
    <v>97.2</v>
    <v>97.85</v>
    <v>97.8</v>
    <v>98.05</v>
    <v>96.65</v>
    <v>96.98</v>
    <v>97.08</v>
    <v>97.7</v>
    <v>97.55</v>
    <v>97</v>
    <v>95.57</v>
    <v>96.4</v>
    <v>96.35</v>
    <v>96.33</v>
    <v>96.62</v>
    <v>98.55</v>
    <v>98.81</v>
    <v>98.35</v>
    <v>99.62</v>
    <v>99.57</v>
    <v>100.52</v>
    <v>98.17</v>
    <v>97.64</v>
    <v>98.81</v>
    <v>99.33</v>
    <v>100.04</v>
    <v>100.83</v>
    <v>100.8</v>
    <v>102.39</v>
    <v>100.86</v>
    <v>101.89</v>
    <v>102.29</v>
    <v>101.07</v>
    <v>101.19</v>
    <v>101.72</v>
    <v>101.56</v>
    <v>101.94</v>
    <v>100.77</v>
    <v>100.04</v>
    <v>100.22</v>
    <v>98.55</v>
    <v>97</v>
    <v>98.19</v>
    <v>97.41</v>
    <v>96.64</v>
    <v>97.96</v>
    <v>96.11</v>
    <v>96.99</v>
    <v>98.52</v>
    <v>98.24</v>
    <v>99.59</v>
    <v>100.19</v>
    <v>100.95</v>
    <v>101.66</v>
    <v>103.85</v>
    <v>102.91</v>
    <v>100.38</v>
    <v>100.95</v>
    <v>100.16</v>
    <v>98.92</v>
    <v>98.85</v>
    <v>100.14</v>
    <v>100.36</v>
    <v>97.88</v>
    <v>96.87</v>
    <v>96.45</v>
    <v>96.22</v>
    <v>96.6</v>
    <v>95.45</v>
    <v>95.82</v>
    <v>95.41</v>
    <v>95.64</v>
    <v>97.53</v>
    <v>99.39</v>
    <v>98.9</v>
    <v>100.21</v>
    <v>99.99</v>
    <v>98.06</v>
    <v>98.57</v>
    <v>98.95</v>
    <v>99.53</v>
    <v>99.3</v>
    <v>99.54</v>
    <v>99.89</v>
    <v>99.32</v>
    <v>99.99</v>
    <v>98.5</v>
    <v>99.32</v>
    <v>99.37</v>
    <v>100.18</v>
    <v>99.21</v>
    <v>98.83</v>
    <v>100.21</v>
    <v>101.47</v>
    <v>102.58</v>
    <v>103.81</v>
    <v>105.05</v>
    <v>103.84</v>
    <v>103.18</v>
    <v>103.87</v>
    <v>104.59</v>
    <v>105.35</v>
    <v>105.18</v>
    <v>105.96</v>
    <v>106.63</v>
    <v>105.42</v>
    <v>107.45</v>
    <v>108.38</v>
    <v>108.87</v>
    <v>107.34</v>
    <v>106.68</v>
    <v>108.43</v>
    <v>109.87</v>
    <v>111.72</v>
    <v>113.72</v>
    <v>113.92</v>
    <v>111.61</v>
  </a>
  <a r="1" c="252">
    <v>2568491</v>
    <v>1857550</v>
    <v>2580181</v>
    <v>4414893</v>
    <v>2943078</v>
    <v>3481345</v>
    <v>2072708</v>
    <v>3314096</v>
    <v>5254613</v>
    <v>3555914</v>
    <v>3592034</v>
    <v>5509676</v>
    <v>4345916</v>
    <v>2865771</v>
    <v>3471894</v>
    <v>2731268</v>
    <v>3739207</v>
    <v>2392163</v>
    <v>3779158</v>
    <v>3930736</v>
    <v>3275711</v>
    <v>2293611</v>
    <v>1896164</v>
    <v>4415458</v>
    <v>1897938</v>
    <v>2543771</v>
    <v>1925093</v>
    <v>1859144</v>
    <v>2392331</v>
    <v>2920439</v>
    <v>2507642</v>
    <v>2015191</v>
    <v>4175537</v>
    <v>6395885</v>
    <v>4405486</v>
    <v>2683063</v>
    <v>4912769</v>
    <v>3382289</v>
    <v>2617288</v>
    <v>2133340</v>
    <v>2314523</v>
    <v>2133038</v>
    <v>2055242</v>
    <v>2333943</v>
    <v>1833656</v>
    <v>2098373</v>
    <v>2389269</v>
    <v>2820849</v>
    <v>2938240</v>
    <v>2000418</v>
    <v>4940839</v>
    <v>3265519</v>
    <v>3421767</v>
    <v>3225219</v>
    <v>2186858</v>
    <v>3555181</v>
    <v>3652455</v>
    <v>2248912</v>
    <v>3918415</v>
    <v>4495917</v>
    <v>3383905</v>
    <v>3497345</v>
    <v>2758882</v>
    <v>2047865</v>
    <v>2177662</v>
    <v>2741568</v>
    <v>2266069</v>
    <v>2116235</v>
    <v>2638922</v>
    <v>1945687</v>
    <v>2762859</v>
    <v>6398572</v>
    <v>2292241</v>
    <v>2316659</v>
    <v>1845717</v>
    <v>2734457</v>
    <v>1694578</v>
    <v>1781808</v>
    <v>2311885</v>
    <v>2439137</v>
    <v>1902564</v>
    <v>3337359</v>
    <v>2737989</v>
    <v>2844894</v>
    <v>2620595</v>
    <v>7504224</v>
    <v>3957784</v>
    <v>2952898</v>
    <v>4397192</v>
    <v>2655622</v>
    <v>2880053</v>
    <v>2930483</v>
    <v>2749128</v>
    <v>2485839</v>
    <v>1316576</v>
    <v>1800719</v>
    <v>3451218</v>
    <v>2782533</v>
    <v>1851807</v>
    <v>1853687</v>
    <v>1409864</v>
    <v>1731322</v>
    <v>1865373</v>
    <v>2131709</v>
    <v>1813453</v>
    <v>1667769</v>
    <v>1663862</v>
    <v>2563086</v>
    <v>2467810</v>
    <v>1375737</v>
    <v>1995248</v>
    <v>1265041</v>
    <v>1565213</v>
    <v>3483197</v>
    <v>2272580</v>
    <v>2345153</v>
    <v>2515949</v>
    <v>1993167</v>
    <v>2577713</v>
    <v>2796477</v>
    <v>2357182</v>
    <v>2578774</v>
    <v>2728415</v>
    <v>2171761</v>
    <v>3098753</v>
    <v>2789322</v>
    <v>3948355</v>
    <v>3216440</v>
    <v>2282712</v>
    <v>2753050</v>
    <v>2498894</v>
    <v>3309463</v>
    <v>4313818</v>
    <v>2400163</v>
    <v>4220120</v>
    <v>3019315</v>
    <v>4306674</v>
    <v>2033303</v>
    <v>1724666</v>
    <v>2189394</v>
    <v>1282697</v>
    <v>1603960</v>
    <v>1689992</v>
    <v>1249463</v>
    <v>1351898</v>
    <v>2116706</v>
    <v>1879757</v>
    <v>1815705</v>
    <v>4091681</v>
    <v>1938992</v>
    <v>2204294</v>
    <v>1611788</v>
    <v>1848471</v>
    <v>1947302</v>
    <v>1875302</v>
    <v>2199219</v>
    <v>2301874</v>
    <v>1449485</v>
    <v>1676205</v>
    <v>1769805</v>
    <v>1722042</v>
    <v>1570590</v>
    <v>1816124</v>
    <v>2059205</v>
    <v>1515680</v>
    <v>1423256</v>
    <v>1556615</v>
    <v>1558806</v>
    <v>1597575</v>
    <v>1129321</v>
    <v>1116965</v>
    <v>1508989</v>
    <v>1302838</v>
    <v>1036366</v>
    <v>1537561</v>
    <v>1156747</v>
    <v>1804147</v>
    <v>2073284</v>
    <v>2770794</v>
    <v>1692176</v>
    <v>1614634</v>
    <v>2273863</v>
    <v>3064515</v>
    <v>2924446</v>
    <v>2188924</v>
    <v>1779798</v>
    <v>1340259</v>
    <v>1977816</v>
    <v>2443256</v>
    <v>3007831</v>
    <v>2585563</v>
    <v>3059734</v>
    <v>2462396</v>
    <v>4721989</v>
    <v>7708010</v>
    <v>2127188</v>
    <v>1305669</v>
    <v>1063335</v>
    <v>2744812</v>
    <v>2753150</v>
    <v>1762033</v>
    <v>2303530</v>
    <v>1775844</v>
    <v>2089307</v>
    <v>1823336</v>
    <v>1848956</v>
    <v>1396780</v>
    <v>2638227</v>
    <v>2388088</v>
    <v>2321135</v>
    <v>2330732</v>
    <v>2345340</v>
    <v>4366286</v>
    <v>1526222</v>
    <v>1485103</v>
    <v>522559</v>
    <v>611485</v>
    <v>1647935</v>
    <v>1019883</v>
    <v>1218242</v>
    <v>1441121</v>
    <v>2112395</v>
    <v>1643792</v>
    <v>1638957</v>
    <v>1717623</v>
    <v>1354245</v>
    <v>1987289</v>
    <v>2073342</v>
    <v>1963060</v>
    <v>1813479</v>
    <v>2201908</v>
    <v>2525969</v>
    <v>2386674</v>
    <v>3486387</v>
    <v>2105641</v>
    <v>1208858</v>
    <v>1345489</v>
    <v>1399663</v>
    <v>1788418</v>
    <v>1873898</v>
    <v>2286482</v>
    <v>1988627</v>
    <v>2463148</v>
    <v>1811491</v>
    <v>2743754</v>
    <v>1294321</v>
    <v>2368103</v>
    <v>1354491</v>
    <v>1523235</v>
    <v>2275122</v>
    <v>2565528</v>
    <v>1842140</v>
  </a>
</arrayData>
</file>

<file path=xl/richData/rdrichvalue.xml><?xml version="1.0" encoding="utf-8"?>
<rvData xmlns="http://schemas.microsoft.com/office/spreadsheetml/2017/richdata" count="739">
  <rv s="0">
    <fb>45706</fb>
    <v>0</v>
  </rv>
  <rv s="0">
    <fb>95.76</fb>
    <v>1</v>
  </rv>
  <rv s="0">
    <fb>2568491</fb>
    <v>2</v>
  </rv>
  <rv s="0">
    <fb>45707</fb>
    <v>0</v>
  </rv>
  <rv s="0">
    <fb>95.26</fb>
    <v>1</v>
  </rv>
  <rv s="0">
    <fb>1857550</fb>
    <v>2</v>
  </rv>
  <rv s="0">
    <fb>45708</fb>
    <v>0</v>
  </rv>
  <rv s="0">
    <fb>2580181</fb>
    <v>2</v>
  </rv>
  <rv s="0">
    <fb>45709</fb>
    <v>0</v>
  </rv>
  <rv s="0">
    <fb>98.26</fb>
    <v>1</v>
  </rv>
  <rv s="0">
    <fb>4414893</fb>
    <v>2</v>
  </rv>
  <rv s="0">
    <fb>45712</fb>
    <v>0</v>
  </rv>
  <rv s="0">
    <fb>99.68</fb>
    <v>1</v>
  </rv>
  <rv s="0">
    <fb>2943078</fb>
    <v>2</v>
  </rv>
  <rv s="0">
    <fb>45713</fb>
    <v>0</v>
  </rv>
  <rv s="0">
    <fb>100.97</fb>
    <v>1</v>
  </rv>
  <rv s="0">
    <fb>3481345</fb>
    <v>2</v>
  </rv>
  <rv s="0">
    <fb>45714</fb>
    <v>0</v>
  </rv>
  <rv s="0">
    <fb>99.96</fb>
    <v>1</v>
  </rv>
  <rv s="0">
    <fb>2072708</fb>
    <v>2</v>
  </rv>
  <rv s="0">
    <fb>45715</fb>
    <v>0</v>
  </rv>
  <rv s="0">
    <fb>99.92</fb>
    <v>1</v>
  </rv>
  <rv s="0">
    <fb>3314096</fb>
    <v>2</v>
  </rv>
  <rv s="0">
    <fb>45716</fb>
    <v>0</v>
  </rv>
  <rv s="0">
    <fb>101.52</fb>
    <v>1</v>
  </rv>
  <rv s="0">
    <fb>5254613</fb>
    <v>2</v>
  </rv>
  <rv s="0">
    <fb>45719</fb>
    <v>0</v>
  </rv>
  <rv s="0">
    <fb>104.02</fb>
    <v>1</v>
  </rv>
  <rv s="0">
    <fb>3555914</fb>
    <v>2</v>
  </rv>
  <rv s="0">
    <fb>45720</fb>
    <v>0</v>
  </rv>
  <rv s="0">
    <fb>102.15</fb>
    <v>1</v>
  </rv>
  <rv s="0">
    <fb>3592034</fb>
    <v>2</v>
  </rv>
  <rv s="0">
    <fb>45721</fb>
    <v>0</v>
  </rv>
  <rv s="0">
    <fb>100.2</fb>
    <v>1</v>
  </rv>
  <rv s="0">
    <fb>5509676</fb>
    <v>2</v>
  </rv>
  <rv s="0">
    <fb>45722</fb>
    <v>0</v>
  </rv>
  <rv s="0">
    <fb>100.91</fb>
    <v>1</v>
  </rv>
  <rv s="0">
    <fb>4345916</fb>
    <v>2</v>
  </rv>
  <rv s="0">
    <fb>45723</fb>
    <v>0</v>
  </rv>
  <rv s="0">
    <fb>103.64</fb>
    <v>1</v>
  </rv>
  <rv s="0">
    <fb>2865771</fb>
    <v>2</v>
  </rv>
  <rv s="0">
    <fb>45726</fb>
    <v>0</v>
  </rv>
  <rv s="0">
    <fb>106.66</fb>
    <v>1</v>
  </rv>
  <rv s="0">
    <fb>3471894</fb>
    <v>2</v>
  </rv>
  <rv s="0">
    <fb>45727</fb>
    <v>0</v>
  </rv>
  <rv s="0">
    <fb>103.77</fb>
    <v>1</v>
  </rv>
  <rv s="0">
    <fb>2731268</fb>
    <v>2</v>
  </rv>
  <rv s="0">
    <fb>45728</fb>
    <v>0</v>
  </rv>
  <rv s="0">
    <fb>102.64</fb>
    <v>1</v>
  </rv>
  <rv s="0">
    <fb>3739207</fb>
    <v>2</v>
  </rv>
  <rv s="0">
    <fb>45729</fb>
    <v>0</v>
  </rv>
  <rv s="0">
    <fb>104.57</fb>
    <v>1</v>
  </rv>
  <rv s="0">
    <fb>2392163</fb>
    <v>2</v>
  </rv>
  <rv s="0">
    <fb>45730</fb>
    <v>0</v>
  </rv>
  <rv s="0">
    <fb>106.41</fb>
    <v>1</v>
  </rv>
  <rv s="0">
    <fb>3779158</fb>
    <v>2</v>
  </rv>
  <rv s="0">
    <fb>45733</fb>
    <v>0</v>
  </rv>
  <rv s="0">
    <fb>107.62</fb>
    <v>1</v>
  </rv>
  <rv s="0">
    <fb>3930736</fb>
    <v>2</v>
  </rv>
  <rv s="0">
    <fb>45734</fb>
    <v>0</v>
  </rv>
  <rv s="0">
    <fb>107.81</fb>
    <v>1</v>
  </rv>
  <rv s="0">
    <fb>3275711</fb>
    <v>2</v>
  </rv>
  <rv s="0">
    <fb>45735</fb>
    <v>0</v>
  </rv>
  <rv s="0">
    <fb>107.49</fb>
    <v>1</v>
  </rv>
  <rv s="0">
    <fb>2293611</fb>
    <v>2</v>
  </rv>
  <rv s="0">
    <fb>45736</fb>
    <v>0</v>
  </rv>
  <rv s="0">
    <fb>108.48</fb>
    <v>1</v>
  </rv>
  <rv s="0">
    <fb>1896164</fb>
    <v>2</v>
  </rv>
  <rv s="0">
    <fb>45737</fb>
    <v>0</v>
  </rv>
  <rv s="0">
    <fb>107.8</fb>
    <v>1</v>
  </rv>
  <rv s="0">
    <fb>4415458</fb>
    <v>2</v>
  </rv>
  <rv s="0">
    <fb>45740</fb>
    <v>0</v>
  </rv>
  <rv s="0">
    <fb>106.83</fb>
    <v>1</v>
  </rv>
  <rv s="0">
    <fb>1897938</fb>
    <v>2</v>
  </rv>
  <rv s="0">
    <fb>45741</fb>
    <v>0</v>
  </rv>
  <rv s="0">
    <fb>105.55</fb>
    <v>1</v>
  </rv>
  <rv s="0">
    <fb>2543771</fb>
    <v>2</v>
  </rv>
  <rv s="0">
    <fb>45742</fb>
    <v>0</v>
  </rv>
  <rv s="0">
    <fb>107.46</fb>
    <v>1</v>
  </rv>
  <rv s="0">
    <fb>1925093</fb>
    <v>2</v>
  </rv>
  <rv s="0">
    <fb>45743</fb>
    <v>0</v>
  </rv>
  <rv s="0">
    <fb>107.89</fb>
    <v>1</v>
  </rv>
  <rv s="0">
    <fb>1859144</fb>
    <v>2</v>
  </rv>
  <rv s="0">
    <fb>45744</fb>
    <v>0</v>
  </rv>
  <rv s="0">
    <fb>108.77</fb>
    <v>1</v>
  </rv>
  <rv s="0">
    <fb>2392331</fb>
    <v>2</v>
  </rv>
  <rv s="0">
    <fb>45747</fb>
    <v>0</v>
  </rv>
  <rv s="0">
    <fb>110.59</fb>
    <v>1</v>
  </rv>
  <rv s="0">
    <fb>2920439</fb>
    <v>2</v>
  </rv>
  <rv s="0">
    <fb>45748</fb>
    <v>0</v>
  </rv>
  <rv s="0">
    <fb>110.06</fb>
    <v>1</v>
  </rv>
  <rv s="0">
    <fb>2507642</fb>
    <v>2</v>
  </rv>
  <rv s="0">
    <fb>45749</fb>
    <v>0</v>
  </rv>
  <rv s="0">
    <fb>109.58</fb>
    <v>1</v>
  </rv>
  <rv s="0">
    <fb>2015191</fb>
    <v>2</v>
  </rv>
  <rv s="0">
    <fb>45750</fb>
    <v>0</v>
  </rv>
  <rv s="0">
    <fb>112.72</fb>
    <v>1</v>
  </rv>
  <rv s="0">
    <fb>4175537</fb>
    <v>2</v>
  </rv>
  <rv s="0">
    <fb>45751</fb>
    <v>0</v>
  </rv>
  <rv s="0">
    <fb>109.32</fb>
    <v>1</v>
  </rv>
  <rv s="0">
    <fb>6395885</fb>
    <v>2</v>
  </rv>
  <rv s="0">
    <fb>45754</fb>
    <v>0</v>
  </rv>
  <rv s="0">
    <fb>105.4</fb>
    <v>1</v>
  </rv>
  <rv s="0">
    <fb>4405486</fb>
    <v>2</v>
  </rv>
  <rv s="0">
    <fb>45755</fb>
    <v>0</v>
  </rv>
  <rv s="0">
    <fb>106.05</fb>
    <v>1</v>
  </rv>
  <rv s="0">
    <fb>2683063</fb>
    <v>2</v>
  </rv>
  <rv s="0">
    <fb>45756</fb>
    <v>0</v>
  </rv>
  <rv s="0">
    <fb>105.77</fb>
    <v>1</v>
  </rv>
  <rv s="0">
    <fb>4912769</fb>
    <v>2</v>
  </rv>
  <rv s="0">
    <fb>45757</fb>
    <v>0</v>
  </rv>
  <rv s="0">
    <fb>108.3</fb>
    <v>1</v>
  </rv>
  <rv s="0">
    <fb>3382289</fb>
    <v>2</v>
  </rv>
  <rv s="0">
    <fb>45758</fb>
    <v>0</v>
  </rv>
  <rv s="0">
    <fb>109.84</fb>
    <v>1</v>
  </rv>
  <rv s="0">
    <fb>2617288</fb>
    <v>2</v>
  </rv>
  <rv s="0">
    <fb>45761</fb>
    <v>0</v>
  </rv>
  <rv s="0">
    <fb>112.25</fb>
    <v>1</v>
  </rv>
  <rv s="0">
    <fb>2133340</fb>
    <v>2</v>
  </rv>
  <rv s="0">
    <fb>45762</fb>
    <v>0</v>
  </rv>
  <rv s="0">
    <fb>111.81</fb>
    <v>1</v>
  </rv>
  <rv s="0">
    <fb>2314523</fb>
    <v>2</v>
  </rv>
  <rv s="0">
    <fb>45763</fb>
    <v>0</v>
  </rv>
  <rv s="0">
    <fb>111.44</fb>
    <v>1</v>
  </rv>
  <rv s="0">
    <fb>2133038</fb>
    <v>2</v>
  </rv>
  <rv s="0">
    <fb>45764</fb>
    <v>0</v>
  </rv>
  <rv s="0">
    <fb>112.1</fb>
    <v>1</v>
  </rv>
  <rv s="0">
    <fb>2055242</fb>
    <v>2</v>
  </rv>
  <rv s="0">
    <fb>45768</fb>
    <v>0</v>
  </rv>
  <rv s="0">
    <fb>110.96</fb>
    <v>1</v>
  </rv>
  <rv s="0">
    <fb>2333943</fb>
    <v>2</v>
  </rv>
  <rv s="0">
    <fb>45769</fb>
    <v>0</v>
  </rv>
  <rv s="0">
    <fb>113.3</fb>
    <v>1</v>
  </rv>
  <rv s="0">
    <fb>1833656</fb>
    <v>2</v>
  </rv>
  <rv s="0">
    <fb>45770</fb>
    <v>0</v>
  </rv>
  <rv s="0">
    <fb>112.52</fb>
    <v>1</v>
  </rv>
  <rv s="0">
    <fb>2098373</fb>
    <v>2</v>
  </rv>
  <rv s="0">
    <fb>45771</fb>
    <v>0</v>
  </rv>
  <rv s="0">
    <fb>111.29</fb>
    <v>1</v>
  </rv>
  <rv s="0">
    <fb>2389269</fb>
    <v>2</v>
  </rv>
  <rv s="0">
    <fb>45772</fb>
    <v>0</v>
  </rv>
  <rv s="0">
    <fb>110.45</fb>
    <v>1</v>
  </rv>
  <rv s="0">
    <fb>2820849</fb>
    <v>2</v>
  </rv>
  <rv s="0">
    <fb>45775</fb>
    <v>0</v>
  </rv>
  <rv s="0">
    <fb>111.13</fb>
    <v>1</v>
  </rv>
  <rv s="0">
    <fb>2938240</fb>
    <v>2</v>
  </rv>
  <rv s="0">
    <fb>45776</fb>
    <v>0</v>
  </rv>
  <rv s="0">
    <fb>112.13</fb>
    <v>1</v>
  </rv>
  <rv s="0">
    <fb>2000418</fb>
    <v>2</v>
  </rv>
  <rv s="0">
    <fb>45777</fb>
    <v>0</v>
  </rv>
  <rv s="0">
    <fb>112.75</fb>
    <v>1</v>
  </rv>
  <rv s="0">
    <fb>4940839</fb>
    <v>2</v>
  </rv>
  <rv s="0">
    <fb>45778</fb>
    <v>0</v>
  </rv>
  <rv s="0">
    <fb>112.56</fb>
    <v>1</v>
  </rv>
  <rv s="0">
    <fb>3265519</fb>
    <v>2</v>
  </rv>
  <rv s="0">
    <fb>45779</fb>
    <v>0</v>
  </rv>
  <rv s="0">
    <fb>110.03</fb>
    <v>1</v>
  </rv>
  <rv s="0">
    <fb>3421767</fb>
    <v>2</v>
  </rv>
  <rv s="0">
    <fb>45782</fb>
    <v>0</v>
  </rv>
  <rv s="0">
    <fb>109.52</fb>
    <v>1</v>
  </rv>
  <rv s="0">
    <fb>3225219</fb>
    <v>2</v>
  </rv>
  <rv s="0">
    <fb>45783</fb>
    <v>0</v>
  </rv>
  <rv s="0">
    <fb>110.47</fb>
    <v>1</v>
  </rv>
  <rv s="0">
    <fb>2186858</fb>
    <v>2</v>
  </rv>
  <rv s="0">
    <fb>45784</fb>
    <v>0</v>
  </rv>
  <rv s="0">
    <fb>111.04</fb>
    <v>1</v>
  </rv>
  <rv s="0">
    <fb>3555181</fb>
    <v>2</v>
  </rv>
  <rv s="0">
    <fb>45785</fb>
    <v>0</v>
  </rv>
  <rv s="0">
    <fb>107.75</fb>
    <v>1</v>
  </rv>
  <rv s="0">
    <fb>3652455</fb>
    <v>2</v>
  </rv>
  <rv s="0">
    <fb>45786</fb>
    <v>0</v>
  </rv>
  <rv s="0">
    <fb>107.68</fb>
    <v>1</v>
  </rv>
  <rv s="0">
    <fb>2248912</fb>
    <v>2</v>
  </rv>
  <rv s="0">
    <fb>45789</fb>
    <v>0</v>
  </rv>
  <rv s="0">
    <fb>103.54</fb>
    <v>1</v>
  </rv>
  <rv s="0">
    <fb>3918415</fb>
    <v>2</v>
  </rv>
  <rv s="0">
    <fb>45790</fb>
    <v>0</v>
  </rv>
  <rv s="0">
    <fb>100.58</fb>
    <v>1</v>
  </rv>
  <rv s="0">
    <fb>4495917</fb>
    <v>2</v>
  </rv>
  <rv s="0">
    <fb>45791</fb>
    <v>0</v>
  </rv>
  <rv s="0">
    <fb>99.27</fb>
    <v>1</v>
  </rv>
  <rv s="0">
    <fb>3383905</fb>
    <v>2</v>
  </rv>
  <rv s="0">
    <fb>45792</fb>
    <v>0</v>
  </rv>
  <rv s="0">
    <fb>102.01</fb>
    <v>1</v>
  </rv>
  <rv s="0">
    <fb>3497345</fb>
    <v>2</v>
  </rv>
  <rv s="0">
    <fb>45793</fb>
    <v>0</v>
  </rv>
  <rv s="0">
    <fb>104.29</fb>
    <v>1</v>
  </rv>
  <rv s="0">
    <fb>2758882</fb>
    <v>2</v>
  </rv>
  <rv s="0">
    <fb>45796</fb>
    <v>0</v>
  </rv>
  <rv s="0">
    <fb>105.38</fb>
    <v>1</v>
  </rv>
  <rv s="0">
    <fb>2047865</fb>
    <v>2</v>
  </rv>
  <rv s="0">
    <fb>45797</fb>
    <v>0</v>
  </rv>
  <rv s="0">
    <fb>105.71</fb>
    <v>1</v>
  </rv>
  <rv s="0">
    <fb>2177662</fb>
    <v>2</v>
  </rv>
  <rv s="0">
    <fb>45798</fb>
    <v>0</v>
  </rv>
  <rv s="0">
    <fb>105.22</fb>
    <v>1</v>
  </rv>
  <rv s="0">
    <fb>2741568</fb>
    <v>2</v>
  </rv>
  <rv s="0">
    <fb>45799</fb>
    <v>0</v>
  </rv>
  <rv s="0">
    <fb>103.42</fb>
    <v>1</v>
  </rv>
  <rv s="0">
    <fb>2266069</fb>
    <v>2</v>
  </rv>
  <rv s="0">
    <fb>45800</fb>
    <v>0</v>
  </rv>
  <rv s="0">
    <fb>104.1</fb>
    <v>1</v>
  </rv>
  <rv s="0">
    <fb>2116235</fb>
    <v>2</v>
  </rv>
  <rv s="0">
    <fb>45804</fb>
    <v>0</v>
  </rv>
  <rv s="0">
    <fb>103.97</fb>
    <v>1</v>
  </rv>
  <rv s="0">
    <fb>2638922</fb>
    <v>2</v>
  </rv>
  <rv s="0">
    <fb>45805</fb>
    <v>0</v>
  </rv>
  <rv s="0">
    <fb>102.11</fb>
    <v>1</v>
  </rv>
  <rv s="0">
    <fb>1945687</fb>
    <v>2</v>
  </rv>
  <rv s="0">
    <fb>45806</fb>
    <v>0</v>
  </rv>
  <rv s="0">
    <fb>103.38</fb>
    <v>1</v>
  </rv>
  <rv s="0">
    <fb>2762859</fb>
    <v>2</v>
  </rv>
  <rv s="0">
    <fb>45807</fb>
    <v>0</v>
  </rv>
  <rv s="0">
    <fb>104.49</fb>
    <v>1</v>
  </rv>
  <rv s="0">
    <fb>6398572</fb>
    <v>2</v>
  </rv>
  <rv s="0">
    <fb>45810</fb>
    <v>0</v>
  </rv>
  <rv s="0">
    <fb>103.86</fb>
    <v>1</v>
  </rv>
  <rv s="0">
    <fb>2292241</fb>
    <v>2</v>
  </rv>
  <rv s="0">
    <fb>45811</fb>
    <v>0</v>
  </rv>
  <rv s="0">
    <fb>103.24</fb>
    <v>1</v>
  </rv>
  <rv s="0">
    <fb>2316659</fb>
    <v>2</v>
  </rv>
  <rv s="0">
    <fb>45812</fb>
    <v>0</v>
  </rv>
  <rv s="0">
    <fb>102.21</fb>
    <v>1</v>
  </rv>
  <rv s="0">
    <fb>1845717</fb>
    <v>2</v>
  </rv>
  <rv s="0">
    <fb>45813</fb>
    <v>0</v>
  </rv>
  <rv s="0">
    <fb>102.27</fb>
    <v>1</v>
  </rv>
  <rv s="0">
    <fb>2734457</fb>
    <v>2</v>
  </rv>
  <rv s="0">
    <fb>45814</fb>
    <v>0</v>
  </rv>
  <rv s="0">
    <fb>101.61</fb>
    <v>1</v>
  </rv>
  <rv s="0">
    <fb>1694578</fb>
    <v>2</v>
  </rv>
  <rv s="0">
    <fb>45817</fb>
    <v>0</v>
  </rv>
  <rv s="0">
    <fb>101.11</fb>
    <v>1</v>
  </rv>
  <rv s="0">
    <fb>1781808</fb>
    <v>2</v>
  </rv>
  <rv s="0">
    <fb>45818</fb>
    <v>0</v>
  </rv>
  <rv s="0">
    <fb>102.4</fb>
    <v>1</v>
  </rv>
  <rv s="0">
    <fb>2311885</fb>
    <v>2</v>
  </rv>
  <rv s="0">
    <fb>45819</fb>
    <v>0</v>
  </rv>
  <rv s="0">
    <fb>102.55</fb>
    <v>1</v>
  </rv>
  <rv s="0">
    <fb>2439137</fb>
    <v>2</v>
  </rv>
  <rv s="0">
    <fb>45820</fb>
    <v>0</v>
  </rv>
  <rv s="0">
    <fb>103.76</fb>
    <v>1</v>
  </rv>
  <rv s="0">
    <fb>1902564</fb>
    <v>2</v>
  </rv>
  <rv s="0">
    <fb>45821</fb>
    <v>0</v>
  </rv>
  <rv s="0">
    <fb>103.96</fb>
    <v>1</v>
  </rv>
  <rv s="0">
    <fb>3337359</fb>
    <v>2</v>
  </rv>
  <rv s="0">
    <fb>45824</fb>
    <v>0</v>
  </rv>
  <rv s="0">
    <fb>101.63</fb>
    <v>1</v>
  </rv>
  <rv s="0">
    <fb>2737989</fb>
    <v>2</v>
  </rv>
  <rv s="0">
    <fb>45825</fb>
    <v>0</v>
  </rv>
  <rv s="0">
    <fb>101.35</fb>
    <v>1</v>
  </rv>
  <rv s="0">
    <fb>2844894</fb>
    <v>2</v>
  </rv>
  <rv s="0">
    <fb>45826</fb>
    <v>0</v>
  </rv>
  <rv s="0">
    <fb>100.73</fb>
    <v>1</v>
  </rv>
  <rv s="0">
    <fb>2620595</fb>
    <v>2</v>
  </rv>
  <rv s="0">
    <fb>45828</fb>
    <v>0</v>
  </rv>
  <rv s="0">
    <fb>7504224</fb>
    <v>2</v>
  </rv>
  <rv s="0">
    <fb>45831</fb>
    <v>0</v>
  </rv>
  <rv s="0">
    <fb>101.15</fb>
    <v>1</v>
  </rv>
  <rv s="0">
    <fb>3957784</fb>
    <v>2</v>
  </rv>
  <rv s="0">
    <fb>45832</fb>
    <v>0</v>
  </rv>
  <rv s="0">
    <fb>100.19</fb>
    <v>1</v>
  </rv>
  <rv s="0">
    <fb>2952898</fb>
    <v>2</v>
  </rv>
  <rv s="0">
    <fb>45833</fb>
    <v>0</v>
  </rv>
  <rv s="0">
    <fb>98.05</fb>
    <v>1</v>
  </rv>
  <rv s="0">
    <fb>4397192</fb>
    <v>2</v>
  </rv>
  <rv s="0">
    <fb>45834</fb>
    <v>0</v>
  </rv>
  <rv s="0">
    <fb>98.41</fb>
    <v>1</v>
  </rv>
  <rv s="0">
    <fb>2655622</fb>
    <v>2</v>
  </rv>
  <rv s="0">
    <fb>45835</fb>
    <v>0</v>
  </rv>
  <rv s="0">
    <fb>98.15</fb>
    <v>1</v>
  </rv>
  <rv s="0">
    <fb>2880053</fb>
    <v>2</v>
  </rv>
  <rv s="0">
    <fb>45838</fb>
    <v>0</v>
  </rv>
  <rv s="0">
    <fb>100.35</fb>
    <v>1</v>
  </rv>
  <rv s="0">
    <fb>2930483</fb>
    <v>2</v>
  </rv>
  <rv s="0">
    <fb>45839</fb>
    <v>0</v>
  </rv>
  <rv s="0">
    <fb>100.78</fb>
    <v>1</v>
  </rv>
  <rv s="0">
    <fb>2749128</fb>
    <v>2</v>
  </rv>
  <rv s="0">
    <fb>45840</fb>
    <v>0</v>
  </rv>
  <rv s="0">
    <fb>2485839</fb>
    <v>2</v>
  </rv>
  <rv s="0">
    <fb>45841</fb>
    <v>0</v>
  </rv>
  <rv s="0">
    <fb>100.31</fb>
    <v>1</v>
  </rv>
  <rv s="0">
    <fb>1316576</fb>
    <v>2</v>
  </rv>
  <rv s="0">
    <fb>45845</fb>
    <v>0</v>
  </rv>
  <rv s="0">
    <fb>99.71</fb>
    <v>1</v>
  </rv>
  <rv s="0">
    <fb>1800719</fb>
    <v>2</v>
  </rv>
  <rv s="0">
    <fb>45846</fb>
    <v>0</v>
  </rv>
  <rv s="0">
    <fb>99.31</fb>
    <v>1</v>
  </rv>
  <rv s="0">
    <fb>3451218</fb>
    <v>2</v>
  </rv>
  <rv s="0">
    <fb>45847</fb>
    <v>0</v>
  </rv>
  <rv s="0">
    <fb>99.97</fb>
    <v>1</v>
  </rv>
  <rv s="0">
    <fb>2782533</fb>
    <v>2</v>
  </rv>
  <rv s="0">
    <fb>45848</fb>
    <v>0</v>
  </rv>
  <rv s="0">
    <fb>101.07</fb>
    <v>1</v>
  </rv>
  <rv s="0">
    <fb>1851807</fb>
    <v>2</v>
  </rv>
  <rv s="0">
    <fb>45849</fb>
    <v>0</v>
  </rv>
  <rv s="0">
    <fb>100.59</fb>
    <v>1</v>
  </rv>
  <rv s="0">
    <fb>1853687</fb>
    <v>2</v>
  </rv>
  <rv s="0">
    <fb>45852</fb>
    <v>0</v>
  </rv>
  <rv s="0">
    <fb>101.01</fb>
    <v>1</v>
  </rv>
  <rv s="0">
    <fb>1409864</fb>
    <v>2</v>
  </rv>
  <rv s="0">
    <fb>45853</fb>
    <v>0</v>
  </rv>
  <rv s="0">
    <fb>99.95</fb>
    <v>1</v>
  </rv>
  <rv s="0">
    <fb>1731322</fb>
    <v>2</v>
  </rv>
  <rv s="0">
    <fb>45854</fb>
    <v>0</v>
  </rv>
  <rv s="0">
    <fb>100.46</fb>
    <v>1</v>
  </rv>
  <rv s="0">
    <fb>1865373</fb>
    <v>2</v>
  </rv>
  <rv s="0">
    <fb>45855</fb>
    <v>0</v>
  </rv>
  <rv s="0">
    <fb>100.6</fb>
    <v>1</v>
  </rv>
  <rv s="0">
    <fb>2131709</fb>
    <v>2</v>
  </rv>
  <rv s="0">
    <fb>45856</fb>
    <v>0</v>
  </rv>
  <rv s="0">
    <fb>101.08</fb>
    <v>1</v>
  </rv>
  <rv s="0">
    <fb>1813453</fb>
    <v>2</v>
  </rv>
  <rv s="0">
    <fb>45859</fb>
    <v>0</v>
  </rv>
  <rv s="0">
    <fb>102.07</fb>
    <v>1</v>
  </rv>
  <rv s="0">
    <fb>1667769</fb>
    <v>2</v>
  </rv>
  <rv s="0">
    <fb>45860</fb>
    <v>0</v>
  </rv>
  <rv s="0">
    <fb>103.59</fb>
    <v>1</v>
  </rv>
  <rv s="0">
    <fb>1663862</fb>
    <v>2</v>
  </rv>
  <rv s="0">
    <fb>45861</fb>
    <v>0</v>
  </rv>
  <rv s="0">
    <fb>2563086</fb>
    <v>2</v>
  </rv>
  <rv s="0">
    <fb>45862</fb>
    <v>0</v>
  </rv>
  <rv s="0">
    <fb>102.05</fb>
    <v>1</v>
  </rv>
  <rv s="0">
    <fb>2467810</fb>
    <v>2</v>
  </rv>
  <rv s="0">
    <fb>45863</fb>
    <v>0</v>
  </rv>
  <rv s="0">
    <fb>102.26</fb>
    <v>1</v>
  </rv>
  <rv s="0">
    <fb>1375737</fb>
    <v>2</v>
  </rv>
  <rv s="0">
    <fb>45866</fb>
    <v>0</v>
  </rv>
  <rv s="0">
    <fb>100.98</fb>
    <v>1</v>
  </rv>
  <rv s="0">
    <fb>1995248</fb>
    <v>2</v>
  </rv>
  <rv s="0">
    <fb>45867</fb>
    <v>0</v>
  </rv>
  <rv s="0">
    <fb>102.24</fb>
    <v>1</v>
  </rv>
  <rv s="0">
    <fb>1265041</fb>
    <v>2</v>
  </rv>
  <rv s="0">
    <fb>45868</fb>
    <v>0</v>
  </rv>
  <rv s="0">
    <fb>102.59</fb>
    <v>1</v>
  </rv>
  <rv s="0">
    <fb>1565213</fb>
    <v>2</v>
  </rv>
  <rv s="0">
    <fb>45869</fb>
    <v>0</v>
  </rv>
  <rv s="0">
    <fb>103.5</fb>
    <v>1</v>
  </rv>
  <rv s="0">
    <fb>3483197</fb>
    <v>2</v>
  </rv>
  <rv s="0">
    <fb>45870</fb>
    <v>0</v>
  </rv>
  <rv s="0">
    <fb>104.44</fb>
    <v>1</v>
  </rv>
  <rv s="0">
    <fb>2272580</fb>
    <v>2</v>
  </rv>
  <rv s="0">
    <fb>45873</fb>
    <v>0</v>
  </rv>
  <rv s="0">
    <fb>105.36</fb>
    <v>1</v>
  </rv>
  <rv s="0">
    <fb>2345153</fb>
    <v>2</v>
  </rv>
  <rv s="0">
    <fb>45874</fb>
    <v>0</v>
  </rv>
  <rv s="0">
    <fb>104.18</fb>
    <v>1</v>
  </rv>
  <rv s="0">
    <fb>2515949</fb>
    <v>2</v>
  </rv>
  <rv s="0">
    <fb>45875</fb>
    <v>0</v>
  </rv>
  <rv s="0">
    <fb>104.15</fb>
    <v>1</v>
  </rv>
  <rv s="0">
    <fb>1993167</fb>
    <v>2</v>
  </rv>
  <rv s="0">
    <fb>45876</fb>
    <v>0</v>
  </rv>
  <rv s="0">
    <fb>105</fb>
    <v>1</v>
  </rv>
  <rv s="0">
    <fb>2577713</fb>
    <v>2</v>
  </rv>
  <rv s="0">
    <fb>45877</fb>
    <v>0</v>
  </rv>
  <rv s="0">
    <fb>104.48</fb>
    <v>1</v>
  </rv>
  <rv s="0">
    <fb>2796477</fb>
    <v>2</v>
  </rv>
  <rv s="0">
    <fb>45880</fb>
    <v>0</v>
  </rv>
  <rv s="0">
    <fb>104.12</fb>
    <v>1</v>
  </rv>
  <rv s="0">
    <fb>2357182</fb>
    <v>2</v>
  </rv>
  <rv s="0">
    <fb>45881</fb>
    <v>0</v>
  </rv>
  <rv s="0">
    <fb>103.69</fb>
    <v>1</v>
  </rv>
  <rv s="0">
    <fb>2578774</fb>
    <v>2</v>
  </rv>
  <rv s="0">
    <fb>45882</fb>
    <v>0</v>
  </rv>
  <rv s="0">
    <fb>103.66</fb>
    <v>1</v>
  </rv>
  <rv s="0">
    <fb>2728415</fb>
    <v>2</v>
  </rv>
  <rv s="0">
    <fb>45883</fb>
    <v>0</v>
  </rv>
  <rv s="0">
    <fb>102.86</fb>
    <v>1</v>
  </rv>
  <rv s="0">
    <fb>2171761</fb>
    <v>2</v>
  </rv>
  <rv s="0">
    <fb>45884</fb>
    <v>0</v>
  </rv>
  <rv s="0">
    <fb>100.77</fb>
    <v>1</v>
  </rv>
  <rv s="0">
    <fb>3098753</fb>
    <v>2</v>
  </rv>
  <rv s="0">
    <fb>45887</fb>
    <v>0</v>
  </rv>
  <rv s="0">
    <fb>99.74</fb>
    <v>1</v>
  </rv>
  <rv s="0">
    <fb>2789322</fb>
    <v>2</v>
  </rv>
  <rv s="0">
    <fb>45888</fb>
    <v>0</v>
  </rv>
  <rv s="0">
    <fb>101.1</fb>
    <v>1</v>
  </rv>
  <rv s="0">
    <fb>3948355</fb>
    <v>2</v>
  </rv>
  <rv s="0">
    <fb>45889</fb>
    <v>0</v>
  </rv>
  <rv s="0">
    <fb>101.76</fb>
    <v>1</v>
  </rv>
  <rv s="0">
    <fb>3216440</fb>
    <v>2</v>
  </rv>
  <rv s="0">
    <fb>45890</fb>
    <v>0</v>
  </rv>
  <rv s="0">
    <fb>101.5</fb>
    <v>1</v>
  </rv>
  <rv s="0">
    <fb>2282712</fb>
    <v>2</v>
  </rv>
  <rv s="0">
    <fb>45891</fb>
    <v>0</v>
  </rv>
  <rv s="0">
    <fb>101.65</fb>
    <v>1</v>
  </rv>
  <rv s="0">
    <fb>2753050</fb>
    <v>2</v>
  </rv>
  <rv s="0">
    <fb>45894</fb>
    <v>0</v>
  </rv>
  <rv s="0">
    <fb>2498894</fb>
    <v>2</v>
  </rv>
  <rv s="0">
    <fb>45895</fb>
    <v>0</v>
  </rv>
  <rv s="0">
    <fb>99.72</fb>
    <v>1</v>
  </rv>
  <rv s="0">
    <fb>3309463</fb>
    <v>2</v>
  </rv>
  <rv s="0">
    <fb>45896</fb>
    <v>0</v>
  </rv>
  <rv s="0">
    <fb>100.07</fb>
    <v>1</v>
  </rv>
  <rv s="0">
    <fb>4313818</fb>
    <v>2</v>
  </rv>
  <rv s="0">
    <fb>45897</fb>
    <v>0</v>
  </rv>
  <rv s="0">
    <fb>98.17</fb>
    <v>1</v>
  </rv>
  <rv s="0">
    <fb>2400163</fb>
    <v>2</v>
  </rv>
  <rv s="0">
    <fb>45898</fb>
    <v>0</v>
  </rv>
  <rv s="0">
    <fb>98.23</fb>
    <v>1</v>
  </rv>
  <rv s="0">
    <fb>4220120</fb>
    <v>2</v>
  </rv>
  <rv s="0">
    <fb>45902</fb>
    <v>0</v>
  </rv>
  <rv s="0">
    <fb>97.2</fb>
    <v>1</v>
  </rv>
  <rv s="0">
    <fb>3019315</fb>
    <v>2</v>
  </rv>
  <rv s="0">
    <fb>45903</fb>
    <v>0</v>
  </rv>
  <rv s="0">
    <fb>97.85</fb>
    <v>1</v>
  </rv>
  <rv s="0">
    <fb>4306674</fb>
    <v>2</v>
  </rv>
  <rv s="0">
    <fb>45904</fb>
    <v>0</v>
  </rv>
  <rv s="0">
    <fb>97.8</fb>
    <v>1</v>
  </rv>
  <rv s="0">
    <fb>2033303</fb>
    <v>2</v>
  </rv>
  <rv s="0">
    <fb>45905</fb>
    <v>0</v>
  </rv>
  <rv s="0">
    <fb>1724666</fb>
    <v>2</v>
  </rv>
  <rv s="0">
    <fb>45908</fb>
    <v>0</v>
  </rv>
  <rv s="0">
    <fb>96.65</fb>
    <v>1</v>
  </rv>
  <rv s="0">
    <fb>2189394</fb>
    <v>2</v>
  </rv>
  <rv s="0">
    <fb>45909</fb>
    <v>0</v>
  </rv>
  <rv s="0">
    <fb>96.98</fb>
    <v>1</v>
  </rv>
  <rv s="0">
    <fb>1282697</fb>
    <v>2</v>
  </rv>
  <rv s="0">
    <fb>45910</fb>
    <v>0</v>
  </rv>
  <rv s="0">
    <fb>97.08</fb>
    <v>1</v>
  </rv>
  <rv s="0">
    <fb>1603960</fb>
    <v>2</v>
  </rv>
  <rv s="0">
    <fb>45911</fb>
    <v>0</v>
  </rv>
  <rv s="0">
    <fb>97.7</fb>
    <v>1</v>
  </rv>
  <rv s="0">
    <fb>1689992</fb>
    <v>2</v>
  </rv>
  <rv s="0">
    <fb>45912</fb>
    <v>0</v>
  </rv>
  <rv s="0">
    <fb>97.55</fb>
    <v>1</v>
  </rv>
  <rv s="0">
    <fb>1249463</fb>
    <v>2</v>
  </rv>
  <rv s="0">
    <fb>45915</fb>
    <v>0</v>
  </rv>
  <rv s="0">
    <fb>97</fb>
    <v>1</v>
  </rv>
  <rv s="0">
    <fb>1351898</fb>
    <v>2</v>
  </rv>
  <rv s="0">
    <fb>45916</fb>
    <v>0</v>
  </rv>
  <rv s="0">
    <fb>95.57</fb>
    <v>1</v>
  </rv>
  <rv s="0">
    <fb>2116706</fb>
    <v>2</v>
  </rv>
  <rv s="0">
    <fb>45917</fb>
    <v>0</v>
  </rv>
  <rv s="0">
    <fb>96.4</fb>
    <v>1</v>
  </rv>
  <rv s="0">
    <fb>1879757</fb>
    <v>2</v>
  </rv>
  <rv s="0">
    <fb>45918</fb>
    <v>0</v>
  </rv>
  <rv s="0">
    <fb>96.35</fb>
    <v>1</v>
  </rv>
  <rv s="0">
    <fb>1815705</fb>
    <v>2</v>
  </rv>
  <rv s="0">
    <fb>45919</fb>
    <v>0</v>
  </rv>
  <rv s="0">
    <fb>96.33</fb>
    <v>1</v>
  </rv>
  <rv s="0">
    <fb>4091681</fb>
    <v>2</v>
  </rv>
  <rv s="0">
    <fb>45922</fb>
    <v>0</v>
  </rv>
  <rv s="0">
    <fb>96.62</fb>
    <v>1</v>
  </rv>
  <rv s="0">
    <fb>1938992</fb>
    <v>2</v>
  </rv>
  <rv s="0">
    <fb>45923</fb>
    <v>0</v>
  </rv>
  <rv s="0">
    <fb>98.55</fb>
    <v>1</v>
  </rv>
  <rv s="0">
    <fb>2204294</fb>
    <v>2</v>
  </rv>
  <rv s="0">
    <fb>45924</fb>
    <v>0</v>
  </rv>
  <rv s="0">
    <fb>98.81</fb>
    <v>1</v>
  </rv>
  <rv s="0">
    <fb>1611788</fb>
    <v>2</v>
  </rv>
  <rv s="0">
    <fb>45925</fb>
    <v>0</v>
  </rv>
  <rv s="0">
    <fb>98.35</fb>
    <v>1</v>
  </rv>
  <rv s="0">
    <fb>1848471</fb>
    <v>2</v>
  </rv>
  <rv s="0">
    <fb>45926</fb>
    <v>0</v>
  </rv>
  <rv s="0">
    <fb>99.62</fb>
    <v>1</v>
  </rv>
  <rv s="0">
    <fb>1947302</fb>
    <v>2</v>
  </rv>
  <rv s="0">
    <fb>45929</fb>
    <v>0</v>
  </rv>
  <rv s="0">
    <fb>99.57</fb>
    <v>1</v>
  </rv>
  <rv s="0">
    <fb>1875302</fb>
    <v>2</v>
  </rv>
  <rv s="0">
    <fb>45930</fb>
    <v>0</v>
  </rv>
  <rv s="0">
    <fb>100.52</fb>
    <v>1</v>
  </rv>
  <rv s="0">
    <fb>2199219</fb>
    <v>2</v>
  </rv>
  <rv s="0">
    <fb>45931</fb>
    <v>0</v>
  </rv>
  <rv s="0">
    <fb>2301874</fb>
    <v>2</v>
  </rv>
  <rv s="0">
    <fb>45932</fb>
    <v>0</v>
  </rv>
  <rv s="0">
    <fb>97.64</fb>
    <v>1</v>
  </rv>
  <rv s="0">
    <fb>1449485</fb>
    <v>2</v>
  </rv>
  <rv s="0">
    <fb>45933</fb>
    <v>0</v>
  </rv>
  <rv s="0">
    <fb>1676205</fb>
    <v>2</v>
  </rv>
  <rv s="0">
    <fb>45936</fb>
    <v>0</v>
  </rv>
  <rv s="0">
    <fb>99.33</fb>
    <v>1</v>
  </rv>
  <rv s="0">
    <fb>1769805</fb>
    <v>2</v>
  </rv>
  <rv s="0">
    <fb>45937</fb>
    <v>0</v>
  </rv>
  <rv s="0">
    <fb>100.04</fb>
    <v>1</v>
  </rv>
  <rv s="0">
    <fb>1722042</fb>
    <v>2</v>
  </rv>
  <rv s="0">
    <fb>45938</fb>
    <v>0</v>
  </rv>
  <rv s="0">
    <fb>100.83</fb>
    <v>1</v>
  </rv>
  <rv s="0">
    <fb>1570590</fb>
    <v>2</v>
  </rv>
  <rv s="0">
    <fb>45939</fb>
    <v>0</v>
  </rv>
  <rv s="0">
    <fb>100.8</fb>
    <v>1</v>
  </rv>
  <rv s="0">
    <fb>1816124</fb>
    <v>2</v>
  </rv>
  <rv s="0">
    <fb>45940</fb>
    <v>0</v>
  </rv>
  <rv s="0">
    <fb>102.39</fb>
    <v>1</v>
  </rv>
  <rv s="0">
    <fb>2059205</fb>
    <v>2</v>
  </rv>
  <rv s="0">
    <fb>45943</fb>
    <v>0</v>
  </rv>
  <rv s="0">
    <fb>100.86</fb>
    <v>1</v>
  </rv>
  <rv s="0">
    <fb>1515680</fb>
    <v>2</v>
  </rv>
  <rv s="0">
    <fb>45944</fb>
    <v>0</v>
  </rv>
  <rv s="0">
    <fb>101.89</fb>
    <v>1</v>
  </rv>
  <rv s="0">
    <fb>1423256</fb>
    <v>2</v>
  </rv>
  <rv s="0">
    <fb>45945</fb>
    <v>0</v>
  </rv>
  <rv s="0">
    <fb>102.29</fb>
    <v>1</v>
  </rv>
  <rv s="0">
    <fb>1556615</fb>
    <v>2</v>
  </rv>
  <rv s="0">
    <fb>45946</fb>
    <v>0</v>
  </rv>
  <rv s="0">
    <fb>1558806</fb>
    <v>2</v>
  </rv>
  <rv s="0">
    <fb>45947</fb>
    <v>0</v>
  </rv>
  <rv s="0">
    <fb>101.19</fb>
    <v>1</v>
  </rv>
  <rv s="0">
    <fb>1597575</fb>
    <v>2</v>
  </rv>
  <rv s="0">
    <fb>45950</fb>
    <v>0</v>
  </rv>
  <rv s="0">
    <fb>101.72</fb>
    <v>1</v>
  </rv>
  <rv s="0">
    <fb>1129321</fb>
    <v>2</v>
  </rv>
  <rv s="0">
    <fb>45951</fb>
    <v>0</v>
  </rv>
  <rv s="0">
    <fb>101.56</fb>
    <v>1</v>
  </rv>
  <rv s="0">
    <fb>1116965</fb>
    <v>2</v>
  </rv>
  <rv s="0">
    <fb>45952</fb>
    <v>0</v>
  </rv>
  <rv s="0">
    <fb>101.94</fb>
    <v>1</v>
  </rv>
  <rv s="0">
    <fb>1508989</fb>
    <v>2</v>
  </rv>
  <rv s="0">
    <fb>45953</fb>
    <v>0</v>
  </rv>
  <rv s="0">
    <fb>1302838</fb>
    <v>2</v>
  </rv>
  <rv s="0">
    <fb>45954</fb>
    <v>0</v>
  </rv>
  <rv s="0">
    <fb>1036366</fb>
    <v>2</v>
  </rv>
  <rv s="0">
    <fb>45957</fb>
    <v>0</v>
  </rv>
  <rv s="0">
    <fb>100.22</fb>
    <v>1</v>
  </rv>
  <rv s="0">
    <fb>1537561</fb>
    <v>2</v>
  </rv>
  <rv s="0">
    <fb>45958</fb>
    <v>0</v>
  </rv>
  <rv s="0">
    <fb>1156747</fb>
    <v>2</v>
  </rv>
  <rv s="0">
    <fb>45959</fb>
    <v>0</v>
  </rv>
  <rv s="0">
    <fb>1804147</fb>
    <v>2</v>
  </rv>
  <rv s="0">
    <fb>45960</fb>
    <v>0</v>
  </rv>
  <rv s="0">
    <fb>98.19</fb>
    <v>1</v>
  </rv>
  <rv s="0">
    <fb>2073284</fb>
    <v>2</v>
  </rv>
  <rv s="0">
    <fb>45961</fb>
    <v>0</v>
  </rv>
  <rv s="0">
    <fb>97.41</fb>
    <v>1</v>
  </rv>
  <rv s="0">
    <fb>2770794</fb>
    <v>2</v>
  </rv>
  <rv s="0">
    <fb>45964</fb>
    <v>0</v>
  </rv>
  <rv s="0">
    <fb>96.64</fb>
    <v>1</v>
  </rv>
  <rv s="0">
    <fb>1692176</fb>
    <v>2</v>
  </rv>
  <rv s="0">
    <fb>45965</fb>
    <v>0</v>
  </rv>
  <rv s="0">
    <fb>97.96</fb>
    <v>1</v>
  </rv>
  <rv s="0">
    <fb>1614634</fb>
    <v>2</v>
  </rv>
  <rv s="0">
    <fb>45966</fb>
    <v>0</v>
  </rv>
  <rv s="0">
    <fb>96.11</fb>
    <v>1</v>
  </rv>
  <rv s="0">
    <fb>2273863</fb>
    <v>2</v>
  </rv>
  <rv s="0">
    <fb>45967</fb>
    <v>0</v>
  </rv>
  <rv s="0">
    <fb>96.99</fb>
    <v>1</v>
  </rv>
  <rv s="0">
    <fb>3064515</fb>
    <v>2</v>
  </rv>
  <rv s="0">
    <fb>45968</fb>
    <v>0</v>
  </rv>
  <rv s="0">
    <fb>98.52</fb>
    <v>1</v>
  </rv>
  <rv s="0">
    <fb>2924446</fb>
    <v>2</v>
  </rv>
  <rv s="0">
    <fb>45971</fb>
    <v>0</v>
  </rv>
  <rv s="0">
    <fb>98.24</fb>
    <v>1</v>
  </rv>
  <rv s="0">
    <fb>2188924</fb>
    <v>2</v>
  </rv>
  <rv s="0">
    <fb>45972</fb>
    <v>0</v>
  </rv>
  <rv s="0">
    <fb>99.59</fb>
    <v>1</v>
  </rv>
  <rv s="0">
    <fb>1779798</fb>
    <v>2</v>
  </rv>
  <rv s="0">
    <fb>45973</fb>
    <v>0</v>
  </rv>
  <rv s="0">
    <fb>1340259</fb>
    <v>2</v>
  </rv>
  <rv s="0">
    <fb>45974</fb>
    <v>0</v>
  </rv>
  <rv s="0">
    <fb>100.95</fb>
    <v>1</v>
  </rv>
  <rv s="0">
    <fb>1977816</fb>
    <v>2</v>
  </rv>
  <rv s="0">
    <fb>45975</fb>
    <v>0</v>
  </rv>
  <rv s="0">
    <fb>101.66</fb>
    <v>1</v>
  </rv>
  <rv s="0">
    <fb>2443256</fb>
    <v>2</v>
  </rv>
  <rv s="0">
    <fb>45978</fb>
    <v>0</v>
  </rv>
  <rv s="0">
    <fb>103.85</fb>
    <v>1</v>
  </rv>
  <rv s="0">
    <fb>3007831</fb>
    <v>2</v>
  </rv>
  <rv s="0">
    <fb>45979</fb>
    <v>0</v>
  </rv>
  <rv s="0">
    <fb>102.91</fb>
    <v>1</v>
  </rv>
  <rv s="0">
    <fb>2585563</fb>
    <v>2</v>
  </rv>
  <rv s="0">
    <fb>45980</fb>
    <v>0</v>
  </rv>
  <rv s="0">
    <fb>100.38</fb>
    <v>1</v>
  </rv>
  <rv s="0">
    <fb>3059734</fb>
    <v>2</v>
  </rv>
  <rv s="0">
    <fb>45981</fb>
    <v>0</v>
  </rv>
  <rv s="0">
    <fb>2462396</fb>
    <v>2</v>
  </rv>
  <rv s="0">
    <fb>45982</fb>
    <v>0</v>
  </rv>
  <rv s="0">
    <fb>100.16</fb>
    <v>1</v>
  </rv>
  <rv s="0">
    <fb>4721989</fb>
    <v>2</v>
  </rv>
  <rv s="0">
    <fb>45985</fb>
    <v>0</v>
  </rv>
  <rv s="0">
    <fb>98.92</fb>
    <v>1</v>
  </rv>
  <rv s="0">
    <fb>7708010</fb>
    <v>2</v>
  </rv>
  <rv s="0">
    <fb>45986</fb>
    <v>0</v>
  </rv>
  <rv s="0">
    <fb>98.85</fb>
    <v>1</v>
  </rv>
  <rv s="0">
    <fb>2127188</fb>
    <v>2</v>
  </rv>
  <rv s="0">
    <fb>45987</fb>
    <v>0</v>
  </rv>
  <rv s="0">
    <fb>100.14</fb>
    <v>1</v>
  </rv>
  <rv s="0">
    <fb>1305669</fb>
    <v>2</v>
  </rv>
  <rv s="0">
    <fb>45989</fb>
    <v>0</v>
  </rv>
  <rv s="0">
    <fb>100.36</fb>
    <v>1</v>
  </rv>
  <rv s="0">
    <fb>1063335</fb>
    <v>2</v>
  </rv>
  <rv s="0">
    <fb>45992</fb>
    <v>0</v>
  </rv>
  <rv s="0">
    <fb>97.88</fb>
    <v>1</v>
  </rv>
  <rv s="0">
    <fb>2744812</fb>
    <v>2</v>
  </rv>
  <rv s="0">
    <fb>45993</fb>
    <v>0</v>
  </rv>
  <rv s="0">
    <fb>96.87</fb>
    <v>1</v>
  </rv>
  <rv s="0">
    <fb>2753150</fb>
    <v>2</v>
  </rv>
  <rv s="0">
    <fb>45994</fb>
    <v>0</v>
  </rv>
  <rv s="0">
    <fb>96.45</fb>
    <v>1</v>
  </rv>
  <rv s="0">
    <fb>1762033</fb>
    <v>2</v>
  </rv>
  <rv s="0">
    <fb>45995</fb>
    <v>0</v>
  </rv>
  <rv s="0">
    <fb>96.22</fb>
    <v>1</v>
  </rv>
  <rv s="0">
    <fb>2303530</fb>
    <v>2</v>
  </rv>
  <rv s="0">
    <fb>45996</fb>
    <v>0</v>
  </rv>
  <rv s="0">
    <fb>96.6</fb>
    <v>1</v>
  </rv>
  <rv s="0">
    <fb>1775844</fb>
    <v>2</v>
  </rv>
  <rv s="0">
    <fb>45999</fb>
    <v>0</v>
  </rv>
  <rv s="0">
    <fb>95.45</fb>
    <v>1</v>
  </rv>
  <rv s="0">
    <fb>2089307</fb>
    <v>2</v>
  </rv>
  <rv s="0">
    <fb>46000</fb>
    <v>0</v>
  </rv>
  <rv s="0">
    <fb>95.82</fb>
    <v>1</v>
  </rv>
  <rv s="0">
    <fb>1823336</fb>
    <v>2</v>
  </rv>
  <rv s="0">
    <fb>46001</fb>
    <v>0</v>
  </rv>
  <rv s="0">
    <fb>95.41</fb>
    <v>1</v>
  </rv>
  <rv s="0">
    <fb>1848956</fb>
    <v>2</v>
  </rv>
  <rv s="0">
    <fb>46002</fb>
    <v>0</v>
  </rv>
  <rv s="0">
    <fb>95.64</fb>
    <v>1</v>
  </rv>
  <rv s="0">
    <fb>1396780</fb>
    <v>2</v>
  </rv>
  <rv s="0">
    <fb>46003</fb>
    <v>0</v>
  </rv>
  <rv s="0">
    <fb>97.53</fb>
    <v>1</v>
  </rv>
  <rv s="0">
    <fb>2638227</fb>
    <v>2</v>
  </rv>
  <rv s="0">
    <fb>46006</fb>
    <v>0</v>
  </rv>
  <rv s="0">
    <fb>99.39</fb>
    <v>1</v>
  </rv>
  <rv s="0">
    <fb>2388088</fb>
    <v>2</v>
  </rv>
  <rv s="0">
    <fb>46007</fb>
    <v>0</v>
  </rv>
  <rv s="0">
    <fb>98.9</fb>
    <v>1</v>
  </rv>
  <rv s="0">
    <fb>2321135</fb>
    <v>2</v>
  </rv>
  <rv s="0">
    <fb>46008</fb>
    <v>0</v>
  </rv>
  <rv s="0">
    <fb>100.21</fb>
    <v>1</v>
  </rv>
  <rv s="0">
    <fb>2330732</fb>
    <v>2</v>
  </rv>
  <rv s="0">
    <fb>46009</fb>
    <v>0</v>
  </rv>
  <rv s="0">
    <fb>99.99</fb>
    <v>1</v>
  </rv>
  <rv s="0">
    <fb>2345340</fb>
    <v>2</v>
  </rv>
  <rv s="0">
    <fb>46010</fb>
    <v>0</v>
  </rv>
  <rv s="0">
    <fb>98.06</fb>
    <v>1</v>
  </rv>
  <rv s="0">
    <fb>4366286</fb>
    <v>2</v>
  </rv>
  <rv s="0">
    <fb>46013</fb>
    <v>0</v>
  </rv>
  <rv s="0">
    <fb>98.57</fb>
    <v>1</v>
  </rv>
  <rv s="0">
    <fb>1526222</fb>
    <v>2</v>
  </rv>
  <rv s="0">
    <fb>46014</fb>
    <v>0</v>
  </rv>
  <rv s="0">
    <fb>98.95</fb>
    <v>1</v>
  </rv>
  <rv s="0">
    <fb>1485103</fb>
    <v>2</v>
  </rv>
  <rv s="0">
    <fb>46015</fb>
    <v>0</v>
  </rv>
  <rv s="0">
    <fb>99.53</fb>
    <v>1</v>
  </rv>
  <rv s="0">
    <fb>522559</fb>
    <v>2</v>
  </rv>
  <rv s="0">
    <fb>46017</fb>
    <v>0</v>
  </rv>
  <rv s="0">
    <fb>99.3</fb>
    <v>1</v>
  </rv>
  <rv s="0">
    <fb>611485</fb>
    <v>2</v>
  </rv>
  <rv s="0">
    <fb>46020</fb>
    <v>0</v>
  </rv>
  <rv s="0">
    <fb>99.54</fb>
    <v>1</v>
  </rv>
  <rv s="0">
    <fb>1647935</fb>
    <v>2</v>
  </rv>
  <rv s="0">
    <fb>46021</fb>
    <v>0</v>
  </rv>
  <rv s="0">
    <fb>99.89</fb>
    <v>1</v>
  </rv>
  <rv s="0">
    <fb>1019883</fb>
    <v>2</v>
  </rv>
  <rv s="0">
    <fb>46022</fb>
    <v>0</v>
  </rv>
  <rv s="0">
    <fb>99.32</fb>
    <v>1</v>
  </rv>
  <rv s="0">
    <fb>1218242</fb>
    <v>2</v>
  </rv>
  <rv s="0">
    <fb>46024</fb>
    <v>0</v>
  </rv>
  <rv s="0">
    <fb>1441121</fb>
    <v>2</v>
  </rv>
  <rv s="0">
    <fb>46027</fb>
    <v>0</v>
  </rv>
  <rv s="0">
    <fb>98.5</fb>
    <v>1</v>
  </rv>
  <rv s="0">
    <fb>2112395</fb>
    <v>2</v>
  </rv>
  <rv s="0">
    <fb>46028</fb>
    <v>0</v>
  </rv>
  <rv s="0">
    <fb>1643792</fb>
    <v>2</v>
  </rv>
  <rv s="0">
    <fb>46029</fb>
    <v>0</v>
  </rv>
  <rv s="0">
    <fb>99.37</fb>
    <v>1</v>
  </rv>
  <rv s="0">
    <fb>1638957</fb>
    <v>2</v>
  </rv>
  <rv s="0">
    <fb>46030</fb>
    <v>0</v>
  </rv>
  <rv s="0">
    <fb>100.18</fb>
    <v>1</v>
  </rv>
  <rv s="0">
    <fb>1717623</fb>
    <v>2</v>
  </rv>
  <rv s="0">
    <fb>46031</fb>
    <v>0</v>
  </rv>
  <rv s="0">
    <fb>99.21</fb>
    <v>1</v>
  </rv>
  <rv s="0">
    <fb>1354245</fb>
    <v>2</v>
  </rv>
  <rv s="0">
    <fb>46034</fb>
    <v>0</v>
  </rv>
  <rv s="0">
    <fb>98.83</fb>
    <v>1</v>
  </rv>
  <rv s="0">
    <fb>1987289</fb>
    <v>2</v>
  </rv>
  <rv s="0">
    <fb>46035</fb>
    <v>0</v>
  </rv>
  <rv s="0">
    <fb>2073342</fb>
    <v>2</v>
  </rv>
  <rv s="0">
    <fb>46036</fb>
    <v>0</v>
  </rv>
  <rv s="0">
    <fb>101.47</fb>
    <v>1</v>
  </rv>
  <rv s="0">
    <fb>1963060</fb>
    <v>2</v>
  </rv>
  <rv s="0">
    <fb>46037</fb>
    <v>0</v>
  </rv>
  <rv s="0">
    <fb>102.58</fb>
    <v>1</v>
  </rv>
  <rv s="0">
    <fb>1813479</fb>
    <v>2</v>
  </rv>
  <rv s="0">
    <fb>46038</fb>
    <v>0</v>
  </rv>
  <rv s="0">
    <fb>103.81</fb>
    <v>1</v>
  </rv>
  <rv s="0">
    <fb>2201908</fb>
    <v>2</v>
  </rv>
  <rv s="0">
    <fb>46042</fb>
    <v>0</v>
  </rv>
  <rv s="0">
    <fb>105.05</fb>
    <v>1</v>
  </rv>
  <rv s="0">
    <fb>2525969</fb>
    <v>2</v>
  </rv>
  <rv s="0">
    <fb>46043</fb>
    <v>0</v>
  </rv>
  <rv s="0">
    <fb>103.84</fb>
    <v>1</v>
  </rv>
  <rv s="0">
    <fb>2386674</fb>
    <v>2</v>
  </rv>
  <rv s="0">
    <fb>46044</fb>
    <v>0</v>
  </rv>
  <rv s="0">
    <fb>103.18</fb>
    <v>1</v>
  </rv>
  <rv s="0">
    <fb>3486387</fb>
    <v>2</v>
  </rv>
  <rv s="0">
    <fb>46045</fb>
    <v>0</v>
  </rv>
  <rv s="0">
    <fb>103.87</fb>
    <v>1</v>
  </rv>
  <rv s="0">
    <fb>2105641</fb>
    <v>2</v>
  </rv>
  <rv s="0">
    <fb>46048</fb>
    <v>0</v>
  </rv>
  <rv s="0">
    <fb>104.59</fb>
    <v>1</v>
  </rv>
  <rv s="0">
    <fb>1208858</fb>
    <v>2</v>
  </rv>
  <rv s="0">
    <fb>46049</fb>
    <v>0</v>
  </rv>
  <rv s="0">
    <fb>105.35</fb>
    <v>1</v>
  </rv>
  <rv s="0">
    <fb>1345489</fb>
    <v>2</v>
  </rv>
  <rv s="0">
    <fb>46050</fb>
    <v>0</v>
  </rv>
  <rv s="0">
    <fb>105.18</fb>
    <v>1</v>
  </rv>
  <rv s="0">
    <fb>1399663</fb>
    <v>2</v>
  </rv>
  <rv s="0">
    <fb>46051</fb>
    <v>0</v>
  </rv>
  <rv s="0">
    <fb>105.96</fb>
    <v>1</v>
  </rv>
  <rv s="0">
    <fb>1788418</fb>
    <v>2</v>
  </rv>
  <rv s="0">
    <fb>46052</fb>
    <v>0</v>
  </rv>
  <rv s="0">
    <fb>106.63</fb>
    <v>1</v>
  </rv>
  <rv s="0">
    <fb>1873898</fb>
    <v>2</v>
  </rv>
  <rv s="0">
    <fb>46055</fb>
    <v>0</v>
  </rv>
  <rv s="0">
    <fb>105.42</fb>
    <v>1</v>
  </rv>
  <rv s="0">
    <fb>2286482</fb>
    <v>2</v>
  </rv>
  <rv s="0">
    <fb>46056</fb>
    <v>0</v>
  </rv>
  <rv s="0">
    <fb>107.45</fb>
    <v>1</v>
  </rv>
  <rv s="0">
    <fb>1988627</fb>
    <v>2</v>
  </rv>
  <rv s="0">
    <fb>46057</fb>
    <v>0</v>
  </rv>
  <rv s="0">
    <fb>108.38</fb>
    <v>1</v>
  </rv>
  <rv s="0">
    <fb>2463148</fb>
    <v>2</v>
  </rv>
  <rv s="0">
    <fb>46058</fb>
    <v>0</v>
  </rv>
  <rv s="0">
    <fb>108.87</fb>
    <v>1</v>
  </rv>
  <rv s="0">
    <fb>1811491</fb>
    <v>2</v>
  </rv>
  <rv s="0">
    <fb>46059</fb>
    <v>0</v>
  </rv>
  <rv s="0">
    <fb>107.34</fb>
    <v>1</v>
  </rv>
  <rv s="0">
    <fb>2743754</fb>
    <v>2</v>
  </rv>
  <rv s="0">
    <fb>46062</fb>
    <v>0</v>
  </rv>
  <rv s="0">
    <fb>106.68</fb>
    <v>1</v>
  </rv>
  <rv s="0">
    <fb>1294321</fb>
    <v>2</v>
  </rv>
  <rv s="0">
    <fb>46063</fb>
    <v>0</v>
  </rv>
  <rv s="0">
    <fb>108.43</fb>
    <v>1</v>
  </rv>
  <rv s="0">
    <fb>2368103</fb>
    <v>2</v>
  </rv>
  <rv s="0">
    <fb>46064</fb>
    <v>0</v>
  </rv>
  <rv s="0">
    <fb>109.87</fb>
    <v>1</v>
  </rv>
  <rv s="0">
    <fb>1354491</fb>
    <v>2</v>
  </rv>
  <rv s="0">
    <fb>46065</fb>
    <v>0</v>
  </rv>
  <rv s="0">
    <fb>111.72</fb>
    <v>1</v>
  </rv>
  <rv s="0">
    <fb>1523235</fb>
    <v>2</v>
  </rv>
  <rv s="0">
    <fb>46066</fb>
    <v>0</v>
  </rv>
  <rv s="0">
    <fb>113.72</fb>
    <v>1</v>
  </rv>
  <rv s="0">
    <fb>2275122</fb>
    <v>2</v>
  </rv>
  <rv s="0">
    <fb>46070</fb>
    <v>0</v>
  </rv>
  <rv s="0">
    <fb>113.92</fb>
    <v>1</v>
  </rv>
  <rv s="0">
    <fb>2565528</fb>
    <v>2</v>
  </rv>
  <rv s="0">
    <fb>46071</fb>
    <v>0</v>
  </rv>
  <rv s="0">
    <fb>111.61</fb>
    <v>1</v>
  </rv>
  <rv s="0">
    <fb>1842140</fb>
    <v>2</v>
  </rv>
  <rv s="1">
    <v>3</v>
    <v>ED</v>
    <v>Daily</v>
    <v>45706</v>
    <v>46071</v>
    <v>0</v>
    <v>1</v>
    <v>639069696000000000,639070656652144517,0</v>
    <v>0</v>
    <v>a1rmkr</v>
    <v>XNYS:ED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89C2AC-CD2E-4E82-87E4-EFA511E8A343}" name="Weekly" displayName="Weekly" ref="A1:B53" tableType="queryTable" totalsRowShown="0">
  <autoFilter ref="A1:B53" xr:uid="{2589C2AC-CD2E-4E82-87E4-EFA511E8A343}"/>
  <tableColumns count="2">
    <tableColumn id="1" xr3:uid="{EB2CF678-DFE8-4CD3-9778-7398A0B439BD}" uniqueName="1" name="Week" queryTableFieldId="1" dataDxfId="2"/>
    <tableColumn id="2" xr3:uid="{FA6BAFB8-572A-4C1D-B1D6-89A7FD992CCB}" uniqueName="2" name="Averag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2E44EC-6039-4710-9EFD-0B8DE0953EF7}" name="Forecast" displayName="Forecast" ref="A1:E120" totalsRowShown="0">
  <autoFilter ref="A1:E120" xr:uid="{EB2E44EC-6039-4710-9EFD-0B8DE0953EF7}"/>
  <tableColumns count="5">
    <tableColumn id="1" xr3:uid="{8F8C8273-5F86-44D0-BBE0-03817A4638EF}" name="Week" dataDxfId="1"/>
    <tableColumn id="2" xr3:uid="{72249FCA-8DBB-4E73-A3FC-4D80C56D7AE7}" name="Average"/>
    <tableColumn id="4" xr3:uid="{C9D39393-17F9-47C0-A0DE-3FB433DE6C5D}" name="XL Forecast"/>
    <tableColumn id="6" xr3:uid="{914DEA66-811D-4AAB-A155-C143B589BB9E}" name="Calc Forecast"/>
    <tableColumn id="7" xr3:uid="{E5A970D5-57BB-4B9B-ACAF-27B7D5F771B5}" name="Simple M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3" t="s">
        <v>26</v>
      </c>
      <c r="B2" s="13" t="s">
        <v>27</v>
      </c>
    </row>
    <row r="3" spans="1:2" x14ac:dyDescent="0.25">
      <c r="A3" s="14" t="s">
        <v>1</v>
      </c>
      <c r="B3" s="14" t="s">
        <v>28</v>
      </c>
    </row>
    <row r="4" spans="1:2" x14ac:dyDescent="0.25">
      <c r="A4" s="15" t="s">
        <v>29</v>
      </c>
      <c r="B4" s="15" t="s">
        <v>30</v>
      </c>
    </row>
    <row r="5" spans="1:2" x14ac:dyDescent="0.25">
      <c r="A5" s="16" t="s">
        <v>15</v>
      </c>
      <c r="B5" s="16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7" t="s">
        <v>23</v>
      </c>
      <c r="B7" s="17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BD52-62BA-42E6-B70C-1E378F89A17F}">
  <dimension ref="A1"/>
  <sheetViews>
    <sheetView tabSelected="1" topLeftCell="A65" workbookViewId="0">
      <selection activeCell="N7" sqref="N7"/>
    </sheetView>
  </sheetViews>
  <sheetFormatPr defaultRowHeight="15" x14ac:dyDescent="0.25"/>
  <cols>
    <col min="1" max="16384" width="9.140625" style="26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253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1" customWidth="1"/>
    <col min="2" max="2" width="12" bestFit="1" customWidth="1"/>
    <col min="3" max="3" width="10.5703125" bestFit="1" customWidth="1"/>
    <col min="4" max="4" width="11.1406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0" max="30" width="13.140625" bestFit="1" customWidth="1"/>
    <col min="31" max="31" width="15.42578125" style="19" bestFit="1" customWidth="1"/>
  </cols>
  <sheetData>
    <row r="1" spans="1:31" s="8" customFormat="1" x14ac:dyDescent="0.25">
      <c r="A1" s="20" t="s">
        <v>45</v>
      </c>
      <c r="B1" s="4" t="str" cm="1">
        <f t="array" aca="1" ref="B1:D253" ca="1">_xlfn.STOCKHISTORY("ED",TODAY()-365,TODAY(),0,1,0,1,5)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8" t="s">
        <v>44</v>
      </c>
    </row>
    <row r="2" spans="1:31" x14ac:dyDescent="0.25">
      <c r="A2" s="21">
        <f ca="1">B2 - WEEKDAY(B2, 2) + 1</f>
        <v>45705</v>
      </c>
      <c r="B2" vm="1">
        <f ca="1"/>
        <v>45706</v>
      </c>
      <c r="C2" vm="2">
        <f ca="1"/>
        <v>95.76</v>
      </c>
      <c r="D2" vm="3">
        <f ca="1"/>
        <v>2568491</v>
      </c>
      <c r="E2">
        <f ca="1">C2*D2</f>
        <v>245958698.16000003</v>
      </c>
      <c r="F2">
        <f ca="1">SUM($E$2:E2)/SUM($D$2:D2)</f>
        <v>95.76</v>
      </c>
      <c r="G2">
        <f ca="1">_xlfn.STDEV.P($C$2:C2)</f>
        <v>0</v>
      </c>
      <c r="H2">
        <f ca="1">F2 + G2</f>
        <v>95.76</v>
      </c>
      <c r="I2">
        <f ca="1">F2 - G2</f>
        <v>95.76</v>
      </c>
      <c r="AC2" t="s">
        <v>39</v>
      </c>
      <c r="AD2">
        <f ca="1">MIN(C:C)</f>
        <v>95.26</v>
      </c>
      <c r="AE2" s="19">
        <f ca="1">MIN(D:D)</f>
        <v>522559</v>
      </c>
    </row>
    <row r="3" spans="1:31" x14ac:dyDescent="0.25">
      <c r="A3" s="21">
        <f t="shared" ref="A3:A66" ca="1" si="0">B3 - WEEKDAY(B3, 2) + 1</f>
        <v>45705</v>
      </c>
      <c r="B3" vm="4">
        <f ca="1"/>
        <v>45707</v>
      </c>
      <c r="C3" vm="5">
        <f ca="1"/>
        <v>95.26</v>
      </c>
      <c r="D3" vm="6">
        <f ca="1"/>
        <v>1857550</v>
      </c>
      <c r="E3">
        <f t="shared" ref="E3:E66" ca="1" si="1">C3*D3</f>
        <v>176950213</v>
      </c>
      <c r="F3">
        <f ca="1">SUM($E$2:E3)/SUM($D$2:D3)</f>
        <v>95.550156711155637</v>
      </c>
      <c r="G3">
        <f ca="1">_xlfn.STDEV.P($C$2:C3)</f>
        <v>0.25</v>
      </c>
      <c r="H3">
        <f t="shared" ref="H3:H66" ca="1" si="2">F3 + G3</f>
        <v>95.800156711155637</v>
      </c>
      <c r="I3">
        <f t="shared" ref="I3:I66" ca="1" si="3">F3 - G3</f>
        <v>95.300156711155637</v>
      </c>
      <c r="N3">
        <f ca="1">C3-C2</f>
        <v>-0.5</v>
      </c>
      <c r="O3">
        <f ca="1">MAX(N3,0)</f>
        <v>0</v>
      </c>
      <c r="P3">
        <f ca="1">MAX(-N3,0)</f>
        <v>0.5</v>
      </c>
      <c r="AC3" t="s">
        <v>40</v>
      </c>
      <c r="AD3">
        <f ca="1">MAX(C:C)</f>
        <v>113.92</v>
      </c>
      <c r="AE3" s="19">
        <f ca="1">MAX(D:D)</f>
        <v>7708010</v>
      </c>
    </row>
    <row r="4" spans="1:31" x14ac:dyDescent="0.25">
      <c r="A4" s="21">
        <f t="shared" ca="1" si="0"/>
        <v>45705</v>
      </c>
      <c r="B4" vm="7">
        <f ca="1"/>
        <v>45708</v>
      </c>
      <c r="C4" vm="2">
        <f ca="1"/>
        <v>95.76</v>
      </c>
      <c r="D4" vm="8">
        <f ca="1"/>
        <v>2580181</v>
      </c>
      <c r="E4">
        <f t="shared" ca="1" si="1"/>
        <v>247078132.56</v>
      </c>
      <c r="F4">
        <f ca="1">SUM($E$2:E4)/SUM($D$2:D4)</f>
        <v>95.627435687878574</v>
      </c>
      <c r="G4">
        <f ca="1">_xlfn.STDEV.P($C$2:C4)</f>
        <v>0.23570226039551584</v>
      </c>
      <c r="H4">
        <f t="shared" ca="1" si="2"/>
        <v>95.863137948274087</v>
      </c>
      <c r="I4">
        <f t="shared" ca="1" si="3"/>
        <v>95.391733427483061</v>
      </c>
      <c r="N4">
        <f t="shared" ref="N4:N67" ca="1" si="4">C4-C3</f>
        <v>0.5</v>
      </c>
      <c r="O4">
        <f t="shared" ref="O4:O67" ca="1" si="5">MAX(N4,0)</f>
        <v>0.5</v>
      </c>
      <c r="P4">
        <f t="shared" ref="P4:P67" ca="1" si="6">MAX(-N4,0)</f>
        <v>0</v>
      </c>
      <c r="AC4" t="s">
        <v>41</v>
      </c>
      <c r="AD4">
        <f ca="1">MEDIAN(C:C)</f>
        <v>101.17</v>
      </c>
      <c r="AE4" s="19">
        <f ca="1">MEDIAN(D:D)</f>
        <v>2273221.5</v>
      </c>
    </row>
    <row r="5" spans="1:31" x14ac:dyDescent="0.25">
      <c r="A5" s="21">
        <f t="shared" ca="1" si="0"/>
        <v>45705</v>
      </c>
      <c r="B5" vm="9">
        <f ca="1"/>
        <v>45709</v>
      </c>
      <c r="C5" vm="10">
        <f ca="1"/>
        <v>98.26</v>
      </c>
      <c r="D5" vm="11">
        <f ca="1"/>
        <v>4414893</v>
      </c>
      <c r="E5">
        <f t="shared" ca="1" si="1"/>
        <v>433807386.18000001</v>
      </c>
      <c r="F5">
        <f ca="1">SUM($E$2:E5)/SUM($D$2:D5)</f>
        <v>96.645067482465606</v>
      </c>
      <c r="G5">
        <f ca="1">_xlfn.STDEV.P($C$2:C5)</f>
        <v>1.1726039399558574</v>
      </c>
      <c r="H5">
        <f t="shared" ca="1" si="2"/>
        <v>97.817671422421469</v>
      </c>
      <c r="I5">
        <f t="shared" ca="1" si="3"/>
        <v>95.472463542509743</v>
      </c>
      <c r="N5">
        <f t="shared" ca="1" si="4"/>
        <v>2.5</v>
      </c>
      <c r="O5">
        <f t="shared" ca="1" si="5"/>
        <v>2.5</v>
      </c>
      <c r="P5">
        <f t="shared" ca="1" si="6"/>
        <v>0</v>
      </c>
      <c r="AC5" t="s">
        <v>42</v>
      </c>
      <c r="AD5">
        <f ca="1">AVERAGE(C:C)</f>
        <v>102.40420634920636</v>
      </c>
      <c r="AE5" s="19">
        <f ca="1">AVERAGE(D:D)</f>
        <v>2462260.027777778</v>
      </c>
    </row>
    <row r="6" spans="1:31" x14ac:dyDescent="0.25">
      <c r="A6" s="21">
        <f t="shared" ca="1" si="0"/>
        <v>45712</v>
      </c>
      <c r="B6" vm="12">
        <f ca="1"/>
        <v>45712</v>
      </c>
      <c r="C6" vm="13">
        <f ca="1"/>
        <v>99.68</v>
      </c>
      <c r="D6" vm="14">
        <f ca="1"/>
        <v>2943078</v>
      </c>
      <c r="E6">
        <f t="shared" ca="1" si="1"/>
        <v>293366015.04000002</v>
      </c>
      <c r="F6">
        <f ca="1">SUM($E$2:E6)/SUM($D$2:D6)</f>
        <v>97.266894488259808</v>
      </c>
      <c r="G6">
        <f ca="1">_xlfn.STDEV.P($C$2:C6)</f>
        <v>1.7237818887550715</v>
      </c>
      <c r="H6">
        <f t="shared" ca="1" si="2"/>
        <v>98.990676377014879</v>
      </c>
      <c r="I6">
        <f t="shared" ca="1" si="3"/>
        <v>95.543112599504738</v>
      </c>
      <c r="N6">
        <f t="shared" ca="1" si="4"/>
        <v>1.4200000000000017</v>
      </c>
      <c r="O6">
        <f t="shared" ca="1" si="5"/>
        <v>1.4200000000000017</v>
      </c>
      <c r="P6">
        <f t="shared" ca="1" si="6"/>
        <v>0</v>
      </c>
      <c r="AC6" t="s">
        <v>47</v>
      </c>
      <c r="AD6" s="21">
        <f ca="1">MAX(B:B)</f>
        <v>46071</v>
      </c>
    </row>
    <row r="7" spans="1:31" x14ac:dyDescent="0.25">
      <c r="A7" s="21">
        <f t="shared" ca="1" si="0"/>
        <v>45712</v>
      </c>
      <c r="B7" vm="15">
        <f ca="1"/>
        <v>45713</v>
      </c>
      <c r="C7" vm="16">
        <f ca="1"/>
        <v>100.97</v>
      </c>
      <c r="D7" vm="17">
        <f ca="1"/>
        <v>3481345</v>
      </c>
      <c r="E7">
        <f t="shared" ca="1" si="1"/>
        <v>351511404.64999998</v>
      </c>
      <c r="F7">
        <f ca="1">SUM($E$2:E7)/SUM($D$2:D7)</f>
        <v>97.989304082062432</v>
      </c>
      <c r="G7">
        <f ca="1">_xlfn.STDEV.P($C$2:C7)</f>
        <v>2.1742565779288014</v>
      </c>
      <c r="H7">
        <f t="shared" ca="1" si="2"/>
        <v>100.16356065999123</v>
      </c>
      <c r="I7">
        <f t="shared" ca="1" si="3"/>
        <v>95.815047504133631</v>
      </c>
      <c r="N7">
        <f t="shared" ca="1" si="4"/>
        <v>1.289999999999992</v>
      </c>
      <c r="O7">
        <f t="shared" ca="1" si="5"/>
        <v>1.289999999999992</v>
      </c>
      <c r="P7">
        <f t="shared" ca="1" si="6"/>
        <v>0</v>
      </c>
    </row>
    <row r="8" spans="1:31" x14ac:dyDescent="0.25">
      <c r="A8" s="21">
        <f t="shared" ca="1" si="0"/>
        <v>45712</v>
      </c>
      <c r="B8" vm="18">
        <f ca="1"/>
        <v>45714</v>
      </c>
      <c r="C8" vm="19">
        <f ca="1"/>
        <v>99.96</v>
      </c>
      <c r="D8" vm="20">
        <f ca="1"/>
        <v>2072708</v>
      </c>
      <c r="E8">
        <f t="shared" ca="1" si="1"/>
        <v>207187891.67999998</v>
      </c>
      <c r="F8">
        <f ca="1">SUM($E$2:E8)/SUM($D$2:D8)</f>
        <v>98.194376215154705</v>
      </c>
      <c r="G8">
        <f ca="1">_xlfn.STDEV.P($C$2:C8)</f>
        <v>2.1737985187224664</v>
      </c>
      <c r="H8">
        <f t="shared" ca="1" si="2"/>
        <v>100.36817473387717</v>
      </c>
      <c r="I8">
        <f t="shared" ca="1" si="3"/>
        <v>96.020577696432241</v>
      </c>
      <c r="N8">
        <f t="shared" ca="1" si="4"/>
        <v>-1.0100000000000051</v>
      </c>
      <c r="O8">
        <f t="shared" ca="1" si="5"/>
        <v>0</v>
      </c>
      <c r="P8">
        <f t="shared" ca="1" si="6"/>
        <v>1.0100000000000051</v>
      </c>
    </row>
    <row r="9" spans="1:31" x14ac:dyDescent="0.25">
      <c r="A9" s="21">
        <f t="shared" ca="1" si="0"/>
        <v>45712</v>
      </c>
      <c r="B9" vm="21">
        <f ca="1"/>
        <v>45715</v>
      </c>
      <c r="C9" vm="22">
        <f ca="1"/>
        <v>99.92</v>
      </c>
      <c r="D9" vm="23">
        <f ca="1"/>
        <v>3314096</v>
      </c>
      <c r="E9">
        <f t="shared" ca="1" si="1"/>
        <v>331144472.31999999</v>
      </c>
      <c r="F9">
        <f ca="1">SUM($E$2:E9)/SUM($D$2:D9)</f>
        <v>98.44053662734477</v>
      </c>
      <c r="G9">
        <f ca="1">_xlfn.STDEV.P($C$2:C9)</f>
        <v>2.1352279591415972</v>
      </c>
      <c r="H9">
        <f t="shared" ca="1" si="2"/>
        <v>100.57576458648637</v>
      </c>
      <c r="I9">
        <f t="shared" ca="1" si="3"/>
        <v>96.305308668203168</v>
      </c>
      <c r="N9">
        <f t="shared" ca="1" si="4"/>
        <v>-3.9999999999992042E-2</v>
      </c>
      <c r="O9">
        <f t="shared" ca="1" si="5"/>
        <v>0</v>
      </c>
      <c r="P9">
        <f t="shared" ca="1" si="6"/>
        <v>3.9999999999992042E-2</v>
      </c>
    </row>
    <row r="10" spans="1:31" x14ac:dyDescent="0.25">
      <c r="A10" s="21">
        <f t="shared" ca="1" si="0"/>
        <v>45712</v>
      </c>
      <c r="B10" vm="24">
        <f ca="1"/>
        <v>45716</v>
      </c>
      <c r="C10" vm="25">
        <f ca="1"/>
        <v>101.52</v>
      </c>
      <c r="D10" vm="26">
        <f ca="1"/>
        <v>5254613</v>
      </c>
      <c r="E10">
        <f t="shared" ca="1" si="1"/>
        <v>533448311.75999999</v>
      </c>
      <c r="F10">
        <f ca="1">SUM($E$2:E10)/SUM($D$2:D10)</f>
        <v>99.008564634233466</v>
      </c>
      <c r="G10">
        <f ca="1">_xlfn.STDEV.P($C$2:C10)</f>
        <v>2.2679756568902807</v>
      </c>
      <c r="H10">
        <f t="shared" ca="1" si="2"/>
        <v>101.27654029112375</v>
      </c>
      <c r="I10">
        <f t="shared" ca="1" si="3"/>
        <v>96.74058897734318</v>
      </c>
      <c r="N10">
        <f t="shared" ca="1" si="4"/>
        <v>1.5999999999999943</v>
      </c>
      <c r="O10">
        <f t="shared" ca="1" si="5"/>
        <v>1.5999999999999943</v>
      </c>
      <c r="P10">
        <f t="shared" ca="1" si="6"/>
        <v>0</v>
      </c>
    </row>
    <row r="11" spans="1:31" x14ac:dyDescent="0.25">
      <c r="A11" s="21">
        <f t="shared" ca="1" si="0"/>
        <v>45719</v>
      </c>
      <c r="B11" vm="27">
        <f ca="1"/>
        <v>45719</v>
      </c>
      <c r="C11" vm="28">
        <f ca="1"/>
        <v>104.02</v>
      </c>
      <c r="D11" vm="29">
        <f ca="1"/>
        <v>3555914</v>
      </c>
      <c r="E11">
        <f t="shared" ca="1" si="1"/>
        <v>369886174.27999997</v>
      </c>
      <c r="F11">
        <f ca="1">SUM($E$2:E11)/SUM($D$2:D11)</f>
        <v>99.56470188827349</v>
      </c>
      <c r="G11">
        <f ca="1">_xlfn.STDEV.P($C$2:C11)</f>
        <v>2.7031331820685387</v>
      </c>
      <c r="H11">
        <f t="shared" ca="1" si="2"/>
        <v>102.26783507034203</v>
      </c>
      <c r="I11">
        <f t="shared" ca="1" si="3"/>
        <v>96.861568706204949</v>
      </c>
      <c r="N11">
        <f t="shared" ca="1" si="4"/>
        <v>2.5</v>
      </c>
      <c r="O11">
        <f t="shared" ca="1" si="5"/>
        <v>2.5</v>
      </c>
      <c r="P11">
        <f t="shared" ca="1" si="6"/>
        <v>0</v>
      </c>
    </row>
    <row r="12" spans="1:31" x14ac:dyDescent="0.25">
      <c r="A12" s="21">
        <f t="shared" ca="1" si="0"/>
        <v>45719</v>
      </c>
      <c r="B12" vm="30">
        <f ca="1"/>
        <v>45720</v>
      </c>
      <c r="C12" vm="31">
        <f ca="1"/>
        <v>102.15</v>
      </c>
      <c r="D12" vm="32">
        <f ca="1"/>
        <v>3592034</v>
      </c>
      <c r="E12">
        <f t="shared" ca="1" si="1"/>
        <v>366926273.10000002</v>
      </c>
      <c r="F12">
        <f ca="1">SUM($E$2:E12)/SUM($D$2:D12)</f>
        <v>99.825302533586239</v>
      </c>
      <c r="G12">
        <f ca="1">_xlfn.STDEV.P($C$2:C12)</f>
        <v>2.7213836417564909</v>
      </c>
      <c r="H12">
        <f t="shared" ca="1" si="2"/>
        <v>102.54668617534273</v>
      </c>
      <c r="I12">
        <f t="shared" ca="1" si="3"/>
        <v>97.10391889182975</v>
      </c>
      <c r="N12">
        <f t="shared" ca="1" si="4"/>
        <v>-1.8699999999999903</v>
      </c>
      <c r="O12">
        <f t="shared" ca="1" si="5"/>
        <v>0</v>
      </c>
      <c r="P12">
        <f t="shared" ca="1" si="6"/>
        <v>1.8699999999999903</v>
      </c>
    </row>
    <row r="13" spans="1:31" x14ac:dyDescent="0.25">
      <c r="A13" s="21">
        <f t="shared" ca="1" si="0"/>
        <v>45719</v>
      </c>
      <c r="B13" vm="33">
        <f ca="1"/>
        <v>45721</v>
      </c>
      <c r="C13" vm="34">
        <f ca="1"/>
        <v>100.2</v>
      </c>
      <c r="D13" vm="35">
        <f ca="1"/>
        <v>5509676</v>
      </c>
      <c r="E13">
        <f t="shared" ca="1" si="1"/>
        <v>552069535.20000005</v>
      </c>
      <c r="F13">
        <f ca="1">SUM($E$2:E13)/SUM($D$2:D13)</f>
        <v>99.875478320728476</v>
      </c>
      <c r="G13">
        <f ca="1">_xlfn.STDEV.P($C$2:C13)</f>
        <v>2.6151911975991324</v>
      </c>
      <c r="H13">
        <f t="shared" ca="1" si="2"/>
        <v>102.49066951832761</v>
      </c>
      <c r="I13">
        <f t="shared" ca="1" si="3"/>
        <v>97.260287123129345</v>
      </c>
      <c r="N13">
        <f t="shared" ca="1" si="4"/>
        <v>-1.9500000000000028</v>
      </c>
      <c r="O13">
        <f t="shared" ca="1" si="5"/>
        <v>0</v>
      </c>
      <c r="P13">
        <f t="shared" ca="1" si="6"/>
        <v>1.9500000000000028</v>
      </c>
      <c r="W13" s="9">
        <f ca="1">AVERAGE(C2:C13)</f>
        <v>99.454999999999998</v>
      </c>
    </row>
    <row r="14" spans="1:31" x14ac:dyDescent="0.25">
      <c r="A14" s="21">
        <f t="shared" ca="1" si="0"/>
        <v>45719</v>
      </c>
      <c r="B14" vm="36">
        <f ca="1"/>
        <v>45722</v>
      </c>
      <c r="C14" vm="37">
        <f ca="1"/>
        <v>100.91</v>
      </c>
      <c r="D14" vm="38">
        <f ca="1"/>
        <v>4345916</v>
      </c>
      <c r="E14">
        <f t="shared" ca="1" si="1"/>
        <v>438546383.56</v>
      </c>
      <c r="F14">
        <f ca="1">SUM($E$2:E14)/SUM($D$2:D14)</f>
        <v>99.974310930008585</v>
      </c>
      <c r="G14">
        <f ca="1">_xlfn.STDEV.P($C$2:C14)</f>
        <v>2.5423320143140047</v>
      </c>
      <c r="H14">
        <f t="shared" ca="1" si="2"/>
        <v>102.51664294432258</v>
      </c>
      <c r="I14">
        <f t="shared" ca="1" si="3"/>
        <v>97.431978915694586</v>
      </c>
      <c r="N14">
        <f t="shared" ca="1" si="4"/>
        <v>0.70999999999999375</v>
      </c>
      <c r="O14">
        <f t="shared" ca="1" si="5"/>
        <v>0.70999999999999375</v>
      </c>
      <c r="P14">
        <f t="shared" ca="1" si="6"/>
        <v>0</v>
      </c>
      <c r="W14">
        <f ca="1">C14*(2/(12+1)) + W13*(1-(2/(12+1)))</f>
        <v>99.678846153846152</v>
      </c>
    </row>
    <row r="15" spans="1:31" x14ac:dyDescent="0.25">
      <c r="A15" s="21">
        <f t="shared" ca="1" si="0"/>
        <v>45719</v>
      </c>
      <c r="B15" vm="39">
        <f ca="1"/>
        <v>45723</v>
      </c>
      <c r="C15" vm="40">
        <f ca="1"/>
        <v>103.64</v>
      </c>
      <c r="D15" vm="41">
        <f ca="1"/>
        <v>2865771</v>
      </c>
      <c r="E15">
        <f t="shared" ca="1" si="1"/>
        <v>297008506.44</v>
      </c>
      <c r="F15">
        <f ca="1">SUM($E$2:E15)/SUM($D$2:D15)</f>
        <v>100.19155320905051</v>
      </c>
      <c r="G15">
        <f ca="1">_xlfn.STDEV.P($C$2:C15)</f>
        <v>2.6649823868928229</v>
      </c>
      <c r="H15">
        <f t="shared" ca="1" si="2"/>
        <v>102.85653559594333</v>
      </c>
      <c r="I15">
        <f t="shared" ca="1" si="3"/>
        <v>97.526570822157694</v>
      </c>
      <c r="N15">
        <f t="shared" ca="1" si="4"/>
        <v>2.730000000000004</v>
      </c>
      <c r="O15">
        <f t="shared" ca="1" si="5"/>
        <v>2.730000000000004</v>
      </c>
      <c r="P15">
        <f t="shared" ca="1" si="6"/>
        <v>0</v>
      </c>
      <c r="Q15" s="2">
        <f ca="1">AVERAGE(O3:O16)</f>
        <v>1.1621428571428558</v>
      </c>
      <c r="R15" s="2">
        <f ca="1">AVERAGE(P3:P16)</f>
        <v>0.3835714285714279</v>
      </c>
      <c r="S15">
        <f ca="1">IF(R15=0,NA(),Q15/R15)</f>
        <v>3.0297951582867801</v>
      </c>
      <c r="T15">
        <f ca="1">100-(100/(1+S15))</f>
        <v>75.184842883548995</v>
      </c>
      <c r="U15">
        <f>70</f>
        <v>70</v>
      </c>
      <c r="V15">
        <f>30</f>
        <v>30</v>
      </c>
      <c r="W15">
        <f t="shared" ref="W15:W78" ca="1" si="7">C15*(2/(12+1)) + W14*(1-(2/(12+1)))</f>
        <v>100.28825443786982</v>
      </c>
    </row>
    <row r="16" spans="1:31" x14ac:dyDescent="0.25">
      <c r="A16" s="21">
        <f t="shared" ca="1" si="0"/>
        <v>45726</v>
      </c>
      <c r="B16" vm="42">
        <f ca="1"/>
        <v>45726</v>
      </c>
      <c r="C16" vm="43">
        <f ca="1"/>
        <v>106.66</v>
      </c>
      <c r="D16" vm="44">
        <f ca="1"/>
        <v>3471894</v>
      </c>
      <c r="E16">
        <f t="shared" ca="1" si="1"/>
        <v>370312214.03999996</v>
      </c>
      <c r="F16">
        <f ca="1">SUM($E$2:E16)/SUM($D$2:D16)</f>
        <v>100.6248651692439</v>
      </c>
      <c r="G16">
        <f ca="1">_xlfn.STDEV.P($C$2:C16)</f>
        <v>3.0834436737013493</v>
      </c>
      <c r="H16">
        <f t="shared" ca="1" si="2"/>
        <v>103.70830884294526</v>
      </c>
      <c r="I16">
        <f t="shared" ca="1" si="3"/>
        <v>97.541421495542551</v>
      </c>
      <c r="N16">
        <f t="shared" ca="1" si="4"/>
        <v>3.019999999999996</v>
      </c>
      <c r="O16">
        <f t="shared" ca="1" si="5"/>
        <v>3.019999999999996</v>
      </c>
      <c r="P16">
        <f t="shared" ca="1" si="6"/>
        <v>0</v>
      </c>
      <c r="Q16">
        <f ca="1">(Q15*13+O16)/14</f>
        <v>1.2948469387755088</v>
      </c>
      <c r="R16">
        <f ca="1">(R15*13+P16)/14</f>
        <v>0.35617346938775446</v>
      </c>
      <c r="S16">
        <f t="shared" ref="S16:S79" ca="1" si="8">IF(R16=0,NA(),Q16/R16)</f>
        <v>3.6354390488468726</v>
      </c>
      <c r="T16">
        <f t="shared" ref="T16:T79" ca="1" si="9">100-(100/(1+S16))</f>
        <v>78.427070457354773</v>
      </c>
      <c r="U16">
        <f>70</f>
        <v>70</v>
      </c>
      <c r="V16">
        <f>30</f>
        <v>30</v>
      </c>
      <c r="W16">
        <f t="shared" ca="1" si="7"/>
        <v>101.26852298588986</v>
      </c>
    </row>
    <row r="17" spans="1:25" x14ac:dyDescent="0.25">
      <c r="A17" s="21">
        <f t="shared" ca="1" si="0"/>
        <v>45726</v>
      </c>
      <c r="B17" vm="45">
        <f ca="1"/>
        <v>45727</v>
      </c>
      <c r="C17" vm="46">
        <f ca="1"/>
        <v>103.77</v>
      </c>
      <c r="D17" vm="47">
        <f ca="1"/>
        <v>2731268</v>
      </c>
      <c r="E17">
        <f t="shared" ca="1" si="1"/>
        <v>283423680.36000001</v>
      </c>
      <c r="F17">
        <f ca="1">SUM($E$2:E17)/SUM($D$2:D17)</f>
        <v>100.78231194670883</v>
      </c>
      <c r="G17">
        <f ca="1">_xlfn.STDEV.P($C$2:C17)</f>
        <v>3.1006964943380031</v>
      </c>
      <c r="H17">
        <f t="shared" ca="1" si="2"/>
        <v>103.88300844104684</v>
      </c>
      <c r="I17">
        <f t="shared" ca="1" si="3"/>
        <v>97.681615452370821</v>
      </c>
      <c r="N17">
        <f t="shared" ca="1" si="4"/>
        <v>-2.8900000000000006</v>
      </c>
      <c r="O17">
        <f t="shared" ca="1" si="5"/>
        <v>0</v>
      </c>
      <c r="P17">
        <f t="shared" ca="1" si="6"/>
        <v>2.8900000000000006</v>
      </c>
      <c r="Q17">
        <f t="shared" ref="Q17:Q80" ca="1" si="10">(Q16*13+O17)/14</f>
        <v>1.2023578717201153</v>
      </c>
      <c r="R17">
        <f t="shared" ref="R17:R80" ca="1" si="11">(R16*13+P17)/14</f>
        <v>0.53716107871720065</v>
      </c>
      <c r="S17">
        <f t="shared" ca="1" si="8"/>
        <v>2.2383562759079219</v>
      </c>
      <c r="T17">
        <f t="shared" ca="1" si="9"/>
        <v>69.120136427248582</v>
      </c>
      <c r="U17">
        <f>70</f>
        <v>70</v>
      </c>
      <c r="V17">
        <f>30</f>
        <v>30</v>
      </c>
      <c r="W17">
        <f t="shared" ca="1" si="7"/>
        <v>101.65336560344527</v>
      </c>
    </row>
    <row r="18" spans="1:25" x14ac:dyDescent="0.25">
      <c r="A18" s="21">
        <f t="shared" ca="1" si="0"/>
        <v>45726</v>
      </c>
      <c r="B18" vm="48">
        <f ca="1"/>
        <v>45728</v>
      </c>
      <c r="C18" vm="49">
        <f ca="1"/>
        <v>102.64</v>
      </c>
      <c r="D18" vm="50">
        <f ca="1"/>
        <v>3739207</v>
      </c>
      <c r="E18">
        <f t="shared" ca="1" si="1"/>
        <v>383792206.48000002</v>
      </c>
      <c r="F18">
        <f ca="1">SUM($E$2:E18)/SUM($D$2:D18)</f>
        <v>100.90146190918534</v>
      </c>
      <c r="G18">
        <f ca="1">_xlfn.STDEV.P($C$2:C18)</f>
        <v>3.0489076834636566</v>
      </c>
      <c r="H18">
        <f t="shared" ca="1" si="2"/>
        <v>103.950369592649</v>
      </c>
      <c r="I18">
        <f t="shared" ca="1" si="3"/>
        <v>97.85255422572169</v>
      </c>
      <c r="N18">
        <f t="shared" ca="1" si="4"/>
        <v>-1.1299999999999955</v>
      </c>
      <c r="O18">
        <f t="shared" ca="1" si="5"/>
        <v>0</v>
      </c>
      <c r="P18">
        <f t="shared" ca="1" si="6"/>
        <v>1.1299999999999955</v>
      </c>
      <c r="Q18">
        <f t="shared" ca="1" si="10"/>
        <v>1.1164751665972499</v>
      </c>
      <c r="R18">
        <f t="shared" ca="1" si="11"/>
        <v>0.57950671595168601</v>
      </c>
      <c r="S18">
        <f t="shared" ca="1" si="8"/>
        <v>1.9265957336900499</v>
      </c>
      <c r="T18">
        <f t="shared" ca="1" si="9"/>
        <v>65.83060692365828</v>
      </c>
      <c r="U18">
        <f>70</f>
        <v>70</v>
      </c>
      <c r="V18">
        <f>30</f>
        <v>30</v>
      </c>
      <c r="W18">
        <f t="shared" ca="1" si="7"/>
        <v>101.80515551060753</v>
      </c>
    </row>
    <row r="19" spans="1:25" x14ac:dyDescent="0.25">
      <c r="A19" s="21">
        <f t="shared" ca="1" si="0"/>
        <v>45726</v>
      </c>
      <c r="B19" vm="51">
        <f ca="1"/>
        <v>45729</v>
      </c>
      <c r="C19" vm="52">
        <f ca="1"/>
        <v>104.57</v>
      </c>
      <c r="D19" vm="53">
        <f ca="1"/>
        <v>2392163</v>
      </c>
      <c r="E19">
        <f t="shared" ca="1" si="1"/>
        <v>250148484.91</v>
      </c>
      <c r="F19">
        <f ca="1">SUM($E$2:E19)/SUM($D$2:D19)</f>
        <v>101.04605946555522</v>
      </c>
      <c r="G19">
        <f ca="1">_xlfn.STDEV.P($C$2:C19)</f>
        <v>3.0959551967441157</v>
      </c>
      <c r="H19">
        <f t="shared" ca="1" si="2"/>
        <v>104.14201466229933</v>
      </c>
      <c r="I19">
        <f t="shared" ca="1" si="3"/>
        <v>97.950104268811103</v>
      </c>
      <c r="N19">
        <f t="shared" ca="1" si="4"/>
        <v>1.9299999999999926</v>
      </c>
      <c r="O19">
        <f t="shared" ca="1" si="5"/>
        <v>1.9299999999999926</v>
      </c>
      <c r="P19">
        <f t="shared" ca="1" si="6"/>
        <v>0</v>
      </c>
      <c r="Q19">
        <f t="shared" ca="1" si="10"/>
        <v>1.1745840832688743</v>
      </c>
      <c r="R19">
        <f t="shared" ca="1" si="11"/>
        <v>0.53811337909799417</v>
      </c>
      <c r="S19">
        <f t="shared" ca="1" si="8"/>
        <v>2.1827817870608537</v>
      </c>
      <c r="T19">
        <f t="shared" ca="1" si="9"/>
        <v>68.580943749729954</v>
      </c>
      <c r="U19">
        <f>70</f>
        <v>70</v>
      </c>
      <c r="V19">
        <f>30</f>
        <v>30</v>
      </c>
      <c r="W19">
        <f t="shared" ca="1" si="7"/>
        <v>102.23051620128329</v>
      </c>
    </row>
    <row r="20" spans="1:25" x14ac:dyDescent="0.25">
      <c r="A20" s="21">
        <f t="shared" ca="1" si="0"/>
        <v>45726</v>
      </c>
      <c r="B20" vm="54">
        <f ca="1"/>
        <v>45730</v>
      </c>
      <c r="C20" vm="55">
        <f ca="1"/>
        <v>106.41</v>
      </c>
      <c r="D20" vm="56">
        <f ca="1"/>
        <v>3779158</v>
      </c>
      <c r="E20">
        <f t="shared" ca="1" si="1"/>
        <v>402140202.77999997</v>
      </c>
      <c r="F20">
        <f ca="1">SUM($E$2:E20)/SUM($D$2:D20)</f>
        <v>101.3604877673563</v>
      </c>
      <c r="G20">
        <f ca="1">_xlfn.STDEV.P($C$2:C20)</f>
        <v>3.2574689799174812</v>
      </c>
      <c r="H20">
        <f t="shared" ca="1" si="2"/>
        <v>104.61795674727378</v>
      </c>
      <c r="I20">
        <f t="shared" ca="1" si="3"/>
        <v>98.103018787438828</v>
      </c>
      <c r="N20">
        <f t="shared" ca="1" si="4"/>
        <v>1.8400000000000034</v>
      </c>
      <c r="O20">
        <f t="shared" ca="1" si="5"/>
        <v>1.8400000000000034</v>
      </c>
      <c r="P20">
        <f t="shared" ca="1" si="6"/>
        <v>0</v>
      </c>
      <c r="Q20">
        <f t="shared" ca="1" si="10"/>
        <v>1.2221137916068121</v>
      </c>
      <c r="R20">
        <f t="shared" ca="1" si="11"/>
        <v>0.49967670916242313</v>
      </c>
      <c r="S20">
        <f t="shared" ca="1" si="8"/>
        <v>2.4458089984929758</v>
      </c>
      <c r="T20">
        <f t="shared" ca="1" si="9"/>
        <v>70.979238824979859</v>
      </c>
      <c r="U20">
        <f>70</f>
        <v>70</v>
      </c>
      <c r="V20">
        <f>30</f>
        <v>30</v>
      </c>
      <c r="W20">
        <f t="shared" ca="1" si="7"/>
        <v>102.87351370877816</v>
      </c>
    </row>
    <row r="21" spans="1:25" x14ac:dyDescent="0.25">
      <c r="A21" s="21">
        <f t="shared" ca="1" si="0"/>
        <v>45733</v>
      </c>
      <c r="B21" vm="57">
        <f ca="1"/>
        <v>45733</v>
      </c>
      <c r="C21" vm="58">
        <f ca="1"/>
        <v>107.62</v>
      </c>
      <c r="D21" vm="59">
        <f ca="1"/>
        <v>3930736</v>
      </c>
      <c r="E21">
        <f t="shared" ca="1" si="1"/>
        <v>423025808.31999999</v>
      </c>
      <c r="F21">
        <f ca="1">SUM($E$2:E21)/SUM($D$2:D21)</f>
        <v>101.72019889535619</v>
      </c>
      <c r="G21">
        <f ca="1">_xlfn.STDEV.P($C$2:C21)</f>
        <v>3.4730611857552964</v>
      </c>
      <c r="H21">
        <f t="shared" ca="1" si="2"/>
        <v>105.19326008111149</v>
      </c>
      <c r="I21">
        <f t="shared" ca="1" si="3"/>
        <v>98.247137709600892</v>
      </c>
      <c r="J21">
        <f ca="1">AVERAGE(C2:C21)</f>
        <v>101.48400000000001</v>
      </c>
      <c r="K21">
        <f ca="1">_xlfn.STDEV.S(C2:C21)</f>
        <v>3.56328559205213</v>
      </c>
      <c r="L21">
        <f ca="1">J21 + 2*K21</f>
        <v>108.61057118410427</v>
      </c>
      <c r="M21">
        <f ca="1">J21-2*K21</f>
        <v>94.357428815895744</v>
      </c>
      <c r="N21">
        <f t="shared" ca="1" si="4"/>
        <v>1.210000000000008</v>
      </c>
      <c r="O21">
        <f t="shared" ca="1" si="5"/>
        <v>1.210000000000008</v>
      </c>
      <c r="P21">
        <f t="shared" ca="1" si="6"/>
        <v>0</v>
      </c>
      <c r="Q21">
        <f t="shared" ca="1" si="10"/>
        <v>1.2212485207777546</v>
      </c>
      <c r="R21">
        <f t="shared" ca="1" si="11"/>
        <v>0.46398551565082152</v>
      </c>
      <c r="S21">
        <f t="shared" ca="1" si="8"/>
        <v>2.6320832861877985</v>
      </c>
      <c r="T21">
        <f t="shared" ca="1" si="9"/>
        <v>72.467591704110106</v>
      </c>
      <c r="U21">
        <f>70</f>
        <v>70</v>
      </c>
      <c r="V21">
        <f>30</f>
        <v>30</v>
      </c>
      <c r="W21">
        <f t="shared" ca="1" si="7"/>
        <v>103.60374236896612</v>
      </c>
    </row>
    <row r="22" spans="1:25" x14ac:dyDescent="0.25">
      <c r="A22" s="21">
        <f t="shared" ca="1" si="0"/>
        <v>45733</v>
      </c>
      <c r="B22" vm="60">
        <f ca="1"/>
        <v>45734</v>
      </c>
      <c r="C22" vm="61">
        <f ca="1"/>
        <v>107.81</v>
      </c>
      <c r="D22" vm="62">
        <f ca="1"/>
        <v>3275711</v>
      </c>
      <c r="E22">
        <f t="shared" ca="1" si="1"/>
        <v>353154402.91000003</v>
      </c>
      <c r="F22">
        <f ca="1">SUM($E$2:E22)/SUM($D$2:D22)</f>
        <v>101.99851124965072</v>
      </c>
      <c r="G22">
        <f ca="1">_xlfn.STDEV.P($C$2:C22)</f>
        <v>3.6472802901256731</v>
      </c>
      <c r="H22">
        <f t="shared" ca="1" si="2"/>
        <v>105.6457915397764</v>
      </c>
      <c r="I22">
        <f t="shared" ca="1" si="3"/>
        <v>98.35123095952504</v>
      </c>
      <c r="J22">
        <f t="shared" ref="J22:J85" ca="1" si="12">AVERAGE(C3:C22)</f>
        <v>102.08650000000003</v>
      </c>
      <c r="K22">
        <f t="shared" ref="K22:K85" ca="1" si="13">_xlfn.STDEV.S(C3:C22)</f>
        <v>3.5632410955846288</v>
      </c>
      <c r="L22">
        <f t="shared" ref="L22:L85" ca="1" si="14">J22 + 2*K22</f>
        <v>109.21298219116929</v>
      </c>
      <c r="M22">
        <f t="shared" ref="M22:M85" ca="1" si="15">J22-2*K22</f>
        <v>94.96001780883077</v>
      </c>
      <c r="N22">
        <f t="shared" ca="1" si="4"/>
        <v>0.18999999999999773</v>
      </c>
      <c r="O22">
        <f t="shared" ca="1" si="5"/>
        <v>0.18999999999999773</v>
      </c>
      <c r="P22">
        <f t="shared" ca="1" si="6"/>
        <v>0</v>
      </c>
      <c r="Q22">
        <f t="shared" ca="1" si="10"/>
        <v>1.1475879121507719</v>
      </c>
      <c r="R22">
        <f t="shared" ca="1" si="11"/>
        <v>0.43084369310433429</v>
      </c>
      <c r="S22">
        <f t="shared" ca="1" si="8"/>
        <v>2.6635829432296432</v>
      </c>
      <c r="T22">
        <f t="shared" ca="1" si="9"/>
        <v>72.704316634948441</v>
      </c>
      <c r="U22">
        <f>70</f>
        <v>70</v>
      </c>
      <c r="V22">
        <f>30</f>
        <v>30</v>
      </c>
      <c r="W22">
        <f t="shared" ca="1" si="7"/>
        <v>104.25085892758672</v>
      </c>
    </row>
    <row r="23" spans="1:25" x14ac:dyDescent="0.25">
      <c r="A23" s="21">
        <f t="shared" ca="1" si="0"/>
        <v>45733</v>
      </c>
      <c r="B23" vm="63">
        <f ca="1"/>
        <v>45735</v>
      </c>
      <c r="C23" vm="64">
        <f ca="1"/>
        <v>107.49</v>
      </c>
      <c r="D23" vm="65">
        <f ca="1"/>
        <v>2293611</v>
      </c>
      <c r="E23">
        <f t="shared" ca="1" si="1"/>
        <v>246540246.38999999</v>
      </c>
      <c r="F23">
        <f ca="1">SUM($E$2:E23)/SUM($D$2:D23)</f>
        <v>102.16878753220189</v>
      </c>
      <c r="G23">
        <f ca="1">_xlfn.STDEV.P($C$2:C23)</f>
        <v>3.7563325044912501</v>
      </c>
      <c r="H23">
        <f t="shared" ca="1" si="2"/>
        <v>105.92512003669314</v>
      </c>
      <c r="I23">
        <f t="shared" ca="1" si="3"/>
        <v>98.412455027710635</v>
      </c>
      <c r="J23">
        <f t="shared" ca="1" si="12"/>
        <v>102.69800000000001</v>
      </c>
      <c r="K23">
        <f t="shared" ca="1" si="13"/>
        <v>3.3744794530338091</v>
      </c>
      <c r="L23">
        <f t="shared" ca="1" si="14"/>
        <v>109.44695890606762</v>
      </c>
      <c r="M23">
        <f t="shared" ca="1" si="15"/>
        <v>95.949041093932394</v>
      </c>
      <c r="N23">
        <f t="shared" ca="1" si="4"/>
        <v>-0.32000000000000739</v>
      </c>
      <c r="O23">
        <f t="shared" ca="1" si="5"/>
        <v>0</v>
      </c>
      <c r="P23">
        <f t="shared" ca="1" si="6"/>
        <v>0.32000000000000739</v>
      </c>
      <c r="Q23">
        <f t="shared" ca="1" si="10"/>
        <v>1.0656173469971455</v>
      </c>
      <c r="R23">
        <f t="shared" ca="1" si="11"/>
        <v>0.42292628645402525</v>
      </c>
      <c r="S23">
        <f t="shared" ca="1" si="8"/>
        <v>2.5196290255015512</v>
      </c>
      <c r="T23">
        <f t="shared" ca="1" si="9"/>
        <v>71.587914727533004</v>
      </c>
      <c r="U23">
        <f>70</f>
        <v>70</v>
      </c>
      <c r="V23">
        <f>30</f>
        <v>30</v>
      </c>
      <c r="W23">
        <f t="shared" ca="1" si="7"/>
        <v>104.74918832334261</v>
      </c>
    </row>
    <row r="24" spans="1:25" x14ac:dyDescent="0.25">
      <c r="A24" s="21">
        <f t="shared" ca="1" si="0"/>
        <v>45733</v>
      </c>
      <c r="B24" vm="66">
        <f ca="1"/>
        <v>45736</v>
      </c>
      <c r="C24" vm="67">
        <f ca="1"/>
        <v>108.48</v>
      </c>
      <c r="D24" vm="68">
        <f ca="1"/>
        <v>1896164</v>
      </c>
      <c r="E24">
        <f t="shared" ca="1" si="1"/>
        <v>205695870.72</v>
      </c>
      <c r="F24">
        <f ca="1">SUM($E$2:E24)/SUM($D$2:D24)</f>
        <v>102.32652704397471</v>
      </c>
      <c r="G24">
        <f ca="1">_xlfn.STDEV.P($C$2:C24)</f>
        <v>3.9011434512003134</v>
      </c>
      <c r="H24">
        <f t="shared" ca="1" si="2"/>
        <v>106.22767049517502</v>
      </c>
      <c r="I24">
        <f t="shared" ca="1" si="3"/>
        <v>98.425383592774395</v>
      </c>
      <c r="J24">
        <f t="shared" ca="1" si="12"/>
        <v>103.33399999999999</v>
      </c>
      <c r="K24">
        <f t="shared" ca="1" si="13"/>
        <v>3.191772977021095</v>
      </c>
      <c r="L24">
        <f t="shared" ca="1" si="14"/>
        <v>109.71754595404218</v>
      </c>
      <c r="M24">
        <f t="shared" ca="1" si="15"/>
        <v>96.950454045957798</v>
      </c>
      <c r="N24">
        <f t="shared" ca="1" si="4"/>
        <v>0.99000000000000909</v>
      </c>
      <c r="O24">
        <f t="shared" ca="1" si="5"/>
        <v>0.99000000000000909</v>
      </c>
      <c r="P24">
        <f t="shared" ca="1" si="6"/>
        <v>0</v>
      </c>
      <c r="Q24">
        <f t="shared" ca="1" si="10"/>
        <v>1.0602161079259216</v>
      </c>
      <c r="R24">
        <f t="shared" ca="1" si="11"/>
        <v>0.39271726599302342</v>
      </c>
      <c r="S24">
        <f t="shared" ca="1" si="8"/>
        <v>2.6996931373645188</v>
      </c>
      <c r="T24">
        <f t="shared" ca="1" si="9"/>
        <v>72.970731277666147</v>
      </c>
      <c r="U24">
        <f>70</f>
        <v>70</v>
      </c>
      <c r="V24">
        <f>30</f>
        <v>30</v>
      </c>
      <c r="W24">
        <f t="shared" ca="1" si="7"/>
        <v>105.32315935052067</v>
      </c>
    </row>
    <row r="25" spans="1:25" x14ac:dyDescent="0.25">
      <c r="A25" s="21">
        <f t="shared" ca="1" si="0"/>
        <v>45733</v>
      </c>
      <c r="B25" vm="69">
        <f ca="1"/>
        <v>45737</v>
      </c>
      <c r="C25" vm="70">
        <f ca="1"/>
        <v>107.8</v>
      </c>
      <c r="D25" vm="71">
        <f ca="1"/>
        <v>4415458</v>
      </c>
      <c r="E25">
        <f t="shared" ca="1" si="1"/>
        <v>475986372.39999998</v>
      </c>
      <c r="F25">
        <f ca="1">SUM($E$2:E25)/SUM($D$2:D25)</f>
        <v>102.62756587621108</v>
      </c>
      <c r="G25">
        <f ca="1">_xlfn.STDEV.P($C$2:C25)</f>
        <v>3.972659950629216</v>
      </c>
      <c r="H25">
        <f t="shared" ca="1" si="2"/>
        <v>106.6002258268403</v>
      </c>
      <c r="I25">
        <f t="shared" ca="1" si="3"/>
        <v>98.654905925581858</v>
      </c>
      <c r="J25">
        <f t="shared" ca="1" si="12"/>
        <v>103.81100000000001</v>
      </c>
      <c r="K25">
        <f t="shared" ca="1" si="13"/>
        <v>3.1052585280964591</v>
      </c>
      <c r="L25">
        <f t="shared" ca="1" si="14"/>
        <v>110.02151705619292</v>
      </c>
      <c r="M25">
        <f t="shared" ca="1" si="15"/>
        <v>97.600482943807094</v>
      </c>
      <c r="N25">
        <f t="shared" ca="1" si="4"/>
        <v>-0.68000000000000682</v>
      </c>
      <c r="O25">
        <f t="shared" ca="1" si="5"/>
        <v>0</v>
      </c>
      <c r="P25">
        <f t="shared" ca="1" si="6"/>
        <v>0.68000000000000682</v>
      </c>
      <c r="Q25">
        <f t="shared" ca="1" si="10"/>
        <v>0.98448638593121285</v>
      </c>
      <c r="R25">
        <f t="shared" ca="1" si="11"/>
        <v>0.41323746127923655</v>
      </c>
      <c r="S25">
        <f t="shared" ca="1" si="8"/>
        <v>2.3823744896786279</v>
      </c>
      <c r="T25">
        <f t="shared" ca="1" si="9"/>
        <v>70.434970963401099</v>
      </c>
      <c r="U25">
        <f>70</f>
        <v>70</v>
      </c>
      <c r="V25">
        <f>30</f>
        <v>30</v>
      </c>
      <c r="W25">
        <f t="shared" ca="1" si="7"/>
        <v>105.70421175813287</v>
      </c>
    </row>
    <row r="26" spans="1:25" x14ac:dyDescent="0.25">
      <c r="A26" s="21">
        <f t="shared" ca="1" si="0"/>
        <v>45740</v>
      </c>
      <c r="B26" vm="72">
        <f ca="1"/>
        <v>45740</v>
      </c>
      <c r="C26" vm="73">
        <f ca="1"/>
        <v>106.83</v>
      </c>
      <c r="D26" vm="74">
        <f ca="1"/>
        <v>1897938</v>
      </c>
      <c r="E26">
        <f t="shared" ca="1" si="1"/>
        <v>202756716.53999999</v>
      </c>
      <c r="F26">
        <f ca="1">SUM($E$2:E26)/SUM($D$2:D26)</f>
        <v>102.72462113006328</v>
      </c>
      <c r="G26">
        <f ca="1">_xlfn.STDEV.P($C$2:C26)</f>
        <v>3.9816266826511977</v>
      </c>
      <c r="H26">
        <f t="shared" ca="1" si="2"/>
        <v>106.70624781271448</v>
      </c>
      <c r="I26">
        <f t="shared" ca="1" si="3"/>
        <v>98.742994447412087</v>
      </c>
      <c r="J26">
        <f t="shared" ca="1" si="12"/>
        <v>104.16849999999999</v>
      </c>
      <c r="K26">
        <f t="shared" ca="1" si="13"/>
        <v>3.0149020670138214</v>
      </c>
      <c r="L26">
        <f t="shared" ca="1" si="14"/>
        <v>110.19830413402764</v>
      </c>
      <c r="M26">
        <f t="shared" ca="1" si="15"/>
        <v>98.138695865972352</v>
      </c>
      <c r="N26">
        <f t="shared" ca="1" si="4"/>
        <v>-0.96999999999999886</v>
      </c>
      <c r="O26">
        <f t="shared" ca="1" si="5"/>
        <v>0</v>
      </c>
      <c r="P26">
        <f t="shared" ca="1" si="6"/>
        <v>0.96999999999999886</v>
      </c>
      <c r="Q26">
        <f t="shared" ca="1" si="10"/>
        <v>0.91416592979326905</v>
      </c>
      <c r="R26">
        <f t="shared" ca="1" si="11"/>
        <v>0.45300621404500524</v>
      </c>
      <c r="S26">
        <f t="shared" ca="1" si="8"/>
        <v>2.0179986531099736</v>
      </c>
      <c r="T26">
        <f t="shared" ca="1" si="9"/>
        <v>66.86545903625489</v>
      </c>
      <c r="U26">
        <f>70</f>
        <v>70</v>
      </c>
      <c r="V26">
        <f>30</f>
        <v>30</v>
      </c>
      <c r="W26">
        <f t="shared" ca="1" si="7"/>
        <v>105.87740994918936</v>
      </c>
    </row>
    <row r="27" spans="1:25" x14ac:dyDescent="0.25">
      <c r="A27" s="21">
        <f t="shared" ca="1" si="0"/>
        <v>45740</v>
      </c>
      <c r="B27" vm="75">
        <f ca="1"/>
        <v>45741</v>
      </c>
      <c r="C27" vm="76">
        <f ca="1"/>
        <v>105.55</v>
      </c>
      <c r="D27" vm="77">
        <f ca="1"/>
        <v>2543771</v>
      </c>
      <c r="E27">
        <f t="shared" ca="1" si="1"/>
        <v>268495029.05000001</v>
      </c>
      <c r="F27">
        <f ca="1">SUM($E$2:E27)/SUM($D$2:D27)</f>
        <v>102.80945154880273</v>
      </c>
      <c r="G27">
        <f ca="1">_xlfn.STDEV.P($C$2:C27)</f>
        <v>3.9419590089703314</v>
      </c>
      <c r="H27">
        <f t="shared" ca="1" si="2"/>
        <v>106.75141055777306</v>
      </c>
      <c r="I27">
        <f t="shared" ca="1" si="3"/>
        <v>98.867492539832398</v>
      </c>
      <c r="J27">
        <f t="shared" ca="1" si="12"/>
        <v>104.39749999999999</v>
      </c>
      <c r="K27">
        <f t="shared" ca="1" si="13"/>
        <v>2.9319687565650634</v>
      </c>
      <c r="L27">
        <f t="shared" ca="1" si="14"/>
        <v>110.26143751313012</v>
      </c>
      <c r="M27">
        <f t="shared" ca="1" si="15"/>
        <v>98.533562486869869</v>
      </c>
      <c r="N27">
        <f t="shared" ca="1" si="4"/>
        <v>-1.2800000000000011</v>
      </c>
      <c r="O27">
        <f t="shared" ca="1" si="5"/>
        <v>0</v>
      </c>
      <c r="P27">
        <f t="shared" ca="1" si="6"/>
        <v>1.2800000000000011</v>
      </c>
      <c r="Q27">
        <f t="shared" ca="1" si="10"/>
        <v>0.84886836337946403</v>
      </c>
      <c r="R27">
        <f t="shared" ca="1" si="11"/>
        <v>0.51207719875607638</v>
      </c>
      <c r="S27">
        <f t="shared" ca="1" si="8"/>
        <v>1.6576960767663769</v>
      </c>
      <c r="T27">
        <f t="shared" ca="1" si="9"/>
        <v>62.373425285832468</v>
      </c>
      <c r="U27">
        <f>70</f>
        <v>70</v>
      </c>
      <c r="V27">
        <f>30</f>
        <v>30</v>
      </c>
      <c r="W27">
        <f t="shared" ca="1" si="7"/>
        <v>105.82703918777561</v>
      </c>
      <c r="X27" s="9">
        <f ca="1">AVERAGE(C2:C27)</f>
        <v>102.83230769230771</v>
      </c>
      <c r="Y27">
        <f ca="1">W28-X28</f>
        <v>2.9031642130181154</v>
      </c>
    </row>
    <row r="28" spans="1:25" x14ac:dyDescent="0.25">
      <c r="A28" s="21">
        <f t="shared" ca="1" si="0"/>
        <v>45740</v>
      </c>
      <c r="B28" vm="78">
        <f ca="1"/>
        <v>45742</v>
      </c>
      <c r="C28" vm="79">
        <f ca="1"/>
        <v>107.46</v>
      </c>
      <c r="D28" vm="80">
        <f ca="1"/>
        <v>1925093</v>
      </c>
      <c r="E28">
        <f t="shared" ca="1" si="1"/>
        <v>206870493.78</v>
      </c>
      <c r="F28">
        <f ca="1">SUM($E$2:E28)/SUM($D$2:D28)</f>
        <v>102.9127741069031</v>
      </c>
      <c r="G28">
        <f ca="1">_xlfn.STDEV.P($C$2:C28)</f>
        <v>3.9657675434277269</v>
      </c>
      <c r="H28">
        <f t="shared" ca="1" si="2"/>
        <v>106.87854165033083</v>
      </c>
      <c r="I28">
        <f t="shared" ca="1" si="3"/>
        <v>98.947006563475369</v>
      </c>
      <c r="J28">
        <f t="shared" ca="1" si="12"/>
        <v>104.77249999999999</v>
      </c>
      <c r="K28">
        <f t="shared" ca="1" si="13"/>
        <v>2.8116990087471083</v>
      </c>
      <c r="L28">
        <f t="shared" ca="1" si="14"/>
        <v>110.3958980174942</v>
      </c>
      <c r="M28">
        <f t="shared" ca="1" si="15"/>
        <v>99.149101982505783</v>
      </c>
      <c r="N28">
        <f t="shared" ca="1" si="4"/>
        <v>1.9099999999999966</v>
      </c>
      <c r="O28">
        <f t="shared" ca="1" si="5"/>
        <v>1.9099999999999966</v>
      </c>
      <c r="P28">
        <f t="shared" ca="1" si="6"/>
        <v>0</v>
      </c>
      <c r="Q28">
        <f t="shared" ca="1" si="10"/>
        <v>0.92466348028093059</v>
      </c>
      <c r="R28">
        <f t="shared" ca="1" si="11"/>
        <v>0.47550025598778517</v>
      </c>
      <c r="S28">
        <f t="shared" ca="1" si="8"/>
        <v>1.944611950544741</v>
      </c>
      <c r="T28">
        <f t="shared" ca="1" si="9"/>
        <v>66.039667813784291</v>
      </c>
      <c r="U28">
        <f>70</f>
        <v>70</v>
      </c>
      <c r="V28">
        <f>30</f>
        <v>30</v>
      </c>
      <c r="W28">
        <f t="shared" ca="1" si="7"/>
        <v>106.07826392811783</v>
      </c>
      <c r="X28">
        <f ca="1">C28*(2/(26+1)) + X27*(1-(2/(26+1)))</f>
        <v>103.17509971509972</v>
      </c>
      <c r="Y28">
        <f t="shared" ref="Y28:Y91" ca="1" si="16">W29-X29</f>
        <v>2.8326409665059487</v>
      </c>
    </row>
    <row r="29" spans="1:25" x14ac:dyDescent="0.25">
      <c r="A29" s="21">
        <f t="shared" ca="1" si="0"/>
        <v>45740</v>
      </c>
      <c r="B29" vm="81">
        <f ca="1"/>
        <v>45743</v>
      </c>
      <c r="C29" vm="82">
        <f ca="1"/>
        <v>107.89</v>
      </c>
      <c r="D29" vm="83">
        <f ca="1"/>
        <v>1859144</v>
      </c>
      <c r="E29">
        <f t="shared" ca="1" si="1"/>
        <v>200583046.16</v>
      </c>
      <c r="F29">
        <f ca="1">SUM($E$2:E29)/SUM($D$2:D29)</f>
        <v>103.01732311216003</v>
      </c>
      <c r="G29">
        <f ca="1">_xlfn.STDEV.P($C$2:C29)</f>
        <v>3.9984845821988135</v>
      </c>
      <c r="H29">
        <f t="shared" ca="1" si="2"/>
        <v>107.01580769435884</v>
      </c>
      <c r="I29">
        <f t="shared" ca="1" si="3"/>
        <v>99.018838529961215</v>
      </c>
      <c r="J29">
        <f t="shared" ca="1" si="12"/>
        <v>105.17100000000001</v>
      </c>
      <c r="K29">
        <f t="shared" ca="1" si="13"/>
        <v>2.6477734439574538</v>
      </c>
      <c r="L29">
        <f t="shared" ca="1" si="14"/>
        <v>110.46654688791492</v>
      </c>
      <c r="M29">
        <f t="shared" ca="1" si="15"/>
        <v>99.875453112085097</v>
      </c>
      <c r="N29">
        <f t="shared" ca="1" si="4"/>
        <v>0.43000000000000682</v>
      </c>
      <c r="O29">
        <f t="shared" ca="1" si="5"/>
        <v>0.43000000000000682</v>
      </c>
      <c r="P29">
        <f t="shared" ca="1" si="6"/>
        <v>0</v>
      </c>
      <c r="Q29">
        <f t="shared" ca="1" si="10"/>
        <v>0.88933037454657893</v>
      </c>
      <c r="R29">
        <f t="shared" ca="1" si="11"/>
        <v>0.44153595198865764</v>
      </c>
      <c r="S29">
        <f t="shared" ca="1" si="8"/>
        <v>2.0141743170427588</v>
      </c>
      <c r="T29">
        <f t="shared" ca="1" si="9"/>
        <v>66.82341846170624</v>
      </c>
      <c r="U29">
        <f>70</f>
        <v>70</v>
      </c>
      <c r="V29">
        <f>30</f>
        <v>30</v>
      </c>
      <c r="W29">
        <f t="shared" ca="1" si="7"/>
        <v>106.35699255456124</v>
      </c>
      <c r="X29">
        <f t="shared" ref="X29:X92" ca="1" si="17">C29*(2/(26+1)) + X28*(1-(2/(26+1)))</f>
        <v>103.5243515880553</v>
      </c>
      <c r="Y29">
        <f t="shared" ca="1" si="16"/>
        <v>2.8153063321558989</v>
      </c>
    </row>
    <row r="30" spans="1:25" x14ac:dyDescent="0.25">
      <c r="A30" s="21">
        <f t="shared" ca="1" si="0"/>
        <v>45740</v>
      </c>
      <c r="B30" vm="84">
        <f ca="1"/>
        <v>45744</v>
      </c>
      <c r="C30" vm="85">
        <f ca="1"/>
        <v>108.77</v>
      </c>
      <c r="D30" vm="86">
        <f ca="1"/>
        <v>2392331</v>
      </c>
      <c r="E30">
        <f t="shared" ca="1" si="1"/>
        <v>260213842.87</v>
      </c>
      <c r="F30">
        <f ca="1">SUM($E$2:E30)/SUM($D$2:D30)</f>
        <v>103.16872377688634</v>
      </c>
      <c r="G30">
        <f ca="1">_xlfn.STDEV.P($C$2:C30)</f>
        <v>4.0592613094159473</v>
      </c>
      <c r="H30">
        <f t="shared" ca="1" si="2"/>
        <v>107.22798508630228</v>
      </c>
      <c r="I30">
        <f t="shared" ca="1" si="3"/>
        <v>99.109462467470394</v>
      </c>
      <c r="J30">
        <f t="shared" ca="1" si="12"/>
        <v>105.5335</v>
      </c>
      <c r="K30">
        <f t="shared" ca="1" si="13"/>
        <v>2.6177356124792479</v>
      </c>
      <c r="L30">
        <f t="shared" ca="1" si="14"/>
        <v>110.76897122495851</v>
      </c>
      <c r="M30">
        <f t="shared" ca="1" si="15"/>
        <v>100.2980287750415</v>
      </c>
      <c r="N30">
        <f t="shared" ca="1" si="4"/>
        <v>0.87999999999999545</v>
      </c>
      <c r="O30">
        <f t="shared" ca="1" si="5"/>
        <v>0.87999999999999545</v>
      </c>
      <c r="P30">
        <f t="shared" ca="1" si="6"/>
        <v>0</v>
      </c>
      <c r="Q30">
        <f t="shared" ca="1" si="10"/>
        <v>0.88866391922182297</v>
      </c>
      <c r="R30">
        <f t="shared" ca="1" si="11"/>
        <v>0.40999766970375351</v>
      </c>
      <c r="S30">
        <f t="shared" ca="1" si="8"/>
        <v>2.1674852929382085</v>
      </c>
      <c r="T30">
        <f t="shared" ca="1" si="9"/>
        <v>68.429214107814076</v>
      </c>
      <c r="U30">
        <f>70</f>
        <v>70</v>
      </c>
      <c r="V30">
        <f>30</f>
        <v>30</v>
      </c>
      <c r="W30">
        <f t="shared" ca="1" si="7"/>
        <v>106.72822446924414</v>
      </c>
      <c r="X30">
        <f t="shared" ca="1" si="17"/>
        <v>103.91291813708824</v>
      </c>
      <c r="Y30">
        <f t="shared" ca="1" si="16"/>
        <v>2.914826988067901</v>
      </c>
    </row>
    <row r="31" spans="1:25" x14ac:dyDescent="0.25">
      <c r="A31" s="21">
        <f t="shared" ca="1" si="0"/>
        <v>45747</v>
      </c>
      <c r="B31" vm="87">
        <f ca="1"/>
        <v>45747</v>
      </c>
      <c r="C31" vm="88">
        <f ca="1"/>
        <v>110.59</v>
      </c>
      <c r="D31" vm="89">
        <f ca="1"/>
        <v>2920439</v>
      </c>
      <c r="E31">
        <f t="shared" ca="1" si="1"/>
        <v>322971349.00999999</v>
      </c>
      <c r="F31">
        <f ca="1">SUM($E$2:E31)/SUM($D$2:D31)</f>
        <v>103.39973319061944</v>
      </c>
      <c r="G31">
        <f ca="1">_xlfn.STDEV.P($C$2:C31)</f>
        <v>4.1961363842891881</v>
      </c>
      <c r="H31">
        <f t="shared" ca="1" si="2"/>
        <v>107.59586957490863</v>
      </c>
      <c r="I31">
        <f t="shared" ca="1" si="3"/>
        <v>99.203596806330253</v>
      </c>
      <c r="J31">
        <f t="shared" ca="1" si="12"/>
        <v>105.86199999999999</v>
      </c>
      <c r="K31">
        <f t="shared" ca="1" si="13"/>
        <v>2.8220701621327557</v>
      </c>
      <c r="L31">
        <f t="shared" ca="1" si="14"/>
        <v>111.5061403242655</v>
      </c>
      <c r="M31">
        <f t="shared" ca="1" si="15"/>
        <v>100.21785967573449</v>
      </c>
      <c r="N31">
        <f t="shared" ca="1" si="4"/>
        <v>1.8200000000000074</v>
      </c>
      <c r="O31">
        <f t="shared" ca="1" si="5"/>
        <v>1.8200000000000074</v>
      </c>
      <c r="P31">
        <f t="shared" ca="1" si="6"/>
        <v>0</v>
      </c>
      <c r="Q31">
        <f t="shared" ca="1" si="10"/>
        <v>0.95518792499169336</v>
      </c>
      <c r="R31">
        <f t="shared" ca="1" si="11"/>
        <v>0.38071212186777109</v>
      </c>
      <c r="S31">
        <f t="shared" ca="1" si="8"/>
        <v>2.5089506483417123</v>
      </c>
      <c r="T31">
        <f t="shared" ca="1" si="9"/>
        <v>71.5014515672203</v>
      </c>
      <c r="U31">
        <f>70</f>
        <v>70</v>
      </c>
      <c r="V31">
        <f>30</f>
        <v>30</v>
      </c>
      <c r="W31">
        <f t="shared" ca="1" si="7"/>
        <v>107.32234378166812</v>
      </c>
      <c r="X31">
        <f t="shared" ca="1" si="17"/>
        <v>104.40751679360022</v>
      </c>
      <c r="Y31">
        <f t="shared" ca="1" si="16"/>
        <v>2.91730240807793</v>
      </c>
    </row>
    <row r="32" spans="1:25" x14ac:dyDescent="0.25">
      <c r="A32" s="21">
        <f t="shared" ca="1" si="0"/>
        <v>45747</v>
      </c>
      <c r="B32" vm="90">
        <f ca="1"/>
        <v>45748</v>
      </c>
      <c r="C32" vm="91">
        <f ca="1"/>
        <v>110.06</v>
      </c>
      <c r="D32" vm="92">
        <f ca="1"/>
        <v>2507642</v>
      </c>
      <c r="E32">
        <f t="shared" ca="1" si="1"/>
        <v>275991078.51999998</v>
      </c>
      <c r="F32">
        <f ca="1">SUM($E$2:E32)/SUM($D$2:D32)</f>
        <v>103.573115445236</v>
      </c>
      <c r="G32">
        <f ca="1">_xlfn.STDEV.P($C$2:C32)</f>
        <v>4.2822457809191414</v>
      </c>
      <c r="H32">
        <f t="shared" ca="1" si="2"/>
        <v>107.85536122615514</v>
      </c>
      <c r="I32">
        <f t="shared" ca="1" si="3"/>
        <v>99.290869664316858</v>
      </c>
      <c r="J32">
        <f t="shared" ca="1" si="12"/>
        <v>106.25749999999998</v>
      </c>
      <c r="K32">
        <f t="shared" ca="1" si="13"/>
        <v>2.8287376299238804</v>
      </c>
      <c r="L32">
        <f t="shared" ca="1" si="14"/>
        <v>111.91497525984774</v>
      </c>
      <c r="M32">
        <f t="shared" ca="1" si="15"/>
        <v>100.60002474015222</v>
      </c>
      <c r="N32">
        <f t="shared" ca="1" si="4"/>
        <v>-0.53000000000000114</v>
      </c>
      <c r="O32">
        <f t="shared" ca="1" si="5"/>
        <v>0</v>
      </c>
      <c r="P32">
        <f t="shared" ca="1" si="6"/>
        <v>0.53000000000000114</v>
      </c>
      <c r="Q32">
        <f t="shared" ca="1" si="10"/>
        <v>0.88696021606371533</v>
      </c>
      <c r="R32">
        <f t="shared" ca="1" si="11"/>
        <v>0.3913755417343589</v>
      </c>
      <c r="S32">
        <f t="shared" ca="1" si="8"/>
        <v>2.2662637837132094</v>
      </c>
      <c r="T32">
        <f t="shared" ca="1" si="9"/>
        <v>69.383979181768254</v>
      </c>
      <c r="U32">
        <f>70</f>
        <v>70</v>
      </c>
      <c r="V32">
        <f>30</f>
        <v>30</v>
      </c>
      <c r="W32">
        <f t="shared" ca="1" si="7"/>
        <v>107.74352166141148</v>
      </c>
      <c r="X32">
        <f t="shared" ca="1" si="17"/>
        <v>104.82621925333355</v>
      </c>
      <c r="Y32">
        <f t="shared" ca="1" si="16"/>
        <v>2.8477056299310703</v>
      </c>
    </row>
    <row r="33" spans="1:27" x14ac:dyDescent="0.25">
      <c r="A33" s="21">
        <f t="shared" ca="1" si="0"/>
        <v>45747</v>
      </c>
      <c r="B33" vm="93">
        <f ca="1"/>
        <v>45749</v>
      </c>
      <c r="C33" vm="94">
        <f ca="1"/>
        <v>109.58</v>
      </c>
      <c r="D33" vm="95">
        <f ca="1"/>
        <v>2015191</v>
      </c>
      <c r="E33">
        <f t="shared" ca="1" si="1"/>
        <v>220824629.78</v>
      </c>
      <c r="F33">
        <f ca="1">SUM($E$2:E33)/SUM($D$2:D33)</f>
        <v>103.69620500851178</v>
      </c>
      <c r="G33">
        <f ca="1">_xlfn.STDEV.P($C$2:C33)</f>
        <v>4.3323308423230724</v>
      </c>
      <c r="H33">
        <f t="shared" ca="1" si="2"/>
        <v>108.02853585083486</v>
      </c>
      <c r="I33">
        <f t="shared" ca="1" si="3"/>
        <v>99.363874166188708</v>
      </c>
      <c r="J33">
        <f t="shared" ca="1" si="12"/>
        <v>106.72649999999999</v>
      </c>
      <c r="K33">
        <f t="shared" ca="1" si="13"/>
        <v>2.5337703858915588</v>
      </c>
      <c r="L33">
        <f t="shared" ca="1" si="14"/>
        <v>111.7940407717831</v>
      </c>
      <c r="M33">
        <f t="shared" ca="1" si="15"/>
        <v>101.65895922821687</v>
      </c>
      <c r="N33">
        <f t="shared" ca="1" si="4"/>
        <v>-0.48000000000000398</v>
      </c>
      <c r="O33">
        <f t="shared" ca="1" si="5"/>
        <v>0</v>
      </c>
      <c r="P33">
        <f t="shared" ca="1" si="6"/>
        <v>0.48000000000000398</v>
      </c>
      <c r="Q33">
        <f t="shared" ca="1" si="10"/>
        <v>0.82360591491630708</v>
      </c>
      <c r="R33">
        <f t="shared" ca="1" si="11"/>
        <v>0.39770586018190496</v>
      </c>
      <c r="S33">
        <f t="shared" ca="1" si="8"/>
        <v>2.0708920772241113</v>
      </c>
      <c r="T33">
        <f t="shared" ca="1" si="9"/>
        <v>67.436172458918335</v>
      </c>
      <c r="U33">
        <f>70</f>
        <v>70</v>
      </c>
      <c r="V33">
        <f>30</f>
        <v>30</v>
      </c>
      <c r="W33">
        <f t="shared" ca="1" si="7"/>
        <v>108.0260567904251</v>
      </c>
      <c r="X33">
        <f t="shared" ca="1" si="17"/>
        <v>105.17835116049403</v>
      </c>
      <c r="Y33">
        <f t="shared" ca="1" si="16"/>
        <v>3.0112100843182219</v>
      </c>
    </row>
    <row r="34" spans="1:27" x14ac:dyDescent="0.25">
      <c r="A34" s="21">
        <f t="shared" ca="1" si="0"/>
        <v>45747</v>
      </c>
      <c r="B34" vm="96">
        <f ca="1"/>
        <v>45750</v>
      </c>
      <c r="C34" vm="97">
        <f ca="1"/>
        <v>112.72</v>
      </c>
      <c r="D34" vm="98">
        <f ca="1"/>
        <v>4175537</v>
      </c>
      <c r="E34">
        <f t="shared" ca="1" si="1"/>
        <v>470666530.63999999</v>
      </c>
      <c r="F34">
        <f ca="1">SUM($E$2:E34)/SUM($D$2:D34)</f>
        <v>104.063739729315</v>
      </c>
      <c r="G34">
        <f ca="1">_xlfn.STDEV.P($C$2:C34)</f>
        <v>4.5204933623168975</v>
      </c>
      <c r="H34">
        <f t="shared" ca="1" si="2"/>
        <v>108.5842330916319</v>
      </c>
      <c r="I34">
        <f t="shared" ca="1" si="3"/>
        <v>99.543246366998105</v>
      </c>
      <c r="J34">
        <f t="shared" ca="1" si="12"/>
        <v>107.31699999999998</v>
      </c>
      <c r="K34">
        <f t="shared" ca="1" si="13"/>
        <v>2.4825328746431969</v>
      </c>
      <c r="L34">
        <f t="shared" ca="1" si="14"/>
        <v>112.28206574928637</v>
      </c>
      <c r="M34">
        <f t="shared" ca="1" si="15"/>
        <v>102.35193425071358</v>
      </c>
      <c r="N34">
        <f t="shared" ca="1" si="4"/>
        <v>3.1400000000000006</v>
      </c>
      <c r="O34">
        <f t="shared" ca="1" si="5"/>
        <v>3.1400000000000006</v>
      </c>
      <c r="P34">
        <f t="shared" ca="1" si="6"/>
        <v>0</v>
      </c>
      <c r="Q34">
        <f t="shared" ca="1" si="10"/>
        <v>0.98906263527942806</v>
      </c>
      <c r="R34">
        <f t="shared" ca="1" si="11"/>
        <v>0.36929829874034031</v>
      </c>
      <c r="S34">
        <f t="shared" ca="1" si="8"/>
        <v>2.6782214774697737</v>
      </c>
      <c r="T34">
        <f t="shared" ca="1" si="9"/>
        <v>72.812947612717053</v>
      </c>
      <c r="U34">
        <f>70</f>
        <v>70</v>
      </c>
      <c r="V34">
        <f>30</f>
        <v>30</v>
      </c>
      <c r="W34">
        <f t="shared" ca="1" si="7"/>
        <v>108.74820189959047</v>
      </c>
      <c r="X34">
        <f t="shared" ca="1" si="17"/>
        <v>105.73699181527225</v>
      </c>
      <c r="Y34">
        <f t="shared" ca="1" si="16"/>
        <v>2.8337710091592214</v>
      </c>
    </row>
    <row r="35" spans="1:27" x14ac:dyDescent="0.25">
      <c r="A35" s="21">
        <f t="shared" ca="1" si="0"/>
        <v>45747</v>
      </c>
      <c r="B35" vm="99">
        <f ca="1"/>
        <v>45751</v>
      </c>
      <c r="C35" vm="100">
        <f ca="1"/>
        <v>109.32</v>
      </c>
      <c r="D35" vm="101">
        <f ca="1"/>
        <v>6395885</v>
      </c>
      <c r="E35">
        <f t="shared" ca="1" si="1"/>
        <v>699198148.19999993</v>
      </c>
      <c r="F35">
        <f ca="1">SUM($E$2:E35)/SUM($D$2:D35)</f>
        <v>104.37240756687486</v>
      </c>
      <c r="G35">
        <f ca="1">_xlfn.STDEV.P($C$2:C35)</f>
        <v>4.5347101268169325</v>
      </c>
      <c r="H35">
        <f t="shared" ca="1" si="2"/>
        <v>108.90711769369179</v>
      </c>
      <c r="I35">
        <f t="shared" ca="1" si="3"/>
        <v>99.837697440057923</v>
      </c>
      <c r="J35">
        <f t="shared" ca="1" si="12"/>
        <v>107.601</v>
      </c>
      <c r="K35">
        <f t="shared" ca="1" si="13"/>
        <v>2.3617007698512089</v>
      </c>
      <c r="L35">
        <f t="shared" ca="1" si="14"/>
        <v>112.32440153970242</v>
      </c>
      <c r="M35">
        <f t="shared" ca="1" si="15"/>
        <v>102.87759846029758</v>
      </c>
      <c r="N35">
        <f t="shared" ca="1" si="4"/>
        <v>-3.4000000000000057</v>
      </c>
      <c r="O35">
        <f t="shared" ca="1" si="5"/>
        <v>0</v>
      </c>
      <c r="P35">
        <f t="shared" ca="1" si="6"/>
        <v>3.4000000000000057</v>
      </c>
      <c r="Q35">
        <f t="shared" ca="1" si="10"/>
        <v>0.9184153041880404</v>
      </c>
      <c r="R35">
        <f t="shared" ca="1" si="11"/>
        <v>0.58577699168745923</v>
      </c>
      <c r="S35">
        <f t="shared" ca="1" si="8"/>
        <v>1.5678582757959536</v>
      </c>
      <c r="T35">
        <f t="shared" ca="1" si="9"/>
        <v>61.057040825587144</v>
      </c>
      <c r="U35">
        <f>70</f>
        <v>70</v>
      </c>
      <c r="V35">
        <f>30</f>
        <v>30</v>
      </c>
      <c r="W35">
        <f t="shared" ca="1" si="7"/>
        <v>108.83617083811501</v>
      </c>
      <c r="X35">
        <f t="shared" ca="1" si="17"/>
        <v>106.00239982895579</v>
      </c>
      <c r="Y35">
        <f t="shared" ca="1" si="16"/>
        <v>2.3497515513091969</v>
      </c>
    </row>
    <row r="36" spans="1:27" x14ac:dyDescent="0.25">
      <c r="A36" s="21">
        <f t="shared" ca="1" si="0"/>
        <v>45754</v>
      </c>
      <c r="B36" vm="102">
        <f ca="1"/>
        <v>45754</v>
      </c>
      <c r="C36" vm="103">
        <f ca="1"/>
        <v>105.4</v>
      </c>
      <c r="D36" vm="104">
        <f ca="1"/>
        <v>4405486</v>
      </c>
      <c r="E36">
        <f t="shared" ca="1" si="1"/>
        <v>464338224.40000004</v>
      </c>
      <c r="F36">
        <f ca="1">SUM($E$2:E36)/SUM($D$2:D36)</f>
        <v>104.41235674056499</v>
      </c>
      <c r="G36">
        <f ca="1">_xlfn.STDEV.P($C$2:C36)</f>
        <v>4.4724850052793883</v>
      </c>
      <c r="H36">
        <f t="shared" ca="1" si="2"/>
        <v>108.88484174584437</v>
      </c>
      <c r="I36">
        <f t="shared" ca="1" si="3"/>
        <v>99.939871735285607</v>
      </c>
      <c r="J36">
        <f t="shared" ca="1" si="12"/>
        <v>107.53799999999998</v>
      </c>
      <c r="K36">
        <f t="shared" ca="1" si="13"/>
        <v>2.4045408796910204</v>
      </c>
      <c r="L36">
        <f t="shared" ca="1" si="14"/>
        <v>112.34708175938202</v>
      </c>
      <c r="M36">
        <f t="shared" ca="1" si="15"/>
        <v>102.72891824061794</v>
      </c>
      <c r="N36">
        <f t="shared" ca="1" si="4"/>
        <v>-3.9199999999999875</v>
      </c>
      <c r="O36">
        <f t="shared" ca="1" si="5"/>
        <v>0</v>
      </c>
      <c r="P36">
        <f t="shared" ca="1" si="6"/>
        <v>3.9199999999999875</v>
      </c>
      <c r="Q36">
        <f t="shared" ca="1" si="10"/>
        <v>0.85281421103175181</v>
      </c>
      <c r="R36">
        <f t="shared" ca="1" si="11"/>
        <v>0.82393577799549689</v>
      </c>
      <c r="S36">
        <f t="shared" ca="1" si="8"/>
        <v>1.0350493737588522</v>
      </c>
      <c r="T36">
        <f t="shared" ca="1" si="9"/>
        <v>50.86114308111636</v>
      </c>
      <c r="U36">
        <f>70</f>
        <v>70</v>
      </c>
      <c r="V36">
        <f>30</f>
        <v>30</v>
      </c>
      <c r="W36">
        <f t="shared" ca="1" si="7"/>
        <v>108.30752917071271</v>
      </c>
      <c r="X36">
        <f t="shared" ca="1" si="17"/>
        <v>105.95777761940352</v>
      </c>
      <c r="Y36">
        <f t="shared" ca="1" si="16"/>
        <v>1.9956080837479533</v>
      </c>
      <c r="Z36" s="9">
        <f ca="1">AVERAGE(Y28:Y36)</f>
        <v>2.7242358948081491</v>
      </c>
    </row>
    <row r="37" spans="1:27" x14ac:dyDescent="0.25">
      <c r="A37" s="21">
        <f t="shared" ca="1" si="0"/>
        <v>45754</v>
      </c>
      <c r="B37" vm="105">
        <f ca="1"/>
        <v>45755</v>
      </c>
      <c r="C37" vm="106">
        <f ca="1"/>
        <v>106.05</v>
      </c>
      <c r="D37" vm="107">
        <f ca="1"/>
        <v>2683063</v>
      </c>
      <c r="E37">
        <f t="shared" ca="1" si="1"/>
        <v>284538831.14999998</v>
      </c>
      <c r="F37">
        <f ca="1">SUM($E$2:E37)/SUM($D$2:D37)</f>
        <v>104.45023415862927</v>
      </c>
      <c r="G37">
        <f ca="1">_xlfn.STDEV.P($C$2:C37)</f>
        <v>4.4178510641137896</v>
      </c>
      <c r="H37">
        <f t="shared" ca="1" si="2"/>
        <v>108.86808522274306</v>
      </c>
      <c r="I37">
        <f t="shared" ca="1" si="3"/>
        <v>100.03238309451548</v>
      </c>
      <c r="J37">
        <f t="shared" ca="1" si="12"/>
        <v>107.652</v>
      </c>
      <c r="K37">
        <f t="shared" ca="1" si="13"/>
        <v>2.2665870471052427</v>
      </c>
      <c r="L37">
        <f t="shared" ca="1" si="14"/>
        <v>112.18517409421048</v>
      </c>
      <c r="M37">
        <f t="shared" ca="1" si="15"/>
        <v>103.11882590578952</v>
      </c>
      <c r="N37">
        <f t="shared" ca="1" si="4"/>
        <v>0.64999999999999147</v>
      </c>
      <c r="O37">
        <f t="shared" ca="1" si="5"/>
        <v>0.64999999999999147</v>
      </c>
      <c r="P37">
        <f t="shared" ca="1" si="6"/>
        <v>0</v>
      </c>
      <c r="Q37">
        <f t="shared" ca="1" si="10"/>
        <v>0.83832748167234039</v>
      </c>
      <c r="R37">
        <f t="shared" ca="1" si="11"/>
        <v>0.76508322242438997</v>
      </c>
      <c r="S37">
        <f t="shared" ca="1" si="8"/>
        <v>1.0957337151059914</v>
      </c>
      <c r="T37">
        <f t="shared" ca="1" si="9"/>
        <v>52.284014290936518</v>
      </c>
      <c r="U37">
        <f>70</f>
        <v>70</v>
      </c>
      <c r="V37">
        <f>30</f>
        <v>30</v>
      </c>
      <c r="W37">
        <f t="shared" ca="1" si="7"/>
        <v>107.96021699060306</v>
      </c>
      <c r="X37">
        <f t="shared" ca="1" si="17"/>
        <v>105.9646089068551</v>
      </c>
      <c r="Y37">
        <f t="shared" ca="1" si="16"/>
        <v>1.673067098237027</v>
      </c>
      <c r="Z37">
        <f ca="1">Y37*(2/(9+1)) + Z36*(1-(2/(9+1)))</f>
        <v>2.5140021354939246</v>
      </c>
      <c r="AA37">
        <f ca="1">Y37-Z37</f>
        <v>-0.84093503725689756</v>
      </c>
    </row>
    <row r="38" spans="1:27" x14ac:dyDescent="0.25">
      <c r="A38" s="21">
        <f t="shared" ca="1" si="0"/>
        <v>45754</v>
      </c>
      <c r="B38" vm="108">
        <f ca="1"/>
        <v>45756</v>
      </c>
      <c r="C38" vm="109">
        <f ca="1"/>
        <v>105.77</v>
      </c>
      <c r="D38" vm="110">
        <f ca="1"/>
        <v>4912769</v>
      </c>
      <c r="E38">
        <f t="shared" ca="1" si="1"/>
        <v>519623577.13</v>
      </c>
      <c r="F38">
        <f ca="1">SUM($E$2:E38)/SUM($D$2:D38)</f>
        <v>104.50385575324341</v>
      </c>
      <c r="G38">
        <f ca="1">_xlfn.STDEV.P($C$2:C38)</f>
        <v>4.362716415439877</v>
      </c>
      <c r="H38">
        <f t="shared" ca="1" si="2"/>
        <v>108.86657216868329</v>
      </c>
      <c r="I38">
        <f t="shared" ca="1" si="3"/>
        <v>100.14113933780354</v>
      </c>
      <c r="J38">
        <f t="shared" ca="1" si="12"/>
        <v>107.80850000000001</v>
      </c>
      <c r="K38">
        <f t="shared" ca="1" si="13"/>
        <v>1.9939758616498116</v>
      </c>
      <c r="L38">
        <f t="shared" ca="1" si="14"/>
        <v>111.79645172329963</v>
      </c>
      <c r="M38">
        <f t="shared" ca="1" si="15"/>
        <v>103.82054827670039</v>
      </c>
      <c r="N38">
        <f t="shared" ca="1" si="4"/>
        <v>-0.28000000000000114</v>
      </c>
      <c r="O38">
        <f t="shared" ca="1" si="5"/>
        <v>0</v>
      </c>
      <c r="P38">
        <f t="shared" ca="1" si="6"/>
        <v>0.28000000000000114</v>
      </c>
      <c r="Q38">
        <f t="shared" ca="1" si="10"/>
        <v>0.77844694726717323</v>
      </c>
      <c r="R38">
        <f t="shared" ca="1" si="11"/>
        <v>0.73043442082264787</v>
      </c>
      <c r="S38">
        <f t="shared" ca="1" si="8"/>
        <v>1.0657314675702871</v>
      </c>
      <c r="T38">
        <f t="shared" ca="1" si="9"/>
        <v>51.590997392502331</v>
      </c>
      <c r="U38">
        <f>70</f>
        <v>70</v>
      </c>
      <c r="V38">
        <f>30</f>
        <v>30</v>
      </c>
      <c r="W38">
        <f t="shared" ca="1" si="7"/>
        <v>107.62326053051028</v>
      </c>
      <c r="X38">
        <f t="shared" ca="1" si="17"/>
        <v>105.95019343227325</v>
      </c>
      <c r="Y38">
        <f t="shared" ca="1" si="16"/>
        <v>1.6031211170163573</v>
      </c>
      <c r="Z38">
        <f t="shared" ref="Z38:Z101" ca="1" si="18">Y38*(2/(9+1)) + Z37*(1-(2/(9+1)))</f>
        <v>2.3318259317984111</v>
      </c>
      <c r="AA38">
        <f t="shared" ref="AA38:AA101" ca="1" si="19">Y38-Z38</f>
        <v>-0.72870481478205384</v>
      </c>
    </row>
    <row r="39" spans="1:27" x14ac:dyDescent="0.25">
      <c r="A39" s="21">
        <f t="shared" ca="1" si="0"/>
        <v>45754</v>
      </c>
      <c r="B39" vm="111">
        <f ca="1"/>
        <v>45757</v>
      </c>
      <c r="C39" vm="112">
        <f ca="1"/>
        <v>108.3</v>
      </c>
      <c r="D39" vm="113">
        <f ca="1"/>
        <v>3382289</v>
      </c>
      <c r="E39">
        <f t="shared" ca="1" si="1"/>
        <v>366301898.69999999</v>
      </c>
      <c r="F39">
        <f ca="1">SUM($E$2:E39)/SUM($D$2:D39)</f>
        <v>104.60715294887504</v>
      </c>
      <c r="G39">
        <f ca="1">_xlfn.STDEV.P($C$2:C39)</f>
        <v>4.3472383773719239</v>
      </c>
      <c r="H39">
        <f t="shared" ca="1" si="2"/>
        <v>108.95439132624696</v>
      </c>
      <c r="I39">
        <f t="shared" ca="1" si="3"/>
        <v>100.25991457150312</v>
      </c>
      <c r="J39">
        <f t="shared" ca="1" si="12"/>
        <v>107.995</v>
      </c>
      <c r="K39">
        <f t="shared" ca="1" si="13"/>
        <v>1.8439217359804223</v>
      </c>
      <c r="L39">
        <f t="shared" ca="1" si="14"/>
        <v>111.68284347196085</v>
      </c>
      <c r="M39">
        <f t="shared" ca="1" si="15"/>
        <v>104.30715652803916</v>
      </c>
      <c r="N39">
        <f t="shared" ca="1" si="4"/>
        <v>2.5300000000000011</v>
      </c>
      <c r="O39">
        <f t="shared" ca="1" si="5"/>
        <v>2.5300000000000011</v>
      </c>
      <c r="P39">
        <f t="shared" ca="1" si="6"/>
        <v>0</v>
      </c>
      <c r="Q39">
        <f t="shared" ca="1" si="10"/>
        <v>0.90355787960523237</v>
      </c>
      <c r="R39">
        <f t="shared" ca="1" si="11"/>
        <v>0.67826053362103012</v>
      </c>
      <c r="S39">
        <f t="shared" ca="1" si="8"/>
        <v>1.3321693284753089</v>
      </c>
      <c r="T39">
        <f t="shared" ca="1" si="9"/>
        <v>57.121466791017042</v>
      </c>
      <c r="U39">
        <f>70</f>
        <v>70</v>
      </c>
      <c r="V39">
        <f>30</f>
        <v>30</v>
      </c>
      <c r="W39">
        <f t="shared" ca="1" si="7"/>
        <v>107.72737429504716</v>
      </c>
      <c r="X39">
        <f t="shared" ca="1" si="17"/>
        <v>106.1242531780308</v>
      </c>
      <c r="Y39">
        <f t="shared" ca="1" si="16"/>
        <v>1.6528999509088038</v>
      </c>
      <c r="Z39">
        <f t="shared" ca="1" si="18"/>
        <v>2.1960407356204898</v>
      </c>
      <c r="AA39">
        <f t="shared" ca="1" si="19"/>
        <v>-0.54314078471168603</v>
      </c>
    </row>
    <row r="40" spans="1:27" x14ac:dyDescent="0.25">
      <c r="A40" s="21">
        <f t="shared" ca="1" si="0"/>
        <v>45754</v>
      </c>
      <c r="B40" vm="114">
        <f ca="1"/>
        <v>45758</v>
      </c>
      <c r="C40" vm="115">
        <f ca="1"/>
        <v>109.84</v>
      </c>
      <c r="D40" vm="116">
        <f ca="1"/>
        <v>2617288</v>
      </c>
      <c r="E40">
        <f t="shared" ca="1" si="1"/>
        <v>287482913.92000002</v>
      </c>
      <c r="F40">
        <f ca="1">SUM($E$2:E40)/SUM($D$2:D40)</f>
        <v>104.71506622642521</v>
      </c>
      <c r="G40">
        <f ca="1">_xlfn.STDEV.P($C$2:C40)</f>
        <v>4.3697523764727979</v>
      </c>
      <c r="H40">
        <f t="shared" ca="1" si="2"/>
        <v>109.08481860289801</v>
      </c>
      <c r="I40">
        <f t="shared" ca="1" si="3"/>
        <v>100.3453138499524</v>
      </c>
      <c r="J40">
        <f t="shared" ca="1" si="12"/>
        <v>108.1665</v>
      </c>
      <c r="K40">
        <f t="shared" ca="1" si="13"/>
        <v>1.848248886748866</v>
      </c>
      <c r="L40">
        <f t="shared" ca="1" si="14"/>
        <v>111.86299777349772</v>
      </c>
      <c r="M40">
        <f t="shared" ca="1" si="15"/>
        <v>104.47000222650227</v>
      </c>
      <c r="N40">
        <f t="shared" ca="1" si="4"/>
        <v>1.5400000000000063</v>
      </c>
      <c r="O40">
        <f t="shared" ca="1" si="5"/>
        <v>1.5400000000000063</v>
      </c>
      <c r="P40">
        <f t="shared" ca="1" si="6"/>
        <v>0</v>
      </c>
      <c r="Q40">
        <f t="shared" ca="1" si="10"/>
        <v>0.94901803106200189</v>
      </c>
      <c r="R40">
        <f t="shared" ca="1" si="11"/>
        <v>0.62981335264809946</v>
      </c>
      <c r="S40">
        <f t="shared" ca="1" si="8"/>
        <v>1.5068242473294373</v>
      </c>
      <c r="T40">
        <f t="shared" ca="1" si="9"/>
        <v>60.108890718393319</v>
      </c>
      <c r="U40">
        <f>70</f>
        <v>70</v>
      </c>
      <c r="V40">
        <f>30</f>
        <v>30</v>
      </c>
      <c r="W40">
        <f t="shared" ca="1" si="7"/>
        <v>108.05239363427066</v>
      </c>
      <c r="X40">
        <f t="shared" ca="1" si="17"/>
        <v>106.39949368336185</v>
      </c>
      <c r="Y40">
        <f t="shared" ca="1" si="16"/>
        <v>1.8653147073669203</v>
      </c>
      <c r="Z40">
        <f t="shared" ca="1" si="18"/>
        <v>2.1298955299697759</v>
      </c>
      <c r="AA40">
        <f t="shared" ca="1" si="19"/>
        <v>-0.26458082260285565</v>
      </c>
    </row>
    <row r="41" spans="1:27" x14ac:dyDescent="0.25">
      <c r="A41" s="21">
        <f t="shared" ca="1" si="0"/>
        <v>45761</v>
      </c>
      <c r="B41" vm="117">
        <f ca="1"/>
        <v>45761</v>
      </c>
      <c r="C41" vm="118">
        <f ca="1"/>
        <v>112.25</v>
      </c>
      <c r="D41" vm="119">
        <f ca="1"/>
        <v>2133340</v>
      </c>
      <c r="E41">
        <f t="shared" ca="1" si="1"/>
        <v>239467415</v>
      </c>
      <c r="F41">
        <f ca="1">SUM($E$2:E41)/SUM($D$2:D41)</f>
        <v>104.83962817806611</v>
      </c>
      <c r="G41">
        <f ca="1">_xlfn.STDEV.P($C$2:C41)</f>
        <v>4.4706989386448273</v>
      </c>
      <c r="H41">
        <f t="shared" ca="1" si="2"/>
        <v>109.31032711671094</v>
      </c>
      <c r="I41">
        <f t="shared" ca="1" si="3"/>
        <v>100.36892923942128</v>
      </c>
      <c r="J41">
        <f t="shared" ca="1" si="12"/>
        <v>108.398</v>
      </c>
      <c r="K41">
        <f t="shared" ca="1" si="13"/>
        <v>2.0546342996414619</v>
      </c>
      <c r="L41">
        <f t="shared" ca="1" si="14"/>
        <v>112.50726859928292</v>
      </c>
      <c r="M41">
        <f t="shared" ca="1" si="15"/>
        <v>104.28873140071707</v>
      </c>
      <c r="N41">
        <f t="shared" ca="1" si="4"/>
        <v>2.4099999999999966</v>
      </c>
      <c r="O41">
        <f t="shared" ca="1" si="5"/>
        <v>2.4099999999999966</v>
      </c>
      <c r="P41">
        <f t="shared" ca="1" si="6"/>
        <v>0</v>
      </c>
      <c r="Q41">
        <f t="shared" ca="1" si="10"/>
        <v>1.0533738859861443</v>
      </c>
      <c r="R41">
        <f t="shared" ca="1" si="11"/>
        <v>0.58482668460180665</v>
      </c>
      <c r="S41">
        <f t="shared" ca="1" si="8"/>
        <v>1.8011727469367431</v>
      </c>
      <c r="T41">
        <f t="shared" ca="1" si="9"/>
        <v>64.300666529989542</v>
      </c>
      <c r="U41">
        <f>70</f>
        <v>70</v>
      </c>
      <c r="V41">
        <f>30</f>
        <v>30</v>
      </c>
      <c r="W41">
        <f t="shared" ca="1" si="7"/>
        <v>108.69817922899826</v>
      </c>
      <c r="X41">
        <f t="shared" ca="1" si="17"/>
        <v>106.83286452163134</v>
      </c>
      <c r="Y41">
        <f t="shared" ca="1" si="16"/>
        <v>1.975379662342732</v>
      </c>
      <c r="Z41">
        <f t="shared" ca="1" si="18"/>
        <v>2.0989923564443673</v>
      </c>
      <c r="AA41">
        <f t="shared" ca="1" si="19"/>
        <v>-0.12361269410163533</v>
      </c>
    </row>
    <row r="42" spans="1:27" x14ac:dyDescent="0.25">
      <c r="A42" s="21">
        <f t="shared" ca="1" si="0"/>
        <v>45761</v>
      </c>
      <c r="B42" vm="120">
        <f ca="1"/>
        <v>45762</v>
      </c>
      <c r="C42" vm="121">
        <f ca="1"/>
        <v>111.81</v>
      </c>
      <c r="D42" vm="122">
        <f ca="1"/>
        <v>2314523</v>
      </c>
      <c r="E42">
        <f t="shared" ca="1" si="1"/>
        <v>258786816.63</v>
      </c>
      <c r="F42">
        <f ca="1">SUM($E$2:E42)/SUM($D$2:D42)</f>
        <v>104.96244085038472</v>
      </c>
      <c r="G42">
        <f ca="1">_xlfn.STDEV.P($C$2:C42)</f>
        <v>4.5411890357501745</v>
      </c>
      <c r="H42">
        <f t="shared" ca="1" si="2"/>
        <v>109.5036298861349</v>
      </c>
      <c r="I42">
        <f t="shared" ca="1" si="3"/>
        <v>100.42125181463454</v>
      </c>
      <c r="J42">
        <f t="shared" ca="1" si="12"/>
        <v>108.59799999999998</v>
      </c>
      <c r="K42">
        <f t="shared" ca="1" si="13"/>
        <v>2.1849355042871954</v>
      </c>
      <c r="L42">
        <f t="shared" ca="1" si="14"/>
        <v>112.96787100857438</v>
      </c>
      <c r="M42">
        <f t="shared" ca="1" si="15"/>
        <v>104.22812899142559</v>
      </c>
      <c r="N42">
        <f t="shared" ca="1" si="4"/>
        <v>-0.43999999999999773</v>
      </c>
      <c r="O42">
        <f t="shared" ca="1" si="5"/>
        <v>0</v>
      </c>
      <c r="P42">
        <f t="shared" ca="1" si="6"/>
        <v>0.43999999999999773</v>
      </c>
      <c r="Q42">
        <f t="shared" ca="1" si="10"/>
        <v>0.97813289412999116</v>
      </c>
      <c r="R42">
        <f t="shared" ca="1" si="11"/>
        <v>0.57448192141596321</v>
      </c>
      <c r="S42">
        <f t="shared" ca="1" si="8"/>
        <v>1.7026347699839239</v>
      </c>
      <c r="T42">
        <f t="shared" ca="1" si="9"/>
        <v>62.999069977703712</v>
      </c>
      <c r="U42">
        <f>70</f>
        <v>70</v>
      </c>
      <c r="V42">
        <f>30</f>
        <v>30</v>
      </c>
      <c r="W42">
        <f t="shared" ca="1" si="7"/>
        <v>109.17692088607545</v>
      </c>
      <c r="X42">
        <f t="shared" ca="1" si="17"/>
        <v>107.20154122373272</v>
      </c>
      <c r="Y42">
        <f t="shared" ca="1" si="16"/>
        <v>2.0095857705164519</v>
      </c>
      <c r="Z42">
        <f t="shared" ca="1" si="18"/>
        <v>2.0811110392587846</v>
      </c>
      <c r="AA42">
        <f t="shared" ca="1" si="19"/>
        <v>-7.1525268742332671E-2</v>
      </c>
    </row>
    <row r="43" spans="1:27" x14ac:dyDescent="0.25">
      <c r="A43" s="21">
        <f t="shared" ca="1" si="0"/>
        <v>45761</v>
      </c>
      <c r="B43" vm="123">
        <f ca="1"/>
        <v>45763</v>
      </c>
      <c r="C43" vm="124">
        <f ca="1"/>
        <v>111.44</v>
      </c>
      <c r="D43" vm="125">
        <f ca="1"/>
        <v>2133038</v>
      </c>
      <c r="E43">
        <f t="shared" ca="1" si="1"/>
        <v>237705754.72</v>
      </c>
      <c r="F43">
        <f ca="1">SUM($E$2:E43)/SUM($D$2:D43)</f>
        <v>105.06594086613704</v>
      </c>
      <c r="G43">
        <f ca="1">_xlfn.STDEV.P($C$2:C43)</f>
        <v>4.5894581031176314</v>
      </c>
      <c r="H43">
        <f t="shared" ca="1" si="2"/>
        <v>109.65539896925468</v>
      </c>
      <c r="I43">
        <f t="shared" ca="1" si="3"/>
        <v>100.4764827630194</v>
      </c>
      <c r="J43">
        <f t="shared" ca="1" si="12"/>
        <v>108.79549999999999</v>
      </c>
      <c r="K43">
        <f t="shared" ca="1" si="13"/>
        <v>2.2568503320009139</v>
      </c>
      <c r="L43">
        <f t="shared" ca="1" si="14"/>
        <v>113.30920066400182</v>
      </c>
      <c r="M43">
        <f t="shared" ca="1" si="15"/>
        <v>104.28179933599816</v>
      </c>
      <c r="N43">
        <f t="shared" ca="1" si="4"/>
        <v>-0.37000000000000455</v>
      </c>
      <c r="O43">
        <f t="shared" ca="1" si="5"/>
        <v>0</v>
      </c>
      <c r="P43">
        <f t="shared" ca="1" si="6"/>
        <v>0.37000000000000455</v>
      </c>
      <c r="Q43">
        <f t="shared" ca="1" si="10"/>
        <v>0.90826625883499179</v>
      </c>
      <c r="R43">
        <f t="shared" ca="1" si="11"/>
        <v>0.55987606988625183</v>
      </c>
      <c r="S43">
        <f t="shared" ca="1" si="8"/>
        <v>1.6222630465694332</v>
      </c>
      <c r="T43">
        <f t="shared" ca="1" si="9"/>
        <v>61.865000488480867</v>
      </c>
      <c r="U43">
        <f>70</f>
        <v>70</v>
      </c>
      <c r="V43">
        <f>30</f>
        <v>30</v>
      </c>
      <c r="W43">
        <f t="shared" ca="1" si="7"/>
        <v>109.5250869036023</v>
      </c>
      <c r="X43">
        <f t="shared" ca="1" si="17"/>
        <v>107.51550113308585</v>
      </c>
      <c r="Y43">
        <f t="shared" ca="1" si="16"/>
        <v>2.0661337382250196</v>
      </c>
      <c r="Z43">
        <f t="shared" ca="1" si="18"/>
        <v>2.0781155790520316</v>
      </c>
      <c r="AA43">
        <f t="shared" ca="1" si="19"/>
        <v>-1.1981840827012036E-2</v>
      </c>
    </row>
    <row r="44" spans="1:27" x14ac:dyDescent="0.25">
      <c r="A44" s="21">
        <f t="shared" ca="1" si="0"/>
        <v>45761</v>
      </c>
      <c r="B44" vm="126">
        <f ca="1"/>
        <v>45764</v>
      </c>
      <c r="C44" vm="127">
        <f ca="1"/>
        <v>112.1</v>
      </c>
      <c r="D44" vm="128">
        <f ca="1"/>
        <v>2055242</v>
      </c>
      <c r="E44">
        <f t="shared" ca="1" si="1"/>
        <v>230392628.19999999</v>
      </c>
      <c r="F44">
        <f ca="1">SUM($E$2:E44)/SUM($D$2:D44)</f>
        <v>105.17259168370845</v>
      </c>
      <c r="G44">
        <f ca="1">_xlfn.STDEV.P($C$2:C44)</f>
        <v>4.6514773498282649</v>
      </c>
      <c r="H44">
        <f t="shared" ca="1" si="2"/>
        <v>109.82406903353672</v>
      </c>
      <c r="I44">
        <f t="shared" ca="1" si="3"/>
        <v>100.52111433388018</v>
      </c>
      <c r="J44">
        <f t="shared" ca="1" si="12"/>
        <v>108.97649999999999</v>
      </c>
      <c r="K44">
        <f t="shared" ca="1" si="13"/>
        <v>2.37241887443796</v>
      </c>
      <c r="L44">
        <f t="shared" ca="1" si="14"/>
        <v>113.72133774887591</v>
      </c>
      <c r="M44">
        <f t="shared" ca="1" si="15"/>
        <v>104.23166225112406</v>
      </c>
      <c r="N44">
        <f t="shared" ca="1" si="4"/>
        <v>0.65999999999999659</v>
      </c>
      <c r="O44">
        <f t="shared" ca="1" si="5"/>
        <v>0.65999999999999659</v>
      </c>
      <c r="P44">
        <f t="shared" ca="1" si="6"/>
        <v>0</v>
      </c>
      <c r="Q44">
        <f t="shared" ca="1" si="10"/>
        <v>0.89053295463249216</v>
      </c>
      <c r="R44">
        <f t="shared" ca="1" si="11"/>
        <v>0.5198849220372338</v>
      </c>
      <c r="S44">
        <f t="shared" ca="1" si="8"/>
        <v>1.7129424549241166</v>
      </c>
      <c r="T44">
        <f t="shared" ca="1" si="9"/>
        <v>63.139653103037496</v>
      </c>
      <c r="U44">
        <f>70</f>
        <v>70</v>
      </c>
      <c r="V44">
        <f>30</f>
        <v>30</v>
      </c>
      <c r="W44">
        <f t="shared" ca="1" si="7"/>
        <v>109.92122737997117</v>
      </c>
      <c r="X44">
        <f t="shared" ca="1" si="17"/>
        <v>107.85509364174615</v>
      </c>
      <c r="Y44">
        <f t="shared" ca="1" si="16"/>
        <v>1.9959518469627966</v>
      </c>
      <c r="Z44">
        <f t="shared" ca="1" si="18"/>
        <v>2.0616828326341849</v>
      </c>
      <c r="AA44">
        <f t="shared" ca="1" si="19"/>
        <v>-6.5730985671388353E-2</v>
      </c>
    </row>
    <row r="45" spans="1:27" x14ac:dyDescent="0.25">
      <c r="A45" s="21">
        <f t="shared" ca="1" si="0"/>
        <v>45768</v>
      </c>
      <c r="B45" vm="129">
        <f ca="1"/>
        <v>45768</v>
      </c>
      <c r="C45" vm="130">
        <f ca="1"/>
        <v>110.96</v>
      </c>
      <c r="D45" vm="131">
        <f ca="1"/>
        <v>2333943</v>
      </c>
      <c r="E45">
        <f t="shared" ca="1" si="1"/>
        <v>258974315.27999997</v>
      </c>
      <c r="F45">
        <f ca="1">SUM($E$2:E45)/SUM($D$2:D45)</f>
        <v>105.27055319893185</v>
      </c>
      <c r="G45">
        <f ca="1">_xlfn.STDEV.P($C$2:C45)</f>
        <v>4.6718939111394793</v>
      </c>
      <c r="H45">
        <f t="shared" ca="1" si="2"/>
        <v>109.94244711007133</v>
      </c>
      <c r="I45">
        <f t="shared" ca="1" si="3"/>
        <v>100.59865928779237</v>
      </c>
      <c r="J45">
        <f t="shared" ca="1" si="12"/>
        <v>109.1345</v>
      </c>
      <c r="K45">
        <f t="shared" ca="1" si="13"/>
        <v>2.3950595531547632</v>
      </c>
      <c r="L45">
        <f t="shared" ca="1" si="14"/>
        <v>113.92461910630954</v>
      </c>
      <c r="M45">
        <f t="shared" ca="1" si="15"/>
        <v>104.34438089369047</v>
      </c>
      <c r="N45">
        <f t="shared" ca="1" si="4"/>
        <v>-1.1400000000000006</v>
      </c>
      <c r="O45">
        <f t="shared" ca="1" si="5"/>
        <v>0</v>
      </c>
      <c r="P45">
        <f t="shared" ca="1" si="6"/>
        <v>1.1400000000000006</v>
      </c>
      <c r="Q45">
        <f t="shared" ca="1" si="10"/>
        <v>0.82692345787302846</v>
      </c>
      <c r="R45">
        <f t="shared" ca="1" si="11"/>
        <v>0.56417885617743146</v>
      </c>
      <c r="S45">
        <f t="shared" ca="1" si="8"/>
        <v>1.4657115360114898</v>
      </c>
      <c r="T45">
        <f t="shared" ca="1" si="9"/>
        <v>59.443755467941322</v>
      </c>
      <c r="U45">
        <f>70</f>
        <v>70</v>
      </c>
      <c r="V45">
        <f>30</f>
        <v>30</v>
      </c>
      <c r="W45">
        <f t="shared" ca="1" si="7"/>
        <v>110.0810385522833</v>
      </c>
      <c r="X45">
        <f t="shared" ca="1" si="17"/>
        <v>108.08508670532051</v>
      </c>
      <c r="Y45">
        <f t="shared" ca="1" si="16"/>
        <v>2.1048868113931007</v>
      </c>
      <c r="Z45">
        <f t="shared" ca="1" si="18"/>
        <v>2.0703236283859683</v>
      </c>
      <c r="AA45">
        <f t="shared" ca="1" si="19"/>
        <v>3.4563183007132459E-2</v>
      </c>
    </row>
    <row r="46" spans="1:27" x14ac:dyDescent="0.25">
      <c r="A46" s="21">
        <f t="shared" ca="1" si="0"/>
        <v>45768</v>
      </c>
      <c r="B46" vm="132">
        <f ca="1"/>
        <v>45769</v>
      </c>
      <c r="C46" vm="133">
        <f ca="1"/>
        <v>113.3</v>
      </c>
      <c r="D46" vm="134">
        <f ca="1"/>
        <v>1833656</v>
      </c>
      <c r="E46">
        <f t="shared" ca="1" si="1"/>
        <v>207753224.79999998</v>
      </c>
      <c r="F46">
        <f ca="1">SUM($E$2:E46)/SUM($D$2:D46)</f>
        <v>105.37593054626032</v>
      </c>
      <c r="G46">
        <f ca="1">_xlfn.STDEV.P($C$2:C46)</f>
        <v>4.7590475237523453</v>
      </c>
      <c r="H46">
        <f t="shared" ca="1" si="2"/>
        <v>110.13497807001266</v>
      </c>
      <c r="I46">
        <f t="shared" ca="1" si="3"/>
        <v>100.61688302250798</v>
      </c>
      <c r="J46">
        <f t="shared" ca="1" si="12"/>
        <v>109.458</v>
      </c>
      <c r="K46">
        <f t="shared" ca="1" si="13"/>
        <v>2.5019731160994136</v>
      </c>
      <c r="L46">
        <f t="shared" ca="1" si="14"/>
        <v>114.46194623219883</v>
      </c>
      <c r="M46">
        <f t="shared" ca="1" si="15"/>
        <v>104.45405376780117</v>
      </c>
      <c r="N46">
        <f t="shared" ca="1" si="4"/>
        <v>2.3400000000000034</v>
      </c>
      <c r="O46">
        <f t="shared" ca="1" si="5"/>
        <v>2.3400000000000034</v>
      </c>
      <c r="P46">
        <f t="shared" ca="1" si="6"/>
        <v>0</v>
      </c>
      <c r="Q46">
        <f t="shared" ca="1" si="10"/>
        <v>0.93500035373924095</v>
      </c>
      <c r="R46">
        <f t="shared" ca="1" si="11"/>
        <v>0.52388036645047209</v>
      </c>
      <c r="S46">
        <f t="shared" ca="1" si="8"/>
        <v>1.7847592954748313</v>
      </c>
      <c r="T46">
        <f t="shared" ca="1" si="9"/>
        <v>64.090253630718593</v>
      </c>
      <c r="U46">
        <f>70</f>
        <v>70</v>
      </c>
      <c r="V46">
        <f>30</f>
        <v>30</v>
      </c>
      <c r="W46">
        <f t="shared" ca="1" si="7"/>
        <v>110.57626339039356</v>
      </c>
      <c r="X46">
        <f t="shared" ca="1" si="17"/>
        <v>108.47137657900046</v>
      </c>
      <c r="Y46">
        <f t="shared" ca="1" si="16"/>
        <v>2.1040251816858557</v>
      </c>
      <c r="Z46">
        <f t="shared" ca="1" si="18"/>
        <v>2.0770639390459458</v>
      </c>
      <c r="AA46">
        <f t="shared" ca="1" si="19"/>
        <v>2.6961242639909955E-2</v>
      </c>
    </row>
    <row r="47" spans="1:27" x14ac:dyDescent="0.25">
      <c r="A47" s="21">
        <f t="shared" ca="1" si="0"/>
        <v>45768</v>
      </c>
      <c r="B47" vm="135">
        <f ca="1"/>
        <v>45770</v>
      </c>
      <c r="C47" vm="136">
        <f ca="1"/>
        <v>112.52</v>
      </c>
      <c r="D47" vm="137">
        <f ca="1"/>
        <v>2098373</v>
      </c>
      <c r="E47">
        <f t="shared" ca="1" si="1"/>
        <v>236108929.95999998</v>
      </c>
      <c r="F47">
        <f ca="1">SUM($E$2:E47)/SUM($D$2:D47)</f>
        <v>105.48163618967027</v>
      </c>
      <c r="G47">
        <f ca="1">_xlfn.STDEV.P($C$2:C47)</f>
        <v>4.810457678000466</v>
      </c>
      <c r="H47">
        <f t="shared" ca="1" si="2"/>
        <v>110.29209386767073</v>
      </c>
      <c r="I47">
        <f t="shared" ca="1" si="3"/>
        <v>100.67117851166981</v>
      </c>
      <c r="J47">
        <f t="shared" ca="1" si="12"/>
        <v>109.8065</v>
      </c>
      <c r="K47">
        <f t="shared" ca="1" si="13"/>
        <v>2.4128150735079896</v>
      </c>
      <c r="L47">
        <f t="shared" ca="1" si="14"/>
        <v>114.63213014701599</v>
      </c>
      <c r="M47">
        <f t="shared" ca="1" si="15"/>
        <v>104.98086985298401</v>
      </c>
      <c r="N47">
        <f t="shared" ca="1" si="4"/>
        <v>-0.78000000000000114</v>
      </c>
      <c r="O47">
        <f t="shared" ca="1" si="5"/>
        <v>0</v>
      </c>
      <c r="P47">
        <f t="shared" ca="1" si="6"/>
        <v>0.78000000000000114</v>
      </c>
      <c r="Q47">
        <f t="shared" ca="1" si="10"/>
        <v>0.86821461418643797</v>
      </c>
      <c r="R47">
        <f t="shared" ca="1" si="11"/>
        <v>0.5421746259897241</v>
      </c>
      <c r="S47">
        <f t="shared" ca="1" si="8"/>
        <v>1.601356043915809</v>
      </c>
      <c r="T47">
        <f t="shared" ca="1" si="9"/>
        <v>61.558510902848006</v>
      </c>
      <c r="U47">
        <f>70</f>
        <v>70</v>
      </c>
      <c r="V47">
        <f>30</f>
        <v>30</v>
      </c>
      <c r="W47">
        <f t="shared" ca="1" si="7"/>
        <v>110.87529979187147</v>
      </c>
      <c r="X47">
        <f t="shared" ca="1" si="17"/>
        <v>108.77127461018561</v>
      </c>
      <c r="Y47">
        <f t="shared" ca="1" si="16"/>
        <v>1.9812529626082664</v>
      </c>
      <c r="Z47">
        <f t="shared" ca="1" si="18"/>
        <v>2.0579017437584097</v>
      </c>
      <c r="AA47">
        <f t="shared" ca="1" si="19"/>
        <v>-7.6648781150143286E-2</v>
      </c>
    </row>
    <row r="48" spans="1:27" x14ac:dyDescent="0.25">
      <c r="A48" s="21">
        <f t="shared" ca="1" si="0"/>
        <v>45768</v>
      </c>
      <c r="B48" vm="138">
        <f ca="1"/>
        <v>45771</v>
      </c>
      <c r="C48" vm="139">
        <f ca="1"/>
        <v>111.29</v>
      </c>
      <c r="D48" vm="140">
        <f ca="1"/>
        <v>2389269</v>
      </c>
      <c r="E48">
        <f t="shared" ca="1" si="1"/>
        <v>265901747.01000002</v>
      </c>
      <c r="F48">
        <f ca="1">SUM($E$2:E48)/SUM($D$2:D48)</f>
        <v>105.57787114749846</v>
      </c>
      <c r="G48">
        <f ca="1">_xlfn.STDEV.P($C$2:C48)</f>
        <v>4.8229773624077756</v>
      </c>
      <c r="H48">
        <f t="shared" ca="1" si="2"/>
        <v>110.40084850990623</v>
      </c>
      <c r="I48">
        <f t="shared" ca="1" si="3"/>
        <v>100.75489378509069</v>
      </c>
      <c r="J48">
        <f t="shared" ca="1" si="12"/>
        <v>109.998</v>
      </c>
      <c r="K48">
        <f t="shared" ca="1" si="13"/>
        <v>2.3683563032084858</v>
      </c>
      <c r="L48">
        <f t="shared" ca="1" si="14"/>
        <v>114.73471260641698</v>
      </c>
      <c r="M48">
        <f t="shared" ca="1" si="15"/>
        <v>105.26128739358303</v>
      </c>
      <c r="N48">
        <f t="shared" ca="1" si="4"/>
        <v>-1.2299999999999898</v>
      </c>
      <c r="O48">
        <f t="shared" ca="1" si="5"/>
        <v>0</v>
      </c>
      <c r="P48">
        <f t="shared" ca="1" si="6"/>
        <v>1.2299999999999898</v>
      </c>
      <c r="Q48">
        <f t="shared" ca="1" si="10"/>
        <v>0.80619928460169243</v>
      </c>
      <c r="R48">
        <f t="shared" ca="1" si="11"/>
        <v>0.59130500984760026</v>
      </c>
      <c r="S48">
        <f t="shared" ca="1" si="8"/>
        <v>1.3634237342407733</v>
      </c>
      <c r="T48">
        <f t="shared" ca="1" si="9"/>
        <v>57.688501409535</v>
      </c>
      <c r="U48">
        <f>70</f>
        <v>70</v>
      </c>
      <c r="V48">
        <f>30</f>
        <v>30</v>
      </c>
      <c r="W48">
        <f t="shared" ca="1" si="7"/>
        <v>110.93909982389124</v>
      </c>
      <c r="X48">
        <f t="shared" ca="1" si="17"/>
        <v>108.95784686128297</v>
      </c>
      <c r="Y48">
        <f t="shared" ca="1" si="16"/>
        <v>1.7954769737285687</v>
      </c>
      <c r="Z48">
        <f t="shared" ca="1" si="18"/>
        <v>2.0054167897524415</v>
      </c>
      <c r="AA48">
        <f t="shared" ca="1" si="19"/>
        <v>-0.20993981602387279</v>
      </c>
    </row>
    <row r="49" spans="1:27" x14ac:dyDescent="0.25">
      <c r="A49" s="21">
        <f t="shared" ca="1" si="0"/>
        <v>45768</v>
      </c>
      <c r="B49" vm="141">
        <f ca="1"/>
        <v>45772</v>
      </c>
      <c r="C49" vm="142">
        <f ca="1"/>
        <v>110.45</v>
      </c>
      <c r="D49" vm="143">
        <f ca="1"/>
        <v>2820849</v>
      </c>
      <c r="E49">
        <f t="shared" ca="1" si="1"/>
        <v>311562772.05000001</v>
      </c>
      <c r="F49">
        <f ca="1">SUM($E$2:E49)/SUM($D$2:D49)</f>
        <v>105.67134697912607</v>
      </c>
      <c r="G49">
        <f ca="1">_xlfn.STDEV.P($C$2:C49)</f>
        <v>4.8149870873182685</v>
      </c>
      <c r="H49">
        <f t="shared" ca="1" si="2"/>
        <v>110.48633406644434</v>
      </c>
      <c r="I49">
        <f t="shared" ca="1" si="3"/>
        <v>100.8563598918078</v>
      </c>
      <c r="J49">
        <f t="shared" ca="1" si="12"/>
        <v>110.12599999999998</v>
      </c>
      <c r="K49">
        <f t="shared" ca="1" si="13"/>
        <v>2.3170543913839348</v>
      </c>
      <c r="L49">
        <f t="shared" ca="1" si="14"/>
        <v>114.76010878276784</v>
      </c>
      <c r="M49">
        <f t="shared" ca="1" si="15"/>
        <v>105.49189121723211</v>
      </c>
      <c r="N49">
        <f t="shared" ca="1" si="4"/>
        <v>-0.84000000000000341</v>
      </c>
      <c r="O49">
        <f t="shared" ca="1" si="5"/>
        <v>0</v>
      </c>
      <c r="P49">
        <f t="shared" ca="1" si="6"/>
        <v>0.84000000000000341</v>
      </c>
      <c r="Q49">
        <f t="shared" ca="1" si="10"/>
        <v>0.7486136214158573</v>
      </c>
      <c r="R49">
        <f t="shared" ca="1" si="11"/>
        <v>0.60906893771562909</v>
      </c>
      <c r="S49">
        <f t="shared" ca="1" si="8"/>
        <v>1.2291114766476252</v>
      </c>
      <c r="T49">
        <f t="shared" ca="1" si="9"/>
        <v>55.139076242884613</v>
      </c>
      <c r="U49">
        <f>70</f>
        <v>70</v>
      </c>
      <c r="V49">
        <f>30</f>
        <v>30</v>
      </c>
      <c r="W49">
        <f t="shared" ca="1" si="7"/>
        <v>110.86385369713874</v>
      </c>
      <c r="X49">
        <f t="shared" ca="1" si="17"/>
        <v>109.06837672341017</v>
      </c>
      <c r="Y49">
        <f t="shared" ca="1" si="16"/>
        <v>1.6837097234812006</v>
      </c>
      <c r="Z49">
        <f t="shared" ca="1" si="18"/>
        <v>1.9410753764981934</v>
      </c>
      <c r="AA49">
        <f t="shared" ca="1" si="19"/>
        <v>-0.25736565301699277</v>
      </c>
    </row>
    <row r="50" spans="1:27" x14ac:dyDescent="0.25">
      <c r="A50" s="21">
        <f t="shared" ca="1" si="0"/>
        <v>45775</v>
      </c>
      <c r="B50" vm="144">
        <f ca="1"/>
        <v>45775</v>
      </c>
      <c r="C50" vm="145">
        <f ca="1"/>
        <v>111.13</v>
      </c>
      <c r="D50" vm="146">
        <f ca="1"/>
        <v>2938240</v>
      </c>
      <c r="E50">
        <f t="shared" ca="1" si="1"/>
        <v>326526611.19999999</v>
      </c>
      <c r="F50">
        <f ca="1">SUM($E$2:E50)/SUM($D$2:D50)</f>
        <v>105.77829678992184</v>
      </c>
      <c r="G50">
        <f ca="1">_xlfn.STDEV.P($C$2:C50)</f>
        <v>4.8189399689132868</v>
      </c>
      <c r="H50">
        <f t="shared" ca="1" si="2"/>
        <v>110.59723675883512</v>
      </c>
      <c r="I50">
        <f t="shared" ca="1" si="3"/>
        <v>100.95935682100856</v>
      </c>
      <c r="J50">
        <f t="shared" ca="1" si="12"/>
        <v>110.24399999999999</v>
      </c>
      <c r="K50">
        <f t="shared" ca="1" si="13"/>
        <v>2.3044222931709273</v>
      </c>
      <c r="L50">
        <f t="shared" ca="1" si="14"/>
        <v>114.85284458634185</v>
      </c>
      <c r="M50">
        <f t="shared" ca="1" si="15"/>
        <v>105.63515541365813</v>
      </c>
      <c r="N50">
        <f t="shared" ca="1" si="4"/>
        <v>0.67999999999999261</v>
      </c>
      <c r="O50">
        <f t="shared" ca="1" si="5"/>
        <v>0.67999999999999261</v>
      </c>
      <c r="P50">
        <f t="shared" ca="1" si="6"/>
        <v>0</v>
      </c>
      <c r="Q50">
        <f t="shared" ca="1" si="10"/>
        <v>0.74371264845758123</v>
      </c>
      <c r="R50">
        <f t="shared" ca="1" si="11"/>
        <v>0.56556401359308417</v>
      </c>
      <c r="S50">
        <f t="shared" ca="1" si="8"/>
        <v>1.3149928754000828</v>
      </c>
      <c r="T50">
        <f t="shared" ca="1" si="9"/>
        <v>56.803322782270875</v>
      </c>
      <c r="U50">
        <f>70</f>
        <v>70</v>
      </c>
      <c r="V50">
        <f>30</f>
        <v>30</v>
      </c>
      <c r="W50">
        <f t="shared" ca="1" si="7"/>
        <v>110.90479928219432</v>
      </c>
      <c r="X50">
        <f t="shared" ca="1" si="17"/>
        <v>109.22108955871312</v>
      </c>
      <c r="Y50">
        <f t="shared" ca="1" si="16"/>
        <v>1.6567272941024385</v>
      </c>
      <c r="Z50">
        <f t="shared" ca="1" si="18"/>
        <v>1.8842057600190425</v>
      </c>
      <c r="AA50">
        <f t="shared" ca="1" si="19"/>
        <v>-0.22747846591660403</v>
      </c>
    </row>
    <row r="51" spans="1:27" x14ac:dyDescent="0.25">
      <c r="A51" s="21">
        <f t="shared" ca="1" si="0"/>
        <v>45775</v>
      </c>
      <c r="B51" vm="147">
        <f ca="1"/>
        <v>45776</v>
      </c>
      <c r="C51" vm="148">
        <f ca="1"/>
        <v>112.13</v>
      </c>
      <c r="D51" vm="149">
        <f ca="1"/>
        <v>2000418</v>
      </c>
      <c r="E51">
        <f t="shared" ca="1" si="1"/>
        <v>224306870.34</v>
      </c>
      <c r="F51">
        <f ca="1">SUM($E$2:E51)/SUM($D$2:D51)</f>
        <v>105.86190778562467</v>
      </c>
      <c r="G51">
        <f ca="1">_xlfn.STDEV.P($C$2:C51)</f>
        <v>4.8427765630885737</v>
      </c>
      <c r="H51">
        <f t="shared" ca="1" si="2"/>
        <v>110.70468434871324</v>
      </c>
      <c r="I51">
        <f t="shared" ca="1" si="3"/>
        <v>101.01913122253609</v>
      </c>
      <c r="J51">
        <f t="shared" ca="1" si="12"/>
        <v>110.321</v>
      </c>
      <c r="K51">
        <f t="shared" ca="1" si="13"/>
        <v>2.3420142028424564</v>
      </c>
      <c r="L51">
        <f t="shared" ca="1" si="14"/>
        <v>115.00502840568491</v>
      </c>
      <c r="M51">
        <f t="shared" ca="1" si="15"/>
        <v>105.63697159431509</v>
      </c>
      <c r="N51">
        <f t="shared" ca="1" si="4"/>
        <v>1</v>
      </c>
      <c r="O51">
        <f t="shared" ca="1" si="5"/>
        <v>1</v>
      </c>
      <c r="P51">
        <f t="shared" ca="1" si="6"/>
        <v>0</v>
      </c>
      <c r="Q51">
        <f t="shared" ca="1" si="10"/>
        <v>0.76201888785346827</v>
      </c>
      <c r="R51">
        <f t="shared" ca="1" si="11"/>
        <v>0.52516658405072103</v>
      </c>
      <c r="S51">
        <f t="shared" ca="1" si="8"/>
        <v>1.4510041403926641</v>
      </c>
      <c r="T51">
        <f t="shared" ca="1" si="9"/>
        <v>59.200395318802087</v>
      </c>
      <c r="U51">
        <f>70</f>
        <v>70</v>
      </c>
      <c r="V51">
        <f>30</f>
        <v>30</v>
      </c>
      <c r="W51">
        <f t="shared" ca="1" si="7"/>
        <v>111.09329170031828</v>
      </c>
      <c r="X51">
        <f t="shared" ca="1" si="17"/>
        <v>109.43656440621584</v>
      </c>
      <c r="Y51">
        <f t="shared" ca="1" si="16"/>
        <v>1.6661658204398435</v>
      </c>
      <c r="Z51">
        <f t="shared" ca="1" si="18"/>
        <v>1.8405977721032027</v>
      </c>
      <c r="AA51">
        <f t="shared" ca="1" si="19"/>
        <v>-0.17443195166335923</v>
      </c>
    </row>
    <row r="52" spans="1:27" x14ac:dyDescent="0.25">
      <c r="A52" s="21">
        <f t="shared" ca="1" si="0"/>
        <v>45775</v>
      </c>
      <c r="B52" vm="150">
        <f ca="1"/>
        <v>45777</v>
      </c>
      <c r="C52" vm="151">
        <f ca="1"/>
        <v>112.75</v>
      </c>
      <c r="D52" vm="152">
        <f ca="1"/>
        <v>4940839</v>
      </c>
      <c r="E52">
        <f t="shared" ca="1" si="1"/>
        <v>557079597.25</v>
      </c>
      <c r="F52">
        <f ca="1">SUM($E$2:E52)/SUM($D$2:D52)</f>
        <v>106.07880635820533</v>
      </c>
      <c r="G52">
        <f ca="1">_xlfn.STDEV.P($C$2:C52)</f>
        <v>4.8778595513179424</v>
      </c>
      <c r="H52">
        <f t="shared" ca="1" si="2"/>
        <v>110.95666590952327</v>
      </c>
      <c r="I52">
        <f t="shared" ca="1" si="3"/>
        <v>101.20094680688739</v>
      </c>
      <c r="J52">
        <f t="shared" ca="1" si="12"/>
        <v>110.4555</v>
      </c>
      <c r="K52">
        <f t="shared" ca="1" si="13"/>
        <v>2.402692513783125</v>
      </c>
      <c r="L52">
        <f t="shared" ca="1" si="14"/>
        <v>115.26088502756625</v>
      </c>
      <c r="M52">
        <f t="shared" ca="1" si="15"/>
        <v>105.65011497243376</v>
      </c>
      <c r="N52">
        <f t="shared" ca="1" si="4"/>
        <v>0.62000000000000455</v>
      </c>
      <c r="O52">
        <f t="shared" ca="1" si="5"/>
        <v>0.62000000000000455</v>
      </c>
      <c r="P52">
        <f t="shared" ca="1" si="6"/>
        <v>0</v>
      </c>
      <c r="Q52">
        <f t="shared" ca="1" si="10"/>
        <v>0.75187468157822079</v>
      </c>
      <c r="R52">
        <f t="shared" ca="1" si="11"/>
        <v>0.48765468518995519</v>
      </c>
      <c r="S52">
        <f t="shared" ca="1" si="8"/>
        <v>1.5418178157877116</v>
      </c>
      <c r="T52">
        <f t="shared" ca="1" si="9"/>
        <v>60.658077310308762</v>
      </c>
      <c r="U52">
        <f>70</f>
        <v>70</v>
      </c>
      <c r="V52">
        <f>30</f>
        <v>30</v>
      </c>
      <c r="W52">
        <f t="shared" ca="1" si="7"/>
        <v>111.34816990026931</v>
      </c>
      <c r="X52">
        <f t="shared" ca="1" si="17"/>
        <v>109.68200407982947</v>
      </c>
      <c r="Y52">
        <f t="shared" ca="1" si="16"/>
        <v>1.6394163374228157</v>
      </c>
      <c r="Z52">
        <f t="shared" ca="1" si="18"/>
        <v>1.8003614851671255</v>
      </c>
      <c r="AA52">
        <f t="shared" ca="1" si="19"/>
        <v>-0.16094514774430979</v>
      </c>
    </row>
    <row r="53" spans="1:27" x14ac:dyDescent="0.25">
      <c r="A53" s="21">
        <f t="shared" ca="1" si="0"/>
        <v>45775</v>
      </c>
      <c r="B53" vm="153">
        <f ca="1"/>
        <v>45778</v>
      </c>
      <c r="C53" vm="154">
        <f ca="1"/>
        <v>112.56</v>
      </c>
      <c r="D53" vm="155">
        <f ca="1"/>
        <v>3265519</v>
      </c>
      <c r="E53">
        <f t="shared" ca="1" si="1"/>
        <v>367566818.63999999</v>
      </c>
      <c r="F53">
        <f ca="1">SUM($E$2:E53)/SUM($D$2:D53)</f>
        <v>106.21094157376368</v>
      </c>
      <c r="G53">
        <f ca="1">_xlfn.STDEV.P($C$2:C53)</f>
        <v>4.9037273892104043</v>
      </c>
      <c r="H53">
        <f t="shared" ca="1" si="2"/>
        <v>111.11466896297408</v>
      </c>
      <c r="I53">
        <f t="shared" ca="1" si="3"/>
        <v>101.30721418455327</v>
      </c>
      <c r="J53">
        <f t="shared" ca="1" si="12"/>
        <v>110.6045</v>
      </c>
      <c r="K53">
        <f t="shared" ca="1" si="13"/>
        <v>2.4376875906222448</v>
      </c>
      <c r="L53">
        <f t="shared" ca="1" si="14"/>
        <v>115.47987518124449</v>
      </c>
      <c r="M53">
        <f t="shared" ca="1" si="15"/>
        <v>105.72912481875551</v>
      </c>
      <c r="N53">
        <f t="shared" ca="1" si="4"/>
        <v>-0.18999999999999773</v>
      </c>
      <c r="O53">
        <f t="shared" ca="1" si="5"/>
        <v>0</v>
      </c>
      <c r="P53">
        <f t="shared" ca="1" si="6"/>
        <v>0.18999999999999773</v>
      </c>
      <c r="Q53">
        <f t="shared" ca="1" si="10"/>
        <v>0.69816934717977641</v>
      </c>
      <c r="R53">
        <f t="shared" ca="1" si="11"/>
        <v>0.46639363624781538</v>
      </c>
      <c r="S53">
        <f t="shared" ca="1" si="8"/>
        <v>1.4969529876021046</v>
      </c>
      <c r="T53">
        <f t="shared" ca="1" si="9"/>
        <v>59.951188309703468</v>
      </c>
      <c r="U53">
        <f>70</f>
        <v>70</v>
      </c>
      <c r="V53">
        <f>30</f>
        <v>30</v>
      </c>
      <c r="W53">
        <f t="shared" ca="1" si="7"/>
        <v>111.53460530022788</v>
      </c>
      <c r="X53">
        <f t="shared" ca="1" si="17"/>
        <v>109.89518896280507</v>
      </c>
      <c r="Y53">
        <f t="shared" ca="1" si="16"/>
        <v>1.397952596171038</v>
      </c>
      <c r="Z53">
        <f t="shared" ca="1" si="18"/>
        <v>1.7198797073679082</v>
      </c>
      <c r="AA53">
        <f t="shared" ca="1" si="19"/>
        <v>-0.32192711119687023</v>
      </c>
    </row>
    <row r="54" spans="1:27" x14ac:dyDescent="0.25">
      <c r="A54" s="21">
        <f t="shared" ca="1" si="0"/>
        <v>45775</v>
      </c>
      <c r="B54" vm="156">
        <f ca="1"/>
        <v>45779</v>
      </c>
      <c r="C54" vm="157">
        <f ca="1"/>
        <v>110.03</v>
      </c>
      <c r="D54" vm="158">
        <f ca="1"/>
        <v>3421767</v>
      </c>
      <c r="E54">
        <f t="shared" ca="1" si="1"/>
        <v>376497023.00999999</v>
      </c>
      <c r="F54">
        <f ca="1">SUM($E$2:E54)/SUM($D$2:D54)</f>
        <v>106.29082156151465</v>
      </c>
      <c r="G54">
        <f ca="1">_xlfn.STDEV.P($C$2:C54)</f>
        <v>4.8804007080931076</v>
      </c>
      <c r="H54">
        <f t="shared" ca="1" si="2"/>
        <v>111.17122226960775</v>
      </c>
      <c r="I54">
        <f t="shared" ca="1" si="3"/>
        <v>101.41042085342154</v>
      </c>
      <c r="J54">
        <f t="shared" ca="1" si="12"/>
        <v>110.47</v>
      </c>
      <c r="K54">
        <f t="shared" ca="1" si="13"/>
        <v>2.3885362176776579</v>
      </c>
      <c r="L54">
        <f t="shared" ca="1" si="14"/>
        <v>115.24707243535532</v>
      </c>
      <c r="M54">
        <f t="shared" ca="1" si="15"/>
        <v>105.69292756464468</v>
      </c>
      <c r="N54">
        <f t="shared" ca="1" si="4"/>
        <v>-2.5300000000000011</v>
      </c>
      <c r="O54">
        <f t="shared" ca="1" si="5"/>
        <v>0</v>
      </c>
      <c r="P54">
        <f t="shared" ca="1" si="6"/>
        <v>2.5300000000000011</v>
      </c>
      <c r="Q54">
        <f t="shared" ca="1" si="10"/>
        <v>0.64830010809550664</v>
      </c>
      <c r="R54">
        <f t="shared" ca="1" si="11"/>
        <v>0.6137940908015429</v>
      </c>
      <c r="S54">
        <f t="shared" ca="1" si="8"/>
        <v>1.0562175781928804</v>
      </c>
      <c r="T54">
        <f t="shared" ca="1" si="9"/>
        <v>51.36701433712787</v>
      </c>
      <c r="U54">
        <f>70</f>
        <v>70</v>
      </c>
      <c r="V54">
        <f>30</f>
        <v>30</v>
      </c>
      <c r="W54">
        <f t="shared" ca="1" si="7"/>
        <v>111.30312756173129</v>
      </c>
      <c r="X54">
        <f t="shared" ca="1" si="17"/>
        <v>109.90517496556025</v>
      </c>
      <c r="Y54">
        <f t="shared" ca="1" si="16"/>
        <v>1.152156757911996</v>
      </c>
      <c r="Z54">
        <f t="shared" ca="1" si="18"/>
        <v>1.606335117476726</v>
      </c>
      <c r="AA54">
        <f t="shared" ca="1" si="19"/>
        <v>-0.45417835956472996</v>
      </c>
    </row>
    <row r="55" spans="1:27" x14ac:dyDescent="0.25">
      <c r="A55" s="21">
        <f t="shared" ca="1" si="0"/>
        <v>45782</v>
      </c>
      <c r="B55" vm="159">
        <f ca="1"/>
        <v>45782</v>
      </c>
      <c r="C55" vm="160">
        <f ca="1"/>
        <v>109.52</v>
      </c>
      <c r="D55" vm="161">
        <f ca="1"/>
        <v>3225219</v>
      </c>
      <c r="E55">
        <f t="shared" ca="1" si="1"/>
        <v>353225984.88</v>
      </c>
      <c r="F55">
        <f ca="1">SUM($E$2:E55)/SUM($D$2:D55)</f>
        <v>106.35325306896988</v>
      </c>
      <c r="G55">
        <f ca="1">_xlfn.STDEV.P($C$2:C55)</f>
        <v>4.8509363321981223</v>
      </c>
      <c r="H55">
        <f t="shared" ca="1" si="2"/>
        <v>111.20418940116799</v>
      </c>
      <c r="I55">
        <f t="shared" ca="1" si="3"/>
        <v>101.50231673677176</v>
      </c>
      <c r="J55">
        <f t="shared" ca="1" si="12"/>
        <v>110.48000000000002</v>
      </c>
      <c r="K55">
        <f t="shared" ca="1" si="13"/>
        <v>2.3838822825051795</v>
      </c>
      <c r="L55">
        <f t="shared" ca="1" si="14"/>
        <v>115.24776456501037</v>
      </c>
      <c r="M55">
        <f t="shared" ca="1" si="15"/>
        <v>105.71223543498967</v>
      </c>
      <c r="N55">
        <f t="shared" ca="1" si="4"/>
        <v>-0.51000000000000512</v>
      </c>
      <c r="O55">
        <f t="shared" ca="1" si="5"/>
        <v>0</v>
      </c>
      <c r="P55">
        <f t="shared" ca="1" si="6"/>
        <v>0.51000000000000512</v>
      </c>
      <c r="Q55">
        <f t="shared" ca="1" si="10"/>
        <v>0.60199295751725612</v>
      </c>
      <c r="R55">
        <f t="shared" ca="1" si="11"/>
        <v>0.60638022717286155</v>
      </c>
      <c r="S55">
        <f t="shared" ca="1" si="8"/>
        <v>0.99276482071973182</v>
      </c>
      <c r="T55">
        <f t="shared" ca="1" si="9"/>
        <v>49.818463794496964</v>
      </c>
      <c r="U55">
        <f>70</f>
        <v>70</v>
      </c>
      <c r="V55">
        <f>30</f>
        <v>30</v>
      </c>
      <c r="W55">
        <f t="shared" ca="1" si="7"/>
        <v>111.02880024454186</v>
      </c>
      <c r="X55">
        <f t="shared" ca="1" si="17"/>
        <v>109.87664348662986</v>
      </c>
      <c r="Y55">
        <f t="shared" ca="1" si="16"/>
        <v>1.0222351551972224</v>
      </c>
      <c r="Z55">
        <f t="shared" ca="1" si="18"/>
        <v>1.4895151250208252</v>
      </c>
      <c r="AA55">
        <f t="shared" ca="1" si="19"/>
        <v>-0.46727996982360276</v>
      </c>
    </row>
    <row r="56" spans="1:27" x14ac:dyDescent="0.25">
      <c r="A56" s="21">
        <f t="shared" ca="1" si="0"/>
        <v>45782</v>
      </c>
      <c r="B56" vm="162">
        <f ca="1"/>
        <v>45783</v>
      </c>
      <c r="C56" vm="163">
        <f ca="1"/>
        <v>110.47</v>
      </c>
      <c r="D56" vm="164">
        <f ca="1"/>
        <v>2186858</v>
      </c>
      <c r="E56">
        <f t="shared" ca="1" si="1"/>
        <v>241582203.25999999</v>
      </c>
      <c r="F56">
        <f ca="1">SUM($E$2:E56)/SUM($D$2:D56)</f>
        <v>106.40652164680317</v>
      </c>
      <c r="G56">
        <f ca="1">_xlfn.STDEV.P($C$2:C56)</f>
        <v>4.8335175494484801</v>
      </c>
      <c r="H56">
        <f t="shared" ca="1" si="2"/>
        <v>111.24003919625164</v>
      </c>
      <c r="I56">
        <f t="shared" ca="1" si="3"/>
        <v>101.5730040973547</v>
      </c>
      <c r="J56">
        <f t="shared" ca="1" si="12"/>
        <v>110.73350000000001</v>
      </c>
      <c r="K56">
        <f t="shared" ca="1" si="13"/>
        <v>2.0632556669905018</v>
      </c>
      <c r="L56">
        <f t="shared" ca="1" si="14"/>
        <v>114.86001133398101</v>
      </c>
      <c r="M56">
        <f t="shared" ca="1" si="15"/>
        <v>106.60698866601901</v>
      </c>
      <c r="N56">
        <f t="shared" ca="1" si="4"/>
        <v>0.95000000000000284</v>
      </c>
      <c r="O56">
        <f t="shared" ca="1" si="5"/>
        <v>0.95000000000000284</v>
      </c>
      <c r="P56">
        <f t="shared" ca="1" si="6"/>
        <v>0</v>
      </c>
      <c r="Q56">
        <f t="shared" ca="1" si="10"/>
        <v>0.62685060340888099</v>
      </c>
      <c r="R56">
        <f t="shared" ca="1" si="11"/>
        <v>0.56306735380337147</v>
      </c>
      <c r="S56">
        <f t="shared" ca="1" si="8"/>
        <v>1.113278188079402</v>
      </c>
      <c r="T56">
        <f t="shared" ca="1" si="9"/>
        <v>52.680153250016552</v>
      </c>
      <c r="U56">
        <f>70</f>
        <v>70</v>
      </c>
      <c r="V56">
        <f>30</f>
        <v>30</v>
      </c>
      <c r="W56">
        <f t="shared" ca="1" si="7"/>
        <v>110.94283097615079</v>
      </c>
      <c r="X56">
        <f t="shared" ca="1" si="17"/>
        <v>109.92059582095357</v>
      </c>
      <c r="Y56">
        <f t="shared" ca="1" si="16"/>
        <v>0.95426540771188684</v>
      </c>
      <c r="Z56">
        <f t="shared" ca="1" si="18"/>
        <v>1.3824651815590376</v>
      </c>
      <c r="AA56">
        <f t="shared" ca="1" si="19"/>
        <v>-0.4281997738471508</v>
      </c>
    </row>
    <row r="57" spans="1:27" x14ac:dyDescent="0.25">
      <c r="A57" s="21">
        <f t="shared" ca="1" si="0"/>
        <v>45782</v>
      </c>
      <c r="B57" vm="165">
        <f ca="1"/>
        <v>45784</v>
      </c>
      <c r="C57" vm="166">
        <f ca="1"/>
        <v>111.04</v>
      </c>
      <c r="D57" vm="167">
        <f ca="1"/>
        <v>3555181</v>
      </c>
      <c r="E57">
        <f t="shared" ca="1" si="1"/>
        <v>394767298.24000001</v>
      </c>
      <c r="F57">
        <f ca="1">SUM($E$2:E57)/SUM($D$2:D57)</f>
        <v>106.5019822672664</v>
      </c>
      <c r="G57">
        <f ca="1">_xlfn.STDEV.P($C$2:C57)</f>
        <v>4.8240675185438056</v>
      </c>
      <c r="H57">
        <f t="shared" ca="1" si="2"/>
        <v>111.3260497858102</v>
      </c>
      <c r="I57">
        <f t="shared" ca="1" si="3"/>
        <v>101.6779147487226</v>
      </c>
      <c r="J57">
        <f t="shared" ca="1" si="12"/>
        <v>110.98300000000002</v>
      </c>
      <c r="K57">
        <f t="shared" ca="1" si="13"/>
        <v>1.7441212536313011</v>
      </c>
      <c r="L57">
        <f t="shared" ca="1" si="14"/>
        <v>114.47124250726262</v>
      </c>
      <c r="M57">
        <f t="shared" ca="1" si="15"/>
        <v>107.49475749273742</v>
      </c>
      <c r="N57">
        <f t="shared" ca="1" si="4"/>
        <v>0.57000000000000739</v>
      </c>
      <c r="O57">
        <f t="shared" ca="1" si="5"/>
        <v>0.57000000000000739</v>
      </c>
      <c r="P57">
        <f t="shared" ca="1" si="6"/>
        <v>0</v>
      </c>
      <c r="Q57">
        <f t="shared" ca="1" si="10"/>
        <v>0.62278984602253284</v>
      </c>
      <c r="R57">
        <f t="shared" ca="1" si="11"/>
        <v>0.52284825710313065</v>
      </c>
      <c r="S57">
        <f t="shared" ca="1" si="8"/>
        <v>1.191148363911805</v>
      </c>
      <c r="T57">
        <f t="shared" ca="1" si="9"/>
        <v>54.361830697090546</v>
      </c>
      <c r="U57">
        <f>70</f>
        <v>70</v>
      </c>
      <c r="V57">
        <f>30</f>
        <v>30</v>
      </c>
      <c r="W57">
        <f t="shared" ca="1" si="7"/>
        <v>110.95778005674296</v>
      </c>
      <c r="X57">
        <f t="shared" ca="1" si="17"/>
        <v>110.00351464903108</v>
      </c>
      <c r="Y57">
        <f t="shared" ca="1" si="16"/>
        <v>0.62768779463692681</v>
      </c>
      <c r="Z57">
        <f t="shared" ca="1" si="18"/>
        <v>1.2315097041746155</v>
      </c>
      <c r="AA57">
        <f t="shared" ca="1" si="19"/>
        <v>-0.60382190953768866</v>
      </c>
    </row>
    <row r="58" spans="1:27" x14ac:dyDescent="0.25">
      <c r="A58" s="21">
        <f t="shared" ca="1" si="0"/>
        <v>45782</v>
      </c>
      <c r="B58" vm="168">
        <f ca="1"/>
        <v>45785</v>
      </c>
      <c r="C58" vm="169">
        <f ca="1"/>
        <v>107.75</v>
      </c>
      <c r="D58" vm="170">
        <f ca="1"/>
        <v>3652455</v>
      </c>
      <c r="E58">
        <f t="shared" ca="1" si="1"/>
        <v>393552026.25</v>
      </c>
      <c r="F58">
        <f ca="1">SUM($E$2:E58)/SUM($D$2:D58)</f>
        <v>106.52785037441157</v>
      </c>
      <c r="G58">
        <f ca="1">_xlfn.STDEV.P($C$2:C58)</f>
        <v>4.7831695159853878</v>
      </c>
      <c r="H58">
        <f t="shared" ca="1" si="2"/>
        <v>111.31101989039696</v>
      </c>
      <c r="I58">
        <f t="shared" ca="1" si="3"/>
        <v>101.74468085842618</v>
      </c>
      <c r="J58">
        <f t="shared" ca="1" si="12"/>
        <v>111.08199999999999</v>
      </c>
      <c r="K58">
        <f t="shared" ca="1" si="13"/>
        <v>1.4667924188514199</v>
      </c>
      <c r="L58">
        <f t="shared" ca="1" si="14"/>
        <v>114.01558483770283</v>
      </c>
      <c r="M58">
        <f t="shared" ca="1" si="15"/>
        <v>108.14841516229716</v>
      </c>
      <c r="N58">
        <f t="shared" ca="1" si="4"/>
        <v>-3.2900000000000063</v>
      </c>
      <c r="O58">
        <f t="shared" ca="1" si="5"/>
        <v>0</v>
      </c>
      <c r="P58">
        <f t="shared" ca="1" si="6"/>
        <v>3.2900000000000063</v>
      </c>
      <c r="Q58">
        <f t="shared" ca="1" si="10"/>
        <v>0.57830485702092338</v>
      </c>
      <c r="R58">
        <f t="shared" ca="1" si="11"/>
        <v>0.72050195302433606</v>
      </c>
      <c r="S58">
        <f t="shared" ca="1" si="8"/>
        <v>0.80264162309826559</v>
      </c>
      <c r="T58">
        <f t="shared" ca="1" si="9"/>
        <v>44.525856543728104</v>
      </c>
      <c r="U58">
        <f>70</f>
        <v>70</v>
      </c>
      <c r="V58">
        <f>30</f>
        <v>30</v>
      </c>
      <c r="W58">
        <f t="shared" ca="1" si="7"/>
        <v>110.46427543262867</v>
      </c>
      <c r="X58">
        <f t="shared" ca="1" si="17"/>
        <v>109.83658763799174</v>
      </c>
      <c r="Y58">
        <f t="shared" ca="1" si="16"/>
        <v>0.35908496052250882</v>
      </c>
      <c r="Z58">
        <f t="shared" ca="1" si="18"/>
        <v>1.0570247554441941</v>
      </c>
      <c r="AA58">
        <f t="shared" ca="1" si="19"/>
        <v>-0.69793979492168523</v>
      </c>
    </row>
    <row r="59" spans="1:27" x14ac:dyDescent="0.25">
      <c r="A59" s="21">
        <f t="shared" ca="1" si="0"/>
        <v>45782</v>
      </c>
      <c r="B59" vm="171">
        <f ca="1"/>
        <v>45786</v>
      </c>
      <c r="C59" vm="172">
        <f ca="1"/>
        <v>107.68</v>
      </c>
      <c r="D59" vm="173">
        <f ca="1"/>
        <v>2248912</v>
      </c>
      <c r="E59">
        <f t="shared" ca="1" si="1"/>
        <v>242162844.16000003</v>
      </c>
      <c r="F59">
        <f ca="1">SUM($E$2:E59)/SUM($D$2:D59)</f>
        <v>106.54236924410772</v>
      </c>
      <c r="G59">
        <f ca="1">_xlfn.STDEV.P($C$2:C59)</f>
        <v>4.7430691941504914</v>
      </c>
      <c r="H59">
        <f t="shared" ca="1" si="2"/>
        <v>111.28543843825821</v>
      </c>
      <c r="I59">
        <f t="shared" ca="1" si="3"/>
        <v>101.79930004995722</v>
      </c>
      <c r="J59">
        <f t="shared" ca="1" si="12"/>
        <v>111.05099999999997</v>
      </c>
      <c r="K59">
        <f t="shared" ca="1" si="13"/>
        <v>1.5337086115892919</v>
      </c>
      <c r="L59">
        <f t="shared" ca="1" si="14"/>
        <v>114.11841722317855</v>
      </c>
      <c r="M59">
        <f t="shared" ca="1" si="15"/>
        <v>107.98358277682139</v>
      </c>
      <c r="N59">
        <f t="shared" ca="1" si="4"/>
        <v>-6.9999999999993179E-2</v>
      </c>
      <c r="O59">
        <f t="shared" ca="1" si="5"/>
        <v>0</v>
      </c>
      <c r="P59">
        <f t="shared" ca="1" si="6"/>
        <v>6.9999999999993179E-2</v>
      </c>
      <c r="Q59">
        <f t="shared" ca="1" si="10"/>
        <v>0.53699736723371461</v>
      </c>
      <c r="R59">
        <f t="shared" ca="1" si="11"/>
        <v>0.67403752780831161</v>
      </c>
      <c r="S59">
        <f t="shared" ca="1" si="8"/>
        <v>0.79668763990011904</v>
      </c>
      <c r="T59">
        <f t="shared" ca="1" si="9"/>
        <v>44.342022631402322</v>
      </c>
      <c r="U59">
        <f>70</f>
        <v>70</v>
      </c>
      <c r="V59">
        <f>30</f>
        <v>30</v>
      </c>
      <c r="W59">
        <f t="shared" ca="1" si="7"/>
        <v>110.03592536607042</v>
      </c>
      <c r="X59">
        <f t="shared" ca="1" si="17"/>
        <v>109.67684040554791</v>
      </c>
      <c r="Y59">
        <f t="shared" ca="1" si="16"/>
        <v>-0.18570740193776203</v>
      </c>
      <c r="Z59">
        <f t="shared" ca="1" si="18"/>
        <v>0.80847832396780295</v>
      </c>
      <c r="AA59">
        <f t="shared" ca="1" si="19"/>
        <v>-0.99418572590556498</v>
      </c>
    </row>
    <row r="60" spans="1:27" x14ac:dyDescent="0.25">
      <c r="A60" s="21">
        <f t="shared" ca="1" si="0"/>
        <v>45789</v>
      </c>
      <c r="B60" vm="174">
        <f ca="1"/>
        <v>45789</v>
      </c>
      <c r="C60" vm="175">
        <f ca="1"/>
        <v>103.54</v>
      </c>
      <c r="D60" vm="176">
        <f ca="1"/>
        <v>3918415</v>
      </c>
      <c r="E60">
        <f t="shared" ca="1" si="1"/>
        <v>405712689.10000002</v>
      </c>
      <c r="F60">
        <f ca="1">SUM($E$2:E60)/SUM($D$2:D60)</f>
        <v>106.47786420965872</v>
      </c>
      <c r="G60">
        <f ca="1">_xlfn.STDEV.P($C$2:C60)</f>
        <v>4.7219242750729418</v>
      </c>
      <c r="H60">
        <f t="shared" ca="1" si="2"/>
        <v>111.19978848473166</v>
      </c>
      <c r="I60">
        <f t="shared" ca="1" si="3"/>
        <v>101.75593993458578</v>
      </c>
      <c r="J60">
        <f t="shared" ca="1" si="12"/>
        <v>110.73599999999999</v>
      </c>
      <c r="K60">
        <f t="shared" ca="1" si="13"/>
        <v>2.2671229158979149</v>
      </c>
      <c r="L60">
        <f t="shared" ca="1" si="14"/>
        <v>115.27024583179582</v>
      </c>
      <c r="M60">
        <f t="shared" ca="1" si="15"/>
        <v>106.20175416820416</v>
      </c>
      <c r="N60">
        <f t="shared" ca="1" si="4"/>
        <v>-4.1400000000000006</v>
      </c>
      <c r="O60">
        <f t="shared" ca="1" si="5"/>
        <v>0</v>
      </c>
      <c r="P60">
        <f t="shared" ca="1" si="6"/>
        <v>4.1400000000000006</v>
      </c>
      <c r="Q60">
        <f t="shared" ca="1" si="10"/>
        <v>0.49864041243130641</v>
      </c>
      <c r="R60">
        <f t="shared" ca="1" si="11"/>
        <v>0.92160627582200372</v>
      </c>
      <c r="S60">
        <f t="shared" ca="1" si="8"/>
        <v>0.54105579086530908</v>
      </c>
      <c r="T60">
        <f t="shared" ca="1" si="9"/>
        <v>35.109422648579397</v>
      </c>
      <c r="U60">
        <f>70</f>
        <v>70</v>
      </c>
      <c r="V60">
        <f>30</f>
        <v>30</v>
      </c>
      <c r="W60">
        <f t="shared" ca="1" si="7"/>
        <v>109.03655223282881</v>
      </c>
      <c r="X60">
        <f t="shared" ca="1" si="17"/>
        <v>109.22225963476657</v>
      </c>
      <c r="Y60">
        <f t="shared" ca="1" si="16"/>
        <v>-0.84654805740449035</v>
      </c>
      <c r="Z60">
        <f t="shared" ca="1" si="18"/>
        <v>0.47747304769334431</v>
      </c>
      <c r="AA60">
        <f t="shared" ca="1" si="19"/>
        <v>-1.3240211050978345</v>
      </c>
    </row>
    <row r="61" spans="1:27" x14ac:dyDescent="0.25">
      <c r="A61" s="21">
        <f t="shared" ca="1" si="0"/>
        <v>45789</v>
      </c>
      <c r="B61" vm="177">
        <f ca="1"/>
        <v>45790</v>
      </c>
      <c r="C61" vm="178">
        <f ca="1"/>
        <v>100.58</v>
      </c>
      <c r="D61" vm="179">
        <f ca="1"/>
        <v>4495917</v>
      </c>
      <c r="E61">
        <f t="shared" ca="1" si="1"/>
        <v>452199331.86000001</v>
      </c>
      <c r="F61">
        <f ca="1">SUM($E$2:E61)/SUM($D$2:D61)</f>
        <v>106.33597280212608</v>
      </c>
      <c r="G61">
        <f ca="1">_xlfn.STDEV.P($C$2:C61)</f>
        <v>4.7492376551985211</v>
      </c>
      <c r="H61">
        <f t="shared" ca="1" si="2"/>
        <v>111.08521045732461</v>
      </c>
      <c r="I61">
        <f t="shared" ca="1" si="3"/>
        <v>101.58673514692755</v>
      </c>
      <c r="J61">
        <f t="shared" ca="1" si="12"/>
        <v>110.1525</v>
      </c>
      <c r="K61">
        <f t="shared" ca="1" si="13"/>
        <v>3.1763913238304338</v>
      </c>
      <c r="L61">
        <f t="shared" ca="1" si="14"/>
        <v>116.50528264766088</v>
      </c>
      <c r="M61">
        <f t="shared" ca="1" si="15"/>
        <v>103.79971735233913</v>
      </c>
      <c r="N61">
        <f t="shared" ca="1" si="4"/>
        <v>-2.960000000000008</v>
      </c>
      <c r="O61">
        <f t="shared" ca="1" si="5"/>
        <v>0</v>
      </c>
      <c r="P61">
        <f t="shared" ca="1" si="6"/>
        <v>2.960000000000008</v>
      </c>
      <c r="Q61">
        <f t="shared" ca="1" si="10"/>
        <v>0.46302324011478457</v>
      </c>
      <c r="R61">
        <f t="shared" ca="1" si="11"/>
        <v>1.0672058275490042</v>
      </c>
      <c r="S61">
        <f t="shared" ca="1" si="8"/>
        <v>0.43386498476885743</v>
      </c>
      <c r="T61">
        <f t="shared" ca="1" si="9"/>
        <v>30.258426656453821</v>
      </c>
      <c r="U61">
        <f>70</f>
        <v>70</v>
      </c>
      <c r="V61">
        <f>30</f>
        <v>30</v>
      </c>
      <c r="W61">
        <f t="shared" ca="1" si="7"/>
        <v>107.73554419700899</v>
      </c>
      <c r="X61">
        <f t="shared" ca="1" si="17"/>
        <v>108.58209225441348</v>
      </c>
      <c r="Y61">
        <f t="shared" ca="1" si="16"/>
        <v>-1.4591548608909193</v>
      </c>
      <c r="Z61">
        <f t="shared" ca="1" si="18"/>
        <v>9.0147465976491592E-2</v>
      </c>
      <c r="AA61">
        <f t="shared" ca="1" si="19"/>
        <v>-1.5493023268674109</v>
      </c>
    </row>
    <row r="62" spans="1:27" x14ac:dyDescent="0.25">
      <c r="A62" s="21">
        <f t="shared" ca="1" si="0"/>
        <v>45789</v>
      </c>
      <c r="B62" vm="180">
        <f ca="1"/>
        <v>45791</v>
      </c>
      <c r="C62" vm="181">
        <f ca="1"/>
        <v>99.27</v>
      </c>
      <c r="D62" vm="182">
        <f ca="1"/>
        <v>3383905</v>
      </c>
      <c r="E62">
        <f t="shared" ca="1" si="1"/>
        <v>335920249.34999996</v>
      </c>
      <c r="F62">
        <f ca="1">SUM($E$2:E62)/SUM($D$2:D62)</f>
        <v>106.2103005259396</v>
      </c>
      <c r="G62">
        <f ca="1">_xlfn.STDEV.P($C$2:C62)</f>
        <v>4.8031696233351386</v>
      </c>
      <c r="H62">
        <f t="shared" ca="1" si="2"/>
        <v>111.01347014927474</v>
      </c>
      <c r="I62">
        <f t="shared" ca="1" si="3"/>
        <v>101.40713090260446</v>
      </c>
      <c r="J62">
        <f t="shared" ca="1" si="12"/>
        <v>109.52550000000001</v>
      </c>
      <c r="K62">
        <f t="shared" ca="1" si="13"/>
        <v>3.9704082714634348</v>
      </c>
      <c r="L62">
        <f t="shared" ca="1" si="14"/>
        <v>117.46631654292688</v>
      </c>
      <c r="M62">
        <f t="shared" ca="1" si="15"/>
        <v>101.58468345707314</v>
      </c>
      <c r="N62">
        <f t="shared" ca="1" si="4"/>
        <v>-1.3100000000000023</v>
      </c>
      <c r="O62">
        <f t="shared" ca="1" si="5"/>
        <v>0</v>
      </c>
      <c r="P62">
        <f t="shared" ca="1" si="6"/>
        <v>1.3100000000000023</v>
      </c>
      <c r="Q62">
        <f t="shared" ca="1" si="10"/>
        <v>0.42995015153515709</v>
      </c>
      <c r="R62">
        <f t="shared" ca="1" si="11"/>
        <v>1.0845482684383612</v>
      </c>
      <c r="S62">
        <f t="shared" ca="1" si="8"/>
        <v>0.39643247243780255</v>
      </c>
      <c r="T62">
        <f t="shared" ca="1" si="9"/>
        <v>28.388946852957105</v>
      </c>
      <c r="U62">
        <f>70</f>
        <v>70</v>
      </c>
      <c r="V62">
        <f>30</f>
        <v>30</v>
      </c>
      <c r="W62">
        <f t="shared" ca="1" si="7"/>
        <v>106.43315278208453</v>
      </c>
      <c r="X62">
        <f t="shared" ca="1" si="17"/>
        <v>107.89230764297545</v>
      </c>
      <c r="Y62">
        <f t="shared" ca="1" si="16"/>
        <v>-1.7039134122162807</v>
      </c>
      <c r="Z62">
        <f t="shared" ca="1" si="18"/>
        <v>-0.26866470966206291</v>
      </c>
      <c r="AA62">
        <f t="shared" ca="1" si="19"/>
        <v>-1.4352487025542178</v>
      </c>
    </row>
    <row r="63" spans="1:27" x14ac:dyDescent="0.25">
      <c r="A63" s="21">
        <f t="shared" ca="1" si="0"/>
        <v>45789</v>
      </c>
      <c r="B63" vm="183">
        <f ca="1"/>
        <v>45792</v>
      </c>
      <c r="C63" vm="184">
        <f ca="1"/>
        <v>102.01</v>
      </c>
      <c r="D63" vm="185">
        <f ca="1"/>
        <v>3497345</v>
      </c>
      <c r="E63">
        <f t="shared" ca="1" si="1"/>
        <v>356764163.45000005</v>
      </c>
      <c r="F63">
        <f ca="1">SUM($E$2:E63)/SUM($D$2:D63)</f>
        <v>106.13448510114833</v>
      </c>
      <c r="G63">
        <f ca="1">_xlfn.STDEV.P($C$2:C63)</f>
        <v>4.7985817607572567</v>
      </c>
      <c r="H63">
        <f t="shared" ca="1" si="2"/>
        <v>110.93306686190559</v>
      </c>
      <c r="I63">
        <f t="shared" ca="1" si="3"/>
        <v>101.33590334039107</v>
      </c>
      <c r="J63">
        <f t="shared" ca="1" si="12"/>
        <v>109.05400000000002</v>
      </c>
      <c r="K63">
        <f t="shared" ca="1" si="13"/>
        <v>4.279017841071771</v>
      </c>
      <c r="L63">
        <f t="shared" ca="1" si="14"/>
        <v>117.61203568214356</v>
      </c>
      <c r="M63">
        <f t="shared" ca="1" si="15"/>
        <v>100.49596431785648</v>
      </c>
      <c r="N63">
        <f t="shared" ca="1" si="4"/>
        <v>2.7400000000000091</v>
      </c>
      <c r="O63">
        <f t="shared" ca="1" si="5"/>
        <v>2.7400000000000091</v>
      </c>
      <c r="P63">
        <f t="shared" ca="1" si="6"/>
        <v>0</v>
      </c>
      <c r="Q63">
        <f t="shared" ca="1" si="10"/>
        <v>0.59495371213978943</v>
      </c>
      <c r="R63">
        <f t="shared" ca="1" si="11"/>
        <v>1.0070805349784782</v>
      </c>
      <c r="S63">
        <f t="shared" ca="1" si="8"/>
        <v>0.59077073925622436</v>
      </c>
      <c r="T63">
        <f t="shared" ca="1" si="9"/>
        <v>37.137390365405082</v>
      </c>
      <c r="U63">
        <f>70</f>
        <v>70</v>
      </c>
      <c r="V63">
        <f>30</f>
        <v>30</v>
      </c>
      <c r="W63">
        <f t="shared" ca="1" si="7"/>
        <v>105.75266773868691</v>
      </c>
      <c r="X63">
        <f t="shared" ca="1" si="17"/>
        <v>107.45658115090319</v>
      </c>
      <c r="Y63">
        <f t="shared" ca="1" si="16"/>
        <v>-1.6943776514345359</v>
      </c>
      <c r="Z63">
        <f t="shared" ca="1" si="18"/>
        <v>-0.55380729801655759</v>
      </c>
      <c r="AA63">
        <f t="shared" ca="1" si="19"/>
        <v>-1.1405703534179783</v>
      </c>
    </row>
    <row r="64" spans="1:27" x14ac:dyDescent="0.25">
      <c r="A64" s="21">
        <f t="shared" ca="1" si="0"/>
        <v>45789</v>
      </c>
      <c r="B64" vm="186">
        <f ca="1"/>
        <v>45793</v>
      </c>
      <c r="C64" vm="187">
        <f ca="1"/>
        <v>104.29</v>
      </c>
      <c r="D64" vm="188">
        <f ca="1"/>
        <v>2758882</v>
      </c>
      <c r="E64">
        <f t="shared" ca="1" si="1"/>
        <v>287723803.78000003</v>
      </c>
      <c r="F64">
        <f ca="1">SUM($E$2:E64)/SUM($D$2:D64)</f>
        <v>106.10859064404339</v>
      </c>
      <c r="G64">
        <f ca="1">_xlfn.STDEV.P($C$2:C64)</f>
        <v>4.7682324624882249</v>
      </c>
      <c r="H64">
        <f t="shared" ca="1" si="2"/>
        <v>110.87682310653162</v>
      </c>
      <c r="I64">
        <f t="shared" ca="1" si="3"/>
        <v>101.34035818155516</v>
      </c>
      <c r="J64">
        <f t="shared" ca="1" si="12"/>
        <v>108.6635</v>
      </c>
      <c r="K64">
        <f t="shared" ca="1" si="13"/>
        <v>4.3423111418496454</v>
      </c>
      <c r="L64">
        <f t="shared" ca="1" si="14"/>
        <v>117.3481222836993</v>
      </c>
      <c r="M64">
        <f t="shared" ca="1" si="15"/>
        <v>99.978877716300701</v>
      </c>
      <c r="N64">
        <f t="shared" ca="1" si="4"/>
        <v>2.2800000000000011</v>
      </c>
      <c r="O64">
        <f t="shared" ca="1" si="5"/>
        <v>2.2800000000000011</v>
      </c>
      <c r="P64">
        <f t="shared" ca="1" si="6"/>
        <v>0</v>
      </c>
      <c r="Q64">
        <f t="shared" ca="1" si="10"/>
        <v>0.71531416127266156</v>
      </c>
      <c r="R64">
        <f t="shared" ca="1" si="11"/>
        <v>0.93514621105144402</v>
      </c>
      <c r="S64">
        <f t="shared" ca="1" si="8"/>
        <v>0.76492226864544377</v>
      </c>
      <c r="T64">
        <f t="shared" ca="1" si="9"/>
        <v>43.340280885713582</v>
      </c>
      <c r="U64">
        <f>70</f>
        <v>70</v>
      </c>
      <c r="V64">
        <f>30</f>
        <v>30</v>
      </c>
      <c r="W64">
        <f t="shared" ca="1" si="7"/>
        <v>105.52764193273508</v>
      </c>
      <c r="X64">
        <f t="shared" ca="1" si="17"/>
        <v>107.22201958416962</v>
      </c>
      <c r="Y64">
        <f t="shared" ca="1" si="16"/>
        <v>-1.5806458998085589</v>
      </c>
      <c r="Z64">
        <f t="shared" ca="1" si="18"/>
        <v>-0.75917501837495793</v>
      </c>
      <c r="AA64">
        <f t="shared" ca="1" si="19"/>
        <v>-0.82147088143360092</v>
      </c>
    </row>
    <row r="65" spans="1:27" x14ac:dyDescent="0.25">
      <c r="A65" s="21">
        <f t="shared" ca="1" si="0"/>
        <v>45796</v>
      </c>
      <c r="B65" vm="189">
        <f ca="1"/>
        <v>45796</v>
      </c>
      <c r="C65" vm="190">
        <f ca="1"/>
        <v>105.38</v>
      </c>
      <c r="D65" vm="191">
        <f ca="1"/>
        <v>2047865</v>
      </c>
      <c r="E65">
        <f t="shared" ca="1" si="1"/>
        <v>215804013.69999999</v>
      </c>
      <c r="F65">
        <f ca="1">SUM($E$2:E65)/SUM($D$2:D65)</f>
        <v>106.1010764711903</v>
      </c>
      <c r="G65">
        <f ca="1">_xlfn.STDEV.P($C$2:C65)</f>
        <v>4.732689799086244</v>
      </c>
      <c r="H65">
        <f t="shared" ca="1" si="2"/>
        <v>110.83376627027654</v>
      </c>
      <c r="I65">
        <f t="shared" ca="1" si="3"/>
        <v>101.36838667210405</v>
      </c>
      <c r="J65">
        <f t="shared" ca="1" si="12"/>
        <v>108.3845</v>
      </c>
      <c r="K65">
        <f t="shared" ca="1" si="13"/>
        <v>4.36618763610592</v>
      </c>
      <c r="L65">
        <f t="shared" ca="1" si="14"/>
        <v>117.11687527221184</v>
      </c>
      <c r="M65">
        <f t="shared" ca="1" si="15"/>
        <v>99.652124727788163</v>
      </c>
      <c r="N65">
        <f t="shared" ca="1" si="4"/>
        <v>1.0899999999999892</v>
      </c>
      <c r="O65">
        <f t="shared" ca="1" si="5"/>
        <v>1.0899999999999892</v>
      </c>
      <c r="P65">
        <f t="shared" ca="1" si="6"/>
        <v>0</v>
      </c>
      <c r="Q65">
        <f t="shared" ca="1" si="10"/>
        <v>0.74207743546747074</v>
      </c>
      <c r="R65">
        <f t="shared" ca="1" si="11"/>
        <v>0.86835005311919811</v>
      </c>
      <c r="S65">
        <f t="shared" ca="1" si="8"/>
        <v>0.85458327871560114</v>
      </c>
      <c r="T65">
        <f t="shared" ca="1" si="9"/>
        <v>46.079531101318139</v>
      </c>
      <c r="U65">
        <f>70</f>
        <v>70</v>
      </c>
      <c r="V65">
        <f>30</f>
        <v>30</v>
      </c>
      <c r="W65">
        <f t="shared" ca="1" si="7"/>
        <v>105.50492778923737</v>
      </c>
      <c r="X65">
        <f t="shared" ca="1" si="17"/>
        <v>107.08557368904593</v>
      </c>
      <c r="Y65">
        <f t="shared" ca="1" si="16"/>
        <v>-1.4472019815852804</v>
      </c>
      <c r="Z65">
        <f t="shared" ca="1" si="18"/>
        <v>-0.89678041101702244</v>
      </c>
      <c r="AA65">
        <f t="shared" ca="1" si="19"/>
        <v>-0.55042157056825791</v>
      </c>
    </row>
    <row r="66" spans="1:27" x14ac:dyDescent="0.25">
      <c r="A66" s="21">
        <f t="shared" ca="1" si="0"/>
        <v>45796</v>
      </c>
      <c r="B66" vm="192">
        <f ca="1"/>
        <v>45797</v>
      </c>
      <c r="C66" vm="193">
        <f ca="1"/>
        <v>105.71</v>
      </c>
      <c r="D66" vm="194">
        <f ca="1"/>
        <v>2177662</v>
      </c>
      <c r="E66">
        <f t="shared" ca="1" si="1"/>
        <v>230200650.01999998</v>
      </c>
      <c r="F66">
        <f ca="1">SUM($E$2:E66)/SUM($D$2:D66)</f>
        <v>106.09683407269111</v>
      </c>
      <c r="G66">
        <f ca="1">_xlfn.STDEV.P($C$2:C66)</f>
        <v>4.6969837482538663</v>
      </c>
      <c r="H66">
        <f t="shared" ca="1" si="2"/>
        <v>110.79381782094498</v>
      </c>
      <c r="I66">
        <f t="shared" ca="1" si="3"/>
        <v>101.39985032443724</v>
      </c>
      <c r="J66">
        <f t="shared" ca="1" si="12"/>
        <v>108.005</v>
      </c>
      <c r="K66">
        <f t="shared" ca="1" si="13"/>
        <v>4.244617024445259</v>
      </c>
      <c r="L66">
        <f t="shared" ca="1" si="14"/>
        <v>116.49423404889052</v>
      </c>
      <c r="M66">
        <f t="shared" ca="1" si="15"/>
        <v>99.515765951109472</v>
      </c>
      <c r="N66">
        <f t="shared" ca="1" si="4"/>
        <v>0.32999999999999829</v>
      </c>
      <c r="O66">
        <f t="shared" ca="1" si="5"/>
        <v>0.32999999999999829</v>
      </c>
      <c r="P66">
        <f t="shared" ca="1" si="6"/>
        <v>0</v>
      </c>
      <c r="Q66">
        <f t="shared" ca="1" si="10"/>
        <v>0.71264333293407989</v>
      </c>
      <c r="R66">
        <f t="shared" ca="1" si="11"/>
        <v>0.80632504932496973</v>
      </c>
      <c r="S66">
        <f t="shared" ca="1" si="8"/>
        <v>0.88381643796218745</v>
      </c>
      <c r="T66">
        <f t="shared" ca="1" si="9"/>
        <v>46.916271678691423</v>
      </c>
      <c r="U66">
        <f>70</f>
        <v>70</v>
      </c>
      <c r="V66">
        <f>30</f>
        <v>30</v>
      </c>
      <c r="W66">
        <f t="shared" ca="1" si="7"/>
        <v>105.53647736012392</v>
      </c>
      <c r="X66">
        <f t="shared" ca="1" si="17"/>
        <v>106.98367934170921</v>
      </c>
      <c r="Y66">
        <f t="shared" ca="1" si="16"/>
        <v>-1.3652478920190561</v>
      </c>
      <c r="Z66">
        <f t="shared" ca="1" si="18"/>
        <v>-0.99047390721742912</v>
      </c>
      <c r="AA66">
        <f t="shared" ca="1" si="19"/>
        <v>-0.37477398480162694</v>
      </c>
    </row>
    <row r="67" spans="1:27" x14ac:dyDescent="0.25">
      <c r="A67" s="21">
        <f t="shared" ref="A67:A130" ca="1" si="20">B67 - WEEKDAY(B67, 2) + 1</f>
        <v>45796</v>
      </c>
      <c r="B67" vm="195">
        <f ca="1"/>
        <v>45798</v>
      </c>
      <c r="C67" vm="196">
        <f ca="1"/>
        <v>105.22</v>
      </c>
      <c r="D67" vm="197">
        <f ca="1"/>
        <v>2741568</v>
      </c>
      <c r="E67">
        <f t="shared" ref="E67:E130" ca="1" si="21">C67*D67</f>
        <v>288467784.95999998</v>
      </c>
      <c r="F67">
        <f ca="1">SUM($E$2:E67)/SUM($D$2:D67)</f>
        <v>106.08502040703775</v>
      </c>
      <c r="G67">
        <f ca="1">_xlfn.STDEV.P($C$2:C67)</f>
        <v>4.6635720184782725</v>
      </c>
      <c r="H67">
        <f t="shared" ref="H67:H130" ca="1" si="22">F67 + G67</f>
        <v>110.74859242551602</v>
      </c>
      <c r="I67">
        <f t="shared" ref="I67:I130" ca="1" si="23">F67 - G67</f>
        <v>101.42144838855947</v>
      </c>
      <c r="J67">
        <f t="shared" ca="1" si="12"/>
        <v>107.63999999999999</v>
      </c>
      <c r="K67">
        <f t="shared" ca="1" si="13"/>
        <v>4.148716986199342</v>
      </c>
      <c r="L67">
        <f t="shared" ca="1" si="14"/>
        <v>115.93743397239867</v>
      </c>
      <c r="M67">
        <f t="shared" ca="1" si="15"/>
        <v>99.342566027601308</v>
      </c>
      <c r="N67">
        <f t="shared" ca="1" si="4"/>
        <v>-0.48999999999999488</v>
      </c>
      <c r="O67">
        <f t="shared" ca="1" si="5"/>
        <v>0</v>
      </c>
      <c r="P67">
        <f t="shared" ca="1" si="6"/>
        <v>0.48999999999999488</v>
      </c>
      <c r="Q67">
        <f t="shared" ca="1" si="10"/>
        <v>0.66174023772450286</v>
      </c>
      <c r="R67">
        <f t="shared" ca="1" si="11"/>
        <v>0.78373040294461449</v>
      </c>
      <c r="S67">
        <f t="shared" ca="1" si="8"/>
        <v>0.84434677439873085</v>
      </c>
      <c r="T67">
        <f t="shared" ca="1" si="9"/>
        <v>45.780261397642718</v>
      </c>
      <c r="U67">
        <f>70</f>
        <v>70</v>
      </c>
      <c r="V67">
        <f>30</f>
        <v>30</v>
      </c>
      <c r="W67">
        <f t="shared" ca="1" si="7"/>
        <v>105.48778853548947</v>
      </c>
      <c r="X67">
        <f t="shared" ca="1" si="17"/>
        <v>106.85303642750853</v>
      </c>
      <c r="Y67">
        <f t="shared" ca="1" si="16"/>
        <v>-1.4290702105410134</v>
      </c>
      <c r="Z67">
        <f t="shared" ca="1" si="18"/>
        <v>-1.0781931678821459</v>
      </c>
      <c r="AA67">
        <f t="shared" ca="1" si="19"/>
        <v>-0.35087704265886743</v>
      </c>
    </row>
    <row r="68" spans="1:27" x14ac:dyDescent="0.25">
      <c r="A68" s="21">
        <f t="shared" ca="1" si="20"/>
        <v>45796</v>
      </c>
      <c r="B68" vm="198">
        <f ca="1"/>
        <v>45799</v>
      </c>
      <c r="C68" vm="199">
        <f ca="1"/>
        <v>103.42</v>
      </c>
      <c r="D68" vm="200">
        <f ca="1"/>
        <v>2266069</v>
      </c>
      <c r="E68">
        <f t="shared" ca="1" si="21"/>
        <v>234356855.97999999</v>
      </c>
      <c r="F68">
        <f ca="1">SUM($E$2:E68)/SUM($D$2:D68)</f>
        <v>106.05566877885475</v>
      </c>
      <c r="G68">
        <f ca="1">_xlfn.STDEV.P($C$2:C68)</f>
        <v>4.642745340307088</v>
      </c>
      <c r="H68">
        <f t="shared" ca="1" si="22"/>
        <v>110.69841411916184</v>
      </c>
      <c r="I68">
        <f t="shared" ca="1" si="23"/>
        <v>101.41292343854767</v>
      </c>
      <c r="J68">
        <f t="shared" ca="1" si="12"/>
        <v>107.2465</v>
      </c>
      <c r="K68">
        <f t="shared" ca="1" si="13"/>
        <v>4.1575185855836754</v>
      </c>
      <c r="L68">
        <f t="shared" ca="1" si="14"/>
        <v>115.56153717116734</v>
      </c>
      <c r="M68">
        <f t="shared" ca="1" si="15"/>
        <v>98.93146282883265</v>
      </c>
      <c r="N68">
        <f t="shared" ref="N68:N131" ca="1" si="24">C68-C67</f>
        <v>-1.7999999999999972</v>
      </c>
      <c r="O68">
        <f t="shared" ref="O68:O131" ca="1" si="25">MAX(N68,0)</f>
        <v>0</v>
      </c>
      <c r="P68">
        <f t="shared" ref="P68:P131" ca="1" si="26">MAX(-N68,0)</f>
        <v>1.7999999999999972</v>
      </c>
      <c r="Q68">
        <f t="shared" ca="1" si="10"/>
        <v>0.61447307788703842</v>
      </c>
      <c r="R68">
        <f t="shared" ca="1" si="11"/>
        <v>0.85632108844857047</v>
      </c>
      <c r="S68">
        <f t="shared" ca="1" si="8"/>
        <v>0.71757321660768947</v>
      </c>
      <c r="T68">
        <f t="shared" ca="1" si="9"/>
        <v>41.778318948460303</v>
      </c>
      <c r="U68">
        <f>70</f>
        <v>70</v>
      </c>
      <c r="V68">
        <f>30</f>
        <v>30</v>
      </c>
      <c r="W68">
        <f t="shared" ca="1" si="7"/>
        <v>105.16966722233725</v>
      </c>
      <c r="X68">
        <f t="shared" ca="1" si="17"/>
        <v>106.59873743287827</v>
      </c>
      <c r="Y68">
        <f t="shared" ca="1" si="16"/>
        <v>-1.4085427368982124</v>
      </c>
      <c r="Z68">
        <f t="shared" ca="1" si="18"/>
        <v>-1.1442630816853594</v>
      </c>
      <c r="AA68">
        <f t="shared" ca="1" si="19"/>
        <v>-0.26427965521285302</v>
      </c>
    </row>
    <row r="69" spans="1:27" x14ac:dyDescent="0.25">
      <c r="A69" s="21">
        <f t="shared" ca="1" si="20"/>
        <v>45796</v>
      </c>
      <c r="B69" vm="201">
        <f ca="1"/>
        <v>45800</v>
      </c>
      <c r="C69" vm="202">
        <f ca="1"/>
        <v>104.1</v>
      </c>
      <c r="D69" vm="203">
        <f ca="1"/>
        <v>2116235</v>
      </c>
      <c r="E69">
        <f t="shared" ca="1" si="21"/>
        <v>220300063.5</v>
      </c>
      <c r="F69">
        <f ca="1">SUM($E$2:E69)/SUM($D$2:D69)</f>
        <v>106.03575866999303</v>
      </c>
      <c r="G69">
        <f ca="1">_xlfn.STDEV.P($C$2:C69)</f>
        <v>4.6164897833256564</v>
      </c>
      <c r="H69">
        <f t="shared" ca="1" si="22"/>
        <v>110.65224845331869</v>
      </c>
      <c r="I69">
        <f t="shared" ca="1" si="23"/>
        <v>101.41926888666737</v>
      </c>
      <c r="J69">
        <f t="shared" ca="1" si="12"/>
        <v>106.929</v>
      </c>
      <c r="K69">
        <f t="shared" ca="1" si="13"/>
        <v>4.1424387680892067</v>
      </c>
      <c r="L69">
        <f t="shared" ca="1" si="14"/>
        <v>115.21387753617842</v>
      </c>
      <c r="M69">
        <f t="shared" ca="1" si="15"/>
        <v>98.644122463821589</v>
      </c>
      <c r="N69">
        <f t="shared" ca="1" si="24"/>
        <v>0.67999999999999261</v>
      </c>
      <c r="O69">
        <f t="shared" ca="1" si="25"/>
        <v>0.67999999999999261</v>
      </c>
      <c r="P69">
        <f t="shared" ca="1" si="26"/>
        <v>0</v>
      </c>
      <c r="Q69">
        <f t="shared" ca="1" si="10"/>
        <v>0.61915357232367796</v>
      </c>
      <c r="R69">
        <f t="shared" ca="1" si="11"/>
        <v>0.79515529641652971</v>
      </c>
      <c r="S69">
        <f t="shared" ca="1" si="8"/>
        <v>0.77865742090126755</v>
      </c>
      <c r="T69">
        <f t="shared" ca="1" si="9"/>
        <v>43.777818693535281</v>
      </c>
      <c r="U69">
        <f>70</f>
        <v>70</v>
      </c>
      <c r="V69">
        <f>30</f>
        <v>30</v>
      </c>
      <c r="W69">
        <f t="shared" ca="1" si="7"/>
        <v>105.00510303428537</v>
      </c>
      <c r="X69">
        <f t="shared" ca="1" si="17"/>
        <v>106.41364577118358</v>
      </c>
      <c r="Y69">
        <f t="shared" ca="1" si="16"/>
        <v>-1.386778559692047</v>
      </c>
      <c r="Z69">
        <f t="shared" ca="1" si="18"/>
        <v>-1.1927661772866969</v>
      </c>
      <c r="AA69">
        <f t="shared" ca="1" si="19"/>
        <v>-0.19401238240535013</v>
      </c>
    </row>
    <row r="70" spans="1:27" x14ac:dyDescent="0.25">
      <c r="A70" s="21">
        <f t="shared" ca="1" si="20"/>
        <v>45803</v>
      </c>
      <c r="B70" vm="204">
        <f ca="1"/>
        <v>45804</v>
      </c>
      <c r="C70" vm="205">
        <f ca="1"/>
        <v>103.97</v>
      </c>
      <c r="D70" vm="206">
        <f ca="1"/>
        <v>2638922</v>
      </c>
      <c r="E70">
        <f t="shared" ca="1" si="21"/>
        <v>274368720.33999997</v>
      </c>
      <c r="F70">
        <f ca="1">SUM($E$2:E70)/SUM($D$2:D70)</f>
        <v>106.00986212611549</v>
      </c>
      <c r="G70">
        <f ca="1">_xlfn.STDEV.P($C$2:C70)</f>
        <v>4.5915477857802074</v>
      </c>
      <c r="H70">
        <f t="shared" ca="1" si="22"/>
        <v>110.6014099118957</v>
      </c>
      <c r="I70">
        <f t="shared" ca="1" si="23"/>
        <v>101.41831434033529</v>
      </c>
      <c r="J70">
        <f t="shared" ca="1" si="12"/>
        <v>106.571</v>
      </c>
      <c r="K70">
        <f t="shared" ca="1" si="13"/>
        <v>4.0690111303543235</v>
      </c>
      <c r="L70">
        <f t="shared" ca="1" si="14"/>
        <v>114.70902226070865</v>
      </c>
      <c r="M70">
        <f t="shared" ca="1" si="15"/>
        <v>98.432977739291346</v>
      </c>
      <c r="N70">
        <f t="shared" ca="1" si="24"/>
        <v>-0.12999999999999545</v>
      </c>
      <c r="O70">
        <f t="shared" ca="1" si="25"/>
        <v>0</v>
      </c>
      <c r="P70">
        <f t="shared" ca="1" si="26"/>
        <v>0.12999999999999545</v>
      </c>
      <c r="Q70">
        <f t="shared" ca="1" si="10"/>
        <v>0.57492831715770099</v>
      </c>
      <c r="R70">
        <f t="shared" ca="1" si="11"/>
        <v>0.74764420381534868</v>
      </c>
      <c r="S70">
        <f t="shared" ca="1" si="8"/>
        <v>0.76898652356796093</v>
      </c>
      <c r="T70">
        <f t="shared" ca="1" si="9"/>
        <v>43.470456858933666</v>
      </c>
      <c r="U70">
        <f>70</f>
        <v>70</v>
      </c>
      <c r="V70">
        <f>30</f>
        <v>30</v>
      </c>
      <c r="W70">
        <f t="shared" ca="1" si="7"/>
        <v>104.84585641362608</v>
      </c>
      <c r="X70">
        <f t="shared" ca="1" si="17"/>
        <v>106.23263497331813</v>
      </c>
      <c r="Y70">
        <f t="shared" ca="1" si="16"/>
        <v>-1.5022991780098209</v>
      </c>
      <c r="Z70">
        <f t="shared" ca="1" si="18"/>
        <v>-1.2546727774313218</v>
      </c>
      <c r="AA70">
        <f t="shared" ca="1" si="19"/>
        <v>-0.24762640057849916</v>
      </c>
    </row>
    <row r="71" spans="1:27" x14ac:dyDescent="0.25">
      <c r="A71" s="21">
        <f t="shared" ca="1" si="20"/>
        <v>45803</v>
      </c>
      <c r="B71" vm="207">
        <f ca="1"/>
        <v>45805</v>
      </c>
      <c r="C71" vm="208">
        <f ca="1"/>
        <v>102.11</v>
      </c>
      <c r="D71" vm="209">
        <f ca="1"/>
        <v>1945687</v>
      </c>
      <c r="E71">
        <f t="shared" ca="1" si="21"/>
        <v>198674099.56999999</v>
      </c>
      <c r="F71">
        <f ca="1">SUM($E$2:E71)/SUM($D$2:D71)</f>
        <v>105.97414617714247</v>
      </c>
      <c r="G71">
        <f ca="1">_xlfn.STDEV.P($C$2:C71)</f>
        <v>4.5855490869220263</v>
      </c>
      <c r="H71">
        <f t="shared" ca="1" si="22"/>
        <v>110.5596952640645</v>
      </c>
      <c r="I71">
        <f t="shared" ca="1" si="23"/>
        <v>101.38859709022044</v>
      </c>
      <c r="J71">
        <f t="shared" ca="1" si="12"/>
        <v>106.07000000000001</v>
      </c>
      <c r="K71">
        <f t="shared" ca="1" si="13"/>
        <v>3.9640370171939887</v>
      </c>
      <c r="L71">
        <f t="shared" ca="1" si="14"/>
        <v>113.99807403438798</v>
      </c>
      <c r="M71">
        <f t="shared" ca="1" si="15"/>
        <v>98.141925965612032</v>
      </c>
      <c r="N71">
        <f t="shared" ca="1" si="24"/>
        <v>-1.8599999999999994</v>
      </c>
      <c r="O71">
        <f t="shared" ca="1" si="25"/>
        <v>0</v>
      </c>
      <c r="P71">
        <f t="shared" ca="1" si="26"/>
        <v>1.8599999999999994</v>
      </c>
      <c r="Q71">
        <f t="shared" ca="1" si="10"/>
        <v>0.5338620087892938</v>
      </c>
      <c r="R71">
        <f t="shared" ca="1" si="11"/>
        <v>0.82709818925710954</v>
      </c>
      <c r="S71">
        <f t="shared" ca="1" si="8"/>
        <v>0.64546388291431611</v>
      </c>
      <c r="T71">
        <f t="shared" ca="1" si="9"/>
        <v>39.226864206288219</v>
      </c>
      <c r="U71">
        <f>70</f>
        <v>70</v>
      </c>
      <c r="V71">
        <f>30</f>
        <v>30</v>
      </c>
      <c r="W71">
        <f t="shared" ca="1" si="7"/>
        <v>104.42495542691438</v>
      </c>
      <c r="X71">
        <f t="shared" ca="1" si="17"/>
        <v>105.9272546049242</v>
      </c>
      <c r="Y71">
        <f t="shared" ca="1" si="16"/>
        <v>-1.474376025090578</v>
      </c>
      <c r="Z71">
        <f t="shared" ca="1" si="18"/>
        <v>-1.2986134269631731</v>
      </c>
      <c r="AA71">
        <f t="shared" ca="1" si="19"/>
        <v>-0.17576259812740491</v>
      </c>
    </row>
    <row r="72" spans="1:27" x14ac:dyDescent="0.25">
      <c r="A72" s="21">
        <f t="shared" ca="1" si="20"/>
        <v>45803</v>
      </c>
      <c r="B72" vm="210">
        <f ca="1"/>
        <v>45806</v>
      </c>
      <c r="C72" vm="211">
        <f ca="1"/>
        <v>103.38</v>
      </c>
      <c r="D72" vm="212">
        <f ca="1"/>
        <v>2762859</v>
      </c>
      <c r="E72">
        <f t="shared" ca="1" si="21"/>
        <v>285624363.42000002</v>
      </c>
      <c r="F72">
        <f ca="1">SUM($E$2:E72)/SUM($D$2:D72)</f>
        <v>105.94084330499069</v>
      </c>
      <c r="G72">
        <f ca="1">_xlfn.STDEV.P($C$2:C72)</f>
        <v>4.5655198079563597</v>
      </c>
      <c r="H72">
        <f t="shared" ca="1" si="22"/>
        <v>110.50636311294706</v>
      </c>
      <c r="I72">
        <f t="shared" ca="1" si="23"/>
        <v>101.37532349703433</v>
      </c>
      <c r="J72">
        <f t="shared" ca="1" si="12"/>
        <v>105.60149999999999</v>
      </c>
      <c r="K72">
        <f t="shared" ca="1" si="13"/>
        <v>3.6762542077500582</v>
      </c>
      <c r="L72">
        <f t="shared" ca="1" si="14"/>
        <v>112.9540084155001</v>
      </c>
      <c r="M72">
        <f t="shared" ca="1" si="15"/>
        <v>98.248991584499876</v>
      </c>
      <c r="N72">
        <f t="shared" ca="1" si="24"/>
        <v>1.269999999999996</v>
      </c>
      <c r="O72">
        <f t="shared" ca="1" si="25"/>
        <v>1.269999999999996</v>
      </c>
      <c r="P72">
        <f t="shared" ca="1" si="26"/>
        <v>0</v>
      </c>
      <c r="Q72">
        <f t="shared" ca="1" si="10"/>
        <v>0.58644329387577254</v>
      </c>
      <c r="R72">
        <f t="shared" ca="1" si="11"/>
        <v>0.76801974716731602</v>
      </c>
      <c r="S72">
        <f t="shared" ca="1" si="8"/>
        <v>0.76357840542349187</v>
      </c>
      <c r="T72">
        <f t="shared" ca="1" si="9"/>
        <v>43.297105650379756</v>
      </c>
      <c r="U72">
        <f>70</f>
        <v>70</v>
      </c>
      <c r="V72">
        <f>30</f>
        <v>30</v>
      </c>
      <c r="W72">
        <f t="shared" ca="1" si="7"/>
        <v>104.26419305354294</v>
      </c>
      <c r="X72">
        <f t="shared" ca="1" si="17"/>
        <v>105.73856907863352</v>
      </c>
      <c r="Y72">
        <f t="shared" ca="1" si="16"/>
        <v>-1.3471498964491104</v>
      </c>
      <c r="Z72">
        <f t="shared" ca="1" si="18"/>
        <v>-1.3083207208603604</v>
      </c>
      <c r="AA72">
        <f t="shared" ca="1" si="19"/>
        <v>-3.8829175588749987E-2</v>
      </c>
    </row>
    <row r="73" spans="1:27" x14ac:dyDescent="0.25">
      <c r="A73" s="21">
        <f t="shared" ca="1" si="20"/>
        <v>45803</v>
      </c>
      <c r="B73" vm="213">
        <f ca="1"/>
        <v>45807</v>
      </c>
      <c r="C73" vm="214">
        <f ca="1"/>
        <v>104.49</v>
      </c>
      <c r="D73" vm="215">
        <f ca="1"/>
        <v>6398572</v>
      </c>
      <c r="E73">
        <f t="shared" ca="1" si="21"/>
        <v>668586788.27999997</v>
      </c>
      <c r="F73">
        <f ca="1">SUM($E$2:E73)/SUM($D$2:D73)</f>
        <v>105.89895350872074</v>
      </c>
      <c r="G73">
        <f ca="1">_xlfn.STDEV.P($C$2:C73)</f>
        <v>4.5380714278149705</v>
      </c>
      <c r="H73">
        <f t="shared" ca="1" si="22"/>
        <v>110.43702493653571</v>
      </c>
      <c r="I73">
        <f t="shared" ca="1" si="23"/>
        <v>101.36088208090577</v>
      </c>
      <c r="J73">
        <f t="shared" ca="1" si="12"/>
        <v>105.19799999999998</v>
      </c>
      <c r="K73">
        <f t="shared" ca="1" si="13"/>
        <v>3.2954555631082414</v>
      </c>
      <c r="L73">
        <f t="shared" ca="1" si="14"/>
        <v>111.78891112621646</v>
      </c>
      <c r="M73">
        <f t="shared" ca="1" si="15"/>
        <v>98.607088873783496</v>
      </c>
      <c r="N73">
        <f t="shared" ca="1" si="24"/>
        <v>1.1099999999999994</v>
      </c>
      <c r="O73">
        <f t="shared" ca="1" si="25"/>
        <v>1.1099999999999994</v>
      </c>
      <c r="P73">
        <f t="shared" ca="1" si="26"/>
        <v>0</v>
      </c>
      <c r="Q73">
        <f t="shared" ca="1" si="10"/>
        <v>0.62384020145607444</v>
      </c>
      <c r="R73">
        <f t="shared" ca="1" si="11"/>
        <v>0.71316119379822207</v>
      </c>
      <c r="S73">
        <f t="shared" ca="1" si="8"/>
        <v>0.8747534314557508</v>
      </c>
      <c r="T73">
        <f t="shared" ca="1" si="9"/>
        <v>46.659652238988173</v>
      </c>
      <c r="U73">
        <f>70</f>
        <v>70</v>
      </c>
      <c r="V73">
        <f>30</f>
        <v>30</v>
      </c>
      <c r="W73">
        <f t="shared" ca="1" si="7"/>
        <v>104.29893258376711</v>
      </c>
      <c r="X73">
        <f t="shared" ca="1" si="17"/>
        <v>105.64608248021622</v>
      </c>
      <c r="Y73">
        <f t="shared" ca="1" si="16"/>
        <v>-1.2823755803174919</v>
      </c>
      <c r="Z73">
        <f t="shared" ca="1" si="18"/>
        <v>-1.3031316927517869</v>
      </c>
      <c r="AA73">
        <f t="shared" ca="1" si="19"/>
        <v>2.0756112434294982E-2</v>
      </c>
    </row>
    <row r="74" spans="1:27" x14ac:dyDescent="0.25">
      <c r="A74" s="21">
        <f t="shared" ca="1" si="20"/>
        <v>45810</v>
      </c>
      <c r="B74" vm="216">
        <f ca="1"/>
        <v>45810</v>
      </c>
      <c r="C74" vm="217">
        <f ca="1"/>
        <v>103.86</v>
      </c>
      <c r="D74" vm="218">
        <f ca="1"/>
        <v>2292241</v>
      </c>
      <c r="E74">
        <f t="shared" ca="1" si="21"/>
        <v>238072150.25999999</v>
      </c>
      <c r="F74">
        <f ca="1">SUM($E$2:E74)/SUM($D$2:D74)</f>
        <v>105.87807962542658</v>
      </c>
      <c r="G74">
        <f ca="1">_xlfn.STDEV.P($C$2:C74)</f>
        <v>4.5148537154661543</v>
      </c>
      <c r="H74">
        <f t="shared" ca="1" si="22"/>
        <v>110.39293334089274</v>
      </c>
      <c r="I74">
        <f t="shared" ca="1" si="23"/>
        <v>101.36322590996042</v>
      </c>
      <c r="J74">
        <f t="shared" ca="1" si="12"/>
        <v>104.8895</v>
      </c>
      <c r="K74">
        <f t="shared" ca="1" si="13"/>
        <v>3.1024531465141894</v>
      </c>
      <c r="L74">
        <f t="shared" ca="1" si="14"/>
        <v>111.09440629302837</v>
      </c>
      <c r="M74">
        <f t="shared" ca="1" si="15"/>
        <v>98.684593706971626</v>
      </c>
      <c r="N74">
        <f t="shared" ca="1" si="24"/>
        <v>-0.62999999999999545</v>
      </c>
      <c r="O74">
        <f t="shared" ca="1" si="25"/>
        <v>0</v>
      </c>
      <c r="P74">
        <f t="shared" ca="1" si="26"/>
        <v>0.62999999999999545</v>
      </c>
      <c r="Q74">
        <f t="shared" ca="1" si="10"/>
        <v>0.57928018706635487</v>
      </c>
      <c r="R74">
        <f t="shared" ca="1" si="11"/>
        <v>0.70722110852692022</v>
      </c>
      <c r="S74">
        <f t="shared" ca="1" si="8"/>
        <v>0.81909346324934351</v>
      </c>
      <c r="T74">
        <f t="shared" ca="1" si="9"/>
        <v>45.027563442850443</v>
      </c>
      <c r="U74">
        <f>70</f>
        <v>70</v>
      </c>
      <c r="V74">
        <f>30</f>
        <v>30</v>
      </c>
      <c r="W74">
        <f t="shared" ca="1" si="7"/>
        <v>104.23140449395679</v>
      </c>
      <c r="X74">
        <f t="shared" ca="1" si="17"/>
        <v>105.51378007427428</v>
      </c>
      <c r="Y74">
        <f t="shared" ca="1" si="16"/>
        <v>-1.2664711949685739</v>
      </c>
      <c r="Z74">
        <f t="shared" ca="1" si="18"/>
        <v>-1.2957995931951443</v>
      </c>
      <c r="AA74">
        <f t="shared" ca="1" si="19"/>
        <v>2.9328398226570407E-2</v>
      </c>
    </row>
    <row r="75" spans="1:27" x14ac:dyDescent="0.25">
      <c r="A75" s="21">
        <f t="shared" ca="1" si="20"/>
        <v>45810</v>
      </c>
      <c r="B75" vm="219">
        <f ca="1"/>
        <v>45811</v>
      </c>
      <c r="C75" vm="220">
        <f ca="1"/>
        <v>103.24</v>
      </c>
      <c r="D75" vm="221">
        <f ca="1"/>
        <v>2316659</v>
      </c>
      <c r="E75">
        <f t="shared" ca="1" si="21"/>
        <v>239171875.16</v>
      </c>
      <c r="F75">
        <f ca="1">SUM($E$2:E75)/SUM($D$2:D75)</f>
        <v>105.851063984305</v>
      </c>
      <c r="G75">
        <f ca="1">_xlfn.STDEV.P($C$2:C75)</f>
        <v>4.4966899034351053</v>
      </c>
      <c r="H75">
        <f t="shared" ca="1" si="22"/>
        <v>110.34775388774011</v>
      </c>
      <c r="I75">
        <f t="shared" ca="1" si="23"/>
        <v>101.35437408086989</v>
      </c>
      <c r="J75">
        <f t="shared" ca="1" si="12"/>
        <v>104.57549999999999</v>
      </c>
      <c r="K75">
        <f t="shared" ca="1" si="13"/>
        <v>2.9216658460182403</v>
      </c>
      <c r="L75">
        <f t="shared" ca="1" si="14"/>
        <v>110.41883169203648</v>
      </c>
      <c r="M75">
        <f t="shared" ca="1" si="15"/>
        <v>98.732168307963505</v>
      </c>
      <c r="N75">
        <f t="shared" ca="1" si="24"/>
        <v>-0.62000000000000455</v>
      </c>
      <c r="O75">
        <f t="shared" ca="1" si="25"/>
        <v>0</v>
      </c>
      <c r="P75">
        <f t="shared" ca="1" si="26"/>
        <v>0.62000000000000455</v>
      </c>
      <c r="Q75">
        <f t="shared" ca="1" si="10"/>
        <v>0.53790303084732949</v>
      </c>
      <c r="R75">
        <f t="shared" ca="1" si="11"/>
        <v>0.70099102934642621</v>
      </c>
      <c r="S75">
        <f t="shared" ca="1" si="8"/>
        <v>0.76734652560225636</v>
      </c>
      <c r="T75">
        <f t="shared" ca="1" si="9"/>
        <v>43.418000628980707</v>
      </c>
      <c r="U75">
        <f>70</f>
        <v>70</v>
      </c>
      <c r="V75">
        <f>30</f>
        <v>30</v>
      </c>
      <c r="W75">
        <f t="shared" ca="1" si="7"/>
        <v>104.07888072565575</v>
      </c>
      <c r="X75">
        <f t="shared" ca="1" si="17"/>
        <v>105.34535192062432</v>
      </c>
      <c r="Y75">
        <f t="shared" ca="1" si="16"/>
        <v>-1.3217430161912915</v>
      </c>
      <c r="Z75">
        <f t="shared" ca="1" si="18"/>
        <v>-1.3009882777943738</v>
      </c>
      <c r="AA75">
        <f t="shared" ca="1" si="19"/>
        <v>-2.0754738396917771E-2</v>
      </c>
    </row>
    <row r="76" spans="1:27" x14ac:dyDescent="0.25">
      <c r="A76" s="21">
        <f t="shared" ca="1" si="20"/>
        <v>45810</v>
      </c>
      <c r="B76" vm="222">
        <f ca="1"/>
        <v>45812</v>
      </c>
      <c r="C76" vm="223">
        <f ca="1"/>
        <v>102.21</v>
      </c>
      <c r="D76" vm="224">
        <f ca="1"/>
        <v>1845717</v>
      </c>
      <c r="E76">
        <f t="shared" ca="1" si="21"/>
        <v>188650734.56999999</v>
      </c>
      <c r="F76">
        <f ca="1">SUM($E$2:E76)/SUM($D$2:D76)</f>
        <v>105.82159740581018</v>
      </c>
      <c r="G76">
        <f ca="1">_xlfn.STDEV.P($C$2:C76)</f>
        <v>4.488800384166006</v>
      </c>
      <c r="H76">
        <f t="shared" ca="1" si="22"/>
        <v>110.31039778997619</v>
      </c>
      <c r="I76">
        <f t="shared" ca="1" si="23"/>
        <v>101.33279702164417</v>
      </c>
      <c r="J76">
        <f t="shared" ca="1" si="12"/>
        <v>104.16249999999998</v>
      </c>
      <c r="K76">
        <f t="shared" ca="1" si="13"/>
        <v>2.6119721828937106</v>
      </c>
      <c r="L76">
        <f t="shared" ca="1" si="14"/>
        <v>109.3864443657874</v>
      </c>
      <c r="M76">
        <f t="shared" ca="1" si="15"/>
        <v>98.938555634212562</v>
      </c>
      <c r="N76">
        <f t="shared" ca="1" si="24"/>
        <v>-1.0300000000000011</v>
      </c>
      <c r="O76">
        <f t="shared" ca="1" si="25"/>
        <v>0</v>
      </c>
      <c r="P76">
        <f t="shared" ca="1" si="26"/>
        <v>1.0300000000000011</v>
      </c>
      <c r="Q76">
        <f t="shared" ca="1" si="10"/>
        <v>0.49948138578680595</v>
      </c>
      <c r="R76">
        <f t="shared" ca="1" si="11"/>
        <v>0.72449167010739579</v>
      </c>
      <c r="S76">
        <f t="shared" ca="1" si="8"/>
        <v>0.68942322789268895</v>
      </c>
      <c r="T76">
        <f t="shared" ca="1" si="9"/>
        <v>40.808201077751526</v>
      </c>
      <c r="U76">
        <f>70</f>
        <v>70</v>
      </c>
      <c r="V76">
        <f>30</f>
        <v>30</v>
      </c>
      <c r="W76">
        <f t="shared" ca="1" si="7"/>
        <v>103.79136061401641</v>
      </c>
      <c r="X76">
        <f t="shared" ca="1" si="17"/>
        <v>105.1131036302077</v>
      </c>
      <c r="Y76">
        <f t="shared" ca="1" si="16"/>
        <v>-1.3451982263664632</v>
      </c>
      <c r="Z76">
        <f t="shared" ca="1" si="18"/>
        <v>-1.3098302675087916</v>
      </c>
      <c r="AA76">
        <f t="shared" ca="1" si="19"/>
        <v>-3.5367958857671633E-2</v>
      </c>
    </row>
    <row r="77" spans="1:27" x14ac:dyDescent="0.25">
      <c r="A77" s="21">
        <f t="shared" ca="1" si="20"/>
        <v>45810</v>
      </c>
      <c r="B77" vm="225">
        <f ca="1"/>
        <v>45813</v>
      </c>
      <c r="C77" vm="226">
        <f ca="1"/>
        <v>102.27</v>
      </c>
      <c r="D77" vm="227">
        <f ca="1"/>
        <v>2734457</v>
      </c>
      <c r="E77">
        <f t="shared" ca="1" si="21"/>
        <v>279652917.38999999</v>
      </c>
      <c r="F77">
        <f ca="1">SUM($E$2:E77)/SUM($D$2:D77)</f>
        <v>105.77951941108681</v>
      </c>
      <c r="G77">
        <f ca="1">_xlfn.STDEV.P($C$2:C77)</f>
        <v>4.4798676848411718</v>
      </c>
      <c r="H77">
        <f t="shared" ca="1" si="22"/>
        <v>110.25938709592798</v>
      </c>
      <c r="I77">
        <f t="shared" ca="1" si="23"/>
        <v>101.29965172624564</v>
      </c>
      <c r="J77">
        <f t="shared" ca="1" si="12"/>
        <v>103.724</v>
      </c>
      <c r="K77">
        <f t="shared" ca="1" si="13"/>
        <v>2.0782264706133202</v>
      </c>
      <c r="L77">
        <f t="shared" ca="1" si="14"/>
        <v>107.88045294122665</v>
      </c>
      <c r="M77">
        <f t="shared" ca="1" si="15"/>
        <v>99.567547058773357</v>
      </c>
      <c r="N77">
        <f t="shared" ca="1" si="24"/>
        <v>6.0000000000002274E-2</v>
      </c>
      <c r="O77">
        <f t="shared" ca="1" si="25"/>
        <v>6.0000000000002274E-2</v>
      </c>
      <c r="P77">
        <f t="shared" ca="1" si="26"/>
        <v>0</v>
      </c>
      <c r="Q77">
        <f t="shared" ca="1" si="10"/>
        <v>0.46808985823060567</v>
      </c>
      <c r="R77">
        <f t="shared" ca="1" si="11"/>
        <v>0.67274226509972468</v>
      </c>
      <c r="S77">
        <f t="shared" ca="1" si="8"/>
        <v>0.69579374229032254</v>
      </c>
      <c r="T77">
        <f t="shared" ca="1" si="9"/>
        <v>41.03056432739222</v>
      </c>
      <c r="U77">
        <f>70</f>
        <v>70</v>
      </c>
      <c r="V77">
        <f>30</f>
        <v>30</v>
      </c>
      <c r="W77">
        <f t="shared" ca="1" si="7"/>
        <v>103.55730513493697</v>
      </c>
      <c r="X77">
        <f t="shared" ca="1" si="17"/>
        <v>104.90250336130343</v>
      </c>
      <c r="Y77">
        <f t="shared" ca="1" si="16"/>
        <v>-1.4008944938670709</v>
      </c>
      <c r="Z77">
        <f t="shared" ca="1" si="18"/>
        <v>-1.3280431127804475</v>
      </c>
      <c r="AA77">
        <f t="shared" ca="1" si="19"/>
        <v>-7.2851381086623368E-2</v>
      </c>
    </row>
    <row r="78" spans="1:27" x14ac:dyDescent="0.25">
      <c r="A78" s="21">
        <f t="shared" ca="1" si="20"/>
        <v>45810</v>
      </c>
      <c r="B78" vm="228">
        <f ca="1"/>
        <v>45814</v>
      </c>
      <c r="C78" vm="229">
        <f ca="1"/>
        <v>101.61</v>
      </c>
      <c r="D78" vm="230">
        <f ca="1"/>
        <v>1694578</v>
      </c>
      <c r="E78">
        <f t="shared" ca="1" si="21"/>
        <v>172186070.58000001</v>
      </c>
      <c r="F78">
        <f ca="1">SUM($E$2:E78)/SUM($D$2:D78)</f>
        <v>105.74912940587221</v>
      </c>
      <c r="G78">
        <f ca="1">_xlfn.STDEV.P($C$2:C78)</f>
        <v>4.4782864414691979</v>
      </c>
      <c r="H78">
        <f t="shared" ca="1" si="22"/>
        <v>110.2274158473414</v>
      </c>
      <c r="I78">
        <f t="shared" ca="1" si="23"/>
        <v>101.27084296440302</v>
      </c>
      <c r="J78">
        <f t="shared" ca="1" si="12"/>
        <v>103.41699999999999</v>
      </c>
      <c r="K78">
        <f t="shared" ca="1" si="13"/>
        <v>1.8978772074970616</v>
      </c>
      <c r="L78">
        <f t="shared" ca="1" si="14"/>
        <v>107.21275441499411</v>
      </c>
      <c r="M78">
        <f t="shared" ca="1" si="15"/>
        <v>99.621245585005866</v>
      </c>
      <c r="N78">
        <f t="shared" ca="1" si="24"/>
        <v>-0.65999999999999659</v>
      </c>
      <c r="O78">
        <f t="shared" ca="1" si="25"/>
        <v>0</v>
      </c>
      <c r="P78">
        <f t="shared" ca="1" si="26"/>
        <v>0.65999999999999659</v>
      </c>
      <c r="Q78">
        <f t="shared" ca="1" si="10"/>
        <v>0.43465486835699096</v>
      </c>
      <c r="R78">
        <f t="shared" ca="1" si="11"/>
        <v>0.67183210330688692</v>
      </c>
      <c r="S78">
        <f t="shared" ca="1" si="8"/>
        <v>0.6469694827286997</v>
      </c>
      <c r="T78">
        <f t="shared" ca="1" si="9"/>
        <v>39.282420804591979</v>
      </c>
      <c r="U78">
        <f>70</f>
        <v>70</v>
      </c>
      <c r="V78">
        <f>30</f>
        <v>30</v>
      </c>
      <c r="W78">
        <f t="shared" ca="1" si="7"/>
        <v>103.25771972956204</v>
      </c>
      <c r="X78">
        <f t="shared" ca="1" si="17"/>
        <v>104.65861422342911</v>
      </c>
      <c r="Y78">
        <f t="shared" ca="1" si="16"/>
        <v>-1.4684526009530998</v>
      </c>
      <c r="Z78">
        <f t="shared" ca="1" si="18"/>
        <v>-1.356125010414978</v>
      </c>
      <c r="AA78">
        <f t="shared" ca="1" si="19"/>
        <v>-0.1123275905381218</v>
      </c>
    </row>
    <row r="79" spans="1:27" x14ac:dyDescent="0.25">
      <c r="A79" s="21">
        <f t="shared" ca="1" si="20"/>
        <v>45817</v>
      </c>
      <c r="B79" vm="231">
        <f ca="1"/>
        <v>45817</v>
      </c>
      <c r="C79" vm="232">
        <f ca="1"/>
        <v>101.11</v>
      </c>
      <c r="D79" vm="233">
        <f ca="1"/>
        <v>1781808</v>
      </c>
      <c r="E79">
        <f t="shared" ca="1" si="21"/>
        <v>180158606.88</v>
      </c>
      <c r="F79">
        <f ca="1">SUM($E$2:E79)/SUM($D$2:D79)</f>
        <v>105.71384645128303</v>
      </c>
      <c r="G79">
        <f ca="1">_xlfn.STDEV.P($C$2:C79)</f>
        <v>4.4825159575471325</v>
      </c>
      <c r="H79">
        <f t="shared" ca="1" si="22"/>
        <v>110.19636240883017</v>
      </c>
      <c r="I79">
        <f t="shared" ca="1" si="23"/>
        <v>101.2313304937359</v>
      </c>
      <c r="J79">
        <f t="shared" ca="1" si="12"/>
        <v>103.0885</v>
      </c>
      <c r="K79">
        <f t="shared" ca="1" si="13"/>
        <v>1.6768964911720883</v>
      </c>
      <c r="L79">
        <f t="shared" ca="1" si="14"/>
        <v>106.44229298234417</v>
      </c>
      <c r="M79">
        <f t="shared" ca="1" si="15"/>
        <v>99.734707017655822</v>
      </c>
      <c r="N79">
        <f t="shared" ca="1" si="24"/>
        <v>-0.5</v>
      </c>
      <c r="O79">
        <f t="shared" ca="1" si="25"/>
        <v>0</v>
      </c>
      <c r="P79">
        <f t="shared" ca="1" si="26"/>
        <v>0.5</v>
      </c>
      <c r="Q79">
        <f t="shared" ca="1" si="10"/>
        <v>0.40360809204577736</v>
      </c>
      <c r="R79">
        <f t="shared" ca="1" si="11"/>
        <v>0.65955838164210934</v>
      </c>
      <c r="S79">
        <f t="shared" ca="1" si="8"/>
        <v>0.61193687060864899</v>
      </c>
      <c r="T79">
        <f t="shared" ca="1" si="9"/>
        <v>37.962831036775569</v>
      </c>
      <c r="U79">
        <f>70</f>
        <v>70</v>
      </c>
      <c r="V79">
        <f>30</f>
        <v>30</v>
      </c>
      <c r="W79">
        <f t="shared" ref="W79:W142" ca="1" si="27">C79*(2/(12+1)) + W78*(1-(2/(12+1)))</f>
        <v>102.92730130962941</v>
      </c>
      <c r="X79">
        <f t="shared" ca="1" si="17"/>
        <v>104.39575391058251</v>
      </c>
      <c r="Y79">
        <f t="shared" ca="1" si="16"/>
        <v>-1.401742256351497</v>
      </c>
      <c r="Z79">
        <f t="shared" ca="1" si="18"/>
        <v>-1.3652484596022818</v>
      </c>
      <c r="AA79">
        <f t="shared" ca="1" si="19"/>
        <v>-3.6493796749215157E-2</v>
      </c>
    </row>
    <row r="80" spans="1:27" x14ac:dyDescent="0.25">
      <c r="A80" s="21">
        <f t="shared" ca="1" si="20"/>
        <v>45817</v>
      </c>
      <c r="B80" vm="234">
        <f ca="1"/>
        <v>45818</v>
      </c>
      <c r="C80" vm="235">
        <f ca="1"/>
        <v>102.4</v>
      </c>
      <c r="D80" vm="236">
        <f ca="1"/>
        <v>2311885</v>
      </c>
      <c r="E80">
        <f t="shared" ca="1" si="21"/>
        <v>236737024</v>
      </c>
      <c r="F80">
        <f ca="1">SUM($E$2:E80)/SUM($D$2:D80)</f>
        <v>105.6814646124829</v>
      </c>
      <c r="G80">
        <f ca="1">_xlfn.STDEV.P($C$2:C80)</f>
        <v>4.4709763527161526</v>
      </c>
      <c r="H80">
        <f t="shared" ca="1" si="22"/>
        <v>110.15244096519905</v>
      </c>
      <c r="I80">
        <f t="shared" ca="1" si="23"/>
        <v>101.21048825976675</v>
      </c>
      <c r="J80">
        <f t="shared" ca="1" si="12"/>
        <v>103.03149999999998</v>
      </c>
      <c r="K80">
        <f t="shared" ca="1" si="13"/>
        <v>1.6801136396402661</v>
      </c>
      <c r="L80">
        <f t="shared" ca="1" si="14"/>
        <v>106.39172727928052</v>
      </c>
      <c r="M80">
        <f t="shared" ca="1" si="15"/>
        <v>99.671272720719443</v>
      </c>
      <c r="N80">
        <f t="shared" ca="1" si="24"/>
        <v>1.2900000000000063</v>
      </c>
      <c r="O80">
        <f t="shared" ca="1" si="25"/>
        <v>1.2900000000000063</v>
      </c>
      <c r="P80">
        <f t="shared" ca="1" si="26"/>
        <v>0</v>
      </c>
      <c r="Q80">
        <f t="shared" ca="1" si="10"/>
        <v>0.46692179975679371</v>
      </c>
      <c r="R80">
        <f t="shared" ca="1" si="11"/>
        <v>0.61244706866767296</v>
      </c>
      <c r="S80">
        <f t="shared" ref="S80:S143" ca="1" si="28">IF(R80=0,NA(),Q80/R80)</f>
        <v>0.76238719008410438</v>
      </c>
      <c r="T80">
        <f t="shared" ref="T80:T143" ca="1" si="29">100-(100/(1+S80))</f>
        <v>43.258779590183124</v>
      </c>
      <c r="U80">
        <f>70</f>
        <v>70</v>
      </c>
      <c r="V80">
        <f>30</f>
        <v>30</v>
      </c>
      <c r="W80">
        <f t="shared" ca="1" si="27"/>
        <v>102.84617803122489</v>
      </c>
      <c r="X80">
        <f t="shared" ca="1" si="17"/>
        <v>104.24792028757639</v>
      </c>
      <c r="Y80">
        <f t="shared" ca="1" si="16"/>
        <v>-1.3215362341553742</v>
      </c>
      <c r="Z80">
        <f t="shared" ca="1" si="18"/>
        <v>-1.3565060145129002</v>
      </c>
      <c r="AA80">
        <f t="shared" ca="1" si="19"/>
        <v>3.4969780357525959E-2</v>
      </c>
    </row>
    <row r="81" spans="1:27" x14ac:dyDescent="0.25">
      <c r="A81" s="21">
        <f t="shared" ca="1" si="20"/>
        <v>45817</v>
      </c>
      <c r="B81" vm="237">
        <f ca="1"/>
        <v>45819</v>
      </c>
      <c r="C81" vm="238">
        <f ca="1"/>
        <v>102.55</v>
      </c>
      <c r="D81" vm="239">
        <f ca="1"/>
        <v>2439137</v>
      </c>
      <c r="E81">
        <f t="shared" ca="1" si="21"/>
        <v>250133499.34999999</v>
      </c>
      <c r="F81">
        <f ca="1">SUM($E$2:E81)/SUM($D$2:D81)</f>
        <v>105.64951010349645</v>
      </c>
      <c r="G81">
        <f ca="1">_xlfn.STDEV.P($C$2:C81)</f>
        <v>4.4578843058535069</v>
      </c>
      <c r="H81">
        <f t="shared" ca="1" si="22"/>
        <v>110.10739440934996</v>
      </c>
      <c r="I81">
        <f t="shared" ca="1" si="23"/>
        <v>101.19162579764294</v>
      </c>
      <c r="J81">
        <f t="shared" ca="1" si="12"/>
        <v>103.13</v>
      </c>
      <c r="K81">
        <f t="shared" ca="1" si="13"/>
        <v>1.5838128544416903</v>
      </c>
      <c r="L81">
        <f t="shared" ca="1" si="14"/>
        <v>106.29762570888337</v>
      </c>
      <c r="M81">
        <f t="shared" ca="1" si="15"/>
        <v>99.962374291116618</v>
      </c>
      <c r="N81">
        <f t="shared" ca="1" si="24"/>
        <v>0.14999999999999147</v>
      </c>
      <c r="O81">
        <f t="shared" ca="1" si="25"/>
        <v>0.14999999999999147</v>
      </c>
      <c r="P81">
        <f t="shared" ca="1" si="26"/>
        <v>0</v>
      </c>
      <c r="Q81">
        <f t="shared" ref="Q81:Q144" ca="1" si="30">(Q80*13+O81)/14</f>
        <v>0.44428452834559357</v>
      </c>
      <c r="R81">
        <f t="shared" ref="R81:R144" ca="1" si="31">(R80*13+P81)/14</f>
        <v>0.56870084947712496</v>
      </c>
      <c r="S81">
        <f t="shared" ca="1" si="28"/>
        <v>0.78122712275544814</v>
      </c>
      <c r="T81">
        <f t="shared" ca="1" si="29"/>
        <v>43.858928082508541</v>
      </c>
      <c r="U81">
        <f>70</f>
        <v>70</v>
      </c>
      <c r="V81">
        <f>30</f>
        <v>30</v>
      </c>
      <c r="W81">
        <f t="shared" ca="1" si="27"/>
        <v>102.80061218026722</v>
      </c>
      <c r="X81">
        <f t="shared" ca="1" si="17"/>
        <v>104.1221484144226</v>
      </c>
      <c r="Y81">
        <f t="shared" ca="1" si="16"/>
        <v>-1.147112299566885</v>
      </c>
      <c r="Z81">
        <f t="shared" ca="1" si="18"/>
        <v>-1.3146272715236971</v>
      </c>
      <c r="AA81">
        <f t="shared" ca="1" si="19"/>
        <v>0.16751497195681209</v>
      </c>
    </row>
    <row r="82" spans="1:27" x14ac:dyDescent="0.25">
      <c r="A82" s="21">
        <f t="shared" ca="1" si="20"/>
        <v>45817</v>
      </c>
      <c r="B82" vm="240">
        <f ca="1"/>
        <v>45820</v>
      </c>
      <c r="C82" vm="241">
        <f ca="1"/>
        <v>103.76</v>
      </c>
      <c r="D82" vm="242">
        <f ca="1"/>
        <v>1902564</v>
      </c>
      <c r="E82">
        <f t="shared" ca="1" si="21"/>
        <v>197410040.64000002</v>
      </c>
      <c r="F82">
        <f ca="1">SUM($E$2:E82)/SUM($D$2:D82)</f>
        <v>105.63458924396834</v>
      </c>
      <c r="G82">
        <f ca="1">_xlfn.STDEV.P($C$2:C82)</f>
        <v>4.4359545798619697</v>
      </c>
      <c r="H82">
        <f t="shared" ca="1" si="22"/>
        <v>110.07054382383031</v>
      </c>
      <c r="I82">
        <f t="shared" ca="1" si="23"/>
        <v>101.19863466410636</v>
      </c>
      <c r="J82">
        <f t="shared" ca="1" si="12"/>
        <v>103.3545</v>
      </c>
      <c r="K82">
        <f t="shared" ca="1" si="13"/>
        <v>1.3008113864653446</v>
      </c>
      <c r="L82">
        <f t="shared" ca="1" si="14"/>
        <v>105.95612277293068</v>
      </c>
      <c r="M82">
        <f t="shared" ca="1" si="15"/>
        <v>100.75287722706932</v>
      </c>
      <c r="N82">
        <f t="shared" ca="1" si="24"/>
        <v>1.210000000000008</v>
      </c>
      <c r="O82">
        <f t="shared" ca="1" si="25"/>
        <v>1.210000000000008</v>
      </c>
      <c r="P82">
        <f t="shared" ca="1" si="26"/>
        <v>0</v>
      </c>
      <c r="Q82">
        <f t="shared" ca="1" si="30"/>
        <v>0.49897849060662314</v>
      </c>
      <c r="R82">
        <f t="shared" ca="1" si="31"/>
        <v>0.5280793602287589</v>
      </c>
      <c r="S82">
        <f t="shared" ca="1" si="28"/>
        <v>0.94489299939779969</v>
      </c>
      <c r="T82">
        <f t="shared" ca="1" si="29"/>
        <v>48.583289656056579</v>
      </c>
      <c r="U82">
        <f>70</f>
        <v>70</v>
      </c>
      <c r="V82">
        <f>30</f>
        <v>30</v>
      </c>
      <c r="W82">
        <f t="shared" ca="1" si="27"/>
        <v>102.94821030637996</v>
      </c>
      <c r="X82">
        <f t="shared" ca="1" si="17"/>
        <v>104.09532260594685</v>
      </c>
      <c r="Y82">
        <f t="shared" ca="1" si="16"/>
        <v>-0.98142844996547751</v>
      </c>
      <c r="Z82">
        <f t="shared" ca="1" si="18"/>
        <v>-1.2479875072120532</v>
      </c>
      <c r="AA82">
        <f t="shared" ca="1" si="19"/>
        <v>0.26655905724657569</v>
      </c>
    </row>
    <row r="83" spans="1:27" x14ac:dyDescent="0.25">
      <c r="A83" s="21">
        <f t="shared" ca="1" si="20"/>
        <v>45817</v>
      </c>
      <c r="B83" vm="243">
        <f ca="1"/>
        <v>45821</v>
      </c>
      <c r="C83" vm="244">
        <f ca="1"/>
        <v>103.96</v>
      </c>
      <c r="D83" vm="245">
        <f ca="1"/>
        <v>3337359</v>
      </c>
      <c r="E83">
        <f t="shared" ca="1" si="21"/>
        <v>346951841.63999999</v>
      </c>
      <c r="F83">
        <f ca="1">SUM($E$2:E83)/SUM($D$2:D83)</f>
        <v>105.61170997903454</v>
      </c>
      <c r="G83">
        <f ca="1">_xlfn.STDEV.P($C$2:C83)</f>
        <v>4.4132770468313041</v>
      </c>
      <c r="H83">
        <f t="shared" ca="1" si="22"/>
        <v>110.02498702586584</v>
      </c>
      <c r="I83">
        <f t="shared" ca="1" si="23"/>
        <v>101.19843293220325</v>
      </c>
      <c r="J83">
        <f t="shared" ca="1" si="12"/>
        <v>103.45199999999997</v>
      </c>
      <c r="K83">
        <f t="shared" ca="1" si="13"/>
        <v>1.2673827154290924</v>
      </c>
      <c r="L83">
        <f t="shared" ca="1" si="14"/>
        <v>105.98676543085816</v>
      </c>
      <c r="M83">
        <f t="shared" ca="1" si="15"/>
        <v>100.91723456914178</v>
      </c>
      <c r="N83">
        <f t="shared" ca="1" si="24"/>
        <v>0.19999999999998863</v>
      </c>
      <c r="O83">
        <f t="shared" ca="1" si="25"/>
        <v>0.19999999999998863</v>
      </c>
      <c r="P83">
        <f t="shared" ca="1" si="26"/>
        <v>0</v>
      </c>
      <c r="Q83">
        <f t="shared" ca="1" si="30"/>
        <v>0.4776228841347207</v>
      </c>
      <c r="R83">
        <f t="shared" ca="1" si="31"/>
        <v>0.49035940592670474</v>
      </c>
      <c r="S83">
        <f t="shared" ca="1" si="28"/>
        <v>0.97402614972192902</v>
      </c>
      <c r="T83">
        <f t="shared" ca="1" si="29"/>
        <v>49.342109771906266</v>
      </c>
      <c r="U83">
        <f>70</f>
        <v>70</v>
      </c>
      <c r="V83">
        <f>30</f>
        <v>30</v>
      </c>
      <c r="W83">
        <f t="shared" ca="1" si="27"/>
        <v>103.10387025924457</v>
      </c>
      <c r="X83">
        <f t="shared" ca="1" si="17"/>
        <v>104.08529870921005</v>
      </c>
      <c r="Y83">
        <f t="shared" ca="1" si="16"/>
        <v>-1.0263037421584755</v>
      </c>
      <c r="Z83">
        <f t="shared" ca="1" si="18"/>
        <v>-1.2036507542013377</v>
      </c>
      <c r="AA83">
        <f t="shared" ca="1" si="19"/>
        <v>0.17734701204286218</v>
      </c>
    </row>
    <row r="84" spans="1:27" x14ac:dyDescent="0.25">
      <c r="A84" s="21">
        <f t="shared" ca="1" si="20"/>
        <v>45824</v>
      </c>
      <c r="B84" vm="246">
        <f ca="1"/>
        <v>45824</v>
      </c>
      <c r="C84" vm="247">
        <f ca="1"/>
        <v>101.63</v>
      </c>
      <c r="D84" vm="248">
        <f ca="1"/>
        <v>2737989</v>
      </c>
      <c r="E84">
        <f t="shared" ca="1" si="21"/>
        <v>278261822.06999999</v>
      </c>
      <c r="F84">
        <f ca="1">SUM($E$2:E84)/SUM($D$2:D84)</f>
        <v>105.56757415007414</v>
      </c>
      <c r="G84">
        <f ca="1">_xlfn.STDEV.P($C$2:C84)</f>
        <v>4.4095138799940701</v>
      </c>
      <c r="H84">
        <f t="shared" ca="1" si="22"/>
        <v>109.9770880300682</v>
      </c>
      <c r="I84">
        <f t="shared" ca="1" si="23"/>
        <v>101.15806027008007</v>
      </c>
      <c r="J84">
        <f t="shared" ca="1" si="12"/>
        <v>103.31899999999999</v>
      </c>
      <c r="K84">
        <f t="shared" ca="1" si="13"/>
        <v>1.3135444215436411</v>
      </c>
      <c r="L84">
        <f t="shared" ca="1" si="14"/>
        <v>105.94608884308727</v>
      </c>
      <c r="M84">
        <f t="shared" ca="1" si="15"/>
        <v>100.69191115691271</v>
      </c>
      <c r="N84">
        <f t="shared" ca="1" si="24"/>
        <v>-2.3299999999999983</v>
      </c>
      <c r="O84">
        <f t="shared" ca="1" si="25"/>
        <v>0</v>
      </c>
      <c r="P84">
        <f t="shared" ca="1" si="26"/>
        <v>2.3299999999999983</v>
      </c>
      <c r="Q84">
        <f t="shared" ca="1" si="30"/>
        <v>0.44350696383938354</v>
      </c>
      <c r="R84">
        <f t="shared" ca="1" si="31"/>
        <v>0.62176230550336853</v>
      </c>
      <c r="S84">
        <f t="shared" ca="1" si="28"/>
        <v>0.71330629070594365</v>
      </c>
      <c r="T84">
        <f t="shared" ca="1" si="29"/>
        <v>41.633320006782661</v>
      </c>
      <c r="U84">
        <f>70</f>
        <v>70</v>
      </c>
      <c r="V84">
        <f>30</f>
        <v>30</v>
      </c>
      <c r="W84">
        <f t="shared" ca="1" si="27"/>
        <v>102.87712098859157</v>
      </c>
      <c r="X84">
        <f t="shared" ca="1" si="17"/>
        <v>103.90342473075005</v>
      </c>
      <c r="Y84">
        <f t="shared" ca="1" si="16"/>
        <v>-1.0721028600628699</v>
      </c>
      <c r="Z84">
        <f t="shared" ca="1" si="18"/>
        <v>-1.1773411753736442</v>
      </c>
      <c r="AA84">
        <f t="shared" ca="1" si="19"/>
        <v>0.10523831531077432</v>
      </c>
    </row>
    <row r="85" spans="1:27" x14ac:dyDescent="0.25">
      <c r="A85" s="21">
        <f t="shared" ca="1" si="20"/>
        <v>45824</v>
      </c>
      <c r="B85" vm="249">
        <f ca="1"/>
        <v>45825</v>
      </c>
      <c r="C85" vm="250">
        <f ca="1"/>
        <v>101.35</v>
      </c>
      <c r="D85" vm="251">
        <f ca="1"/>
        <v>2844894</v>
      </c>
      <c r="E85">
        <f t="shared" ca="1" si="21"/>
        <v>288330006.89999998</v>
      </c>
      <c r="F85">
        <f ca="1">SUM($E$2:E85)/SUM($D$2:D85)</f>
        <v>105.51955157929399</v>
      </c>
      <c r="G85">
        <f ca="1">_xlfn.STDEV.P($C$2:C85)</f>
        <v>4.4084416724081708</v>
      </c>
      <c r="H85">
        <f t="shared" ca="1" si="22"/>
        <v>109.92799325170216</v>
      </c>
      <c r="I85">
        <f t="shared" ca="1" si="23"/>
        <v>101.11110990688582</v>
      </c>
      <c r="J85">
        <f t="shared" ca="1" si="12"/>
        <v>103.11749999999999</v>
      </c>
      <c r="K85">
        <f t="shared" ca="1" si="13"/>
        <v>1.289630199953296</v>
      </c>
      <c r="L85">
        <f t="shared" ca="1" si="14"/>
        <v>105.69676039990658</v>
      </c>
      <c r="M85">
        <f t="shared" ca="1" si="15"/>
        <v>100.53823960009341</v>
      </c>
      <c r="N85">
        <f t="shared" ca="1" si="24"/>
        <v>-0.28000000000000114</v>
      </c>
      <c r="O85">
        <f t="shared" ca="1" si="25"/>
        <v>0</v>
      </c>
      <c r="P85">
        <f t="shared" ca="1" si="26"/>
        <v>0.28000000000000114</v>
      </c>
      <c r="Q85">
        <f t="shared" ca="1" si="30"/>
        <v>0.41182789499371325</v>
      </c>
      <c r="R85">
        <f t="shared" ca="1" si="31"/>
        <v>0.59735071225312797</v>
      </c>
      <c r="S85">
        <f t="shared" ca="1" si="28"/>
        <v>0.6894239624162376</v>
      </c>
      <c r="T85">
        <f t="shared" ca="1" si="29"/>
        <v>40.808226813014642</v>
      </c>
      <c r="U85">
        <f>70</f>
        <v>70</v>
      </c>
      <c r="V85">
        <f>30</f>
        <v>30</v>
      </c>
      <c r="W85">
        <f t="shared" ca="1" si="27"/>
        <v>102.64217929803903</v>
      </c>
      <c r="X85">
        <f t="shared" ca="1" si="17"/>
        <v>103.71428215810189</v>
      </c>
      <c r="Y85">
        <f t="shared" ca="1" si="16"/>
        <v>-1.145226352893232</v>
      </c>
      <c r="Z85">
        <f t="shared" ca="1" si="18"/>
        <v>-1.170918210877562</v>
      </c>
      <c r="AA85">
        <f t="shared" ca="1" si="19"/>
        <v>2.5691857984329936E-2</v>
      </c>
    </row>
    <row r="86" spans="1:27" x14ac:dyDescent="0.25">
      <c r="A86" s="21">
        <f t="shared" ca="1" si="20"/>
        <v>45824</v>
      </c>
      <c r="B86" vm="252">
        <f ca="1"/>
        <v>45826</v>
      </c>
      <c r="C86" vm="253">
        <f ca="1"/>
        <v>100.73</v>
      </c>
      <c r="D86" vm="254">
        <f ca="1"/>
        <v>2620595</v>
      </c>
      <c r="E86">
        <f t="shared" ca="1" si="21"/>
        <v>263972534.35000002</v>
      </c>
      <c r="F86">
        <f ca="1">SUM($E$2:E86)/SUM($D$2:D86)</f>
        <v>105.46983743777928</v>
      </c>
      <c r="G86">
        <f ca="1">_xlfn.STDEV.P($C$2:C86)</f>
        <v>4.4143311060892163</v>
      </c>
      <c r="H86">
        <f t="shared" ca="1" si="22"/>
        <v>109.8841685438685</v>
      </c>
      <c r="I86">
        <f t="shared" ca="1" si="23"/>
        <v>101.05550633169005</v>
      </c>
      <c r="J86">
        <f t="shared" ref="J86:J149" ca="1" si="32">AVERAGE(C67:C86)</f>
        <v>102.8685</v>
      </c>
      <c r="K86">
        <f t="shared" ref="K86:K149" ca="1" si="33">_xlfn.STDEV.S(C67:C86)</f>
        <v>1.2426384281672176</v>
      </c>
      <c r="L86">
        <f t="shared" ref="L86:L149" ca="1" si="34">J86 + 2*K86</f>
        <v>105.35377685633443</v>
      </c>
      <c r="M86">
        <f t="shared" ref="M86:M149" ca="1" si="35">J86-2*K86</f>
        <v>100.38322314366556</v>
      </c>
      <c r="N86">
        <f t="shared" ca="1" si="24"/>
        <v>-0.61999999999999034</v>
      </c>
      <c r="O86">
        <f t="shared" ca="1" si="25"/>
        <v>0</v>
      </c>
      <c r="P86">
        <f t="shared" ca="1" si="26"/>
        <v>0.61999999999999034</v>
      </c>
      <c r="Q86">
        <f t="shared" ca="1" si="30"/>
        <v>0.38241161677987662</v>
      </c>
      <c r="R86">
        <f t="shared" ca="1" si="31"/>
        <v>0.59896851852076094</v>
      </c>
      <c r="S86">
        <f t="shared" ca="1" si="28"/>
        <v>0.63845027736064863</v>
      </c>
      <c r="T86">
        <f t="shared" ca="1" si="29"/>
        <v>38.966716670164516</v>
      </c>
      <c r="U86">
        <f>70</f>
        <v>70</v>
      </c>
      <c r="V86">
        <f>30</f>
        <v>30</v>
      </c>
      <c r="W86">
        <f t="shared" ca="1" si="27"/>
        <v>102.34799786757149</v>
      </c>
      <c r="X86">
        <f t="shared" ca="1" si="17"/>
        <v>103.49322422046473</v>
      </c>
      <c r="Y86">
        <f t="shared" ca="1" si="16"/>
        <v>-1.1703205270151074</v>
      </c>
      <c r="Z86">
        <f t="shared" ca="1" si="18"/>
        <v>-1.1707986741050711</v>
      </c>
      <c r="AA86">
        <f t="shared" ca="1" si="19"/>
        <v>4.78147089963743E-4</v>
      </c>
    </row>
    <row r="87" spans="1:27" x14ac:dyDescent="0.25">
      <c r="A87" s="21">
        <f t="shared" ca="1" si="20"/>
        <v>45824</v>
      </c>
      <c r="B87" vm="255">
        <f ca="1"/>
        <v>45828</v>
      </c>
      <c r="C87" vm="16">
        <f ca="1"/>
        <v>100.97</v>
      </c>
      <c r="D87" vm="256">
        <f ca="1"/>
        <v>7504224</v>
      </c>
      <c r="E87">
        <f t="shared" ca="1" si="21"/>
        <v>757701497.27999997</v>
      </c>
      <c r="F87">
        <f ca="1">SUM($E$2:E87)/SUM($D$2:D87)</f>
        <v>105.33994991609892</v>
      </c>
      <c r="G87">
        <f ca="1">_xlfn.STDEV.P($C$2:C87)</f>
        <v>4.4163901381504571</v>
      </c>
      <c r="H87">
        <f t="shared" ca="1" si="22"/>
        <v>109.75634005424938</v>
      </c>
      <c r="I87">
        <f t="shared" ca="1" si="23"/>
        <v>100.92355977794846</v>
      </c>
      <c r="J87">
        <f t="shared" ca="1" si="32"/>
        <v>102.65599999999999</v>
      </c>
      <c r="K87">
        <f t="shared" ca="1" si="33"/>
        <v>1.1812232731590713</v>
      </c>
      <c r="L87">
        <f t="shared" ca="1" si="34"/>
        <v>105.01844654631813</v>
      </c>
      <c r="M87">
        <f t="shared" ca="1" si="35"/>
        <v>100.29355345368185</v>
      </c>
      <c r="N87">
        <f t="shared" ca="1" si="24"/>
        <v>0.23999999999999488</v>
      </c>
      <c r="O87">
        <f t="shared" ca="1" si="25"/>
        <v>0.23999999999999488</v>
      </c>
      <c r="P87">
        <f t="shared" ca="1" si="26"/>
        <v>0</v>
      </c>
      <c r="Q87">
        <f t="shared" ca="1" si="30"/>
        <v>0.37223935843845651</v>
      </c>
      <c r="R87">
        <f t="shared" ca="1" si="31"/>
        <v>0.55618505291213516</v>
      </c>
      <c r="S87">
        <f t="shared" ca="1" si="28"/>
        <v>0.66927249570883751</v>
      </c>
      <c r="T87">
        <f t="shared" ca="1" si="29"/>
        <v>40.093663403028664</v>
      </c>
      <c r="U87">
        <f>70</f>
        <v>70</v>
      </c>
      <c r="V87">
        <f>30</f>
        <v>30</v>
      </c>
      <c r="W87">
        <f t="shared" ca="1" si="27"/>
        <v>102.13599819563741</v>
      </c>
      <c r="X87">
        <f t="shared" ca="1" si="17"/>
        <v>103.30631872265252</v>
      </c>
      <c r="Y87">
        <f t="shared" ca="1" si="16"/>
        <v>-1.1622852443240816</v>
      </c>
      <c r="Z87">
        <f t="shared" ca="1" si="18"/>
        <v>-1.1690959881488734</v>
      </c>
      <c r="AA87">
        <f t="shared" ca="1" si="19"/>
        <v>6.8107438247917429E-3</v>
      </c>
    </row>
    <row r="88" spans="1:27" x14ac:dyDescent="0.25">
      <c r="A88" s="21">
        <f t="shared" ca="1" si="20"/>
        <v>45831</v>
      </c>
      <c r="B88" vm="257">
        <f ca="1"/>
        <v>45831</v>
      </c>
      <c r="C88" vm="258">
        <f ca="1"/>
        <v>101.15</v>
      </c>
      <c r="D88" vm="259">
        <f ca="1"/>
        <v>3957784</v>
      </c>
      <c r="E88">
        <f t="shared" ca="1" si="21"/>
        <v>400329851.60000002</v>
      </c>
      <c r="F88">
        <f ca="1">SUM($E$2:E88)/SUM($D$2:D88)</f>
        <v>105.27712035314971</v>
      </c>
      <c r="G88">
        <f ca="1">_xlfn.STDEV.P($C$2:C88)</f>
        <v>4.415700991507439</v>
      </c>
      <c r="H88">
        <f t="shared" ca="1" si="22"/>
        <v>109.69282134465715</v>
      </c>
      <c r="I88">
        <f t="shared" ca="1" si="23"/>
        <v>100.86141936164228</v>
      </c>
      <c r="J88">
        <f t="shared" ca="1" si="32"/>
        <v>102.54249999999999</v>
      </c>
      <c r="K88">
        <f t="shared" ca="1" si="33"/>
        <v>1.2125912879362708</v>
      </c>
      <c r="L88">
        <f t="shared" ca="1" si="34"/>
        <v>104.96768257587253</v>
      </c>
      <c r="M88">
        <f t="shared" ca="1" si="35"/>
        <v>100.11731742412745</v>
      </c>
      <c r="N88">
        <f t="shared" ca="1" si="24"/>
        <v>0.18000000000000682</v>
      </c>
      <c r="O88">
        <f t="shared" ca="1" si="25"/>
        <v>0.18000000000000682</v>
      </c>
      <c r="P88">
        <f t="shared" ca="1" si="26"/>
        <v>0</v>
      </c>
      <c r="Q88">
        <f t="shared" ca="1" si="30"/>
        <v>0.35850797569285298</v>
      </c>
      <c r="R88">
        <f t="shared" ca="1" si="31"/>
        <v>0.51645754913269692</v>
      </c>
      <c r="S88">
        <f t="shared" ca="1" si="28"/>
        <v>0.69416736437468374</v>
      </c>
      <c r="T88">
        <f t="shared" ca="1" si="29"/>
        <v>40.973954461158009</v>
      </c>
      <c r="U88">
        <f>70</f>
        <v>70</v>
      </c>
      <c r="V88">
        <f>30</f>
        <v>30</v>
      </c>
      <c r="W88">
        <f t="shared" ca="1" si="27"/>
        <v>101.98430616553935</v>
      </c>
      <c r="X88">
        <f t="shared" ca="1" si="17"/>
        <v>103.14659140986343</v>
      </c>
      <c r="Y88">
        <f t="shared" ca="1" si="16"/>
        <v>-1.219325575613766</v>
      </c>
      <c r="Z88">
        <f t="shared" ca="1" si="18"/>
        <v>-1.179141905641852</v>
      </c>
      <c r="AA88">
        <f t="shared" ca="1" si="19"/>
        <v>-4.0183669971914027E-2</v>
      </c>
    </row>
    <row r="89" spans="1:27" x14ac:dyDescent="0.25">
      <c r="A89" s="21">
        <f t="shared" ca="1" si="20"/>
        <v>45831</v>
      </c>
      <c r="B89" vm="260">
        <f ca="1"/>
        <v>45832</v>
      </c>
      <c r="C89" vm="261">
        <f ca="1"/>
        <v>100.19</v>
      </c>
      <c r="D89" vm="262">
        <f ca="1"/>
        <v>2952898</v>
      </c>
      <c r="E89">
        <f t="shared" ca="1" si="21"/>
        <v>295850850.62</v>
      </c>
      <c r="F89">
        <f ca="1">SUM($E$2:E89)/SUM($D$2:D89)</f>
        <v>105.22083548157968</v>
      </c>
      <c r="G89">
        <f ca="1">_xlfn.STDEV.P($C$2:C89)</f>
        <v>4.4262104717217552</v>
      </c>
      <c r="H89">
        <f t="shared" ca="1" si="22"/>
        <v>109.64704595330144</v>
      </c>
      <c r="I89">
        <f t="shared" ca="1" si="23"/>
        <v>100.79462500985792</v>
      </c>
      <c r="J89">
        <f t="shared" ca="1" si="32"/>
        <v>102.34700000000001</v>
      </c>
      <c r="K89">
        <f t="shared" ca="1" si="33"/>
        <v>1.2624374919387609</v>
      </c>
      <c r="L89">
        <f t="shared" ca="1" si="34"/>
        <v>104.87187498387753</v>
      </c>
      <c r="M89">
        <f t="shared" ca="1" si="35"/>
        <v>99.822125016122484</v>
      </c>
      <c r="N89">
        <f t="shared" ca="1" si="24"/>
        <v>-0.96000000000000796</v>
      </c>
      <c r="O89">
        <f t="shared" ca="1" si="25"/>
        <v>0</v>
      </c>
      <c r="P89">
        <f t="shared" ca="1" si="26"/>
        <v>0.96000000000000796</v>
      </c>
      <c r="Q89">
        <f t="shared" ca="1" si="30"/>
        <v>0.33290026314336346</v>
      </c>
      <c r="R89">
        <f t="shared" ca="1" si="31"/>
        <v>0.54813915276607628</v>
      </c>
      <c r="S89">
        <f t="shared" ca="1" si="28"/>
        <v>0.60732801417933358</v>
      </c>
      <c r="T89">
        <f t="shared" ca="1" si="29"/>
        <v>37.78494550096061</v>
      </c>
      <c r="U89">
        <f>70</f>
        <v>70</v>
      </c>
      <c r="V89">
        <f>30</f>
        <v>30</v>
      </c>
      <c r="W89">
        <f t="shared" ca="1" si="27"/>
        <v>101.70825906314867</v>
      </c>
      <c r="X89">
        <f t="shared" ca="1" si="17"/>
        <v>102.92758463876244</v>
      </c>
      <c r="Y89">
        <f t="shared" ca="1" si="16"/>
        <v>-1.4208320964177545</v>
      </c>
      <c r="Z89">
        <f t="shared" ca="1" si="18"/>
        <v>-1.2274799437970325</v>
      </c>
      <c r="AA89">
        <f t="shared" ca="1" si="19"/>
        <v>-0.19335215262072203</v>
      </c>
    </row>
    <row r="90" spans="1:27" x14ac:dyDescent="0.25">
      <c r="A90" s="21">
        <f t="shared" ca="1" si="20"/>
        <v>45831</v>
      </c>
      <c r="B90" vm="263">
        <f ca="1"/>
        <v>45833</v>
      </c>
      <c r="C90" vm="264">
        <f ca="1"/>
        <v>98.05</v>
      </c>
      <c r="D90" vm="265">
        <f ca="1"/>
        <v>4397192</v>
      </c>
      <c r="E90">
        <f t="shared" ca="1" si="21"/>
        <v>431144675.59999996</v>
      </c>
      <c r="F90">
        <f ca="1">SUM($E$2:E90)/SUM($D$2:D90)</f>
        <v>105.10460518032933</v>
      </c>
      <c r="G90">
        <f ca="1">_xlfn.STDEV.P($C$2:C90)</f>
        <v>4.4693161580764595</v>
      </c>
      <c r="H90">
        <f t="shared" ca="1" si="22"/>
        <v>109.5739213384058</v>
      </c>
      <c r="I90">
        <f t="shared" ca="1" si="23"/>
        <v>100.63528902225286</v>
      </c>
      <c r="J90">
        <f t="shared" ca="1" si="32"/>
        <v>102.051</v>
      </c>
      <c r="K90">
        <f t="shared" ca="1" si="33"/>
        <v>1.527967001572591</v>
      </c>
      <c r="L90">
        <f t="shared" ca="1" si="34"/>
        <v>105.10693400314518</v>
      </c>
      <c r="M90">
        <f t="shared" ca="1" si="35"/>
        <v>98.995065996854819</v>
      </c>
      <c r="N90">
        <f t="shared" ca="1" si="24"/>
        <v>-2.1400000000000006</v>
      </c>
      <c r="O90">
        <f t="shared" ca="1" si="25"/>
        <v>0</v>
      </c>
      <c r="P90">
        <f t="shared" ca="1" si="26"/>
        <v>2.1400000000000006</v>
      </c>
      <c r="Q90">
        <f t="shared" ca="1" si="30"/>
        <v>0.30912167291883746</v>
      </c>
      <c r="R90">
        <f t="shared" ca="1" si="31"/>
        <v>0.66184349899707084</v>
      </c>
      <c r="S90">
        <f t="shared" ca="1" si="28"/>
        <v>0.4670615838748392</v>
      </c>
      <c r="T90">
        <f t="shared" ca="1" si="29"/>
        <v>31.836535630714607</v>
      </c>
      <c r="U90">
        <f>70</f>
        <v>70</v>
      </c>
      <c r="V90">
        <f>30</f>
        <v>30</v>
      </c>
      <c r="W90">
        <f t="shared" ca="1" si="27"/>
        <v>101.14544997651042</v>
      </c>
      <c r="X90">
        <f t="shared" ca="1" si="17"/>
        <v>102.56628207292817</v>
      </c>
      <c r="Y90">
        <f t="shared" ca="1" si="16"/>
        <v>-1.5337978081996084</v>
      </c>
      <c r="Z90">
        <f t="shared" ca="1" si="18"/>
        <v>-1.2887435166775476</v>
      </c>
      <c r="AA90">
        <f t="shared" ca="1" si="19"/>
        <v>-0.24505429152206082</v>
      </c>
    </row>
    <row r="91" spans="1:27" x14ac:dyDescent="0.25">
      <c r="A91" s="21">
        <f t="shared" ca="1" si="20"/>
        <v>45831</v>
      </c>
      <c r="B91" vm="266">
        <f ca="1"/>
        <v>45834</v>
      </c>
      <c r="C91" vm="267">
        <f ca="1"/>
        <v>98.41</v>
      </c>
      <c r="D91" vm="268">
        <f ca="1"/>
        <v>2655622</v>
      </c>
      <c r="E91">
        <f t="shared" ca="1" si="21"/>
        <v>261339761.01999998</v>
      </c>
      <c r="F91">
        <f ca="1">SUM($E$2:E91)/SUM($D$2:D91)</f>
        <v>105.0397066672277</v>
      </c>
      <c r="G91">
        <f ca="1">_xlfn.STDEV.P($C$2:C91)</f>
        <v>4.5033562915773029</v>
      </c>
      <c r="H91">
        <f t="shared" ca="1" si="22"/>
        <v>109.54306295880501</v>
      </c>
      <c r="I91">
        <f t="shared" ca="1" si="23"/>
        <v>100.5363503756504</v>
      </c>
      <c r="J91">
        <f t="shared" ca="1" si="32"/>
        <v>101.86600000000001</v>
      </c>
      <c r="K91">
        <f t="shared" ca="1" si="33"/>
        <v>1.7309547107091838</v>
      </c>
      <c r="L91">
        <f t="shared" ca="1" si="34"/>
        <v>105.32790942141838</v>
      </c>
      <c r="M91">
        <f t="shared" ca="1" si="35"/>
        <v>98.404090578581645</v>
      </c>
      <c r="N91">
        <f t="shared" ca="1" si="24"/>
        <v>0.35999999999999943</v>
      </c>
      <c r="O91">
        <f t="shared" ca="1" si="25"/>
        <v>0.35999999999999943</v>
      </c>
      <c r="P91">
        <f t="shared" ca="1" si="26"/>
        <v>0</v>
      </c>
      <c r="Q91">
        <f t="shared" ca="1" si="30"/>
        <v>0.31275583913892041</v>
      </c>
      <c r="R91">
        <f t="shared" ca="1" si="31"/>
        <v>0.6145689633544229</v>
      </c>
      <c r="S91">
        <f t="shared" ca="1" si="28"/>
        <v>0.50890275589552281</v>
      </c>
      <c r="T91">
        <f t="shared" ca="1" si="29"/>
        <v>33.726676812482367</v>
      </c>
      <c r="U91">
        <f>70</f>
        <v>70</v>
      </c>
      <c r="V91">
        <f>30</f>
        <v>30</v>
      </c>
      <c r="W91">
        <f t="shared" ca="1" si="27"/>
        <v>100.72461151858575</v>
      </c>
      <c r="X91">
        <f t="shared" ca="1" si="17"/>
        <v>102.25840932678535</v>
      </c>
      <c r="Y91">
        <f t="shared" ca="1" si="16"/>
        <v>-1.6255652711831203</v>
      </c>
      <c r="Z91">
        <f t="shared" ca="1" si="18"/>
        <v>-1.3561078675786622</v>
      </c>
      <c r="AA91">
        <f t="shared" ca="1" si="19"/>
        <v>-0.26945740360445813</v>
      </c>
    </row>
    <row r="92" spans="1:27" x14ac:dyDescent="0.25">
      <c r="A92" s="21">
        <f t="shared" ca="1" si="20"/>
        <v>45831</v>
      </c>
      <c r="B92" vm="269">
        <f ca="1"/>
        <v>45835</v>
      </c>
      <c r="C92" vm="270">
        <f ca="1"/>
        <v>98.15</v>
      </c>
      <c r="D92" vm="271">
        <f ca="1"/>
        <v>2880053</v>
      </c>
      <c r="E92">
        <f t="shared" ca="1" si="21"/>
        <v>282677201.94999999</v>
      </c>
      <c r="F92">
        <f ca="1">SUM($E$2:E92)/SUM($D$2:D92)</f>
        <v>104.96802589981144</v>
      </c>
      <c r="G92">
        <f ca="1">_xlfn.STDEV.P($C$2:C92)</f>
        <v>4.5394852023845997</v>
      </c>
      <c r="H92">
        <f t="shared" ca="1" si="22"/>
        <v>109.50751110219603</v>
      </c>
      <c r="I92">
        <f t="shared" ca="1" si="23"/>
        <v>100.42854069742684</v>
      </c>
      <c r="J92">
        <f t="shared" ca="1" si="32"/>
        <v>101.60450000000002</v>
      </c>
      <c r="K92">
        <f t="shared" ca="1" si="33"/>
        <v>1.8789231938589317</v>
      </c>
      <c r="L92">
        <f t="shared" ca="1" si="34"/>
        <v>105.36234638771788</v>
      </c>
      <c r="M92">
        <f t="shared" ca="1" si="35"/>
        <v>97.846653612282154</v>
      </c>
      <c r="N92">
        <f t="shared" ca="1" si="24"/>
        <v>-0.25999999999999091</v>
      </c>
      <c r="O92">
        <f t="shared" ca="1" si="25"/>
        <v>0</v>
      </c>
      <c r="P92">
        <f t="shared" ca="1" si="26"/>
        <v>0.25999999999999091</v>
      </c>
      <c r="Q92">
        <f t="shared" ca="1" si="30"/>
        <v>0.29041613634328323</v>
      </c>
      <c r="R92">
        <f t="shared" ca="1" si="31"/>
        <v>0.5892426088291064</v>
      </c>
      <c r="S92">
        <f t="shared" ca="1" si="28"/>
        <v>0.49286343518228232</v>
      </c>
      <c r="T92">
        <f t="shared" ca="1" si="29"/>
        <v>33.014636407254656</v>
      </c>
      <c r="U92">
        <f>70</f>
        <v>70</v>
      </c>
      <c r="V92">
        <f>30</f>
        <v>30</v>
      </c>
      <c r="W92">
        <f t="shared" ca="1" si="27"/>
        <v>100.32851743880332</v>
      </c>
      <c r="X92">
        <f t="shared" ca="1" si="17"/>
        <v>101.95408270998644</v>
      </c>
      <c r="Y92">
        <f t="shared" ref="Y92:Y155" ca="1" si="36">W93-X93</f>
        <v>-1.5034393202877681</v>
      </c>
      <c r="Z92">
        <f t="shared" ca="1" si="18"/>
        <v>-1.3855741581204835</v>
      </c>
      <c r="AA92">
        <f t="shared" ca="1" si="19"/>
        <v>-0.1178651621672846</v>
      </c>
    </row>
    <row r="93" spans="1:27" x14ac:dyDescent="0.25">
      <c r="A93" s="21">
        <f t="shared" ca="1" si="20"/>
        <v>45838</v>
      </c>
      <c r="B93" vm="272">
        <f ca="1"/>
        <v>45838</v>
      </c>
      <c r="C93" vm="273">
        <f ca="1"/>
        <v>100.35</v>
      </c>
      <c r="D93" vm="274">
        <f ca="1"/>
        <v>2930483</v>
      </c>
      <c r="E93">
        <f t="shared" ca="1" si="21"/>
        <v>294073969.05000001</v>
      </c>
      <c r="F93">
        <f ca="1">SUM($E$2:E93)/SUM($D$2:D93)</f>
        <v>104.91965060376771</v>
      </c>
      <c r="G93">
        <f ca="1">_xlfn.STDEV.P($C$2:C93)</f>
        <v>4.5424721413055309</v>
      </c>
      <c r="H93">
        <f t="shared" ca="1" si="22"/>
        <v>109.46212274507323</v>
      </c>
      <c r="I93">
        <f t="shared" ca="1" si="23"/>
        <v>100.37717846246218</v>
      </c>
      <c r="J93">
        <f t="shared" ca="1" si="32"/>
        <v>101.39750000000001</v>
      </c>
      <c r="K93">
        <f t="shared" ca="1" si="33"/>
        <v>1.7691415551349365</v>
      </c>
      <c r="L93">
        <f t="shared" ca="1" si="34"/>
        <v>104.93578311026988</v>
      </c>
      <c r="M93">
        <f t="shared" ca="1" si="35"/>
        <v>97.859216889730135</v>
      </c>
      <c r="N93">
        <f t="shared" ca="1" si="24"/>
        <v>2.1999999999999886</v>
      </c>
      <c r="O93">
        <f t="shared" ca="1" si="25"/>
        <v>2.1999999999999886</v>
      </c>
      <c r="P93">
        <f t="shared" ca="1" si="26"/>
        <v>0</v>
      </c>
      <c r="Q93">
        <f t="shared" ca="1" si="30"/>
        <v>0.42681498374733362</v>
      </c>
      <c r="R93">
        <f t="shared" ca="1" si="31"/>
        <v>0.54715385105559877</v>
      </c>
      <c r="S93">
        <f t="shared" ca="1" si="28"/>
        <v>0.78006393069133861</v>
      </c>
      <c r="T93">
        <f t="shared" ca="1" si="29"/>
        <v>43.822242406112828</v>
      </c>
      <c r="U93">
        <f>70</f>
        <v>70</v>
      </c>
      <c r="V93">
        <f>30</f>
        <v>30</v>
      </c>
      <c r="W93">
        <f t="shared" ca="1" si="27"/>
        <v>100.33182244821819</v>
      </c>
      <c r="X93">
        <f t="shared" ref="X93:X156" ca="1" si="37">C93*(2/(26+1)) + X92*(1-(2/(26+1)))</f>
        <v>101.83526176850596</v>
      </c>
      <c r="Y93">
        <f t="shared" ca="1" si="36"/>
        <v>-1.3563213892981025</v>
      </c>
      <c r="Z93">
        <f t="shared" ca="1" si="18"/>
        <v>-1.3797236043560075</v>
      </c>
      <c r="AA93">
        <f t="shared" ca="1" si="19"/>
        <v>2.3402215057904963E-2</v>
      </c>
    </row>
    <row r="94" spans="1:27" x14ac:dyDescent="0.25">
      <c r="A94" s="21">
        <f t="shared" ca="1" si="20"/>
        <v>45838</v>
      </c>
      <c r="B94" vm="275">
        <f ca="1"/>
        <v>45839</v>
      </c>
      <c r="C94" vm="276">
        <f ca="1"/>
        <v>100.78</v>
      </c>
      <c r="D94" vm="277">
        <f ca="1"/>
        <v>2749128</v>
      </c>
      <c r="E94">
        <f t="shared" ca="1" si="21"/>
        <v>277057119.83999997</v>
      </c>
      <c r="F94">
        <f ca="1">SUM($E$2:E94)/SUM($D$2:D94)</f>
        <v>104.87936594261396</v>
      </c>
      <c r="G94">
        <f ca="1">_xlfn.STDEV.P($C$2:C94)</f>
        <v>4.5402083333283585</v>
      </c>
      <c r="H94">
        <f t="shared" ca="1" si="22"/>
        <v>109.41957427594232</v>
      </c>
      <c r="I94">
        <f t="shared" ca="1" si="23"/>
        <v>100.33915760928559</v>
      </c>
      <c r="J94">
        <f t="shared" ca="1" si="32"/>
        <v>101.24350000000001</v>
      </c>
      <c r="K94">
        <f t="shared" ca="1" si="33"/>
        <v>1.6750562441460375</v>
      </c>
      <c r="L94">
        <f t="shared" ca="1" si="34"/>
        <v>104.59361248829208</v>
      </c>
      <c r="M94">
        <f t="shared" ca="1" si="35"/>
        <v>97.893387511707942</v>
      </c>
      <c r="N94">
        <f t="shared" ca="1" si="24"/>
        <v>0.43000000000000682</v>
      </c>
      <c r="O94">
        <f t="shared" ca="1" si="25"/>
        <v>0.43000000000000682</v>
      </c>
      <c r="P94">
        <f t="shared" ca="1" si="26"/>
        <v>0</v>
      </c>
      <c r="Q94">
        <f t="shared" ca="1" si="30"/>
        <v>0.42704248490823887</v>
      </c>
      <c r="R94">
        <f t="shared" ca="1" si="31"/>
        <v>0.50807143312305603</v>
      </c>
      <c r="S94">
        <f t="shared" ca="1" si="28"/>
        <v>0.84051662240338598</v>
      </c>
      <c r="T94">
        <f t="shared" ca="1" si="29"/>
        <v>45.667429034453455</v>
      </c>
      <c r="U94">
        <f>70</f>
        <v>70</v>
      </c>
      <c r="V94">
        <f>30</f>
        <v>30</v>
      </c>
      <c r="W94">
        <f t="shared" ca="1" si="27"/>
        <v>100.40077284080002</v>
      </c>
      <c r="X94">
        <f t="shared" ca="1" si="37"/>
        <v>101.75709423009812</v>
      </c>
      <c r="Y94">
        <f t="shared" ca="1" si="36"/>
        <v>-1.2942053876475228</v>
      </c>
      <c r="Z94">
        <f t="shared" ca="1" si="18"/>
        <v>-1.3626199610143108</v>
      </c>
      <c r="AA94">
        <f t="shared" ca="1" si="19"/>
        <v>6.8414573366788023E-2</v>
      </c>
    </row>
    <row r="95" spans="1:27" x14ac:dyDescent="0.25">
      <c r="A95" s="21">
        <f t="shared" ca="1" si="20"/>
        <v>45838</v>
      </c>
      <c r="B95" vm="278">
        <f ca="1"/>
        <v>45840</v>
      </c>
      <c r="C95" vm="22">
        <f ca="1"/>
        <v>99.92</v>
      </c>
      <c r="D95" vm="279">
        <f ca="1"/>
        <v>2485839</v>
      </c>
      <c r="E95">
        <f t="shared" ca="1" si="21"/>
        <v>248385032.88</v>
      </c>
      <c r="F95">
        <f ca="1">SUM($E$2:E95)/SUM($D$2:D95)</f>
        <v>104.83610705024708</v>
      </c>
      <c r="G95">
        <f ca="1">_xlfn.STDEV.P($C$2:C95)</f>
        <v>4.5469575053495888</v>
      </c>
      <c r="H95">
        <f t="shared" ca="1" si="22"/>
        <v>109.38306455559666</v>
      </c>
      <c r="I95">
        <f t="shared" ca="1" si="23"/>
        <v>100.2891495448975</v>
      </c>
      <c r="J95">
        <f t="shared" ca="1" si="32"/>
        <v>101.07750000000001</v>
      </c>
      <c r="K95">
        <f t="shared" ca="1" si="33"/>
        <v>1.6307081929414333</v>
      </c>
      <c r="L95">
        <f t="shared" ca="1" si="34"/>
        <v>104.33891638588288</v>
      </c>
      <c r="M95">
        <f t="shared" ca="1" si="35"/>
        <v>97.816083614117147</v>
      </c>
      <c r="N95">
        <f t="shared" ca="1" si="24"/>
        <v>-0.85999999999999943</v>
      </c>
      <c r="O95">
        <f t="shared" ca="1" si="25"/>
        <v>0</v>
      </c>
      <c r="P95">
        <f t="shared" ca="1" si="26"/>
        <v>0.85999999999999943</v>
      </c>
      <c r="Q95">
        <f t="shared" ca="1" si="30"/>
        <v>0.3965394502719361</v>
      </c>
      <c r="R95">
        <f t="shared" ca="1" si="31"/>
        <v>0.53320918789998051</v>
      </c>
      <c r="S95">
        <f t="shared" ca="1" si="28"/>
        <v>0.7436845787179478</v>
      </c>
      <c r="T95">
        <f t="shared" ca="1" si="29"/>
        <v>42.650178122510283</v>
      </c>
      <c r="U95">
        <f>70</f>
        <v>70</v>
      </c>
      <c r="V95">
        <f>30</f>
        <v>30</v>
      </c>
      <c r="W95">
        <f t="shared" ca="1" si="27"/>
        <v>100.32680778836925</v>
      </c>
      <c r="X95">
        <f t="shared" ca="1" si="37"/>
        <v>101.62101317601677</v>
      </c>
      <c r="Y95">
        <f t="shared" ca="1" si="36"/>
        <v>-1.199679114130447</v>
      </c>
      <c r="Z95">
        <f t="shared" ca="1" si="18"/>
        <v>-1.3300317916375382</v>
      </c>
      <c r="AA95">
        <f t="shared" ca="1" si="19"/>
        <v>0.13035267750709112</v>
      </c>
    </row>
    <row r="96" spans="1:27" x14ac:dyDescent="0.25">
      <c r="A96" s="21">
        <f t="shared" ca="1" si="20"/>
        <v>45838</v>
      </c>
      <c r="B96" vm="280">
        <f ca="1"/>
        <v>45841</v>
      </c>
      <c r="C96" vm="281">
        <f ca="1"/>
        <v>100.31</v>
      </c>
      <c r="D96" vm="282">
        <f ca="1"/>
        <v>1316576</v>
      </c>
      <c r="E96">
        <f t="shared" ca="1" si="21"/>
        <v>132065738.56</v>
      </c>
      <c r="F96">
        <f ca="1">SUM($E$2:E96)/SUM($D$2:D96)</f>
        <v>104.81529354295914</v>
      </c>
      <c r="G96">
        <f ca="1">_xlfn.STDEV.P($C$2:C96)</f>
        <v>4.5485269966589366</v>
      </c>
      <c r="H96">
        <f t="shared" ca="1" si="22"/>
        <v>109.36382053961808</v>
      </c>
      <c r="I96">
        <f t="shared" ca="1" si="23"/>
        <v>100.2667665463002</v>
      </c>
      <c r="J96">
        <f t="shared" ca="1" si="32"/>
        <v>100.98250000000002</v>
      </c>
      <c r="K96">
        <f t="shared" ca="1" si="33"/>
        <v>1.6165423627379256</v>
      </c>
      <c r="L96">
        <f t="shared" ca="1" si="34"/>
        <v>104.21558472547586</v>
      </c>
      <c r="M96">
        <f t="shared" ca="1" si="35"/>
        <v>97.749415274524168</v>
      </c>
      <c r="N96">
        <f t="shared" ca="1" si="24"/>
        <v>0.39000000000000057</v>
      </c>
      <c r="O96">
        <f t="shared" ca="1" si="25"/>
        <v>0.39000000000000057</v>
      </c>
      <c r="P96">
        <f t="shared" ca="1" si="26"/>
        <v>0</v>
      </c>
      <c r="Q96">
        <f t="shared" ca="1" si="30"/>
        <v>0.39607234668108354</v>
      </c>
      <c r="R96">
        <f t="shared" ca="1" si="31"/>
        <v>0.49512281733569619</v>
      </c>
      <c r="S96">
        <f t="shared" ca="1" si="28"/>
        <v>0.79994767523013222</v>
      </c>
      <c r="T96">
        <f t="shared" ca="1" si="29"/>
        <v>44.442829435464283</v>
      </c>
      <c r="U96">
        <f>70</f>
        <v>70</v>
      </c>
      <c r="V96">
        <f>30</f>
        <v>30</v>
      </c>
      <c r="W96">
        <f t="shared" ca="1" si="27"/>
        <v>100.32422197477398</v>
      </c>
      <c r="X96">
        <f t="shared" ca="1" si="37"/>
        <v>101.52390108890442</v>
      </c>
      <c r="Y96">
        <f t="shared" ca="1" si="36"/>
        <v>-1.1598117589346657</v>
      </c>
      <c r="Z96">
        <f t="shared" ca="1" si="18"/>
        <v>-1.2959877850969637</v>
      </c>
      <c r="AA96">
        <f t="shared" ca="1" si="19"/>
        <v>0.13617602616229796</v>
      </c>
    </row>
    <row r="97" spans="1:28" x14ac:dyDescent="0.25">
      <c r="A97" s="21">
        <f t="shared" ca="1" si="20"/>
        <v>45845</v>
      </c>
      <c r="B97" vm="283">
        <f ca="1"/>
        <v>45845</v>
      </c>
      <c r="C97" vm="284">
        <f ca="1"/>
        <v>99.71</v>
      </c>
      <c r="D97" vm="285">
        <f ca="1"/>
        <v>1800719</v>
      </c>
      <c r="E97">
        <f t="shared" ca="1" si="21"/>
        <v>179549691.48999998</v>
      </c>
      <c r="F97">
        <f ca="1">SUM($E$2:E97)/SUM($D$2:D97)</f>
        <v>104.78338417436564</v>
      </c>
      <c r="G97">
        <f ca="1">_xlfn.STDEV.P($C$2:C97)</f>
        <v>4.5562879120793518</v>
      </c>
      <c r="H97">
        <f t="shared" ca="1" si="22"/>
        <v>109.33967208644499</v>
      </c>
      <c r="I97">
        <f t="shared" ca="1" si="23"/>
        <v>100.22709626228628</v>
      </c>
      <c r="J97">
        <f t="shared" ca="1" si="32"/>
        <v>100.8545</v>
      </c>
      <c r="K97">
        <f t="shared" ca="1" si="33"/>
        <v>1.6105718990797222</v>
      </c>
      <c r="L97">
        <f t="shared" ca="1" si="34"/>
        <v>104.07564379815945</v>
      </c>
      <c r="M97">
        <f t="shared" ca="1" si="35"/>
        <v>97.633356201840556</v>
      </c>
      <c r="N97">
        <f t="shared" ca="1" si="24"/>
        <v>-0.60000000000000853</v>
      </c>
      <c r="O97">
        <f t="shared" ca="1" si="25"/>
        <v>0</v>
      </c>
      <c r="P97">
        <f t="shared" ca="1" si="26"/>
        <v>0.60000000000000853</v>
      </c>
      <c r="Q97">
        <f t="shared" ca="1" si="30"/>
        <v>0.36778146477529189</v>
      </c>
      <c r="R97">
        <f t="shared" ca="1" si="31"/>
        <v>0.50261404466886128</v>
      </c>
      <c r="S97">
        <f t="shared" ca="1" si="28"/>
        <v>0.73173734135821544</v>
      </c>
      <c r="T97">
        <f t="shared" ca="1" si="29"/>
        <v>42.254522315971307</v>
      </c>
      <c r="U97">
        <f>70</f>
        <v>70</v>
      </c>
      <c r="V97">
        <f>30</f>
        <v>30</v>
      </c>
      <c r="W97">
        <f t="shared" ca="1" si="27"/>
        <v>100.22972628634722</v>
      </c>
      <c r="X97">
        <f t="shared" ca="1" si="37"/>
        <v>101.38953804528188</v>
      </c>
      <c r="Y97">
        <f t="shared" ca="1" si="36"/>
        <v>-1.1472682554743301</v>
      </c>
      <c r="Z97">
        <f t="shared" ca="1" si="18"/>
        <v>-1.2662438791724369</v>
      </c>
      <c r="AA97">
        <f t="shared" ca="1" si="19"/>
        <v>0.11897562369810677</v>
      </c>
    </row>
    <row r="98" spans="1:28" x14ac:dyDescent="0.25">
      <c r="A98" s="21">
        <f t="shared" ca="1" si="20"/>
        <v>45845</v>
      </c>
      <c r="B98" vm="286">
        <f ca="1"/>
        <v>45846</v>
      </c>
      <c r="C98" vm="287">
        <f ca="1"/>
        <v>99.31</v>
      </c>
      <c r="D98" vm="288">
        <f ca="1"/>
        <v>3451218</v>
      </c>
      <c r="E98">
        <f t="shared" ca="1" si="21"/>
        <v>342740459.57999998</v>
      </c>
      <c r="F98">
        <f ca="1">SUM($E$2:E98)/SUM($D$2:D98)</f>
        <v>104.71859412210053</v>
      </c>
      <c r="G98">
        <f ca="1">_xlfn.STDEV.P($C$2:C98)</f>
        <v>4.5680757850473555</v>
      </c>
      <c r="H98">
        <f t="shared" ca="1" si="22"/>
        <v>109.28666990714788</v>
      </c>
      <c r="I98">
        <f t="shared" ca="1" si="23"/>
        <v>100.15051833705317</v>
      </c>
      <c r="J98">
        <f t="shared" ca="1" si="32"/>
        <v>100.73949999999999</v>
      </c>
      <c r="K98">
        <f t="shared" ca="1" si="33"/>
        <v>1.6357051432912577</v>
      </c>
      <c r="L98">
        <f t="shared" ca="1" si="34"/>
        <v>104.01091028658252</v>
      </c>
      <c r="M98">
        <f t="shared" ca="1" si="35"/>
        <v>97.46808971341747</v>
      </c>
      <c r="N98">
        <f t="shared" ca="1" si="24"/>
        <v>-0.39999999999999147</v>
      </c>
      <c r="O98">
        <f t="shared" ca="1" si="25"/>
        <v>0</v>
      </c>
      <c r="P98">
        <f t="shared" ca="1" si="26"/>
        <v>0.39999999999999147</v>
      </c>
      <c r="Q98">
        <f t="shared" ca="1" si="30"/>
        <v>0.34151136014848532</v>
      </c>
      <c r="R98">
        <f t="shared" ca="1" si="31"/>
        <v>0.49528447004965631</v>
      </c>
      <c r="S98">
        <f t="shared" ca="1" si="28"/>
        <v>0.68952567827181421</v>
      </c>
      <c r="T98">
        <f t="shared" ca="1" si="29"/>
        <v>40.811790382323032</v>
      </c>
      <c r="U98">
        <f>70</f>
        <v>70</v>
      </c>
      <c r="V98">
        <f>30</f>
        <v>30</v>
      </c>
      <c r="W98">
        <f t="shared" ca="1" si="27"/>
        <v>100.08822993460149</v>
      </c>
      <c r="X98">
        <f t="shared" ca="1" si="37"/>
        <v>101.23549819007582</v>
      </c>
      <c r="Y98">
        <f t="shared" ca="1" si="36"/>
        <v>-1.0717168695099701</v>
      </c>
      <c r="Z98">
        <f t="shared" ca="1" si="18"/>
        <v>-1.2273384772399436</v>
      </c>
      <c r="AA98">
        <f t="shared" ca="1" si="19"/>
        <v>0.15562160772997347</v>
      </c>
    </row>
    <row r="99" spans="1:28" x14ac:dyDescent="0.25">
      <c r="A99" s="21">
        <f t="shared" ca="1" si="20"/>
        <v>45845</v>
      </c>
      <c r="B99" vm="289">
        <f ca="1"/>
        <v>45847</v>
      </c>
      <c r="C99" vm="290">
        <f ca="1"/>
        <v>99.97</v>
      </c>
      <c r="D99" vm="291">
        <f ca="1"/>
        <v>2782533</v>
      </c>
      <c r="E99">
        <f t="shared" ca="1" si="21"/>
        <v>278169824.00999999</v>
      </c>
      <c r="F99">
        <f ca="1">SUM($E$2:E99)/SUM($D$2:D99)</f>
        <v>104.67370302461732</v>
      </c>
      <c r="G99">
        <f ca="1">_xlfn.STDEV.P($C$2:C99)</f>
        <v>4.5712697551221053</v>
      </c>
      <c r="H99">
        <f t="shared" ca="1" si="22"/>
        <v>109.24497277973943</v>
      </c>
      <c r="I99">
        <f t="shared" ca="1" si="23"/>
        <v>100.10243326949522</v>
      </c>
      <c r="J99">
        <f t="shared" ca="1" si="32"/>
        <v>100.6825</v>
      </c>
      <c r="K99">
        <f t="shared" ca="1" si="33"/>
        <v>1.6419656865444765</v>
      </c>
      <c r="L99">
        <f t="shared" ca="1" si="34"/>
        <v>103.96643137308895</v>
      </c>
      <c r="M99">
        <f t="shared" ca="1" si="35"/>
        <v>97.398568626911057</v>
      </c>
      <c r="N99">
        <f t="shared" ca="1" si="24"/>
        <v>0.65999999999999659</v>
      </c>
      <c r="O99">
        <f t="shared" ca="1" si="25"/>
        <v>0.65999999999999659</v>
      </c>
      <c r="P99">
        <f t="shared" ca="1" si="26"/>
        <v>0</v>
      </c>
      <c r="Q99">
        <f t="shared" ca="1" si="30"/>
        <v>0.36426054870930757</v>
      </c>
      <c r="R99">
        <f t="shared" ca="1" si="31"/>
        <v>0.45990700790325229</v>
      </c>
      <c r="S99">
        <f t="shared" ca="1" si="28"/>
        <v>0.79203087243657477</v>
      </c>
      <c r="T99">
        <f t="shared" ca="1" si="29"/>
        <v>44.197389934453099</v>
      </c>
      <c r="U99">
        <f>70</f>
        <v>70</v>
      </c>
      <c r="V99">
        <f>30</f>
        <v>30</v>
      </c>
      <c r="W99">
        <f t="shared" ca="1" si="27"/>
        <v>100.07004071389356</v>
      </c>
      <c r="X99">
        <f t="shared" ca="1" si="37"/>
        <v>101.14175758340353</v>
      </c>
      <c r="Y99">
        <f t="shared" ca="1" si="36"/>
        <v>-0.91256160279132814</v>
      </c>
      <c r="Z99">
        <f t="shared" ca="1" si="18"/>
        <v>-1.1643831023502207</v>
      </c>
      <c r="AA99">
        <f t="shared" ca="1" si="19"/>
        <v>0.25182149955889255</v>
      </c>
    </row>
    <row r="100" spans="1:28" x14ac:dyDescent="0.25">
      <c r="A100" s="21">
        <f t="shared" ca="1" si="20"/>
        <v>45845</v>
      </c>
      <c r="B100" vm="292">
        <f ca="1"/>
        <v>45848</v>
      </c>
      <c r="C100" vm="293">
        <f ca="1"/>
        <v>101.07</v>
      </c>
      <c r="D100" vm="294">
        <f ca="1"/>
        <v>1851807</v>
      </c>
      <c r="E100">
        <f t="shared" ca="1" si="21"/>
        <v>187162133.48999998</v>
      </c>
      <c r="F100">
        <f ca="1">SUM($E$2:E100)/SUM($D$2:D100)</f>
        <v>104.65117226765386</v>
      </c>
      <c r="G100">
        <f ca="1">_xlfn.STDEV.P($C$2:C100)</f>
        <v>4.5635248442605461</v>
      </c>
      <c r="H100">
        <f t="shared" ca="1" si="22"/>
        <v>109.2146971119144</v>
      </c>
      <c r="I100">
        <f t="shared" ca="1" si="23"/>
        <v>100.08764742339332</v>
      </c>
      <c r="J100">
        <f t="shared" ca="1" si="32"/>
        <v>100.616</v>
      </c>
      <c r="K100">
        <f t="shared" ca="1" si="33"/>
        <v>1.5950066820516684</v>
      </c>
      <c r="L100">
        <f t="shared" ca="1" si="34"/>
        <v>103.80601336410334</v>
      </c>
      <c r="M100">
        <f t="shared" ca="1" si="35"/>
        <v>97.425986635896663</v>
      </c>
      <c r="N100">
        <f t="shared" ca="1" si="24"/>
        <v>1.0999999999999943</v>
      </c>
      <c r="O100">
        <f t="shared" ca="1" si="25"/>
        <v>1.0999999999999943</v>
      </c>
      <c r="P100">
        <f t="shared" ca="1" si="26"/>
        <v>0</v>
      </c>
      <c r="Q100">
        <f t="shared" ca="1" si="30"/>
        <v>0.41681336665864233</v>
      </c>
      <c r="R100">
        <f t="shared" ca="1" si="31"/>
        <v>0.42705650733873429</v>
      </c>
      <c r="S100">
        <f t="shared" ca="1" si="28"/>
        <v>0.97601455427076012</v>
      </c>
      <c r="T100">
        <f t="shared" ca="1" si="29"/>
        <v>49.393085296932654</v>
      </c>
      <c r="U100">
        <f>70</f>
        <v>70</v>
      </c>
      <c r="V100">
        <f>30</f>
        <v>30</v>
      </c>
      <c r="W100">
        <f t="shared" ca="1" si="27"/>
        <v>100.22388060406379</v>
      </c>
      <c r="X100">
        <f t="shared" ca="1" si="37"/>
        <v>101.13644220685512</v>
      </c>
      <c r="Y100">
        <f t="shared" ca="1" si="36"/>
        <v>-0.8157583413702838</v>
      </c>
      <c r="Z100">
        <f t="shared" ca="1" si="18"/>
        <v>-1.0946581501542334</v>
      </c>
      <c r="AA100">
        <f t="shared" ca="1" si="19"/>
        <v>0.2788998087839496</v>
      </c>
    </row>
    <row r="101" spans="1:28" x14ac:dyDescent="0.25">
      <c r="A101" s="21">
        <f t="shared" ca="1" si="20"/>
        <v>45845</v>
      </c>
      <c r="B101" vm="295">
        <f ca="1"/>
        <v>45849</v>
      </c>
      <c r="C101" vm="296">
        <f ca="1"/>
        <v>100.59</v>
      </c>
      <c r="D101" vm="297">
        <f ca="1"/>
        <v>1853687</v>
      </c>
      <c r="E101">
        <f t="shared" ca="1" si="21"/>
        <v>186462375.33000001</v>
      </c>
      <c r="F101">
        <f ca="1">SUM($E$2:E101)/SUM($D$2:D101)</f>
        <v>104.62591366397265</v>
      </c>
      <c r="G101">
        <f ca="1">_xlfn.STDEV.P($C$2:C101)</f>
        <v>4.5597338463993706</v>
      </c>
      <c r="H101">
        <f t="shared" ca="1" si="22"/>
        <v>109.18564751037202</v>
      </c>
      <c r="I101">
        <f t="shared" ca="1" si="23"/>
        <v>100.06617981757329</v>
      </c>
      <c r="J101">
        <f t="shared" ca="1" si="32"/>
        <v>100.51799999999999</v>
      </c>
      <c r="K101">
        <f t="shared" ca="1" si="33"/>
        <v>1.528761452597287</v>
      </c>
      <c r="L101">
        <f t="shared" ca="1" si="34"/>
        <v>103.57552290519456</v>
      </c>
      <c r="M101">
        <f t="shared" ca="1" si="35"/>
        <v>97.460477094805412</v>
      </c>
      <c r="N101">
        <f t="shared" ca="1" si="24"/>
        <v>-0.47999999999998977</v>
      </c>
      <c r="O101">
        <f t="shared" ca="1" si="25"/>
        <v>0</v>
      </c>
      <c r="P101">
        <f t="shared" ca="1" si="26"/>
        <v>0.47999999999998977</v>
      </c>
      <c r="Q101">
        <f t="shared" ca="1" si="30"/>
        <v>0.38704098332588216</v>
      </c>
      <c r="R101">
        <f t="shared" ca="1" si="31"/>
        <v>0.4308381853859668</v>
      </c>
      <c r="S101">
        <f t="shared" ca="1" si="28"/>
        <v>0.89834419616067951</v>
      </c>
      <c r="T101">
        <f t="shared" ca="1" si="29"/>
        <v>47.322513903302806</v>
      </c>
      <c r="U101">
        <f>70</f>
        <v>70</v>
      </c>
      <c r="V101">
        <f>30</f>
        <v>30</v>
      </c>
      <c r="W101">
        <f t="shared" ca="1" si="27"/>
        <v>100.28020666497706</v>
      </c>
      <c r="X101">
        <f t="shared" ca="1" si="37"/>
        <v>101.09596500634734</v>
      </c>
      <c r="Y101">
        <f t="shared" ca="1" si="36"/>
        <v>-0.69711466542649703</v>
      </c>
      <c r="Z101">
        <f t="shared" ca="1" si="18"/>
        <v>-1.0151494532086862</v>
      </c>
      <c r="AA101">
        <f t="shared" ca="1" si="19"/>
        <v>0.31803478778218919</v>
      </c>
      <c r="AB101">
        <f ca="1">AVERAGE(C2:C101)</f>
        <v>104.73649999999998</v>
      </c>
    </row>
    <row r="102" spans="1:28" x14ac:dyDescent="0.25">
      <c r="A102" s="21">
        <f t="shared" ca="1" si="20"/>
        <v>45852</v>
      </c>
      <c r="B102" vm="298">
        <f ca="1"/>
        <v>45852</v>
      </c>
      <c r="C102" vm="299">
        <f ca="1"/>
        <v>101.01</v>
      </c>
      <c r="D102" vm="300">
        <f ca="1"/>
        <v>1409864</v>
      </c>
      <c r="E102">
        <f t="shared" ca="1" si="21"/>
        <v>142410362.64000002</v>
      </c>
      <c r="F102">
        <f ca="1">SUM($E$2:E102)/SUM($D$2:D102)</f>
        <v>104.60888944294064</v>
      </c>
      <c r="G102">
        <f ca="1">_xlfn.STDEV.P($C$2:C102)</f>
        <v>4.5520820871663927</v>
      </c>
      <c r="H102">
        <f t="shared" ca="1" si="22"/>
        <v>109.16097153010703</v>
      </c>
      <c r="I102">
        <f t="shared" ca="1" si="23"/>
        <v>100.05680735577424</v>
      </c>
      <c r="J102">
        <f t="shared" ca="1" si="32"/>
        <v>100.38049999999998</v>
      </c>
      <c r="K102">
        <f t="shared" ca="1" si="33"/>
        <v>1.3329526978617208</v>
      </c>
      <c r="L102">
        <f t="shared" ca="1" si="34"/>
        <v>103.04640539572343</v>
      </c>
      <c r="M102">
        <f t="shared" ca="1" si="35"/>
        <v>97.714594604276542</v>
      </c>
      <c r="N102">
        <f t="shared" ca="1" si="24"/>
        <v>0.42000000000000171</v>
      </c>
      <c r="O102">
        <f t="shared" ca="1" si="25"/>
        <v>0.42000000000000171</v>
      </c>
      <c r="P102">
        <f t="shared" ca="1" si="26"/>
        <v>0</v>
      </c>
      <c r="Q102">
        <f t="shared" ca="1" si="30"/>
        <v>0.38939519880260498</v>
      </c>
      <c r="R102">
        <f t="shared" ca="1" si="31"/>
        <v>0.40006402928696916</v>
      </c>
      <c r="S102">
        <f t="shared" ca="1" si="28"/>
        <v>0.97333219259082315</v>
      </c>
      <c r="T102">
        <f t="shared" ca="1" si="29"/>
        <v>49.324295029764748</v>
      </c>
      <c r="U102">
        <f>70</f>
        <v>70</v>
      </c>
      <c r="V102">
        <f>30</f>
        <v>30</v>
      </c>
      <c r="W102">
        <f t="shared" ca="1" si="27"/>
        <v>100.3924825626729</v>
      </c>
      <c r="X102">
        <f t="shared" ca="1" si="37"/>
        <v>101.08959722809939</v>
      </c>
      <c r="Y102">
        <f t="shared" ca="1" si="36"/>
        <v>-0.6807742963488721</v>
      </c>
      <c r="Z102">
        <f t="shared" ref="Z102:Z165" ca="1" si="38">Y102*(2/(9+1)) + Z101*(1-(2/(9+1)))</f>
        <v>-0.9482744218367235</v>
      </c>
      <c r="AA102">
        <f t="shared" ref="AA102:AA165" ca="1" si="39">Y102-Z102</f>
        <v>0.2675001254878514</v>
      </c>
      <c r="AB102">
        <f t="shared" ref="AB102:AB165" ca="1" si="40">AVERAGE(C3:C102)</f>
        <v>104.78899999999997</v>
      </c>
    </row>
    <row r="103" spans="1:28" x14ac:dyDescent="0.25">
      <c r="A103" s="21">
        <f t="shared" ca="1" si="20"/>
        <v>45852</v>
      </c>
      <c r="B103" vm="301">
        <f ca="1"/>
        <v>45853</v>
      </c>
      <c r="C103" vm="302">
        <f ca="1"/>
        <v>99.95</v>
      </c>
      <c r="D103" vm="303">
        <f ca="1"/>
        <v>1731322</v>
      </c>
      <c r="E103">
        <f t="shared" ca="1" si="21"/>
        <v>173045633.90000001</v>
      </c>
      <c r="F103">
        <f ca="1">SUM($E$2:E103)/SUM($D$2:D103)</f>
        <v>104.58210833552648</v>
      </c>
      <c r="G103">
        <f ca="1">_xlfn.STDEV.P($C$2:C103)</f>
        <v>4.5538220941456196</v>
      </c>
      <c r="H103">
        <f t="shared" ca="1" si="22"/>
        <v>109.1359304296721</v>
      </c>
      <c r="I103">
        <f t="shared" ca="1" si="23"/>
        <v>100.02828624138087</v>
      </c>
      <c r="J103">
        <f t="shared" ca="1" si="32"/>
        <v>100.17999999999999</v>
      </c>
      <c r="K103">
        <f t="shared" ca="1" si="33"/>
        <v>1.0343317191612937</v>
      </c>
      <c r="L103">
        <f t="shared" ca="1" si="34"/>
        <v>102.24866343832258</v>
      </c>
      <c r="M103">
        <f t="shared" ca="1" si="35"/>
        <v>98.111336561677405</v>
      </c>
      <c r="N103">
        <f t="shared" ca="1" si="24"/>
        <v>-1.0600000000000023</v>
      </c>
      <c r="O103">
        <f t="shared" ca="1" si="25"/>
        <v>0</v>
      </c>
      <c r="P103">
        <f t="shared" ca="1" si="26"/>
        <v>1.0600000000000023</v>
      </c>
      <c r="Q103">
        <f t="shared" ca="1" si="30"/>
        <v>0.36158125603099034</v>
      </c>
      <c r="R103">
        <f t="shared" ca="1" si="31"/>
        <v>0.44720231290932866</v>
      </c>
      <c r="S103">
        <f t="shared" ca="1" si="28"/>
        <v>0.80854066625612875</v>
      </c>
      <c r="T103">
        <f t="shared" ca="1" si="29"/>
        <v>44.706800424338468</v>
      </c>
      <c r="U103">
        <f>70</f>
        <v>70</v>
      </c>
      <c r="V103">
        <f>30</f>
        <v>30</v>
      </c>
      <c r="W103">
        <f t="shared" ca="1" si="27"/>
        <v>100.32440832226168</v>
      </c>
      <c r="X103">
        <f t="shared" ca="1" si="37"/>
        <v>101.00518261861055</v>
      </c>
      <c r="Y103">
        <f t="shared" ca="1" si="36"/>
        <v>-0.61953014056042832</v>
      </c>
      <c r="Z103">
        <f t="shared" ca="1" si="38"/>
        <v>-0.88252556558146456</v>
      </c>
      <c r="AA103">
        <f t="shared" ca="1" si="39"/>
        <v>0.26299542502103623</v>
      </c>
      <c r="AB103">
        <f t="shared" ca="1" si="40"/>
        <v>104.83589999999998</v>
      </c>
    </row>
    <row r="104" spans="1:28" x14ac:dyDescent="0.25">
      <c r="A104" s="21">
        <f t="shared" ca="1" si="20"/>
        <v>45852</v>
      </c>
      <c r="B104" vm="304">
        <f ca="1"/>
        <v>45854</v>
      </c>
      <c r="C104" vm="305">
        <f ca="1"/>
        <v>100.46</v>
      </c>
      <c r="D104" vm="306">
        <f ca="1"/>
        <v>1865373</v>
      </c>
      <c r="E104">
        <f t="shared" ca="1" si="21"/>
        <v>187395371.57999998</v>
      </c>
      <c r="F104">
        <f ca="1">SUM($E$2:E104)/SUM($D$2:D104)</f>
        <v>104.55673533240309</v>
      </c>
      <c r="G104">
        <f ca="1">_xlfn.STDEV.P($C$2:C104)</f>
        <v>4.5502747604831812</v>
      </c>
      <c r="H104">
        <f t="shared" ca="1" si="22"/>
        <v>109.10701009288627</v>
      </c>
      <c r="I104">
        <f t="shared" ca="1" si="23"/>
        <v>100.00646057191992</v>
      </c>
      <c r="J104">
        <f t="shared" ca="1" si="32"/>
        <v>100.1215</v>
      </c>
      <c r="K104">
        <f t="shared" ca="1" si="33"/>
        <v>0.97964695574208605</v>
      </c>
      <c r="L104">
        <f t="shared" ca="1" si="34"/>
        <v>102.08079391148416</v>
      </c>
      <c r="M104">
        <f t="shared" ca="1" si="35"/>
        <v>98.162206088515831</v>
      </c>
      <c r="N104">
        <f t="shared" ca="1" si="24"/>
        <v>0.50999999999999091</v>
      </c>
      <c r="O104">
        <f t="shared" ca="1" si="25"/>
        <v>0.50999999999999091</v>
      </c>
      <c r="P104">
        <f t="shared" ca="1" si="26"/>
        <v>0</v>
      </c>
      <c r="Q104">
        <f t="shared" ca="1" si="30"/>
        <v>0.37218259488591893</v>
      </c>
      <c r="R104">
        <f t="shared" ca="1" si="31"/>
        <v>0.41525929055866234</v>
      </c>
      <c r="S104">
        <f t="shared" ca="1" si="28"/>
        <v>0.89626554624511623</v>
      </c>
      <c r="T104">
        <f t="shared" ca="1" si="29"/>
        <v>47.264769853560516</v>
      </c>
      <c r="U104">
        <f>70</f>
        <v>70</v>
      </c>
      <c r="V104">
        <f>30</f>
        <v>30</v>
      </c>
      <c r="W104">
        <f t="shared" ca="1" si="27"/>
        <v>100.34526858037526</v>
      </c>
      <c r="X104">
        <f t="shared" ca="1" si="37"/>
        <v>100.96479872093569</v>
      </c>
      <c r="Y104">
        <f t="shared" ca="1" si="36"/>
        <v>-0.55331856391067902</v>
      </c>
      <c r="Z104">
        <f t="shared" ca="1" si="38"/>
        <v>-0.81668416524730747</v>
      </c>
      <c r="AA104">
        <f t="shared" ca="1" si="39"/>
        <v>0.26336560133662845</v>
      </c>
      <c r="AB104">
        <f t="shared" ca="1" si="40"/>
        <v>104.88289999999998</v>
      </c>
    </row>
    <row r="105" spans="1:28" x14ac:dyDescent="0.25">
      <c r="A105" s="21">
        <f t="shared" ca="1" si="20"/>
        <v>45852</v>
      </c>
      <c r="B105" vm="307">
        <f ca="1"/>
        <v>45855</v>
      </c>
      <c r="C105" vm="308">
        <f ca="1"/>
        <v>100.6</v>
      </c>
      <c r="D105" vm="309">
        <f ca="1"/>
        <v>2131709</v>
      </c>
      <c r="E105">
        <f t="shared" ca="1" si="21"/>
        <v>214449925.39999998</v>
      </c>
      <c r="F105">
        <f ca="1">SUM($E$2:E105)/SUM($D$2:D105)</f>
        <v>104.52909727687467</v>
      </c>
      <c r="G105">
        <f ca="1">_xlfn.STDEV.P($C$2:C105)</f>
        <v>4.5452416343273843</v>
      </c>
      <c r="H105">
        <f t="shared" ca="1" si="22"/>
        <v>109.07433891120205</v>
      </c>
      <c r="I105">
        <f t="shared" ca="1" si="23"/>
        <v>99.983855642547283</v>
      </c>
      <c r="J105">
        <f t="shared" ca="1" si="32"/>
        <v>100.08399999999999</v>
      </c>
      <c r="K105">
        <f t="shared" ca="1" si="33"/>
        <v>0.94384655309508525</v>
      </c>
      <c r="L105">
        <f t="shared" ca="1" si="34"/>
        <v>101.97169310619016</v>
      </c>
      <c r="M105">
        <f t="shared" ca="1" si="35"/>
        <v>98.196306893809819</v>
      </c>
      <c r="N105">
        <f t="shared" ca="1" si="24"/>
        <v>0.14000000000000057</v>
      </c>
      <c r="O105">
        <f t="shared" ca="1" si="25"/>
        <v>0.14000000000000057</v>
      </c>
      <c r="P105">
        <f t="shared" ca="1" si="26"/>
        <v>0</v>
      </c>
      <c r="Q105">
        <f t="shared" ca="1" si="30"/>
        <v>0.355598123822639</v>
      </c>
      <c r="R105">
        <f t="shared" ca="1" si="31"/>
        <v>0.38559791266161503</v>
      </c>
      <c r="S105">
        <f t="shared" ca="1" si="28"/>
        <v>0.92219929658876909</v>
      </c>
      <c r="T105">
        <f t="shared" ca="1" si="29"/>
        <v>47.976258144790194</v>
      </c>
      <c r="U105">
        <f>70</f>
        <v>70</v>
      </c>
      <c r="V105">
        <f>30</f>
        <v>30</v>
      </c>
      <c r="W105">
        <f t="shared" ca="1" si="27"/>
        <v>100.3844580295483</v>
      </c>
      <c r="X105">
        <f t="shared" ca="1" si="37"/>
        <v>100.93777659345898</v>
      </c>
      <c r="Y105">
        <f t="shared" ca="1" si="36"/>
        <v>-0.45684717406929565</v>
      </c>
      <c r="Z105">
        <f t="shared" ca="1" si="38"/>
        <v>-0.74471676701170519</v>
      </c>
      <c r="AA105">
        <f t="shared" ca="1" si="39"/>
        <v>0.28786959294240955</v>
      </c>
      <c r="AB105">
        <f t="shared" ca="1" si="40"/>
        <v>104.90629999999999</v>
      </c>
    </row>
    <row r="106" spans="1:28" x14ac:dyDescent="0.25">
      <c r="A106" s="21">
        <f t="shared" ca="1" si="20"/>
        <v>45852</v>
      </c>
      <c r="B106" vm="310">
        <f ca="1"/>
        <v>45856</v>
      </c>
      <c r="C106" vm="311">
        <f ca="1"/>
        <v>101.08</v>
      </c>
      <c r="D106" vm="312">
        <f ca="1"/>
        <v>1813453</v>
      </c>
      <c r="E106">
        <f t="shared" ca="1" si="21"/>
        <v>183303829.24000001</v>
      </c>
      <c r="F106">
        <f ca="1">SUM($E$2:E106)/SUM($D$2:D106)</f>
        <v>104.50872304353629</v>
      </c>
      <c r="G106">
        <f ca="1">_xlfn.STDEV.P($C$2:C106)</f>
        <v>4.5362550908687993</v>
      </c>
      <c r="H106">
        <f t="shared" ca="1" si="22"/>
        <v>109.04497813440508</v>
      </c>
      <c r="I106">
        <f t="shared" ca="1" si="23"/>
        <v>99.9724679526675</v>
      </c>
      <c r="J106">
        <f t="shared" ca="1" si="32"/>
        <v>100.10149999999999</v>
      </c>
      <c r="K106">
        <f t="shared" ca="1" si="33"/>
        <v>0.95956829657376308</v>
      </c>
      <c r="L106">
        <f t="shared" ca="1" si="34"/>
        <v>102.02063659314751</v>
      </c>
      <c r="M106">
        <f t="shared" ca="1" si="35"/>
        <v>98.18236340685246</v>
      </c>
      <c r="N106">
        <f t="shared" ca="1" si="24"/>
        <v>0.48000000000000398</v>
      </c>
      <c r="O106">
        <f t="shared" ca="1" si="25"/>
        <v>0.48000000000000398</v>
      </c>
      <c r="P106">
        <f t="shared" ca="1" si="26"/>
        <v>0</v>
      </c>
      <c r="Q106">
        <f t="shared" ca="1" si="30"/>
        <v>0.36448397212102224</v>
      </c>
      <c r="R106">
        <f t="shared" ca="1" si="31"/>
        <v>0.3580552046143568</v>
      </c>
      <c r="S106">
        <f t="shared" ca="1" si="28"/>
        <v>1.0179546824730268</v>
      </c>
      <c r="T106">
        <f t="shared" ca="1" si="29"/>
        <v>50.444873282561119</v>
      </c>
      <c r="U106">
        <f>70</f>
        <v>70</v>
      </c>
      <c r="V106">
        <f>30</f>
        <v>30</v>
      </c>
      <c r="W106">
        <f t="shared" ca="1" si="27"/>
        <v>100.49146448654086</v>
      </c>
      <c r="X106">
        <f t="shared" ca="1" si="37"/>
        <v>100.94831166061016</v>
      </c>
      <c r="Y106">
        <f t="shared" ca="1" si="36"/>
        <v>-0.2970835817540376</v>
      </c>
      <c r="Z106">
        <f t="shared" ca="1" si="38"/>
        <v>-0.65519012996017167</v>
      </c>
      <c r="AA106">
        <f t="shared" ca="1" si="39"/>
        <v>0.35810654820613408</v>
      </c>
      <c r="AB106">
        <f t="shared" ca="1" si="40"/>
        <v>104.92029999999998</v>
      </c>
    </row>
    <row r="107" spans="1:28" x14ac:dyDescent="0.25">
      <c r="A107" s="21">
        <f t="shared" ca="1" si="20"/>
        <v>45859</v>
      </c>
      <c r="B107" vm="313">
        <f ca="1"/>
        <v>45859</v>
      </c>
      <c r="C107" vm="314">
        <f ca="1"/>
        <v>102.07</v>
      </c>
      <c r="D107" vm="315">
        <f ca="1"/>
        <v>1667769</v>
      </c>
      <c r="E107">
        <f t="shared" ca="1" si="21"/>
        <v>170229181.82999998</v>
      </c>
      <c r="F107">
        <f ca="1">SUM($E$2:E107)/SUM($D$2:D107)</f>
        <v>104.49554609174635</v>
      </c>
      <c r="G107">
        <f ca="1">_xlfn.STDEV.P($C$2:C107)</f>
        <v>4.5211189453866307</v>
      </c>
      <c r="H107">
        <f t="shared" ca="1" si="22"/>
        <v>109.01666503713298</v>
      </c>
      <c r="I107">
        <f t="shared" ca="1" si="23"/>
        <v>99.974427146359716</v>
      </c>
      <c r="J107">
        <f t="shared" ca="1" si="32"/>
        <v>100.15649999999998</v>
      </c>
      <c r="K107">
        <f t="shared" ca="1" si="33"/>
        <v>1.0401127216240598</v>
      </c>
      <c r="L107">
        <f t="shared" ca="1" si="34"/>
        <v>102.2367254432481</v>
      </c>
      <c r="M107">
        <f t="shared" ca="1" si="35"/>
        <v>98.076274556751855</v>
      </c>
      <c r="N107">
        <f t="shared" ca="1" si="24"/>
        <v>0.98999999999999488</v>
      </c>
      <c r="O107">
        <f t="shared" ca="1" si="25"/>
        <v>0.98999999999999488</v>
      </c>
      <c r="P107">
        <f t="shared" ca="1" si="26"/>
        <v>0</v>
      </c>
      <c r="Q107">
        <f t="shared" ca="1" si="30"/>
        <v>0.4091636883980917</v>
      </c>
      <c r="R107">
        <f t="shared" ca="1" si="31"/>
        <v>0.33247983285618848</v>
      </c>
      <c r="S107">
        <f t="shared" ca="1" si="28"/>
        <v>1.2306421261197884</v>
      </c>
      <c r="T107">
        <f t="shared" ca="1" si="29"/>
        <v>55.169859463763274</v>
      </c>
      <c r="U107">
        <f>70</f>
        <v>70</v>
      </c>
      <c r="V107">
        <f>30</f>
        <v>30</v>
      </c>
      <c r="W107">
        <f t="shared" ca="1" si="27"/>
        <v>100.73431610399611</v>
      </c>
      <c r="X107">
        <f t="shared" ca="1" si="37"/>
        <v>101.03139968575015</v>
      </c>
      <c r="Y107">
        <f t="shared" ca="1" si="36"/>
        <v>-4.7273546957129042E-2</v>
      </c>
      <c r="Z107">
        <f t="shared" ca="1" si="38"/>
        <v>-0.53360681335956317</v>
      </c>
      <c r="AA107">
        <f t="shared" ca="1" si="39"/>
        <v>0.48633326640243413</v>
      </c>
      <c r="AB107">
        <f t="shared" ca="1" si="40"/>
        <v>104.93129999999999</v>
      </c>
    </row>
    <row r="108" spans="1:28" x14ac:dyDescent="0.25">
      <c r="A108" s="21">
        <f t="shared" ca="1" si="20"/>
        <v>45859</v>
      </c>
      <c r="B108" vm="316">
        <f ca="1"/>
        <v>45860</v>
      </c>
      <c r="C108" vm="317">
        <f ca="1"/>
        <v>103.59</v>
      </c>
      <c r="D108" vm="318">
        <f ca="1"/>
        <v>1663862</v>
      </c>
      <c r="E108">
        <f t="shared" ca="1" si="21"/>
        <v>172359464.58000001</v>
      </c>
      <c r="F108">
        <f ca="1">SUM($E$2:E108)/SUM($D$2:D108)</f>
        <v>104.49069086363889</v>
      </c>
      <c r="G108">
        <f ca="1">_xlfn.STDEV.P($C$2:C108)</f>
        <v>4.5008268822306334</v>
      </c>
      <c r="H108">
        <f t="shared" ca="1" si="22"/>
        <v>108.99151774586952</v>
      </c>
      <c r="I108">
        <f t="shared" ca="1" si="23"/>
        <v>99.989863981408263</v>
      </c>
      <c r="J108">
        <f t="shared" ca="1" si="32"/>
        <v>100.27849999999998</v>
      </c>
      <c r="K108">
        <f t="shared" ca="1" si="33"/>
        <v>1.2785488278760249</v>
      </c>
      <c r="L108">
        <f t="shared" ca="1" si="34"/>
        <v>102.83559765575203</v>
      </c>
      <c r="M108">
        <f t="shared" ca="1" si="35"/>
        <v>97.721402344247934</v>
      </c>
      <c r="N108">
        <f t="shared" ca="1" si="24"/>
        <v>1.5200000000000102</v>
      </c>
      <c r="O108">
        <f t="shared" ca="1" si="25"/>
        <v>1.5200000000000102</v>
      </c>
      <c r="P108">
        <f t="shared" ca="1" si="26"/>
        <v>0</v>
      </c>
      <c r="Q108">
        <f t="shared" ca="1" si="30"/>
        <v>0.48850913922680012</v>
      </c>
      <c r="R108">
        <f t="shared" ca="1" si="31"/>
        <v>0.30873127336646078</v>
      </c>
      <c r="S108">
        <f t="shared" ca="1" si="28"/>
        <v>1.5823118076118738</v>
      </c>
      <c r="T108">
        <f t="shared" ca="1" si="29"/>
        <v>61.275009584345995</v>
      </c>
      <c r="U108">
        <f>70</f>
        <v>70</v>
      </c>
      <c r="V108">
        <f>30</f>
        <v>30</v>
      </c>
      <c r="W108">
        <f t="shared" ca="1" si="27"/>
        <v>101.17365208799671</v>
      </c>
      <c r="X108">
        <f t="shared" ca="1" si="37"/>
        <v>101.22092563495384</v>
      </c>
      <c r="Y108">
        <f t="shared" ca="1" si="36"/>
        <v>6.6022332692369901E-2</v>
      </c>
      <c r="Z108">
        <f t="shared" ca="1" si="38"/>
        <v>-0.41368098414917659</v>
      </c>
      <c r="AA108">
        <f t="shared" ca="1" si="39"/>
        <v>0.47970331684154649</v>
      </c>
      <c r="AB108">
        <f t="shared" ca="1" si="40"/>
        <v>104.9676</v>
      </c>
    </row>
    <row r="109" spans="1:28" x14ac:dyDescent="0.25">
      <c r="A109" s="21">
        <f t="shared" ca="1" si="20"/>
        <v>45859</v>
      </c>
      <c r="B109" vm="319">
        <f ca="1"/>
        <v>45861</v>
      </c>
      <c r="C109" vm="238">
        <f ca="1"/>
        <v>102.55</v>
      </c>
      <c r="D109" vm="320">
        <f ca="1"/>
        <v>2563086</v>
      </c>
      <c r="E109">
        <f t="shared" ca="1" si="21"/>
        <v>262844469.29999998</v>
      </c>
      <c r="F109">
        <f ca="1">SUM($E$2:E109)/SUM($D$2:D109)</f>
        <v>104.47479335520541</v>
      </c>
      <c r="G109">
        <f ca="1">_xlfn.STDEV.P($C$2:C109)</f>
        <v>4.4838667435525892</v>
      </c>
      <c r="H109">
        <f t="shared" ca="1" si="22"/>
        <v>108.958660098758</v>
      </c>
      <c r="I109">
        <f t="shared" ca="1" si="23"/>
        <v>99.99092661165281</v>
      </c>
      <c r="J109">
        <f t="shared" ca="1" si="32"/>
        <v>100.39649999999997</v>
      </c>
      <c r="K109">
        <f t="shared" ca="1" si="33"/>
        <v>1.3752024731308703</v>
      </c>
      <c r="L109">
        <f t="shared" ca="1" si="34"/>
        <v>103.14690494626171</v>
      </c>
      <c r="M109">
        <f t="shared" ca="1" si="35"/>
        <v>97.646095053738236</v>
      </c>
      <c r="N109">
        <f t="shared" ca="1" si="24"/>
        <v>-1.0400000000000063</v>
      </c>
      <c r="O109">
        <f t="shared" ca="1" si="25"/>
        <v>0</v>
      </c>
      <c r="P109">
        <f t="shared" ca="1" si="26"/>
        <v>1.0400000000000063</v>
      </c>
      <c r="Q109">
        <f t="shared" ca="1" si="30"/>
        <v>0.4536156292820287</v>
      </c>
      <c r="R109">
        <f t="shared" ca="1" si="31"/>
        <v>0.36096475384028542</v>
      </c>
      <c r="S109">
        <f t="shared" ca="1" si="28"/>
        <v>1.2566756849693368</v>
      </c>
      <c r="T109">
        <f t="shared" ca="1" si="29"/>
        <v>55.687030854254637</v>
      </c>
      <c r="U109">
        <f>70</f>
        <v>70</v>
      </c>
      <c r="V109">
        <f>30</f>
        <v>30</v>
      </c>
      <c r="W109">
        <f t="shared" ca="1" si="27"/>
        <v>101.3853979206126</v>
      </c>
      <c r="X109">
        <f t="shared" ca="1" si="37"/>
        <v>101.31937558792023</v>
      </c>
      <c r="Y109">
        <f t="shared" ca="1" si="36"/>
        <v>0.11414847962355168</v>
      </c>
      <c r="Z109">
        <f t="shared" ca="1" si="38"/>
        <v>-0.30811509139463095</v>
      </c>
      <c r="AA109">
        <f t="shared" ca="1" si="39"/>
        <v>0.42226357101818263</v>
      </c>
      <c r="AB109">
        <f t="shared" ca="1" si="40"/>
        <v>104.9939</v>
      </c>
    </row>
    <row r="110" spans="1:28" x14ac:dyDescent="0.25">
      <c r="A110" s="21">
        <f t="shared" ca="1" si="20"/>
        <v>45859</v>
      </c>
      <c r="B110" vm="321">
        <f ca="1"/>
        <v>45862</v>
      </c>
      <c r="C110" vm="322">
        <f ca="1"/>
        <v>102.05</v>
      </c>
      <c r="D110" vm="323">
        <f ca="1"/>
        <v>2467810</v>
      </c>
      <c r="E110">
        <f t="shared" ca="1" si="21"/>
        <v>251840010.5</v>
      </c>
      <c r="F110">
        <f ca="1">SUM($E$2:E110)/SUM($D$2:D110)</f>
        <v>104.45581825578343</v>
      </c>
      <c r="G110">
        <f ca="1">_xlfn.STDEV.P($C$2:C110)</f>
        <v>4.4693116231679824</v>
      </c>
      <c r="H110">
        <f t="shared" ca="1" si="22"/>
        <v>108.92512987895141</v>
      </c>
      <c r="I110">
        <f t="shared" ca="1" si="23"/>
        <v>99.986506632615445</v>
      </c>
      <c r="J110">
        <f t="shared" ca="1" si="32"/>
        <v>100.59649999999998</v>
      </c>
      <c r="K110">
        <f t="shared" ca="1" si="33"/>
        <v>1.3050600913771218</v>
      </c>
      <c r="L110">
        <f t="shared" ca="1" si="34"/>
        <v>103.20662018275422</v>
      </c>
      <c r="M110">
        <f t="shared" ca="1" si="35"/>
        <v>97.986379817245734</v>
      </c>
      <c r="N110">
        <f t="shared" ca="1" si="24"/>
        <v>-0.5</v>
      </c>
      <c r="O110">
        <f t="shared" ca="1" si="25"/>
        <v>0</v>
      </c>
      <c r="P110">
        <f t="shared" ca="1" si="26"/>
        <v>0.5</v>
      </c>
      <c r="Q110">
        <f t="shared" ca="1" si="30"/>
        <v>0.42121451290474093</v>
      </c>
      <c r="R110">
        <f t="shared" ca="1" si="31"/>
        <v>0.37089584285169364</v>
      </c>
      <c r="S110">
        <f t="shared" ca="1" si="28"/>
        <v>1.135667926785493</v>
      </c>
      <c r="T110">
        <f t="shared" ca="1" si="29"/>
        <v>53.176241144139247</v>
      </c>
      <c r="U110">
        <f>70</f>
        <v>70</v>
      </c>
      <c r="V110">
        <f>30</f>
        <v>30</v>
      </c>
      <c r="W110">
        <f t="shared" ca="1" si="27"/>
        <v>101.48764439436451</v>
      </c>
      <c r="X110">
        <f t="shared" ca="1" si="37"/>
        <v>101.37349591474096</v>
      </c>
      <c r="Y110">
        <f t="shared" ca="1" si="36"/>
        <v>0.16730544967364835</v>
      </c>
      <c r="Z110">
        <f t="shared" ca="1" si="38"/>
        <v>-0.21303098318097508</v>
      </c>
      <c r="AA110">
        <f t="shared" ca="1" si="39"/>
        <v>0.38033643285462343</v>
      </c>
      <c r="AB110">
        <f t="shared" ca="1" si="40"/>
        <v>104.9992</v>
      </c>
    </row>
    <row r="111" spans="1:28" x14ac:dyDescent="0.25">
      <c r="A111" s="21">
        <f t="shared" ca="1" si="20"/>
        <v>45859</v>
      </c>
      <c r="B111" vm="324">
        <f ca="1"/>
        <v>45863</v>
      </c>
      <c r="C111" vm="325">
        <f ca="1"/>
        <v>102.26</v>
      </c>
      <c r="D111" vm="326">
        <f ca="1"/>
        <v>1375737</v>
      </c>
      <c r="E111">
        <f t="shared" ca="1" si="21"/>
        <v>140682865.62</v>
      </c>
      <c r="F111">
        <f ca="1">SUM($E$2:E111)/SUM($D$2:D111)</f>
        <v>104.44628065944708</v>
      </c>
      <c r="G111">
        <f ca="1">_xlfn.STDEV.P($C$2:C111)</f>
        <v>4.4538831056739978</v>
      </c>
      <c r="H111">
        <f t="shared" ca="1" si="22"/>
        <v>108.90016376512108</v>
      </c>
      <c r="I111">
        <f t="shared" ca="1" si="23"/>
        <v>99.992397553773088</v>
      </c>
      <c r="J111">
        <f t="shared" ca="1" si="32"/>
        <v>100.78899999999999</v>
      </c>
      <c r="K111">
        <f t="shared" ca="1" si="33"/>
        <v>1.2482783933756203</v>
      </c>
      <c r="L111">
        <f t="shared" ca="1" si="34"/>
        <v>103.28555678675123</v>
      </c>
      <c r="M111">
        <f t="shared" ca="1" si="35"/>
        <v>98.292443213248745</v>
      </c>
      <c r="N111">
        <f t="shared" ca="1" si="24"/>
        <v>0.21000000000000796</v>
      </c>
      <c r="O111">
        <f t="shared" ca="1" si="25"/>
        <v>0.21000000000000796</v>
      </c>
      <c r="P111">
        <f t="shared" ca="1" si="26"/>
        <v>0</v>
      </c>
      <c r="Q111">
        <f t="shared" ca="1" si="30"/>
        <v>0.40612776198297429</v>
      </c>
      <c r="R111">
        <f t="shared" ca="1" si="31"/>
        <v>0.34440328264800124</v>
      </c>
      <c r="S111">
        <f t="shared" ca="1" si="28"/>
        <v>1.1792215186231509</v>
      </c>
      <c r="T111">
        <f t="shared" ca="1" si="29"/>
        <v>54.112053710271368</v>
      </c>
      <c r="U111">
        <f>70</f>
        <v>70</v>
      </c>
      <c r="V111">
        <f>30</f>
        <v>30</v>
      </c>
      <c r="W111">
        <f t="shared" ca="1" si="27"/>
        <v>101.60646833369306</v>
      </c>
      <c r="X111">
        <f t="shared" ca="1" si="37"/>
        <v>101.43916288401941</v>
      </c>
      <c r="Y111">
        <f t="shared" ca="1" si="36"/>
        <v>0.10493777151147299</v>
      </c>
      <c r="Z111">
        <f t="shared" ca="1" si="38"/>
        <v>-0.14943723224248548</v>
      </c>
      <c r="AA111">
        <f t="shared" ca="1" si="39"/>
        <v>0.2543750037539585</v>
      </c>
      <c r="AB111">
        <f t="shared" ca="1" si="40"/>
        <v>104.98159999999999</v>
      </c>
    </row>
    <row r="112" spans="1:28" x14ac:dyDescent="0.25">
      <c r="A112" s="21">
        <f t="shared" ca="1" si="20"/>
        <v>45866</v>
      </c>
      <c r="B112" vm="327">
        <f ca="1"/>
        <v>45866</v>
      </c>
      <c r="C112" vm="328">
        <f ca="1"/>
        <v>100.98</v>
      </c>
      <c r="D112" vm="329">
        <f ca="1"/>
        <v>1995248</v>
      </c>
      <c r="E112">
        <f t="shared" ca="1" si="21"/>
        <v>201480143.04000002</v>
      </c>
      <c r="F112">
        <f ca="1">SUM($E$2:E112)/SUM($D$2:D112)</f>
        <v>104.42458162082912</v>
      </c>
      <c r="G112">
        <f ca="1">_xlfn.STDEV.P($C$2:C112)</f>
        <v>4.4458668594698292</v>
      </c>
      <c r="H112">
        <f t="shared" ca="1" si="22"/>
        <v>108.87044848029895</v>
      </c>
      <c r="I112">
        <f t="shared" ca="1" si="23"/>
        <v>99.978714761359285</v>
      </c>
      <c r="J112">
        <f t="shared" ca="1" si="32"/>
        <v>100.93049999999998</v>
      </c>
      <c r="K112">
        <f t="shared" ca="1" si="33"/>
        <v>1.0828202698703537</v>
      </c>
      <c r="L112">
        <f t="shared" ca="1" si="34"/>
        <v>103.09614053974069</v>
      </c>
      <c r="M112">
        <f t="shared" ca="1" si="35"/>
        <v>98.764859460259274</v>
      </c>
      <c r="N112">
        <f t="shared" ca="1" si="24"/>
        <v>-1.2800000000000011</v>
      </c>
      <c r="O112">
        <f t="shared" ca="1" si="25"/>
        <v>0</v>
      </c>
      <c r="P112">
        <f t="shared" ca="1" si="26"/>
        <v>1.2800000000000011</v>
      </c>
      <c r="Q112">
        <f t="shared" ca="1" si="30"/>
        <v>0.3771186361270476</v>
      </c>
      <c r="R112">
        <f t="shared" ca="1" si="31"/>
        <v>0.4112316196017155</v>
      </c>
      <c r="S112">
        <f t="shared" ca="1" si="28"/>
        <v>0.91704678860125866</v>
      </c>
      <c r="T112">
        <f t="shared" ca="1" si="29"/>
        <v>47.836432269363989</v>
      </c>
      <c r="U112">
        <f>70</f>
        <v>70</v>
      </c>
      <c r="V112">
        <f>30</f>
        <v>30</v>
      </c>
      <c r="W112">
        <f t="shared" ca="1" si="27"/>
        <v>101.51008859004797</v>
      </c>
      <c r="X112">
        <f t="shared" ca="1" si="37"/>
        <v>101.4051508185365</v>
      </c>
      <c r="Y112">
        <f t="shared" ca="1" si="36"/>
        <v>0.15539115447259633</v>
      </c>
      <c r="Z112">
        <f t="shared" ca="1" si="38"/>
        <v>-8.8471554899469132E-2</v>
      </c>
      <c r="AA112">
        <f t="shared" ca="1" si="39"/>
        <v>0.24386270937206544</v>
      </c>
      <c r="AB112">
        <f t="shared" ca="1" si="40"/>
        <v>104.96989999999998</v>
      </c>
    </row>
    <row r="113" spans="1:28" x14ac:dyDescent="0.25">
      <c r="A113" s="21">
        <f t="shared" ca="1" si="20"/>
        <v>45866</v>
      </c>
      <c r="B113" vm="330">
        <f ca="1"/>
        <v>45867</v>
      </c>
      <c r="C113" vm="331">
        <f ca="1"/>
        <v>102.24</v>
      </c>
      <c r="D113" vm="332">
        <f ca="1"/>
        <v>1265041</v>
      </c>
      <c r="E113">
        <f t="shared" ca="1" si="21"/>
        <v>129337791.83999999</v>
      </c>
      <c r="F113">
        <f ca="1">SUM($E$2:E113)/SUM($D$2:D113)</f>
        <v>104.41594522687102</v>
      </c>
      <c r="G113">
        <f ca="1">_xlfn.STDEV.P($C$2:C113)</f>
        <v>4.4307084264703551</v>
      </c>
      <c r="H113">
        <f t="shared" ca="1" si="22"/>
        <v>108.84665365334138</v>
      </c>
      <c r="I113">
        <f t="shared" ca="1" si="23"/>
        <v>99.985236800400656</v>
      </c>
      <c r="J113">
        <f t="shared" ca="1" si="32"/>
        <v>101.02499999999998</v>
      </c>
      <c r="K113">
        <f t="shared" ca="1" si="33"/>
        <v>1.1115825607995493</v>
      </c>
      <c r="L113">
        <f t="shared" ca="1" si="34"/>
        <v>103.24816512159907</v>
      </c>
      <c r="M113">
        <f t="shared" ca="1" si="35"/>
        <v>98.801834878400882</v>
      </c>
      <c r="N113">
        <f t="shared" ca="1" si="24"/>
        <v>1.2599999999999909</v>
      </c>
      <c r="O113">
        <f t="shared" ca="1" si="25"/>
        <v>1.2599999999999909</v>
      </c>
      <c r="P113">
        <f t="shared" ca="1" si="26"/>
        <v>0</v>
      </c>
      <c r="Q113">
        <f t="shared" ca="1" si="30"/>
        <v>0.44018159068940071</v>
      </c>
      <c r="R113">
        <f t="shared" ca="1" si="31"/>
        <v>0.38185793248730721</v>
      </c>
      <c r="S113">
        <f t="shared" ca="1" si="28"/>
        <v>1.1527365369162055</v>
      </c>
      <c r="T113">
        <f t="shared" ca="1" si="29"/>
        <v>53.547497204070332</v>
      </c>
      <c r="U113">
        <f>70</f>
        <v>70</v>
      </c>
      <c r="V113">
        <f>30</f>
        <v>30</v>
      </c>
      <c r="W113">
        <f t="shared" ca="1" si="27"/>
        <v>101.62238265311751</v>
      </c>
      <c r="X113">
        <f t="shared" ca="1" si="37"/>
        <v>101.46699149864492</v>
      </c>
      <c r="Y113">
        <f t="shared" ca="1" si="36"/>
        <v>0.22106954677009583</v>
      </c>
      <c r="Z113">
        <f t="shared" ca="1" si="38"/>
        <v>-2.6563334565556138E-2</v>
      </c>
      <c r="AA113">
        <f t="shared" ca="1" si="39"/>
        <v>0.24763288133565198</v>
      </c>
      <c r="AB113">
        <f t="shared" ca="1" si="40"/>
        <v>104.99029999999999</v>
      </c>
    </row>
    <row r="114" spans="1:28" x14ac:dyDescent="0.25">
      <c r="A114" s="21">
        <f t="shared" ca="1" si="20"/>
        <v>45866</v>
      </c>
      <c r="B114" vm="333">
        <f ca="1"/>
        <v>45868</v>
      </c>
      <c r="C114" vm="334">
        <f ca="1"/>
        <v>102.59</v>
      </c>
      <c r="D114" vm="335">
        <f ca="1"/>
        <v>1565213</v>
      </c>
      <c r="E114">
        <f t="shared" ca="1" si="21"/>
        <v>160575201.67000002</v>
      </c>
      <c r="F114">
        <f ca="1">SUM($E$2:E114)/SUM($D$2:D114)</f>
        <v>104.40705727628219</v>
      </c>
      <c r="G114">
        <f ca="1">_xlfn.STDEV.P($C$2:C114)</f>
        <v>4.4143060134155565</v>
      </c>
      <c r="H114">
        <f t="shared" ca="1" si="22"/>
        <v>108.82136328969774</v>
      </c>
      <c r="I114">
        <f t="shared" ca="1" si="23"/>
        <v>99.992751262866634</v>
      </c>
      <c r="J114">
        <f t="shared" ca="1" si="32"/>
        <v>101.11549999999998</v>
      </c>
      <c r="K114">
        <f t="shared" ca="1" si="33"/>
        <v>1.1630743063559024</v>
      </c>
      <c r="L114">
        <f t="shared" ca="1" si="34"/>
        <v>103.44164861271179</v>
      </c>
      <c r="M114">
        <f t="shared" ca="1" si="35"/>
        <v>98.789351387288178</v>
      </c>
      <c r="N114">
        <f t="shared" ca="1" si="24"/>
        <v>0.35000000000000853</v>
      </c>
      <c r="O114">
        <f t="shared" ca="1" si="25"/>
        <v>0.35000000000000853</v>
      </c>
      <c r="P114">
        <f t="shared" ca="1" si="26"/>
        <v>0</v>
      </c>
      <c r="Q114">
        <f t="shared" ca="1" si="30"/>
        <v>0.43374004849730124</v>
      </c>
      <c r="R114">
        <f t="shared" ca="1" si="31"/>
        <v>0.35458236588107095</v>
      </c>
      <c r="S114">
        <f t="shared" ca="1" si="28"/>
        <v>1.2232420171813627</v>
      </c>
      <c r="T114">
        <f t="shared" ca="1" si="29"/>
        <v>55.020641375435822</v>
      </c>
      <c r="U114">
        <f>70</f>
        <v>70</v>
      </c>
      <c r="V114">
        <f>30</f>
        <v>30</v>
      </c>
      <c r="W114">
        <f t="shared" ca="1" si="27"/>
        <v>101.77124686033019</v>
      </c>
      <c r="X114">
        <f t="shared" ca="1" si="37"/>
        <v>101.5501773135601</v>
      </c>
      <c r="Y114">
        <f t="shared" ca="1" si="36"/>
        <v>0.34260025815108008</v>
      </c>
      <c r="Z114">
        <f t="shared" ca="1" si="38"/>
        <v>4.7269383977771105E-2</v>
      </c>
      <c r="AA114">
        <f t="shared" ca="1" si="39"/>
        <v>0.295330874173309</v>
      </c>
      <c r="AB114">
        <f t="shared" ca="1" si="40"/>
        <v>105.00709999999999</v>
      </c>
    </row>
    <row r="115" spans="1:28" x14ac:dyDescent="0.25">
      <c r="A115" s="21">
        <f t="shared" ca="1" si="20"/>
        <v>45866</v>
      </c>
      <c r="B115" vm="336">
        <f ca="1"/>
        <v>45869</v>
      </c>
      <c r="C115" vm="337">
        <f ca="1"/>
        <v>103.5</v>
      </c>
      <c r="D115" vm="338">
        <f ca="1"/>
        <v>3483197</v>
      </c>
      <c r="E115">
        <f t="shared" ca="1" si="21"/>
        <v>360510889.5</v>
      </c>
      <c r="F115">
        <f ca="1">SUM($E$2:E115)/SUM($D$2:D115)</f>
        <v>104.39733710089266</v>
      </c>
      <c r="G115">
        <f ca="1">_xlfn.STDEV.P($C$2:C115)</f>
        <v>4.3956705139792858</v>
      </c>
      <c r="H115">
        <f t="shared" ca="1" si="22"/>
        <v>108.79300761487194</v>
      </c>
      <c r="I115">
        <f t="shared" ca="1" si="23"/>
        <v>100.00166658691337</v>
      </c>
      <c r="J115">
        <f t="shared" ca="1" si="32"/>
        <v>101.29449999999999</v>
      </c>
      <c r="K115">
        <f t="shared" ca="1" si="33"/>
        <v>1.242194471595796</v>
      </c>
      <c r="L115">
        <f t="shared" ca="1" si="34"/>
        <v>103.77888894319157</v>
      </c>
      <c r="M115">
        <f t="shared" ca="1" si="35"/>
        <v>98.810111056808395</v>
      </c>
      <c r="N115">
        <f t="shared" ca="1" si="24"/>
        <v>0.90999999999999659</v>
      </c>
      <c r="O115">
        <f t="shared" ca="1" si="25"/>
        <v>0.90999999999999659</v>
      </c>
      <c r="P115">
        <f t="shared" ca="1" si="26"/>
        <v>0</v>
      </c>
      <c r="Q115">
        <f t="shared" ca="1" si="30"/>
        <v>0.46775861646177946</v>
      </c>
      <c r="R115">
        <f t="shared" ca="1" si="31"/>
        <v>0.329255054032423</v>
      </c>
      <c r="S115">
        <f t="shared" ca="1" si="28"/>
        <v>1.4206573619237974</v>
      </c>
      <c r="T115">
        <f t="shared" ca="1" si="29"/>
        <v>58.688907578177101</v>
      </c>
      <c r="U115">
        <f>70</f>
        <v>70</v>
      </c>
      <c r="V115">
        <f>30</f>
        <v>30</v>
      </c>
      <c r="W115">
        <f t="shared" ca="1" si="27"/>
        <v>102.03720888181785</v>
      </c>
      <c r="X115">
        <f t="shared" ca="1" si="37"/>
        <v>101.69460862366677</v>
      </c>
      <c r="Y115">
        <f t="shared" ca="1" si="36"/>
        <v>0.50889810600625651</v>
      </c>
      <c r="Z115">
        <f t="shared" ca="1" si="38"/>
        <v>0.13959512838346819</v>
      </c>
      <c r="AA115">
        <f t="shared" ca="1" si="39"/>
        <v>0.3693029776227883</v>
      </c>
      <c r="AB115">
        <f t="shared" ca="1" si="40"/>
        <v>105.00569999999998</v>
      </c>
    </row>
    <row r="116" spans="1:28" x14ac:dyDescent="0.25">
      <c r="A116" s="21">
        <f t="shared" ca="1" si="20"/>
        <v>45866</v>
      </c>
      <c r="B116" vm="339">
        <f ca="1"/>
        <v>45870</v>
      </c>
      <c r="C116" vm="340">
        <f ca="1"/>
        <v>104.44</v>
      </c>
      <c r="D116" vm="341">
        <f ca="1"/>
        <v>2272580</v>
      </c>
      <c r="E116">
        <f t="shared" ca="1" si="21"/>
        <v>237348255.19999999</v>
      </c>
      <c r="F116">
        <f ca="1">SUM($E$2:E116)/SUM($D$2:D116)</f>
        <v>104.39763331451104</v>
      </c>
      <c r="G116">
        <f ca="1">_xlfn.STDEV.P($C$2:C116)</f>
        <v>4.3765215283476815</v>
      </c>
      <c r="H116">
        <f t="shared" ca="1" si="22"/>
        <v>108.77415484285872</v>
      </c>
      <c r="I116">
        <f t="shared" ca="1" si="23"/>
        <v>100.02111178616336</v>
      </c>
      <c r="J116">
        <f t="shared" ca="1" si="32"/>
        <v>101.501</v>
      </c>
      <c r="K116">
        <f t="shared" ca="1" si="33"/>
        <v>1.4028163401566605</v>
      </c>
      <c r="L116">
        <f t="shared" ca="1" si="34"/>
        <v>104.30663268031333</v>
      </c>
      <c r="M116">
        <f t="shared" ca="1" si="35"/>
        <v>98.695367319686682</v>
      </c>
      <c r="N116">
        <f t="shared" ca="1" si="24"/>
        <v>0.93999999999999773</v>
      </c>
      <c r="O116">
        <f t="shared" ca="1" si="25"/>
        <v>0.93999999999999773</v>
      </c>
      <c r="P116">
        <f t="shared" ca="1" si="26"/>
        <v>0</v>
      </c>
      <c r="Q116">
        <f t="shared" ca="1" si="30"/>
        <v>0.50149014385736645</v>
      </c>
      <c r="R116">
        <f t="shared" ca="1" si="31"/>
        <v>0.30573683588724992</v>
      </c>
      <c r="S116">
        <f t="shared" ca="1" si="28"/>
        <v>1.6402673312230742</v>
      </c>
      <c r="T116">
        <f t="shared" ca="1" si="29"/>
        <v>62.125047408106163</v>
      </c>
      <c r="U116">
        <f>70</f>
        <v>70</v>
      </c>
      <c r="V116">
        <f>30</f>
        <v>30</v>
      </c>
      <c r="W116">
        <f t="shared" ca="1" si="27"/>
        <v>102.40686905384587</v>
      </c>
      <c r="X116">
        <f t="shared" ca="1" si="37"/>
        <v>101.89797094783961</v>
      </c>
      <c r="Y116">
        <f t="shared" ca="1" si="36"/>
        <v>0.70677934741979698</v>
      </c>
      <c r="Z116">
        <f t="shared" ca="1" si="38"/>
        <v>0.25303197219073392</v>
      </c>
      <c r="AA116">
        <f t="shared" ca="1" si="39"/>
        <v>0.45374737522906305</v>
      </c>
      <c r="AB116">
        <f t="shared" ca="1" si="40"/>
        <v>104.98349999999999</v>
      </c>
    </row>
    <row r="117" spans="1:28" x14ac:dyDescent="0.25">
      <c r="A117" s="21">
        <f t="shared" ca="1" si="20"/>
        <v>45873</v>
      </c>
      <c r="B117" vm="342">
        <f ca="1"/>
        <v>45873</v>
      </c>
      <c r="C117" vm="343">
        <f ca="1"/>
        <v>105.36</v>
      </c>
      <c r="D117" vm="344">
        <f ca="1"/>
        <v>2345153</v>
      </c>
      <c r="E117">
        <f t="shared" ca="1" si="21"/>
        <v>247085320.08000001</v>
      </c>
      <c r="F117">
        <f ca="1">SUM($E$2:E117)/SUM($D$2:D117)</f>
        <v>104.40447946878969</v>
      </c>
      <c r="G117">
        <f ca="1">_xlfn.STDEV.P($C$2:C117)</f>
        <v>4.3585694664984409</v>
      </c>
      <c r="H117">
        <f t="shared" ca="1" si="22"/>
        <v>108.76304893528813</v>
      </c>
      <c r="I117">
        <f t="shared" ca="1" si="23"/>
        <v>100.04591000229125</v>
      </c>
      <c r="J117">
        <f t="shared" ca="1" si="32"/>
        <v>101.78349999999999</v>
      </c>
      <c r="K117">
        <f t="shared" ca="1" si="33"/>
        <v>1.580773544819118</v>
      </c>
      <c r="L117">
        <f t="shared" ca="1" si="34"/>
        <v>104.94504708963822</v>
      </c>
      <c r="M117">
        <f t="shared" ca="1" si="35"/>
        <v>98.621952910361756</v>
      </c>
      <c r="N117">
        <f t="shared" ca="1" si="24"/>
        <v>0.92000000000000171</v>
      </c>
      <c r="O117">
        <f t="shared" ca="1" si="25"/>
        <v>0.92000000000000171</v>
      </c>
      <c r="P117">
        <f t="shared" ca="1" si="26"/>
        <v>0</v>
      </c>
      <c r="Q117">
        <f t="shared" ca="1" si="30"/>
        <v>0.53138370501041188</v>
      </c>
      <c r="R117">
        <f t="shared" ca="1" si="31"/>
        <v>0.28389849046673205</v>
      </c>
      <c r="S117">
        <f t="shared" ca="1" si="28"/>
        <v>1.8717383954272233</v>
      </c>
      <c r="T117">
        <f t="shared" ca="1" si="29"/>
        <v>65.177886621137304</v>
      </c>
      <c r="U117">
        <f>70</f>
        <v>70</v>
      </c>
      <c r="V117">
        <f>30</f>
        <v>30</v>
      </c>
      <c r="W117">
        <f t="shared" ca="1" si="27"/>
        <v>102.86119689171574</v>
      </c>
      <c r="X117">
        <f t="shared" ca="1" si="37"/>
        <v>102.15441754429594</v>
      </c>
      <c r="Y117">
        <f t="shared" ca="1" si="36"/>
        <v>0.75962898844272786</v>
      </c>
      <c r="Z117">
        <f t="shared" ca="1" si="38"/>
        <v>0.35435137544113271</v>
      </c>
      <c r="AA117">
        <f t="shared" ca="1" si="39"/>
        <v>0.40527761300159515</v>
      </c>
      <c r="AB117">
        <f t="shared" ca="1" si="40"/>
        <v>104.99939999999997</v>
      </c>
    </row>
    <row r="118" spans="1:28" x14ac:dyDescent="0.25">
      <c r="A118" s="21">
        <f t="shared" ca="1" si="20"/>
        <v>45873</v>
      </c>
      <c r="B118" vm="345">
        <f ca="1"/>
        <v>45874</v>
      </c>
      <c r="C118" vm="346">
        <f ca="1"/>
        <v>104.18</v>
      </c>
      <c r="D118" vm="347">
        <f ca="1"/>
        <v>2515949</v>
      </c>
      <c r="E118">
        <f t="shared" ca="1" si="21"/>
        <v>262111566.82000002</v>
      </c>
      <c r="F118">
        <f ca="1">SUM($E$2:E118)/SUM($D$2:D118)</f>
        <v>104.40277922404999</v>
      </c>
      <c r="G118">
        <f ca="1">_xlfn.STDEV.P($C$2:C118)</f>
        <v>4.3399431979916683</v>
      </c>
      <c r="H118">
        <f t="shared" ca="1" si="22"/>
        <v>108.74272242204167</v>
      </c>
      <c r="I118">
        <f t="shared" ca="1" si="23"/>
        <v>100.06283602605832</v>
      </c>
      <c r="J118">
        <f t="shared" ca="1" si="32"/>
        <v>102.027</v>
      </c>
      <c r="K118">
        <f t="shared" ca="1" si="33"/>
        <v>1.5545725423645198</v>
      </c>
      <c r="L118">
        <f t="shared" ca="1" si="34"/>
        <v>105.13614508472904</v>
      </c>
      <c r="M118">
        <f t="shared" ca="1" si="35"/>
        <v>98.917854915270965</v>
      </c>
      <c r="N118">
        <f t="shared" ca="1" si="24"/>
        <v>-1.1799999999999926</v>
      </c>
      <c r="O118">
        <f t="shared" ca="1" si="25"/>
        <v>0</v>
      </c>
      <c r="P118">
        <f t="shared" ca="1" si="26"/>
        <v>1.1799999999999926</v>
      </c>
      <c r="Q118">
        <f t="shared" ca="1" si="30"/>
        <v>0.49342772608109675</v>
      </c>
      <c r="R118">
        <f t="shared" ca="1" si="31"/>
        <v>0.34790574114767925</v>
      </c>
      <c r="S118">
        <f t="shared" ca="1" si="28"/>
        <v>1.4182799181564705</v>
      </c>
      <c r="T118">
        <f t="shared" ca="1" si="29"/>
        <v>58.648294083245297</v>
      </c>
      <c r="U118">
        <f>70</f>
        <v>70</v>
      </c>
      <c r="V118">
        <f>30</f>
        <v>30</v>
      </c>
      <c r="W118">
        <f t="shared" ca="1" si="27"/>
        <v>103.06408967760562</v>
      </c>
      <c r="X118">
        <f t="shared" ca="1" si="37"/>
        <v>102.30446068916289</v>
      </c>
      <c r="Y118">
        <f t="shared" ca="1" si="36"/>
        <v>0.78998549934738094</v>
      </c>
      <c r="Z118">
        <f t="shared" ca="1" si="38"/>
        <v>0.44147820022238238</v>
      </c>
      <c r="AA118">
        <f t="shared" ca="1" si="39"/>
        <v>0.34850729912499856</v>
      </c>
      <c r="AB118">
        <f t="shared" ca="1" si="40"/>
        <v>105.01479999999998</v>
      </c>
    </row>
    <row r="119" spans="1:28" x14ac:dyDescent="0.25">
      <c r="A119" s="21">
        <f t="shared" ca="1" si="20"/>
        <v>45873</v>
      </c>
      <c r="B119" vm="348">
        <f ca="1"/>
        <v>45875</v>
      </c>
      <c r="C119" vm="349">
        <f ca="1"/>
        <v>104.15</v>
      </c>
      <c r="D119" vm="350">
        <f ca="1"/>
        <v>1993167</v>
      </c>
      <c r="E119">
        <f t="shared" ca="1" si="21"/>
        <v>207588343.05000001</v>
      </c>
      <c r="F119">
        <f ca="1">SUM($E$2:E119)/SUM($D$2:D119)</f>
        <v>104.40127150676879</v>
      </c>
      <c r="G119">
        <f ca="1">_xlfn.STDEV.P($C$2:C119)</f>
        <v>4.3215662932490435</v>
      </c>
      <c r="H119">
        <f t="shared" ca="1" si="22"/>
        <v>108.72283780001784</v>
      </c>
      <c r="I119">
        <f t="shared" ca="1" si="23"/>
        <v>100.07970521351974</v>
      </c>
      <c r="J119">
        <f t="shared" ca="1" si="32"/>
        <v>102.236</v>
      </c>
      <c r="K119">
        <f t="shared" ca="1" si="33"/>
        <v>1.5444208589221031</v>
      </c>
      <c r="L119">
        <f t="shared" ca="1" si="34"/>
        <v>105.32484171784421</v>
      </c>
      <c r="M119">
        <f t="shared" ca="1" si="35"/>
        <v>99.1471582821558</v>
      </c>
      <c r="N119">
        <f t="shared" ca="1" si="24"/>
        <v>-3.0000000000001137E-2</v>
      </c>
      <c r="O119">
        <f t="shared" ca="1" si="25"/>
        <v>0</v>
      </c>
      <c r="P119">
        <f t="shared" ca="1" si="26"/>
        <v>3.0000000000001137E-2</v>
      </c>
      <c r="Q119">
        <f t="shared" ca="1" si="30"/>
        <v>0.45818288850387556</v>
      </c>
      <c r="R119">
        <f t="shared" ca="1" si="31"/>
        <v>0.32519818820855939</v>
      </c>
      <c r="S119">
        <f t="shared" ca="1" si="28"/>
        <v>1.408934321030193</v>
      </c>
      <c r="T119">
        <f t="shared" ca="1" si="29"/>
        <v>58.487867798224364</v>
      </c>
      <c r="U119">
        <f>70</f>
        <v>70</v>
      </c>
      <c r="V119">
        <f>30</f>
        <v>30</v>
      </c>
      <c r="W119">
        <f t="shared" ca="1" si="27"/>
        <v>103.23115280412785</v>
      </c>
      <c r="X119">
        <f t="shared" ca="1" si="37"/>
        <v>102.44116730478046</v>
      </c>
      <c r="Y119">
        <f t="shared" ca="1" si="36"/>
        <v>0.87257267456503484</v>
      </c>
      <c r="Z119">
        <f t="shared" ca="1" si="38"/>
        <v>0.52769709509091289</v>
      </c>
      <c r="AA119">
        <f t="shared" ca="1" si="39"/>
        <v>0.34487557947412195</v>
      </c>
      <c r="AB119">
        <f t="shared" ca="1" si="40"/>
        <v>105.0106</v>
      </c>
    </row>
    <row r="120" spans="1:28" x14ac:dyDescent="0.25">
      <c r="A120" s="21">
        <f t="shared" ca="1" si="20"/>
        <v>45873</v>
      </c>
      <c r="B120" vm="351">
        <f ca="1"/>
        <v>45876</v>
      </c>
      <c r="C120" vm="352">
        <f ca="1"/>
        <v>105</v>
      </c>
      <c r="D120" vm="353">
        <f ca="1"/>
        <v>2577713</v>
      </c>
      <c r="E120">
        <f t="shared" ca="1" si="21"/>
        <v>270659865</v>
      </c>
      <c r="F120">
        <f ca="1">SUM($E$2:E120)/SUM($D$2:D120)</f>
        <v>104.40585463620353</v>
      </c>
      <c r="G120">
        <f ca="1">_xlfn.STDEV.P($C$2:C120)</f>
        <v>4.3037436140414851</v>
      </c>
      <c r="H120">
        <f t="shared" ca="1" si="22"/>
        <v>108.70959825024501</v>
      </c>
      <c r="I120">
        <f t="shared" ca="1" si="23"/>
        <v>100.10211102216205</v>
      </c>
      <c r="J120">
        <f t="shared" ca="1" si="32"/>
        <v>102.4325</v>
      </c>
      <c r="K120">
        <f t="shared" ca="1" si="33"/>
        <v>1.6355809365482352</v>
      </c>
      <c r="L120">
        <f t="shared" ca="1" si="34"/>
        <v>105.70366187309648</v>
      </c>
      <c r="M120">
        <f t="shared" ca="1" si="35"/>
        <v>99.16133812690353</v>
      </c>
      <c r="N120">
        <f t="shared" ca="1" si="24"/>
        <v>0.84999999999999432</v>
      </c>
      <c r="O120">
        <f t="shared" ca="1" si="25"/>
        <v>0.84999999999999432</v>
      </c>
      <c r="P120">
        <f t="shared" ca="1" si="26"/>
        <v>0</v>
      </c>
      <c r="Q120">
        <f t="shared" ca="1" si="30"/>
        <v>0.48616982503931261</v>
      </c>
      <c r="R120">
        <f t="shared" ca="1" si="31"/>
        <v>0.30196974619366229</v>
      </c>
      <c r="S120">
        <f t="shared" ca="1" si="28"/>
        <v>1.6099951441079705</v>
      </c>
      <c r="T120">
        <f t="shared" ca="1" si="29"/>
        <v>61.685752471322147</v>
      </c>
      <c r="U120">
        <f>70</f>
        <v>70</v>
      </c>
      <c r="V120">
        <f>30</f>
        <v>30</v>
      </c>
      <c r="W120">
        <f t="shared" ca="1" si="27"/>
        <v>103.50328314195434</v>
      </c>
      <c r="X120">
        <f t="shared" ca="1" si="37"/>
        <v>102.63071046738931</v>
      </c>
      <c r="Y120">
        <f t="shared" ca="1" si="36"/>
        <v>0.88585239674905836</v>
      </c>
      <c r="Z120">
        <f t="shared" ca="1" si="38"/>
        <v>0.59932815542254203</v>
      </c>
      <c r="AA120">
        <f t="shared" ca="1" si="39"/>
        <v>0.28652424132651633</v>
      </c>
      <c r="AB120">
        <f t="shared" ca="1" si="40"/>
        <v>104.9965</v>
      </c>
    </row>
    <row r="121" spans="1:28" x14ac:dyDescent="0.25">
      <c r="A121" s="21">
        <f t="shared" ca="1" si="20"/>
        <v>45873</v>
      </c>
      <c r="B121" vm="354">
        <f ca="1"/>
        <v>45877</v>
      </c>
      <c r="C121" vm="355">
        <f ca="1"/>
        <v>104.48</v>
      </c>
      <c r="D121" vm="356">
        <f ca="1"/>
        <v>2796477</v>
      </c>
      <c r="E121">
        <f t="shared" ca="1" si="21"/>
        <v>292175916.96000004</v>
      </c>
      <c r="F121">
        <f ca="1">SUM($E$2:E121)/SUM($D$2:D121)</f>
        <v>104.40646529865791</v>
      </c>
      <c r="G121">
        <f ca="1">_xlfn.STDEV.P($C$2:C121)</f>
        <v>4.2857826970564989</v>
      </c>
      <c r="H121">
        <f t="shared" ca="1" si="22"/>
        <v>108.69224799571441</v>
      </c>
      <c r="I121">
        <f t="shared" ca="1" si="23"/>
        <v>100.1206826016014</v>
      </c>
      <c r="J121">
        <f t="shared" ca="1" si="32"/>
        <v>102.627</v>
      </c>
      <c r="K121">
        <f t="shared" ca="1" si="33"/>
        <v>1.6362379829481131</v>
      </c>
      <c r="L121">
        <f t="shared" ca="1" si="34"/>
        <v>105.89947596589622</v>
      </c>
      <c r="M121">
        <f t="shared" ca="1" si="35"/>
        <v>99.354524034103775</v>
      </c>
      <c r="N121">
        <f t="shared" ca="1" si="24"/>
        <v>-0.51999999999999602</v>
      </c>
      <c r="O121">
        <f t="shared" ca="1" si="25"/>
        <v>0</v>
      </c>
      <c r="P121">
        <f t="shared" ca="1" si="26"/>
        <v>0.51999999999999602</v>
      </c>
      <c r="Q121">
        <f t="shared" ca="1" si="30"/>
        <v>0.45144340896507595</v>
      </c>
      <c r="R121">
        <f t="shared" ca="1" si="31"/>
        <v>0.31754333575125759</v>
      </c>
      <c r="S121">
        <f t="shared" ca="1" si="28"/>
        <v>1.4216749594099711</v>
      </c>
      <c r="T121">
        <f t="shared" ca="1" si="29"/>
        <v>58.706266664142042</v>
      </c>
      <c r="U121">
        <f>70</f>
        <v>70</v>
      </c>
      <c r="V121">
        <f>30</f>
        <v>30</v>
      </c>
      <c r="W121">
        <f t="shared" ca="1" si="27"/>
        <v>103.65354727396138</v>
      </c>
      <c r="X121">
        <f t="shared" ca="1" si="37"/>
        <v>102.76769487721232</v>
      </c>
      <c r="Y121">
        <f t="shared" ca="1" si="36"/>
        <v>0.85744360476502379</v>
      </c>
      <c r="Z121">
        <f t="shared" ca="1" si="38"/>
        <v>0.65095124529103843</v>
      </c>
      <c r="AA121">
        <f t="shared" ca="1" si="39"/>
        <v>0.20649235947398537</v>
      </c>
      <c r="AB121">
        <f t="shared" ca="1" si="40"/>
        <v>104.96510000000001</v>
      </c>
    </row>
    <row r="122" spans="1:28" x14ac:dyDescent="0.25">
      <c r="A122" s="21">
        <f t="shared" ca="1" si="20"/>
        <v>45880</v>
      </c>
      <c r="B122" vm="357">
        <f ca="1"/>
        <v>45880</v>
      </c>
      <c r="C122" vm="358">
        <f ca="1"/>
        <v>104.12</v>
      </c>
      <c r="D122" vm="359">
        <f ca="1"/>
        <v>2357182</v>
      </c>
      <c r="E122">
        <f t="shared" ca="1" si="21"/>
        <v>245429789.84</v>
      </c>
      <c r="F122">
        <f ca="1">SUM($E$2:E122)/SUM($D$2:D122)</f>
        <v>104.40449030116874</v>
      </c>
      <c r="G122">
        <f ca="1">_xlfn.STDEV.P($C$2:C122)</f>
        <v>4.2681034942953913</v>
      </c>
      <c r="H122">
        <f t="shared" ca="1" si="22"/>
        <v>108.67259379546412</v>
      </c>
      <c r="I122">
        <f t="shared" ca="1" si="23"/>
        <v>100.13638680687335</v>
      </c>
      <c r="J122">
        <f t="shared" ca="1" si="32"/>
        <v>102.7825</v>
      </c>
      <c r="K122">
        <f t="shared" ca="1" si="33"/>
        <v>1.6221975835267435</v>
      </c>
      <c r="L122">
        <f t="shared" ca="1" si="34"/>
        <v>106.02689516705348</v>
      </c>
      <c r="M122">
        <f t="shared" ca="1" si="35"/>
        <v>99.538104832946516</v>
      </c>
      <c r="N122">
        <f t="shared" ca="1" si="24"/>
        <v>-0.35999999999999943</v>
      </c>
      <c r="O122">
        <f t="shared" ca="1" si="25"/>
        <v>0</v>
      </c>
      <c r="P122">
        <f t="shared" ca="1" si="26"/>
        <v>0.35999999999999943</v>
      </c>
      <c r="Q122">
        <f t="shared" ca="1" si="30"/>
        <v>0.41919745118185625</v>
      </c>
      <c r="R122">
        <f t="shared" ca="1" si="31"/>
        <v>0.32057595462616773</v>
      </c>
      <c r="S122">
        <f t="shared" ca="1" si="28"/>
        <v>1.3076384711095805</v>
      </c>
      <c r="T122">
        <f t="shared" ca="1" si="29"/>
        <v>56.665655711695145</v>
      </c>
      <c r="U122">
        <f>70</f>
        <v>70</v>
      </c>
      <c r="V122">
        <f>30</f>
        <v>30</v>
      </c>
      <c r="W122">
        <f t="shared" ca="1" si="27"/>
        <v>103.72530923181347</v>
      </c>
      <c r="X122">
        <f t="shared" ca="1" si="37"/>
        <v>102.86786562704845</v>
      </c>
      <c r="Y122">
        <f t="shared" ca="1" si="36"/>
        <v>0.79111257281439862</v>
      </c>
      <c r="Z122">
        <f t="shared" ca="1" si="38"/>
        <v>0.67898351079571051</v>
      </c>
      <c r="AA122">
        <f t="shared" ca="1" si="39"/>
        <v>0.11212906201868811</v>
      </c>
      <c r="AB122">
        <f t="shared" ca="1" si="40"/>
        <v>104.92820000000002</v>
      </c>
    </row>
    <row r="123" spans="1:28" x14ac:dyDescent="0.25">
      <c r="A123" s="21">
        <f t="shared" ca="1" si="20"/>
        <v>45880</v>
      </c>
      <c r="B123" vm="360">
        <f ca="1"/>
        <v>45881</v>
      </c>
      <c r="C123" vm="361">
        <f ca="1"/>
        <v>103.69</v>
      </c>
      <c r="D123" vm="362">
        <f ca="1"/>
        <v>2578774</v>
      </c>
      <c r="E123">
        <f t="shared" ca="1" si="21"/>
        <v>267393076.06</v>
      </c>
      <c r="F123">
        <f ca="1">SUM($E$2:E123)/SUM($D$2:D123)</f>
        <v>104.39914160828401</v>
      </c>
      <c r="G123">
        <f ca="1">_xlfn.STDEV.P($C$2:C123)</f>
        <v>4.2510341439070158</v>
      </c>
      <c r="H123">
        <f t="shared" ca="1" si="22"/>
        <v>108.65017575219103</v>
      </c>
      <c r="I123">
        <f t="shared" ca="1" si="23"/>
        <v>100.14810746437699</v>
      </c>
      <c r="J123">
        <f t="shared" ca="1" si="32"/>
        <v>102.9695</v>
      </c>
      <c r="K123">
        <f t="shared" ca="1" si="33"/>
        <v>1.4885544913385658</v>
      </c>
      <c r="L123">
        <f t="shared" ca="1" si="34"/>
        <v>105.94660898267713</v>
      </c>
      <c r="M123">
        <f t="shared" ca="1" si="35"/>
        <v>99.992391017322859</v>
      </c>
      <c r="N123">
        <f t="shared" ca="1" si="24"/>
        <v>-0.43000000000000682</v>
      </c>
      <c r="O123">
        <f t="shared" ca="1" si="25"/>
        <v>0</v>
      </c>
      <c r="P123">
        <f t="shared" ca="1" si="26"/>
        <v>0.43000000000000682</v>
      </c>
      <c r="Q123">
        <f t="shared" ca="1" si="30"/>
        <v>0.38925477609743797</v>
      </c>
      <c r="R123">
        <f t="shared" ca="1" si="31"/>
        <v>0.32839195786715625</v>
      </c>
      <c r="S123">
        <f t="shared" ca="1" si="28"/>
        <v>1.1853358974609922</v>
      </c>
      <c r="T123">
        <f t="shared" ca="1" si="29"/>
        <v>54.240444173280693</v>
      </c>
      <c r="U123">
        <f>70</f>
        <v>70</v>
      </c>
      <c r="V123">
        <f>30</f>
        <v>30</v>
      </c>
      <c r="W123">
        <f t="shared" ca="1" si="27"/>
        <v>103.71987704230371</v>
      </c>
      <c r="X123">
        <f t="shared" ca="1" si="37"/>
        <v>102.92876446948931</v>
      </c>
      <c r="Y123">
        <f t="shared" ca="1" si="36"/>
        <v>0.72773512529964535</v>
      </c>
      <c r="Z123">
        <f t="shared" ca="1" si="38"/>
        <v>0.68873383369649754</v>
      </c>
      <c r="AA123">
        <f t="shared" ca="1" si="39"/>
        <v>3.9001291603147803E-2</v>
      </c>
      <c r="AB123">
        <f t="shared" ca="1" si="40"/>
        <v>104.89020000000001</v>
      </c>
    </row>
    <row r="124" spans="1:28" x14ac:dyDescent="0.25">
      <c r="A124" s="21">
        <f t="shared" ca="1" si="20"/>
        <v>45880</v>
      </c>
      <c r="B124" vm="363">
        <f ca="1"/>
        <v>45882</v>
      </c>
      <c r="C124" vm="364">
        <f ca="1"/>
        <v>103.66</v>
      </c>
      <c r="D124" vm="365">
        <f ca="1"/>
        <v>2728415</v>
      </c>
      <c r="E124">
        <f t="shared" ca="1" si="21"/>
        <v>282827498.89999998</v>
      </c>
      <c r="F124">
        <f ca="1">SUM($E$2:E124)/SUM($D$2:D124)</f>
        <v>104.39333329712052</v>
      </c>
      <c r="G124">
        <f ca="1">_xlfn.STDEV.P($C$2:C124)</f>
        <v>4.2342078832963388</v>
      </c>
      <c r="H124">
        <f t="shared" ca="1" si="22"/>
        <v>108.62754118041686</v>
      </c>
      <c r="I124">
        <f t="shared" ca="1" si="23"/>
        <v>100.15912541382419</v>
      </c>
      <c r="J124">
        <f t="shared" ca="1" si="32"/>
        <v>103.12950000000001</v>
      </c>
      <c r="K124">
        <f t="shared" ca="1" si="33"/>
        <v>1.3720383414928021</v>
      </c>
      <c r="L124">
        <f t="shared" ca="1" si="34"/>
        <v>105.87357668298561</v>
      </c>
      <c r="M124">
        <f t="shared" ca="1" si="35"/>
        <v>100.3854233170144</v>
      </c>
      <c r="N124">
        <f t="shared" ca="1" si="24"/>
        <v>-3.0000000000001137E-2</v>
      </c>
      <c r="O124">
        <f t="shared" ca="1" si="25"/>
        <v>0</v>
      </c>
      <c r="P124">
        <f t="shared" ca="1" si="26"/>
        <v>3.0000000000001137E-2</v>
      </c>
      <c r="Q124">
        <f t="shared" ca="1" si="30"/>
        <v>0.36145086351904954</v>
      </c>
      <c r="R124">
        <f t="shared" ca="1" si="31"/>
        <v>0.30707824659093091</v>
      </c>
      <c r="S124">
        <f t="shared" ca="1" si="28"/>
        <v>1.1770643721323255</v>
      </c>
      <c r="T124">
        <f t="shared" ca="1" si="29"/>
        <v>54.066585591102658</v>
      </c>
      <c r="U124">
        <f>70</f>
        <v>70</v>
      </c>
      <c r="V124">
        <f>30</f>
        <v>30</v>
      </c>
      <c r="W124">
        <f t="shared" ca="1" si="27"/>
        <v>103.7106651896416</v>
      </c>
      <c r="X124">
        <f t="shared" ca="1" si="37"/>
        <v>102.98293006434196</v>
      </c>
      <c r="Y124">
        <f t="shared" ca="1" si="36"/>
        <v>0.60596948835446085</v>
      </c>
      <c r="Z124">
        <f t="shared" ca="1" si="38"/>
        <v>0.67218096462809018</v>
      </c>
      <c r="AA124">
        <f t="shared" ca="1" si="39"/>
        <v>-6.6211476273629333E-2</v>
      </c>
      <c r="AB124">
        <f t="shared" ca="1" si="40"/>
        <v>104.84200000000001</v>
      </c>
    </row>
    <row r="125" spans="1:28" x14ac:dyDescent="0.25">
      <c r="A125" s="21">
        <f t="shared" ca="1" si="20"/>
        <v>45880</v>
      </c>
      <c r="B125" vm="366">
        <f ca="1"/>
        <v>45883</v>
      </c>
      <c r="C125" vm="367">
        <f ca="1"/>
        <v>102.86</v>
      </c>
      <c r="D125" vm="368">
        <f ca="1"/>
        <v>2171761</v>
      </c>
      <c r="E125">
        <f t="shared" ca="1" si="21"/>
        <v>223387336.46000001</v>
      </c>
      <c r="F125">
        <f ca="1">SUM($E$2:E125)/SUM($D$2:D125)</f>
        <v>104.38380199222706</v>
      </c>
      <c r="G125">
        <f ca="1">_xlfn.STDEV.P($C$2:C125)</f>
        <v>4.2192654190485301</v>
      </c>
      <c r="H125">
        <f t="shared" ca="1" si="22"/>
        <v>108.60306741127559</v>
      </c>
      <c r="I125">
        <f t="shared" ca="1" si="23"/>
        <v>100.16453657317854</v>
      </c>
      <c r="J125">
        <f t="shared" ca="1" si="32"/>
        <v>103.24250000000002</v>
      </c>
      <c r="K125">
        <f t="shared" ca="1" si="33"/>
        <v>1.2394008527043268</v>
      </c>
      <c r="L125">
        <f t="shared" ca="1" si="34"/>
        <v>105.72130170540868</v>
      </c>
      <c r="M125">
        <f t="shared" ca="1" si="35"/>
        <v>100.76369829459136</v>
      </c>
      <c r="N125">
        <f t="shared" ca="1" si="24"/>
        <v>-0.79999999999999716</v>
      </c>
      <c r="O125">
        <f t="shared" ca="1" si="25"/>
        <v>0</v>
      </c>
      <c r="P125">
        <f t="shared" ca="1" si="26"/>
        <v>0.79999999999999716</v>
      </c>
      <c r="Q125">
        <f t="shared" ca="1" si="30"/>
        <v>0.33563294469626026</v>
      </c>
      <c r="R125">
        <f t="shared" ca="1" si="31"/>
        <v>0.34228694326300702</v>
      </c>
      <c r="S125">
        <f t="shared" ca="1" si="28"/>
        <v>0.98056017415296515</v>
      </c>
      <c r="T125">
        <f t="shared" ca="1" si="29"/>
        <v>49.50923415252079</v>
      </c>
      <c r="U125">
        <f>70</f>
        <v>70</v>
      </c>
      <c r="V125">
        <f>30</f>
        <v>30</v>
      </c>
      <c r="W125">
        <f t="shared" ca="1" si="27"/>
        <v>103.57979362200443</v>
      </c>
      <c r="X125">
        <f t="shared" ca="1" si="37"/>
        <v>102.97382413364997</v>
      </c>
      <c r="Y125">
        <f t="shared" ca="1" si="36"/>
        <v>0.3369397786298407</v>
      </c>
      <c r="Z125">
        <f t="shared" ca="1" si="38"/>
        <v>0.60513272742844026</v>
      </c>
      <c r="AA125">
        <f t="shared" ca="1" si="39"/>
        <v>-0.26819294879859956</v>
      </c>
      <c r="AB125">
        <f t="shared" ca="1" si="40"/>
        <v>104.79260000000001</v>
      </c>
    </row>
    <row r="126" spans="1:28" x14ac:dyDescent="0.25">
      <c r="A126" s="21">
        <f t="shared" ca="1" si="20"/>
        <v>45880</v>
      </c>
      <c r="B126" vm="369">
        <f ca="1"/>
        <v>45884</v>
      </c>
      <c r="C126" vm="370">
        <f ca="1"/>
        <v>100.77</v>
      </c>
      <c r="D126" vm="371">
        <f ca="1"/>
        <v>3098753</v>
      </c>
      <c r="E126">
        <f t="shared" ca="1" si="21"/>
        <v>312261339.81</v>
      </c>
      <c r="F126">
        <f ca="1">SUM($E$2:E126)/SUM($D$2:D126)</f>
        <v>104.35203177676972</v>
      </c>
      <c r="G126">
        <f ca="1">_xlfn.STDEV.P($C$2:C126)</f>
        <v>4.2144997209158754</v>
      </c>
      <c r="H126">
        <f t="shared" ca="1" si="22"/>
        <v>108.5665314976856</v>
      </c>
      <c r="I126">
        <f t="shared" ca="1" si="23"/>
        <v>100.13753205585384</v>
      </c>
      <c r="J126">
        <f t="shared" ca="1" si="32"/>
        <v>103.227</v>
      </c>
      <c r="K126">
        <f t="shared" ca="1" si="33"/>
        <v>1.2694428947998793</v>
      </c>
      <c r="L126">
        <f t="shared" ca="1" si="34"/>
        <v>105.76588578959976</v>
      </c>
      <c r="M126">
        <f t="shared" ca="1" si="35"/>
        <v>100.68811421040024</v>
      </c>
      <c r="N126">
        <f t="shared" ca="1" si="24"/>
        <v>-2.0900000000000034</v>
      </c>
      <c r="O126">
        <f t="shared" ca="1" si="25"/>
        <v>0</v>
      </c>
      <c r="P126">
        <f t="shared" ca="1" si="26"/>
        <v>2.0900000000000034</v>
      </c>
      <c r="Q126">
        <f t="shared" ca="1" si="30"/>
        <v>0.31165916293224166</v>
      </c>
      <c r="R126">
        <f t="shared" ca="1" si="31"/>
        <v>0.46712359017279248</v>
      </c>
      <c r="S126">
        <f t="shared" ca="1" si="28"/>
        <v>0.66718780530213995</v>
      </c>
      <c r="T126">
        <f t="shared" ca="1" si="29"/>
        <v>40.018755126464427</v>
      </c>
      <c r="U126">
        <f>70</f>
        <v>70</v>
      </c>
      <c r="V126">
        <f>30</f>
        <v>30</v>
      </c>
      <c r="W126">
        <f t="shared" ca="1" si="27"/>
        <v>103.14751768015759</v>
      </c>
      <c r="X126">
        <f t="shared" ca="1" si="37"/>
        <v>102.81057790152775</v>
      </c>
      <c r="Y126">
        <f t="shared" ca="1" si="36"/>
        <v>4.0156504302800045E-2</v>
      </c>
      <c r="Z126">
        <f t="shared" ca="1" si="38"/>
        <v>0.49213748280331227</v>
      </c>
      <c r="AA126">
        <f t="shared" ca="1" si="39"/>
        <v>-0.45198097850051222</v>
      </c>
      <c r="AB126">
        <f t="shared" ca="1" si="40"/>
        <v>104.73200000000001</v>
      </c>
    </row>
    <row r="127" spans="1:28" x14ac:dyDescent="0.25">
      <c r="A127" s="21">
        <f t="shared" ca="1" si="20"/>
        <v>45887</v>
      </c>
      <c r="B127" vm="372">
        <f ca="1"/>
        <v>45887</v>
      </c>
      <c r="C127" vm="373">
        <f ca="1"/>
        <v>99.74</v>
      </c>
      <c r="D127" vm="374">
        <f ca="1"/>
        <v>2789322</v>
      </c>
      <c r="E127">
        <f t="shared" ca="1" si="21"/>
        <v>278206976.27999997</v>
      </c>
      <c r="F127">
        <f ca="1">SUM($E$2:E127)/SUM($D$2:D127)</f>
        <v>104.31582110877277</v>
      </c>
      <c r="G127">
        <f ca="1">_xlfn.STDEV.P($C$2:C127)</f>
        <v>4.2174569130047015</v>
      </c>
      <c r="H127">
        <f t="shared" ca="1" si="22"/>
        <v>108.53327802177746</v>
      </c>
      <c r="I127">
        <f t="shared" ca="1" si="23"/>
        <v>100.09836419576807</v>
      </c>
      <c r="J127">
        <f t="shared" ca="1" si="32"/>
        <v>103.1105</v>
      </c>
      <c r="K127">
        <f t="shared" ca="1" si="33"/>
        <v>1.4719713777251611</v>
      </c>
      <c r="L127">
        <f t="shared" ca="1" si="34"/>
        <v>106.05444275545032</v>
      </c>
      <c r="M127">
        <f t="shared" ca="1" si="35"/>
        <v>100.16655724454968</v>
      </c>
      <c r="N127">
        <f t="shared" ca="1" si="24"/>
        <v>-1.0300000000000011</v>
      </c>
      <c r="O127">
        <f t="shared" ca="1" si="25"/>
        <v>0</v>
      </c>
      <c r="P127">
        <f t="shared" ca="1" si="26"/>
        <v>1.0300000000000011</v>
      </c>
      <c r="Q127">
        <f t="shared" ca="1" si="30"/>
        <v>0.28939779415136729</v>
      </c>
      <c r="R127">
        <f t="shared" ca="1" si="31"/>
        <v>0.50732904801759315</v>
      </c>
      <c r="S127">
        <f t="shared" ca="1" si="28"/>
        <v>0.57043411033174585</v>
      </c>
      <c r="T127">
        <f t="shared" ca="1" si="29"/>
        <v>36.323339297007799</v>
      </c>
      <c r="U127">
        <f>70</f>
        <v>70</v>
      </c>
      <c r="V127">
        <f>30</f>
        <v>30</v>
      </c>
      <c r="W127">
        <f t="shared" ca="1" si="27"/>
        <v>102.62328419090257</v>
      </c>
      <c r="X127">
        <f t="shared" ca="1" si="37"/>
        <v>102.58312768659977</v>
      </c>
      <c r="Y127">
        <f t="shared" ca="1" si="36"/>
        <v>-8.4333599563720441E-2</v>
      </c>
      <c r="Z127">
        <f t="shared" ca="1" si="38"/>
        <v>0.37684326632990578</v>
      </c>
      <c r="AA127">
        <f t="shared" ca="1" si="39"/>
        <v>-0.46117686589362622</v>
      </c>
      <c r="AB127">
        <f t="shared" ca="1" si="40"/>
        <v>104.67390000000002</v>
      </c>
    </row>
    <row r="128" spans="1:28" x14ac:dyDescent="0.25">
      <c r="A128" s="21">
        <f t="shared" ca="1" si="20"/>
        <v>45887</v>
      </c>
      <c r="B128" vm="375">
        <f ca="1"/>
        <v>45888</v>
      </c>
      <c r="C128" vm="376">
        <f ca="1"/>
        <v>101.1</v>
      </c>
      <c r="D128" vm="377">
        <f ca="1"/>
        <v>3948355</v>
      </c>
      <c r="E128">
        <f t="shared" ca="1" si="21"/>
        <v>399178690.5</v>
      </c>
      <c r="F128">
        <f ca="1">SUM($E$2:E128)/SUM($D$2:D128)</f>
        <v>104.2804740209092</v>
      </c>
      <c r="G128">
        <f ca="1">_xlfn.STDEV.P($C$2:C128)</f>
        <v>4.2102942819185323</v>
      </c>
      <c r="H128">
        <f t="shared" ca="1" si="22"/>
        <v>108.49076830282773</v>
      </c>
      <c r="I128">
        <f t="shared" ca="1" si="23"/>
        <v>100.07017973899066</v>
      </c>
      <c r="J128">
        <f t="shared" ca="1" si="32"/>
        <v>102.98600000000002</v>
      </c>
      <c r="K128">
        <f t="shared" ca="1" si="33"/>
        <v>1.5333053391800016</v>
      </c>
      <c r="L128">
        <f t="shared" ca="1" si="34"/>
        <v>106.05261067836003</v>
      </c>
      <c r="M128">
        <f t="shared" ca="1" si="35"/>
        <v>99.919389321640011</v>
      </c>
      <c r="N128">
        <f t="shared" ca="1" si="24"/>
        <v>1.3599999999999994</v>
      </c>
      <c r="O128">
        <f t="shared" ca="1" si="25"/>
        <v>1.3599999999999994</v>
      </c>
      <c r="P128">
        <f t="shared" ca="1" si="26"/>
        <v>0</v>
      </c>
      <c r="Q128">
        <f t="shared" ca="1" si="30"/>
        <v>0.36586938028341243</v>
      </c>
      <c r="R128">
        <f t="shared" ca="1" si="31"/>
        <v>0.47109125887347936</v>
      </c>
      <c r="S128">
        <f t="shared" ca="1" si="28"/>
        <v>0.77664226069130637</v>
      </c>
      <c r="T128">
        <f t="shared" ca="1" si="29"/>
        <v>43.714048566485658</v>
      </c>
      <c r="U128">
        <f>70</f>
        <v>70</v>
      </c>
      <c r="V128">
        <f>30</f>
        <v>30</v>
      </c>
      <c r="W128">
        <f t="shared" ca="1" si="27"/>
        <v>102.38893277691756</v>
      </c>
      <c r="X128">
        <f t="shared" ca="1" si="37"/>
        <v>102.47326637648128</v>
      </c>
      <c r="Y128">
        <f t="shared" ca="1" si="36"/>
        <v>-0.12825794191424222</v>
      </c>
      <c r="Z128">
        <f t="shared" ca="1" si="38"/>
        <v>0.27582302468107622</v>
      </c>
      <c r="AA128">
        <f t="shared" ca="1" si="39"/>
        <v>-0.40408096659531845</v>
      </c>
      <c r="AB128">
        <f t="shared" ca="1" si="40"/>
        <v>104.61030000000002</v>
      </c>
    </row>
    <row r="129" spans="1:28" x14ac:dyDescent="0.25">
      <c r="A129" s="21">
        <f t="shared" ca="1" si="20"/>
        <v>45887</v>
      </c>
      <c r="B129" vm="378">
        <f ca="1"/>
        <v>45889</v>
      </c>
      <c r="C129" vm="379">
        <f ca="1"/>
        <v>101.76</v>
      </c>
      <c r="D129" vm="380">
        <f ca="1"/>
        <v>3216440</v>
      </c>
      <c r="E129">
        <f t="shared" ca="1" si="21"/>
        <v>327304934.40000004</v>
      </c>
      <c r="F129">
        <f ca="1">SUM($E$2:E129)/SUM($D$2:D129)</f>
        <v>104.25810577941701</v>
      </c>
      <c r="G129">
        <f ca="1">_xlfn.STDEV.P($C$2:C129)</f>
        <v>4.1996279647993342</v>
      </c>
      <c r="H129">
        <f t="shared" ca="1" si="22"/>
        <v>108.45773374421634</v>
      </c>
      <c r="I129">
        <f t="shared" ca="1" si="23"/>
        <v>100.05847781461767</v>
      </c>
      <c r="J129">
        <f t="shared" ca="1" si="32"/>
        <v>102.94649999999999</v>
      </c>
      <c r="K129">
        <f t="shared" ca="1" si="33"/>
        <v>1.5551485798029598</v>
      </c>
      <c r="L129">
        <f t="shared" ca="1" si="34"/>
        <v>106.05679715960591</v>
      </c>
      <c r="M129">
        <f t="shared" ca="1" si="35"/>
        <v>99.836202840394066</v>
      </c>
      <c r="N129">
        <f t="shared" ca="1" si="24"/>
        <v>0.6600000000000108</v>
      </c>
      <c r="O129">
        <f t="shared" ca="1" si="25"/>
        <v>0.6600000000000108</v>
      </c>
      <c r="P129">
        <f t="shared" ca="1" si="26"/>
        <v>0</v>
      </c>
      <c r="Q129">
        <f t="shared" ca="1" si="30"/>
        <v>0.38687871026316945</v>
      </c>
      <c r="R129">
        <f t="shared" ca="1" si="31"/>
        <v>0.43744188323965938</v>
      </c>
      <c r="S129">
        <f t="shared" ca="1" si="28"/>
        <v>0.88441167863940429</v>
      </c>
      <c r="T129">
        <f t="shared" ca="1" si="29"/>
        <v>46.933039561608595</v>
      </c>
      <c r="U129">
        <f>70</f>
        <v>70</v>
      </c>
      <c r="V129">
        <f>30</f>
        <v>30</v>
      </c>
      <c r="W129">
        <f t="shared" ca="1" si="27"/>
        <v>102.29217388816102</v>
      </c>
      <c r="X129">
        <f t="shared" ca="1" si="37"/>
        <v>102.42043183007526</v>
      </c>
      <c r="Y129">
        <f t="shared" ca="1" si="36"/>
        <v>-0.18195071222403669</v>
      </c>
      <c r="Z129">
        <f t="shared" ca="1" si="38"/>
        <v>0.18426827730005366</v>
      </c>
      <c r="AA129">
        <f t="shared" ca="1" si="39"/>
        <v>-0.36621898952409038</v>
      </c>
      <c r="AB129">
        <f t="shared" ca="1" si="40"/>
        <v>104.54900000000002</v>
      </c>
    </row>
    <row r="130" spans="1:28" x14ac:dyDescent="0.25">
      <c r="A130" s="21">
        <f t="shared" ca="1" si="20"/>
        <v>45887</v>
      </c>
      <c r="B130" vm="381">
        <f ca="1"/>
        <v>45890</v>
      </c>
      <c r="C130" vm="382">
        <f ca="1"/>
        <v>101.5</v>
      </c>
      <c r="D130" vm="383">
        <f ca="1"/>
        <v>2282712</v>
      </c>
      <c r="E130">
        <f t="shared" ca="1" si="21"/>
        <v>231695268</v>
      </c>
      <c r="F130">
        <f ca="1">SUM($E$2:E130)/SUM($D$2:D130)</f>
        <v>104.2408430504484</v>
      </c>
      <c r="G130">
        <f ca="1">_xlfn.STDEV.P($C$2:C130)</f>
        <v>4.1902611269466821</v>
      </c>
      <c r="H130">
        <f t="shared" ca="1" si="22"/>
        <v>108.43110417739508</v>
      </c>
      <c r="I130">
        <f t="shared" ca="1" si="23"/>
        <v>100.05058192350172</v>
      </c>
      <c r="J130">
        <f t="shared" ca="1" si="32"/>
        <v>102.91899999999998</v>
      </c>
      <c r="K130">
        <f t="shared" ca="1" si="33"/>
        <v>1.5765515332021689</v>
      </c>
      <c r="L130">
        <f t="shared" ca="1" si="34"/>
        <v>106.07210306640432</v>
      </c>
      <c r="M130">
        <f t="shared" ca="1" si="35"/>
        <v>99.765896933595641</v>
      </c>
      <c r="N130">
        <f t="shared" ca="1" si="24"/>
        <v>-0.26000000000000512</v>
      </c>
      <c r="O130">
        <f t="shared" ca="1" si="25"/>
        <v>0</v>
      </c>
      <c r="P130">
        <f t="shared" ca="1" si="26"/>
        <v>0.26000000000000512</v>
      </c>
      <c r="Q130">
        <f t="shared" ca="1" si="30"/>
        <v>0.35924451667294305</v>
      </c>
      <c r="R130">
        <f t="shared" ca="1" si="31"/>
        <v>0.42476746300825546</v>
      </c>
      <c r="S130">
        <f t="shared" ca="1" si="28"/>
        <v>0.84574396101040594</v>
      </c>
      <c r="T130">
        <f t="shared" ca="1" si="29"/>
        <v>45.821304518716929</v>
      </c>
      <c r="U130">
        <f>70</f>
        <v>70</v>
      </c>
      <c r="V130">
        <f>30</f>
        <v>30</v>
      </c>
      <c r="W130">
        <f t="shared" ca="1" si="27"/>
        <v>102.17030098229009</v>
      </c>
      <c r="X130">
        <f t="shared" ca="1" si="37"/>
        <v>102.35225169451412</v>
      </c>
      <c r="Y130">
        <f t="shared" ca="1" si="36"/>
        <v>-0.20997837315366041</v>
      </c>
      <c r="Z130">
        <f t="shared" ca="1" si="38"/>
        <v>0.10541894720931083</v>
      </c>
      <c r="AA130">
        <f t="shared" ca="1" si="39"/>
        <v>-0.31539732036297125</v>
      </c>
      <c r="AB130">
        <f t="shared" ca="1" si="40"/>
        <v>104.47630000000001</v>
      </c>
    </row>
    <row r="131" spans="1:28" x14ac:dyDescent="0.25">
      <c r="A131" s="21">
        <f t="shared" ref="A131:A194" ca="1" si="41">B131 - WEEKDAY(B131, 2) + 1</f>
        <v>45887</v>
      </c>
      <c r="B131" vm="384">
        <f ca="1"/>
        <v>45891</v>
      </c>
      <c r="C131" vm="385">
        <f ca="1"/>
        <v>101.65</v>
      </c>
      <c r="D131" vm="386">
        <f ca="1"/>
        <v>2753050</v>
      </c>
      <c r="E131">
        <f t="shared" ref="E131:E194" ca="1" si="42">C131*D131</f>
        <v>279847532.5</v>
      </c>
      <c r="F131">
        <f ca="1">SUM($E$2:E131)/SUM($D$2:D131)</f>
        <v>104.22143255376284</v>
      </c>
      <c r="G131">
        <f ca="1">_xlfn.STDEV.P($C$2:C131)</f>
        <v>4.1801852001666511</v>
      </c>
      <c r="H131">
        <f t="shared" ref="H131:H194" ca="1" si="43">F131 + G131</f>
        <v>108.40161775392949</v>
      </c>
      <c r="I131">
        <f t="shared" ref="I131:I194" ca="1" si="44">F131 - G131</f>
        <v>100.04124735359619</v>
      </c>
      <c r="J131">
        <f t="shared" ca="1" si="32"/>
        <v>102.88849999999999</v>
      </c>
      <c r="K131">
        <f t="shared" ca="1" si="33"/>
        <v>1.5957551421456282</v>
      </c>
      <c r="L131">
        <f t="shared" ca="1" si="34"/>
        <v>106.08001028429125</v>
      </c>
      <c r="M131">
        <f t="shared" ca="1" si="35"/>
        <v>99.696989715708739</v>
      </c>
      <c r="N131">
        <f t="shared" ca="1" si="24"/>
        <v>0.15000000000000568</v>
      </c>
      <c r="O131">
        <f t="shared" ca="1" si="25"/>
        <v>0.15000000000000568</v>
      </c>
      <c r="P131">
        <f t="shared" ca="1" si="26"/>
        <v>0</v>
      </c>
      <c r="Q131">
        <f t="shared" ca="1" si="30"/>
        <v>0.34429847976773326</v>
      </c>
      <c r="R131">
        <f t="shared" ca="1" si="31"/>
        <v>0.39442692993623718</v>
      </c>
      <c r="S131">
        <f t="shared" ca="1" si="28"/>
        <v>0.87290814504829151</v>
      </c>
      <c r="T131">
        <f t="shared" ca="1" si="29"/>
        <v>46.607098557189744</v>
      </c>
      <c r="U131">
        <f>70</f>
        <v>70</v>
      </c>
      <c r="V131">
        <f>30</f>
        <v>30</v>
      </c>
      <c r="W131">
        <f t="shared" ca="1" si="27"/>
        <v>102.09025467732238</v>
      </c>
      <c r="X131">
        <f t="shared" ca="1" si="37"/>
        <v>102.30023305047604</v>
      </c>
      <c r="Y131">
        <f t="shared" ca="1" si="36"/>
        <v>-0.3651569864386488</v>
      </c>
      <c r="Z131">
        <f t="shared" ca="1" si="38"/>
        <v>1.13037604797189E-2</v>
      </c>
      <c r="AA131">
        <f t="shared" ca="1" si="39"/>
        <v>-0.37646074691836773</v>
      </c>
      <c r="AB131">
        <f t="shared" ca="1" si="40"/>
        <v>104.38690000000003</v>
      </c>
    </row>
    <row r="132" spans="1:28" x14ac:dyDescent="0.25">
      <c r="A132" s="21">
        <f t="shared" ca="1" si="41"/>
        <v>45894</v>
      </c>
      <c r="B132" vm="387">
        <f ca="1"/>
        <v>45894</v>
      </c>
      <c r="C132" vm="302">
        <f ca="1"/>
        <v>99.95</v>
      </c>
      <c r="D132" vm="388">
        <f ca="1"/>
        <v>2498894</v>
      </c>
      <c r="E132">
        <f t="shared" ca="1" si="42"/>
        <v>249764455.30000001</v>
      </c>
      <c r="F132">
        <f ca="1">SUM($E$2:E132)/SUM($D$2:D132)</f>
        <v>104.19258164564187</v>
      </c>
      <c r="G132">
        <f ca="1">_xlfn.STDEV.P($C$2:C132)</f>
        <v>4.1806583384815372</v>
      </c>
      <c r="H132">
        <f t="shared" ca="1" si="43"/>
        <v>108.3732399841234</v>
      </c>
      <c r="I132">
        <f t="shared" ca="1" si="44"/>
        <v>100.01192330716033</v>
      </c>
      <c r="J132">
        <f t="shared" ca="1" si="32"/>
        <v>102.83699999999999</v>
      </c>
      <c r="K132">
        <f t="shared" ca="1" si="33"/>
        <v>1.6752316414847179</v>
      </c>
      <c r="L132">
        <f t="shared" ca="1" si="34"/>
        <v>106.18746328296942</v>
      </c>
      <c r="M132">
        <f t="shared" ca="1" si="35"/>
        <v>99.48653671703056</v>
      </c>
      <c r="N132">
        <f t="shared" ref="N132:N195" ca="1" si="45">C132-C131</f>
        <v>-1.7000000000000028</v>
      </c>
      <c r="O132">
        <f t="shared" ref="O132:O195" ca="1" si="46">MAX(N132,0)</f>
        <v>0</v>
      </c>
      <c r="P132">
        <f t="shared" ref="P132:P195" ca="1" si="47">MAX(-N132,0)</f>
        <v>1.7000000000000028</v>
      </c>
      <c r="Q132">
        <f t="shared" ca="1" si="30"/>
        <v>0.31970573121289514</v>
      </c>
      <c r="R132">
        <f t="shared" ca="1" si="31"/>
        <v>0.48768214922650616</v>
      </c>
      <c r="S132">
        <f t="shared" ca="1" si="28"/>
        <v>0.65556168442902429</v>
      </c>
      <c r="T132">
        <f t="shared" ca="1" si="29"/>
        <v>39.597539046400229</v>
      </c>
      <c r="U132">
        <f>70</f>
        <v>70</v>
      </c>
      <c r="V132">
        <f>30</f>
        <v>30</v>
      </c>
      <c r="W132">
        <f t="shared" ca="1" si="27"/>
        <v>101.76098472696509</v>
      </c>
      <c r="X132">
        <f t="shared" ca="1" si="37"/>
        <v>102.12614171340374</v>
      </c>
      <c r="Y132">
        <f t="shared" ca="1" si="36"/>
        <v>-0.50092191722959001</v>
      </c>
      <c r="Z132">
        <f t="shared" ca="1" si="38"/>
        <v>-9.1141375062142899E-2</v>
      </c>
      <c r="AA132">
        <f t="shared" ca="1" si="39"/>
        <v>-0.40978054216744708</v>
      </c>
      <c r="AB132">
        <f t="shared" ca="1" si="40"/>
        <v>104.28580000000002</v>
      </c>
    </row>
    <row r="133" spans="1:28" x14ac:dyDescent="0.25">
      <c r="A133" s="21">
        <f t="shared" ca="1" si="41"/>
        <v>45894</v>
      </c>
      <c r="B133" vm="389">
        <f ca="1"/>
        <v>45895</v>
      </c>
      <c r="C133" vm="390">
        <f ca="1"/>
        <v>99.72</v>
      </c>
      <c r="D133" vm="391">
        <f ca="1"/>
        <v>3309463</v>
      </c>
      <c r="E133">
        <f t="shared" ca="1" si="42"/>
        <v>330019650.36000001</v>
      </c>
      <c r="F133">
        <f ca="1">SUM($E$2:E133)/SUM($D$2:D133)</f>
        <v>104.15292771163551</v>
      </c>
      <c r="G133">
        <f ca="1">_xlfn.STDEV.P($C$2:C133)</f>
        <v>4.1826721370891589</v>
      </c>
      <c r="H133">
        <f t="shared" ca="1" si="43"/>
        <v>108.33559984872467</v>
      </c>
      <c r="I133">
        <f t="shared" ca="1" si="44"/>
        <v>99.970255574546357</v>
      </c>
      <c r="J133">
        <f t="shared" ca="1" si="32"/>
        <v>102.71099999999998</v>
      </c>
      <c r="K133">
        <f t="shared" ca="1" si="33"/>
        <v>1.8117072495010724</v>
      </c>
      <c r="L133">
        <f t="shared" ca="1" si="34"/>
        <v>106.33441449900212</v>
      </c>
      <c r="M133">
        <f t="shared" ca="1" si="35"/>
        <v>99.087585500997847</v>
      </c>
      <c r="N133">
        <f t="shared" ca="1" si="45"/>
        <v>-0.23000000000000398</v>
      </c>
      <c r="O133">
        <f t="shared" ca="1" si="46"/>
        <v>0</v>
      </c>
      <c r="P133">
        <f t="shared" ca="1" si="47"/>
        <v>0.23000000000000398</v>
      </c>
      <c r="Q133">
        <f t="shared" ca="1" si="30"/>
        <v>0.29686960755483122</v>
      </c>
      <c r="R133">
        <f t="shared" ca="1" si="31"/>
        <v>0.46927628142461314</v>
      </c>
      <c r="S133">
        <f t="shared" ca="1" si="28"/>
        <v>0.63261157511222266</v>
      </c>
      <c r="T133">
        <f t="shared" ca="1" si="29"/>
        <v>38.748443583020538</v>
      </c>
      <c r="U133">
        <f>70</f>
        <v>70</v>
      </c>
      <c r="V133">
        <f>30</f>
        <v>30</v>
      </c>
      <c r="W133">
        <f t="shared" ca="1" si="27"/>
        <v>101.44698707666277</v>
      </c>
      <c r="X133">
        <f t="shared" ca="1" si="37"/>
        <v>101.94790899389236</v>
      </c>
      <c r="Y133">
        <f t="shared" ca="1" si="36"/>
        <v>-0.57366171295205959</v>
      </c>
      <c r="Z133">
        <f t="shared" ca="1" si="38"/>
        <v>-0.18764544264012625</v>
      </c>
      <c r="AA133">
        <f t="shared" ca="1" si="39"/>
        <v>-0.38601627031193331</v>
      </c>
      <c r="AB133">
        <f t="shared" ca="1" si="40"/>
        <v>104.18720000000003</v>
      </c>
    </row>
    <row r="134" spans="1:28" x14ac:dyDescent="0.25">
      <c r="A134" s="21">
        <f t="shared" ca="1" si="41"/>
        <v>45894</v>
      </c>
      <c r="B134" vm="392">
        <f ca="1"/>
        <v>45896</v>
      </c>
      <c r="C134" vm="393">
        <f ca="1"/>
        <v>100.07</v>
      </c>
      <c r="D134" vm="394">
        <f ca="1"/>
        <v>4313818</v>
      </c>
      <c r="E134">
        <f t="shared" ca="1" si="42"/>
        <v>431683767.25999999</v>
      </c>
      <c r="F134">
        <f ca="1">SUM($E$2:E134)/SUM($D$2:D134)</f>
        <v>104.10628178036502</v>
      </c>
      <c r="G134">
        <f ca="1">_xlfn.STDEV.P($C$2:C134)</f>
        <v>4.1817369945912235</v>
      </c>
      <c r="H134">
        <f t="shared" ca="1" si="43"/>
        <v>108.28801877495624</v>
      </c>
      <c r="I134">
        <f t="shared" ca="1" si="44"/>
        <v>99.924544785773804</v>
      </c>
      <c r="J134">
        <f t="shared" ca="1" si="32"/>
        <v>102.58500000000001</v>
      </c>
      <c r="K134">
        <f t="shared" ca="1" si="33"/>
        <v>1.9057544437833551</v>
      </c>
      <c r="L134">
        <f t="shared" ca="1" si="34"/>
        <v>106.39650888756672</v>
      </c>
      <c r="M134">
        <f t="shared" ca="1" si="35"/>
        <v>98.773491112433291</v>
      </c>
      <c r="N134">
        <f t="shared" ca="1" si="45"/>
        <v>0.34999999999999432</v>
      </c>
      <c r="O134">
        <f t="shared" ca="1" si="46"/>
        <v>0.34999999999999432</v>
      </c>
      <c r="P134">
        <f t="shared" ca="1" si="47"/>
        <v>0</v>
      </c>
      <c r="Q134">
        <f t="shared" ca="1" si="30"/>
        <v>0.30066463558662854</v>
      </c>
      <c r="R134">
        <f t="shared" ca="1" si="31"/>
        <v>0.43575654703714078</v>
      </c>
      <c r="S134">
        <f t="shared" ca="1" si="28"/>
        <v>0.6899830596486759</v>
      </c>
      <c r="T134">
        <f t="shared" ca="1" si="29"/>
        <v>40.827809232130051</v>
      </c>
      <c r="U134">
        <f>70</f>
        <v>70</v>
      </c>
      <c r="V134">
        <f>30</f>
        <v>30</v>
      </c>
      <c r="W134">
        <f t="shared" ca="1" si="27"/>
        <v>101.23514291102234</v>
      </c>
      <c r="X134">
        <f t="shared" ca="1" si="37"/>
        <v>101.8088046239744</v>
      </c>
      <c r="Y134">
        <f t="shared" ca="1" si="36"/>
        <v>-0.77568107754427729</v>
      </c>
      <c r="Z134">
        <f t="shared" ca="1" si="38"/>
        <v>-0.30525256962095648</v>
      </c>
      <c r="AA134">
        <f t="shared" ca="1" si="39"/>
        <v>-0.4704285079233208</v>
      </c>
      <c r="AB134">
        <f t="shared" ca="1" si="40"/>
        <v>104.06070000000001</v>
      </c>
    </row>
    <row r="135" spans="1:28" x14ac:dyDescent="0.25">
      <c r="A135" s="21">
        <f t="shared" ca="1" si="41"/>
        <v>45894</v>
      </c>
      <c r="B135" vm="395">
        <f ca="1"/>
        <v>45897</v>
      </c>
      <c r="C135" vm="396">
        <f ca="1"/>
        <v>98.17</v>
      </c>
      <c r="D135" vm="397">
        <f ca="1"/>
        <v>2400163</v>
      </c>
      <c r="E135">
        <f t="shared" ca="1" si="42"/>
        <v>235624001.71000001</v>
      </c>
      <c r="F135">
        <f ca="1">SUM($E$2:E135)/SUM($D$2:D135)</f>
        <v>104.06878589363822</v>
      </c>
      <c r="G135">
        <f ca="1">_xlfn.STDEV.P($C$2:C135)</f>
        <v>4.1973645961904049</v>
      </c>
      <c r="H135">
        <f t="shared" ca="1" si="43"/>
        <v>108.26615048982863</v>
      </c>
      <c r="I135">
        <f t="shared" ca="1" si="44"/>
        <v>99.87142129744781</v>
      </c>
      <c r="J135">
        <f t="shared" ca="1" si="32"/>
        <v>102.3185</v>
      </c>
      <c r="K135">
        <f t="shared" ca="1" si="33"/>
        <v>2.1304886392809674</v>
      </c>
      <c r="L135">
        <f t="shared" ca="1" si="34"/>
        <v>106.57947727856194</v>
      </c>
      <c r="M135">
        <f t="shared" ca="1" si="35"/>
        <v>98.057522721438062</v>
      </c>
      <c r="N135">
        <f t="shared" ca="1" si="45"/>
        <v>-1.8999999999999915</v>
      </c>
      <c r="O135">
        <f t="shared" ca="1" si="46"/>
        <v>0</v>
      </c>
      <c r="P135">
        <f t="shared" ca="1" si="47"/>
        <v>1.8999999999999915</v>
      </c>
      <c r="Q135">
        <f t="shared" ca="1" si="30"/>
        <v>0.27918859018758363</v>
      </c>
      <c r="R135">
        <f t="shared" ca="1" si="31"/>
        <v>0.5403453651059158</v>
      </c>
      <c r="S135">
        <f t="shared" ca="1" si="28"/>
        <v>0.51668545381685371</v>
      </c>
      <c r="T135">
        <f t="shared" ca="1" si="29"/>
        <v>34.066750789794654</v>
      </c>
      <c r="U135">
        <f>70</f>
        <v>70</v>
      </c>
      <c r="V135">
        <f>30</f>
        <v>30</v>
      </c>
      <c r="W135">
        <f t="shared" ca="1" si="27"/>
        <v>100.76358246317275</v>
      </c>
      <c r="X135">
        <f t="shared" ca="1" si="37"/>
        <v>101.53926354071703</v>
      </c>
      <c r="Y135">
        <f t="shared" ca="1" si="36"/>
        <v>-0.92033236230975035</v>
      </c>
      <c r="Z135">
        <f t="shared" ca="1" si="38"/>
        <v>-0.4282685281587153</v>
      </c>
      <c r="AA135">
        <f t="shared" ca="1" si="39"/>
        <v>-0.49206383415103505</v>
      </c>
      <c r="AB135">
        <f t="shared" ca="1" si="40"/>
        <v>103.94920000000002</v>
      </c>
    </row>
    <row r="136" spans="1:28" x14ac:dyDescent="0.25">
      <c r="A136" s="21">
        <f t="shared" ca="1" si="41"/>
        <v>45894</v>
      </c>
      <c r="B136" vm="398">
        <f ca="1"/>
        <v>45898</v>
      </c>
      <c r="C136" vm="399">
        <f ca="1"/>
        <v>98.23</v>
      </c>
      <c r="D136" vm="400">
        <f ca="1"/>
        <v>4220120</v>
      </c>
      <c r="E136">
        <f t="shared" ca="1" si="42"/>
        <v>414542387.60000002</v>
      </c>
      <c r="F136">
        <f ca="1">SUM($E$2:E136)/SUM($D$2:D136)</f>
        <v>104.00465325678439</v>
      </c>
      <c r="G136">
        <f ca="1">_xlfn.STDEV.P($C$2:C136)</f>
        <v>4.2116331778410343</v>
      </c>
      <c r="H136">
        <f t="shared" ca="1" si="43"/>
        <v>108.21628643462543</v>
      </c>
      <c r="I136">
        <f t="shared" ca="1" si="44"/>
        <v>99.793020078943357</v>
      </c>
      <c r="J136">
        <f t="shared" ca="1" si="32"/>
        <v>102.00800000000001</v>
      </c>
      <c r="K136">
        <f t="shared" ca="1" si="33"/>
        <v>2.2539733337982701</v>
      </c>
      <c r="L136">
        <f t="shared" ca="1" si="34"/>
        <v>106.51594666759655</v>
      </c>
      <c r="M136">
        <f t="shared" ca="1" si="35"/>
        <v>97.500053332403468</v>
      </c>
      <c r="N136">
        <f t="shared" ca="1" si="45"/>
        <v>6.0000000000002274E-2</v>
      </c>
      <c r="O136">
        <f t="shared" ca="1" si="46"/>
        <v>6.0000000000002274E-2</v>
      </c>
      <c r="P136">
        <f t="shared" ca="1" si="47"/>
        <v>0</v>
      </c>
      <c r="Q136">
        <f t="shared" ca="1" si="30"/>
        <v>0.26353226231704208</v>
      </c>
      <c r="R136">
        <f t="shared" ca="1" si="31"/>
        <v>0.50174926759835037</v>
      </c>
      <c r="S136">
        <f t="shared" ca="1" si="28"/>
        <v>0.52522699949011054</v>
      </c>
      <c r="T136">
        <f t="shared" ca="1" si="29"/>
        <v>34.43598885055772</v>
      </c>
      <c r="U136">
        <f>70</f>
        <v>70</v>
      </c>
      <c r="V136">
        <f>30</f>
        <v>30</v>
      </c>
      <c r="W136">
        <f t="shared" ca="1" si="27"/>
        <v>100.37380054576157</v>
      </c>
      <c r="X136">
        <f t="shared" ca="1" si="37"/>
        <v>101.29413290807132</v>
      </c>
      <c r="Y136">
        <f t="shared" ca="1" si="36"/>
        <v>-1.1053402650484117</v>
      </c>
      <c r="Z136">
        <f t="shared" ca="1" si="38"/>
        <v>-0.56368287553665464</v>
      </c>
      <c r="AA136">
        <f t="shared" ca="1" si="39"/>
        <v>-0.54165738951175701</v>
      </c>
      <c r="AB136">
        <f t="shared" ca="1" si="40"/>
        <v>103.87750000000004</v>
      </c>
    </row>
    <row r="137" spans="1:28" x14ac:dyDescent="0.25">
      <c r="A137" s="21">
        <f t="shared" ca="1" si="41"/>
        <v>45901</v>
      </c>
      <c r="B137" vm="401">
        <f ca="1"/>
        <v>45902</v>
      </c>
      <c r="C137" vm="402">
        <f ca="1"/>
        <v>97.2</v>
      </c>
      <c r="D137" vm="403">
        <f ca="1"/>
        <v>3019315</v>
      </c>
      <c r="E137">
        <f t="shared" ca="1" si="42"/>
        <v>293477418</v>
      </c>
      <c r="F137">
        <f ca="1">SUM($E$2:E137)/SUM($D$2:D137)</f>
        <v>103.95159577866481</v>
      </c>
      <c r="G137">
        <f ca="1">_xlfn.STDEV.P($C$2:C137)</f>
        <v>4.2364219469535556</v>
      </c>
      <c r="H137">
        <f t="shared" ca="1" si="43"/>
        <v>108.18801772561837</v>
      </c>
      <c r="I137">
        <f t="shared" ca="1" si="44"/>
        <v>99.715173831711255</v>
      </c>
      <c r="J137">
        <f t="shared" ca="1" si="32"/>
        <v>101.60000000000001</v>
      </c>
      <c r="K137">
        <f t="shared" ca="1" si="33"/>
        <v>2.3516981546376905</v>
      </c>
      <c r="L137">
        <f t="shared" ca="1" si="34"/>
        <v>106.30339630927539</v>
      </c>
      <c r="M137">
        <f t="shared" ca="1" si="35"/>
        <v>96.896603690724632</v>
      </c>
      <c r="N137">
        <f t="shared" ca="1" si="45"/>
        <v>-1.0300000000000011</v>
      </c>
      <c r="O137">
        <f t="shared" ca="1" si="46"/>
        <v>0</v>
      </c>
      <c r="P137">
        <f t="shared" ca="1" si="47"/>
        <v>1.0300000000000011</v>
      </c>
      <c r="Q137">
        <f t="shared" ca="1" si="30"/>
        <v>0.24470852929439621</v>
      </c>
      <c r="R137">
        <f t="shared" ca="1" si="31"/>
        <v>0.53948146276989684</v>
      </c>
      <c r="S137">
        <f t="shared" ca="1" si="28"/>
        <v>0.45359951394432046</v>
      </c>
      <c r="T137">
        <f t="shared" ca="1" si="29"/>
        <v>31.205260430604099</v>
      </c>
      <c r="U137">
        <f>70</f>
        <v>70</v>
      </c>
      <c r="V137">
        <f>30</f>
        <v>30</v>
      </c>
      <c r="W137">
        <f t="shared" ca="1" si="27"/>
        <v>99.88552353872133</v>
      </c>
      <c r="X137">
        <f t="shared" ca="1" si="37"/>
        <v>100.99086380376974</v>
      </c>
      <c r="Y137">
        <f t="shared" ca="1" si="36"/>
        <v>-1.1858411544869796</v>
      </c>
      <c r="Z137">
        <f t="shared" ca="1" si="38"/>
        <v>-0.68811453132671963</v>
      </c>
      <c r="AA137">
        <f t="shared" ca="1" si="39"/>
        <v>-0.49772662316025995</v>
      </c>
      <c r="AB137">
        <f t="shared" ca="1" si="40"/>
        <v>103.78900000000003</v>
      </c>
    </row>
    <row r="138" spans="1:28" x14ac:dyDescent="0.25">
      <c r="A138" s="21">
        <f t="shared" ca="1" si="41"/>
        <v>45901</v>
      </c>
      <c r="B138" vm="404">
        <f ca="1"/>
        <v>45903</v>
      </c>
      <c r="C138" vm="405">
        <f ca="1"/>
        <v>97.85</v>
      </c>
      <c r="D138" vm="406">
        <f ca="1"/>
        <v>4306674</v>
      </c>
      <c r="E138">
        <f t="shared" ca="1" si="42"/>
        <v>421408050.89999998</v>
      </c>
      <c r="F138">
        <f ca="1">SUM($E$2:E138)/SUM($D$2:D138)</f>
        <v>103.88448162058182</v>
      </c>
      <c r="G138">
        <f ca="1">_xlfn.STDEV.P($C$2:C138)</f>
        <v>4.2529946199416839</v>
      </c>
      <c r="H138">
        <f t="shared" ca="1" si="43"/>
        <v>108.13747624052351</v>
      </c>
      <c r="I138">
        <f t="shared" ca="1" si="44"/>
        <v>99.631487000640135</v>
      </c>
      <c r="J138">
        <f t="shared" ca="1" si="32"/>
        <v>101.2835</v>
      </c>
      <c r="K138">
        <f t="shared" ca="1" si="33"/>
        <v>2.4113967889346242</v>
      </c>
      <c r="L138">
        <f t="shared" ca="1" si="34"/>
        <v>106.10629357786925</v>
      </c>
      <c r="M138">
        <f t="shared" ca="1" si="35"/>
        <v>96.460706422130755</v>
      </c>
      <c r="N138">
        <f t="shared" ca="1" si="45"/>
        <v>0.64999999999999147</v>
      </c>
      <c r="O138">
        <f t="shared" ca="1" si="46"/>
        <v>0.64999999999999147</v>
      </c>
      <c r="P138">
        <f t="shared" ca="1" si="47"/>
        <v>0</v>
      </c>
      <c r="Q138">
        <f t="shared" ca="1" si="30"/>
        <v>0.27365792005908157</v>
      </c>
      <c r="R138">
        <f t="shared" ca="1" si="31"/>
        <v>0.50094707257204707</v>
      </c>
      <c r="S138">
        <f t="shared" ca="1" si="28"/>
        <v>0.54628110441692146</v>
      </c>
      <c r="T138">
        <f t="shared" ca="1" si="29"/>
        <v>35.32870594204897</v>
      </c>
      <c r="U138">
        <f>70</f>
        <v>70</v>
      </c>
      <c r="V138">
        <f>30</f>
        <v>30</v>
      </c>
      <c r="W138">
        <f t="shared" ca="1" si="27"/>
        <v>99.572366071225744</v>
      </c>
      <c r="X138">
        <f t="shared" ca="1" si="37"/>
        <v>100.75820722571272</v>
      </c>
      <c r="Y138">
        <f t="shared" ca="1" si="36"/>
        <v>-1.2393863965885714</v>
      </c>
      <c r="Z138">
        <f t="shared" ca="1" si="38"/>
        <v>-0.79836890437909003</v>
      </c>
      <c r="AA138">
        <f t="shared" ca="1" si="39"/>
        <v>-0.44101749220948139</v>
      </c>
      <c r="AB138">
        <f t="shared" ca="1" si="40"/>
        <v>103.70980000000002</v>
      </c>
    </row>
    <row r="139" spans="1:28" x14ac:dyDescent="0.25">
      <c r="A139" s="21">
        <f t="shared" ca="1" si="41"/>
        <v>45901</v>
      </c>
      <c r="B139" vm="407">
        <f ca="1"/>
        <v>45904</v>
      </c>
      <c r="C139" vm="408">
        <f ca="1"/>
        <v>97.8</v>
      </c>
      <c r="D139" vm="409">
        <f ca="1"/>
        <v>2033303</v>
      </c>
      <c r="E139">
        <f t="shared" ca="1" si="42"/>
        <v>198857033.40000001</v>
      </c>
      <c r="F139">
        <f ca="1">SUM($E$2:E139)/SUM($D$2:D139)</f>
        <v>103.85304724194832</v>
      </c>
      <c r="G139">
        <f ca="1">_xlfn.STDEV.P($C$2:C139)</f>
        <v>4.2693206002763135</v>
      </c>
      <c r="H139">
        <f t="shared" ca="1" si="43"/>
        <v>108.12236784222463</v>
      </c>
      <c r="I139">
        <f t="shared" ca="1" si="44"/>
        <v>99.583726641672001</v>
      </c>
      <c r="J139">
        <f t="shared" ca="1" si="32"/>
        <v>100.96600000000001</v>
      </c>
      <c r="K139">
        <f t="shared" ca="1" si="33"/>
        <v>2.4320630185741061</v>
      </c>
      <c r="L139">
        <f t="shared" ca="1" si="34"/>
        <v>105.83012603714822</v>
      </c>
      <c r="M139">
        <f t="shared" ca="1" si="35"/>
        <v>96.101873962851798</v>
      </c>
      <c r="N139">
        <f t="shared" ca="1" si="45"/>
        <v>-4.9999999999997158E-2</v>
      </c>
      <c r="O139">
        <f t="shared" ca="1" si="46"/>
        <v>0</v>
      </c>
      <c r="P139">
        <f t="shared" ca="1" si="47"/>
        <v>4.9999999999997158E-2</v>
      </c>
      <c r="Q139">
        <f t="shared" ca="1" si="30"/>
        <v>0.25411092576914718</v>
      </c>
      <c r="R139">
        <f t="shared" ca="1" si="31"/>
        <v>0.46873656738832919</v>
      </c>
      <c r="S139">
        <f t="shared" ca="1" si="28"/>
        <v>0.54211884339423988</v>
      </c>
      <c r="T139">
        <f t="shared" ca="1" si="29"/>
        <v>35.154154669495085</v>
      </c>
      <c r="U139">
        <f>70</f>
        <v>70</v>
      </c>
      <c r="V139">
        <f>30</f>
        <v>30</v>
      </c>
      <c r="W139">
        <f t="shared" ca="1" si="27"/>
        <v>99.299694367960242</v>
      </c>
      <c r="X139">
        <f t="shared" ca="1" si="37"/>
        <v>100.53908076454881</v>
      </c>
      <c r="Y139">
        <f t="shared" ca="1" si="36"/>
        <v>-1.2472707156529026</v>
      </c>
      <c r="Z139">
        <f t="shared" ca="1" si="38"/>
        <v>-0.88814926663385263</v>
      </c>
      <c r="AA139">
        <f t="shared" ca="1" si="39"/>
        <v>-0.35912144901904997</v>
      </c>
      <c r="AB139">
        <f t="shared" ca="1" si="40"/>
        <v>103.6048</v>
      </c>
    </row>
    <row r="140" spans="1:28" x14ac:dyDescent="0.25">
      <c r="A140" s="21">
        <f t="shared" ca="1" si="41"/>
        <v>45901</v>
      </c>
      <c r="B140" vm="410">
        <f ca="1"/>
        <v>45905</v>
      </c>
      <c r="C140" vm="264">
        <f ca="1"/>
        <v>98.05</v>
      </c>
      <c r="D140" vm="411">
        <f ca="1"/>
        <v>1724666</v>
      </c>
      <c r="E140">
        <f t="shared" ca="1" si="42"/>
        <v>169103501.29999998</v>
      </c>
      <c r="F140">
        <f ca="1">SUM($E$2:E140)/SUM($D$2:D140)</f>
        <v>103.82772854617086</v>
      </c>
      <c r="G140">
        <f ca="1">_xlfn.STDEV.P($C$2:C140)</f>
        <v>4.2824163347456139</v>
      </c>
      <c r="H140">
        <f t="shared" ca="1" si="43"/>
        <v>108.11014488091648</v>
      </c>
      <c r="I140">
        <f t="shared" ca="1" si="44"/>
        <v>99.545312211425241</v>
      </c>
      <c r="J140">
        <f t="shared" ca="1" si="32"/>
        <v>100.61850000000001</v>
      </c>
      <c r="K140">
        <f t="shared" ca="1" si="33"/>
        <v>2.3192382483547442</v>
      </c>
      <c r="L140">
        <f t="shared" ca="1" si="34"/>
        <v>105.2569764967095</v>
      </c>
      <c r="M140">
        <f t="shared" ca="1" si="35"/>
        <v>95.980023503290525</v>
      </c>
      <c r="N140">
        <f t="shared" ca="1" si="45"/>
        <v>0.25</v>
      </c>
      <c r="O140">
        <f t="shared" ca="1" si="46"/>
        <v>0.25</v>
      </c>
      <c r="P140">
        <f t="shared" ca="1" si="47"/>
        <v>0</v>
      </c>
      <c r="Q140">
        <f t="shared" ca="1" si="30"/>
        <v>0.25381728821420813</v>
      </c>
      <c r="R140">
        <f t="shared" ca="1" si="31"/>
        <v>0.43525538400344849</v>
      </c>
      <c r="S140">
        <f t="shared" ca="1" si="28"/>
        <v>0.58314566009411417</v>
      </c>
      <c r="T140">
        <f t="shared" ca="1" si="29"/>
        <v>36.834618240967636</v>
      </c>
      <c r="U140">
        <f>70</f>
        <v>70</v>
      </c>
      <c r="V140">
        <f>30</f>
        <v>30</v>
      </c>
      <c r="W140">
        <f t="shared" ca="1" si="27"/>
        <v>99.107433695966364</v>
      </c>
      <c r="X140">
        <f t="shared" ca="1" si="37"/>
        <v>100.35470441161927</v>
      </c>
      <c r="Y140">
        <f t="shared" ca="1" si="36"/>
        <v>-1.3509148891004372</v>
      </c>
      <c r="Z140">
        <f t="shared" ca="1" si="38"/>
        <v>-0.9807023911271695</v>
      </c>
      <c r="AA140">
        <f t="shared" ca="1" si="39"/>
        <v>-0.37021249797326772</v>
      </c>
      <c r="AB140">
        <f t="shared" ca="1" si="40"/>
        <v>103.48690000000001</v>
      </c>
    </row>
    <row r="141" spans="1:28" x14ac:dyDescent="0.25">
      <c r="A141" s="21">
        <f t="shared" ca="1" si="41"/>
        <v>45908</v>
      </c>
      <c r="B141" vm="412">
        <f ca="1"/>
        <v>45908</v>
      </c>
      <c r="C141" vm="413">
        <f ca="1"/>
        <v>96.65</v>
      </c>
      <c r="D141" vm="414">
        <f ca="1"/>
        <v>2189394</v>
      </c>
      <c r="E141">
        <f t="shared" ca="1" si="42"/>
        <v>211604930.10000002</v>
      </c>
      <c r="F141">
        <f ca="1">SUM($E$2:E141)/SUM($D$2:D141)</f>
        <v>103.78819257545636</v>
      </c>
      <c r="G141">
        <f ca="1">_xlfn.STDEV.P($C$2:C141)</f>
        <v>4.3098667358298055</v>
      </c>
      <c r="H141">
        <f t="shared" ca="1" si="43"/>
        <v>108.09805931128616</v>
      </c>
      <c r="I141">
        <f t="shared" ca="1" si="44"/>
        <v>99.478325839626564</v>
      </c>
      <c r="J141">
        <f t="shared" ca="1" si="32"/>
        <v>100.227</v>
      </c>
      <c r="K141">
        <f t="shared" ca="1" si="33"/>
        <v>2.2938225967286914</v>
      </c>
      <c r="L141">
        <f t="shared" ca="1" si="34"/>
        <v>104.81464519345738</v>
      </c>
      <c r="M141">
        <f t="shared" ca="1" si="35"/>
        <v>95.639354806542627</v>
      </c>
      <c r="N141">
        <f t="shared" ca="1" si="45"/>
        <v>-1.3999999999999915</v>
      </c>
      <c r="O141">
        <f t="shared" ca="1" si="46"/>
        <v>0</v>
      </c>
      <c r="P141">
        <f t="shared" ca="1" si="47"/>
        <v>1.3999999999999915</v>
      </c>
      <c r="Q141">
        <f t="shared" ca="1" si="30"/>
        <v>0.23568748191319328</v>
      </c>
      <c r="R141">
        <f t="shared" ca="1" si="31"/>
        <v>0.5041657137174872</v>
      </c>
      <c r="S141">
        <f t="shared" ca="1" si="28"/>
        <v>0.46748018657465157</v>
      </c>
      <c r="T141">
        <f t="shared" ca="1" si="29"/>
        <v>31.85597944363596</v>
      </c>
      <c r="U141">
        <f>70</f>
        <v>70</v>
      </c>
      <c r="V141">
        <f>30</f>
        <v>30</v>
      </c>
      <c r="W141">
        <f t="shared" ca="1" si="27"/>
        <v>98.729366973509997</v>
      </c>
      <c r="X141">
        <f t="shared" ca="1" si="37"/>
        <v>100.08028186261043</v>
      </c>
      <c r="Y141">
        <f t="shared" ca="1" si="36"/>
        <v>-1.3903977612989138</v>
      </c>
      <c r="Z141">
        <f t="shared" ca="1" si="38"/>
        <v>-1.0626414651615184</v>
      </c>
      <c r="AA141">
        <f t="shared" ca="1" si="39"/>
        <v>-0.32775629613739543</v>
      </c>
      <c r="AB141">
        <f t="shared" ca="1" si="40"/>
        <v>103.3309</v>
      </c>
    </row>
    <row r="142" spans="1:28" x14ac:dyDescent="0.25">
      <c r="A142" s="21">
        <f t="shared" ca="1" si="41"/>
        <v>45908</v>
      </c>
      <c r="B142" vm="415">
        <f ca="1"/>
        <v>45909</v>
      </c>
      <c r="C142" vm="416">
        <f ca="1"/>
        <v>96.98</v>
      </c>
      <c r="D142" vm="417">
        <f ca="1"/>
        <v>1282697</v>
      </c>
      <c r="E142">
        <f t="shared" ca="1" si="42"/>
        <v>124395955.06</v>
      </c>
      <c r="F142">
        <f ca="1">SUM($E$2:E142)/SUM($D$2:D142)</f>
        <v>103.76629287721612</v>
      </c>
      <c r="G142">
        <f ca="1">_xlfn.STDEV.P($C$2:C142)</f>
        <v>4.3324218319124137</v>
      </c>
      <c r="H142">
        <f t="shared" ca="1" si="43"/>
        <v>108.09871470912853</v>
      </c>
      <c r="I142">
        <f t="shared" ca="1" si="44"/>
        <v>99.433871045303704</v>
      </c>
      <c r="J142">
        <f t="shared" ca="1" si="32"/>
        <v>99.86999999999999</v>
      </c>
      <c r="K142">
        <f t="shared" ca="1" si="33"/>
        <v>2.210136933123803</v>
      </c>
      <c r="L142">
        <f t="shared" ca="1" si="34"/>
        <v>104.2902738662476</v>
      </c>
      <c r="M142">
        <f t="shared" ca="1" si="35"/>
        <v>95.449726133752378</v>
      </c>
      <c r="N142">
        <f t="shared" ca="1" si="45"/>
        <v>0.32999999999999829</v>
      </c>
      <c r="O142">
        <f t="shared" ca="1" si="46"/>
        <v>0.32999999999999829</v>
      </c>
      <c r="P142">
        <f t="shared" ca="1" si="47"/>
        <v>0</v>
      </c>
      <c r="Q142">
        <f t="shared" ca="1" si="30"/>
        <v>0.24242409034796505</v>
      </c>
      <c r="R142">
        <f t="shared" ca="1" si="31"/>
        <v>0.46815387702338096</v>
      </c>
      <c r="S142">
        <f t="shared" ca="1" si="28"/>
        <v>0.51782993209272876</v>
      </c>
      <c r="T142">
        <f t="shared" ca="1" si="29"/>
        <v>34.116465958657415</v>
      </c>
      <c r="U142">
        <f>70</f>
        <v>70</v>
      </c>
      <c r="V142">
        <f>30</f>
        <v>30</v>
      </c>
      <c r="W142">
        <f t="shared" ca="1" si="27"/>
        <v>98.460233592969999</v>
      </c>
      <c r="X142">
        <f t="shared" ca="1" si="37"/>
        <v>99.850631354268913</v>
      </c>
      <c r="Y142">
        <f t="shared" ca="1" si="36"/>
        <v>-1.3975094388185454</v>
      </c>
      <c r="Z142">
        <f t="shared" ca="1" si="38"/>
        <v>-1.1296150598929238</v>
      </c>
      <c r="AA142">
        <f t="shared" ca="1" si="39"/>
        <v>-0.26789437892562162</v>
      </c>
      <c r="AB142">
        <f t="shared" ca="1" si="40"/>
        <v>103.18260000000001</v>
      </c>
    </row>
    <row r="143" spans="1:28" x14ac:dyDescent="0.25">
      <c r="A143" s="21">
        <f t="shared" ca="1" si="41"/>
        <v>45908</v>
      </c>
      <c r="B143" vm="418">
        <f ca="1"/>
        <v>45910</v>
      </c>
      <c r="C143" vm="419">
        <f ca="1"/>
        <v>97.08</v>
      </c>
      <c r="D143" vm="420">
        <f ca="1"/>
        <v>1603960</v>
      </c>
      <c r="E143">
        <f t="shared" ca="1" si="42"/>
        <v>155712436.80000001</v>
      </c>
      <c r="F143">
        <f ca="1">SUM($E$2:E143)/SUM($D$2:D143)</f>
        <v>103.73950626531763</v>
      </c>
      <c r="G143">
        <f ca="1">_xlfn.STDEV.P($C$2:C143)</f>
        <v>4.352942083896453</v>
      </c>
      <c r="H143">
        <f t="shared" ca="1" si="43"/>
        <v>108.09244834921408</v>
      </c>
      <c r="I143">
        <f t="shared" ca="1" si="44"/>
        <v>99.386564181421178</v>
      </c>
      <c r="J143">
        <f t="shared" ca="1" si="32"/>
        <v>99.539500000000004</v>
      </c>
      <c r="K143">
        <f t="shared" ca="1" si="33"/>
        <v>2.1003319913014242</v>
      </c>
      <c r="L143">
        <f t="shared" ca="1" si="34"/>
        <v>103.74016398260285</v>
      </c>
      <c r="M143">
        <f t="shared" ca="1" si="35"/>
        <v>95.338836017397156</v>
      </c>
      <c r="N143">
        <f t="shared" ca="1" si="45"/>
        <v>9.9999999999994316E-2</v>
      </c>
      <c r="O143">
        <f t="shared" ca="1" si="46"/>
        <v>9.9999999999994316E-2</v>
      </c>
      <c r="P143">
        <f t="shared" ca="1" si="47"/>
        <v>0</v>
      </c>
      <c r="Q143">
        <f t="shared" ca="1" si="30"/>
        <v>0.23225094103739571</v>
      </c>
      <c r="R143">
        <f t="shared" ca="1" si="31"/>
        <v>0.43471431437885372</v>
      </c>
      <c r="S143">
        <f t="shared" ca="1" si="28"/>
        <v>0.53426108447624965</v>
      </c>
      <c r="T143">
        <f t="shared" ca="1" si="29"/>
        <v>34.822044949320357</v>
      </c>
      <c r="U143">
        <f>70</f>
        <v>70</v>
      </c>
      <c r="V143">
        <f>30</f>
        <v>30</v>
      </c>
      <c r="W143">
        <f t="shared" ref="W143:W206" ca="1" si="48">C143*(2/(12+1)) + W142*(1-(2/(12+1)))</f>
        <v>98.247889963282304</v>
      </c>
      <c r="X143">
        <f t="shared" ca="1" si="37"/>
        <v>99.64539940210085</v>
      </c>
      <c r="Y143">
        <f t="shared" ca="1" si="36"/>
        <v>-1.3376965429855687</v>
      </c>
      <c r="Z143">
        <f t="shared" ca="1" si="38"/>
        <v>-1.1712313565114529</v>
      </c>
      <c r="AA143">
        <f t="shared" ca="1" si="39"/>
        <v>-0.16646518647411579</v>
      </c>
      <c r="AB143">
        <f t="shared" ca="1" si="40"/>
        <v>103.039</v>
      </c>
    </row>
    <row r="144" spans="1:28" x14ac:dyDescent="0.25">
      <c r="A144" s="21">
        <f t="shared" ca="1" si="41"/>
        <v>45908</v>
      </c>
      <c r="B144" vm="421">
        <f ca="1"/>
        <v>45911</v>
      </c>
      <c r="C144" vm="422">
        <f ca="1"/>
        <v>97.7</v>
      </c>
      <c r="D144" vm="423">
        <f ca="1"/>
        <v>1689992</v>
      </c>
      <c r="E144">
        <f t="shared" ca="1" si="42"/>
        <v>165112218.40000001</v>
      </c>
      <c r="F144">
        <f ca="1">SUM($E$2:E144)/SUM($D$2:D144)</f>
        <v>103.71412018746335</v>
      </c>
      <c r="G144">
        <f ca="1">_xlfn.STDEV.P($C$2:C144)</f>
        <v>4.3663749833676375</v>
      </c>
      <c r="H144">
        <f t="shared" ca="1" si="43"/>
        <v>108.08049517083099</v>
      </c>
      <c r="I144">
        <f t="shared" ca="1" si="44"/>
        <v>99.347745204095716</v>
      </c>
      <c r="J144">
        <f t="shared" ca="1" si="32"/>
        <v>99.241500000000002</v>
      </c>
      <c r="K144">
        <f t="shared" ca="1" si="33"/>
        <v>1.8979997088347615</v>
      </c>
      <c r="L144">
        <f t="shared" ca="1" si="34"/>
        <v>103.03749941766952</v>
      </c>
      <c r="M144">
        <f t="shared" ca="1" si="35"/>
        <v>95.445500582330482</v>
      </c>
      <c r="N144">
        <f t="shared" ca="1" si="45"/>
        <v>0.62000000000000455</v>
      </c>
      <c r="O144">
        <f t="shared" ca="1" si="46"/>
        <v>0.62000000000000455</v>
      </c>
      <c r="P144">
        <f t="shared" ca="1" si="47"/>
        <v>0</v>
      </c>
      <c r="Q144">
        <f t="shared" ca="1" si="30"/>
        <v>0.25994730239186775</v>
      </c>
      <c r="R144">
        <f t="shared" ca="1" si="31"/>
        <v>0.40366329192322131</v>
      </c>
      <c r="S144">
        <f t="shared" ref="S144:S207" ca="1" si="49">IF(R144=0,NA(),Q144/R144)</f>
        <v>0.6439706250062267</v>
      </c>
      <c r="T144">
        <f t="shared" ref="T144:T207" ca="1" si="50">100-(100/(1+S144))</f>
        <v>39.171662510927625</v>
      </c>
      <c r="U144">
        <f>70</f>
        <v>70</v>
      </c>
      <c r="V144">
        <f>30</f>
        <v>30</v>
      </c>
      <c r="W144">
        <f t="shared" ca="1" si="48"/>
        <v>98.163599199700414</v>
      </c>
      <c r="X144">
        <f t="shared" ca="1" si="37"/>
        <v>99.501295742685983</v>
      </c>
      <c r="Y144">
        <f t="shared" ca="1" si="36"/>
        <v>-1.2875559944784101</v>
      </c>
      <c r="Z144">
        <f t="shared" ca="1" si="38"/>
        <v>-1.1944962841048443</v>
      </c>
      <c r="AA144">
        <f t="shared" ca="1" si="39"/>
        <v>-9.3059710373565752E-2</v>
      </c>
      <c r="AB144">
        <f t="shared" ca="1" si="40"/>
        <v>102.895</v>
      </c>
    </row>
    <row r="145" spans="1:28" x14ac:dyDescent="0.25">
      <c r="A145" s="21">
        <f t="shared" ca="1" si="41"/>
        <v>45908</v>
      </c>
      <c r="B145" vm="424">
        <f ca="1"/>
        <v>45912</v>
      </c>
      <c r="C145" vm="425">
        <f ca="1"/>
        <v>97.55</v>
      </c>
      <c r="D145" vm="426">
        <f ca="1"/>
        <v>1249463</v>
      </c>
      <c r="E145">
        <f t="shared" ca="1" si="42"/>
        <v>121885115.64999999</v>
      </c>
      <c r="F145">
        <f ca="1">SUM($E$2:E145)/SUM($D$2:D145)</f>
        <v>103.69502356880859</v>
      </c>
      <c r="G145">
        <f ca="1">_xlfn.STDEV.P($C$2:C145)</f>
        <v>4.3806117360591053</v>
      </c>
      <c r="H145">
        <f t="shared" ca="1" si="43"/>
        <v>108.0756353048677</v>
      </c>
      <c r="I145">
        <f t="shared" ca="1" si="44"/>
        <v>99.314411832749485</v>
      </c>
      <c r="J145">
        <f t="shared" ca="1" si="32"/>
        <v>98.975999999999985</v>
      </c>
      <c r="K145">
        <f t="shared" ca="1" si="33"/>
        <v>1.7290624170645958</v>
      </c>
      <c r="L145">
        <f t="shared" ca="1" si="34"/>
        <v>102.43412483412918</v>
      </c>
      <c r="M145">
        <f t="shared" ca="1" si="35"/>
        <v>95.517875165870791</v>
      </c>
      <c r="N145">
        <f t="shared" ca="1" si="45"/>
        <v>-0.15000000000000568</v>
      </c>
      <c r="O145">
        <f t="shared" ca="1" si="46"/>
        <v>0</v>
      </c>
      <c r="P145">
        <f t="shared" ca="1" si="47"/>
        <v>0.15000000000000568</v>
      </c>
      <c r="Q145">
        <f t="shared" ref="Q145:Q208" ca="1" si="51">(Q144*13+O145)/14</f>
        <v>0.24137963793530576</v>
      </c>
      <c r="R145">
        <f t="shared" ref="R145:R208" ca="1" si="52">(R144*13+P145)/14</f>
        <v>0.38554448535727737</v>
      </c>
      <c r="S145">
        <f t="shared" ca="1" si="49"/>
        <v>0.62607467387744753</v>
      </c>
      <c r="T145">
        <f t="shared" ca="1" si="50"/>
        <v>38.502209273362865</v>
      </c>
      <c r="U145">
        <f>70</f>
        <v>70</v>
      </c>
      <c r="V145">
        <f>30</f>
        <v>30</v>
      </c>
      <c r="W145">
        <f t="shared" ca="1" si="48"/>
        <v>98.069199322823422</v>
      </c>
      <c r="X145">
        <f t="shared" ca="1" si="37"/>
        <v>99.356755317301833</v>
      </c>
      <c r="Y145">
        <f t="shared" ca="1" si="36"/>
        <v>-1.2774737300414358</v>
      </c>
      <c r="Z145">
        <f t="shared" ca="1" si="38"/>
        <v>-1.2110917732921627</v>
      </c>
      <c r="AA145">
        <f t="shared" ca="1" si="39"/>
        <v>-6.6381956749273163E-2</v>
      </c>
      <c r="AB145">
        <f t="shared" ca="1" si="40"/>
        <v>102.76089999999998</v>
      </c>
    </row>
    <row r="146" spans="1:28" x14ac:dyDescent="0.25">
      <c r="A146" s="21">
        <f t="shared" ca="1" si="41"/>
        <v>45915</v>
      </c>
      <c r="B146" vm="427">
        <f ca="1"/>
        <v>45915</v>
      </c>
      <c r="C146" vm="428">
        <f ca="1"/>
        <v>97</v>
      </c>
      <c r="D146" vm="429">
        <f ca="1"/>
        <v>1351898</v>
      </c>
      <c r="E146">
        <f t="shared" ca="1" si="42"/>
        <v>131134106</v>
      </c>
      <c r="F146">
        <f ca="1">SUM($E$2:E146)/SUM($D$2:D146)</f>
        <v>103.67265672595744</v>
      </c>
      <c r="G146">
        <f ca="1">_xlfn.STDEV.P($C$2:C146)</f>
        <v>4.3996350426959241</v>
      </c>
      <c r="H146">
        <f t="shared" ca="1" si="43"/>
        <v>108.07229176865336</v>
      </c>
      <c r="I146">
        <f t="shared" ca="1" si="44"/>
        <v>99.273021683261518</v>
      </c>
      <c r="J146">
        <f t="shared" ca="1" si="32"/>
        <v>98.787499999999994</v>
      </c>
      <c r="K146">
        <f t="shared" ca="1" si="33"/>
        <v>1.728689418392777</v>
      </c>
      <c r="L146">
        <f t="shared" ca="1" si="34"/>
        <v>102.24487883678555</v>
      </c>
      <c r="M146">
        <f t="shared" ca="1" si="35"/>
        <v>95.330121163214443</v>
      </c>
      <c r="N146">
        <f t="shared" ca="1" si="45"/>
        <v>-0.54999999999999716</v>
      </c>
      <c r="O146">
        <f t="shared" ca="1" si="46"/>
        <v>0</v>
      </c>
      <c r="P146">
        <f t="shared" ca="1" si="47"/>
        <v>0.54999999999999716</v>
      </c>
      <c r="Q146">
        <f t="shared" ca="1" si="51"/>
        <v>0.22413823522564108</v>
      </c>
      <c r="R146">
        <f t="shared" ca="1" si="52"/>
        <v>0.39729130783175737</v>
      </c>
      <c r="S146">
        <f t="shared" ca="1" si="49"/>
        <v>0.56416596791127849</v>
      </c>
      <c r="T146">
        <f t="shared" ca="1" si="50"/>
        <v>36.068165366405587</v>
      </c>
      <c r="U146">
        <f>70</f>
        <v>70</v>
      </c>
      <c r="V146">
        <f>30</f>
        <v>30</v>
      </c>
      <c r="W146">
        <f t="shared" ca="1" si="48"/>
        <v>97.904707119312121</v>
      </c>
      <c r="X146">
        <f t="shared" ca="1" si="37"/>
        <v>99.182180849353557</v>
      </c>
      <c r="Y146">
        <f t="shared" ca="1" si="36"/>
        <v>-1.3690904889008806</v>
      </c>
      <c r="Z146">
        <f t="shared" ca="1" si="38"/>
        <v>-1.2426915164139063</v>
      </c>
      <c r="AA146">
        <f t="shared" ca="1" si="39"/>
        <v>-0.12639897248697429</v>
      </c>
      <c r="AB146">
        <f t="shared" ca="1" si="40"/>
        <v>102.59789999999997</v>
      </c>
    </row>
    <row r="147" spans="1:28" x14ac:dyDescent="0.25">
      <c r="A147" s="21">
        <f t="shared" ca="1" si="41"/>
        <v>45915</v>
      </c>
      <c r="B147" vm="430">
        <f ca="1"/>
        <v>45916</v>
      </c>
      <c r="C147" vm="431">
        <f ca="1"/>
        <v>95.57</v>
      </c>
      <c r="D147" vm="432">
        <f ca="1"/>
        <v>2116706</v>
      </c>
      <c r="E147">
        <f t="shared" ca="1" si="42"/>
        <v>202293592.41999999</v>
      </c>
      <c r="F147">
        <f ca="1">SUM($E$2:E147)/SUM($D$2:D147)</f>
        <v>103.63049379053359</v>
      </c>
      <c r="G147">
        <f ca="1">_xlfn.STDEV.P($C$2:C147)</f>
        <v>4.4338587865397132</v>
      </c>
      <c r="H147">
        <f t="shared" ca="1" si="43"/>
        <v>108.06435257707331</v>
      </c>
      <c r="I147">
        <f t="shared" ca="1" si="44"/>
        <v>99.196635003993876</v>
      </c>
      <c r="J147">
        <f t="shared" ca="1" si="32"/>
        <v>98.578999999999994</v>
      </c>
      <c r="K147">
        <f t="shared" ca="1" si="33"/>
        <v>1.8546467957112771</v>
      </c>
      <c r="L147">
        <f t="shared" ca="1" si="34"/>
        <v>102.28829359142254</v>
      </c>
      <c r="M147">
        <f t="shared" ca="1" si="35"/>
        <v>94.869706408577443</v>
      </c>
      <c r="N147">
        <f t="shared" ca="1" si="45"/>
        <v>-1.4300000000000068</v>
      </c>
      <c r="O147">
        <f t="shared" ca="1" si="46"/>
        <v>0</v>
      </c>
      <c r="P147">
        <f t="shared" ca="1" si="47"/>
        <v>1.4300000000000068</v>
      </c>
      <c r="Q147">
        <f t="shared" ca="1" si="51"/>
        <v>0.20812836128095241</v>
      </c>
      <c r="R147">
        <f t="shared" ca="1" si="52"/>
        <v>0.47105621441520373</v>
      </c>
      <c r="S147">
        <f t="shared" ca="1" si="49"/>
        <v>0.44183338402473882</v>
      </c>
      <c r="T147">
        <f t="shared" ca="1" si="50"/>
        <v>30.643858639990952</v>
      </c>
      <c r="U147">
        <f>70</f>
        <v>70</v>
      </c>
      <c r="V147">
        <f>30</f>
        <v>30</v>
      </c>
      <c r="W147">
        <f t="shared" ca="1" si="48"/>
        <v>97.54552140864871</v>
      </c>
      <c r="X147">
        <f t="shared" ca="1" si="37"/>
        <v>98.914611897549591</v>
      </c>
      <c r="Y147">
        <f t="shared" ca="1" si="36"/>
        <v>-1.3590570038032723</v>
      </c>
      <c r="Z147">
        <f t="shared" ca="1" si="38"/>
        <v>-1.2659646138917795</v>
      </c>
      <c r="AA147">
        <f t="shared" ca="1" si="39"/>
        <v>-9.3092389911492823E-2</v>
      </c>
      <c r="AB147">
        <f t="shared" ca="1" si="40"/>
        <v>102.42839999999997</v>
      </c>
    </row>
    <row r="148" spans="1:28" x14ac:dyDescent="0.25">
      <c r="A148" s="21">
        <f t="shared" ca="1" si="41"/>
        <v>45915</v>
      </c>
      <c r="B148" vm="433">
        <f ca="1"/>
        <v>45917</v>
      </c>
      <c r="C148" vm="434">
        <f ca="1"/>
        <v>96.4</v>
      </c>
      <c r="D148" vm="435">
        <f ca="1"/>
        <v>1879757</v>
      </c>
      <c r="E148">
        <f t="shared" ca="1" si="42"/>
        <v>181208574.80000001</v>
      </c>
      <c r="F148">
        <f ca="1">SUM($E$2:E148)/SUM($D$2:D148)</f>
        <v>103.59723471030124</v>
      </c>
      <c r="G148">
        <f ca="1">_xlfn.STDEV.P($C$2:C148)</f>
        <v>4.4572434858192773</v>
      </c>
      <c r="H148">
        <f t="shared" ca="1" si="43"/>
        <v>108.05447819612051</v>
      </c>
      <c r="I148">
        <f t="shared" ca="1" si="44"/>
        <v>99.13999122448196</v>
      </c>
      <c r="J148">
        <f t="shared" ca="1" si="32"/>
        <v>98.343999999999994</v>
      </c>
      <c r="K148">
        <f t="shared" ca="1" si="33"/>
        <v>1.8157596641336486</v>
      </c>
      <c r="L148">
        <f t="shared" ca="1" si="34"/>
        <v>101.9755193282673</v>
      </c>
      <c r="M148">
        <f t="shared" ca="1" si="35"/>
        <v>94.712480671732692</v>
      </c>
      <c r="N148">
        <f t="shared" ca="1" si="45"/>
        <v>0.83000000000001251</v>
      </c>
      <c r="O148">
        <f t="shared" ca="1" si="46"/>
        <v>0.83000000000001251</v>
      </c>
      <c r="P148">
        <f t="shared" ca="1" si="47"/>
        <v>0</v>
      </c>
      <c r="Q148">
        <f t="shared" ca="1" si="51"/>
        <v>0.25254776404659957</v>
      </c>
      <c r="R148">
        <f t="shared" ca="1" si="52"/>
        <v>0.4374093419569749</v>
      </c>
      <c r="S148">
        <f t="shared" ca="1" si="49"/>
        <v>0.57737167413182744</v>
      </c>
      <c r="T148">
        <f t="shared" ca="1" si="50"/>
        <v>36.603400682315929</v>
      </c>
      <c r="U148">
        <f>70</f>
        <v>70</v>
      </c>
      <c r="V148">
        <f>30</f>
        <v>30</v>
      </c>
      <c r="W148">
        <f t="shared" ca="1" si="48"/>
        <v>97.369287345779682</v>
      </c>
      <c r="X148">
        <f t="shared" ca="1" si="37"/>
        <v>98.728344349582954</v>
      </c>
      <c r="Y148">
        <f t="shared" ca="1" si="36"/>
        <v>-1.3396967860908688</v>
      </c>
      <c r="Z148">
        <f t="shared" ca="1" si="38"/>
        <v>-1.2807110483315975</v>
      </c>
      <c r="AA148">
        <f t="shared" ca="1" si="39"/>
        <v>-5.8985737759271295E-2</v>
      </c>
      <c r="AB148">
        <f t="shared" ca="1" si="40"/>
        <v>102.27949999999996</v>
      </c>
    </row>
    <row r="149" spans="1:28" x14ac:dyDescent="0.25">
      <c r="A149" s="21">
        <f t="shared" ca="1" si="41"/>
        <v>45915</v>
      </c>
      <c r="B149" vm="436">
        <f ca="1"/>
        <v>45918</v>
      </c>
      <c r="C149" vm="437">
        <f ca="1"/>
        <v>96.35</v>
      </c>
      <c r="D149" vm="438">
        <f ca="1"/>
        <v>1815705</v>
      </c>
      <c r="E149">
        <f t="shared" ca="1" si="42"/>
        <v>174943176.75</v>
      </c>
      <c r="F149">
        <f ca="1">SUM($E$2:E149)/SUM($D$2:D149)</f>
        <v>103.56517697460114</v>
      </c>
      <c r="G149">
        <f ca="1">_xlfn.STDEV.P($C$2:C149)</f>
        <v>4.4802116531775686</v>
      </c>
      <c r="H149">
        <f t="shared" ca="1" si="43"/>
        <v>108.04538862777871</v>
      </c>
      <c r="I149">
        <f t="shared" ca="1" si="44"/>
        <v>99.084965321423581</v>
      </c>
      <c r="J149">
        <f t="shared" ca="1" si="32"/>
        <v>98.073499999999996</v>
      </c>
      <c r="K149">
        <f t="shared" ca="1" si="33"/>
        <v>1.6778158577840359</v>
      </c>
      <c r="L149">
        <f t="shared" ca="1" si="34"/>
        <v>101.42913171556806</v>
      </c>
      <c r="M149">
        <f t="shared" ca="1" si="35"/>
        <v>94.71786828443193</v>
      </c>
      <c r="N149">
        <f t="shared" ca="1" si="45"/>
        <v>-5.0000000000011369E-2</v>
      </c>
      <c r="O149">
        <f t="shared" ca="1" si="46"/>
        <v>0</v>
      </c>
      <c r="P149">
        <f t="shared" ca="1" si="47"/>
        <v>5.0000000000011369E-2</v>
      </c>
      <c r="Q149">
        <f t="shared" ca="1" si="51"/>
        <v>0.23450863804327102</v>
      </c>
      <c r="R149">
        <f t="shared" ca="1" si="52"/>
        <v>0.40973724610290613</v>
      </c>
      <c r="S149">
        <f t="shared" ca="1" si="49"/>
        <v>0.57233907894322555</v>
      </c>
      <c r="T149">
        <f t="shared" ca="1" si="50"/>
        <v>36.400486803895802</v>
      </c>
      <c r="U149">
        <f>70</f>
        <v>70</v>
      </c>
      <c r="V149">
        <f>30</f>
        <v>30</v>
      </c>
      <c r="W149">
        <f t="shared" ca="1" si="48"/>
        <v>97.212473907967421</v>
      </c>
      <c r="X149">
        <f t="shared" ca="1" si="37"/>
        <v>98.55217069405829</v>
      </c>
      <c r="Y149">
        <f t="shared" ca="1" si="36"/>
        <v>-1.3108567661043224</v>
      </c>
      <c r="Z149">
        <f t="shared" ca="1" si="38"/>
        <v>-1.2867401918861425</v>
      </c>
      <c r="AA149">
        <f t="shared" ca="1" si="39"/>
        <v>-2.411657421817992E-2</v>
      </c>
      <c r="AB149">
        <f t="shared" ca="1" si="40"/>
        <v>102.13849999999996</v>
      </c>
    </row>
    <row r="150" spans="1:28" x14ac:dyDescent="0.25">
      <c r="A150" s="21">
        <f t="shared" ca="1" si="41"/>
        <v>45915</v>
      </c>
      <c r="B150" vm="439">
        <f ca="1"/>
        <v>45919</v>
      </c>
      <c r="C150" vm="440">
        <f ca="1"/>
        <v>96.33</v>
      </c>
      <c r="D150" vm="441">
        <f ca="1"/>
        <v>4091681</v>
      </c>
      <c r="E150">
        <f t="shared" ca="1" si="42"/>
        <v>394151630.73000002</v>
      </c>
      <c r="F150">
        <f ca="1">SUM($E$2:E150)/SUM($D$2:D150)</f>
        <v>103.4937670702124</v>
      </c>
      <c r="G150">
        <f ca="1">_xlfn.STDEV.P($C$2:C150)</f>
        <v>4.5024635319848283</v>
      </c>
      <c r="H150">
        <f t="shared" ca="1" si="43"/>
        <v>107.99623060219723</v>
      </c>
      <c r="I150">
        <f t="shared" ca="1" si="44"/>
        <v>98.991303538227569</v>
      </c>
      <c r="J150">
        <f t="shared" ref="J150:J213" ca="1" si="53">AVERAGE(C131:C150)</f>
        <v>97.814999999999998</v>
      </c>
      <c r="K150">
        <f t="shared" ref="K150:K213" ca="1" si="54">_xlfn.STDEV.S(C131:C150)</f>
        <v>1.5122082145691871</v>
      </c>
      <c r="L150">
        <f t="shared" ref="L150:L213" ca="1" si="55">J150 + 2*K150</f>
        <v>100.83941642913837</v>
      </c>
      <c r="M150">
        <f t="shared" ref="M150:M213" ca="1" si="56">J150-2*K150</f>
        <v>94.790583570861628</v>
      </c>
      <c r="N150">
        <f t="shared" ca="1" si="45"/>
        <v>-1.9999999999996021E-2</v>
      </c>
      <c r="O150">
        <f t="shared" ca="1" si="46"/>
        <v>0</v>
      </c>
      <c r="P150">
        <f t="shared" ca="1" si="47"/>
        <v>1.9999999999996021E-2</v>
      </c>
      <c r="Q150">
        <f t="shared" ca="1" si="51"/>
        <v>0.21775802104018022</v>
      </c>
      <c r="R150">
        <f t="shared" ca="1" si="52"/>
        <v>0.38189887138126971</v>
      </c>
      <c r="S150">
        <f t="shared" ca="1" si="49"/>
        <v>0.57019812667312375</v>
      </c>
      <c r="T150">
        <f t="shared" ca="1" si="50"/>
        <v>36.313769389168606</v>
      </c>
      <c r="U150">
        <f>70</f>
        <v>70</v>
      </c>
      <c r="V150">
        <f>30</f>
        <v>30</v>
      </c>
      <c r="W150">
        <f t="shared" ca="1" si="48"/>
        <v>97.076708691357055</v>
      </c>
      <c r="X150">
        <f t="shared" ca="1" si="37"/>
        <v>98.387565457461378</v>
      </c>
      <c r="Y150">
        <f t="shared" ca="1" si="36"/>
        <v>-1.2501888670709462</v>
      </c>
      <c r="Z150">
        <f t="shared" ca="1" si="38"/>
        <v>-1.2794299269231033</v>
      </c>
      <c r="AA150">
        <f t="shared" ca="1" si="39"/>
        <v>2.9241059852157081E-2</v>
      </c>
      <c r="AB150">
        <f t="shared" ca="1" si="40"/>
        <v>101.99049999999997</v>
      </c>
    </row>
    <row r="151" spans="1:28" x14ac:dyDescent="0.25">
      <c r="A151" s="21">
        <f t="shared" ca="1" si="41"/>
        <v>45922</v>
      </c>
      <c r="B151" vm="442">
        <f ca="1"/>
        <v>45922</v>
      </c>
      <c r="C151" vm="443">
        <f ca="1"/>
        <v>96.62</v>
      </c>
      <c r="D151" vm="444">
        <f ca="1"/>
        <v>1938992</v>
      </c>
      <c r="E151">
        <f t="shared" ca="1" si="42"/>
        <v>187345407.04000002</v>
      </c>
      <c r="F151">
        <f ca="1">SUM($E$2:E151)/SUM($D$2:D151)</f>
        <v>103.4617669346098</v>
      </c>
      <c r="G151">
        <f ca="1">_xlfn.STDEV.P($C$2:C151)</f>
        <v>4.520894940409721</v>
      </c>
      <c r="H151">
        <f t="shared" ca="1" si="43"/>
        <v>107.98266187501952</v>
      </c>
      <c r="I151">
        <f t="shared" ca="1" si="44"/>
        <v>98.94087199420008</v>
      </c>
      <c r="J151">
        <f t="shared" ca="1" si="53"/>
        <v>97.563499999999976</v>
      </c>
      <c r="K151">
        <f t="shared" ca="1" si="54"/>
        <v>1.2334046802502239</v>
      </c>
      <c r="L151">
        <f t="shared" ca="1" si="55"/>
        <v>100.03030936050042</v>
      </c>
      <c r="M151">
        <f t="shared" ca="1" si="56"/>
        <v>95.096690639499528</v>
      </c>
      <c r="N151">
        <f t="shared" ca="1" si="45"/>
        <v>0.29000000000000625</v>
      </c>
      <c r="O151">
        <f t="shared" ca="1" si="46"/>
        <v>0.29000000000000625</v>
      </c>
      <c r="P151">
        <f t="shared" ca="1" si="47"/>
        <v>0</v>
      </c>
      <c r="Q151">
        <f t="shared" ca="1" si="51"/>
        <v>0.22291816239445353</v>
      </c>
      <c r="R151">
        <f t="shared" ca="1" si="52"/>
        <v>0.3546203805683219</v>
      </c>
      <c r="S151">
        <f t="shared" ca="1" si="49"/>
        <v>0.62861069078207044</v>
      </c>
      <c r="T151">
        <f t="shared" ca="1" si="50"/>
        <v>38.597971531195526</v>
      </c>
      <c r="U151">
        <f>70</f>
        <v>70</v>
      </c>
      <c r="V151">
        <f>30</f>
        <v>30</v>
      </c>
      <c r="W151">
        <f t="shared" ca="1" si="48"/>
        <v>97.006445815763669</v>
      </c>
      <c r="X151">
        <f t="shared" ca="1" si="37"/>
        <v>98.256634682834616</v>
      </c>
      <c r="Y151">
        <f t="shared" ca="1" si="36"/>
        <v>-1.0344497568075326</v>
      </c>
      <c r="Z151">
        <f t="shared" ca="1" si="38"/>
        <v>-1.2304338928999892</v>
      </c>
      <c r="AA151">
        <f t="shared" ca="1" si="39"/>
        <v>0.19598413609245657</v>
      </c>
      <c r="AB151">
        <f t="shared" ca="1" si="40"/>
        <v>101.83539999999999</v>
      </c>
    </row>
    <row r="152" spans="1:28" x14ac:dyDescent="0.25">
      <c r="A152" s="21">
        <f t="shared" ca="1" si="41"/>
        <v>45922</v>
      </c>
      <c r="B152" vm="445">
        <f ca="1"/>
        <v>45923</v>
      </c>
      <c r="C152" vm="446">
        <f ca="1"/>
        <v>98.55</v>
      </c>
      <c r="D152" vm="447">
        <f ca="1"/>
        <v>2204294</v>
      </c>
      <c r="E152">
        <f t="shared" ca="1" si="42"/>
        <v>217233173.69999999</v>
      </c>
      <c r="F152">
        <f ca="1">SUM($E$2:E152)/SUM($D$2:D152)</f>
        <v>103.43590887859372</v>
      </c>
      <c r="G152">
        <f ca="1">_xlfn.STDEV.P($C$2:C152)</f>
        <v>4.5224937939396845</v>
      </c>
      <c r="H152">
        <f t="shared" ca="1" si="43"/>
        <v>107.95840267253341</v>
      </c>
      <c r="I152">
        <f t="shared" ca="1" si="44"/>
        <v>98.913415084654034</v>
      </c>
      <c r="J152">
        <f t="shared" ca="1" si="53"/>
        <v>97.493499999999983</v>
      </c>
      <c r="K152">
        <f t="shared" ca="1" si="54"/>
        <v>1.1258740464283963</v>
      </c>
      <c r="L152">
        <f t="shared" ca="1" si="55"/>
        <v>99.74524809285677</v>
      </c>
      <c r="M152">
        <f t="shared" ca="1" si="56"/>
        <v>95.241751907143197</v>
      </c>
      <c r="N152">
        <f t="shared" ca="1" si="45"/>
        <v>1.9299999999999926</v>
      </c>
      <c r="O152">
        <f t="shared" ca="1" si="46"/>
        <v>1.9299999999999926</v>
      </c>
      <c r="P152">
        <f t="shared" ca="1" si="47"/>
        <v>0</v>
      </c>
      <c r="Q152">
        <f t="shared" ca="1" si="51"/>
        <v>0.34485257936627772</v>
      </c>
      <c r="R152">
        <f t="shared" ca="1" si="52"/>
        <v>0.32929035338487039</v>
      </c>
      <c r="S152">
        <f t="shared" ca="1" si="49"/>
        <v>1.0472598903109025</v>
      </c>
      <c r="T152">
        <f t="shared" ca="1" si="50"/>
        <v>51.154223030856272</v>
      </c>
      <c r="U152">
        <f>70</f>
        <v>70</v>
      </c>
      <c r="V152">
        <f>30</f>
        <v>30</v>
      </c>
      <c r="W152">
        <f t="shared" ca="1" si="48"/>
        <v>97.243915690261559</v>
      </c>
      <c r="X152">
        <f t="shared" ca="1" si="37"/>
        <v>98.278365447069092</v>
      </c>
      <c r="Y152">
        <f t="shared" ca="1" si="36"/>
        <v>-0.8328940464096064</v>
      </c>
      <c r="Z152">
        <f t="shared" ca="1" si="38"/>
        <v>-1.1509259236019127</v>
      </c>
      <c r="AA152">
        <f t="shared" ca="1" si="39"/>
        <v>0.3180318771923063</v>
      </c>
      <c r="AB152">
        <f t="shared" ca="1" si="40"/>
        <v>101.69339999999997</v>
      </c>
    </row>
    <row r="153" spans="1:28" x14ac:dyDescent="0.25">
      <c r="A153" s="21">
        <f t="shared" ca="1" si="41"/>
        <v>45922</v>
      </c>
      <c r="B153" vm="448">
        <f ca="1"/>
        <v>45924</v>
      </c>
      <c r="C153" vm="449">
        <f ca="1"/>
        <v>98.81</v>
      </c>
      <c r="D153" vm="450">
        <f ca="1"/>
        <v>1611788</v>
      </c>
      <c r="E153">
        <f t="shared" ca="1" si="42"/>
        <v>159260772.28</v>
      </c>
      <c r="F153">
        <f ca="1">SUM($E$2:E153)/SUM($D$2:D153)</f>
        <v>103.4181700467436</v>
      </c>
      <c r="G153">
        <f ca="1">_xlfn.STDEV.P($C$2:C153)</f>
        <v>4.5221224872067047</v>
      </c>
      <c r="H153">
        <f t="shared" ca="1" si="43"/>
        <v>107.9402925339503</v>
      </c>
      <c r="I153">
        <f t="shared" ca="1" si="44"/>
        <v>98.896047559536896</v>
      </c>
      <c r="J153">
        <f t="shared" ca="1" si="53"/>
        <v>97.447999999999993</v>
      </c>
      <c r="K153">
        <f t="shared" ca="1" si="54"/>
        <v>1.0467674551986972</v>
      </c>
      <c r="L153">
        <f t="shared" ca="1" si="55"/>
        <v>99.541534910397388</v>
      </c>
      <c r="M153">
        <f t="shared" ca="1" si="56"/>
        <v>95.354465089602598</v>
      </c>
      <c r="N153">
        <f t="shared" ca="1" si="45"/>
        <v>0.26000000000000512</v>
      </c>
      <c r="O153">
        <f t="shared" ca="1" si="46"/>
        <v>0.26000000000000512</v>
      </c>
      <c r="P153">
        <f t="shared" ca="1" si="47"/>
        <v>0</v>
      </c>
      <c r="Q153">
        <f t="shared" ca="1" si="51"/>
        <v>0.33879168084011541</v>
      </c>
      <c r="R153">
        <f t="shared" ca="1" si="52"/>
        <v>0.30576961385737966</v>
      </c>
      <c r="S153">
        <f t="shared" ca="1" si="49"/>
        <v>1.1079965617451388</v>
      </c>
      <c r="T153">
        <f t="shared" ca="1" si="50"/>
        <v>52.561592454774505</v>
      </c>
      <c r="U153">
        <f>70</f>
        <v>70</v>
      </c>
      <c r="V153">
        <f>30</f>
        <v>30</v>
      </c>
      <c r="W153">
        <f t="shared" ca="1" si="48"/>
        <v>97.48485173791363</v>
      </c>
      <c r="X153">
        <f t="shared" ca="1" si="37"/>
        <v>98.317745784323236</v>
      </c>
      <c r="Y153">
        <f t="shared" ca="1" si="36"/>
        <v>-0.70218351494216336</v>
      </c>
      <c r="Z153">
        <f t="shared" ca="1" si="38"/>
        <v>-1.0611774418699629</v>
      </c>
      <c r="AA153">
        <f t="shared" ca="1" si="39"/>
        <v>0.35899392692779952</v>
      </c>
      <c r="AB153">
        <f t="shared" ca="1" si="40"/>
        <v>101.55589999999997</v>
      </c>
    </row>
    <row r="154" spans="1:28" x14ac:dyDescent="0.25">
      <c r="A154" s="21">
        <f t="shared" ca="1" si="41"/>
        <v>45922</v>
      </c>
      <c r="B154" vm="451">
        <f ca="1"/>
        <v>45925</v>
      </c>
      <c r="C154" vm="452">
        <f ca="1"/>
        <v>98.35</v>
      </c>
      <c r="D154" vm="453">
        <f ca="1"/>
        <v>1848471</v>
      </c>
      <c r="E154">
        <f t="shared" ca="1" si="42"/>
        <v>181797122.84999999</v>
      </c>
      <c r="F154">
        <f ca="1">SUM($E$2:E154)/SUM($D$2:D154)</f>
        <v>103.39597898386488</v>
      </c>
      <c r="G154">
        <f ca="1">_xlfn.STDEV.P($C$2:C154)</f>
        <v>4.524658735631764</v>
      </c>
      <c r="H154">
        <f t="shared" ca="1" si="43"/>
        <v>107.92063771949664</v>
      </c>
      <c r="I154">
        <f t="shared" ca="1" si="44"/>
        <v>98.871320248233118</v>
      </c>
      <c r="J154">
        <f t="shared" ca="1" si="53"/>
        <v>97.361999999999995</v>
      </c>
      <c r="K154">
        <f t="shared" ca="1" si="54"/>
        <v>0.87688203611612303</v>
      </c>
      <c r="L154">
        <f t="shared" ca="1" si="55"/>
        <v>99.115764072232238</v>
      </c>
      <c r="M154">
        <f t="shared" ca="1" si="56"/>
        <v>95.608235927767751</v>
      </c>
      <c r="N154">
        <f t="shared" ca="1" si="45"/>
        <v>-0.46000000000000796</v>
      </c>
      <c r="O154">
        <f t="shared" ca="1" si="46"/>
        <v>0</v>
      </c>
      <c r="P154">
        <f t="shared" ca="1" si="47"/>
        <v>0.46000000000000796</v>
      </c>
      <c r="Q154">
        <f t="shared" ca="1" si="51"/>
        <v>0.31459227506582144</v>
      </c>
      <c r="R154">
        <f t="shared" ca="1" si="52"/>
        <v>0.31678607001042458</v>
      </c>
      <c r="S154">
        <f t="shared" ca="1" si="49"/>
        <v>0.99307483771451521</v>
      </c>
      <c r="T154">
        <f t="shared" ca="1" si="50"/>
        <v>49.826269386516714</v>
      </c>
      <c r="U154">
        <f>70</f>
        <v>70</v>
      </c>
      <c r="V154">
        <f>30</f>
        <v>30</v>
      </c>
      <c r="W154">
        <f t="shared" ca="1" si="48"/>
        <v>97.617951470542309</v>
      </c>
      <c r="X154">
        <f t="shared" ca="1" si="37"/>
        <v>98.320134985484472</v>
      </c>
      <c r="Y154">
        <f t="shared" ca="1" si="36"/>
        <v>-0.49046234624327667</v>
      </c>
      <c r="Z154">
        <f t="shared" ca="1" si="38"/>
        <v>-0.94703442274462568</v>
      </c>
      <c r="AA154">
        <f t="shared" ca="1" si="39"/>
        <v>0.45657207650134901</v>
      </c>
      <c r="AB154">
        <f t="shared" ca="1" si="40"/>
        <v>101.43909999999998</v>
      </c>
    </row>
    <row r="155" spans="1:28" x14ac:dyDescent="0.25">
      <c r="A155" s="21">
        <f t="shared" ca="1" si="41"/>
        <v>45922</v>
      </c>
      <c r="B155" vm="454">
        <f ca="1"/>
        <v>45926</v>
      </c>
      <c r="C155" vm="455">
        <f ca="1"/>
        <v>99.62</v>
      </c>
      <c r="D155" vm="456">
        <f ca="1"/>
        <v>1947302</v>
      </c>
      <c r="E155">
        <f t="shared" ca="1" si="42"/>
        <v>193990225.24000001</v>
      </c>
      <c r="F155">
        <f ca="1">SUM($E$2:E155)/SUM($D$2:D155)</f>
        <v>103.37864180084163</v>
      </c>
      <c r="G155">
        <f ca="1">_xlfn.STDEV.P($C$2:C155)</f>
        <v>4.519250037039833</v>
      </c>
      <c r="H155">
        <f t="shared" ca="1" si="43"/>
        <v>107.89789183788147</v>
      </c>
      <c r="I155">
        <f t="shared" ca="1" si="44"/>
        <v>98.859391763801796</v>
      </c>
      <c r="J155">
        <f t="shared" ca="1" si="53"/>
        <v>97.4345</v>
      </c>
      <c r="K155">
        <f t="shared" ca="1" si="54"/>
        <v>0.99868584702729835</v>
      </c>
      <c r="L155">
        <f t="shared" ca="1" si="55"/>
        <v>99.431871694054593</v>
      </c>
      <c r="M155">
        <f t="shared" ca="1" si="56"/>
        <v>95.437128305945407</v>
      </c>
      <c r="N155">
        <f t="shared" ca="1" si="45"/>
        <v>1.2700000000000102</v>
      </c>
      <c r="O155">
        <f t="shared" ca="1" si="46"/>
        <v>1.2700000000000102</v>
      </c>
      <c r="P155">
        <f t="shared" ca="1" si="47"/>
        <v>0</v>
      </c>
      <c r="Q155">
        <f t="shared" ca="1" si="51"/>
        <v>0.38283568398969209</v>
      </c>
      <c r="R155">
        <f t="shared" ca="1" si="52"/>
        <v>0.29415849358110852</v>
      </c>
      <c r="S155">
        <f t="shared" ca="1" si="49"/>
        <v>1.3014605810936155</v>
      </c>
      <c r="T155">
        <f t="shared" ca="1" si="50"/>
        <v>56.549331836706202</v>
      </c>
      <c r="U155">
        <f>70</f>
        <v>70</v>
      </c>
      <c r="V155">
        <f>30</f>
        <v>30</v>
      </c>
      <c r="W155">
        <f t="shared" ca="1" si="48"/>
        <v>97.925958936612716</v>
      </c>
      <c r="X155">
        <f t="shared" ca="1" si="37"/>
        <v>98.416421282855993</v>
      </c>
      <c r="Y155">
        <f t="shared" ca="1" si="36"/>
        <v>-0.32298322722000705</v>
      </c>
      <c r="Z155">
        <f t="shared" ca="1" si="38"/>
        <v>-0.82222418363970207</v>
      </c>
      <c r="AA155">
        <f t="shared" ca="1" si="39"/>
        <v>0.49924095641969501</v>
      </c>
      <c r="AB155">
        <f t="shared" ca="1" si="40"/>
        <v>101.34009999999998</v>
      </c>
    </row>
    <row r="156" spans="1:28" x14ac:dyDescent="0.25">
      <c r="A156" s="21">
        <f t="shared" ca="1" si="41"/>
        <v>45929</v>
      </c>
      <c r="B156" vm="457">
        <f ca="1"/>
        <v>45929</v>
      </c>
      <c r="C156" vm="458">
        <f ca="1"/>
        <v>99.57</v>
      </c>
      <c r="D156" vm="459">
        <f ca="1"/>
        <v>1875302</v>
      </c>
      <c r="E156">
        <f t="shared" ca="1" si="42"/>
        <v>186723820.13999999</v>
      </c>
      <c r="F156">
        <f ca="1">SUM($E$2:E156)/SUM($D$2:D156)</f>
        <v>103.36187535827196</v>
      </c>
      <c r="G156">
        <f ca="1">_xlfn.STDEV.P($C$2:C156)</f>
        <v>4.5140418052289739</v>
      </c>
      <c r="H156">
        <f t="shared" ca="1" si="43"/>
        <v>107.87591716350093</v>
      </c>
      <c r="I156">
        <f t="shared" ca="1" si="44"/>
        <v>98.847833553042989</v>
      </c>
      <c r="J156">
        <f t="shared" ca="1" si="53"/>
        <v>97.501499999999993</v>
      </c>
      <c r="K156">
        <f t="shared" ca="1" si="54"/>
        <v>1.0951533177933048</v>
      </c>
      <c r="L156">
        <f t="shared" ca="1" si="55"/>
        <v>99.691806635586602</v>
      </c>
      <c r="M156">
        <f t="shared" ca="1" si="56"/>
        <v>95.311193364413384</v>
      </c>
      <c r="N156">
        <f t="shared" ca="1" si="45"/>
        <v>-5.0000000000011369E-2</v>
      </c>
      <c r="O156">
        <f t="shared" ca="1" si="46"/>
        <v>0</v>
      </c>
      <c r="P156">
        <f t="shared" ca="1" si="47"/>
        <v>5.0000000000011369E-2</v>
      </c>
      <c r="Q156">
        <f t="shared" ca="1" si="51"/>
        <v>0.35549027799042837</v>
      </c>
      <c r="R156">
        <f t="shared" ca="1" si="52"/>
        <v>0.27671860118245872</v>
      </c>
      <c r="S156">
        <f t="shared" ca="1" si="49"/>
        <v>1.2846634684888072</v>
      </c>
      <c r="T156">
        <f t="shared" ca="1" si="50"/>
        <v>56.229877450552877</v>
      </c>
      <c r="U156">
        <f>70</f>
        <v>70</v>
      </c>
      <c r="V156">
        <f>30</f>
        <v>30</v>
      </c>
      <c r="W156">
        <f t="shared" ca="1" si="48"/>
        <v>98.178888330979987</v>
      </c>
      <c r="X156">
        <f t="shared" ca="1" si="37"/>
        <v>98.501871558199994</v>
      </c>
      <c r="Y156">
        <f t="shared" ref="Y156:Y219" ca="1" si="57">W157-X157</f>
        <v>-0.11230319690581325</v>
      </c>
      <c r="Z156">
        <f t="shared" ca="1" si="38"/>
        <v>-0.68023998629292426</v>
      </c>
      <c r="AA156">
        <f t="shared" ca="1" si="39"/>
        <v>0.56793678938711101</v>
      </c>
      <c r="AB156">
        <f t="shared" ca="1" si="40"/>
        <v>101.23109999999997</v>
      </c>
    </row>
    <row r="157" spans="1:28" x14ac:dyDescent="0.25">
      <c r="A157" s="21">
        <f t="shared" ca="1" si="41"/>
        <v>45929</v>
      </c>
      <c r="B157" vm="460">
        <f ca="1"/>
        <v>45930</v>
      </c>
      <c r="C157" vm="461">
        <f ca="1"/>
        <v>100.52</v>
      </c>
      <c r="D157" vm="462">
        <f ca="1"/>
        <v>2199219</v>
      </c>
      <c r="E157">
        <f t="shared" ca="1" si="42"/>
        <v>221065493.88</v>
      </c>
      <c r="F157">
        <f ca="1">SUM($E$2:E157)/SUM($D$2:D157)</f>
        <v>103.34727926043972</v>
      </c>
      <c r="G157">
        <f ca="1">_xlfn.STDEV.P($C$2:C157)</f>
        <v>4.5045629994932552</v>
      </c>
      <c r="H157">
        <f t="shared" ca="1" si="43"/>
        <v>107.85184225993298</v>
      </c>
      <c r="I157">
        <f t="shared" ca="1" si="44"/>
        <v>98.84271626094646</v>
      </c>
      <c r="J157">
        <f t="shared" ca="1" si="53"/>
        <v>97.66749999999999</v>
      </c>
      <c r="K157">
        <f t="shared" ca="1" si="54"/>
        <v>1.282620159550055</v>
      </c>
      <c r="L157">
        <f t="shared" ca="1" si="55"/>
        <v>100.2327403191001</v>
      </c>
      <c r="M157">
        <f t="shared" ca="1" si="56"/>
        <v>95.102259680899877</v>
      </c>
      <c r="N157">
        <f t="shared" ca="1" si="45"/>
        <v>0.95000000000000284</v>
      </c>
      <c r="O157">
        <f t="shared" ca="1" si="46"/>
        <v>0.95000000000000284</v>
      </c>
      <c r="P157">
        <f t="shared" ca="1" si="47"/>
        <v>0</v>
      </c>
      <c r="Q157">
        <f t="shared" ca="1" si="51"/>
        <v>0.39795525813396943</v>
      </c>
      <c r="R157">
        <f t="shared" ca="1" si="52"/>
        <v>0.25695298681228312</v>
      </c>
      <c r="S157">
        <f t="shared" ca="1" si="49"/>
        <v>1.5487473528560127</v>
      </c>
      <c r="T157">
        <f t="shared" ca="1" si="50"/>
        <v>60.765040172402941</v>
      </c>
      <c r="U157">
        <f>70</f>
        <v>70</v>
      </c>
      <c r="V157">
        <f>30</f>
        <v>30</v>
      </c>
      <c r="W157">
        <f t="shared" ca="1" si="48"/>
        <v>98.53905935698306</v>
      </c>
      <c r="X157">
        <f t="shared" ref="X157:X220" ca="1" si="58">C157*(2/(26+1)) + X156*(1-(2/(26+1)))</f>
        <v>98.651362553888873</v>
      </c>
      <c r="Y157">
        <f t="shared" ca="1" si="57"/>
        <v>-0.13342507404533421</v>
      </c>
      <c r="Z157">
        <f t="shared" ca="1" si="38"/>
        <v>-0.57087700384340623</v>
      </c>
      <c r="AA157">
        <f t="shared" ca="1" si="39"/>
        <v>0.43745192979807201</v>
      </c>
      <c r="AB157">
        <f t="shared" ca="1" si="40"/>
        <v>101.12589999999996</v>
      </c>
    </row>
    <row r="158" spans="1:28" x14ac:dyDescent="0.25">
      <c r="A158" s="21">
        <f t="shared" ca="1" si="41"/>
        <v>45929</v>
      </c>
      <c r="B158" vm="463">
        <f ca="1"/>
        <v>45931</v>
      </c>
      <c r="C158" vm="396">
        <f ca="1"/>
        <v>98.17</v>
      </c>
      <c r="D158" vm="464">
        <f ca="1"/>
        <v>2301874</v>
      </c>
      <c r="E158">
        <f t="shared" ca="1" si="42"/>
        <v>225974970.58000001</v>
      </c>
      <c r="F158">
        <f ca="1">SUM($E$2:E158)/SUM($D$2:D158)</f>
        <v>103.31959595383043</v>
      </c>
      <c r="G158">
        <f ca="1">_xlfn.STDEV.P($C$2:C158)</f>
        <v>4.5077429285835651</v>
      </c>
      <c r="H158">
        <f t="shared" ca="1" si="43"/>
        <v>107.827338882414</v>
      </c>
      <c r="I158">
        <f t="shared" ca="1" si="44"/>
        <v>98.811853025246862</v>
      </c>
      <c r="J158">
        <f t="shared" ca="1" si="53"/>
        <v>97.683499999999995</v>
      </c>
      <c r="K158">
        <f t="shared" ca="1" si="54"/>
        <v>1.2870049891532127</v>
      </c>
      <c r="L158">
        <f t="shared" ca="1" si="55"/>
        <v>100.25750997830642</v>
      </c>
      <c r="M158">
        <f t="shared" ca="1" si="56"/>
        <v>95.109490021693574</v>
      </c>
      <c r="N158">
        <f t="shared" ca="1" si="45"/>
        <v>-2.3499999999999943</v>
      </c>
      <c r="O158">
        <f t="shared" ca="1" si="46"/>
        <v>0</v>
      </c>
      <c r="P158">
        <f t="shared" ca="1" si="47"/>
        <v>2.3499999999999943</v>
      </c>
      <c r="Q158">
        <f t="shared" ca="1" si="51"/>
        <v>0.36952988255297159</v>
      </c>
      <c r="R158">
        <f t="shared" ca="1" si="52"/>
        <v>0.40645634489711963</v>
      </c>
      <c r="S158">
        <f t="shared" ca="1" si="49"/>
        <v>0.90915023763869474</v>
      </c>
      <c r="T158">
        <f t="shared" ca="1" si="50"/>
        <v>47.620675403899291</v>
      </c>
      <c r="U158">
        <f>70</f>
        <v>70</v>
      </c>
      <c r="V158">
        <f>30</f>
        <v>30</v>
      </c>
      <c r="W158">
        <f t="shared" ca="1" si="48"/>
        <v>98.482280994370285</v>
      </c>
      <c r="X158">
        <f t="shared" ca="1" si="58"/>
        <v>98.615706068415619</v>
      </c>
      <c r="Y158">
        <f t="shared" ca="1" si="57"/>
        <v>-0.19073224190057658</v>
      </c>
      <c r="Z158">
        <f t="shared" ca="1" si="38"/>
        <v>-0.49484805145484034</v>
      </c>
      <c r="AA158">
        <f t="shared" ca="1" si="39"/>
        <v>0.30411580955426376</v>
      </c>
      <c r="AB158">
        <f t="shared" ca="1" si="40"/>
        <v>101.03009999999996</v>
      </c>
    </row>
    <row r="159" spans="1:28" x14ac:dyDescent="0.25">
      <c r="A159" s="21">
        <f t="shared" ca="1" si="41"/>
        <v>45929</v>
      </c>
      <c r="B159" vm="465">
        <f ca="1"/>
        <v>45932</v>
      </c>
      <c r="C159" vm="466">
        <f ca="1"/>
        <v>97.64</v>
      </c>
      <c r="D159" vm="467">
        <f ca="1"/>
        <v>1449485</v>
      </c>
      <c r="E159">
        <f t="shared" ca="1" si="42"/>
        <v>141527715.40000001</v>
      </c>
      <c r="F159">
        <f ca="1">SUM($E$2:E159)/SUM($D$2:D159)</f>
        <v>103.30053668837043</v>
      </c>
      <c r="G159">
        <f ca="1">_xlfn.STDEV.P($C$2:C159)</f>
        <v>4.5145219774086467</v>
      </c>
      <c r="H159">
        <f t="shared" ca="1" si="43"/>
        <v>107.81505866577908</v>
      </c>
      <c r="I159">
        <f t="shared" ca="1" si="44"/>
        <v>98.78601471096178</v>
      </c>
      <c r="J159">
        <f t="shared" ca="1" si="53"/>
        <v>97.675499999999985</v>
      </c>
      <c r="K159">
        <f t="shared" ca="1" si="54"/>
        <v>1.286739964733397</v>
      </c>
      <c r="L159">
        <f t="shared" ca="1" si="55"/>
        <v>100.24897992946678</v>
      </c>
      <c r="M159">
        <f t="shared" ca="1" si="56"/>
        <v>95.102020070533186</v>
      </c>
      <c r="N159">
        <f t="shared" ca="1" si="45"/>
        <v>-0.53000000000000114</v>
      </c>
      <c r="O159">
        <f t="shared" ca="1" si="46"/>
        <v>0</v>
      </c>
      <c r="P159">
        <f t="shared" ca="1" si="47"/>
        <v>0.53000000000000114</v>
      </c>
      <c r="Q159">
        <f t="shared" ca="1" si="51"/>
        <v>0.34313489094204502</v>
      </c>
      <c r="R159">
        <f t="shared" ca="1" si="52"/>
        <v>0.41528089169018262</v>
      </c>
      <c r="S159">
        <f t="shared" ca="1" si="49"/>
        <v>0.82627180255150867</v>
      </c>
      <c r="T159">
        <f t="shared" ca="1" si="50"/>
        <v>45.243637962164954</v>
      </c>
      <c r="U159">
        <f>70</f>
        <v>70</v>
      </c>
      <c r="V159">
        <f>30</f>
        <v>30</v>
      </c>
      <c r="W159">
        <f t="shared" ca="1" si="48"/>
        <v>98.352699302928698</v>
      </c>
      <c r="X159">
        <f t="shared" ca="1" si="58"/>
        <v>98.543431544829275</v>
      </c>
      <c r="Y159">
        <f t="shared" ca="1" si="57"/>
        <v>-0.14012409999911313</v>
      </c>
      <c r="Z159">
        <f t="shared" ca="1" si="38"/>
        <v>-0.42390326116369492</v>
      </c>
      <c r="AA159">
        <f t="shared" ca="1" si="39"/>
        <v>0.28377916116458179</v>
      </c>
      <c r="AB159">
        <f t="shared" ca="1" si="40"/>
        <v>100.92969999999997</v>
      </c>
    </row>
    <row r="160" spans="1:28" x14ac:dyDescent="0.25">
      <c r="A160" s="21">
        <f t="shared" ca="1" si="41"/>
        <v>45929</v>
      </c>
      <c r="B160" vm="468">
        <f ca="1"/>
        <v>45933</v>
      </c>
      <c r="C160" vm="449">
        <f ca="1"/>
        <v>98.81</v>
      </c>
      <c r="D160" vm="469">
        <f ca="1"/>
        <v>1676205</v>
      </c>
      <c r="E160">
        <f t="shared" ca="1" si="42"/>
        <v>165625816.05000001</v>
      </c>
      <c r="F160">
        <f ca="1">SUM($E$2:E160)/SUM($D$2:D160)</f>
        <v>103.28317794434076</v>
      </c>
      <c r="G160">
        <f ca="1">_xlfn.STDEV.P($C$2:C160)</f>
        <v>4.5130543671375012</v>
      </c>
      <c r="H160">
        <f t="shared" ca="1" si="43"/>
        <v>107.79623231147826</v>
      </c>
      <c r="I160">
        <f t="shared" ca="1" si="44"/>
        <v>98.770123577203265</v>
      </c>
      <c r="J160">
        <f t="shared" ca="1" si="53"/>
        <v>97.713499999999996</v>
      </c>
      <c r="K160">
        <f t="shared" ca="1" si="54"/>
        <v>1.3094043442886938</v>
      </c>
      <c r="L160">
        <f t="shared" ca="1" si="55"/>
        <v>100.33230868857738</v>
      </c>
      <c r="M160">
        <f t="shared" ca="1" si="56"/>
        <v>95.094691311422608</v>
      </c>
      <c r="N160">
        <f t="shared" ca="1" si="45"/>
        <v>1.1700000000000017</v>
      </c>
      <c r="O160">
        <f t="shared" ca="1" si="46"/>
        <v>1.1700000000000017</v>
      </c>
      <c r="P160">
        <f t="shared" ca="1" si="47"/>
        <v>0</v>
      </c>
      <c r="Q160">
        <f t="shared" ca="1" si="51"/>
        <v>0.40219668444618478</v>
      </c>
      <c r="R160">
        <f t="shared" ca="1" si="52"/>
        <v>0.38561797085516958</v>
      </c>
      <c r="S160">
        <f t="shared" ca="1" si="49"/>
        <v>1.0429925855225295</v>
      </c>
      <c r="T160">
        <f t="shared" ca="1" si="50"/>
        <v>51.05219631796983</v>
      </c>
      <c r="U160">
        <f>70</f>
        <v>70</v>
      </c>
      <c r="V160">
        <f>30</f>
        <v>30</v>
      </c>
      <c r="W160">
        <f t="shared" ca="1" si="48"/>
        <v>98.42305325632428</v>
      </c>
      <c r="X160">
        <f t="shared" ca="1" si="58"/>
        <v>98.563177356323393</v>
      </c>
      <c r="Y160">
        <f t="shared" ca="1" si="57"/>
        <v>-5.7395509050692795E-2</v>
      </c>
      <c r="Z160">
        <f t="shared" ca="1" si="38"/>
        <v>-0.35060171074109453</v>
      </c>
      <c r="AA160">
        <f t="shared" ca="1" si="39"/>
        <v>0.29320620169040174</v>
      </c>
      <c r="AB160">
        <f t="shared" ca="1" si="40"/>
        <v>100.88239999999998</v>
      </c>
    </row>
    <row r="161" spans="1:28" x14ac:dyDescent="0.25">
      <c r="A161" s="21">
        <f t="shared" ca="1" si="41"/>
        <v>45936</v>
      </c>
      <c r="B161" vm="470">
        <f ca="1"/>
        <v>45936</v>
      </c>
      <c r="C161" vm="471">
        <f ca="1"/>
        <v>99.33</v>
      </c>
      <c r="D161" vm="472">
        <f ca="1"/>
        <v>1769805</v>
      </c>
      <c r="E161">
        <f t="shared" ca="1" si="42"/>
        <v>175794730.65000001</v>
      </c>
      <c r="F161">
        <f ca="1">SUM($E$2:E161)/SUM($D$2:D161)</f>
        <v>103.26710868942212</v>
      </c>
      <c r="G161">
        <f ca="1">_xlfn.STDEV.P($C$2:C161)</f>
        <v>4.5085809574632236</v>
      </c>
      <c r="H161">
        <f t="shared" ca="1" si="43"/>
        <v>107.77568964688534</v>
      </c>
      <c r="I161">
        <f t="shared" ca="1" si="44"/>
        <v>98.758527731958893</v>
      </c>
      <c r="J161">
        <f t="shared" ca="1" si="53"/>
        <v>97.847499999999997</v>
      </c>
      <c r="K161">
        <f t="shared" ca="1" si="54"/>
        <v>1.3317810591361043</v>
      </c>
      <c r="L161">
        <f t="shared" ca="1" si="55"/>
        <v>100.51106211827221</v>
      </c>
      <c r="M161">
        <f t="shared" ca="1" si="56"/>
        <v>95.183937881727786</v>
      </c>
      <c r="N161">
        <f t="shared" ca="1" si="45"/>
        <v>0.51999999999999602</v>
      </c>
      <c r="O161">
        <f t="shared" ca="1" si="46"/>
        <v>0.51999999999999602</v>
      </c>
      <c r="P161">
        <f t="shared" ca="1" si="47"/>
        <v>0</v>
      </c>
      <c r="Q161">
        <f t="shared" ca="1" si="51"/>
        <v>0.41061120698574272</v>
      </c>
      <c r="R161">
        <f t="shared" ca="1" si="52"/>
        <v>0.35807383007980037</v>
      </c>
      <c r="S161">
        <f t="shared" ca="1" si="49"/>
        <v>1.1467221910471197</v>
      </c>
      <c r="T161">
        <f t="shared" ca="1" si="50"/>
        <v>53.417353946845637</v>
      </c>
      <c r="U161">
        <f>70</f>
        <v>70</v>
      </c>
      <c r="V161">
        <f>30</f>
        <v>30</v>
      </c>
      <c r="W161">
        <f t="shared" ca="1" si="48"/>
        <v>98.562583524582081</v>
      </c>
      <c r="X161">
        <f t="shared" ca="1" si="58"/>
        <v>98.619979033632774</v>
      </c>
      <c r="Y161">
        <f t="shared" ca="1" si="57"/>
        <v>6.471259507186744E-2</v>
      </c>
      <c r="Z161">
        <f t="shared" ca="1" si="38"/>
        <v>-0.26753884957850216</v>
      </c>
      <c r="AA161">
        <f t="shared" ca="1" si="39"/>
        <v>0.3322514446503696</v>
      </c>
      <c r="AB161">
        <f t="shared" ca="1" si="40"/>
        <v>100.86989999999997</v>
      </c>
    </row>
    <row r="162" spans="1:28" x14ac:dyDescent="0.25">
      <c r="A162" s="21">
        <f t="shared" ca="1" si="41"/>
        <v>45936</v>
      </c>
      <c r="B162" vm="473">
        <f ca="1"/>
        <v>45937</v>
      </c>
      <c r="C162" vm="474">
        <f ca="1"/>
        <v>100.04</v>
      </c>
      <c r="D162" vm="475">
        <f ca="1"/>
        <v>1722042</v>
      </c>
      <c r="E162">
        <f t="shared" ca="1" si="42"/>
        <v>172273081.68000001</v>
      </c>
      <c r="F162">
        <f ca="1">SUM($E$2:E162)/SUM($D$2:D162)</f>
        <v>103.25439513575392</v>
      </c>
      <c r="G162">
        <f ca="1">_xlfn.STDEV.P($C$2:C162)</f>
        <v>4.5007661355028157</v>
      </c>
      <c r="H162">
        <f t="shared" ca="1" si="43"/>
        <v>107.75516127125674</v>
      </c>
      <c r="I162">
        <f t="shared" ca="1" si="44"/>
        <v>98.753629000251109</v>
      </c>
      <c r="J162">
        <f t="shared" ca="1" si="53"/>
        <v>98.000499999999988</v>
      </c>
      <c r="K162">
        <f t="shared" ca="1" si="54"/>
        <v>1.4008549081486676</v>
      </c>
      <c r="L162">
        <f t="shared" ca="1" si="55"/>
        <v>100.80220981629732</v>
      </c>
      <c r="M162">
        <f t="shared" ca="1" si="56"/>
        <v>95.198790183702656</v>
      </c>
      <c r="N162">
        <f t="shared" ca="1" si="45"/>
        <v>0.71000000000000796</v>
      </c>
      <c r="O162">
        <f t="shared" ca="1" si="46"/>
        <v>0.71000000000000796</v>
      </c>
      <c r="P162">
        <f t="shared" ca="1" si="47"/>
        <v>0</v>
      </c>
      <c r="Q162">
        <f t="shared" ca="1" si="51"/>
        <v>0.43199612077247596</v>
      </c>
      <c r="R162">
        <f t="shared" ca="1" si="52"/>
        <v>0.33249712793124325</v>
      </c>
      <c r="S162">
        <f t="shared" ca="1" si="49"/>
        <v>1.2992476760936353</v>
      </c>
      <c r="T162">
        <f t="shared" ca="1" si="50"/>
        <v>56.507512853118328</v>
      </c>
      <c r="U162">
        <f>70</f>
        <v>70</v>
      </c>
      <c r="V162">
        <f>30</f>
        <v>30</v>
      </c>
      <c r="W162">
        <f t="shared" ca="1" si="48"/>
        <v>98.789878366954071</v>
      </c>
      <c r="X162">
        <f t="shared" ca="1" si="58"/>
        <v>98.725165771882203</v>
      </c>
      <c r="Y162">
        <f t="shared" ca="1" si="57"/>
        <v>0.22266381516708122</v>
      </c>
      <c r="Z162">
        <f t="shared" ca="1" si="38"/>
        <v>-0.1694983166293855</v>
      </c>
      <c r="AA162">
        <f t="shared" ca="1" si="39"/>
        <v>0.39216213179646675</v>
      </c>
      <c r="AB162">
        <f t="shared" ca="1" si="40"/>
        <v>100.87759999999999</v>
      </c>
    </row>
    <row r="163" spans="1:28" x14ac:dyDescent="0.25">
      <c r="A163" s="21">
        <f t="shared" ca="1" si="41"/>
        <v>45936</v>
      </c>
      <c r="B163" vm="476">
        <f ca="1"/>
        <v>45938</v>
      </c>
      <c r="C163" vm="477">
        <f ca="1"/>
        <v>100.83</v>
      </c>
      <c r="D163" vm="478">
        <f ca="1"/>
        <v>1570590</v>
      </c>
      <c r="E163">
        <f t="shared" ca="1" si="42"/>
        <v>158362589.69999999</v>
      </c>
      <c r="F163">
        <f ca="1">SUM($E$2:E163)/SUM($D$2:D163)</f>
        <v>103.24571516659026</v>
      </c>
      <c r="G163">
        <f ca="1">_xlfn.STDEV.P($C$2:C163)</f>
        <v>4.4901588970145552</v>
      </c>
      <c r="H163">
        <f t="shared" ca="1" si="43"/>
        <v>107.73587406360481</v>
      </c>
      <c r="I163">
        <f t="shared" ca="1" si="44"/>
        <v>98.755556269575706</v>
      </c>
      <c r="J163">
        <f t="shared" ca="1" si="53"/>
        <v>98.187999999999988</v>
      </c>
      <c r="K163">
        <f t="shared" ca="1" si="54"/>
        <v>1.5172884401214941</v>
      </c>
      <c r="L163">
        <f t="shared" ca="1" si="55"/>
        <v>101.22257688024298</v>
      </c>
      <c r="M163">
        <f t="shared" ca="1" si="56"/>
        <v>95.153423119756994</v>
      </c>
      <c r="N163">
        <f t="shared" ca="1" si="45"/>
        <v>0.78999999999999204</v>
      </c>
      <c r="O163">
        <f t="shared" ca="1" si="46"/>
        <v>0.78999999999999204</v>
      </c>
      <c r="P163">
        <f t="shared" ca="1" si="47"/>
        <v>0</v>
      </c>
      <c r="Q163">
        <f t="shared" ca="1" si="51"/>
        <v>0.45756782643158422</v>
      </c>
      <c r="R163">
        <f t="shared" ca="1" si="52"/>
        <v>0.30874733307901164</v>
      </c>
      <c r="S163">
        <f t="shared" ca="1" si="49"/>
        <v>1.482013858608741</v>
      </c>
      <c r="T163">
        <f t="shared" ca="1" si="50"/>
        <v>59.710136326130893</v>
      </c>
      <c r="U163">
        <f>70</f>
        <v>70</v>
      </c>
      <c r="V163">
        <f>30</f>
        <v>30</v>
      </c>
      <c r="W163">
        <f t="shared" ca="1" si="48"/>
        <v>99.103743233576523</v>
      </c>
      <c r="X163">
        <f t="shared" ca="1" si="58"/>
        <v>98.881079418409442</v>
      </c>
      <c r="Y163">
        <f t="shared" ca="1" si="57"/>
        <v>0.34148412931384087</v>
      </c>
      <c r="Z163">
        <f t="shared" ca="1" si="38"/>
        <v>-6.7301827440740217E-2</v>
      </c>
      <c r="AA163">
        <f t="shared" ca="1" si="39"/>
        <v>0.40878595675458107</v>
      </c>
      <c r="AB163">
        <f t="shared" ca="1" si="40"/>
        <v>100.86579999999996</v>
      </c>
    </row>
    <row r="164" spans="1:28" x14ac:dyDescent="0.25">
      <c r="A164" s="21">
        <f t="shared" ca="1" si="41"/>
        <v>45936</v>
      </c>
      <c r="B164" vm="479">
        <f ca="1"/>
        <v>45939</v>
      </c>
      <c r="C164" vm="480">
        <f ca="1"/>
        <v>100.8</v>
      </c>
      <c r="D164" vm="481">
        <f ca="1"/>
        <v>1816124</v>
      </c>
      <c r="E164">
        <f t="shared" ca="1" si="42"/>
        <v>183065299.19999999</v>
      </c>
      <c r="F164">
        <f ca="1">SUM($E$2:E164)/SUM($D$2:D164)</f>
        <v>103.23563171844826</v>
      </c>
      <c r="G164">
        <f ca="1">_xlfn.STDEV.P($C$2:C164)</f>
        <v>4.4797066268878778</v>
      </c>
      <c r="H164">
        <f t="shared" ca="1" si="43"/>
        <v>107.71533834533614</v>
      </c>
      <c r="I164">
        <f t="shared" ca="1" si="44"/>
        <v>98.755925091560385</v>
      </c>
      <c r="J164">
        <f t="shared" ca="1" si="53"/>
        <v>98.342999999999989</v>
      </c>
      <c r="K164">
        <f t="shared" ca="1" si="54"/>
        <v>1.6196981525158194</v>
      </c>
      <c r="L164">
        <f t="shared" ca="1" si="55"/>
        <v>101.58239630503162</v>
      </c>
      <c r="M164">
        <f t="shared" ca="1" si="56"/>
        <v>95.103603694968356</v>
      </c>
      <c r="N164">
        <f t="shared" ca="1" si="45"/>
        <v>-3.0000000000001137E-2</v>
      </c>
      <c r="O164">
        <f t="shared" ca="1" si="46"/>
        <v>0</v>
      </c>
      <c r="P164">
        <f t="shared" ca="1" si="47"/>
        <v>3.0000000000001137E-2</v>
      </c>
      <c r="Q164">
        <f t="shared" ca="1" si="51"/>
        <v>0.42488441025789964</v>
      </c>
      <c r="R164">
        <f t="shared" ca="1" si="52"/>
        <v>0.28883680928765376</v>
      </c>
      <c r="S164">
        <f t="shared" ca="1" si="49"/>
        <v>1.4710189165493637</v>
      </c>
      <c r="T164">
        <f t="shared" ca="1" si="50"/>
        <v>59.530864239742741</v>
      </c>
      <c r="U164">
        <f>70</f>
        <v>70</v>
      </c>
      <c r="V164">
        <f>30</f>
        <v>30</v>
      </c>
      <c r="W164">
        <f t="shared" ca="1" si="48"/>
        <v>99.364705813026291</v>
      </c>
      <c r="X164">
        <f t="shared" ca="1" si="58"/>
        <v>99.02322168371245</v>
      </c>
      <c r="Y164">
        <f t="shared" ca="1" si="57"/>
        <v>0.55752301784120561</v>
      </c>
      <c r="Z164">
        <f t="shared" ca="1" si="38"/>
        <v>5.766314161564895E-2</v>
      </c>
      <c r="AA164">
        <f t="shared" ca="1" si="39"/>
        <v>0.49985987622555667</v>
      </c>
      <c r="AB164">
        <f t="shared" ca="1" si="40"/>
        <v>100.83089999999997</v>
      </c>
    </row>
    <row r="165" spans="1:28" x14ac:dyDescent="0.25">
      <c r="A165" s="21">
        <f t="shared" ca="1" si="41"/>
        <v>45936</v>
      </c>
      <c r="B165" vm="482">
        <f ca="1"/>
        <v>45940</v>
      </c>
      <c r="C165" vm="483">
        <f ca="1"/>
        <v>102.39</v>
      </c>
      <c r="D165" vm="484">
        <f ca="1"/>
        <v>2059205</v>
      </c>
      <c r="E165">
        <f t="shared" ca="1" si="42"/>
        <v>210841999.94999999</v>
      </c>
      <c r="F165">
        <f ca="1">SUM($E$2:E165)/SUM($D$2:D165)</f>
        <v>103.23169700544211</v>
      </c>
      <c r="G165">
        <f ca="1">_xlfn.STDEV.P($C$2:C165)</f>
        <v>4.4662823437866059</v>
      </c>
      <c r="H165">
        <f t="shared" ca="1" si="43"/>
        <v>107.69797934922872</v>
      </c>
      <c r="I165">
        <f t="shared" ca="1" si="44"/>
        <v>98.765414661655512</v>
      </c>
      <c r="J165">
        <f t="shared" ca="1" si="53"/>
        <v>98.584999999999994</v>
      </c>
      <c r="K165">
        <f t="shared" ca="1" si="54"/>
        <v>1.8413824897842954</v>
      </c>
      <c r="L165">
        <f t="shared" ca="1" si="55"/>
        <v>102.26776497956858</v>
      </c>
      <c r="M165">
        <f t="shared" ca="1" si="56"/>
        <v>94.902235020431405</v>
      </c>
      <c r="N165">
        <f t="shared" ca="1" si="45"/>
        <v>1.5900000000000034</v>
      </c>
      <c r="O165">
        <f t="shared" ca="1" si="46"/>
        <v>1.5900000000000034</v>
      </c>
      <c r="P165">
        <f t="shared" ca="1" si="47"/>
        <v>0</v>
      </c>
      <c r="Q165">
        <f t="shared" ca="1" si="51"/>
        <v>0.50810695238233561</v>
      </c>
      <c r="R165">
        <f t="shared" ca="1" si="52"/>
        <v>0.26820560862424991</v>
      </c>
      <c r="S165">
        <f t="shared" ca="1" si="49"/>
        <v>1.8944680351341279</v>
      </c>
      <c r="T165">
        <f t="shared" ca="1" si="50"/>
        <v>65.451337245337356</v>
      </c>
      <c r="U165">
        <f>70</f>
        <v>70</v>
      </c>
      <c r="V165">
        <f>30</f>
        <v>30</v>
      </c>
      <c r="W165">
        <f t="shared" ca="1" si="48"/>
        <v>99.830135687945329</v>
      </c>
      <c r="X165">
        <f t="shared" ca="1" si="58"/>
        <v>99.272612670104124</v>
      </c>
      <c r="Y165">
        <f t="shared" ca="1" si="57"/>
        <v>0.59837943457527842</v>
      </c>
      <c r="Z165">
        <f t="shared" ca="1" si="38"/>
        <v>0.16580640020757487</v>
      </c>
      <c r="AA165">
        <f t="shared" ca="1" si="39"/>
        <v>0.43257303436770356</v>
      </c>
      <c r="AB165">
        <f t="shared" ca="1" si="40"/>
        <v>100.80099999999997</v>
      </c>
    </row>
    <row r="166" spans="1:28" x14ac:dyDescent="0.25">
      <c r="A166" s="21">
        <f t="shared" ca="1" si="41"/>
        <v>45943</v>
      </c>
      <c r="B166" vm="485">
        <f ca="1"/>
        <v>45943</v>
      </c>
      <c r="C166" vm="486">
        <f ca="1"/>
        <v>100.86</v>
      </c>
      <c r="D166" vm="487">
        <f ca="1"/>
        <v>1515680</v>
      </c>
      <c r="E166">
        <f t="shared" ca="1" si="42"/>
        <v>152871484.80000001</v>
      </c>
      <c r="F166">
        <f ca="1">SUM($E$2:E166)/SUM($D$2:D166)</f>
        <v>103.22360205691419</v>
      </c>
      <c r="G166">
        <f ca="1">_xlfn.STDEV.P($C$2:C166)</f>
        <v>4.4558196816986033</v>
      </c>
      <c r="H166">
        <f t="shared" ca="1" si="43"/>
        <v>107.67942173861279</v>
      </c>
      <c r="I166">
        <f t="shared" ca="1" si="44"/>
        <v>98.767782375215589</v>
      </c>
      <c r="J166">
        <f t="shared" ca="1" si="53"/>
        <v>98.777999999999992</v>
      </c>
      <c r="K166">
        <f t="shared" ca="1" si="54"/>
        <v>1.8685981235590554</v>
      </c>
      <c r="L166">
        <f t="shared" ca="1" si="55"/>
        <v>102.5151962471181</v>
      </c>
      <c r="M166">
        <f t="shared" ca="1" si="56"/>
        <v>95.040803752881885</v>
      </c>
      <c r="N166">
        <f t="shared" ca="1" si="45"/>
        <v>-1.5300000000000011</v>
      </c>
      <c r="O166">
        <f t="shared" ca="1" si="46"/>
        <v>0</v>
      </c>
      <c r="P166">
        <f t="shared" ca="1" si="47"/>
        <v>1.5300000000000011</v>
      </c>
      <c r="Q166">
        <f t="shared" ca="1" si="51"/>
        <v>0.47181359864074018</v>
      </c>
      <c r="R166">
        <f t="shared" ca="1" si="52"/>
        <v>0.35833377943680356</v>
      </c>
      <c r="S166">
        <f t="shared" ca="1" si="49"/>
        <v>1.316687473288993</v>
      </c>
      <c r="T166">
        <f t="shared" ca="1" si="50"/>
        <v>56.834920051589712</v>
      </c>
      <c r="U166">
        <f>70</f>
        <v>70</v>
      </c>
      <c r="V166">
        <f>30</f>
        <v>30</v>
      </c>
      <c r="W166">
        <f t="shared" ca="1" si="48"/>
        <v>99.988576351338352</v>
      </c>
      <c r="X166">
        <f t="shared" ca="1" si="58"/>
        <v>99.390196916763074</v>
      </c>
      <c r="Y166">
        <f t="shared" ca="1" si="57"/>
        <v>0.70573555099569774</v>
      </c>
      <c r="Z166">
        <f t="shared" ref="Z166:Z229" ca="1" si="59">Y166*(2/(9+1)) + Z165*(1-(2/(9+1)))</f>
        <v>0.27379223036519945</v>
      </c>
      <c r="AA166">
        <f t="shared" ref="AA166:AA229" ca="1" si="60">Y166-Z166</f>
        <v>0.43194332063049828</v>
      </c>
      <c r="AB166">
        <f t="shared" ref="AB166:AB229" ca="1" si="61">AVERAGE(C67:C166)</f>
        <v>100.75249999999998</v>
      </c>
    </row>
    <row r="167" spans="1:28" x14ac:dyDescent="0.25">
      <c r="A167" s="21">
        <f t="shared" ca="1" si="41"/>
        <v>45943</v>
      </c>
      <c r="B167" vm="488">
        <f ca="1"/>
        <v>45944</v>
      </c>
      <c r="C167" vm="489">
        <f ca="1"/>
        <v>101.89</v>
      </c>
      <c r="D167" vm="490">
        <f ca="1"/>
        <v>1423256</v>
      </c>
      <c r="E167">
        <f t="shared" ca="1" si="42"/>
        <v>145015553.84</v>
      </c>
      <c r="F167">
        <f ca="1">SUM($E$2:E167)/SUM($D$2:D167)</f>
        <v>103.21934149431283</v>
      </c>
      <c r="G167">
        <f ca="1">_xlfn.STDEV.P($C$2:C167)</f>
        <v>4.4431869345913864</v>
      </c>
      <c r="H167">
        <f t="shared" ca="1" si="43"/>
        <v>107.66252842890421</v>
      </c>
      <c r="I167">
        <f t="shared" ca="1" si="44"/>
        <v>98.776154559721448</v>
      </c>
      <c r="J167">
        <f t="shared" ca="1" si="53"/>
        <v>99.093999999999994</v>
      </c>
      <c r="K167">
        <f t="shared" ca="1" si="54"/>
        <v>1.8315607379615082</v>
      </c>
      <c r="L167">
        <f t="shared" ca="1" si="55"/>
        <v>102.75712147592301</v>
      </c>
      <c r="M167">
        <f t="shared" ca="1" si="56"/>
        <v>95.430878524076974</v>
      </c>
      <c r="N167">
        <f t="shared" ca="1" si="45"/>
        <v>1.0300000000000011</v>
      </c>
      <c r="O167">
        <f t="shared" ca="1" si="46"/>
        <v>1.0300000000000011</v>
      </c>
      <c r="P167">
        <f t="shared" ca="1" si="47"/>
        <v>0</v>
      </c>
      <c r="Q167">
        <f t="shared" ca="1" si="51"/>
        <v>0.51168405588068733</v>
      </c>
      <c r="R167">
        <f t="shared" ca="1" si="52"/>
        <v>0.33273850947703182</v>
      </c>
      <c r="S167">
        <f t="shared" ca="1" si="49"/>
        <v>1.5377963214564669</v>
      </c>
      <c r="T167">
        <f t="shared" ca="1" si="50"/>
        <v>60.595734514025544</v>
      </c>
      <c r="U167">
        <f>70</f>
        <v>70</v>
      </c>
      <c r="V167">
        <f>30</f>
        <v>30</v>
      </c>
      <c r="W167">
        <f t="shared" ca="1" si="48"/>
        <v>100.28110306651706</v>
      </c>
      <c r="X167">
        <f t="shared" ca="1" si="58"/>
        <v>99.575367515521364</v>
      </c>
      <c r="Y167">
        <f t="shared" ca="1" si="57"/>
        <v>0.81371272994621791</v>
      </c>
      <c r="Z167">
        <f t="shared" ca="1" si="59"/>
        <v>0.38177633028140318</v>
      </c>
      <c r="AA167">
        <f t="shared" ca="1" si="60"/>
        <v>0.43193639966481473</v>
      </c>
      <c r="AB167">
        <f t="shared" ca="1" si="61"/>
        <v>100.71919999999996</v>
      </c>
    </row>
    <row r="168" spans="1:28" x14ac:dyDescent="0.25">
      <c r="A168" s="21">
        <f t="shared" ca="1" si="41"/>
        <v>45943</v>
      </c>
      <c r="B168" vm="491">
        <f ca="1"/>
        <v>45945</v>
      </c>
      <c r="C168" vm="492">
        <f ca="1"/>
        <v>102.29</v>
      </c>
      <c r="D168" vm="493">
        <f ca="1"/>
        <v>1556615</v>
      </c>
      <c r="E168">
        <f t="shared" ca="1" si="42"/>
        <v>159226148.35000002</v>
      </c>
      <c r="F168">
        <f ca="1">SUM($E$2:E168)/SUM($D$2:D168)</f>
        <v>103.21610556240286</v>
      </c>
      <c r="G168">
        <f ca="1">_xlfn.STDEV.P($C$2:C168)</f>
        <v>4.4301827883473557</v>
      </c>
      <c r="H168">
        <f t="shared" ca="1" si="43"/>
        <v>107.64628835075021</v>
      </c>
      <c r="I168">
        <f t="shared" ca="1" si="44"/>
        <v>98.785922774055507</v>
      </c>
      <c r="J168">
        <f t="shared" ca="1" si="53"/>
        <v>99.388499999999993</v>
      </c>
      <c r="K168">
        <f t="shared" ca="1" si="54"/>
        <v>1.8490375163425183</v>
      </c>
      <c r="L168">
        <f t="shared" ca="1" si="55"/>
        <v>103.08657503268503</v>
      </c>
      <c r="M168">
        <f t="shared" ca="1" si="56"/>
        <v>95.690424967314954</v>
      </c>
      <c r="N168">
        <f t="shared" ca="1" si="45"/>
        <v>0.40000000000000568</v>
      </c>
      <c r="O168">
        <f t="shared" ca="1" si="46"/>
        <v>0.40000000000000568</v>
      </c>
      <c r="P168">
        <f t="shared" ca="1" si="47"/>
        <v>0</v>
      </c>
      <c r="Q168">
        <f t="shared" ca="1" si="51"/>
        <v>0.50370662331778149</v>
      </c>
      <c r="R168">
        <f t="shared" ca="1" si="52"/>
        <v>0.30897147308581524</v>
      </c>
      <c r="S168">
        <f t="shared" ca="1" si="49"/>
        <v>1.6302690286811028</v>
      </c>
      <c r="T168">
        <f t="shared" ca="1" si="50"/>
        <v>61.981075354051121</v>
      </c>
      <c r="U168">
        <f>70</f>
        <v>70</v>
      </c>
      <c r="V168">
        <f>30</f>
        <v>30</v>
      </c>
      <c r="W168">
        <f t="shared" ca="1" si="48"/>
        <v>100.59016413320674</v>
      </c>
      <c r="X168">
        <f t="shared" ca="1" si="58"/>
        <v>99.776451403260523</v>
      </c>
      <c r="Y168">
        <f t="shared" ca="1" si="57"/>
        <v>0.7917152179565079</v>
      </c>
      <c r="Z168">
        <f t="shared" ca="1" si="59"/>
        <v>0.46376410781642413</v>
      </c>
      <c r="AA168">
        <f t="shared" ca="1" si="60"/>
        <v>0.32795111014008377</v>
      </c>
      <c r="AB168">
        <f t="shared" ca="1" si="61"/>
        <v>100.70789999999997</v>
      </c>
    </row>
    <row r="169" spans="1:28" x14ac:dyDescent="0.25">
      <c r="A169" s="21">
        <f t="shared" ca="1" si="41"/>
        <v>45943</v>
      </c>
      <c r="B169" vm="494">
        <f ca="1"/>
        <v>45946</v>
      </c>
      <c r="C169" vm="293">
        <f ca="1"/>
        <v>101.07</v>
      </c>
      <c r="D169" vm="495">
        <f ca="1"/>
        <v>1558806</v>
      </c>
      <c r="E169">
        <f t="shared" ca="1" si="42"/>
        <v>157548522.41999999</v>
      </c>
      <c r="F169">
        <f ca="1">SUM($E$2:E169)/SUM($D$2:D169)</f>
        <v>103.20864838812976</v>
      </c>
      <c r="G169">
        <f ca="1">_xlfn.STDEV.P($C$2:C169)</f>
        <v>4.4194073927175044</v>
      </c>
      <c r="H169">
        <f t="shared" ca="1" si="43"/>
        <v>107.62805578084726</v>
      </c>
      <c r="I169">
        <f t="shared" ca="1" si="44"/>
        <v>98.789240995412257</v>
      </c>
      <c r="J169">
        <f t="shared" ca="1" si="53"/>
        <v>99.624499999999983</v>
      </c>
      <c r="K169">
        <f t="shared" ca="1" si="54"/>
        <v>1.7387366103007091</v>
      </c>
      <c r="L169">
        <f t="shared" ca="1" si="55"/>
        <v>103.10197322060141</v>
      </c>
      <c r="M169">
        <f t="shared" ca="1" si="56"/>
        <v>96.147026779398558</v>
      </c>
      <c r="N169">
        <f t="shared" ca="1" si="45"/>
        <v>-1.2200000000000131</v>
      </c>
      <c r="O169">
        <f t="shared" ca="1" si="46"/>
        <v>0</v>
      </c>
      <c r="P169">
        <f t="shared" ca="1" si="47"/>
        <v>1.2200000000000131</v>
      </c>
      <c r="Q169">
        <f t="shared" ca="1" si="51"/>
        <v>0.46772757879508281</v>
      </c>
      <c r="R169">
        <f t="shared" ca="1" si="52"/>
        <v>0.37404493929397226</v>
      </c>
      <c r="S169">
        <f t="shared" ca="1" si="49"/>
        <v>1.2504582462148559</v>
      </c>
      <c r="T169">
        <f t="shared" ca="1" si="50"/>
        <v>55.564605489484471</v>
      </c>
      <c r="U169">
        <f>70</f>
        <v>70</v>
      </c>
      <c r="V169">
        <f>30</f>
        <v>30</v>
      </c>
      <c r="W169">
        <f t="shared" ca="1" si="48"/>
        <v>100.66398503579032</v>
      </c>
      <c r="X169">
        <f t="shared" ca="1" si="58"/>
        <v>99.872269817833811</v>
      </c>
      <c r="Y169">
        <f t="shared" ca="1" si="57"/>
        <v>0.77503095394227728</v>
      </c>
      <c r="Z169">
        <f t="shared" ca="1" si="59"/>
        <v>0.52601747704159485</v>
      </c>
      <c r="AA169">
        <f t="shared" ca="1" si="60"/>
        <v>0.24901347690068243</v>
      </c>
      <c r="AB169">
        <f t="shared" ca="1" si="61"/>
        <v>100.67759999999997</v>
      </c>
    </row>
    <row r="170" spans="1:28" x14ac:dyDescent="0.25">
      <c r="A170" s="21">
        <f t="shared" ca="1" si="41"/>
        <v>45943</v>
      </c>
      <c r="B170" vm="496">
        <f ca="1"/>
        <v>45947</v>
      </c>
      <c r="C170" vm="497">
        <f ca="1"/>
        <v>101.19</v>
      </c>
      <c r="D170" vm="498">
        <f ca="1"/>
        <v>1597575</v>
      </c>
      <c r="E170">
        <f t="shared" ca="1" si="42"/>
        <v>161658614.25</v>
      </c>
      <c r="F170">
        <f ca="1">SUM($E$2:E170)/SUM($D$2:D170)</f>
        <v>103.20148515260779</v>
      </c>
      <c r="G170">
        <f ca="1">_xlfn.STDEV.P($C$2:C170)</f>
        <v>4.4084114591802352</v>
      </c>
      <c r="H170">
        <f t="shared" ca="1" si="43"/>
        <v>107.60989661178802</v>
      </c>
      <c r="I170">
        <f t="shared" ca="1" si="44"/>
        <v>98.793073693427559</v>
      </c>
      <c r="J170">
        <f t="shared" ca="1" si="53"/>
        <v>99.867499999999978</v>
      </c>
      <c r="K170">
        <f t="shared" ca="1" si="54"/>
        <v>1.5870690463539183</v>
      </c>
      <c r="L170">
        <f t="shared" ca="1" si="55"/>
        <v>103.04163809270781</v>
      </c>
      <c r="M170">
        <f t="shared" ca="1" si="56"/>
        <v>96.693361907292143</v>
      </c>
      <c r="N170">
        <f t="shared" ca="1" si="45"/>
        <v>0.12000000000000455</v>
      </c>
      <c r="O170">
        <f t="shared" ca="1" si="46"/>
        <v>0.12000000000000455</v>
      </c>
      <c r="P170">
        <f t="shared" ca="1" si="47"/>
        <v>0</v>
      </c>
      <c r="Q170">
        <f t="shared" ca="1" si="51"/>
        <v>0.44288989459543437</v>
      </c>
      <c r="R170">
        <f t="shared" ca="1" si="52"/>
        <v>0.34732744363011708</v>
      </c>
      <c r="S170">
        <f t="shared" ca="1" si="49"/>
        <v>1.2751364820658559</v>
      </c>
      <c r="T170">
        <f t="shared" ca="1" si="50"/>
        <v>56.04659290189106</v>
      </c>
      <c r="U170">
        <f>70</f>
        <v>70</v>
      </c>
      <c r="V170">
        <f>30</f>
        <v>30</v>
      </c>
      <c r="W170">
        <f t="shared" ca="1" si="48"/>
        <v>100.74491041489951</v>
      </c>
      <c r="X170">
        <f t="shared" ca="1" si="58"/>
        <v>99.96987946095723</v>
      </c>
      <c r="Y170">
        <f t="shared" ca="1" si="57"/>
        <v>0.7954061778178243</v>
      </c>
      <c r="Z170">
        <f t="shared" ca="1" si="59"/>
        <v>0.57989521719684078</v>
      </c>
      <c r="AA170">
        <f t="shared" ca="1" si="60"/>
        <v>0.21551096062098352</v>
      </c>
      <c r="AB170">
        <f t="shared" ca="1" si="61"/>
        <v>100.64979999999997</v>
      </c>
    </row>
    <row r="171" spans="1:28" x14ac:dyDescent="0.25">
      <c r="A171" s="21">
        <f t="shared" ca="1" si="41"/>
        <v>45950</v>
      </c>
      <c r="B171" vm="499">
        <f ca="1"/>
        <v>45950</v>
      </c>
      <c r="C171" vm="500">
        <f ca="1"/>
        <v>101.72</v>
      </c>
      <c r="D171" vm="501">
        <f ca="1"/>
        <v>1129321</v>
      </c>
      <c r="E171">
        <f t="shared" ca="1" si="42"/>
        <v>114874532.12</v>
      </c>
      <c r="F171">
        <f ca="1">SUM($E$2:E171)/SUM($D$2:D171)</f>
        <v>103.19777822621106</v>
      </c>
      <c r="G171">
        <f ca="1">_xlfn.STDEV.P($C$2:C171)</f>
        <v>4.3964374473400261</v>
      </c>
      <c r="H171">
        <f t="shared" ca="1" si="43"/>
        <v>107.59421567355108</v>
      </c>
      <c r="I171">
        <f t="shared" ca="1" si="44"/>
        <v>98.801340778871037</v>
      </c>
      <c r="J171">
        <f t="shared" ca="1" si="53"/>
        <v>100.1225</v>
      </c>
      <c r="K171">
        <f t="shared" ca="1" si="54"/>
        <v>1.4407961066898509</v>
      </c>
      <c r="L171">
        <f t="shared" ca="1" si="55"/>
        <v>103.00409221337971</v>
      </c>
      <c r="M171">
        <f t="shared" ca="1" si="56"/>
        <v>97.240907786620298</v>
      </c>
      <c r="N171">
        <f t="shared" ca="1" si="45"/>
        <v>0.53000000000000114</v>
      </c>
      <c r="O171">
        <f t="shared" ca="1" si="46"/>
        <v>0.53000000000000114</v>
      </c>
      <c r="P171">
        <f t="shared" ca="1" si="47"/>
        <v>0</v>
      </c>
      <c r="Q171">
        <f t="shared" ca="1" si="51"/>
        <v>0.44911204498147489</v>
      </c>
      <c r="R171">
        <f t="shared" ca="1" si="52"/>
        <v>0.32251834051368011</v>
      </c>
      <c r="S171">
        <f t="shared" ca="1" si="49"/>
        <v>1.3925162961776592</v>
      </c>
      <c r="T171">
        <f t="shared" ca="1" si="50"/>
        <v>58.203001517790128</v>
      </c>
      <c r="U171">
        <f>70</f>
        <v>70</v>
      </c>
      <c r="V171">
        <f>30</f>
        <v>30</v>
      </c>
      <c r="W171">
        <f t="shared" ca="1" si="48"/>
        <v>100.89492419722266</v>
      </c>
      <c r="X171">
        <f t="shared" ca="1" si="58"/>
        <v>100.09951801940484</v>
      </c>
      <c r="Y171">
        <f t="shared" ca="1" si="57"/>
        <v>0.78954168167679484</v>
      </c>
      <c r="Z171">
        <f t="shared" ca="1" si="59"/>
        <v>0.62182451009283157</v>
      </c>
      <c r="AA171">
        <f t="shared" ca="1" si="60"/>
        <v>0.16771717158396326</v>
      </c>
      <c r="AB171">
        <f t="shared" ca="1" si="61"/>
        <v>100.64589999999998</v>
      </c>
    </row>
    <row r="172" spans="1:28" x14ac:dyDescent="0.25">
      <c r="A172" s="21">
        <f t="shared" ca="1" si="41"/>
        <v>45950</v>
      </c>
      <c r="B172" vm="502">
        <f ca="1"/>
        <v>45951</v>
      </c>
      <c r="C172" vm="503">
        <f ca="1"/>
        <v>101.56</v>
      </c>
      <c r="D172" vm="504">
        <f ca="1"/>
        <v>1116965</v>
      </c>
      <c r="E172">
        <f t="shared" ca="1" si="42"/>
        <v>113438965.40000001</v>
      </c>
      <c r="F172">
        <f ca="1">SUM($E$2:E172)/SUM($D$2:D172)</f>
        <v>103.19373507064027</v>
      </c>
      <c r="G172">
        <f ca="1">_xlfn.STDEV.P($C$2:C172)</f>
        <v>4.3848365566111216</v>
      </c>
      <c r="H172">
        <f t="shared" ca="1" si="43"/>
        <v>107.57857162725139</v>
      </c>
      <c r="I172">
        <f t="shared" ca="1" si="44"/>
        <v>98.808898514029153</v>
      </c>
      <c r="J172">
        <f t="shared" ca="1" si="53"/>
        <v>100.273</v>
      </c>
      <c r="K172">
        <f t="shared" ca="1" si="54"/>
        <v>1.4250137580129942</v>
      </c>
      <c r="L172">
        <f t="shared" ca="1" si="55"/>
        <v>103.12302751602599</v>
      </c>
      <c r="M172">
        <f t="shared" ca="1" si="56"/>
        <v>97.422972483974007</v>
      </c>
      <c r="N172">
        <f t="shared" ca="1" si="45"/>
        <v>-0.15999999999999659</v>
      </c>
      <c r="O172">
        <f t="shared" ca="1" si="46"/>
        <v>0</v>
      </c>
      <c r="P172">
        <f t="shared" ca="1" si="47"/>
        <v>0.15999999999999659</v>
      </c>
      <c r="Q172">
        <f t="shared" ca="1" si="51"/>
        <v>0.41703261319708379</v>
      </c>
      <c r="R172">
        <f t="shared" ca="1" si="52"/>
        <v>0.31090988761984562</v>
      </c>
      <c r="S172">
        <f t="shared" ca="1" si="49"/>
        <v>1.3413295292396621</v>
      </c>
      <c r="T172">
        <f t="shared" ca="1" si="50"/>
        <v>57.289224455100673</v>
      </c>
      <c r="U172">
        <f>70</f>
        <v>70</v>
      </c>
      <c r="V172">
        <f>30</f>
        <v>30</v>
      </c>
      <c r="W172">
        <f t="shared" ca="1" si="48"/>
        <v>100.9972435514961</v>
      </c>
      <c r="X172">
        <f t="shared" ca="1" si="58"/>
        <v>100.2077018698193</v>
      </c>
      <c r="Y172">
        <f t="shared" ca="1" si="57"/>
        <v>0.80626275527939129</v>
      </c>
      <c r="Z172">
        <f t="shared" ca="1" si="59"/>
        <v>0.65871215913014347</v>
      </c>
      <c r="AA172">
        <f t="shared" ca="1" si="60"/>
        <v>0.14755059614924781</v>
      </c>
      <c r="AB172">
        <f t="shared" ca="1" si="61"/>
        <v>100.62769999999999</v>
      </c>
    </row>
    <row r="173" spans="1:28" x14ac:dyDescent="0.25">
      <c r="A173" s="21">
        <f t="shared" ca="1" si="41"/>
        <v>45950</v>
      </c>
      <c r="B173" vm="505">
        <f ca="1"/>
        <v>45952</v>
      </c>
      <c r="C173" vm="506">
        <f ca="1"/>
        <v>101.94</v>
      </c>
      <c r="D173" vm="507">
        <f ca="1"/>
        <v>1508989</v>
      </c>
      <c r="E173">
        <f t="shared" ca="1" si="42"/>
        <v>153826338.66</v>
      </c>
      <c r="F173">
        <f ca="1">SUM($E$2:E173)/SUM($D$2:D173)</f>
        <v>103.18956760884302</v>
      </c>
      <c r="G173">
        <f ca="1">_xlfn.STDEV.P($C$2:C173)</f>
        <v>4.3727290961724021</v>
      </c>
      <c r="H173">
        <f t="shared" ca="1" si="43"/>
        <v>107.56229670501543</v>
      </c>
      <c r="I173">
        <f t="shared" ca="1" si="44"/>
        <v>98.816838512670614</v>
      </c>
      <c r="J173">
        <f t="shared" ca="1" si="53"/>
        <v>100.4295</v>
      </c>
      <c r="K173">
        <f t="shared" ca="1" si="54"/>
        <v>1.4277567056492211</v>
      </c>
      <c r="L173">
        <f t="shared" ca="1" si="55"/>
        <v>103.28501341129845</v>
      </c>
      <c r="M173">
        <f t="shared" ca="1" si="56"/>
        <v>97.573986588701558</v>
      </c>
      <c r="N173">
        <f t="shared" ca="1" si="45"/>
        <v>0.37999999999999545</v>
      </c>
      <c r="O173">
        <f t="shared" ca="1" si="46"/>
        <v>0.37999999999999545</v>
      </c>
      <c r="P173">
        <f t="shared" ca="1" si="47"/>
        <v>0</v>
      </c>
      <c r="Q173">
        <f t="shared" ca="1" si="51"/>
        <v>0.41438742654014893</v>
      </c>
      <c r="R173">
        <f t="shared" ca="1" si="52"/>
        <v>0.28870203850414233</v>
      </c>
      <c r="S173">
        <f t="shared" ca="1" si="49"/>
        <v>1.4353463823366917</v>
      </c>
      <c r="T173">
        <f t="shared" ca="1" si="50"/>
        <v>58.938079311719527</v>
      </c>
      <c r="U173">
        <f>70</f>
        <v>70</v>
      </c>
      <c r="V173">
        <f>30</f>
        <v>30</v>
      </c>
      <c r="W173">
        <f t="shared" ca="1" si="48"/>
        <v>101.14228300511208</v>
      </c>
      <c r="X173">
        <f t="shared" ca="1" si="58"/>
        <v>100.33602024983269</v>
      </c>
      <c r="Y173">
        <f t="shared" ca="1" si="57"/>
        <v>0.71684179864007547</v>
      </c>
      <c r="Z173">
        <f t="shared" ca="1" si="59"/>
        <v>0.67033808703212994</v>
      </c>
      <c r="AA173">
        <f t="shared" ca="1" si="60"/>
        <v>4.650371160794553E-2</v>
      </c>
      <c r="AB173">
        <f t="shared" ca="1" si="61"/>
        <v>100.60219999999998</v>
      </c>
    </row>
    <row r="174" spans="1:28" x14ac:dyDescent="0.25">
      <c r="A174" s="21">
        <f t="shared" ca="1" si="41"/>
        <v>45950</v>
      </c>
      <c r="B174" vm="508">
        <f ca="1"/>
        <v>45953</v>
      </c>
      <c r="C174" vm="370">
        <f ca="1"/>
        <v>100.77</v>
      </c>
      <c r="D174" vm="509">
        <f ca="1"/>
        <v>1302838</v>
      </c>
      <c r="E174">
        <f t="shared" ca="1" si="42"/>
        <v>131286985.25999999</v>
      </c>
      <c r="F174">
        <f ca="1">SUM($E$2:E174)/SUM($D$2:D174)</f>
        <v>103.18264350852293</v>
      </c>
      <c r="G174">
        <f ca="1">_xlfn.STDEV.P($C$2:C174)</f>
        <v>4.3631515379189771</v>
      </c>
      <c r="H174">
        <f t="shared" ca="1" si="43"/>
        <v>107.54579504644191</v>
      </c>
      <c r="I174">
        <f t="shared" ca="1" si="44"/>
        <v>98.819491970603949</v>
      </c>
      <c r="J174">
        <f t="shared" ca="1" si="53"/>
        <v>100.5505</v>
      </c>
      <c r="K174">
        <f t="shared" ca="1" si="54"/>
        <v>1.3422309590262105</v>
      </c>
      <c r="L174">
        <f t="shared" ca="1" si="55"/>
        <v>103.23496191805242</v>
      </c>
      <c r="M174">
        <f t="shared" ca="1" si="56"/>
        <v>97.866038081947579</v>
      </c>
      <c r="N174">
        <f t="shared" ca="1" si="45"/>
        <v>-1.1700000000000017</v>
      </c>
      <c r="O174">
        <f t="shared" ca="1" si="46"/>
        <v>0</v>
      </c>
      <c r="P174">
        <f t="shared" ca="1" si="47"/>
        <v>1.1700000000000017</v>
      </c>
      <c r="Q174">
        <f t="shared" ca="1" si="51"/>
        <v>0.38478832464442403</v>
      </c>
      <c r="R174">
        <f t="shared" ca="1" si="52"/>
        <v>0.35165189289670373</v>
      </c>
      <c r="S174">
        <f t="shared" ca="1" si="49"/>
        <v>1.0942307788385885</v>
      </c>
      <c r="T174">
        <f t="shared" ca="1" si="50"/>
        <v>52.249770650655009</v>
      </c>
      <c r="U174">
        <f>70</f>
        <v>70</v>
      </c>
      <c r="V174">
        <f>30</f>
        <v>30</v>
      </c>
      <c r="W174">
        <f t="shared" ca="1" si="48"/>
        <v>101.0850086966333</v>
      </c>
      <c r="X174">
        <f t="shared" ca="1" si="58"/>
        <v>100.36816689799322</v>
      </c>
      <c r="Y174">
        <f t="shared" ca="1" si="57"/>
        <v>0.58037988903787152</v>
      </c>
      <c r="Z174">
        <f t="shared" ca="1" si="59"/>
        <v>0.6523464474332783</v>
      </c>
      <c r="AA174">
        <f t="shared" ca="1" si="60"/>
        <v>-7.1966558395406777E-2</v>
      </c>
      <c r="AB174">
        <f t="shared" ca="1" si="61"/>
        <v>100.57129999999998</v>
      </c>
    </row>
    <row r="175" spans="1:28" x14ac:dyDescent="0.25">
      <c r="A175" s="21">
        <f t="shared" ca="1" si="41"/>
        <v>45950</v>
      </c>
      <c r="B175" vm="510">
        <f ca="1"/>
        <v>45954</v>
      </c>
      <c r="C175" vm="474">
        <f ca="1"/>
        <v>100.04</v>
      </c>
      <c r="D175" vm="511">
        <f ca="1"/>
        <v>1036366</v>
      </c>
      <c r="E175">
        <f t="shared" ca="1" si="42"/>
        <v>103678054.64</v>
      </c>
      <c r="F175">
        <f ca="1">SUM($E$2:E175)/SUM($D$2:D175)</f>
        <v>103.17550584708539</v>
      </c>
      <c r="G175">
        <f ca="1">_xlfn.STDEV.P($C$2:C175)</f>
        <v>4.3560363920219229</v>
      </c>
      <c r="H175">
        <f t="shared" ca="1" si="43"/>
        <v>107.53154223910731</v>
      </c>
      <c r="I175">
        <f t="shared" ca="1" si="44"/>
        <v>98.819469455063469</v>
      </c>
      <c r="J175">
        <f t="shared" ca="1" si="53"/>
        <v>100.57149999999999</v>
      </c>
      <c r="K175">
        <f t="shared" ca="1" si="54"/>
        <v>1.3301376066526269</v>
      </c>
      <c r="L175">
        <f t="shared" ca="1" si="55"/>
        <v>103.23177521330524</v>
      </c>
      <c r="M175">
        <f t="shared" ca="1" si="56"/>
        <v>97.911224786694731</v>
      </c>
      <c r="N175">
        <f t="shared" ca="1" si="45"/>
        <v>-0.72999999999998977</v>
      </c>
      <c r="O175">
        <f t="shared" ca="1" si="46"/>
        <v>0</v>
      </c>
      <c r="P175">
        <f t="shared" ca="1" si="47"/>
        <v>0.72999999999998977</v>
      </c>
      <c r="Q175">
        <f t="shared" ca="1" si="51"/>
        <v>0.35730344431267946</v>
      </c>
      <c r="R175">
        <f t="shared" ca="1" si="52"/>
        <v>0.37867675768979564</v>
      </c>
      <c r="S175">
        <f t="shared" ca="1" si="49"/>
        <v>0.94355789484543762</v>
      </c>
      <c r="T175">
        <f t="shared" ca="1" si="50"/>
        <v>48.547969543272828</v>
      </c>
      <c r="U175">
        <f>70</f>
        <v>70</v>
      </c>
      <c r="V175">
        <f>30</f>
        <v>30</v>
      </c>
      <c r="W175">
        <f t="shared" ca="1" si="48"/>
        <v>100.92423812792049</v>
      </c>
      <c r="X175">
        <f t="shared" ca="1" si="58"/>
        <v>100.34385823888262</v>
      </c>
      <c r="Y175">
        <f t="shared" ca="1" si="57"/>
        <v>0.48121024602716034</v>
      </c>
      <c r="Z175">
        <f t="shared" ca="1" si="59"/>
        <v>0.61811920715205482</v>
      </c>
      <c r="AA175">
        <f t="shared" ca="1" si="60"/>
        <v>-0.13690896112489448</v>
      </c>
      <c r="AB175">
        <f t="shared" ca="1" si="61"/>
        <v>100.53929999999998</v>
      </c>
    </row>
    <row r="176" spans="1:28" x14ac:dyDescent="0.25">
      <c r="A176" s="21">
        <f t="shared" ca="1" si="41"/>
        <v>45957</v>
      </c>
      <c r="B176" vm="512">
        <f ca="1"/>
        <v>45957</v>
      </c>
      <c r="C176" vm="513">
        <f ca="1"/>
        <v>100.22</v>
      </c>
      <c r="D176" vm="514">
        <f ca="1"/>
        <v>1537561</v>
      </c>
      <c r="E176">
        <f t="shared" ca="1" si="42"/>
        <v>154094363.41999999</v>
      </c>
      <c r="F176">
        <f ca="1">SUM($E$2:E176)/SUM($D$2:D176)</f>
        <v>103.16558038118065</v>
      </c>
      <c r="G176">
        <f ca="1">_xlfn.STDEV.P($C$2:C176)</f>
        <v>4.3482771569288667</v>
      </c>
      <c r="H176">
        <f t="shared" ca="1" si="43"/>
        <v>107.51385753810952</v>
      </c>
      <c r="I176">
        <f t="shared" ca="1" si="44"/>
        <v>98.817303224251773</v>
      </c>
      <c r="J176">
        <f t="shared" ca="1" si="53"/>
        <v>100.604</v>
      </c>
      <c r="K176">
        <f t="shared" ca="1" si="54"/>
        <v>1.3121994392702092</v>
      </c>
      <c r="L176">
        <f t="shared" ca="1" si="55"/>
        <v>103.22839887854042</v>
      </c>
      <c r="M176">
        <f t="shared" ca="1" si="56"/>
        <v>97.979601121459581</v>
      </c>
      <c r="N176">
        <f t="shared" ca="1" si="45"/>
        <v>0.17999999999999261</v>
      </c>
      <c r="O176">
        <f t="shared" ca="1" si="46"/>
        <v>0.17999999999999261</v>
      </c>
      <c r="P176">
        <f t="shared" ca="1" si="47"/>
        <v>0</v>
      </c>
      <c r="Q176">
        <f t="shared" ca="1" si="51"/>
        <v>0.34463891257605894</v>
      </c>
      <c r="R176">
        <f t="shared" ca="1" si="52"/>
        <v>0.35162841785481025</v>
      </c>
      <c r="S176">
        <f t="shared" ca="1" si="49"/>
        <v>0.98012246757132893</v>
      </c>
      <c r="T176">
        <f t="shared" ca="1" si="50"/>
        <v>49.498073155721237</v>
      </c>
      <c r="U176">
        <f>70</f>
        <v>70</v>
      </c>
      <c r="V176">
        <f>30</f>
        <v>30</v>
      </c>
      <c r="W176">
        <f t="shared" ca="1" si="48"/>
        <v>100.81589380054811</v>
      </c>
      <c r="X176">
        <f t="shared" ca="1" si="58"/>
        <v>100.33468355452095</v>
      </c>
      <c r="Y176">
        <f t="shared" ca="1" si="57"/>
        <v>0.26480998160535307</v>
      </c>
      <c r="Z176">
        <f t="shared" ca="1" si="59"/>
        <v>0.54745736204271445</v>
      </c>
      <c r="AA176">
        <f t="shared" ca="1" si="60"/>
        <v>-0.28264738043736137</v>
      </c>
      <c r="AB176">
        <f t="shared" ca="1" si="61"/>
        <v>100.51939999999999</v>
      </c>
    </row>
    <row r="177" spans="1:28" x14ac:dyDescent="0.25">
      <c r="A177" s="21">
        <f t="shared" ca="1" si="41"/>
        <v>45957</v>
      </c>
      <c r="B177" vm="515">
        <f ca="1"/>
        <v>45958</v>
      </c>
      <c r="C177" vm="446">
        <f ca="1"/>
        <v>98.55</v>
      </c>
      <c r="D177" vm="516">
        <f ca="1"/>
        <v>1156747</v>
      </c>
      <c r="E177">
        <f t="shared" ca="1" si="42"/>
        <v>113997416.84999999</v>
      </c>
      <c r="F177">
        <f ca="1">SUM($E$2:E177)/SUM($D$2:D177)</f>
        <v>103.15394835023331</v>
      </c>
      <c r="G177">
        <f ca="1">_xlfn.STDEV.P($C$2:C177)</f>
        <v>4.3481454320603286</v>
      </c>
      <c r="H177">
        <f t="shared" ca="1" si="43"/>
        <v>107.50209378229364</v>
      </c>
      <c r="I177">
        <f t="shared" ca="1" si="44"/>
        <v>98.805802918172972</v>
      </c>
      <c r="J177">
        <f t="shared" ca="1" si="53"/>
        <v>100.5055</v>
      </c>
      <c r="K177">
        <f t="shared" ca="1" si="54"/>
        <v>1.3904428488037446</v>
      </c>
      <c r="L177">
        <f t="shared" ca="1" si="55"/>
        <v>103.28638569760749</v>
      </c>
      <c r="M177">
        <f t="shared" ca="1" si="56"/>
        <v>97.72461430239251</v>
      </c>
      <c r="N177">
        <f t="shared" ca="1" si="45"/>
        <v>-1.6700000000000017</v>
      </c>
      <c r="O177">
        <f t="shared" ca="1" si="46"/>
        <v>0</v>
      </c>
      <c r="P177">
        <f t="shared" ca="1" si="47"/>
        <v>1.6700000000000017</v>
      </c>
      <c r="Q177">
        <f t="shared" ca="1" si="51"/>
        <v>0.32002184739205475</v>
      </c>
      <c r="R177">
        <f t="shared" ca="1" si="52"/>
        <v>0.44579781657946682</v>
      </c>
      <c r="S177">
        <f t="shared" ca="1" si="49"/>
        <v>0.71786320051437136</v>
      </c>
      <c r="T177">
        <f t="shared" ca="1" si="50"/>
        <v>41.788147059639265</v>
      </c>
      <c r="U177">
        <f>70</f>
        <v>70</v>
      </c>
      <c r="V177">
        <f>30</f>
        <v>30</v>
      </c>
      <c r="W177">
        <f t="shared" ca="1" si="48"/>
        <v>100.46729475430993</v>
      </c>
      <c r="X177">
        <f t="shared" ca="1" si="58"/>
        <v>100.20248477270458</v>
      </c>
      <c r="Y177">
        <f t="shared" ca="1" si="57"/>
        <v>-3.1398886321781561E-2</v>
      </c>
      <c r="Z177">
        <f t="shared" ca="1" si="59"/>
        <v>0.4316861123698153</v>
      </c>
      <c r="AA177">
        <f t="shared" ca="1" si="60"/>
        <v>-0.46308499869159686</v>
      </c>
      <c r="AB177">
        <f t="shared" ca="1" si="61"/>
        <v>100.48219999999999</v>
      </c>
    </row>
    <row r="178" spans="1:28" x14ac:dyDescent="0.25">
      <c r="A178" s="21">
        <f t="shared" ca="1" si="41"/>
        <v>45957</v>
      </c>
      <c r="B178" vm="517">
        <f ca="1"/>
        <v>45959</v>
      </c>
      <c r="C178" vm="428">
        <f ca="1"/>
        <v>97</v>
      </c>
      <c r="D178" vm="518">
        <f ca="1"/>
        <v>1804147</v>
      </c>
      <c r="E178">
        <f t="shared" ca="1" si="42"/>
        <v>175002259</v>
      </c>
      <c r="F178">
        <f ca="1">SUM($E$2:E178)/SUM($D$2:D178)</f>
        <v>103.12985412816862</v>
      </c>
      <c r="G178">
        <f ca="1">_xlfn.STDEV.P($C$2:C178)</f>
        <v>4.3580552550773426</v>
      </c>
      <c r="H178">
        <f t="shared" ca="1" si="43"/>
        <v>107.48790938324596</v>
      </c>
      <c r="I178">
        <f t="shared" ca="1" si="44"/>
        <v>98.771798873091271</v>
      </c>
      <c r="J178">
        <f t="shared" ca="1" si="53"/>
        <v>100.44699999999999</v>
      </c>
      <c r="K178">
        <f t="shared" ca="1" si="54"/>
        <v>1.5130801627631525</v>
      </c>
      <c r="L178">
        <f t="shared" ca="1" si="55"/>
        <v>103.47316032552629</v>
      </c>
      <c r="M178">
        <f t="shared" ca="1" si="56"/>
        <v>97.420839674473683</v>
      </c>
      <c r="N178">
        <f t="shared" ca="1" si="45"/>
        <v>-1.5499999999999972</v>
      </c>
      <c r="O178">
        <f t="shared" ca="1" si="46"/>
        <v>0</v>
      </c>
      <c r="P178">
        <f t="shared" ca="1" si="47"/>
        <v>1.5499999999999972</v>
      </c>
      <c r="Q178">
        <f t="shared" ca="1" si="51"/>
        <v>0.29716314400690796</v>
      </c>
      <c r="R178">
        <f t="shared" ca="1" si="52"/>
        <v>0.52466940110950466</v>
      </c>
      <c r="S178">
        <f t="shared" ca="1" si="49"/>
        <v>0.56638169365033453</v>
      </c>
      <c r="T178">
        <f t="shared" ca="1" si="50"/>
        <v>36.158600164077804</v>
      </c>
      <c r="U178">
        <f>70</f>
        <v>70</v>
      </c>
      <c r="V178">
        <f>30</f>
        <v>30</v>
      </c>
      <c r="W178">
        <f t="shared" ca="1" si="48"/>
        <v>99.933864792108395</v>
      </c>
      <c r="X178">
        <f t="shared" ca="1" si="58"/>
        <v>99.965263678430176</v>
      </c>
      <c r="Y178">
        <f t="shared" ca="1" si="57"/>
        <v>-0.16818476419831541</v>
      </c>
      <c r="Z178">
        <f t="shared" ca="1" si="59"/>
        <v>0.31171193705618921</v>
      </c>
      <c r="AA178">
        <f t="shared" ca="1" si="60"/>
        <v>-0.47989670125450462</v>
      </c>
      <c r="AB178">
        <f t="shared" ca="1" si="61"/>
        <v>100.43609999999998</v>
      </c>
    </row>
    <row r="179" spans="1:28" x14ac:dyDescent="0.25">
      <c r="A179" s="21">
        <f t="shared" ca="1" si="41"/>
        <v>45957</v>
      </c>
      <c r="B179" vm="519">
        <f ca="1"/>
        <v>45960</v>
      </c>
      <c r="C179" vm="520">
        <f ca="1"/>
        <v>98.19</v>
      </c>
      <c r="D179" vm="521">
        <f ca="1"/>
        <v>2073284</v>
      </c>
      <c r="E179">
        <f t="shared" ca="1" si="42"/>
        <v>203575755.96000001</v>
      </c>
      <c r="F179">
        <f ca="1">SUM($E$2:E179)/SUM($D$2:D179)</f>
        <v>103.10772774549713</v>
      </c>
      <c r="G179">
        <f ca="1">_xlfn.STDEV.P($C$2:C179)</f>
        <v>4.3596098618259251</v>
      </c>
      <c r="H179">
        <f t="shared" ca="1" si="43"/>
        <v>107.46733760732306</v>
      </c>
      <c r="I179">
        <f t="shared" ca="1" si="44"/>
        <v>98.748117883671199</v>
      </c>
      <c r="J179">
        <f t="shared" ca="1" si="53"/>
        <v>100.47450000000001</v>
      </c>
      <c r="K179">
        <f t="shared" ca="1" si="54"/>
        <v>1.463566210539031</v>
      </c>
      <c r="L179">
        <f t="shared" ca="1" si="55"/>
        <v>103.40163242107806</v>
      </c>
      <c r="M179">
        <f t="shared" ca="1" si="56"/>
        <v>97.54736757892195</v>
      </c>
      <c r="N179">
        <f t="shared" ca="1" si="45"/>
        <v>1.1899999999999977</v>
      </c>
      <c r="O179">
        <f t="shared" ca="1" si="46"/>
        <v>1.1899999999999977</v>
      </c>
      <c r="P179">
        <f t="shared" ca="1" si="47"/>
        <v>0</v>
      </c>
      <c r="Q179">
        <f t="shared" ca="1" si="51"/>
        <v>0.36093720514927152</v>
      </c>
      <c r="R179">
        <f t="shared" ca="1" si="52"/>
        <v>0.48719301531596859</v>
      </c>
      <c r="S179">
        <f t="shared" ca="1" si="49"/>
        <v>0.74085053316124827</v>
      </c>
      <c r="T179">
        <f t="shared" ca="1" si="50"/>
        <v>42.556814559830229</v>
      </c>
      <c r="U179">
        <f>70</f>
        <v>70</v>
      </c>
      <c r="V179">
        <f>30</f>
        <v>30</v>
      </c>
      <c r="W179">
        <f t="shared" ca="1" si="48"/>
        <v>99.6655779010148</v>
      </c>
      <c r="X179">
        <f t="shared" ca="1" si="58"/>
        <v>99.833762665213115</v>
      </c>
      <c r="Y179">
        <f t="shared" ca="1" si="57"/>
        <v>-0.33565877376884146</v>
      </c>
      <c r="Z179">
        <f t="shared" ca="1" si="59"/>
        <v>0.18223779489118308</v>
      </c>
      <c r="AA179">
        <f t="shared" ca="1" si="60"/>
        <v>-0.51789656866002454</v>
      </c>
      <c r="AB179">
        <f t="shared" ca="1" si="61"/>
        <v>100.40690000000001</v>
      </c>
    </row>
    <row r="180" spans="1:28" x14ac:dyDescent="0.25">
      <c r="A180" s="21">
        <f t="shared" ca="1" si="41"/>
        <v>45957</v>
      </c>
      <c r="B180" vm="522">
        <f ca="1"/>
        <v>45961</v>
      </c>
      <c r="C180" vm="523">
        <f ca="1"/>
        <v>97.41</v>
      </c>
      <c r="D180" vm="524">
        <f ca="1"/>
        <v>2770794</v>
      </c>
      <c r="E180">
        <f t="shared" ca="1" si="42"/>
        <v>269903043.53999996</v>
      </c>
      <c r="F180">
        <f ca="1">SUM($E$2:E180)/SUM($D$2:D180)</f>
        <v>103.07382370456054</v>
      </c>
      <c r="G180">
        <f ca="1">_xlfn.STDEV.P($C$2:C180)</f>
        <v>4.3659621868406129</v>
      </c>
      <c r="H180">
        <f t="shared" ca="1" si="43"/>
        <v>107.43978589140116</v>
      </c>
      <c r="I180">
        <f t="shared" ca="1" si="44"/>
        <v>98.70786151771992</v>
      </c>
      <c r="J180">
        <f t="shared" ca="1" si="53"/>
        <v>100.40450000000001</v>
      </c>
      <c r="K180">
        <f t="shared" ca="1" si="54"/>
        <v>1.576490022002577</v>
      </c>
      <c r="L180">
        <f t="shared" ca="1" si="55"/>
        <v>103.55748004400516</v>
      </c>
      <c r="M180">
        <f t="shared" ca="1" si="56"/>
        <v>97.251519955994866</v>
      </c>
      <c r="N180">
        <f t="shared" ca="1" si="45"/>
        <v>-0.78000000000000114</v>
      </c>
      <c r="O180">
        <f t="shared" ca="1" si="46"/>
        <v>0</v>
      </c>
      <c r="P180">
        <f t="shared" ca="1" si="47"/>
        <v>0.78000000000000114</v>
      </c>
      <c r="Q180">
        <f t="shared" ca="1" si="51"/>
        <v>0.33515597621003784</v>
      </c>
      <c r="R180">
        <f t="shared" ca="1" si="52"/>
        <v>0.50810779993625665</v>
      </c>
      <c r="S180">
        <f t="shared" ca="1" si="49"/>
        <v>0.65961588515681902</v>
      </c>
      <c r="T180">
        <f t="shared" ca="1" si="50"/>
        <v>39.745093491587731</v>
      </c>
      <c r="U180">
        <f>70</f>
        <v>70</v>
      </c>
      <c r="V180">
        <f>30</f>
        <v>30</v>
      </c>
      <c r="W180">
        <f t="shared" ca="1" si="48"/>
        <v>99.318565916243301</v>
      </c>
      <c r="X180">
        <f t="shared" ca="1" si="58"/>
        <v>99.654224690012143</v>
      </c>
      <c r="Y180">
        <f t="shared" ca="1" si="57"/>
        <v>-0.52446993484241489</v>
      </c>
      <c r="Z180">
        <f t="shared" ca="1" si="59"/>
        <v>4.0896248944463476E-2</v>
      </c>
      <c r="AA180">
        <f t="shared" ca="1" si="60"/>
        <v>-0.56536618378687842</v>
      </c>
      <c r="AB180">
        <f t="shared" ca="1" si="61"/>
        <v>100.35700000000001</v>
      </c>
    </row>
    <row r="181" spans="1:28" x14ac:dyDescent="0.25">
      <c r="A181" s="21">
        <f t="shared" ca="1" si="41"/>
        <v>45964</v>
      </c>
      <c r="B181" vm="525">
        <f ca="1"/>
        <v>45964</v>
      </c>
      <c r="C181" vm="526">
        <f ca="1"/>
        <v>96.64</v>
      </c>
      <c r="D181" vm="527">
        <f ca="1"/>
        <v>1692176</v>
      </c>
      <c r="E181">
        <f t="shared" ca="1" si="42"/>
        <v>163531888.64000002</v>
      </c>
      <c r="F181">
        <f ca="1">SUM($E$2:E181)/SUM($D$2:D181)</f>
        <v>103.05052751820676</v>
      </c>
      <c r="G181">
        <f ca="1">_xlfn.STDEV.P($C$2:C181)</f>
        <v>4.3776203073765494</v>
      </c>
      <c r="H181">
        <f t="shared" ca="1" si="43"/>
        <v>107.42814782558331</v>
      </c>
      <c r="I181">
        <f t="shared" ca="1" si="44"/>
        <v>98.672907210830218</v>
      </c>
      <c r="J181">
        <f t="shared" ca="1" si="53"/>
        <v>100.27000000000001</v>
      </c>
      <c r="K181">
        <f t="shared" ca="1" si="54"/>
        <v>1.7752123668362674</v>
      </c>
      <c r="L181">
        <f t="shared" ca="1" si="55"/>
        <v>103.82042473367254</v>
      </c>
      <c r="M181">
        <f t="shared" ca="1" si="56"/>
        <v>96.719575266327482</v>
      </c>
      <c r="N181">
        <f t="shared" ca="1" si="45"/>
        <v>-0.76999999999999602</v>
      </c>
      <c r="O181">
        <f t="shared" ca="1" si="46"/>
        <v>0</v>
      </c>
      <c r="P181">
        <f t="shared" ca="1" si="47"/>
        <v>0.76999999999999602</v>
      </c>
      <c r="Q181">
        <f t="shared" ca="1" si="51"/>
        <v>0.31121626362360655</v>
      </c>
      <c r="R181">
        <f t="shared" ca="1" si="52"/>
        <v>0.5268143856550952</v>
      </c>
      <c r="S181">
        <f t="shared" ca="1" si="49"/>
        <v>0.59075126286957447</v>
      </c>
      <c r="T181">
        <f t="shared" ca="1" si="50"/>
        <v>37.136620706112879</v>
      </c>
      <c r="U181">
        <f>70</f>
        <v>70</v>
      </c>
      <c r="V181">
        <f>30</f>
        <v>30</v>
      </c>
      <c r="W181">
        <f t="shared" ca="1" si="48"/>
        <v>98.906478852205865</v>
      </c>
      <c r="X181">
        <f t="shared" ca="1" si="58"/>
        <v>99.43094878704828</v>
      </c>
      <c r="Y181">
        <f t="shared" ca="1" si="57"/>
        <v>-0.56112289654002723</v>
      </c>
      <c r="Z181">
        <f t="shared" ca="1" si="59"/>
        <v>-7.950758015243467E-2</v>
      </c>
      <c r="AA181">
        <f t="shared" ca="1" si="60"/>
        <v>-0.48161531638759258</v>
      </c>
      <c r="AB181">
        <f t="shared" ca="1" si="61"/>
        <v>100.29789999999998</v>
      </c>
    </row>
    <row r="182" spans="1:28" x14ac:dyDescent="0.25">
      <c r="A182" s="21">
        <f t="shared" ca="1" si="41"/>
        <v>45964</v>
      </c>
      <c r="B182" vm="528">
        <f ca="1"/>
        <v>45965</v>
      </c>
      <c r="C182" vm="529">
        <f ca="1"/>
        <v>97.96</v>
      </c>
      <c r="D182" vm="530">
        <f ca="1"/>
        <v>1614634</v>
      </c>
      <c r="E182">
        <f t="shared" ca="1" si="42"/>
        <v>158169546.63999999</v>
      </c>
      <c r="F182">
        <f ca="1">SUM($E$2:E182)/SUM($D$2:D182)</f>
        <v>103.03300045556969</v>
      </c>
      <c r="G182">
        <f ca="1">_xlfn.STDEV.P($C$2:C182)</f>
        <v>4.3798613389504233</v>
      </c>
      <c r="H182">
        <f t="shared" ca="1" si="43"/>
        <v>107.41286179452011</v>
      </c>
      <c r="I182">
        <f t="shared" ca="1" si="44"/>
        <v>98.653139116619272</v>
      </c>
      <c r="J182">
        <f t="shared" ca="1" si="53"/>
        <v>100.16600000000001</v>
      </c>
      <c r="K182">
        <f t="shared" ca="1" si="54"/>
        <v>1.8487987565187471</v>
      </c>
      <c r="L182">
        <f t="shared" ca="1" si="55"/>
        <v>103.8635975130375</v>
      </c>
      <c r="M182">
        <f t="shared" ca="1" si="56"/>
        <v>96.468402486962518</v>
      </c>
      <c r="N182">
        <f t="shared" ca="1" si="45"/>
        <v>1.3199999999999932</v>
      </c>
      <c r="O182">
        <f t="shared" ca="1" si="46"/>
        <v>1.3199999999999932</v>
      </c>
      <c r="P182">
        <f t="shared" ca="1" si="47"/>
        <v>0</v>
      </c>
      <c r="Q182">
        <f t="shared" ca="1" si="51"/>
        <v>0.38327224479334848</v>
      </c>
      <c r="R182">
        <f t="shared" ca="1" si="52"/>
        <v>0.48918478667973125</v>
      </c>
      <c r="S182">
        <f t="shared" ca="1" si="49"/>
        <v>0.78349175041757058</v>
      </c>
      <c r="T182">
        <f t="shared" ca="1" si="50"/>
        <v>43.930214436603414</v>
      </c>
      <c r="U182">
        <f>70</f>
        <v>70</v>
      </c>
      <c r="V182">
        <f>30</f>
        <v>30</v>
      </c>
      <c r="W182">
        <f t="shared" ca="1" si="48"/>
        <v>98.760866721097273</v>
      </c>
      <c r="X182">
        <f t="shared" ca="1" si="58"/>
        <v>99.3219896176373</v>
      </c>
      <c r="Y182">
        <f t="shared" ca="1" si="57"/>
        <v>-0.73102338907756348</v>
      </c>
      <c r="Z182">
        <f t="shared" ca="1" si="59"/>
        <v>-0.20981074193746041</v>
      </c>
      <c r="AA182">
        <f t="shared" ca="1" si="60"/>
        <v>-0.52121264714010307</v>
      </c>
      <c r="AB182">
        <f t="shared" ca="1" si="61"/>
        <v>100.23989999999998</v>
      </c>
    </row>
    <row r="183" spans="1:28" x14ac:dyDescent="0.25">
      <c r="A183" s="21">
        <f t="shared" ca="1" si="41"/>
        <v>45964</v>
      </c>
      <c r="B183" vm="531">
        <f ca="1"/>
        <v>45966</v>
      </c>
      <c r="C183" vm="532">
        <f ca="1"/>
        <v>96.11</v>
      </c>
      <c r="D183" vm="533">
        <f ca="1"/>
        <v>2273863</v>
      </c>
      <c r="E183">
        <f t="shared" ca="1" si="42"/>
        <v>218540972.93000001</v>
      </c>
      <c r="F183">
        <f ca="1">SUM($E$2:E183)/SUM($D$2:D183)</f>
        <v>102.99959401673549</v>
      </c>
      <c r="G183">
        <f ca="1">_xlfn.STDEV.P($C$2:C183)</f>
        <v>4.3949994408571476</v>
      </c>
      <c r="H183">
        <f t="shared" ca="1" si="43"/>
        <v>107.39459345759263</v>
      </c>
      <c r="I183">
        <f t="shared" ca="1" si="44"/>
        <v>98.604594575878338</v>
      </c>
      <c r="J183">
        <f t="shared" ca="1" si="53"/>
        <v>99.93</v>
      </c>
      <c r="K183">
        <f t="shared" ca="1" si="54"/>
        <v>2.0498960179020127</v>
      </c>
      <c r="L183">
        <f t="shared" ca="1" si="55"/>
        <v>104.02979203580404</v>
      </c>
      <c r="M183">
        <f t="shared" ca="1" si="56"/>
        <v>95.830207964195978</v>
      </c>
      <c r="N183">
        <f t="shared" ca="1" si="45"/>
        <v>-1.8499999999999943</v>
      </c>
      <c r="O183">
        <f t="shared" ca="1" si="46"/>
        <v>0</v>
      </c>
      <c r="P183">
        <f t="shared" ca="1" si="47"/>
        <v>1.8499999999999943</v>
      </c>
      <c r="Q183">
        <f t="shared" ca="1" si="51"/>
        <v>0.35589565587953792</v>
      </c>
      <c r="R183">
        <f t="shared" ca="1" si="52"/>
        <v>0.58638587334546433</v>
      </c>
      <c r="S183">
        <f t="shared" ca="1" si="49"/>
        <v>0.60693081477060917</v>
      </c>
      <c r="T183">
        <f t="shared" ca="1" si="50"/>
        <v>37.769567251546491</v>
      </c>
      <c r="U183">
        <f>70</f>
        <v>70</v>
      </c>
      <c r="V183">
        <f>30</f>
        <v>30</v>
      </c>
      <c r="W183">
        <f t="shared" ca="1" si="48"/>
        <v>98.353041071697703</v>
      </c>
      <c r="X183">
        <f t="shared" ca="1" si="58"/>
        <v>99.084064460775267</v>
      </c>
      <c r="Y183">
        <f t="shared" ca="1" si="57"/>
        <v>-0.78560612950923314</v>
      </c>
      <c r="Z183">
        <f t="shared" ca="1" si="59"/>
        <v>-0.32496981945181497</v>
      </c>
      <c r="AA183">
        <f t="shared" ca="1" si="60"/>
        <v>-0.46063631005741817</v>
      </c>
      <c r="AB183">
        <f t="shared" ca="1" si="61"/>
        <v>100.16140000000001</v>
      </c>
    </row>
    <row r="184" spans="1:28" x14ac:dyDescent="0.25">
      <c r="A184" s="21">
        <f t="shared" ca="1" si="41"/>
        <v>45964</v>
      </c>
      <c r="B184" vm="534">
        <f ca="1"/>
        <v>45967</v>
      </c>
      <c r="C184" vm="535">
        <f ca="1"/>
        <v>96.99</v>
      </c>
      <c r="D184" vm="536">
        <f ca="1"/>
        <v>3064515</v>
      </c>
      <c r="E184">
        <f t="shared" ca="1" si="42"/>
        <v>297227309.84999996</v>
      </c>
      <c r="F184">
        <f ca="1">SUM($E$2:E184)/SUM($D$2:D184)</f>
        <v>102.96076439032265</v>
      </c>
      <c r="G184">
        <f ca="1">_xlfn.STDEV.P($C$2:C184)</f>
        <v>4.4029777025246792</v>
      </c>
      <c r="H184">
        <f t="shared" ca="1" si="43"/>
        <v>107.36374209284733</v>
      </c>
      <c r="I184">
        <f t="shared" ca="1" si="44"/>
        <v>98.557786687797972</v>
      </c>
      <c r="J184">
        <f t="shared" ca="1" si="53"/>
        <v>99.739500000000007</v>
      </c>
      <c r="K184">
        <f t="shared" ca="1" si="54"/>
        <v>2.13985113845259</v>
      </c>
      <c r="L184">
        <f t="shared" ca="1" si="55"/>
        <v>104.01920227690519</v>
      </c>
      <c r="M184">
        <f t="shared" ca="1" si="56"/>
        <v>95.459797723094823</v>
      </c>
      <c r="N184">
        <f t="shared" ca="1" si="45"/>
        <v>0.87999999999999545</v>
      </c>
      <c r="O184">
        <f t="shared" ca="1" si="46"/>
        <v>0.87999999999999545</v>
      </c>
      <c r="P184">
        <f t="shared" ca="1" si="47"/>
        <v>0</v>
      </c>
      <c r="Q184">
        <f t="shared" ca="1" si="51"/>
        <v>0.39333168045957062</v>
      </c>
      <c r="R184">
        <f t="shared" ca="1" si="52"/>
        <v>0.54450116810650262</v>
      </c>
      <c r="S184">
        <f t="shared" ca="1" si="49"/>
        <v>0.72237068255955739</v>
      </c>
      <c r="T184">
        <f t="shared" ca="1" si="50"/>
        <v>41.940488762039692</v>
      </c>
      <c r="U184">
        <f>70</f>
        <v>70</v>
      </c>
      <c r="V184">
        <f>30</f>
        <v>30</v>
      </c>
      <c r="W184">
        <f t="shared" ca="1" si="48"/>
        <v>98.14334244528267</v>
      </c>
      <c r="X184">
        <f t="shared" ca="1" si="58"/>
        <v>98.928948574791903</v>
      </c>
      <c r="Y184">
        <f t="shared" ca="1" si="57"/>
        <v>-0.69736632637726359</v>
      </c>
      <c r="Z184">
        <f t="shared" ca="1" si="59"/>
        <v>-0.3994491208369047</v>
      </c>
      <c r="AA184">
        <f t="shared" ca="1" si="60"/>
        <v>-0.29791720554035889</v>
      </c>
      <c r="AB184">
        <f t="shared" ca="1" si="61"/>
        <v>100.11499999999999</v>
      </c>
    </row>
    <row r="185" spans="1:28" x14ac:dyDescent="0.25">
      <c r="A185" s="21">
        <f t="shared" ca="1" si="41"/>
        <v>45964</v>
      </c>
      <c r="B185" vm="537">
        <f ca="1"/>
        <v>45968</v>
      </c>
      <c r="C185" vm="538">
        <f ca="1"/>
        <v>98.52</v>
      </c>
      <c r="D185" vm="539">
        <f ca="1"/>
        <v>2924446</v>
      </c>
      <c r="E185">
        <f t="shared" ca="1" si="42"/>
        <v>288116419.92000002</v>
      </c>
      <c r="F185">
        <f ca="1">SUM($E$2:E185)/SUM($D$2:D185)</f>
        <v>102.93355066171512</v>
      </c>
      <c r="G185">
        <f ca="1">_xlfn.STDEV.P($C$2:C185)</f>
        <v>4.4014602145562298</v>
      </c>
      <c r="H185">
        <f t="shared" ca="1" si="43"/>
        <v>107.33501087627134</v>
      </c>
      <c r="I185">
        <f t="shared" ca="1" si="44"/>
        <v>98.532090447158893</v>
      </c>
      <c r="J185">
        <f t="shared" ca="1" si="53"/>
        <v>99.546000000000006</v>
      </c>
      <c r="K185">
        <f t="shared" ca="1" si="54"/>
        <v>2.0610865810869874</v>
      </c>
      <c r="L185">
        <f t="shared" ca="1" si="55"/>
        <v>103.66817316217399</v>
      </c>
      <c r="M185">
        <f t="shared" ca="1" si="56"/>
        <v>95.423826837826027</v>
      </c>
      <c r="N185">
        <f t="shared" ca="1" si="45"/>
        <v>1.5300000000000011</v>
      </c>
      <c r="O185">
        <f t="shared" ca="1" si="46"/>
        <v>1.5300000000000011</v>
      </c>
      <c r="P185">
        <f t="shared" ca="1" si="47"/>
        <v>0</v>
      </c>
      <c r="Q185">
        <f t="shared" ca="1" si="51"/>
        <v>0.4745222747124585</v>
      </c>
      <c r="R185">
        <f t="shared" ca="1" si="52"/>
        <v>0.5056082275274667</v>
      </c>
      <c r="S185">
        <f t="shared" ca="1" si="49"/>
        <v>0.93851770773781662</v>
      </c>
      <c r="T185">
        <f t="shared" ca="1" si="50"/>
        <v>48.414193174073937</v>
      </c>
      <c r="U185">
        <f>70</f>
        <v>70</v>
      </c>
      <c r="V185">
        <f>30</f>
        <v>30</v>
      </c>
      <c r="W185">
        <f t="shared" ca="1" si="48"/>
        <v>98.201289761393028</v>
      </c>
      <c r="X185">
        <f t="shared" ca="1" si="58"/>
        <v>98.898656087770291</v>
      </c>
      <c r="Y185">
        <f t="shared" ca="1" si="57"/>
        <v>-0.64262156521827762</v>
      </c>
      <c r="Z185">
        <f t="shared" ca="1" si="59"/>
        <v>-0.44808360971317929</v>
      </c>
      <c r="AA185">
        <f t="shared" ca="1" si="60"/>
        <v>-0.19453795550509834</v>
      </c>
      <c r="AB185">
        <f t="shared" ca="1" si="61"/>
        <v>100.08670000000002</v>
      </c>
    </row>
    <row r="186" spans="1:28" x14ac:dyDescent="0.25">
      <c r="A186" s="21">
        <f t="shared" ca="1" si="41"/>
        <v>45971</v>
      </c>
      <c r="B186" vm="540">
        <f ca="1"/>
        <v>45971</v>
      </c>
      <c r="C186" vm="541">
        <f ca="1"/>
        <v>98.24</v>
      </c>
      <c r="D186" vm="542">
        <f ca="1"/>
        <v>2188924</v>
      </c>
      <c r="E186">
        <f t="shared" ca="1" si="42"/>
        <v>215039893.75999999</v>
      </c>
      <c r="F186">
        <f ca="1">SUM($E$2:E186)/SUM($D$2:D186)</f>
        <v>102.91212020621113</v>
      </c>
      <c r="G186">
        <f ca="1">_xlfn.STDEV.P($C$2:C186)</f>
        <v>4.4012976869825051</v>
      </c>
      <c r="H186">
        <f t="shared" ca="1" si="43"/>
        <v>107.31341789319363</v>
      </c>
      <c r="I186">
        <f t="shared" ca="1" si="44"/>
        <v>98.510822519228626</v>
      </c>
      <c r="J186">
        <f t="shared" ca="1" si="53"/>
        <v>99.415000000000006</v>
      </c>
      <c r="K186">
        <f t="shared" ca="1" si="54"/>
        <v>2.056431502947714</v>
      </c>
      <c r="L186">
        <f t="shared" ca="1" si="55"/>
        <v>103.52786300589544</v>
      </c>
      <c r="M186">
        <f t="shared" ca="1" si="56"/>
        <v>95.302136994104572</v>
      </c>
      <c r="N186">
        <f t="shared" ca="1" si="45"/>
        <v>-0.28000000000000114</v>
      </c>
      <c r="O186">
        <f t="shared" ca="1" si="46"/>
        <v>0</v>
      </c>
      <c r="P186">
        <f t="shared" ca="1" si="47"/>
        <v>0.28000000000000114</v>
      </c>
      <c r="Q186">
        <f t="shared" ca="1" si="51"/>
        <v>0.44062782651871146</v>
      </c>
      <c r="R186">
        <f t="shared" ca="1" si="52"/>
        <v>0.48949335413264772</v>
      </c>
      <c r="S186">
        <f t="shared" ca="1" si="49"/>
        <v>0.90017121335483097</v>
      </c>
      <c r="T186">
        <f t="shared" ca="1" si="50"/>
        <v>47.3731633775012</v>
      </c>
      <c r="U186">
        <f>70</f>
        <v>70</v>
      </c>
      <c r="V186">
        <f>30</f>
        <v>30</v>
      </c>
      <c r="W186">
        <f t="shared" ca="1" si="48"/>
        <v>98.207245182717173</v>
      </c>
      <c r="X186">
        <f t="shared" ca="1" si="58"/>
        <v>98.849866747935451</v>
      </c>
      <c r="Y186">
        <f t="shared" ca="1" si="57"/>
        <v>-0.48471474020519167</v>
      </c>
      <c r="Z186">
        <f t="shared" ca="1" si="59"/>
        <v>-0.45540983581158179</v>
      </c>
      <c r="AA186">
        <f t="shared" ca="1" si="60"/>
        <v>-2.9304904393609887E-2</v>
      </c>
      <c r="AB186">
        <f t="shared" ca="1" si="61"/>
        <v>100.06180000000001</v>
      </c>
    </row>
    <row r="187" spans="1:28" x14ac:dyDescent="0.25">
      <c r="A187" s="21">
        <f t="shared" ca="1" si="41"/>
        <v>45971</v>
      </c>
      <c r="B187" vm="543">
        <f ca="1"/>
        <v>45972</v>
      </c>
      <c r="C187" vm="544">
        <f ca="1"/>
        <v>99.59</v>
      </c>
      <c r="D187" vm="545">
        <f ca="1"/>
        <v>1779798</v>
      </c>
      <c r="E187">
        <f t="shared" ca="1" si="42"/>
        <v>177250082.81999999</v>
      </c>
      <c r="F187">
        <f ca="1">SUM($E$2:E187)/SUM($D$2:D187)</f>
        <v>102.89983235566132</v>
      </c>
      <c r="G187">
        <f ca="1">_xlfn.STDEV.P($C$2:C187)</f>
        <v>4.3949635761652415</v>
      </c>
      <c r="H187">
        <f t="shared" ca="1" si="43"/>
        <v>107.29479593182656</v>
      </c>
      <c r="I187">
        <f t="shared" ca="1" si="44"/>
        <v>98.504868779496078</v>
      </c>
      <c r="J187">
        <f t="shared" ca="1" si="53"/>
        <v>99.3</v>
      </c>
      <c r="K187">
        <f t="shared" ca="1" si="54"/>
        <v>1.9733727473541343</v>
      </c>
      <c r="L187">
        <f t="shared" ca="1" si="55"/>
        <v>103.24674549470826</v>
      </c>
      <c r="M187">
        <f t="shared" ca="1" si="56"/>
        <v>95.35325450529173</v>
      </c>
      <c r="N187">
        <f t="shared" ca="1" si="45"/>
        <v>1.3500000000000085</v>
      </c>
      <c r="O187">
        <f t="shared" ca="1" si="46"/>
        <v>1.3500000000000085</v>
      </c>
      <c r="P187">
        <f t="shared" ca="1" si="47"/>
        <v>0</v>
      </c>
      <c r="Q187">
        <f t="shared" ca="1" si="51"/>
        <v>0.50558298176737559</v>
      </c>
      <c r="R187">
        <f t="shared" ca="1" si="52"/>
        <v>0.4545295431231729</v>
      </c>
      <c r="S187">
        <f t="shared" ca="1" si="49"/>
        <v>1.1123214968457347</v>
      </c>
      <c r="T187">
        <f t="shared" ca="1" si="50"/>
        <v>52.65872162484407</v>
      </c>
      <c r="U187">
        <f>70</f>
        <v>70</v>
      </c>
      <c r="V187">
        <f>30</f>
        <v>30</v>
      </c>
      <c r="W187">
        <f t="shared" ca="1" si="48"/>
        <v>98.419976693068378</v>
      </c>
      <c r="X187">
        <f t="shared" ca="1" si="58"/>
        <v>98.90469143327357</v>
      </c>
      <c r="Y187">
        <f t="shared" ca="1" si="57"/>
        <v>-0.30761150419544947</v>
      </c>
      <c r="Z187">
        <f t="shared" ca="1" si="59"/>
        <v>-0.42585016948835536</v>
      </c>
      <c r="AA187">
        <f t="shared" ca="1" si="60"/>
        <v>0.11823866529290589</v>
      </c>
      <c r="AB187">
        <f t="shared" ca="1" si="61"/>
        <v>100.04800000000002</v>
      </c>
    </row>
    <row r="188" spans="1:28" x14ac:dyDescent="0.25">
      <c r="A188" s="21">
        <f t="shared" ca="1" si="41"/>
        <v>45971</v>
      </c>
      <c r="B188" vm="546">
        <f ca="1"/>
        <v>45973</v>
      </c>
      <c r="C188" vm="261">
        <f ca="1"/>
        <v>100.19</v>
      </c>
      <c r="D188" vm="547">
        <f ca="1"/>
        <v>1340259</v>
      </c>
      <c r="E188">
        <f t="shared" ca="1" si="42"/>
        <v>134280549.21000001</v>
      </c>
      <c r="F188">
        <f ca="1">SUM($E$2:E188)/SUM($D$2:D188)</f>
        <v>102.89230550945327</v>
      </c>
      <c r="G188">
        <f ca="1">_xlfn.STDEV.P($C$2:C188)</f>
        <v>4.3866705344705288</v>
      </c>
      <c r="H188">
        <f t="shared" ca="1" si="43"/>
        <v>107.27897604392379</v>
      </c>
      <c r="I188">
        <f t="shared" ca="1" si="44"/>
        <v>98.50563497498274</v>
      </c>
      <c r="J188">
        <f t="shared" ca="1" si="53"/>
        <v>99.195000000000007</v>
      </c>
      <c r="K188">
        <f t="shared" ca="1" si="54"/>
        <v>1.858427462017</v>
      </c>
      <c r="L188">
        <f t="shared" ca="1" si="55"/>
        <v>102.911854924034</v>
      </c>
      <c r="M188">
        <f t="shared" ca="1" si="56"/>
        <v>95.478145075966012</v>
      </c>
      <c r="N188">
        <f t="shared" ca="1" si="45"/>
        <v>0.59999999999999432</v>
      </c>
      <c r="O188">
        <f t="shared" ca="1" si="46"/>
        <v>0.59999999999999432</v>
      </c>
      <c r="P188">
        <f t="shared" ca="1" si="47"/>
        <v>0</v>
      </c>
      <c r="Q188">
        <f t="shared" ca="1" si="51"/>
        <v>0.51232705449827687</v>
      </c>
      <c r="R188">
        <f t="shared" ca="1" si="52"/>
        <v>0.42206314718580346</v>
      </c>
      <c r="S188">
        <f t="shared" ca="1" si="49"/>
        <v>1.213863512875567</v>
      </c>
      <c r="T188">
        <f t="shared" ca="1" si="50"/>
        <v>54.830097059546851</v>
      </c>
      <c r="U188">
        <f>70</f>
        <v>70</v>
      </c>
      <c r="V188">
        <f>30</f>
        <v>30</v>
      </c>
      <c r="W188">
        <f t="shared" ca="1" si="48"/>
        <v>98.692287971057851</v>
      </c>
      <c r="X188">
        <f t="shared" ca="1" si="58"/>
        <v>98.999899475253301</v>
      </c>
      <c r="Y188">
        <f t="shared" ca="1" si="57"/>
        <v>-0.10472308277248032</v>
      </c>
      <c r="Z188">
        <f t="shared" ca="1" si="59"/>
        <v>-0.36162475214518042</v>
      </c>
      <c r="AA188">
        <f t="shared" ca="1" si="60"/>
        <v>0.25690166937270009</v>
      </c>
      <c r="AB188">
        <f t="shared" ca="1" si="61"/>
        <v>100.03839999999998</v>
      </c>
    </row>
    <row r="189" spans="1:28" x14ac:dyDescent="0.25">
      <c r="A189" s="21">
        <f t="shared" ca="1" si="41"/>
        <v>45971</v>
      </c>
      <c r="B189" vm="548">
        <f ca="1"/>
        <v>45974</v>
      </c>
      <c r="C189" vm="549">
        <f ca="1"/>
        <v>100.95</v>
      </c>
      <c r="D189" vm="550">
        <f ca="1"/>
        <v>1977816</v>
      </c>
      <c r="E189">
        <f t="shared" ca="1" si="42"/>
        <v>199660525.20000002</v>
      </c>
      <c r="F189">
        <f ca="1">SUM($E$2:E189)/SUM($D$2:D189)</f>
        <v>102.88437668466268</v>
      </c>
      <c r="G189">
        <f ca="1">_xlfn.STDEV.P($C$2:C189)</f>
        <v>4.3765758550396745</v>
      </c>
      <c r="H189">
        <f t="shared" ca="1" si="43"/>
        <v>107.26095253970236</v>
      </c>
      <c r="I189">
        <f t="shared" ca="1" si="44"/>
        <v>98.507800829623008</v>
      </c>
      <c r="J189">
        <f t="shared" ca="1" si="53"/>
        <v>99.189000000000007</v>
      </c>
      <c r="K189">
        <f t="shared" ca="1" si="54"/>
        <v>1.852238759191869</v>
      </c>
      <c r="L189">
        <f t="shared" ca="1" si="55"/>
        <v>102.89347751838375</v>
      </c>
      <c r="M189">
        <f t="shared" ca="1" si="56"/>
        <v>95.484522481616267</v>
      </c>
      <c r="N189">
        <f t="shared" ca="1" si="45"/>
        <v>0.76000000000000512</v>
      </c>
      <c r="O189">
        <f t="shared" ca="1" si="46"/>
        <v>0.76000000000000512</v>
      </c>
      <c r="P189">
        <f t="shared" ca="1" si="47"/>
        <v>0</v>
      </c>
      <c r="Q189">
        <f t="shared" ca="1" si="51"/>
        <v>0.53001797917697169</v>
      </c>
      <c r="R189">
        <f t="shared" ca="1" si="52"/>
        <v>0.39191577952967466</v>
      </c>
      <c r="S189">
        <f t="shared" ca="1" si="49"/>
        <v>1.3523772373060075</v>
      </c>
      <c r="T189">
        <f t="shared" ca="1" si="50"/>
        <v>57.489811406897417</v>
      </c>
      <c r="U189">
        <f>70</f>
        <v>70</v>
      </c>
      <c r="V189">
        <f>30</f>
        <v>30</v>
      </c>
      <c r="W189">
        <f t="shared" ca="1" si="48"/>
        <v>99.039628283202802</v>
      </c>
      <c r="X189">
        <f t="shared" ca="1" si="58"/>
        <v>99.144351365975282</v>
      </c>
      <c r="Y189">
        <f t="shared" ca="1" si="57"/>
        <v>0.11206668424293298</v>
      </c>
      <c r="Z189">
        <f t="shared" ca="1" si="59"/>
        <v>-0.26688646486755774</v>
      </c>
      <c r="AA189">
        <f t="shared" ca="1" si="60"/>
        <v>0.37895314911049072</v>
      </c>
      <c r="AB189">
        <f t="shared" ca="1" si="61"/>
        <v>100.04600000000001</v>
      </c>
    </row>
    <row r="190" spans="1:28" x14ac:dyDescent="0.25">
      <c r="A190" s="21">
        <f t="shared" ca="1" si="41"/>
        <v>45971</v>
      </c>
      <c r="B190" vm="551">
        <f ca="1"/>
        <v>45975</v>
      </c>
      <c r="C190" vm="552">
        <f ca="1"/>
        <v>101.66</v>
      </c>
      <c r="D190" vm="553">
        <f ca="1"/>
        <v>2443256</v>
      </c>
      <c r="E190">
        <f t="shared" ca="1" si="42"/>
        <v>248381404.95999998</v>
      </c>
      <c r="F190">
        <f ca="1">SUM($E$2:E190)/SUM($D$2:D190)</f>
        <v>102.87823334047178</v>
      </c>
      <c r="G190">
        <f ca="1">_xlfn.STDEV.P($C$2:C190)</f>
        <v>4.365472573599714</v>
      </c>
      <c r="H190">
        <f t="shared" ca="1" si="43"/>
        <v>107.2437059140715</v>
      </c>
      <c r="I190">
        <f t="shared" ca="1" si="44"/>
        <v>98.512760766872063</v>
      </c>
      <c r="J190">
        <f t="shared" ca="1" si="53"/>
        <v>99.212500000000006</v>
      </c>
      <c r="K190">
        <f t="shared" ca="1" si="54"/>
        <v>1.8817093992319585</v>
      </c>
      <c r="L190">
        <f t="shared" ca="1" si="55"/>
        <v>102.97591879846392</v>
      </c>
      <c r="M190">
        <f t="shared" ca="1" si="56"/>
        <v>95.449081201536089</v>
      </c>
      <c r="N190">
        <f t="shared" ca="1" si="45"/>
        <v>0.70999999999999375</v>
      </c>
      <c r="O190">
        <f t="shared" ca="1" si="46"/>
        <v>0.70999999999999375</v>
      </c>
      <c r="P190">
        <f t="shared" ca="1" si="47"/>
        <v>0</v>
      </c>
      <c r="Q190">
        <f t="shared" ca="1" si="51"/>
        <v>0.54287383780718756</v>
      </c>
      <c r="R190">
        <f t="shared" ca="1" si="52"/>
        <v>0.36392179527755503</v>
      </c>
      <c r="S190">
        <f t="shared" ca="1" si="49"/>
        <v>1.4917321382005984</v>
      </c>
      <c r="T190">
        <f t="shared" ca="1" si="50"/>
        <v>59.867275271323948</v>
      </c>
      <c r="U190">
        <f>70</f>
        <v>70</v>
      </c>
      <c r="V190">
        <f>30</f>
        <v>30</v>
      </c>
      <c r="W190">
        <f t="shared" ca="1" si="48"/>
        <v>99.442762393479299</v>
      </c>
      <c r="X190">
        <f t="shared" ca="1" si="58"/>
        <v>99.330695709236366</v>
      </c>
      <c r="Y190">
        <f t="shared" ca="1" si="57"/>
        <v>0.45533995829495666</v>
      </c>
      <c r="Z190">
        <f t="shared" ca="1" si="59"/>
        <v>-0.12244118023505486</v>
      </c>
      <c r="AA190">
        <f t="shared" ca="1" si="60"/>
        <v>0.57778113853001156</v>
      </c>
      <c r="AB190">
        <f t="shared" ca="1" si="61"/>
        <v>100.08210000000001</v>
      </c>
    </row>
    <row r="191" spans="1:28" x14ac:dyDescent="0.25">
      <c r="A191" s="21">
        <f t="shared" ca="1" si="41"/>
        <v>45978</v>
      </c>
      <c r="B191" vm="554">
        <f ca="1"/>
        <v>45978</v>
      </c>
      <c r="C191" vm="555">
        <f ca="1"/>
        <v>103.85</v>
      </c>
      <c r="D191" vm="556">
        <f ca="1"/>
        <v>3007831</v>
      </c>
      <c r="E191">
        <f t="shared" ca="1" si="42"/>
        <v>312363249.34999996</v>
      </c>
      <c r="F191">
        <f ca="1">SUM($E$2:E191)/SUM($D$2:D191)</f>
        <v>102.88419904698092</v>
      </c>
      <c r="G191">
        <f ca="1">_xlfn.STDEV.P($C$2:C191)</f>
        <v>4.3549742387870243</v>
      </c>
      <c r="H191">
        <f t="shared" ca="1" si="43"/>
        <v>107.23917328576795</v>
      </c>
      <c r="I191">
        <f t="shared" ca="1" si="44"/>
        <v>98.529224808193902</v>
      </c>
      <c r="J191">
        <f t="shared" ca="1" si="53"/>
        <v>99.318999999999988</v>
      </c>
      <c r="K191">
        <f t="shared" ca="1" si="54"/>
        <v>2.0808371291128811</v>
      </c>
      <c r="L191">
        <f t="shared" ca="1" si="55"/>
        <v>103.48067425822575</v>
      </c>
      <c r="M191">
        <f t="shared" ca="1" si="56"/>
        <v>95.15732574177423</v>
      </c>
      <c r="N191">
        <f t="shared" ca="1" si="45"/>
        <v>2.1899999999999977</v>
      </c>
      <c r="O191">
        <f t="shared" ca="1" si="46"/>
        <v>2.1899999999999977</v>
      </c>
      <c r="P191">
        <f t="shared" ca="1" si="47"/>
        <v>0</v>
      </c>
      <c r="Q191">
        <f t="shared" ca="1" si="51"/>
        <v>0.66052570653524534</v>
      </c>
      <c r="R191">
        <f t="shared" ca="1" si="52"/>
        <v>0.33792738132915823</v>
      </c>
      <c r="S191">
        <f t="shared" ca="1" si="49"/>
        <v>1.9546380170118862</v>
      </c>
      <c r="T191">
        <f t="shared" ca="1" si="50"/>
        <v>66.154906481189528</v>
      </c>
      <c r="U191">
        <f>70</f>
        <v>70</v>
      </c>
      <c r="V191">
        <f>30</f>
        <v>30</v>
      </c>
      <c r="W191">
        <f t="shared" ca="1" si="48"/>
        <v>100.12079894832863</v>
      </c>
      <c r="X191">
        <f t="shared" ca="1" si="58"/>
        <v>99.66545899003367</v>
      </c>
      <c r="Y191">
        <f t="shared" ca="1" si="57"/>
        <v>0.64411144128963826</v>
      </c>
      <c r="Z191">
        <f t="shared" ca="1" si="59"/>
        <v>3.0869344069883758E-2</v>
      </c>
      <c r="AA191">
        <f t="shared" ca="1" si="60"/>
        <v>0.61324209721975453</v>
      </c>
      <c r="AB191">
        <f t="shared" ca="1" si="61"/>
        <v>100.13650000000001</v>
      </c>
    </row>
    <row r="192" spans="1:28" x14ac:dyDescent="0.25">
      <c r="A192" s="21">
        <f t="shared" ca="1" si="41"/>
        <v>45978</v>
      </c>
      <c r="B192" vm="557">
        <f ca="1"/>
        <v>45979</v>
      </c>
      <c r="C192" vm="558">
        <f ca="1"/>
        <v>102.91</v>
      </c>
      <c r="D192" vm="559">
        <f ca="1"/>
        <v>2585563</v>
      </c>
      <c r="E192">
        <f t="shared" ca="1" si="42"/>
        <v>266080288.32999998</v>
      </c>
      <c r="F192">
        <f ca="1">SUM($E$2:E192)/SUM($D$2:D192)</f>
        <v>102.88433448840392</v>
      </c>
      <c r="G192">
        <f ca="1">_xlfn.STDEV.P($C$2:C192)</f>
        <v>4.3436306378680403</v>
      </c>
      <c r="H192">
        <f t="shared" ca="1" si="43"/>
        <v>107.22796512627197</v>
      </c>
      <c r="I192">
        <f t="shared" ca="1" si="44"/>
        <v>98.540703850535877</v>
      </c>
      <c r="J192">
        <f t="shared" ca="1" si="53"/>
        <v>99.386499999999998</v>
      </c>
      <c r="K192">
        <f t="shared" ca="1" si="54"/>
        <v>2.177031477179781</v>
      </c>
      <c r="L192">
        <f t="shared" ca="1" si="55"/>
        <v>103.74056295435956</v>
      </c>
      <c r="M192">
        <f t="shared" ca="1" si="56"/>
        <v>95.032437045640435</v>
      </c>
      <c r="N192">
        <f t="shared" ca="1" si="45"/>
        <v>-0.93999999999999773</v>
      </c>
      <c r="O192">
        <f t="shared" ca="1" si="46"/>
        <v>0</v>
      </c>
      <c r="P192">
        <f t="shared" ca="1" si="47"/>
        <v>0.93999999999999773</v>
      </c>
      <c r="Q192">
        <f t="shared" ca="1" si="51"/>
        <v>0.61334529892558487</v>
      </c>
      <c r="R192">
        <f t="shared" ca="1" si="52"/>
        <v>0.38093256837707534</v>
      </c>
      <c r="S192">
        <f t="shared" ca="1" si="49"/>
        <v>1.6101151485646934</v>
      </c>
      <c r="T192">
        <f t="shared" ca="1" si="50"/>
        <v>61.68751403362792</v>
      </c>
      <c r="U192">
        <f>70</f>
        <v>70</v>
      </c>
      <c r="V192">
        <f>30</f>
        <v>30</v>
      </c>
      <c r="W192">
        <f t="shared" ca="1" si="48"/>
        <v>100.54990680243192</v>
      </c>
      <c r="X192">
        <f t="shared" ca="1" si="58"/>
        <v>99.905795361142282</v>
      </c>
      <c r="Y192">
        <f t="shared" ca="1" si="57"/>
        <v>0.58284566367815671</v>
      </c>
      <c r="Z192">
        <f t="shared" ca="1" si="59"/>
        <v>0.14126460799153837</v>
      </c>
      <c r="AA192">
        <f t="shared" ca="1" si="60"/>
        <v>0.44158105568661832</v>
      </c>
      <c r="AB192">
        <f t="shared" ca="1" si="61"/>
        <v>100.1841</v>
      </c>
    </row>
    <row r="193" spans="1:28" x14ac:dyDescent="0.25">
      <c r="A193" s="21">
        <f t="shared" ca="1" si="41"/>
        <v>45978</v>
      </c>
      <c r="B193" vm="560">
        <f ca="1"/>
        <v>45980</v>
      </c>
      <c r="C193" vm="561">
        <f ca="1"/>
        <v>100.38</v>
      </c>
      <c r="D193" vm="562">
        <f ca="1"/>
        <v>3059734</v>
      </c>
      <c r="E193">
        <f t="shared" ca="1" si="42"/>
        <v>307136098.91999996</v>
      </c>
      <c r="F193">
        <f ca="1">SUM($E$2:E193)/SUM($D$2:D193)</f>
        <v>102.86887315053094</v>
      </c>
      <c r="G193">
        <f ca="1">_xlfn.STDEV.P($C$2:C193)</f>
        <v>4.3351600989150141</v>
      </c>
      <c r="H193">
        <f t="shared" ca="1" si="43"/>
        <v>107.20403324944596</v>
      </c>
      <c r="I193">
        <f t="shared" ca="1" si="44"/>
        <v>98.533713051615933</v>
      </c>
      <c r="J193">
        <f t="shared" ca="1" si="53"/>
        <v>99.308500000000009</v>
      </c>
      <c r="K193">
        <f t="shared" ca="1" si="54"/>
        <v>2.107566006957839</v>
      </c>
      <c r="L193">
        <f t="shared" ca="1" si="55"/>
        <v>103.52363201391569</v>
      </c>
      <c r="M193">
        <f t="shared" ca="1" si="56"/>
        <v>95.093367986084331</v>
      </c>
      <c r="N193">
        <f t="shared" ca="1" si="45"/>
        <v>-2.5300000000000011</v>
      </c>
      <c r="O193">
        <f t="shared" ca="1" si="46"/>
        <v>0</v>
      </c>
      <c r="P193">
        <f t="shared" ca="1" si="47"/>
        <v>2.5300000000000011</v>
      </c>
      <c r="Q193">
        <f t="shared" ca="1" si="51"/>
        <v>0.56953492043090026</v>
      </c>
      <c r="R193">
        <f t="shared" ca="1" si="52"/>
        <v>0.53443738492157</v>
      </c>
      <c r="S193">
        <f t="shared" ca="1" si="49"/>
        <v>1.0656719318287977</v>
      </c>
      <c r="T193">
        <f t="shared" ca="1" si="50"/>
        <v>51.589602172951452</v>
      </c>
      <c r="U193">
        <f>70</f>
        <v>70</v>
      </c>
      <c r="V193">
        <f>30</f>
        <v>30</v>
      </c>
      <c r="W193">
        <f t="shared" ca="1" si="48"/>
        <v>100.52376729436546</v>
      </c>
      <c r="X193">
        <f t="shared" ca="1" si="58"/>
        <v>99.940921630687299</v>
      </c>
      <c r="Y193">
        <f t="shared" ca="1" si="57"/>
        <v>0.57367338020846148</v>
      </c>
      <c r="Z193">
        <f t="shared" ca="1" si="59"/>
        <v>0.22774636243492299</v>
      </c>
      <c r="AA193">
        <f t="shared" ca="1" si="60"/>
        <v>0.34592701777353851</v>
      </c>
      <c r="AB193">
        <f t="shared" ca="1" si="61"/>
        <v>100.18439999999998</v>
      </c>
    </row>
    <row r="194" spans="1:28" x14ac:dyDescent="0.25">
      <c r="A194" s="21">
        <f t="shared" ca="1" si="41"/>
        <v>45978</v>
      </c>
      <c r="B194" vm="563">
        <f ca="1"/>
        <v>45981</v>
      </c>
      <c r="C194" vm="549">
        <f ca="1"/>
        <v>100.95</v>
      </c>
      <c r="D194" vm="564">
        <f ca="1"/>
        <v>2462396</v>
      </c>
      <c r="E194">
        <f t="shared" ca="1" si="42"/>
        <v>248578876.20000002</v>
      </c>
      <c r="F194">
        <f ca="1">SUM($E$2:E194)/SUM($D$2:D194)</f>
        <v>102.85938628467753</v>
      </c>
      <c r="G194">
        <f ca="1">_xlfn.STDEV.P($C$2:C194)</f>
        <v>4.3254483896947988</v>
      </c>
      <c r="H194">
        <f t="shared" ca="1" si="43"/>
        <v>107.18483467437233</v>
      </c>
      <c r="I194">
        <f t="shared" ca="1" si="44"/>
        <v>98.533937894982728</v>
      </c>
      <c r="J194">
        <f t="shared" ca="1" si="53"/>
        <v>99.31750000000001</v>
      </c>
      <c r="K194">
        <f t="shared" ca="1" si="54"/>
        <v>2.1145084659635627</v>
      </c>
      <c r="L194">
        <f t="shared" ca="1" si="55"/>
        <v>103.54651693192713</v>
      </c>
      <c r="M194">
        <f t="shared" ca="1" si="56"/>
        <v>95.08848306807289</v>
      </c>
      <c r="N194">
        <f t="shared" ca="1" si="45"/>
        <v>0.57000000000000739</v>
      </c>
      <c r="O194">
        <f t="shared" ca="1" si="46"/>
        <v>0.57000000000000739</v>
      </c>
      <c r="P194">
        <f t="shared" ca="1" si="47"/>
        <v>0</v>
      </c>
      <c r="Q194">
        <f t="shared" ca="1" si="51"/>
        <v>0.56956814040012216</v>
      </c>
      <c r="R194">
        <f t="shared" ca="1" si="52"/>
        <v>0.4962632859986007</v>
      </c>
      <c r="S194">
        <f t="shared" ca="1" si="49"/>
        <v>1.1477136360269218</v>
      </c>
      <c r="T194">
        <f t="shared" ca="1" si="50"/>
        <v>53.438857805554065</v>
      </c>
      <c r="U194">
        <f>70</f>
        <v>70</v>
      </c>
      <c r="V194">
        <f>30</f>
        <v>30</v>
      </c>
      <c r="W194">
        <f t="shared" ca="1" si="48"/>
        <v>100.58934155677078</v>
      </c>
      <c r="X194">
        <f t="shared" ca="1" si="58"/>
        <v>100.01566817656231</v>
      </c>
      <c r="Y194">
        <f t="shared" ca="1" si="57"/>
        <v>0.49692958683239397</v>
      </c>
      <c r="Z194">
        <f t="shared" ca="1" si="59"/>
        <v>0.28158300731441721</v>
      </c>
      <c r="AA194">
        <f t="shared" ca="1" si="60"/>
        <v>0.21534657951797676</v>
      </c>
      <c r="AB194">
        <f t="shared" ca="1" si="61"/>
        <v>100.18610000000001</v>
      </c>
    </row>
    <row r="195" spans="1:28" x14ac:dyDescent="0.25">
      <c r="A195" s="21">
        <f t="shared" ref="A195:A251" ca="1" si="62">B195 - WEEKDAY(B195, 2) + 1</f>
        <v>45978</v>
      </c>
      <c r="B195" vm="565">
        <f ca="1"/>
        <v>45982</v>
      </c>
      <c r="C195" vm="566">
        <f ca="1"/>
        <v>100.16</v>
      </c>
      <c r="D195" vm="567">
        <f ca="1"/>
        <v>4721989</v>
      </c>
      <c r="E195">
        <f t="shared" ref="E195:E251" ca="1" si="63">C195*D195</f>
        <v>472954418.24000001</v>
      </c>
      <c r="F195">
        <f ca="1">SUM($E$2:E195)/SUM($D$2:D195)</f>
        <v>102.83403438225841</v>
      </c>
      <c r="G195">
        <f ca="1">_xlfn.STDEV.P($C$2:C195)</f>
        <v>4.3176680465240151</v>
      </c>
      <c r="H195">
        <f t="shared" ref="H195:H251" ca="1" si="64">F195 + G195</f>
        <v>107.15170242878243</v>
      </c>
      <c r="I195">
        <f t="shared" ref="I195:I251" ca="1" si="65">F195 - G195</f>
        <v>98.516366335734389</v>
      </c>
      <c r="J195">
        <f t="shared" ca="1" si="53"/>
        <v>99.32350000000001</v>
      </c>
      <c r="K195">
        <f t="shared" ca="1" si="54"/>
        <v>2.1168354608757509</v>
      </c>
      <c r="L195">
        <f t="shared" ca="1" si="55"/>
        <v>103.55717092175151</v>
      </c>
      <c r="M195">
        <f t="shared" ca="1" si="56"/>
        <v>95.089829078248513</v>
      </c>
      <c r="N195">
        <f t="shared" ca="1" si="45"/>
        <v>-0.79000000000000625</v>
      </c>
      <c r="O195">
        <f t="shared" ca="1" si="46"/>
        <v>0</v>
      </c>
      <c r="P195">
        <f t="shared" ca="1" si="47"/>
        <v>0.79000000000000625</v>
      </c>
      <c r="Q195">
        <f t="shared" ca="1" si="51"/>
        <v>0.52888470180011349</v>
      </c>
      <c r="R195">
        <f t="shared" ca="1" si="52"/>
        <v>0.51724447985584399</v>
      </c>
      <c r="S195">
        <f t="shared" ca="1" si="49"/>
        <v>1.022504294192784</v>
      </c>
      <c r="T195">
        <f t="shared" ca="1" si="50"/>
        <v>50.556347253684471</v>
      </c>
      <c r="U195">
        <f>70</f>
        <v>70</v>
      </c>
      <c r="V195">
        <f>30</f>
        <v>30</v>
      </c>
      <c r="W195">
        <f t="shared" ca="1" si="48"/>
        <v>100.52328900957528</v>
      </c>
      <c r="X195">
        <f t="shared" ca="1" si="58"/>
        <v>100.02635942274289</v>
      </c>
      <c r="Y195">
        <f t="shared" ca="1" si="57"/>
        <v>0.33222228903822781</v>
      </c>
      <c r="Z195">
        <f t="shared" ca="1" si="59"/>
        <v>0.29171086365917936</v>
      </c>
      <c r="AA195">
        <f t="shared" ca="1" si="60"/>
        <v>4.0511425379048449E-2</v>
      </c>
      <c r="AB195">
        <f t="shared" ca="1" si="61"/>
        <v>100.1885</v>
      </c>
    </row>
    <row r="196" spans="1:28" x14ac:dyDescent="0.25">
      <c r="A196" s="21">
        <f t="shared" ca="1" si="62"/>
        <v>45985</v>
      </c>
      <c r="B196" vm="568">
        <f ca="1"/>
        <v>45985</v>
      </c>
      <c r="C196" vm="569">
        <f ca="1"/>
        <v>98.92</v>
      </c>
      <c r="D196" vm="570">
        <f ca="1"/>
        <v>7708010</v>
      </c>
      <c r="E196">
        <f t="shared" ca="1" si="63"/>
        <v>762476349.20000005</v>
      </c>
      <c r="F196">
        <f ca="1">SUM($E$2:E196)/SUM($D$2:D196)</f>
        <v>102.77493541090053</v>
      </c>
      <c r="G196">
        <f ca="1">_xlfn.STDEV.P($C$2:C196)</f>
        <v>4.3143112286946526</v>
      </c>
      <c r="H196">
        <f t="shared" ca="1" si="64"/>
        <v>107.08924663959517</v>
      </c>
      <c r="I196">
        <f t="shared" ca="1" si="65"/>
        <v>98.460624182205876</v>
      </c>
      <c r="J196">
        <f t="shared" ca="1" si="53"/>
        <v>99.258500000000026</v>
      </c>
      <c r="K196">
        <f t="shared" ca="1" si="54"/>
        <v>2.1077982401199198</v>
      </c>
      <c r="L196">
        <f t="shared" ca="1" si="55"/>
        <v>103.47409648023987</v>
      </c>
      <c r="M196">
        <f t="shared" ca="1" si="56"/>
        <v>95.042903519760188</v>
      </c>
      <c r="N196">
        <f t="shared" ref="N196:N251" ca="1" si="66">C196-C195</f>
        <v>-1.2399999999999949</v>
      </c>
      <c r="O196">
        <f t="shared" ref="O196:O251" ca="1" si="67">MAX(N196,0)</f>
        <v>0</v>
      </c>
      <c r="P196">
        <f t="shared" ref="P196:P251" ca="1" si="68">MAX(-N196,0)</f>
        <v>1.2399999999999949</v>
      </c>
      <c r="Q196">
        <f t="shared" ca="1" si="51"/>
        <v>0.49110722310010541</v>
      </c>
      <c r="R196">
        <f t="shared" ca="1" si="52"/>
        <v>0.56886987415185475</v>
      </c>
      <c r="S196">
        <f t="shared" ca="1" si="49"/>
        <v>0.86330327094981429</v>
      </c>
      <c r="T196">
        <f t="shared" ca="1" si="50"/>
        <v>46.331871167152919</v>
      </c>
      <c r="U196">
        <f>70</f>
        <v>70</v>
      </c>
      <c r="V196">
        <f>30</f>
        <v>30</v>
      </c>
      <c r="W196">
        <f t="shared" ca="1" si="48"/>
        <v>100.27662916194831</v>
      </c>
      <c r="X196">
        <f t="shared" ca="1" si="58"/>
        <v>99.944406872910079</v>
      </c>
      <c r="Y196">
        <f t="shared" ca="1" si="57"/>
        <v>0.19380805527883638</v>
      </c>
      <c r="Z196">
        <f t="shared" ca="1" si="59"/>
        <v>0.27213030198311078</v>
      </c>
      <c r="AA196">
        <f t="shared" ca="1" si="60"/>
        <v>-7.8322246704274401E-2</v>
      </c>
      <c r="AB196">
        <f t="shared" ca="1" si="61"/>
        <v>100.17460000000003</v>
      </c>
    </row>
    <row r="197" spans="1:28" x14ac:dyDescent="0.25">
      <c r="A197" s="21">
        <f t="shared" ca="1" si="62"/>
        <v>45985</v>
      </c>
      <c r="B197" vm="571">
        <f ca="1"/>
        <v>45986</v>
      </c>
      <c r="C197" vm="572">
        <f ca="1"/>
        <v>98.85</v>
      </c>
      <c r="D197" vm="573">
        <f ca="1"/>
        <v>2127188</v>
      </c>
      <c r="E197">
        <f t="shared" ca="1" si="63"/>
        <v>210272533.79999998</v>
      </c>
      <c r="F197">
        <f ca="1">SUM($E$2:E197)/SUM($D$2:D197)</f>
        <v>102.7586482465439</v>
      </c>
      <c r="G197">
        <f ca="1">_xlfn.STDEV.P($C$2:C197)</f>
        <v>4.3112068430383923</v>
      </c>
      <c r="H197">
        <f t="shared" ca="1" si="64"/>
        <v>107.06985508958229</v>
      </c>
      <c r="I197">
        <f t="shared" ca="1" si="65"/>
        <v>98.447441403505508</v>
      </c>
      <c r="J197">
        <f t="shared" ca="1" si="53"/>
        <v>99.273500000000013</v>
      </c>
      <c r="K197">
        <f t="shared" ca="1" si="54"/>
        <v>2.1035540727164834</v>
      </c>
      <c r="L197">
        <f t="shared" ca="1" si="55"/>
        <v>103.48060814543298</v>
      </c>
      <c r="M197">
        <f t="shared" ca="1" si="56"/>
        <v>95.066391854567044</v>
      </c>
      <c r="N197">
        <f t="shared" ca="1" si="66"/>
        <v>-7.000000000000739E-2</v>
      </c>
      <c r="O197">
        <f t="shared" ca="1" si="67"/>
        <v>0</v>
      </c>
      <c r="P197">
        <f t="shared" ca="1" si="68"/>
        <v>7.000000000000739E-2</v>
      </c>
      <c r="Q197">
        <f t="shared" ca="1" si="51"/>
        <v>0.45602813573581219</v>
      </c>
      <c r="R197">
        <f t="shared" ca="1" si="52"/>
        <v>0.53323631171243702</v>
      </c>
      <c r="S197">
        <f t="shared" ca="1" si="49"/>
        <v>0.85520833018914599</v>
      </c>
      <c r="T197">
        <f t="shared" ca="1" si="50"/>
        <v>46.097697831162392</v>
      </c>
      <c r="U197">
        <f>70</f>
        <v>70</v>
      </c>
      <c r="V197">
        <f>30</f>
        <v>30</v>
      </c>
      <c r="W197">
        <f t="shared" ca="1" si="48"/>
        <v>100.05714775241781</v>
      </c>
      <c r="X197">
        <f t="shared" ca="1" si="58"/>
        <v>99.863339697138969</v>
      </c>
      <c r="Y197">
        <f t="shared" ca="1" si="57"/>
        <v>0.18606119913937391</v>
      </c>
      <c r="Z197">
        <f t="shared" ca="1" si="59"/>
        <v>0.25491648141436341</v>
      </c>
      <c r="AA197">
        <f t="shared" ca="1" si="60"/>
        <v>-6.8855282274989493E-2</v>
      </c>
      <c r="AB197">
        <f t="shared" ca="1" si="61"/>
        <v>100.16600000000003</v>
      </c>
    </row>
    <row r="198" spans="1:28" x14ac:dyDescent="0.25">
      <c r="A198" s="21">
        <f t="shared" ca="1" si="62"/>
        <v>45985</v>
      </c>
      <c r="B198" vm="574">
        <f ca="1"/>
        <v>45987</v>
      </c>
      <c r="C198" vm="575">
        <f ca="1"/>
        <v>100.14</v>
      </c>
      <c r="D198" vm="576">
        <f ca="1"/>
        <v>1305669</v>
      </c>
      <c r="E198">
        <f t="shared" ca="1" si="63"/>
        <v>130749693.66</v>
      </c>
      <c r="F198">
        <f ca="1">SUM($E$2:E198)/SUM($D$2:D198)</f>
        <v>102.75199532230299</v>
      </c>
      <c r="G198">
        <f ca="1">_xlfn.STDEV.P($C$2:C198)</f>
        <v>4.3035103598338225</v>
      </c>
      <c r="H198">
        <f t="shared" ca="1" si="64"/>
        <v>107.05550568213681</v>
      </c>
      <c r="I198">
        <f t="shared" ca="1" si="65"/>
        <v>98.448484962469166</v>
      </c>
      <c r="J198">
        <f t="shared" ca="1" si="53"/>
        <v>99.430500000000023</v>
      </c>
      <c r="K198">
        <f t="shared" ca="1" si="54"/>
        <v>2.0411928272200885</v>
      </c>
      <c r="L198">
        <f t="shared" ca="1" si="55"/>
        <v>103.5128856544402</v>
      </c>
      <c r="M198">
        <f t="shared" ca="1" si="56"/>
        <v>95.34811434555985</v>
      </c>
      <c r="N198">
        <f t="shared" ca="1" si="66"/>
        <v>1.2900000000000063</v>
      </c>
      <c r="O198">
        <f t="shared" ca="1" si="67"/>
        <v>1.2900000000000063</v>
      </c>
      <c r="P198">
        <f t="shared" ca="1" si="68"/>
        <v>0</v>
      </c>
      <c r="Q198">
        <f t="shared" ca="1" si="51"/>
        <v>0.5155975546118261</v>
      </c>
      <c r="R198">
        <f t="shared" ca="1" si="52"/>
        <v>0.49514800373297724</v>
      </c>
      <c r="S198">
        <f t="shared" ca="1" si="49"/>
        <v>1.0412998754406306</v>
      </c>
      <c r="T198">
        <f t="shared" ca="1" si="50"/>
        <v>51.011607259117568</v>
      </c>
      <c r="U198">
        <f>70</f>
        <v>70</v>
      </c>
      <c r="V198">
        <f>30</f>
        <v>30</v>
      </c>
      <c r="W198">
        <f t="shared" ca="1" si="48"/>
        <v>100.06989425204583</v>
      </c>
      <c r="X198">
        <f t="shared" ca="1" si="58"/>
        <v>99.883833052906454</v>
      </c>
      <c r="Y198">
        <f t="shared" ca="1" si="57"/>
        <v>0.19542122696014985</v>
      </c>
      <c r="Z198">
        <f t="shared" ca="1" si="59"/>
        <v>0.24301743052352071</v>
      </c>
      <c r="AA198">
        <f t="shared" ca="1" si="60"/>
        <v>-4.7596203563370854E-2</v>
      </c>
      <c r="AB198">
        <f t="shared" ca="1" si="61"/>
        <v>100.1743</v>
      </c>
    </row>
    <row r="199" spans="1:28" x14ac:dyDescent="0.25">
      <c r="A199" s="21">
        <f t="shared" ca="1" si="62"/>
        <v>45985</v>
      </c>
      <c r="B199" vm="577">
        <f ca="1"/>
        <v>45989</v>
      </c>
      <c r="C199" vm="578">
        <f ca="1"/>
        <v>100.36</v>
      </c>
      <c r="D199" vm="579">
        <f ca="1"/>
        <v>1063335</v>
      </c>
      <c r="E199">
        <f t="shared" ca="1" si="63"/>
        <v>106716300.59999999</v>
      </c>
      <c r="F199">
        <f ca="1">SUM($E$2:E199)/SUM($D$2:D199)</f>
        <v>102.74705636691498</v>
      </c>
      <c r="G199">
        <f ca="1">_xlfn.STDEV.P($C$2:C199)</f>
        <v>4.2952701606516435</v>
      </c>
      <c r="H199">
        <f t="shared" ca="1" si="64"/>
        <v>107.04232652756662</v>
      </c>
      <c r="I199">
        <f t="shared" ca="1" si="65"/>
        <v>98.451786206263336</v>
      </c>
      <c r="J199">
        <f t="shared" ca="1" si="53"/>
        <v>99.539000000000016</v>
      </c>
      <c r="K199">
        <f t="shared" ca="1" si="54"/>
        <v>2.0294227854504006</v>
      </c>
      <c r="L199">
        <f t="shared" ca="1" si="55"/>
        <v>103.59784557090082</v>
      </c>
      <c r="M199">
        <f t="shared" ca="1" si="56"/>
        <v>95.480154429099215</v>
      </c>
      <c r="N199">
        <f t="shared" ca="1" si="66"/>
        <v>0.21999999999999886</v>
      </c>
      <c r="O199">
        <f t="shared" ca="1" si="67"/>
        <v>0.21999999999999886</v>
      </c>
      <c r="P199">
        <f t="shared" ca="1" si="68"/>
        <v>0</v>
      </c>
      <c r="Q199">
        <f t="shared" ca="1" si="51"/>
        <v>0.49448344356812418</v>
      </c>
      <c r="R199">
        <f t="shared" ca="1" si="52"/>
        <v>0.45978028918062169</v>
      </c>
      <c r="S199">
        <f t="shared" ca="1" si="49"/>
        <v>1.0754776905494301</v>
      </c>
      <c r="T199">
        <f t="shared" ca="1" si="50"/>
        <v>51.818320931444212</v>
      </c>
      <c r="U199">
        <f>70</f>
        <v>70</v>
      </c>
      <c r="V199">
        <f>30</f>
        <v>30</v>
      </c>
      <c r="W199">
        <f t="shared" ca="1" si="48"/>
        <v>100.11452590557724</v>
      </c>
      <c r="X199">
        <f t="shared" ca="1" si="58"/>
        <v>99.919104678617089</v>
      </c>
      <c r="Y199">
        <f t="shared" ca="1" si="57"/>
        <v>2.6928017261695913E-3</v>
      </c>
      <c r="Z199">
        <f t="shared" ca="1" si="59"/>
        <v>0.19495250476405049</v>
      </c>
      <c r="AA199">
        <f t="shared" ca="1" si="60"/>
        <v>-0.1922597030378809</v>
      </c>
      <c r="AB199">
        <f t="shared" ca="1" si="61"/>
        <v>100.17820000000002</v>
      </c>
    </row>
    <row r="200" spans="1:28" x14ac:dyDescent="0.25">
      <c r="A200" s="21">
        <f t="shared" ca="1" si="62"/>
        <v>45992</v>
      </c>
      <c r="B200" vm="580">
        <f ca="1"/>
        <v>45992</v>
      </c>
      <c r="C200" vm="581">
        <f ca="1"/>
        <v>97.88</v>
      </c>
      <c r="D200" vm="582">
        <f ca="1"/>
        <v>2744812</v>
      </c>
      <c r="E200">
        <f t="shared" ca="1" si="63"/>
        <v>268662198.56</v>
      </c>
      <c r="F200">
        <f ca="1">SUM($E$2:E200)/SUM($D$2:D200)</f>
        <v>102.72125307841505</v>
      </c>
      <c r="G200">
        <f ca="1">_xlfn.STDEV.P($C$2:C200)</f>
        <v>4.2967600868278035</v>
      </c>
      <c r="H200">
        <f t="shared" ca="1" si="64"/>
        <v>107.01801316524285</v>
      </c>
      <c r="I200">
        <f t="shared" ca="1" si="65"/>
        <v>98.424492991587243</v>
      </c>
      <c r="J200">
        <f t="shared" ca="1" si="53"/>
        <v>99.562500000000028</v>
      </c>
      <c r="K200">
        <f t="shared" ca="1" si="54"/>
        <v>2.0060589144940519</v>
      </c>
      <c r="L200">
        <f t="shared" ca="1" si="55"/>
        <v>103.57461782898814</v>
      </c>
      <c r="M200">
        <f t="shared" ca="1" si="56"/>
        <v>95.550382171011918</v>
      </c>
      <c r="N200">
        <f t="shared" ca="1" si="66"/>
        <v>-2.480000000000004</v>
      </c>
      <c r="O200">
        <f t="shared" ca="1" si="67"/>
        <v>0</v>
      </c>
      <c r="P200">
        <f t="shared" ca="1" si="68"/>
        <v>2.480000000000004</v>
      </c>
      <c r="Q200">
        <f t="shared" ca="1" si="51"/>
        <v>0.45916319759897245</v>
      </c>
      <c r="R200">
        <f t="shared" ca="1" si="52"/>
        <v>0.60408169709629178</v>
      </c>
      <c r="S200">
        <f t="shared" ca="1" si="49"/>
        <v>0.76010115818122681</v>
      </c>
      <c r="T200">
        <f t="shared" ca="1" si="50"/>
        <v>43.185083689545756</v>
      </c>
      <c r="U200">
        <f>70</f>
        <v>70</v>
      </c>
      <c r="V200">
        <f>30</f>
        <v>30</v>
      </c>
      <c r="W200">
        <f t="shared" ca="1" si="48"/>
        <v>99.770752689334586</v>
      </c>
      <c r="X200">
        <f t="shared" ca="1" si="58"/>
        <v>99.768059887608416</v>
      </c>
      <c r="Y200">
        <f t="shared" ca="1" si="57"/>
        <v>-0.22890574000103925</v>
      </c>
      <c r="Z200">
        <f t="shared" ca="1" si="59"/>
        <v>0.11018085581103254</v>
      </c>
      <c r="AA200">
        <f t="shared" ca="1" si="60"/>
        <v>-0.33908659581207179</v>
      </c>
      <c r="AB200">
        <f t="shared" ca="1" si="61"/>
        <v>100.14630000000002</v>
      </c>
    </row>
    <row r="201" spans="1:28" x14ac:dyDescent="0.25">
      <c r="A201" s="21">
        <f t="shared" ca="1" si="62"/>
        <v>45992</v>
      </c>
      <c r="B201" vm="583">
        <f ca="1"/>
        <v>45993</v>
      </c>
      <c r="C201" vm="584">
        <f ca="1"/>
        <v>96.87</v>
      </c>
      <c r="D201" vm="585">
        <f ca="1"/>
        <v>2753150</v>
      </c>
      <c r="E201">
        <f t="shared" ca="1" si="63"/>
        <v>266697640.5</v>
      </c>
      <c r="F201">
        <f ca="1">SUM($E$2:E201)/SUM($D$2:D201)</f>
        <v>102.69030230580407</v>
      </c>
      <c r="G201">
        <f ca="1">_xlfn.STDEV.P($C$2:C201)</f>
        <v>4.3040421884549378</v>
      </c>
      <c r="H201">
        <f t="shared" ca="1" si="64"/>
        <v>106.99434449425901</v>
      </c>
      <c r="I201">
        <f t="shared" ca="1" si="65"/>
        <v>98.386260117349124</v>
      </c>
      <c r="J201">
        <f t="shared" ca="1" si="53"/>
        <v>99.573999999999998</v>
      </c>
      <c r="K201">
        <f t="shared" ca="1" si="54"/>
        <v>1.989010333121263</v>
      </c>
      <c r="L201">
        <f t="shared" ca="1" si="55"/>
        <v>103.55202066624253</v>
      </c>
      <c r="M201">
        <f t="shared" ca="1" si="56"/>
        <v>95.595979333757469</v>
      </c>
      <c r="N201">
        <f t="shared" ca="1" si="66"/>
        <v>-1.0099999999999909</v>
      </c>
      <c r="O201">
        <f t="shared" ca="1" si="67"/>
        <v>0</v>
      </c>
      <c r="P201">
        <f t="shared" ca="1" si="68"/>
        <v>1.0099999999999909</v>
      </c>
      <c r="Q201">
        <f t="shared" ca="1" si="51"/>
        <v>0.42636582634190301</v>
      </c>
      <c r="R201">
        <f t="shared" ca="1" si="52"/>
        <v>0.6330758615894132</v>
      </c>
      <c r="S201">
        <f t="shared" ca="1" si="49"/>
        <v>0.67348299344640983</v>
      </c>
      <c r="T201">
        <f t="shared" ca="1" si="50"/>
        <v>40.244388265901847</v>
      </c>
      <c r="U201">
        <f>70</f>
        <v>70</v>
      </c>
      <c r="V201">
        <f>30</f>
        <v>30</v>
      </c>
      <c r="W201">
        <f t="shared" ca="1" si="48"/>
        <v>99.324483044821577</v>
      </c>
      <c r="X201">
        <f t="shared" ca="1" si="58"/>
        <v>99.553388784822616</v>
      </c>
      <c r="Y201">
        <f t="shared" ca="1" si="57"/>
        <v>-0.44125325001522242</v>
      </c>
      <c r="Z201">
        <f t="shared" ca="1" si="59"/>
        <v>-1.0596535421845965E-4</v>
      </c>
      <c r="AA201">
        <f t="shared" ca="1" si="60"/>
        <v>-0.44114728466100395</v>
      </c>
      <c r="AB201">
        <f t="shared" ca="1" si="61"/>
        <v>100.10910000000004</v>
      </c>
    </row>
    <row r="202" spans="1:28" x14ac:dyDescent="0.25">
      <c r="A202" s="21">
        <f t="shared" ca="1" si="62"/>
        <v>45992</v>
      </c>
      <c r="B202" vm="586">
        <f ca="1"/>
        <v>45994</v>
      </c>
      <c r="C202" vm="587">
        <f ca="1"/>
        <v>96.45</v>
      </c>
      <c r="D202" vm="588">
        <f ca="1"/>
        <v>1762033</v>
      </c>
      <c r="E202">
        <f t="shared" ca="1" si="63"/>
        <v>169948082.84999999</v>
      </c>
      <c r="F202">
        <f ca="1">SUM($E$2:E202)/SUM($D$2:D202)</f>
        <v>102.66924782004072</v>
      </c>
      <c r="G202">
        <f ca="1">_xlfn.STDEV.P($C$2:C202)</f>
        <v>4.3138402092631649</v>
      </c>
      <c r="H202">
        <f t="shared" ca="1" si="64"/>
        <v>106.98308802930389</v>
      </c>
      <c r="I202">
        <f t="shared" ca="1" si="65"/>
        <v>98.355407610777561</v>
      </c>
      <c r="J202">
        <f t="shared" ca="1" si="53"/>
        <v>99.498500000000007</v>
      </c>
      <c r="K202">
        <f t="shared" ca="1" si="54"/>
        <v>2.080074075097984</v>
      </c>
      <c r="L202">
        <f t="shared" ca="1" si="55"/>
        <v>103.65864815019597</v>
      </c>
      <c r="M202">
        <f t="shared" ca="1" si="56"/>
        <v>95.338351849804042</v>
      </c>
      <c r="N202">
        <f t="shared" ca="1" si="66"/>
        <v>-0.42000000000000171</v>
      </c>
      <c r="O202">
        <f t="shared" ca="1" si="67"/>
        <v>0</v>
      </c>
      <c r="P202">
        <f t="shared" ca="1" si="68"/>
        <v>0.42000000000000171</v>
      </c>
      <c r="Q202">
        <f t="shared" ca="1" si="51"/>
        <v>0.39591112446033849</v>
      </c>
      <c r="R202">
        <f t="shared" ca="1" si="52"/>
        <v>0.61785615719016962</v>
      </c>
      <c r="S202">
        <f t="shared" ca="1" si="49"/>
        <v>0.64078203292628388</v>
      </c>
      <c r="T202">
        <f t="shared" ca="1" si="50"/>
        <v>39.053452565144745</v>
      </c>
      <c r="U202">
        <f>70</f>
        <v>70</v>
      </c>
      <c r="V202">
        <f>30</f>
        <v>30</v>
      </c>
      <c r="W202">
        <f t="shared" ca="1" si="48"/>
        <v>98.882254884079799</v>
      </c>
      <c r="X202">
        <f t="shared" ca="1" si="58"/>
        <v>99.323508134095022</v>
      </c>
      <c r="Y202">
        <f t="shared" ca="1" si="57"/>
        <v>-0.62094143307457728</v>
      </c>
      <c r="Z202">
        <f t="shared" ca="1" si="59"/>
        <v>-0.12427305889829023</v>
      </c>
      <c r="AA202">
        <f t="shared" ca="1" si="60"/>
        <v>-0.49666837417628706</v>
      </c>
      <c r="AB202">
        <f t="shared" ca="1" si="61"/>
        <v>100.06350000000003</v>
      </c>
    </row>
    <row r="203" spans="1:28" x14ac:dyDescent="0.25">
      <c r="A203" s="21">
        <f t="shared" ca="1" si="62"/>
        <v>45992</v>
      </c>
      <c r="B203" vm="589">
        <f ca="1"/>
        <v>45995</v>
      </c>
      <c r="C203" vm="590">
        <f ca="1"/>
        <v>96.22</v>
      </c>
      <c r="D203" vm="591">
        <f ca="1"/>
        <v>2303530</v>
      </c>
      <c r="E203">
        <f t="shared" ca="1" si="63"/>
        <v>221645656.59999999</v>
      </c>
      <c r="F203">
        <f ca="1">SUM($E$2:E203)/SUM($D$2:D203)</f>
        <v>102.6409263018969</v>
      </c>
      <c r="G203">
        <f ca="1">_xlfn.STDEV.P($C$2:C203)</f>
        <v>4.3249054315628177</v>
      </c>
      <c r="H203">
        <f t="shared" ca="1" si="64"/>
        <v>106.96583173345971</v>
      </c>
      <c r="I203">
        <f t="shared" ca="1" si="65"/>
        <v>98.316020870334086</v>
      </c>
      <c r="J203">
        <f t="shared" ca="1" si="53"/>
        <v>99.503999999999991</v>
      </c>
      <c r="K203">
        <f t="shared" ca="1" si="54"/>
        <v>2.0707674651531591</v>
      </c>
      <c r="L203">
        <f t="shared" ca="1" si="55"/>
        <v>103.64553493030631</v>
      </c>
      <c r="M203">
        <f t="shared" ca="1" si="56"/>
        <v>95.36246506969367</v>
      </c>
      <c r="N203">
        <f t="shared" ca="1" si="66"/>
        <v>-0.23000000000000398</v>
      </c>
      <c r="O203">
        <f t="shared" ca="1" si="67"/>
        <v>0</v>
      </c>
      <c r="P203">
        <f t="shared" ca="1" si="68"/>
        <v>0.23000000000000398</v>
      </c>
      <c r="Q203">
        <f t="shared" ca="1" si="51"/>
        <v>0.36763175842745716</v>
      </c>
      <c r="R203">
        <f t="shared" ca="1" si="52"/>
        <v>0.5901521459623007</v>
      </c>
      <c r="S203">
        <f t="shared" ca="1" si="49"/>
        <v>0.62294403391179354</v>
      </c>
      <c r="T203">
        <f t="shared" ca="1" si="50"/>
        <v>38.383580757883998</v>
      </c>
      <c r="U203">
        <f>70</f>
        <v>70</v>
      </c>
      <c r="V203">
        <f>30</f>
        <v>30</v>
      </c>
      <c r="W203">
        <f t="shared" ca="1" si="48"/>
        <v>98.47267720960599</v>
      </c>
      <c r="X203">
        <f t="shared" ca="1" si="58"/>
        <v>99.093618642680568</v>
      </c>
      <c r="Y203">
        <f t="shared" ca="1" si="57"/>
        <v>-0.72433312711739006</v>
      </c>
      <c r="Z203">
        <f t="shared" ca="1" si="59"/>
        <v>-0.24428507254211021</v>
      </c>
      <c r="AA203">
        <f t="shared" ca="1" si="60"/>
        <v>-0.48004805457527988</v>
      </c>
      <c r="AB203">
        <f t="shared" ca="1" si="61"/>
        <v>100.02620000000003</v>
      </c>
    </row>
    <row r="204" spans="1:28" x14ac:dyDescent="0.25">
      <c r="A204" s="21">
        <f t="shared" ca="1" si="62"/>
        <v>45992</v>
      </c>
      <c r="B204" vm="592">
        <f ca="1"/>
        <v>45996</v>
      </c>
      <c r="C204" vm="593">
        <f ca="1"/>
        <v>96.6</v>
      </c>
      <c r="D204" vm="594">
        <f ca="1"/>
        <v>1775844</v>
      </c>
      <c r="E204">
        <f t="shared" ca="1" si="63"/>
        <v>171546530.39999998</v>
      </c>
      <c r="F204">
        <f ca="1">SUM($E$2:E204)/SUM($D$2:D204)</f>
        <v>102.62054395751296</v>
      </c>
      <c r="G204">
        <f ca="1">_xlfn.STDEV.P($C$2:C204)</f>
        <v>4.333063470013129</v>
      </c>
      <c r="H204">
        <f t="shared" ca="1" si="64"/>
        <v>106.95360742752609</v>
      </c>
      <c r="I204">
        <f t="shared" ca="1" si="65"/>
        <v>98.287480487499835</v>
      </c>
      <c r="J204">
        <f t="shared" ca="1" si="53"/>
        <v>99.484499999999997</v>
      </c>
      <c r="K204">
        <f t="shared" ca="1" si="54"/>
        <v>2.0973529055755762</v>
      </c>
      <c r="L204">
        <f t="shared" ca="1" si="55"/>
        <v>103.67920581115115</v>
      </c>
      <c r="M204">
        <f t="shared" ca="1" si="56"/>
        <v>95.289794188848845</v>
      </c>
      <c r="N204">
        <f t="shared" ca="1" si="66"/>
        <v>0.37999999999999545</v>
      </c>
      <c r="O204">
        <f t="shared" ca="1" si="67"/>
        <v>0.37999999999999545</v>
      </c>
      <c r="P204">
        <f t="shared" ca="1" si="68"/>
        <v>0</v>
      </c>
      <c r="Q204">
        <f t="shared" ca="1" si="51"/>
        <v>0.36851520425406703</v>
      </c>
      <c r="R204">
        <f t="shared" ca="1" si="52"/>
        <v>0.54799842125070775</v>
      </c>
      <c r="S204">
        <f t="shared" ca="1" si="49"/>
        <v>0.67247493781642187</v>
      </c>
      <c r="T204">
        <f t="shared" ca="1" si="50"/>
        <v>40.208371594159914</v>
      </c>
      <c r="U204">
        <f>70</f>
        <v>70</v>
      </c>
      <c r="V204">
        <f>30</f>
        <v>30</v>
      </c>
      <c r="W204">
        <f t="shared" ca="1" si="48"/>
        <v>98.184573023512755</v>
      </c>
      <c r="X204">
        <f t="shared" ca="1" si="58"/>
        <v>98.908906150630145</v>
      </c>
      <c r="Y204">
        <f t="shared" ca="1" si="57"/>
        <v>-0.88882139877922839</v>
      </c>
      <c r="Z204">
        <f t="shared" ca="1" si="59"/>
        <v>-0.37319233778953387</v>
      </c>
      <c r="AA204">
        <f t="shared" ca="1" si="60"/>
        <v>-0.51562906098969452</v>
      </c>
      <c r="AB204">
        <f t="shared" ca="1" si="61"/>
        <v>99.987600000000043</v>
      </c>
    </row>
    <row r="205" spans="1:28" x14ac:dyDescent="0.25">
      <c r="A205" s="21">
        <f t="shared" ca="1" si="62"/>
        <v>45999</v>
      </c>
      <c r="B205" vm="595">
        <f ca="1"/>
        <v>45999</v>
      </c>
      <c r="C205" vm="596">
        <f ca="1"/>
        <v>95.45</v>
      </c>
      <c r="D205" vm="597">
        <f ca="1"/>
        <v>2089307</v>
      </c>
      <c r="E205">
        <f t="shared" ca="1" si="63"/>
        <v>199424353.15000001</v>
      </c>
      <c r="F205">
        <f ca="1">SUM($E$2:E205)/SUM($D$2:D205)</f>
        <v>102.59219222652088</v>
      </c>
      <c r="G205">
        <f ca="1">_xlfn.STDEV.P($C$2:C205)</f>
        <v>4.3490889110268736</v>
      </c>
      <c r="H205">
        <f t="shared" ca="1" si="64"/>
        <v>106.94128113754775</v>
      </c>
      <c r="I205">
        <f t="shared" ca="1" si="65"/>
        <v>98.243103315494011</v>
      </c>
      <c r="J205">
        <f t="shared" ca="1" si="53"/>
        <v>99.330999999999989</v>
      </c>
      <c r="K205">
        <f t="shared" ca="1" si="54"/>
        <v>2.2763611312794803</v>
      </c>
      <c r="L205">
        <f t="shared" ca="1" si="55"/>
        <v>103.88372226255895</v>
      </c>
      <c r="M205">
        <f t="shared" ca="1" si="56"/>
        <v>94.77827773744103</v>
      </c>
      <c r="N205">
        <f t="shared" ca="1" si="66"/>
        <v>-1.1499999999999915</v>
      </c>
      <c r="O205">
        <f t="shared" ca="1" si="67"/>
        <v>0</v>
      </c>
      <c r="P205">
        <f t="shared" ca="1" si="68"/>
        <v>1.1499999999999915</v>
      </c>
      <c r="Q205">
        <f t="shared" ca="1" si="51"/>
        <v>0.34219268966449079</v>
      </c>
      <c r="R205">
        <f t="shared" ca="1" si="52"/>
        <v>0.59099853401851377</v>
      </c>
      <c r="S205">
        <f t="shared" ca="1" si="49"/>
        <v>0.57900767932153818</v>
      </c>
      <c r="T205">
        <f t="shared" ca="1" si="50"/>
        <v>36.669085711497232</v>
      </c>
      <c r="U205">
        <f>70</f>
        <v>70</v>
      </c>
      <c r="V205">
        <f>30</f>
        <v>30</v>
      </c>
      <c r="W205">
        <f t="shared" ca="1" si="48"/>
        <v>97.763869481433872</v>
      </c>
      <c r="X205">
        <f t="shared" ca="1" si="58"/>
        <v>98.6526908802131</v>
      </c>
      <c r="Y205">
        <f t="shared" ca="1" si="57"/>
        <v>-0.97804928798689161</v>
      </c>
      <c r="Z205">
        <f t="shared" ca="1" si="59"/>
        <v>-0.49416372782900542</v>
      </c>
      <c r="AA205">
        <f t="shared" ca="1" si="60"/>
        <v>-0.4838855601578862</v>
      </c>
      <c r="AB205">
        <f t="shared" ca="1" si="61"/>
        <v>99.936100000000039</v>
      </c>
    </row>
    <row r="206" spans="1:28" x14ac:dyDescent="0.25">
      <c r="A206" s="21">
        <f t="shared" ca="1" si="62"/>
        <v>45999</v>
      </c>
      <c r="B206" vm="598">
        <f ca="1"/>
        <v>46000</v>
      </c>
      <c r="C206" vm="599">
        <f ca="1"/>
        <v>95.82</v>
      </c>
      <c r="D206" vm="600">
        <f ca="1"/>
        <v>1823336</v>
      </c>
      <c r="E206">
        <f t="shared" ca="1" si="63"/>
        <v>174712055.51999998</v>
      </c>
      <c r="F206">
        <f ca="1">SUM($E$2:E206)/SUM($D$2:D206)</f>
        <v>102.56890460073556</v>
      </c>
      <c r="G206">
        <f ca="1">_xlfn.STDEV.P($C$2:C206)</f>
        <v>4.3618992255958204</v>
      </c>
      <c r="H206">
        <f t="shared" ca="1" si="64"/>
        <v>106.93080382633138</v>
      </c>
      <c r="I206">
        <f t="shared" ca="1" si="65"/>
        <v>98.207005375139744</v>
      </c>
      <c r="J206">
        <f t="shared" ca="1" si="53"/>
        <v>99.21</v>
      </c>
      <c r="K206">
        <f t="shared" ca="1" si="54"/>
        <v>2.3984490602755857</v>
      </c>
      <c r="L206">
        <f t="shared" ca="1" si="55"/>
        <v>104.00689812055117</v>
      </c>
      <c r="M206">
        <f t="shared" ca="1" si="56"/>
        <v>94.413101879448817</v>
      </c>
      <c r="N206">
        <f t="shared" ca="1" si="66"/>
        <v>0.36999999999999034</v>
      </c>
      <c r="O206">
        <f t="shared" ca="1" si="67"/>
        <v>0.36999999999999034</v>
      </c>
      <c r="P206">
        <f t="shared" ca="1" si="68"/>
        <v>0</v>
      </c>
      <c r="Q206">
        <f t="shared" ca="1" si="51"/>
        <v>0.3441789261170265</v>
      </c>
      <c r="R206">
        <f t="shared" ca="1" si="52"/>
        <v>0.54878435301719131</v>
      </c>
      <c r="S206">
        <f t="shared" ca="1" si="49"/>
        <v>0.62716607028743887</v>
      </c>
      <c r="T206">
        <f t="shared" ca="1" si="50"/>
        <v>38.543457962877142</v>
      </c>
      <c r="U206">
        <f>70</f>
        <v>70</v>
      </c>
      <c r="V206">
        <f>30</f>
        <v>30</v>
      </c>
      <c r="W206">
        <f t="shared" ca="1" si="48"/>
        <v>97.464812638136351</v>
      </c>
      <c r="X206">
        <f t="shared" ca="1" si="58"/>
        <v>98.442861926123243</v>
      </c>
      <c r="Y206">
        <f t="shared" ca="1" si="57"/>
        <v>-1.0695178702665373</v>
      </c>
      <c r="Z206">
        <f t="shared" ca="1" si="59"/>
        <v>-0.6092345563165118</v>
      </c>
      <c r="AA206">
        <f t="shared" ca="1" si="60"/>
        <v>-0.46028331395002553</v>
      </c>
      <c r="AB206">
        <f t="shared" ca="1" si="61"/>
        <v>99.883500000000041</v>
      </c>
    </row>
    <row r="207" spans="1:28" x14ac:dyDescent="0.25">
      <c r="A207" s="21">
        <f t="shared" ca="1" si="62"/>
        <v>45999</v>
      </c>
      <c r="B207" vm="601">
        <f ca="1"/>
        <v>46001</v>
      </c>
      <c r="C207" vm="602">
        <f ca="1"/>
        <v>95.41</v>
      </c>
      <c r="D207" vm="603">
        <f ca="1"/>
        <v>1848956</v>
      </c>
      <c r="E207">
        <f t="shared" ca="1" si="63"/>
        <v>176408891.96000001</v>
      </c>
      <c r="F207">
        <f ca="1">SUM($E$2:E207)/SUM($D$2:D207)</f>
        <v>102.54402802397711</v>
      </c>
      <c r="G207">
        <f ca="1">_xlfn.STDEV.P($C$2:C207)</f>
        <v>4.3773347731019312</v>
      </c>
      <c r="H207">
        <f t="shared" ca="1" si="64"/>
        <v>106.92136279707904</v>
      </c>
      <c r="I207">
        <f t="shared" ca="1" si="65"/>
        <v>98.16669325087517</v>
      </c>
      <c r="J207">
        <f t="shared" ca="1" si="53"/>
        <v>99.000999999999991</v>
      </c>
      <c r="K207">
        <f t="shared" ca="1" si="54"/>
        <v>2.5414519265051698</v>
      </c>
      <c r="L207">
        <f t="shared" ca="1" si="55"/>
        <v>104.08390385301033</v>
      </c>
      <c r="M207">
        <f t="shared" ca="1" si="56"/>
        <v>93.918096146989654</v>
      </c>
      <c r="N207">
        <f t="shared" ca="1" si="66"/>
        <v>-0.40999999999999659</v>
      </c>
      <c r="O207">
        <f t="shared" ca="1" si="67"/>
        <v>0</v>
      </c>
      <c r="P207">
        <f t="shared" ca="1" si="68"/>
        <v>0.40999999999999659</v>
      </c>
      <c r="Q207">
        <f t="shared" ca="1" si="51"/>
        <v>0.31959471710866744</v>
      </c>
      <c r="R207">
        <f t="shared" ca="1" si="52"/>
        <v>0.53887118494453456</v>
      </c>
      <c r="S207">
        <f t="shared" ca="1" si="49"/>
        <v>0.5930818459731948</v>
      </c>
      <c r="T207">
        <f t="shared" ca="1" si="50"/>
        <v>37.228586056160104</v>
      </c>
      <c r="U207">
        <f>70</f>
        <v>70</v>
      </c>
      <c r="V207">
        <f>30</f>
        <v>30</v>
      </c>
      <c r="W207">
        <f t="shared" ref="W207:W251" ca="1" si="69">C207*(2/(12+1)) + W206*(1-(2/(12+1)))</f>
        <v>97.148687616884601</v>
      </c>
      <c r="X207">
        <f t="shared" ca="1" si="58"/>
        <v>98.218205487151138</v>
      </c>
      <c r="Y207">
        <f t="shared" ca="1" si="57"/>
        <v>-1.1106454732461231</v>
      </c>
      <c r="Z207">
        <f t="shared" ca="1" si="59"/>
        <v>-0.70951673970243412</v>
      </c>
      <c r="AA207">
        <f t="shared" ca="1" si="60"/>
        <v>-0.40112873354368894</v>
      </c>
      <c r="AB207">
        <f t="shared" ca="1" si="61"/>
        <v>99.816900000000047</v>
      </c>
    </row>
    <row r="208" spans="1:28" x14ac:dyDescent="0.25">
      <c r="A208" s="21">
        <f t="shared" ca="1" si="62"/>
        <v>45999</v>
      </c>
      <c r="B208" vm="604">
        <f ca="1"/>
        <v>46002</v>
      </c>
      <c r="C208" vm="605">
        <f ca="1"/>
        <v>95.64</v>
      </c>
      <c r="D208" vm="606">
        <f ca="1"/>
        <v>1396780</v>
      </c>
      <c r="E208">
        <f t="shared" ca="1" si="63"/>
        <v>133588039.2</v>
      </c>
      <c r="F208">
        <f ca="1">SUM($E$2:E208)/SUM($D$2:D208)</f>
        <v>102.52595172783552</v>
      </c>
      <c r="G208">
        <f ca="1">_xlfn.STDEV.P($C$2:C208)</f>
        <v>4.3906293401903751</v>
      </c>
      <c r="H208">
        <f t="shared" ca="1" si="64"/>
        <v>106.91658106802589</v>
      </c>
      <c r="I208">
        <f t="shared" ca="1" si="65"/>
        <v>98.135322387645147</v>
      </c>
      <c r="J208">
        <f t="shared" ca="1" si="53"/>
        <v>98.773499999999984</v>
      </c>
      <c r="K208">
        <f t="shared" ca="1" si="54"/>
        <v>2.6314700214298865</v>
      </c>
      <c r="L208">
        <f t="shared" ca="1" si="55"/>
        <v>104.03644004285975</v>
      </c>
      <c r="M208">
        <f t="shared" ca="1" si="56"/>
        <v>93.510559957140217</v>
      </c>
      <c r="N208">
        <f t="shared" ca="1" si="66"/>
        <v>0.23000000000000398</v>
      </c>
      <c r="O208">
        <f t="shared" ca="1" si="67"/>
        <v>0.23000000000000398</v>
      </c>
      <c r="P208">
        <f t="shared" ca="1" si="68"/>
        <v>0</v>
      </c>
      <c r="Q208">
        <f t="shared" ca="1" si="51"/>
        <v>0.31319509445804866</v>
      </c>
      <c r="R208">
        <f t="shared" ca="1" si="52"/>
        <v>0.50038038601992496</v>
      </c>
      <c r="S208">
        <f t="shared" ref="S208:S251" ca="1" si="70">IF(R208=0,NA(),Q208/R208)</f>
        <v>0.62591401103714994</v>
      </c>
      <c r="T208">
        <f t="shared" ref="T208:T251" ca="1" si="71">100-(100/(1+S208))</f>
        <v>38.496132439247958</v>
      </c>
      <c r="U208">
        <f>70</f>
        <v>70</v>
      </c>
      <c r="V208">
        <f>30</f>
        <v>30</v>
      </c>
      <c r="W208">
        <f t="shared" ca="1" si="69"/>
        <v>96.9165818296716</v>
      </c>
      <c r="X208">
        <f t="shared" ca="1" si="58"/>
        <v>98.027227302917723</v>
      </c>
      <c r="Y208">
        <f t="shared" ca="1" si="57"/>
        <v>-0.97944179497378059</v>
      </c>
      <c r="Z208">
        <f t="shared" ca="1" si="59"/>
        <v>-0.76350175075670346</v>
      </c>
      <c r="AA208">
        <f t="shared" ca="1" si="60"/>
        <v>-0.21594004421707713</v>
      </c>
      <c r="AB208">
        <f t="shared" ca="1" si="61"/>
        <v>99.737400000000036</v>
      </c>
    </row>
    <row r="209" spans="1:28" x14ac:dyDescent="0.25">
      <c r="A209" s="21">
        <f t="shared" ca="1" si="62"/>
        <v>45999</v>
      </c>
      <c r="B209" vm="607">
        <f ca="1"/>
        <v>46003</v>
      </c>
      <c r="C209" vm="608">
        <f ca="1"/>
        <v>97.53</v>
      </c>
      <c r="D209" vm="609">
        <f ca="1"/>
        <v>2638227</v>
      </c>
      <c r="E209">
        <f t="shared" ca="1" si="63"/>
        <v>257306279.31</v>
      </c>
      <c r="F209">
        <f ca="1">SUM($E$2:E209)/SUM($D$2:D209)</f>
        <v>102.5013669168991</v>
      </c>
      <c r="G209">
        <f ca="1">_xlfn.STDEV.P($C$2:C209)</f>
        <v>4.3919760332145881</v>
      </c>
      <c r="H209">
        <f t="shared" ca="1" si="64"/>
        <v>106.89334295011369</v>
      </c>
      <c r="I209">
        <f t="shared" ca="1" si="65"/>
        <v>98.109390883684512</v>
      </c>
      <c r="J209">
        <f t="shared" ca="1" si="53"/>
        <v>98.602499999999992</v>
      </c>
      <c r="K209">
        <f t="shared" ca="1" si="54"/>
        <v>2.5934368073435308</v>
      </c>
      <c r="L209">
        <f t="shared" ca="1" si="55"/>
        <v>103.78937361468705</v>
      </c>
      <c r="M209">
        <f t="shared" ca="1" si="56"/>
        <v>93.415626385312933</v>
      </c>
      <c r="N209">
        <f t="shared" ca="1" si="66"/>
        <v>1.8900000000000006</v>
      </c>
      <c r="O209">
        <f t="shared" ca="1" si="67"/>
        <v>1.8900000000000006</v>
      </c>
      <c r="P209">
        <f t="shared" ca="1" si="68"/>
        <v>0</v>
      </c>
      <c r="Q209">
        <f t="shared" ref="Q209:Q251" ca="1" si="72">(Q208*13+O209)/14</f>
        <v>0.42582401628247385</v>
      </c>
      <c r="R209">
        <f t="shared" ref="R209:R251" ca="1" si="73">(R208*13+P209)/14</f>
        <v>0.46463892987564465</v>
      </c>
      <c r="S209">
        <f t="shared" ca="1" si="70"/>
        <v>0.91646220086732899</v>
      </c>
      <c r="T209">
        <f t="shared" ca="1" si="71"/>
        <v>47.820520564014664</v>
      </c>
      <c r="U209">
        <f>70</f>
        <v>70</v>
      </c>
      <c r="V209">
        <f>30</f>
        <v>30</v>
      </c>
      <c r="W209">
        <f t="shared" ca="1" si="69"/>
        <v>97.010953855875968</v>
      </c>
      <c r="X209">
        <f t="shared" ca="1" si="58"/>
        <v>97.990395650849749</v>
      </c>
      <c r="Y209">
        <f t="shared" ca="1" si="57"/>
        <v>-0.71710909211114426</v>
      </c>
      <c r="Z209">
        <f t="shared" ca="1" si="59"/>
        <v>-0.75422321902759171</v>
      </c>
      <c r="AA209">
        <f t="shared" ca="1" si="60"/>
        <v>3.7114126916447443E-2</v>
      </c>
      <c r="AB209">
        <f t="shared" ca="1" si="61"/>
        <v>99.687200000000033</v>
      </c>
    </row>
    <row r="210" spans="1:28" x14ac:dyDescent="0.25">
      <c r="A210" s="21">
        <f t="shared" ca="1" si="62"/>
        <v>46006</v>
      </c>
      <c r="B210" vm="610">
        <f ca="1"/>
        <v>46006</v>
      </c>
      <c r="C210" vm="611">
        <f ca="1"/>
        <v>99.39</v>
      </c>
      <c r="D210" vm="612">
        <f ca="1"/>
        <v>2388088</v>
      </c>
      <c r="E210">
        <f t="shared" ca="1" si="63"/>
        <v>237352066.31999999</v>
      </c>
      <c r="F210">
        <f ca="1">SUM($E$2:E210)/SUM($D$2:D210)</f>
        <v>102.4875691812605</v>
      </c>
      <c r="G210">
        <f ca="1">_xlfn.STDEV.P($C$2:C210)</f>
        <v>4.3856876769564543</v>
      </c>
      <c r="H210">
        <f t="shared" ca="1" si="64"/>
        <v>106.87325685821695</v>
      </c>
      <c r="I210">
        <f t="shared" ca="1" si="65"/>
        <v>98.101881504304046</v>
      </c>
      <c r="J210">
        <f t="shared" ca="1" si="53"/>
        <v>98.489000000000004</v>
      </c>
      <c r="K210">
        <f t="shared" ca="1" si="54"/>
        <v>2.5005955080214068</v>
      </c>
      <c r="L210">
        <f t="shared" ca="1" si="55"/>
        <v>103.49019101604281</v>
      </c>
      <c r="M210">
        <f t="shared" ca="1" si="56"/>
        <v>93.487808983957194</v>
      </c>
      <c r="N210">
        <f t="shared" ca="1" si="66"/>
        <v>1.8599999999999994</v>
      </c>
      <c r="O210">
        <f t="shared" ca="1" si="67"/>
        <v>1.8599999999999994</v>
      </c>
      <c r="P210">
        <f t="shared" ca="1" si="68"/>
        <v>0</v>
      </c>
      <c r="Q210">
        <f t="shared" ca="1" si="72"/>
        <v>0.5282651579765828</v>
      </c>
      <c r="R210">
        <f t="shared" ca="1" si="73"/>
        <v>0.43145043488452722</v>
      </c>
      <c r="S210">
        <f t="shared" ca="1" si="70"/>
        <v>1.2243936157300825</v>
      </c>
      <c r="T210">
        <f t="shared" ca="1" si="71"/>
        <v>55.043927795495691</v>
      </c>
      <c r="U210">
        <f>70</f>
        <v>70</v>
      </c>
      <c r="V210">
        <f>30</f>
        <v>30</v>
      </c>
      <c r="W210">
        <f t="shared" ca="1" si="69"/>
        <v>97.376960954971963</v>
      </c>
      <c r="X210">
        <f t="shared" ca="1" si="58"/>
        <v>98.094070047083108</v>
      </c>
      <c r="Y210">
        <f t="shared" ca="1" si="57"/>
        <v>-0.54249390790694463</v>
      </c>
      <c r="Z210">
        <f t="shared" ca="1" si="59"/>
        <v>-0.71187735680346231</v>
      </c>
      <c r="AA210">
        <f t="shared" ca="1" si="60"/>
        <v>0.16938344889651769</v>
      </c>
      <c r="AB210">
        <f t="shared" ca="1" si="61"/>
        <v>99.660600000000031</v>
      </c>
    </row>
    <row r="211" spans="1:28" x14ac:dyDescent="0.25">
      <c r="A211" s="21">
        <f t="shared" ca="1" si="62"/>
        <v>46006</v>
      </c>
      <c r="B211" vm="613">
        <f ca="1"/>
        <v>46007</v>
      </c>
      <c r="C211" vm="614">
        <f ca="1"/>
        <v>98.9</v>
      </c>
      <c r="D211" vm="615">
        <f ca="1"/>
        <v>2321135</v>
      </c>
      <c r="E211">
        <f t="shared" ca="1" si="63"/>
        <v>229560251.5</v>
      </c>
      <c r="F211">
        <f ca="1">SUM($E$2:E211)/SUM($D$2:D211)</f>
        <v>102.47217207753344</v>
      </c>
      <c r="G211">
        <f ca="1">_xlfn.STDEV.P($C$2:C211)</f>
        <v>4.3810127379382626</v>
      </c>
      <c r="H211">
        <f t="shared" ca="1" si="64"/>
        <v>106.85318481547171</v>
      </c>
      <c r="I211">
        <f t="shared" ca="1" si="65"/>
        <v>98.09115933959518</v>
      </c>
      <c r="J211">
        <f t="shared" ca="1" si="53"/>
        <v>98.241500000000002</v>
      </c>
      <c r="K211">
        <f t="shared" ca="1" si="54"/>
        <v>2.1644259601201665</v>
      </c>
      <c r="L211">
        <f t="shared" ca="1" si="55"/>
        <v>102.57035192024034</v>
      </c>
      <c r="M211">
        <f t="shared" ca="1" si="56"/>
        <v>93.912648079759663</v>
      </c>
      <c r="N211">
        <f t="shared" ca="1" si="66"/>
        <v>-0.48999999999999488</v>
      </c>
      <c r="O211">
        <f t="shared" ca="1" si="67"/>
        <v>0</v>
      </c>
      <c r="P211">
        <f t="shared" ca="1" si="68"/>
        <v>0.48999999999999488</v>
      </c>
      <c r="Q211">
        <f t="shared" ca="1" si="72"/>
        <v>0.49053193240682685</v>
      </c>
      <c r="R211">
        <f t="shared" ca="1" si="73"/>
        <v>0.43563254667848922</v>
      </c>
      <c r="S211">
        <f t="shared" ca="1" si="70"/>
        <v>1.1260222316879716</v>
      </c>
      <c r="T211">
        <f t="shared" ca="1" si="71"/>
        <v>52.963803242732688</v>
      </c>
      <c r="U211">
        <f>70</f>
        <v>70</v>
      </c>
      <c r="V211">
        <f>30</f>
        <v>30</v>
      </c>
      <c r="W211">
        <f t="shared" ca="1" si="69"/>
        <v>97.611274654207051</v>
      </c>
      <c r="X211">
        <f t="shared" ca="1" si="58"/>
        <v>98.153768562113996</v>
      </c>
      <c r="Y211">
        <f t="shared" ca="1" si="57"/>
        <v>-0.29500344839759407</v>
      </c>
      <c r="Z211">
        <f t="shared" ca="1" si="59"/>
        <v>-0.62850257512228869</v>
      </c>
      <c r="AA211">
        <f t="shared" ca="1" si="60"/>
        <v>0.33349912672469462</v>
      </c>
      <c r="AB211">
        <f t="shared" ca="1" si="61"/>
        <v>99.627000000000024</v>
      </c>
    </row>
    <row r="212" spans="1:28" x14ac:dyDescent="0.25">
      <c r="A212" s="21">
        <f t="shared" ca="1" si="62"/>
        <v>46006</v>
      </c>
      <c r="B212" vm="616">
        <f ca="1"/>
        <v>46008</v>
      </c>
      <c r="C212" vm="617">
        <f ca="1"/>
        <v>100.21</v>
      </c>
      <c r="D212" vm="618">
        <f ca="1"/>
        <v>2330732</v>
      </c>
      <c r="E212">
        <f t="shared" ca="1" si="63"/>
        <v>233562653.72</v>
      </c>
      <c r="F212">
        <f ca="1">SUM($E$2:E212)/SUM($D$2:D212)</f>
        <v>102.46246499460335</v>
      </c>
      <c r="G212">
        <f ca="1">_xlfn.STDEV.P($C$2:C212)</f>
        <v>4.3726539593464837</v>
      </c>
      <c r="H212">
        <f t="shared" ca="1" si="64"/>
        <v>106.83511895394983</v>
      </c>
      <c r="I212">
        <f t="shared" ca="1" si="65"/>
        <v>98.089811035256872</v>
      </c>
      <c r="J212">
        <f t="shared" ca="1" si="53"/>
        <v>98.106500000000011</v>
      </c>
      <c r="K212">
        <f t="shared" ca="1" si="54"/>
        <v>1.9293529730810903</v>
      </c>
      <c r="L212">
        <f t="shared" ca="1" si="55"/>
        <v>101.96520594616219</v>
      </c>
      <c r="M212">
        <f t="shared" ca="1" si="56"/>
        <v>94.247794053837836</v>
      </c>
      <c r="N212">
        <f t="shared" ca="1" si="66"/>
        <v>1.3099999999999881</v>
      </c>
      <c r="O212">
        <f t="shared" ca="1" si="67"/>
        <v>1.3099999999999881</v>
      </c>
      <c r="P212">
        <f t="shared" ca="1" si="68"/>
        <v>0</v>
      </c>
      <c r="Q212">
        <f t="shared" ca="1" si="72"/>
        <v>0.54906536580633836</v>
      </c>
      <c r="R212">
        <f t="shared" ca="1" si="73"/>
        <v>0.40451593620145426</v>
      </c>
      <c r="S212">
        <f t="shared" ca="1" si="70"/>
        <v>1.3573392706409879</v>
      </c>
      <c r="T212">
        <f t="shared" ca="1" si="71"/>
        <v>57.579292363458215</v>
      </c>
      <c r="U212">
        <f>70</f>
        <v>70</v>
      </c>
      <c r="V212">
        <f>30</f>
        <v>30</v>
      </c>
      <c r="W212">
        <f t="shared" ca="1" si="69"/>
        <v>98.011078553559798</v>
      </c>
      <c r="X212">
        <f t="shared" ca="1" si="58"/>
        <v>98.306082001957392</v>
      </c>
      <c r="Y212">
        <f t="shared" ca="1" si="57"/>
        <v>-0.11528866162076667</v>
      </c>
      <c r="Z212">
        <f t="shared" ca="1" si="59"/>
        <v>-0.52585979242198433</v>
      </c>
      <c r="AA212">
        <f t="shared" ca="1" si="60"/>
        <v>0.41057113080121765</v>
      </c>
      <c r="AB212">
        <f t="shared" ca="1" si="61"/>
        <v>99.61930000000001</v>
      </c>
    </row>
    <row r="213" spans="1:28" x14ac:dyDescent="0.25">
      <c r="A213" s="21">
        <f t="shared" ca="1" si="62"/>
        <v>46006</v>
      </c>
      <c r="B213" vm="619">
        <f ca="1"/>
        <v>46009</v>
      </c>
      <c r="C213" vm="620">
        <f ca="1"/>
        <v>99.99</v>
      </c>
      <c r="D213" vm="621">
        <f ca="1"/>
        <v>2345340</v>
      </c>
      <c r="E213">
        <f t="shared" ca="1" si="63"/>
        <v>234510546.59999999</v>
      </c>
      <c r="F213">
        <f ca="1">SUM($E$2:E213)/SUM($D$2:D213)</f>
        <v>102.45183493975827</v>
      </c>
      <c r="G213">
        <f ca="1">_xlfn.STDEV.P($C$2:C213)</f>
        <v>4.3648225799876883</v>
      </c>
      <c r="H213">
        <f t="shared" ca="1" si="64"/>
        <v>106.81665751974596</v>
      </c>
      <c r="I213">
        <f t="shared" ca="1" si="65"/>
        <v>98.087012359770583</v>
      </c>
      <c r="J213">
        <f t="shared" ca="1" si="53"/>
        <v>98.087000000000018</v>
      </c>
      <c r="K213">
        <f t="shared" ca="1" si="54"/>
        <v>1.9070067479802228</v>
      </c>
      <c r="L213">
        <f t="shared" ca="1" si="55"/>
        <v>101.90101349596047</v>
      </c>
      <c r="M213">
        <f t="shared" ca="1" si="56"/>
        <v>94.272986504039565</v>
      </c>
      <c r="N213">
        <f t="shared" ca="1" si="66"/>
        <v>-0.21999999999999886</v>
      </c>
      <c r="O213">
        <f t="shared" ca="1" si="67"/>
        <v>0</v>
      </c>
      <c r="P213">
        <f t="shared" ca="1" si="68"/>
        <v>0.21999999999999886</v>
      </c>
      <c r="Q213">
        <f t="shared" ca="1" si="72"/>
        <v>0.50984641110588558</v>
      </c>
      <c r="R213">
        <f t="shared" ca="1" si="73"/>
        <v>0.39133622647277883</v>
      </c>
      <c r="S213">
        <f t="shared" ca="1" si="70"/>
        <v>1.3028346894977541</v>
      </c>
      <c r="T213">
        <f t="shared" ca="1" si="71"/>
        <v>56.57525898143826</v>
      </c>
      <c r="U213">
        <f>70</f>
        <v>70</v>
      </c>
      <c r="V213">
        <f>30</f>
        <v>30</v>
      </c>
      <c r="W213">
        <f t="shared" ca="1" si="69"/>
        <v>98.315528006858301</v>
      </c>
      <c r="X213">
        <f t="shared" ca="1" si="58"/>
        <v>98.430816668479068</v>
      </c>
      <c r="Y213">
        <f t="shared" ca="1" si="57"/>
        <v>-0.12713276130706674</v>
      </c>
      <c r="Z213">
        <f t="shared" ca="1" si="59"/>
        <v>-0.44611438619900079</v>
      </c>
      <c r="AA213">
        <f t="shared" ca="1" si="60"/>
        <v>0.31898162489193405</v>
      </c>
      <c r="AB213">
        <f t="shared" ca="1" si="61"/>
        <v>99.596800000000002</v>
      </c>
    </row>
    <row r="214" spans="1:28" x14ac:dyDescent="0.25">
      <c r="A214" s="21">
        <f t="shared" ca="1" si="62"/>
        <v>46006</v>
      </c>
      <c r="B214" vm="622">
        <f ca="1"/>
        <v>46010</v>
      </c>
      <c r="C214" vm="623">
        <f ca="1"/>
        <v>98.06</v>
      </c>
      <c r="D214" vm="624">
        <f ca="1"/>
        <v>4366286</v>
      </c>
      <c r="E214">
        <f t="shared" ca="1" si="63"/>
        <v>428158005.16000003</v>
      </c>
      <c r="F214">
        <f ca="1">SUM($E$2:E214)/SUM($D$2:D214)</f>
        <v>102.41696144753652</v>
      </c>
      <c r="G214">
        <f ca="1">_xlfn.STDEV.P($C$2:C214)</f>
        <v>4.3634556853329727</v>
      </c>
      <c r="H214">
        <f t="shared" ca="1" si="64"/>
        <v>106.7804171328695</v>
      </c>
      <c r="I214">
        <f t="shared" ca="1" si="65"/>
        <v>98.053505762203542</v>
      </c>
      <c r="J214">
        <f t="shared" ref="J214:J251" ca="1" si="74">AVERAGE(C195:C214)</f>
        <v>97.942500000000024</v>
      </c>
      <c r="K214">
        <f t="shared" ref="K214:K251" ca="1" si="75">_xlfn.STDEV.S(C195:C214)</f>
        <v>1.7841874901478261</v>
      </c>
      <c r="L214">
        <f t="shared" ref="L214:L251" ca="1" si="76">J214 + 2*K214</f>
        <v>101.51087498029568</v>
      </c>
      <c r="M214">
        <f t="shared" ref="M214:M251" ca="1" si="77">J214-2*K214</f>
        <v>94.374125019704366</v>
      </c>
      <c r="N214">
        <f t="shared" ca="1" si="66"/>
        <v>-1.9299999999999926</v>
      </c>
      <c r="O214">
        <f t="shared" ca="1" si="67"/>
        <v>0</v>
      </c>
      <c r="P214">
        <f t="shared" ca="1" si="68"/>
        <v>1.9299999999999926</v>
      </c>
      <c r="Q214">
        <f t="shared" ca="1" si="72"/>
        <v>0.47342881031260803</v>
      </c>
      <c r="R214">
        <f t="shared" ca="1" si="73"/>
        <v>0.50124078172472264</v>
      </c>
      <c r="S214">
        <f t="shared" ca="1" si="70"/>
        <v>0.944513749826149</v>
      </c>
      <c r="T214">
        <f t="shared" ca="1" si="71"/>
        <v>48.573261562721996</v>
      </c>
      <c r="U214">
        <f>70</f>
        <v>70</v>
      </c>
      <c r="V214">
        <f>30</f>
        <v>30</v>
      </c>
      <c r="W214">
        <f t="shared" ca="1" si="69"/>
        <v>98.276216005803178</v>
      </c>
      <c r="X214">
        <f t="shared" ca="1" si="58"/>
        <v>98.403348767110245</v>
      </c>
      <c r="Y214">
        <f t="shared" ca="1" si="57"/>
        <v>-9.4279759507926997E-2</v>
      </c>
      <c r="Z214">
        <f t="shared" ca="1" si="59"/>
        <v>-0.37574746086078603</v>
      </c>
      <c r="AA214">
        <f t="shared" ca="1" si="60"/>
        <v>0.28146770135285903</v>
      </c>
      <c r="AB214">
        <f t="shared" ca="1" si="61"/>
        <v>99.55149999999999</v>
      </c>
    </row>
    <row r="215" spans="1:28" x14ac:dyDescent="0.25">
      <c r="A215" s="21">
        <f t="shared" ca="1" si="62"/>
        <v>46013</v>
      </c>
      <c r="B215" vm="625">
        <f ca="1"/>
        <v>46013</v>
      </c>
      <c r="C215" vm="626">
        <f ca="1"/>
        <v>98.57</v>
      </c>
      <c r="D215" vm="627">
        <f ca="1"/>
        <v>1526222</v>
      </c>
      <c r="E215">
        <f t="shared" ca="1" si="63"/>
        <v>150439702.53999999</v>
      </c>
      <c r="F215">
        <f ca="1">SUM($E$2:E215)/SUM($D$2:D215)</f>
        <v>102.40631342303847</v>
      </c>
      <c r="G215">
        <f ca="1">_xlfn.STDEV.P($C$2:C215)</f>
        <v>4.3599522621052298</v>
      </c>
      <c r="H215">
        <f t="shared" ca="1" si="64"/>
        <v>106.76626568514369</v>
      </c>
      <c r="I215">
        <f t="shared" ca="1" si="65"/>
        <v>98.046361160933245</v>
      </c>
      <c r="J215">
        <f t="shared" ca="1" si="74"/>
        <v>97.863000000000028</v>
      </c>
      <c r="K215">
        <f t="shared" ca="1" si="75"/>
        <v>1.7142317598025616</v>
      </c>
      <c r="L215">
        <f t="shared" ca="1" si="76"/>
        <v>101.29146351960514</v>
      </c>
      <c r="M215">
        <f t="shared" ca="1" si="77"/>
        <v>94.434536480394911</v>
      </c>
      <c r="N215">
        <f t="shared" ca="1" si="66"/>
        <v>0.50999999999999091</v>
      </c>
      <c r="O215">
        <f t="shared" ca="1" si="67"/>
        <v>0.50999999999999091</v>
      </c>
      <c r="P215">
        <f t="shared" ca="1" si="68"/>
        <v>0</v>
      </c>
      <c r="Q215">
        <f t="shared" ca="1" si="72"/>
        <v>0.4760410381474211</v>
      </c>
      <c r="R215">
        <f t="shared" ca="1" si="73"/>
        <v>0.46543786874438531</v>
      </c>
      <c r="S215">
        <f t="shared" ca="1" si="70"/>
        <v>1.022781062984067</v>
      </c>
      <c r="T215">
        <f t="shared" ca="1" si="71"/>
        <v>50.563112424793509</v>
      </c>
      <c r="U215">
        <f>70</f>
        <v>70</v>
      </c>
      <c r="V215">
        <f>30</f>
        <v>30</v>
      </c>
      <c r="W215">
        <f t="shared" ca="1" si="69"/>
        <v>98.321413543371918</v>
      </c>
      <c r="X215">
        <f t="shared" ca="1" si="58"/>
        <v>98.415693302879845</v>
      </c>
      <c r="Y215">
        <f t="shared" ca="1" si="57"/>
        <v>-3.7152424656653693E-2</v>
      </c>
      <c r="Z215">
        <f t="shared" ca="1" si="59"/>
        <v>-0.30802845361995962</v>
      </c>
      <c r="AA215">
        <f t="shared" ca="1" si="60"/>
        <v>0.27087602896330593</v>
      </c>
      <c r="AB215">
        <f t="shared" ca="1" si="61"/>
        <v>99.502199999999988</v>
      </c>
    </row>
    <row r="216" spans="1:28" x14ac:dyDescent="0.25">
      <c r="A216" s="21">
        <f t="shared" ca="1" si="62"/>
        <v>46013</v>
      </c>
      <c r="B216" vm="628">
        <f ca="1"/>
        <v>46014</v>
      </c>
      <c r="C216" vm="629">
        <f ca="1"/>
        <v>98.95</v>
      </c>
      <c r="D216" vm="630">
        <f ca="1"/>
        <v>1485103</v>
      </c>
      <c r="E216">
        <f t="shared" ca="1" si="63"/>
        <v>146950941.84999999</v>
      </c>
      <c r="F216">
        <f ca="1">SUM($E$2:E216)/SUM($D$2:D216)</f>
        <v>102.39702942448368</v>
      </c>
      <c r="G216">
        <f ca="1">_xlfn.STDEV.P($C$2:C216)</f>
        <v>4.3550687352187971</v>
      </c>
      <c r="H216">
        <f t="shared" ca="1" si="64"/>
        <v>106.75209815970247</v>
      </c>
      <c r="I216">
        <f t="shared" ca="1" si="65"/>
        <v>98.041960689264883</v>
      </c>
      <c r="J216">
        <f t="shared" ca="1" si="74"/>
        <v>97.864500000000021</v>
      </c>
      <c r="K216">
        <f t="shared" ca="1" si="75"/>
        <v>1.7152181846787395</v>
      </c>
      <c r="L216">
        <f t="shared" ca="1" si="76"/>
        <v>101.2949363693575</v>
      </c>
      <c r="M216">
        <f t="shared" ca="1" si="77"/>
        <v>94.434063630642541</v>
      </c>
      <c r="N216">
        <f t="shared" ca="1" si="66"/>
        <v>0.38000000000000966</v>
      </c>
      <c r="O216">
        <f t="shared" ca="1" si="67"/>
        <v>0.38000000000000966</v>
      </c>
      <c r="P216">
        <f t="shared" ca="1" si="68"/>
        <v>0</v>
      </c>
      <c r="Q216">
        <f t="shared" ca="1" si="72"/>
        <v>0.46918096399403458</v>
      </c>
      <c r="R216">
        <f t="shared" ca="1" si="73"/>
        <v>0.43219230669121489</v>
      </c>
      <c r="S216">
        <f t="shared" ca="1" si="70"/>
        <v>1.0855837939041491</v>
      </c>
      <c r="T216">
        <f t="shared" ca="1" si="71"/>
        <v>52.051794661866332</v>
      </c>
      <c r="U216">
        <f>70</f>
        <v>70</v>
      </c>
      <c r="V216">
        <f>30</f>
        <v>30</v>
      </c>
      <c r="W216">
        <f t="shared" ca="1" si="69"/>
        <v>98.418119152083932</v>
      </c>
      <c r="X216">
        <f t="shared" ca="1" si="58"/>
        <v>98.455271576740586</v>
      </c>
      <c r="Y216">
        <f t="shared" ca="1" si="57"/>
        <v>5.4296654496397423E-2</v>
      </c>
      <c r="Z216">
        <f t="shared" ca="1" si="59"/>
        <v>-0.23556343199668822</v>
      </c>
      <c r="AA216">
        <f t="shared" ca="1" si="60"/>
        <v>0.28986008649308564</v>
      </c>
      <c r="AB216">
        <f t="shared" ca="1" si="61"/>
        <v>99.447299999999998</v>
      </c>
    </row>
    <row r="217" spans="1:28" x14ac:dyDescent="0.25">
      <c r="A217" s="21">
        <f t="shared" ca="1" si="62"/>
        <v>46013</v>
      </c>
      <c r="B217" vm="631">
        <f ca="1"/>
        <v>46015</v>
      </c>
      <c r="C217" vm="632">
        <f ca="1"/>
        <v>99.53</v>
      </c>
      <c r="D217" vm="633">
        <f ca="1"/>
        <v>522559</v>
      </c>
      <c r="E217">
        <f t="shared" ca="1" si="63"/>
        <v>52010297.270000003</v>
      </c>
      <c r="F217">
        <f ca="1">SUM($E$2:E217)/SUM($D$2:D217)</f>
        <v>102.39432221057017</v>
      </c>
      <c r="G217">
        <f ca="1">_xlfn.STDEV.P($C$2:C217)</f>
        <v>4.3484296236738054</v>
      </c>
      <c r="H217">
        <f t="shared" ca="1" si="64"/>
        <v>106.74275183424398</v>
      </c>
      <c r="I217">
        <f t="shared" ca="1" si="65"/>
        <v>98.045892586896358</v>
      </c>
      <c r="J217">
        <f t="shared" ca="1" si="74"/>
        <v>97.898499999999999</v>
      </c>
      <c r="K217">
        <f t="shared" ca="1" si="75"/>
        <v>1.7423072271227629</v>
      </c>
      <c r="L217">
        <f t="shared" ca="1" si="76"/>
        <v>101.38311445424553</v>
      </c>
      <c r="M217">
        <f t="shared" ca="1" si="77"/>
        <v>94.413885545754468</v>
      </c>
      <c r="N217">
        <f t="shared" ca="1" si="66"/>
        <v>0.57999999999999829</v>
      </c>
      <c r="O217">
        <f t="shared" ca="1" si="67"/>
        <v>0.57999999999999829</v>
      </c>
      <c r="P217">
        <f t="shared" ca="1" si="68"/>
        <v>0</v>
      </c>
      <c r="Q217">
        <f t="shared" ca="1" si="72"/>
        <v>0.477096609423032</v>
      </c>
      <c r="R217">
        <f t="shared" ca="1" si="73"/>
        <v>0.40132142764184237</v>
      </c>
      <c r="S217">
        <f t="shared" ca="1" si="70"/>
        <v>1.1888141937161025</v>
      </c>
      <c r="T217">
        <f t="shared" ca="1" si="71"/>
        <v>54.313161762614932</v>
      </c>
      <c r="U217">
        <f>70</f>
        <v>70</v>
      </c>
      <c r="V217">
        <f>30</f>
        <v>30</v>
      </c>
      <c r="W217">
        <f t="shared" ca="1" si="69"/>
        <v>98.589177744071023</v>
      </c>
      <c r="X217">
        <f t="shared" ca="1" si="58"/>
        <v>98.534881089574625</v>
      </c>
      <c r="Y217">
        <f t="shared" ca="1" si="57"/>
        <v>0.1069784497929902</v>
      </c>
      <c r="Z217">
        <f t="shared" ca="1" si="59"/>
        <v>-0.16705505563875256</v>
      </c>
      <c r="AA217">
        <f t="shared" ca="1" si="60"/>
        <v>0.27403350543174276</v>
      </c>
      <c r="AB217">
        <f t="shared" ca="1" si="61"/>
        <v>99.38900000000001</v>
      </c>
    </row>
    <row r="218" spans="1:28" x14ac:dyDescent="0.25">
      <c r="A218" s="21">
        <f t="shared" ca="1" si="62"/>
        <v>46013</v>
      </c>
      <c r="B218" vm="634">
        <f ca="1"/>
        <v>46017</v>
      </c>
      <c r="C218" vm="635">
        <f ca="1"/>
        <v>99.3</v>
      </c>
      <c r="D218" vm="636">
        <f ca="1"/>
        <v>611485</v>
      </c>
      <c r="E218">
        <f t="shared" ca="1" si="63"/>
        <v>60720460.5</v>
      </c>
      <c r="F218">
        <f ca="1">SUM($E$2:E218)/SUM($D$2:D218)</f>
        <v>102.39090692654213</v>
      </c>
      <c r="G218">
        <f ca="1">_xlfn.STDEV.P($C$2:C218)</f>
        <v>4.3424552441703534</v>
      </c>
      <c r="H218">
        <f t="shared" ca="1" si="64"/>
        <v>106.73336217071248</v>
      </c>
      <c r="I218">
        <f t="shared" ca="1" si="65"/>
        <v>98.048451682371777</v>
      </c>
      <c r="J218">
        <f t="shared" ca="1" si="74"/>
        <v>97.856500000000011</v>
      </c>
      <c r="K218">
        <f t="shared" ca="1" si="75"/>
        <v>1.6949096389514473</v>
      </c>
      <c r="L218">
        <f t="shared" ca="1" si="76"/>
        <v>101.2463192779029</v>
      </c>
      <c r="M218">
        <f t="shared" ca="1" si="77"/>
        <v>94.466680722097124</v>
      </c>
      <c r="N218">
        <f t="shared" ca="1" si="66"/>
        <v>-0.23000000000000398</v>
      </c>
      <c r="O218">
        <f t="shared" ca="1" si="67"/>
        <v>0</v>
      </c>
      <c r="P218">
        <f t="shared" ca="1" si="68"/>
        <v>0.23000000000000398</v>
      </c>
      <c r="Q218">
        <f t="shared" ca="1" si="72"/>
        <v>0.44301828017852973</v>
      </c>
      <c r="R218">
        <f t="shared" ca="1" si="73"/>
        <v>0.38908418281028245</v>
      </c>
      <c r="S218">
        <f t="shared" ca="1" si="70"/>
        <v>1.1386180671203114</v>
      </c>
      <c r="T218">
        <f t="shared" ca="1" si="71"/>
        <v>53.240832695923189</v>
      </c>
      <c r="U218">
        <f>70</f>
        <v>70</v>
      </c>
      <c r="V218">
        <f>30</f>
        <v>30</v>
      </c>
      <c r="W218">
        <f t="shared" ca="1" si="69"/>
        <v>98.698535014213945</v>
      </c>
      <c r="X218">
        <f t="shared" ca="1" si="58"/>
        <v>98.591556564420955</v>
      </c>
      <c r="Y218">
        <f t="shared" ca="1" si="57"/>
        <v>0.16617953215023817</v>
      </c>
      <c r="Z218">
        <f t="shared" ca="1" si="59"/>
        <v>-0.10040813808095442</v>
      </c>
      <c r="AA218">
        <f t="shared" ca="1" si="60"/>
        <v>0.26658767023119256</v>
      </c>
      <c r="AB218">
        <f t="shared" ca="1" si="61"/>
        <v>99.34020000000001</v>
      </c>
    </row>
    <row r="219" spans="1:28" x14ac:dyDescent="0.25">
      <c r="A219" s="21">
        <f t="shared" ca="1" si="62"/>
        <v>46020</v>
      </c>
      <c r="B219" vm="637">
        <f ca="1"/>
        <v>46020</v>
      </c>
      <c r="C219" vm="638">
        <f ca="1"/>
        <v>99.54</v>
      </c>
      <c r="D219" vm="639">
        <f ca="1"/>
        <v>1647935</v>
      </c>
      <c r="E219">
        <f t="shared" ca="1" si="63"/>
        <v>164035449.90000001</v>
      </c>
      <c r="F219">
        <f ca="1">SUM($E$2:E219)/SUM($D$2:D219)</f>
        <v>102.38245202207092</v>
      </c>
      <c r="G219">
        <f ca="1">_xlfn.STDEV.P($C$2:C219)</f>
        <v>4.3358237893152731</v>
      </c>
      <c r="H219">
        <f t="shared" ca="1" si="64"/>
        <v>106.71827581138619</v>
      </c>
      <c r="I219">
        <f t="shared" ca="1" si="65"/>
        <v>98.046628232755651</v>
      </c>
      <c r="J219">
        <f t="shared" ca="1" si="74"/>
        <v>97.8155</v>
      </c>
      <c r="K219">
        <f t="shared" ca="1" si="75"/>
        <v>1.640197276324759</v>
      </c>
      <c r="L219">
        <f t="shared" ca="1" si="76"/>
        <v>101.09589455264951</v>
      </c>
      <c r="M219">
        <f t="shared" ca="1" si="77"/>
        <v>94.535105447350489</v>
      </c>
      <c r="N219">
        <f t="shared" ca="1" si="66"/>
        <v>0.24000000000000909</v>
      </c>
      <c r="O219">
        <f t="shared" ca="1" si="67"/>
        <v>0.24000000000000909</v>
      </c>
      <c r="P219">
        <f t="shared" ca="1" si="68"/>
        <v>0</v>
      </c>
      <c r="Q219">
        <f t="shared" ca="1" si="72"/>
        <v>0.42851697445149256</v>
      </c>
      <c r="R219">
        <f t="shared" ca="1" si="73"/>
        <v>0.36129245546669086</v>
      </c>
      <c r="S219">
        <f t="shared" ca="1" si="70"/>
        <v>1.1860667665976197</v>
      </c>
      <c r="T219">
        <f t="shared" ca="1" si="71"/>
        <v>54.255742995608792</v>
      </c>
      <c r="U219">
        <f>70</f>
        <v>70</v>
      </c>
      <c r="V219">
        <f>30</f>
        <v>30</v>
      </c>
      <c r="W219">
        <f t="shared" ca="1" si="69"/>
        <v>98.827991165873343</v>
      </c>
      <c r="X219">
        <f t="shared" ca="1" si="58"/>
        <v>98.661811633723104</v>
      </c>
      <c r="Y219">
        <f t="shared" ca="1" si="57"/>
        <v>0.23858859061076032</v>
      </c>
      <c r="Z219">
        <f t="shared" ca="1" si="59"/>
        <v>-3.2608792342611471E-2</v>
      </c>
      <c r="AA219">
        <f t="shared" ca="1" si="60"/>
        <v>0.27119738295337181</v>
      </c>
      <c r="AB219">
        <f t="shared" ca="1" si="61"/>
        <v>99.2941</v>
      </c>
    </row>
    <row r="220" spans="1:28" x14ac:dyDescent="0.25">
      <c r="A220" s="21">
        <f t="shared" ca="1" si="62"/>
        <v>46020</v>
      </c>
      <c r="B220" vm="640">
        <f ca="1"/>
        <v>46021</v>
      </c>
      <c r="C220" vm="641">
        <f ca="1"/>
        <v>99.89</v>
      </c>
      <c r="D220" vm="642">
        <f ca="1"/>
        <v>1019883</v>
      </c>
      <c r="E220">
        <f t="shared" ca="1" si="63"/>
        <v>101876112.87</v>
      </c>
      <c r="F220">
        <f ca="1">SUM($E$2:E220)/SUM($D$2:D220)</f>
        <v>102.37788570183652</v>
      </c>
      <c r="G220">
        <f ca="1">_xlfn.STDEV.P($C$2:C220)</f>
        <v>4.3283556578618301</v>
      </c>
      <c r="H220">
        <f t="shared" ca="1" si="64"/>
        <v>106.70624135969835</v>
      </c>
      <c r="I220">
        <f t="shared" ca="1" si="65"/>
        <v>98.049530043974684</v>
      </c>
      <c r="J220">
        <f t="shared" ca="1" si="74"/>
        <v>97.915999999999997</v>
      </c>
      <c r="K220">
        <f t="shared" ca="1" si="75"/>
        <v>1.7046697473025154</v>
      </c>
      <c r="L220">
        <f t="shared" ca="1" si="76"/>
        <v>101.32533949460503</v>
      </c>
      <c r="M220">
        <f t="shared" ca="1" si="77"/>
        <v>94.506660505394962</v>
      </c>
      <c r="N220">
        <f t="shared" ca="1" si="66"/>
        <v>0.34999999999999432</v>
      </c>
      <c r="O220">
        <f t="shared" ca="1" si="67"/>
        <v>0.34999999999999432</v>
      </c>
      <c r="P220">
        <f t="shared" ca="1" si="68"/>
        <v>0</v>
      </c>
      <c r="Q220">
        <f t="shared" ca="1" si="72"/>
        <v>0.4229086191335284</v>
      </c>
      <c r="R220">
        <f t="shared" ca="1" si="73"/>
        <v>0.33548585150478438</v>
      </c>
      <c r="S220">
        <f t="shared" ca="1" si="70"/>
        <v>1.2605855574433882</v>
      </c>
      <c r="T220">
        <f t="shared" ca="1" si="71"/>
        <v>55.763673854001297</v>
      </c>
      <c r="U220">
        <f>70</f>
        <v>70</v>
      </c>
      <c r="V220">
        <f>30</f>
        <v>30</v>
      </c>
      <c r="W220">
        <f t="shared" ca="1" si="69"/>
        <v>98.991377140354373</v>
      </c>
      <c r="X220">
        <f t="shared" ca="1" si="58"/>
        <v>98.752788549743613</v>
      </c>
      <c r="Y220">
        <f t="shared" ref="Y220:Y250" ca="1" si="78">W221-X221</f>
        <v>0.24713029065121361</v>
      </c>
      <c r="Z220">
        <f t="shared" ca="1" si="59"/>
        <v>2.333902425615355E-2</v>
      </c>
      <c r="AA220">
        <f t="shared" ca="1" si="60"/>
        <v>0.22379126639506006</v>
      </c>
      <c r="AB220">
        <f t="shared" ca="1" si="61"/>
        <v>99.242999999999995</v>
      </c>
    </row>
    <row r="221" spans="1:28" x14ac:dyDescent="0.25">
      <c r="A221" s="21">
        <f t="shared" ca="1" si="62"/>
        <v>46020</v>
      </c>
      <c r="B221" vm="643">
        <f ca="1"/>
        <v>46022</v>
      </c>
      <c r="C221" vm="644">
        <f ca="1"/>
        <v>99.32</v>
      </c>
      <c r="D221" vm="645">
        <f ca="1"/>
        <v>1218242</v>
      </c>
      <c r="E221">
        <f t="shared" ca="1" si="63"/>
        <v>120995795.44</v>
      </c>
      <c r="F221">
        <f ca="1">SUM($E$2:E221)/SUM($D$2:D221)</f>
        <v>102.37120849762707</v>
      </c>
      <c r="G221">
        <f ca="1">_xlfn.STDEV.P($C$2:C221)</f>
        <v>4.3223717019901562</v>
      </c>
      <c r="H221">
        <f t="shared" ca="1" si="64"/>
        <v>106.69358019961722</v>
      </c>
      <c r="I221">
        <f t="shared" ca="1" si="65"/>
        <v>98.048836795636916</v>
      </c>
      <c r="J221">
        <f t="shared" ca="1" si="74"/>
        <v>98.038499999999985</v>
      </c>
      <c r="K221">
        <f t="shared" ca="1" si="75"/>
        <v>1.7135536328436234</v>
      </c>
      <c r="L221">
        <f t="shared" ca="1" si="76"/>
        <v>101.46560726568723</v>
      </c>
      <c r="M221">
        <f t="shared" ca="1" si="77"/>
        <v>94.611392734312744</v>
      </c>
      <c r="N221">
        <f t="shared" ca="1" si="66"/>
        <v>-0.57000000000000739</v>
      </c>
      <c r="O221">
        <f t="shared" ca="1" si="67"/>
        <v>0</v>
      </c>
      <c r="P221">
        <f t="shared" ca="1" si="68"/>
        <v>0.57000000000000739</v>
      </c>
      <c r="Q221">
        <f t="shared" ca="1" si="72"/>
        <v>0.39270086062399068</v>
      </c>
      <c r="R221">
        <f t="shared" ca="1" si="73"/>
        <v>0.35223686211158606</v>
      </c>
      <c r="S221">
        <f t="shared" ca="1" si="70"/>
        <v>1.1148772399056459</v>
      </c>
      <c r="T221">
        <f t="shared" ca="1" si="71"/>
        <v>52.715931632768694</v>
      </c>
      <c r="U221">
        <f>70</f>
        <v>70</v>
      </c>
      <c r="V221">
        <f>30</f>
        <v>30</v>
      </c>
      <c r="W221">
        <f t="shared" ca="1" si="69"/>
        <v>99.04193450337678</v>
      </c>
      <c r="X221">
        <f t="shared" ref="X221:X251" ca="1" si="79">C221*(2/(26+1)) + X220*(1-(2/(26+1)))</f>
        <v>98.794804212725566</v>
      </c>
      <c r="Y221">
        <f t="shared" ca="1" si="78"/>
        <v>0.30445349962135992</v>
      </c>
      <c r="Z221">
        <f t="shared" ca="1" si="59"/>
        <v>7.9561919329194819E-2</v>
      </c>
      <c r="AA221">
        <f t="shared" ca="1" si="60"/>
        <v>0.22489158029216511</v>
      </c>
      <c r="AB221">
        <f t="shared" ca="1" si="61"/>
        <v>99.191399999999973</v>
      </c>
    </row>
    <row r="222" spans="1:28" x14ac:dyDescent="0.25">
      <c r="A222" s="21">
        <f t="shared" ca="1" si="62"/>
        <v>46020</v>
      </c>
      <c r="B222" vm="646">
        <f ca="1"/>
        <v>46024</v>
      </c>
      <c r="C222" vm="620">
        <f ca="1"/>
        <v>99.99</v>
      </c>
      <c r="D222" vm="647">
        <f ca="1"/>
        <v>1441121</v>
      </c>
      <c r="E222">
        <f t="shared" ca="1" si="63"/>
        <v>144097688.78999999</v>
      </c>
      <c r="F222">
        <f ca="1">SUM($E$2:E222)/SUM($D$2:D222)</f>
        <v>102.36507345852144</v>
      </c>
      <c r="G222">
        <f ca="1">_xlfn.STDEV.P($C$2:C222)</f>
        <v>4.3147420264882852</v>
      </c>
      <c r="H222">
        <f t="shared" ca="1" si="64"/>
        <v>106.67981548500973</v>
      </c>
      <c r="I222">
        <f t="shared" ca="1" si="65"/>
        <v>98.050331432033147</v>
      </c>
      <c r="J222">
        <f t="shared" ca="1" si="74"/>
        <v>98.215499999999992</v>
      </c>
      <c r="K222">
        <f t="shared" ca="1" si="75"/>
        <v>1.7236359213806385</v>
      </c>
      <c r="L222">
        <f t="shared" ca="1" si="76"/>
        <v>101.66277184276127</v>
      </c>
      <c r="M222">
        <f t="shared" ca="1" si="77"/>
        <v>94.76822815723871</v>
      </c>
      <c r="N222">
        <f t="shared" ca="1" si="66"/>
        <v>0.67000000000000171</v>
      </c>
      <c r="O222">
        <f t="shared" ca="1" si="67"/>
        <v>0.67000000000000171</v>
      </c>
      <c r="P222">
        <f t="shared" ca="1" si="68"/>
        <v>0</v>
      </c>
      <c r="Q222">
        <f t="shared" ca="1" si="72"/>
        <v>0.41250794200799146</v>
      </c>
      <c r="R222">
        <f t="shared" ca="1" si="73"/>
        <v>0.32707708624647275</v>
      </c>
      <c r="S222">
        <f t="shared" ca="1" si="70"/>
        <v>1.2611948661458396</v>
      </c>
      <c r="T222">
        <f t="shared" ca="1" si="71"/>
        <v>55.77559391400532</v>
      </c>
      <c r="U222">
        <f>70</f>
        <v>70</v>
      </c>
      <c r="V222">
        <f>30</f>
        <v>30</v>
      </c>
      <c r="W222">
        <f t="shared" ca="1" si="69"/>
        <v>99.187790733626514</v>
      </c>
      <c r="X222">
        <f t="shared" ca="1" si="79"/>
        <v>98.883337234005154</v>
      </c>
      <c r="Y222">
        <f t="shared" ca="1" si="78"/>
        <v>0.22703489126895704</v>
      </c>
      <c r="Z222">
        <f t="shared" ca="1" si="59"/>
        <v>0.10905651371714728</v>
      </c>
      <c r="AA222">
        <f t="shared" ca="1" si="60"/>
        <v>0.11797837755180976</v>
      </c>
      <c r="AB222">
        <f t="shared" ca="1" si="61"/>
        <v>99.150099999999981</v>
      </c>
    </row>
    <row r="223" spans="1:28" x14ac:dyDescent="0.25">
      <c r="A223" s="21">
        <f t="shared" ca="1" si="62"/>
        <v>46027</v>
      </c>
      <c r="B223" vm="648">
        <f ca="1"/>
        <v>46027</v>
      </c>
      <c r="C223" vm="649">
        <f ca="1"/>
        <v>98.5</v>
      </c>
      <c r="D223" vm="650">
        <f ca="1"/>
        <v>2112395</v>
      </c>
      <c r="E223">
        <f t="shared" ca="1" si="63"/>
        <v>208070907.5</v>
      </c>
      <c r="F223">
        <f ca="1">SUM($E$2:E223)/SUM($D$2:D223)</f>
        <v>102.35053175436276</v>
      </c>
      <c r="G223">
        <f ca="1">_xlfn.STDEV.P($C$2:C223)</f>
        <v>4.3114432138008123</v>
      </c>
      <c r="H223">
        <f t="shared" ca="1" si="64"/>
        <v>106.66197496816358</v>
      </c>
      <c r="I223">
        <f t="shared" ca="1" si="65"/>
        <v>98.039088540561949</v>
      </c>
      <c r="J223">
        <f t="shared" ca="1" si="74"/>
        <v>98.329499999999996</v>
      </c>
      <c r="K223">
        <f t="shared" ca="1" si="75"/>
        <v>1.6588914339020757</v>
      </c>
      <c r="L223">
        <f t="shared" ca="1" si="76"/>
        <v>101.64728286780415</v>
      </c>
      <c r="M223">
        <f t="shared" ca="1" si="77"/>
        <v>95.011717132195841</v>
      </c>
      <c r="N223">
        <f t="shared" ca="1" si="66"/>
        <v>-1.4899999999999949</v>
      </c>
      <c r="O223">
        <f t="shared" ca="1" si="67"/>
        <v>0</v>
      </c>
      <c r="P223">
        <f t="shared" ca="1" si="68"/>
        <v>1.4899999999999949</v>
      </c>
      <c r="Q223">
        <f t="shared" ca="1" si="72"/>
        <v>0.38304308900742068</v>
      </c>
      <c r="R223">
        <f t="shared" ca="1" si="73"/>
        <v>0.41014300865743858</v>
      </c>
      <c r="S223">
        <f t="shared" ca="1" si="70"/>
        <v>0.93392568182808544</v>
      </c>
      <c r="T223">
        <f t="shared" ca="1" si="71"/>
        <v>48.291704826282249</v>
      </c>
      <c r="U223">
        <f>70</f>
        <v>70</v>
      </c>
      <c r="V223">
        <f>30</f>
        <v>30</v>
      </c>
      <c r="W223">
        <f t="shared" ca="1" si="69"/>
        <v>99.081976774607057</v>
      </c>
      <c r="X223">
        <f t="shared" ca="1" si="79"/>
        <v>98.8549418833381</v>
      </c>
      <c r="Y223">
        <f t="shared" ca="1" si="78"/>
        <v>0.22920509963935842</v>
      </c>
      <c r="Z223">
        <f t="shared" ca="1" si="59"/>
        <v>0.13308623090158953</v>
      </c>
      <c r="AA223">
        <f t="shared" ca="1" si="60"/>
        <v>9.6118868737768898E-2</v>
      </c>
      <c r="AB223">
        <f t="shared" ca="1" si="61"/>
        <v>99.098199999999977</v>
      </c>
    </row>
    <row r="224" spans="1:28" x14ac:dyDescent="0.25">
      <c r="A224" s="21">
        <f t="shared" ca="1" si="62"/>
        <v>46027</v>
      </c>
      <c r="B224" vm="651">
        <f ca="1"/>
        <v>46028</v>
      </c>
      <c r="C224" vm="644">
        <f ca="1"/>
        <v>99.32</v>
      </c>
      <c r="D224" vm="652">
        <f ca="1"/>
        <v>1643792</v>
      </c>
      <c r="E224">
        <f t="shared" ca="1" si="63"/>
        <v>163261421.44</v>
      </c>
      <c r="F224">
        <f ca="1">SUM($E$2:E224)/SUM($D$2:D224)</f>
        <v>102.34168511162852</v>
      </c>
      <c r="G224">
        <f ca="1">_xlfn.STDEV.P($C$2:C224)</f>
        <v>4.305488373614951</v>
      </c>
      <c r="H224">
        <f t="shared" ca="1" si="64"/>
        <v>106.64717348524347</v>
      </c>
      <c r="I224">
        <f t="shared" ca="1" si="65"/>
        <v>98.036196738013572</v>
      </c>
      <c r="J224">
        <f t="shared" ca="1" si="74"/>
        <v>98.465499999999992</v>
      </c>
      <c r="K224">
        <f t="shared" ca="1" si="75"/>
        <v>1.6206966500795097</v>
      </c>
      <c r="L224">
        <f t="shared" ca="1" si="76"/>
        <v>101.70689330015901</v>
      </c>
      <c r="M224">
        <f t="shared" ca="1" si="77"/>
        <v>95.224106699840974</v>
      </c>
      <c r="N224">
        <f t="shared" ca="1" si="66"/>
        <v>0.81999999999999318</v>
      </c>
      <c r="O224">
        <f t="shared" ca="1" si="67"/>
        <v>0.81999999999999318</v>
      </c>
      <c r="P224">
        <f t="shared" ca="1" si="68"/>
        <v>0</v>
      </c>
      <c r="Q224">
        <f t="shared" ca="1" si="72"/>
        <v>0.41425429693546156</v>
      </c>
      <c r="R224">
        <f t="shared" ca="1" si="73"/>
        <v>0.38084707946762153</v>
      </c>
      <c r="S224">
        <f t="shared" ca="1" si="70"/>
        <v>1.0877181925998731</v>
      </c>
      <c r="T224">
        <f t="shared" ca="1" si="71"/>
        <v>52.100814968964656</v>
      </c>
      <c r="U224">
        <f>70</f>
        <v>70</v>
      </c>
      <c r="V224">
        <f>30</f>
        <v>30</v>
      </c>
      <c r="W224">
        <f t="shared" ca="1" si="69"/>
        <v>99.118595732359822</v>
      </c>
      <c r="X224">
        <f t="shared" ca="1" si="79"/>
        <v>98.889390632720463</v>
      </c>
      <c r="Y224">
        <f t="shared" ca="1" si="78"/>
        <v>0.23228198540375899</v>
      </c>
      <c r="Z224">
        <f t="shared" ca="1" si="59"/>
        <v>0.15292538180202342</v>
      </c>
      <c r="AA224">
        <f t="shared" ca="1" si="60"/>
        <v>7.9356603601735576E-2</v>
      </c>
      <c r="AB224">
        <f t="shared" ca="1" si="61"/>
        <v>99.054799999999972</v>
      </c>
    </row>
    <row r="225" spans="1:28" x14ac:dyDescent="0.25">
      <c r="A225" s="21">
        <f t="shared" ca="1" si="62"/>
        <v>46027</v>
      </c>
      <c r="B225" vm="653">
        <f ca="1"/>
        <v>46029</v>
      </c>
      <c r="C225" vm="654">
        <f ca="1"/>
        <v>99.37</v>
      </c>
      <c r="D225" vm="655">
        <f ca="1"/>
        <v>1638957</v>
      </c>
      <c r="E225">
        <f t="shared" ca="1" si="63"/>
        <v>162863157.09</v>
      </c>
      <c r="F225">
        <f ca="1">SUM($E$2:E225)/SUM($D$2:D225)</f>
        <v>102.33306086991266</v>
      </c>
      <c r="G225">
        <f ca="1">_xlfn.STDEV.P($C$2:C225)</f>
        <v>4.2994088806642443</v>
      </c>
      <c r="H225">
        <f t="shared" ca="1" si="64"/>
        <v>106.6324697505769</v>
      </c>
      <c r="I225">
        <f t="shared" ca="1" si="65"/>
        <v>98.033651989248412</v>
      </c>
      <c r="J225">
        <f t="shared" ca="1" si="74"/>
        <v>98.661500000000004</v>
      </c>
      <c r="K225">
        <f t="shared" ca="1" si="75"/>
        <v>1.4665221120948564</v>
      </c>
      <c r="L225">
        <f t="shared" ca="1" si="76"/>
        <v>101.59454422418972</v>
      </c>
      <c r="M225">
        <f t="shared" ca="1" si="77"/>
        <v>95.728455775810289</v>
      </c>
      <c r="N225">
        <f t="shared" ca="1" si="66"/>
        <v>5.0000000000011369E-2</v>
      </c>
      <c r="O225">
        <f t="shared" ca="1" si="67"/>
        <v>5.0000000000011369E-2</v>
      </c>
      <c r="P225">
        <f t="shared" ca="1" si="68"/>
        <v>0</v>
      </c>
      <c r="Q225">
        <f t="shared" ca="1" si="72"/>
        <v>0.38823613286864367</v>
      </c>
      <c r="R225">
        <f t="shared" ca="1" si="73"/>
        <v>0.35364371664850569</v>
      </c>
      <c r="S225">
        <f t="shared" ca="1" si="70"/>
        <v>1.0978171379601243</v>
      </c>
      <c r="T225">
        <f t="shared" ca="1" si="71"/>
        <v>52.331402870872715</v>
      </c>
      <c r="U225">
        <f>70</f>
        <v>70</v>
      </c>
      <c r="V225">
        <f>30</f>
        <v>30</v>
      </c>
      <c r="W225">
        <f t="shared" ca="1" si="69"/>
        <v>99.157273311996775</v>
      </c>
      <c r="X225">
        <f t="shared" ca="1" si="79"/>
        <v>98.924991326593016</v>
      </c>
      <c r="Y225">
        <f t="shared" ca="1" si="78"/>
        <v>0.2966609473513131</v>
      </c>
      <c r="Z225">
        <f t="shared" ca="1" si="59"/>
        <v>0.18167249491188137</v>
      </c>
      <c r="AA225">
        <f t="shared" ca="1" si="60"/>
        <v>0.11498845243943173</v>
      </c>
      <c r="AB225">
        <f t="shared" ca="1" si="61"/>
        <v>99.019899999999978</v>
      </c>
    </row>
    <row r="226" spans="1:28" x14ac:dyDescent="0.25">
      <c r="A226" s="21">
        <f t="shared" ca="1" si="62"/>
        <v>46027</v>
      </c>
      <c r="B226" vm="656">
        <f ca="1"/>
        <v>46030</v>
      </c>
      <c r="C226" vm="657">
        <f ca="1"/>
        <v>100.18</v>
      </c>
      <c r="D226" vm="658">
        <f ca="1"/>
        <v>1717623</v>
      </c>
      <c r="E226">
        <f t="shared" ca="1" si="63"/>
        <v>172071472.14000002</v>
      </c>
      <c r="F226">
        <f ca="1">SUM($E$2:E226)/SUM($D$2:D226)</f>
        <v>102.32653233315223</v>
      </c>
      <c r="G226">
        <f ca="1">_xlfn.STDEV.P($C$2:C226)</f>
        <v>4.2915062397056003</v>
      </c>
      <c r="H226">
        <f t="shared" ca="1" si="64"/>
        <v>106.61803857285783</v>
      </c>
      <c r="I226">
        <f t="shared" ca="1" si="65"/>
        <v>98.035026093446632</v>
      </c>
      <c r="J226">
        <f t="shared" ca="1" si="74"/>
        <v>98.879499999999993</v>
      </c>
      <c r="K226">
        <f t="shared" ca="1" si="75"/>
        <v>1.3405477081755564</v>
      </c>
      <c r="L226">
        <f t="shared" ca="1" si="76"/>
        <v>101.56059541635111</v>
      </c>
      <c r="M226">
        <f t="shared" ca="1" si="77"/>
        <v>96.19840458364888</v>
      </c>
      <c r="N226">
        <f t="shared" ca="1" si="66"/>
        <v>0.81000000000000227</v>
      </c>
      <c r="O226">
        <f t="shared" ca="1" si="67"/>
        <v>0.81000000000000227</v>
      </c>
      <c r="P226">
        <f t="shared" ca="1" si="68"/>
        <v>0</v>
      </c>
      <c r="Q226">
        <f t="shared" ca="1" si="72"/>
        <v>0.41836212337802642</v>
      </c>
      <c r="R226">
        <f t="shared" ca="1" si="73"/>
        <v>0.3283834511736124</v>
      </c>
      <c r="S226">
        <f t="shared" ca="1" si="70"/>
        <v>1.2740048923989271</v>
      </c>
      <c r="T226">
        <f t="shared" ca="1" si="71"/>
        <v>56.024720819968636</v>
      </c>
      <c r="U226">
        <f>70</f>
        <v>70</v>
      </c>
      <c r="V226">
        <f>30</f>
        <v>30</v>
      </c>
      <c r="W226">
        <f t="shared" ca="1" si="69"/>
        <v>99.31461587938189</v>
      </c>
      <c r="X226">
        <f t="shared" ca="1" si="79"/>
        <v>99.017954932030577</v>
      </c>
      <c r="Y226">
        <f t="shared" ca="1" si="78"/>
        <v>0.26634063608683789</v>
      </c>
      <c r="Z226">
        <f t="shared" ca="1" si="59"/>
        <v>0.1986061231468727</v>
      </c>
      <c r="AA226">
        <f t="shared" ca="1" si="60"/>
        <v>6.7734512939965186E-2</v>
      </c>
      <c r="AB226">
        <f t="shared" ca="1" si="61"/>
        <v>99.013999999999982</v>
      </c>
    </row>
    <row r="227" spans="1:28" x14ac:dyDescent="0.25">
      <c r="A227" s="21">
        <f t="shared" ca="1" si="62"/>
        <v>46027</v>
      </c>
      <c r="B227" vm="659">
        <f ca="1"/>
        <v>46031</v>
      </c>
      <c r="C227" vm="660">
        <f ca="1"/>
        <v>99.21</v>
      </c>
      <c r="D227" vm="661">
        <f ca="1"/>
        <v>1354245</v>
      </c>
      <c r="E227">
        <f t="shared" ca="1" si="63"/>
        <v>134354646.44999999</v>
      </c>
      <c r="F227">
        <f ca="1">SUM($E$2:E227)/SUM($D$2:D227)</f>
        <v>102.31909934332076</v>
      </c>
      <c r="G227">
        <f ca="1">_xlfn.STDEV.P($C$2:C227)</f>
        <v>4.2859107665413205</v>
      </c>
      <c r="H227">
        <f t="shared" ca="1" si="64"/>
        <v>106.60501010986208</v>
      </c>
      <c r="I227">
        <f t="shared" ca="1" si="65"/>
        <v>98.033188576779438</v>
      </c>
      <c r="J227">
        <f t="shared" ca="1" si="74"/>
        <v>99.069500000000005</v>
      </c>
      <c r="K227">
        <f t="shared" ca="1" si="75"/>
        <v>1.0636109053101774</v>
      </c>
      <c r="L227">
        <f t="shared" ca="1" si="76"/>
        <v>101.19672181062036</v>
      </c>
      <c r="M227">
        <f t="shared" ca="1" si="77"/>
        <v>96.94227818937965</v>
      </c>
      <c r="N227">
        <f t="shared" ca="1" si="66"/>
        <v>-0.97000000000001307</v>
      </c>
      <c r="O227">
        <f t="shared" ca="1" si="67"/>
        <v>0</v>
      </c>
      <c r="P227">
        <f t="shared" ca="1" si="68"/>
        <v>0.97000000000001307</v>
      </c>
      <c r="Q227">
        <f t="shared" ca="1" si="72"/>
        <v>0.38847911456531026</v>
      </c>
      <c r="R227">
        <f t="shared" ca="1" si="73"/>
        <v>0.37421320466121244</v>
      </c>
      <c r="S227">
        <f t="shared" ca="1" si="70"/>
        <v>1.0381224118400985</v>
      </c>
      <c r="T227">
        <f t="shared" ca="1" si="71"/>
        <v>50.935233615474552</v>
      </c>
      <c r="U227">
        <f>70</f>
        <v>70</v>
      </c>
      <c r="V227">
        <f>30</f>
        <v>30</v>
      </c>
      <c r="W227">
        <f t="shared" ca="1" si="69"/>
        <v>99.298521128707748</v>
      </c>
      <c r="X227">
        <f t="shared" ca="1" si="79"/>
        <v>99.03218049262091</v>
      </c>
      <c r="Y227">
        <f t="shared" ca="1" si="78"/>
        <v>0.20923679522621796</v>
      </c>
      <c r="Z227">
        <f t="shared" ca="1" si="59"/>
        <v>0.20073225756274177</v>
      </c>
      <c r="AA227">
        <f t="shared" ca="1" si="60"/>
        <v>8.5045376634761971E-3</v>
      </c>
      <c r="AB227">
        <f t="shared" ca="1" si="61"/>
        <v>99.008699999999976</v>
      </c>
    </row>
    <row r="228" spans="1:28" x14ac:dyDescent="0.25">
      <c r="A228" s="21">
        <f t="shared" ca="1" si="62"/>
        <v>46034</v>
      </c>
      <c r="B228" vm="662">
        <f ca="1"/>
        <v>46034</v>
      </c>
      <c r="C228" vm="663">
        <f ca="1"/>
        <v>98.83</v>
      </c>
      <c r="D228" vm="664">
        <f ca="1"/>
        <v>1987289</v>
      </c>
      <c r="E228">
        <f t="shared" ca="1" si="63"/>
        <v>196403771.87</v>
      </c>
      <c r="F228">
        <f ca="1">SUM($E$2:E228)/SUM($D$2:D228)</f>
        <v>102.30693043299014</v>
      </c>
      <c r="G228">
        <f ca="1">_xlfn.STDEV.P($C$2:C228)</f>
        <v>4.2814658243499677</v>
      </c>
      <c r="H228">
        <f t="shared" ca="1" si="64"/>
        <v>106.58839625734011</v>
      </c>
      <c r="I228">
        <f t="shared" ca="1" si="65"/>
        <v>98.025464608640178</v>
      </c>
      <c r="J228">
        <f t="shared" ca="1" si="74"/>
        <v>99.229000000000013</v>
      </c>
      <c r="K228">
        <f t="shared" ca="1" si="75"/>
        <v>0.69891570156545779</v>
      </c>
      <c r="L228">
        <f t="shared" ca="1" si="76"/>
        <v>100.62683140313094</v>
      </c>
      <c r="M228">
        <f t="shared" ca="1" si="77"/>
        <v>97.831168596869091</v>
      </c>
      <c r="N228">
        <f t="shared" ca="1" si="66"/>
        <v>-0.37999999999999545</v>
      </c>
      <c r="O228">
        <f t="shared" ca="1" si="67"/>
        <v>0</v>
      </c>
      <c r="P228">
        <f t="shared" ca="1" si="68"/>
        <v>0.37999999999999545</v>
      </c>
      <c r="Q228">
        <f t="shared" ca="1" si="72"/>
        <v>0.36073060638207377</v>
      </c>
      <c r="R228">
        <f t="shared" ca="1" si="73"/>
        <v>0.37462654718541122</v>
      </c>
      <c r="S228">
        <f t="shared" ca="1" si="70"/>
        <v>0.96290721811431046</v>
      </c>
      <c r="T228">
        <f t="shared" ca="1" si="71"/>
        <v>49.055157025676358</v>
      </c>
      <c r="U228">
        <f>70</f>
        <v>70</v>
      </c>
      <c r="V228">
        <f>30</f>
        <v>30</v>
      </c>
      <c r="W228">
        <f t="shared" ca="1" si="69"/>
        <v>99.226440955060397</v>
      </c>
      <c r="X228">
        <f t="shared" ca="1" si="79"/>
        <v>99.017204159834179</v>
      </c>
      <c r="Y228">
        <f t="shared" ca="1" si="78"/>
        <v>0.27219832395108767</v>
      </c>
      <c r="Z228">
        <f t="shared" ca="1" si="59"/>
        <v>0.21502547084041096</v>
      </c>
      <c r="AA228">
        <f t="shared" ca="1" si="60"/>
        <v>5.7172853110676713E-2</v>
      </c>
      <c r="AB228">
        <f t="shared" ca="1" si="61"/>
        <v>98.98599999999999</v>
      </c>
    </row>
    <row r="229" spans="1:28" x14ac:dyDescent="0.25">
      <c r="A229" s="21">
        <f t="shared" ca="1" si="62"/>
        <v>46034</v>
      </c>
      <c r="B229" vm="665">
        <f ca="1"/>
        <v>46035</v>
      </c>
      <c r="C229" vm="617">
        <f ca="1"/>
        <v>100.21</v>
      </c>
      <c r="D229" vm="666">
        <f ca="1"/>
        <v>2073342</v>
      </c>
      <c r="E229">
        <f t="shared" ca="1" si="63"/>
        <v>207769601.81999999</v>
      </c>
      <c r="F229">
        <f ca="1">SUM($E$2:E229)/SUM($D$2:D229)</f>
        <v>102.29932795995047</v>
      </c>
      <c r="G229">
        <f ca="1">_xlfn.STDEV.P($C$2:C229)</f>
        <v>4.2735983889706315</v>
      </c>
      <c r="H229">
        <f t="shared" ca="1" si="64"/>
        <v>106.5729263489211</v>
      </c>
      <c r="I229">
        <f t="shared" ca="1" si="65"/>
        <v>98.025729570979848</v>
      </c>
      <c r="J229">
        <f t="shared" ca="1" si="74"/>
        <v>99.363</v>
      </c>
      <c r="K229">
        <f t="shared" ca="1" si="75"/>
        <v>0.60688245632039217</v>
      </c>
      <c r="L229">
        <f t="shared" ca="1" si="76"/>
        <v>100.57676491264078</v>
      </c>
      <c r="M229">
        <f t="shared" ca="1" si="77"/>
        <v>98.149235087359216</v>
      </c>
      <c r="N229">
        <f t="shared" ca="1" si="66"/>
        <v>1.3799999999999955</v>
      </c>
      <c r="O229">
        <f t="shared" ca="1" si="67"/>
        <v>1.3799999999999955</v>
      </c>
      <c r="P229">
        <f t="shared" ca="1" si="68"/>
        <v>0</v>
      </c>
      <c r="Q229">
        <f t="shared" ca="1" si="72"/>
        <v>0.43353556306906821</v>
      </c>
      <c r="R229">
        <f t="shared" ca="1" si="73"/>
        <v>0.34786750810073902</v>
      </c>
      <c r="S229">
        <f t="shared" ca="1" si="70"/>
        <v>1.2462663312134359</v>
      </c>
      <c r="T229">
        <f t="shared" ca="1" si="71"/>
        <v>55.481681486104151</v>
      </c>
      <c r="U229">
        <f>70</f>
        <v>70</v>
      </c>
      <c r="V229">
        <f>30</f>
        <v>30</v>
      </c>
      <c r="W229">
        <f t="shared" ca="1" si="69"/>
        <v>99.377757731204952</v>
      </c>
      <c r="X229">
        <f t="shared" ca="1" si="79"/>
        <v>99.105559407253864</v>
      </c>
      <c r="Y229">
        <f t="shared" ca="1" si="78"/>
        <v>0.41893800230874945</v>
      </c>
      <c r="Z229">
        <f t="shared" ca="1" si="59"/>
        <v>0.25580797713407866</v>
      </c>
      <c r="AA229">
        <f t="shared" ca="1" si="60"/>
        <v>0.16313002517467079</v>
      </c>
      <c r="AB229">
        <f t="shared" ca="1" si="61"/>
        <v>98.970499999999973</v>
      </c>
    </row>
    <row r="230" spans="1:28" x14ac:dyDescent="0.25">
      <c r="A230" s="21">
        <f t="shared" ca="1" si="62"/>
        <v>46034</v>
      </c>
      <c r="B230" vm="667">
        <f ca="1"/>
        <v>46036</v>
      </c>
      <c r="C230" vm="668">
        <f ca="1"/>
        <v>101.47</v>
      </c>
      <c r="D230" vm="669">
        <f ca="1"/>
        <v>1963060</v>
      </c>
      <c r="E230">
        <f t="shared" ca="1" si="63"/>
        <v>199191698.19999999</v>
      </c>
      <c r="F230">
        <f ca="1">SUM($E$2:E230)/SUM($D$2:D230)</f>
        <v>102.29649088009444</v>
      </c>
      <c r="G230">
        <f ca="1">_xlfn.STDEV.P($C$2:C230)</f>
        <v>4.2643669083690261</v>
      </c>
      <c r="H230">
        <f t="shared" ca="1" si="64"/>
        <v>106.56085778846347</v>
      </c>
      <c r="I230">
        <f t="shared" ca="1" si="65"/>
        <v>98.032123971725412</v>
      </c>
      <c r="J230">
        <f t="shared" ca="1" si="74"/>
        <v>99.467000000000013</v>
      </c>
      <c r="K230">
        <f t="shared" ca="1" si="75"/>
        <v>0.76846463466892301</v>
      </c>
      <c r="L230">
        <f t="shared" ca="1" si="76"/>
        <v>101.00392926933786</v>
      </c>
      <c r="M230">
        <f t="shared" ca="1" si="77"/>
        <v>97.930070730662166</v>
      </c>
      <c r="N230">
        <f t="shared" ca="1" si="66"/>
        <v>1.2600000000000051</v>
      </c>
      <c r="O230">
        <f t="shared" ca="1" si="67"/>
        <v>1.2600000000000051</v>
      </c>
      <c r="P230">
        <f t="shared" ca="1" si="68"/>
        <v>0</v>
      </c>
      <c r="Q230">
        <f t="shared" ca="1" si="72"/>
        <v>0.49256873713556371</v>
      </c>
      <c r="R230">
        <f t="shared" ca="1" si="73"/>
        <v>0.32301982895068626</v>
      </c>
      <c r="S230">
        <f t="shared" ca="1" si="70"/>
        <v>1.52488699760522</v>
      </c>
      <c r="T230">
        <f t="shared" ca="1" si="71"/>
        <v>60.394267111816482</v>
      </c>
      <c r="U230">
        <f>70</f>
        <v>70</v>
      </c>
      <c r="V230">
        <f>30</f>
        <v>30</v>
      </c>
      <c r="W230">
        <f t="shared" ca="1" si="69"/>
        <v>99.699641157173431</v>
      </c>
      <c r="X230">
        <f t="shared" ca="1" si="79"/>
        <v>99.280703154864682</v>
      </c>
      <c r="Y230">
        <f t="shared" ca="1" si="78"/>
        <v>0.61767777307547078</v>
      </c>
      <c r="Z230">
        <f t="shared" ref="Z230:Z251" ca="1" si="80">Y230*(2/(9+1)) + Z229*(1-(2/(9+1)))</f>
        <v>0.32818193632235709</v>
      </c>
      <c r="AA230">
        <f t="shared" ref="AA230:AA251" ca="1" si="81">Y230-Z230</f>
        <v>0.28949583675311369</v>
      </c>
      <c r="AB230">
        <f t="shared" ref="AB230:AB251" ca="1" si="82">AVERAGE(C131:C230)</f>
        <v>98.970199999999991</v>
      </c>
    </row>
    <row r="231" spans="1:28" x14ac:dyDescent="0.25">
      <c r="A231" s="21">
        <f t="shared" ca="1" si="62"/>
        <v>46034</v>
      </c>
      <c r="B231" vm="670">
        <f ca="1"/>
        <v>46037</v>
      </c>
      <c r="C231" vm="671">
        <f ca="1"/>
        <v>102.58</v>
      </c>
      <c r="D231" vm="672">
        <f ca="1"/>
        <v>1813479</v>
      </c>
      <c r="E231">
        <f t="shared" ca="1" si="63"/>
        <v>186026675.81999999</v>
      </c>
      <c r="F231">
        <f ca="1">SUM($E$2:E231)/SUM($D$2:D231)</f>
        <v>102.29738402293208</v>
      </c>
      <c r="G231">
        <f ca="1">_xlfn.STDEV.P($C$2:C231)</f>
        <v>4.2553000887117873</v>
      </c>
      <c r="H231">
        <f t="shared" ca="1" si="64"/>
        <v>106.55268411164387</v>
      </c>
      <c r="I231">
        <f t="shared" ca="1" si="65"/>
        <v>98.042083934220287</v>
      </c>
      <c r="J231">
        <f t="shared" ca="1" si="74"/>
        <v>99.650999999999996</v>
      </c>
      <c r="K231">
        <f t="shared" ca="1" si="75"/>
        <v>1.0237284796272885</v>
      </c>
      <c r="L231">
        <f t="shared" ca="1" si="76"/>
        <v>101.69845695925457</v>
      </c>
      <c r="M231">
        <f t="shared" ca="1" si="77"/>
        <v>97.603543040745421</v>
      </c>
      <c r="N231">
        <f t="shared" ca="1" si="66"/>
        <v>1.1099999999999994</v>
      </c>
      <c r="O231">
        <f t="shared" ca="1" si="67"/>
        <v>1.1099999999999994</v>
      </c>
      <c r="P231">
        <f t="shared" ca="1" si="68"/>
        <v>0</v>
      </c>
      <c r="Q231">
        <f t="shared" ca="1" si="72"/>
        <v>0.53667097019730914</v>
      </c>
      <c r="R231">
        <f t="shared" ca="1" si="73"/>
        <v>0.29994698402563724</v>
      </c>
      <c r="S231">
        <f t="shared" ca="1" si="70"/>
        <v>1.7892194246948603</v>
      </c>
      <c r="T231">
        <f t="shared" ca="1" si="71"/>
        <v>64.147675469835093</v>
      </c>
      <c r="U231">
        <f>70</f>
        <v>70</v>
      </c>
      <c r="V231">
        <f>30</f>
        <v>30</v>
      </c>
      <c r="W231">
        <f t="shared" ca="1" si="69"/>
        <v>100.14277328683906</v>
      </c>
      <c r="X231">
        <f t="shared" ca="1" si="79"/>
        <v>99.525095513763588</v>
      </c>
      <c r="Y231">
        <f t="shared" ca="1" si="78"/>
        <v>0.86446616586334812</v>
      </c>
      <c r="Z231">
        <f t="shared" ca="1" si="80"/>
        <v>0.43543878223055532</v>
      </c>
      <c r="AA231">
        <f t="shared" ca="1" si="81"/>
        <v>0.4290273836327928</v>
      </c>
      <c r="AB231">
        <f t="shared" ca="1" si="82"/>
        <v>98.979499999999973</v>
      </c>
    </row>
    <row r="232" spans="1:28" x14ac:dyDescent="0.25">
      <c r="A232" s="21">
        <f t="shared" ca="1" si="62"/>
        <v>46034</v>
      </c>
      <c r="B232" vm="673">
        <f ca="1"/>
        <v>46038</v>
      </c>
      <c r="C232" vm="674">
        <f ca="1"/>
        <v>103.81</v>
      </c>
      <c r="D232" vm="675">
        <f ca="1"/>
        <v>2201908</v>
      </c>
      <c r="E232">
        <f t="shared" ca="1" si="63"/>
        <v>228580069.48000002</v>
      </c>
      <c r="F232">
        <f ca="1">SUM($E$2:E232)/SUM($D$2:D232)</f>
        <v>102.3031478529675</v>
      </c>
      <c r="G232">
        <f ca="1">_xlfn.STDEV.P($C$2:C232)</f>
        <v>4.2478639981397031</v>
      </c>
      <c r="H232">
        <f t="shared" ca="1" si="64"/>
        <v>106.55101185110721</v>
      </c>
      <c r="I232">
        <f t="shared" ca="1" si="65"/>
        <v>98.055283854827792</v>
      </c>
      <c r="J232">
        <f t="shared" ca="1" si="74"/>
        <v>99.830999999999989</v>
      </c>
      <c r="K232">
        <f t="shared" ca="1" si="75"/>
        <v>1.3812500059537991</v>
      </c>
      <c r="L232">
        <f t="shared" ca="1" si="76"/>
        <v>102.59350001190759</v>
      </c>
      <c r="M232">
        <f t="shared" ca="1" si="77"/>
        <v>97.068499988092384</v>
      </c>
      <c r="N232">
        <f t="shared" ca="1" si="66"/>
        <v>1.230000000000004</v>
      </c>
      <c r="O232">
        <f t="shared" ca="1" si="67"/>
        <v>1.230000000000004</v>
      </c>
      <c r="P232">
        <f t="shared" ca="1" si="68"/>
        <v>0</v>
      </c>
      <c r="Q232">
        <f t="shared" ca="1" si="72"/>
        <v>0.58619447232607313</v>
      </c>
      <c r="R232">
        <f t="shared" ca="1" si="73"/>
        <v>0.27852219945237744</v>
      </c>
      <c r="S232">
        <f t="shared" ca="1" si="70"/>
        <v>2.1046597846729358</v>
      </c>
      <c r="T232">
        <f t="shared" ca="1" si="71"/>
        <v>67.79035162123742</v>
      </c>
      <c r="U232">
        <f>70</f>
        <v>70</v>
      </c>
      <c r="V232">
        <f>30</f>
        <v>30</v>
      </c>
      <c r="W232">
        <f t="shared" ca="1" si="69"/>
        <v>100.70696201194075</v>
      </c>
      <c r="X232">
        <f t="shared" ca="1" si="79"/>
        <v>99.842495846077398</v>
      </c>
      <c r="Y232">
        <f t="shared" ca="1" si="78"/>
        <v>1.1468848078953044</v>
      </c>
      <c r="Z232">
        <f t="shared" ca="1" si="80"/>
        <v>0.57772798736350517</v>
      </c>
      <c r="AA232">
        <f t="shared" ca="1" si="81"/>
        <v>0.56915682053179928</v>
      </c>
      <c r="AB232">
        <f t="shared" ca="1" si="82"/>
        <v>99.018099999999976</v>
      </c>
    </row>
    <row r="233" spans="1:28" x14ac:dyDescent="0.25">
      <c r="A233" s="21">
        <f t="shared" ca="1" si="62"/>
        <v>46041</v>
      </c>
      <c r="B233" vm="676">
        <f ca="1"/>
        <v>46042</v>
      </c>
      <c r="C233" vm="677">
        <f ca="1"/>
        <v>105.05</v>
      </c>
      <c r="D233" vm="678">
        <f ca="1"/>
        <v>2525969</v>
      </c>
      <c r="E233">
        <f t="shared" ca="1" si="63"/>
        <v>265353043.44999999</v>
      </c>
      <c r="F233">
        <f ca="1">SUM($E$2:E233)/SUM($D$2:D233)</f>
        <v>102.31510292826246</v>
      </c>
      <c r="G233">
        <f ca="1">_xlfn.STDEV.P($C$2:C233)</f>
        <v>4.2435840199119106</v>
      </c>
      <c r="H233">
        <f t="shared" ca="1" si="64"/>
        <v>106.55868694817437</v>
      </c>
      <c r="I233">
        <f t="shared" ca="1" si="65"/>
        <v>98.071518908350555</v>
      </c>
      <c r="J233">
        <f t="shared" ca="1" si="74"/>
        <v>100.084</v>
      </c>
      <c r="K233">
        <f t="shared" ca="1" si="75"/>
        <v>1.8090660573898347</v>
      </c>
      <c r="L233">
        <f t="shared" ca="1" si="76"/>
        <v>103.70213211477967</v>
      </c>
      <c r="M233">
        <f t="shared" ca="1" si="77"/>
        <v>96.465867885220334</v>
      </c>
      <c r="N233">
        <f t="shared" ca="1" si="66"/>
        <v>1.2399999999999949</v>
      </c>
      <c r="O233">
        <f t="shared" ca="1" si="67"/>
        <v>1.2399999999999949</v>
      </c>
      <c r="P233">
        <f t="shared" ca="1" si="68"/>
        <v>0</v>
      </c>
      <c r="Q233">
        <f t="shared" ca="1" si="72"/>
        <v>0.6328948671599246</v>
      </c>
      <c r="R233">
        <f t="shared" ca="1" si="73"/>
        <v>0.2586277566343505</v>
      </c>
      <c r="S233">
        <f t="shared" ca="1" si="70"/>
        <v>2.4471266170193604</v>
      </c>
      <c r="T233">
        <f t="shared" ca="1" si="71"/>
        <v>70.990331626847123</v>
      </c>
      <c r="U233">
        <f>70</f>
        <v>70</v>
      </c>
      <c r="V233">
        <f>30</f>
        <v>30</v>
      </c>
      <c r="W233">
        <f t="shared" ca="1" si="69"/>
        <v>101.37512170241141</v>
      </c>
      <c r="X233">
        <f t="shared" ca="1" si="79"/>
        <v>100.2282368945161</v>
      </c>
      <c r="Y233">
        <f t="shared" ca="1" si="78"/>
        <v>1.2585588458645276</v>
      </c>
      <c r="Z233">
        <f t="shared" ca="1" si="80"/>
        <v>0.71389415906370979</v>
      </c>
      <c r="AA233">
        <f t="shared" ca="1" si="81"/>
        <v>0.54466468680081781</v>
      </c>
      <c r="AB233">
        <f t="shared" ca="1" si="82"/>
        <v>99.071399999999954</v>
      </c>
    </row>
    <row r="234" spans="1:28" x14ac:dyDescent="0.25">
      <c r="A234" s="21">
        <f t="shared" ca="1" si="62"/>
        <v>46041</v>
      </c>
      <c r="B234" vm="679">
        <f ca="1"/>
        <v>46043</v>
      </c>
      <c r="C234" vm="680">
        <f ca="1"/>
        <v>103.84</v>
      </c>
      <c r="D234" vm="681">
        <f ca="1"/>
        <v>2386674</v>
      </c>
      <c r="E234">
        <f t="shared" ca="1" si="63"/>
        <v>247832228.16</v>
      </c>
      <c r="F234">
        <f ca="1">SUM($E$2:E234)/SUM($D$2:D234)</f>
        <v>102.32134804228566</v>
      </c>
      <c r="G234">
        <f ca="1">_xlfn.STDEV.P($C$2:C234)</f>
        <v>4.2362580266304146</v>
      </c>
      <c r="H234">
        <f t="shared" ca="1" si="64"/>
        <v>106.55760606891607</v>
      </c>
      <c r="I234">
        <f t="shared" ca="1" si="65"/>
        <v>98.085090015655254</v>
      </c>
      <c r="J234">
        <f t="shared" ca="1" si="74"/>
        <v>100.37299999999998</v>
      </c>
      <c r="K234">
        <f t="shared" ca="1" si="75"/>
        <v>1.9265761831481483</v>
      </c>
      <c r="L234">
        <f t="shared" ca="1" si="76"/>
        <v>104.22615236629628</v>
      </c>
      <c r="M234">
        <f t="shared" ca="1" si="77"/>
        <v>96.519847633703677</v>
      </c>
      <c r="N234">
        <f t="shared" ca="1" si="66"/>
        <v>-1.2099999999999937</v>
      </c>
      <c r="O234">
        <f t="shared" ca="1" si="67"/>
        <v>0</v>
      </c>
      <c r="P234">
        <f t="shared" ca="1" si="68"/>
        <v>1.2099999999999937</v>
      </c>
      <c r="Q234">
        <f t="shared" ca="1" si="72"/>
        <v>0.5876880909342157</v>
      </c>
      <c r="R234">
        <f t="shared" ca="1" si="73"/>
        <v>0.3265829168747536</v>
      </c>
      <c r="S234">
        <f t="shared" ca="1" si="70"/>
        <v>1.7995065282597051</v>
      </c>
      <c r="T234">
        <f t="shared" ca="1" si="71"/>
        <v>64.279418893813286</v>
      </c>
      <c r="U234">
        <f>70</f>
        <v>70</v>
      </c>
      <c r="V234">
        <f>30</f>
        <v>30</v>
      </c>
      <c r="W234">
        <f t="shared" ca="1" si="69"/>
        <v>101.75433374819426</v>
      </c>
      <c r="X234">
        <f t="shared" ca="1" si="79"/>
        <v>100.49577490232973</v>
      </c>
      <c r="Y234">
        <f t="shared" ca="1" si="78"/>
        <v>1.2790606266567863</v>
      </c>
      <c r="Z234">
        <f t="shared" ca="1" si="80"/>
        <v>0.82692745258232514</v>
      </c>
      <c r="AA234">
        <f t="shared" ca="1" si="81"/>
        <v>0.45213317407446119</v>
      </c>
      <c r="AB234">
        <f t="shared" ca="1" si="82"/>
        <v>99.109099999999955</v>
      </c>
    </row>
    <row r="235" spans="1:28" x14ac:dyDescent="0.25">
      <c r="A235" s="21">
        <f t="shared" ca="1" si="62"/>
        <v>46041</v>
      </c>
      <c r="B235" vm="682">
        <f ca="1"/>
        <v>46044</v>
      </c>
      <c r="C235" vm="683">
        <f ca="1"/>
        <v>103.18</v>
      </c>
      <c r="D235" vm="684">
        <f ca="1"/>
        <v>3486387</v>
      </c>
      <c r="E235">
        <f t="shared" ca="1" si="63"/>
        <v>359725410.66000003</v>
      </c>
      <c r="F235">
        <f ca="1">SUM($E$2:E235)/SUM($D$2:D235)</f>
        <v>102.32645437459104</v>
      </c>
      <c r="G235">
        <f ca="1">_xlfn.STDEV.P($C$2:C235)</f>
        <v>4.2279402596120832</v>
      </c>
      <c r="H235">
        <f t="shared" ca="1" si="64"/>
        <v>106.55439463420312</v>
      </c>
      <c r="I235">
        <f t="shared" ca="1" si="65"/>
        <v>98.098514114978954</v>
      </c>
      <c r="J235">
        <f t="shared" ca="1" si="74"/>
        <v>100.60349999999998</v>
      </c>
      <c r="K235">
        <f t="shared" ca="1" si="75"/>
        <v>1.9746825860855404</v>
      </c>
      <c r="L235">
        <f t="shared" ca="1" si="76"/>
        <v>104.55286517217107</v>
      </c>
      <c r="M235">
        <f t="shared" ca="1" si="77"/>
        <v>96.654134827828898</v>
      </c>
      <c r="N235">
        <f t="shared" ca="1" si="66"/>
        <v>-0.65999999999999659</v>
      </c>
      <c r="O235">
        <f t="shared" ca="1" si="67"/>
        <v>0</v>
      </c>
      <c r="P235">
        <f t="shared" ca="1" si="68"/>
        <v>0.65999999999999659</v>
      </c>
      <c r="Q235">
        <f t="shared" ca="1" si="72"/>
        <v>0.54571037015320034</v>
      </c>
      <c r="R235">
        <f t="shared" ca="1" si="73"/>
        <v>0.35039842281227102</v>
      </c>
      <c r="S235">
        <f t="shared" ca="1" si="70"/>
        <v>1.5573996189063026</v>
      </c>
      <c r="T235">
        <f t="shared" ca="1" si="71"/>
        <v>60.897780987874704</v>
      </c>
      <c r="U235">
        <f>70</f>
        <v>70</v>
      </c>
      <c r="V235">
        <f>30</f>
        <v>30</v>
      </c>
      <c r="W235">
        <f t="shared" ca="1" si="69"/>
        <v>101.97366701770284</v>
      </c>
      <c r="X235">
        <f t="shared" ca="1" si="79"/>
        <v>100.69460639104605</v>
      </c>
      <c r="Y235">
        <f t="shared" ca="1" si="78"/>
        <v>1.3355898209908048</v>
      </c>
      <c r="Z235">
        <f t="shared" ca="1" si="80"/>
        <v>0.92865992626402116</v>
      </c>
      <c r="AA235">
        <f t="shared" ca="1" si="81"/>
        <v>0.40692989472678365</v>
      </c>
      <c r="AB235">
        <f t="shared" ca="1" si="82"/>
        <v>99.159199999999942</v>
      </c>
    </row>
    <row r="236" spans="1:28" x14ac:dyDescent="0.25">
      <c r="A236" s="21">
        <f t="shared" ca="1" si="62"/>
        <v>46041</v>
      </c>
      <c r="B236" vm="685">
        <f ca="1"/>
        <v>46045</v>
      </c>
      <c r="C236" vm="686">
        <f ca="1"/>
        <v>103.87</v>
      </c>
      <c r="D236" vm="687">
        <f ca="1"/>
        <v>2105641</v>
      </c>
      <c r="E236">
        <f t="shared" ca="1" si="63"/>
        <v>218712930.67000002</v>
      </c>
      <c r="F236">
        <f ca="1">SUM($E$2:E236)/SUM($D$2:D236)</f>
        <v>102.33197849393616</v>
      </c>
      <c r="G236">
        <f ca="1">_xlfn.STDEV.P($C$2:C236)</f>
        <v>4.2207483784992323</v>
      </c>
      <c r="H236">
        <f t="shared" ca="1" si="64"/>
        <v>106.5527268724354</v>
      </c>
      <c r="I236">
        <f t="shared" ca="1" si="65"/>
        <v>98.111230115436925</v>
      </c>
      <c r="J236">
        <f t="shared" ca="1" si="74"/>
        <v>100.84949999999999</v>
      </c>
      <c r="K236">
        <f t="shared" ca="1" si="75"/>
        <v>2.0623657213067372</v>
      </c>
      <c r="L236">
        <f t="shared" ca="1" si="76"/>
        <v>104.97423144261347</v>
      </c>
      <c r="M236">
        <f t="shared" ca="1" si="77"/>
        <v>96.724768557386511</v>
      </c>
      <c r="N236">
        <f t="shared" ca="1" si="66"/>
        <v>0.68999999999999773</v>
      </c>
      <c r="O236">
        <f t="shared" ca="1" si="67"/>
        <v>0.68999999999999773</v>
      </c>
      <c r="P236">
        <f t="shared" ca="1" si="68"/>
        <v>0</v>
      </c>
      <c r="Q236">
        <f t="shared" ca="1" si="72"/>
        <v>0.55601677228511448</v>
      </c>
      <c r="R236">
        <f t="shared" ca="1" si="73"/>
        <v>0.32536996403996593</v>
      </c>
      <c r="S236">
        <f t="shared" ca="1" si="70"/>
        <v>1.7088755378072258</v>
      </c>
      <c r="T236">
        <f t="shared" ca="1" si="71"/>
        <v>63.084313544745669</v>
      </c>
      <c r="U236">
        <f>70</f>
        <v>70</v>
      </c>
      <c r="V236">
        <f>30</f>
        <v>30</v>
      </c>
      <c r="W236">
        <f t="shared" ca="1" si="69"/>
        <v>102.26541055344086</v>
      </c>
      <c r="X236">
        <f t="shared" ca="1" si="79"/>
        <v>100.92982073245005</v>
      </c>
      <c r="Y236">
        <f t="shared" ca="1" si="78"/>
        <v>1.422094576426403</v>
      </c>
      <c r="Z236">
        <f t="shared" ca="1" si="80"/>
        <v>1.0273468562964976</v>
      </c>
      <c r="AA236">
        <f t="shared" ca="1" si="81"/>
        <v>0.39474772012990544</v>
      </c>
      <c r="AB236">
        <f t="shared" ca="1" si="82"/>
        <v>99.215599999999952</v>
      </c>
    </row>
    <row r="237" spans="1:28" x14ac:dyDescent="0.25">
      <c r="A237" s="21">
        <f t="shared" ca="1" si="62"/>
        <v>46048</v>
      </c>
      <c r="B237" vm="688">
        <f ca="1"/>
        <v>46048</v>
      </c>
      <c r="C237" vm="689">
        <f ca="1"/>
        <v>104.59</v>
      </c>
      <c r="D237" vm="690">
        <f ca="1"/>
        <v>1208858</v>
      </c>
      <c r="E237">
        <f t="shared" ca="1" si="63"/>
        <v>126434458.22</v>
      </c>
      <c r="F237">
        <f ca="1">SUM($E$2:E237)/SUM($D$2:D237)</f>
        <v>102.33660838971548</v>
      </c>
      <c r="G237">
        <f ca="1">_xlfn.STDEV.P($C$2:C237)</f>
        <v>4.2152136146267578</v>
      </c>
      <c r="H237">
        <f t="shared" ca="1" si="64"/>
        <v>106.55182200434224</v>
      </c>
      <c r="I237">
        <f t="shared" ca="1" si="65"/>
        <v>98.121394775088717</v>
      </c>
      <c r="J237">
        <f t="shared" ca="1" si="74"/>
        <v>101.10249999999998</v>
      </c>
      <c r="K237">
        <f t="shared" ca="1" si="75"/>
        <v>2.1978910346056759</v>
      </c>
      <c r="L237">
        <f t="shared" ca="1" si="76"/>
        <v>105.49828206921133</v>
      </c>
      <c r="M237">
        <f t="shared" ca="1" si="77"/>
        <v>96.706717930788628</v>
      </c>
      <c r="N237">
        <f t="shared" ca="1" si="66"/>
        <v>0.71999999999999886</v>
      </c>
      <c r="O237">
        <f t="shared" ca="1" si="67"/>
        <v>0.71999999999999886</v>
      </c>
      <c r="P237">
        <f t="shared" ca="1" si="68"/>
        <v>0</v>
      </c>
      <c r="Q237">
        <f t="shared" ca="1" si="72"/>
        <v>0.5677298599790348</v>
      </c>
      <c r="R237">
        <f t="shared" ca="1" si="73"/>
        <v>0.3021292523228255</v>
      </c>
      <c r="S237">
        <f t="shared" ca="1" si="70"/>
        <v>1.8790959684116078</v>
      </c>
      <c r="T237">
        <f t="shared" ca="1" si="71"/>
        <v>65.266875054821526</v>
      </c>
      <c r="U237">
        <f>70</f>
        <v>70</v>
      </c>
      <c r="V237">
        <f>30</f>
        <v>30</v>
      </c>
      <c r="W237">
        <f t="shared" ca="1" si="69"/>
        <v>102.62303969906534</v>
      </c>
      <c r="X237">
        <f t="shared" ca="1" si="79"/>
        <v>101.20094512263894</v>
      </c>
      <c r="Y237">
        <f t="shared" ca="1" si="78"/>
        <v>1.534289532093311</v>
      </c>
      <c r="Z237">
        <f t="shared" ca="1" si="80"/>
        <v>1.1287353914558604</v>
      </c>
      <c r="AA237">
        <f t="shared" ca="1" si="81"/>
        <v>0.40555414063745054</v>
      </c>
      <c r="AB237">
        <f t="shared" ca="1" si="82"/>
        <v>99.289499999999947</v>
      </c>
    </row>
    <row r="238" spans="1:28" x14ac:dyDescent="0.25">
      <c r="A238" s="21">
        <f t="shared" ca="1" si="62"/>
        <v>46048</v>
      </c>
      <c r="B238" vm="691">
        <f ca="1"/>
        <v>46049</v>
      </c>
      <c r="C238" vm="692">
        <f ca="1"/>
        <v>105.35</v>
      </c>
      <c r="D238" vm="693">
        <f ca="1"/>
        <v>1345489</v>
      </c>
      <c r="E238">
        <f t="shared" ca="1" si="63"/>
        <v>141747266.15000001</v>
      </c>
      <c r="F238">
        <f ca="1">SUM($E$2:E238)/SUM($D$2:D238)</f>
        <v>102.34346980291819</v>
      </c>
      <c r="G238">
        <f ca="1">_xlfn.STDEV.P($C$2:C238)</f>
        <v>4.211950473212867</v>
      </c>
      <c r="H238">
        <f t="shared" ca="1" si="64"/>
        <v>106.55542027613106</v>
      </c>
      <c r="I238">
        <f t="shared" ca="1" si="65"/>
        <v>98.131519329705327</v>
      </c>
      <c r="J238">
        <f t="shared" ca="1" si="74"/>
        <v>101.40499999999999</v>
      </c>
      <c r="K238">
        <f t="shared" ca="1" si="75"/>
        <v>2.3479655247177633</v>
      </c>
      <c r="L238">
        <f t="shared" ca="1" si="76"/>
        <v>106.10093104943552</v>
      </c>
      <c r="M238">
        <f t="shared" ca="1" si="77"/>
        <v>96.709068950564458</v>
      </c>
      <c r="N238">
        <f t="shared" ca="1" si="66"/>
        <v>0.75999999999999091</v>
      </c>
      <c r="O238">
        <f t="shared" ca="1" si="67"/>
        <v>0.75999999999999091</v>
      </c>
      <c r="P238">
        <f t="shared" ca="1" si="68"/>
        <v>0</v>
      </c>
      <c r="Q238">
        <f t="shared" ca="1" si="72"/>
        <v>0.58146344140910311</v>
      </c>
      <c r="R238">
        <f t="shared" ca="1" si="73"/>
        <v>0.28054859144262367</v>
      </c>
      <c r="S238">
        <f t="shared" ca="1" si="70"/>
        <v>2.0725944066200062</v>
      </c>
      <c r="T238">
        <f t="shared" ca="1" si="71"/>
        <v>67.454214007372173</v>
      </c>
      <c r="U238">
        <f>70</f>
        <v>70</v>
      </c>
      <c r="V238">
        <f>30</f>
        <v>30</v>
      </c>
      <c r="W238">
        <f t="shared" ca="1" si="69"/>
        <v>103.0425720530553</v>
      </c>
      <c r="X238">
        <f t="shared" ca="1" si="79"/>
        <v>101.50828252096198</v>
      </c>
      <c r="Y238">
        <f t="shared" ca="1" si="78"/>
        <v>1.591145528332703</v>
      </c>
      <c r="Z238">
        <f t="shared" ca="1" si="80"/>
        <v>1.221217418831229</v>
      </c>
      <c r="AA238">
        <f t="shared" ca="1" si="81"/>
        <v>0.36992810950147392</v>
      </c>
      <c r="AB238">
        <f t="shared" ca="1" si="82"/>
        <v>99.364499999999992</v>
      </c>
    </row>
    <row r="239" spans="1:28" x14ac:dyDescent="0.25">
      <c r="A239" s="21">
        <f t="shared" ca="1" si="62"/>
        <v>46048</v>
      </c>
      <c r="B239" vm="694">
        <f ca="1"/>
        <v>46050</v>
      </c>
      <c r="C239" vm="695">
        <f ca="1"/>
        <v>105.18</v>
      </c>
      <c r="D239" vm="696">
        <f ca="1"/>
        <v>1399663</v>
      </c>
      <c r="E239">
        <f t="shared" ca="1" si="63"/>
        <v>147216554.34</v>
      </c>
      <c r="F239">
        <f ca="1">SUM($E$2:E239)/SUM($D$2:D239)</f>
        <v>102.35017268014586</v>
      </c>
      <c r="G239">
        <f ca="1">_xlfn.STDEV.P($C$2:C239)</f>
        <v>4.2081137097611867</v>
      </c>
      <c r="H239">
        <f t="shared" ca="1" si="64"/>
        <v>106.55828638990705</v>
      </c>
      <c r="I239">
        <f t="shared" ca="1" si="65"/>
        <v>98.142058970384667</v>
      </c>
      <c r="J239">
        <f t="shared" ca="1" si="74"/>
        <v>101.68699999999998</v>
      </c>
      <c r="K239">
        <f t="shared" ca="1" si="75"/>
        <v>2.4487141631132836</v>
      </c>
      <c r="L239">
        <f t="shared" ca="1" si="76"/>
        <v>106.58442832622654</v>
      </c>
      <c r="M239">
        <f t="shared" ca="1" si="77"/>
        <v>96.789571673773423</v>
      </c>
      <c r="N239">
        <f t="shared" ca="1" si="66"/>
        <v>-0.16999999999998749</v>
      </c>
      <c r="O239">
        <f t="shared" ca="1" si="67"/>
        <v>0</v>
      </c>
      <c r="P239">
        <f t="shared" ca="1" si="68"/>
        <v>0.16999999999998749</v>
      </c>
      <c r="Q239">
        <f t="shared" ca="1" si="72"/>
        <v>0.53993033845131</v>
      </c>
      <c r="R239">
        <f t="shared" ca="1" si="73"/>
        <v>0.27265226348243538</v>
      </c>
      <c r="S239">
        <f t="shared" ca="1" si="70"/>
        <v>1.9802892209845639</v>
      </c>
      <c r="T239">
        <f t="shared" ca="1" si="71"/>
        <v>66.446209550439491</v>
      </c>
      <c r="U239">
        <f>70</f>
        <v>70</v>
      </c>
      <c r="V239">
        <f>30</f>
        <v>30</v>
      </c>
      <c r="W239">
        <f t="shared" ca="1" si="69"/>
        <v>103.37140712181602</v>
      </c>
      <c r="X239">
        <f t="shared" ca="1" si="79"/>
        <v>101.78026159348332</v>
      </c>
      <c r="Y239">
        <f t="shared" ca="1" si="78"/>
        <v>1.6797803341802648</v>
      </c>
      <c r="Z239">
        <f t="shared" ca="1" si="80"/>
        <v>1.3129300019010364</v>
      </c>
      <c r="AA239">
        <f t="shared" ca="1" si="81"/>
        <v>0.36685033227922847</v>
      </c>
      <c r="AB239">
        <f t="shared" ca="1" si="82"/>
        <v>99.438299999999984</v>
      </c>
    </row>
    <row r="240" spans="1:28" x14ac:dyDescent="0.25">
      <c r="A240" s="21">
        <f t="shared" ca="1" si="62"/>
        <v>46048</v>
      </c>
      <c r="B240" vm="697">
        <f ca="1"/>
        <v>46051</v>
      </c>
      <c r="C240" vm="698">
        <f ca="1"/>
        <v>105.96</v>
      </c>
      <c r="D240" vm="699">
        <f ca="1"/>
        <v>1788418</v>
      </c>
      <c r="E240">
        <f t="shared" ca="1" si="63"/>
        <v>189500771.28</v>
      </c>
      <c r="F240">
        <f ca="1">SUM($E$2:E240)/SUM($D$2:D240)</f>
        <v>102.36103935072374</v>
      </c>
      <c r="G240">
        <f ca="1">_xlfn.STDEV.P($C$2:C240)</f>
        <v>4.2070099561071643</v>
      </c>
      <c r="H240">
        <f t="shared" ca="1" si="64"/>
        <v>106.56804930683091</v>
      </c>
      <c r="I240">
        <f t="shared" ca="1" si="65"/>
        <v>98.154029394616572</v>
      </c>
      <c r="J240">
        <f t="shared" ca="1" si="74"/>
        <v>101.9905</v>
      </c>
      <c r="K240">
        <f t="shared" ca="1" si="75"/>
        <v>2.5865532338575505</v>
      </c>
      <c r="L240">
        <f t="shared" ca="1" si="76"/>
        <v>107.1636064677151</v>
      </c>
      <c r="M240">
        <f t="shared" ca="1" si="77"/>
        <v>96.817393532284896</v>
      </c>
      <c r="N240">
        <f t="shared" ca="1" si="66"/>
        <v>0.77999999999998693</v>
      </c>
      <c r="O240">
        <f t="shared" ca="1" si="67"/>
        <v>0.77999999999998693</v>
      </c>
      <c r="P240">
        <f t="shared" ca="1" si="68"/>
        <v>0</v>
      </c>
      <c r="Q240">
        <f t="shared" ca="1" si="72"/>
        <v>0.55707817141907268</v>
      </c>
      <c r="R240">
        <f t="shared" ca="1" si="73"/>
        <v>0.2531771018051186</v>
      </c>
      <c r="S240">
        <f t="shared" ca="1" si="70"/>
        <v>2.2003497450882423</v>
      </c>
      <c r="T240">
        <f t="shared" ca="1" si="71"/>
        <v>68.753415106122176</v>
      </c>
      <c r="U240">
        <f>70</f>
        <v>70</v>
      </c>
      <c r="V240">
        <f>30</f>
        <v>30</v>
      </c>
      <c r="W240">
        <f t="shared" ca="1" si="69"/>
        <v>103.76965217999816</v>
      </c>
      <c r="X240">
        <f t="shared" ca="1" si="79"/>
        <v>102.0898718458179</v>
      </c>
      <c r="Y240">
        <f t="shared" ca="1" si="78"/>
        <v>1.7835280557511055</v>
      </c>
      <c r="Z240">
        <f t="shared" ca="1" si="80"/>
        <v>1.4070496126710503</v>
      </c>
      <c r="AA240">
        <f t="shared" ca="1" si="81"/>
        <v>0.37647844308005518</v>
      </c>
      <c r="AB240">
        <f t="shared" ca="1" si="82"/>
        <v>99.517399999999967</v>
      </c>
    </row>
    <row r="241" spans="1:28" x14ac:dyDescent="0.25">
      <c r="A241" s="21">
        <f t="shared" ca="1" si="62"/>
        <v>46048</v>
      </c>
      <c r="B241" vm="700">
        <f ca="1"/>
        <v>46052</v>
      </c>
      <c r="C241" vm="701">
        <f ca="1"/>
        <v>106.63</v>
      </c>
      <c r="D241" vm="702">
        <f ca="1"/>
        <v>1873898</v>
      </c>
      <c r="E241">
        <f t="shared" ca="1" si="63"/>
        <v>199813743.73999998</v>
      </c>
      <c r="F241">
        <f ca="1">SUM($E$2:E241)/SUM($D$2:D241)</f>
        <v>102.37446209920701</v>
      </c>
      <c r="G241">
        <f ca="1">_xlfn.STDEV.P($C$2:C241)</f>
        <v>4.2086675723291593</v>
      </c>
      <c r="H241">
        <f t="shared" ca="1" si="64"/>
        <v>106.58312967153617</v>
      </c>
      <c r="I241">
        <f t="shared" ca="1" si="65"/>
        <v>98.165794526877846</v>
      </c>
      <c r="J241">
        <f t="shared" ca="1" si="74"/>
        <v>102.35600000000002</v>
      </c>
      <c r="K241">
        <f t="shared" ca="1" si="75"/>
        <v>2.7031801933823689</v>
      </c>
      <c r="L241">
        <f t="shared" ca="1" si="76"/>
        <v>107.76236038676475</v>
      </c>
      <c r="M241">
        <f t="shared" ca="1" si="77"/>
        <v>96.949639613235291</v>
      </c>
      <c r="N241">
        <f t="shared" ca="1" si="66"/>
        <v>0.67000000000000171</v>
      </c>
      <c r="O241">
        <f t="shared" ca="1" si="67"/>
        <v>0.67000000000000171</v>
      </c>
      <c r="P241">
        <f t="shared" ca="1" si="68"/>
        <v>0</v>
      </c>
      <c r="Q241">
        <f t="shared" ca="1" si="72"/>
        <v>0.5651440163177105</v>
      </c>
      <c r="R241">
        <f t="shared" ca="1" si="73"/>
        <v>0.235093023104753</v>
      </c>
      <c r="S241">
        <f t="shared" ca="1" si="70"/>
        <v>2.4039165809948049</v>
      </c>
      <c r="T241">
        <f t="shared" ca="1" si="71"/>
        <v>70.622076769350585</v>
      </c>
      <c r="U241">
        <f>70</f>
        <v>70</v>
      </c>
      <c r="V241">
        <f>30</f>
        <v>30</v>
      </c>
      <c r="W241">
        <f t="shared" ca="1" si="69"/>
        <v>104.20970569076768</v>
      </c>
      <c r="X241">
        <f t="shared" ca="1" si="79"/>
        <v>102.42617763501657</v>
      </c>
      <c r="Y241">
        <f t="shared" ca="1" si="78"/>
        <v>1.7479625606199818</v>
      </c>
      <c r="Z241">
        <f t="shared" ca="1" si="80"/>
        <v>1.4752322022608368</v>
      </c>
      <c r="AA241">
        <f t="shared" ca="1" si="81"/>
        <v>0.27273035835914494</v>
      </c>
      <c r="AB241">
        <f t="shared" ca="1" si="82"/>
        <v>99.617199999999954</v>
      </c>
    </row>
    <row r="242" spans="1:28" x14ac:dyDescent="0.25">
      <c r="A242" s="21">
        <f t="shared" ca="1" si="62"/>
        <v>46055</v>
      </c>
      <c r="B242" vm="703">
        <f ca="1"/>
        <v>46055</v>
      </c>
      <c r="C242" vm="704">
        <f ca="1"/>
        <v>105.42</v>
      </c>
      <c r="D242" vm="705">
        <f ca="1"/>
        <v>2286482</v>
      </c>
      <c r="E242">
        <f t="shared" ca="1" si="63"/>
        <v>241040932.44</v>
      </c>
      <c r="F242">
        <f ca="1">SUM($E$2:E242)/SUM($D$2:D242)</f>
        <v>102.38610180874882</v>
      </c>
      <c r="G242">
        <f ca="1">_xlfn.STDEV.P($C$2:C242)</f>
        <v>4.2055037297379583</v>
      </c>
      <c r="H242">
        <f t="shared" ca="1" si="64"/>
        <v>106.59160553848677</v>
      </c>
      <c r="I242">
        <f t="shared" ca="1" si="65"/>
        <v>98.180598079010863</v>
      </c>
      <c r="J242">
        <f t="shared" ca="1" si="74"/>
        <v>102.62750000000001</v>
      </c>
      <c r="K242">
        <f t="shared" ca="1" si="75"/>
        <v>2.7256324712662665</v>
      </c>
      <c r="L242">
        <f t="shared" ca="1" si="76"/>
        <v>108.07876494253254</v>
      </c>
      <c r="M242">
        <f t="shared" ca="1" si="77"/>
        <v>97.17623505746748</v>
      </c>
      <c r="N242">
        <f t="shared" ca="1" si="66"/>
        <v>-1.2099999999999937</v>
      </c>
      <c r="O242">
        <f t="shared" ca="1" si="67"/>
        <v>0</v>
      </c>
      <c r="P242">
        <f t="shared" ca="1" si="68"/>
        <v>1.2099999999999937</v>
      </c>
      <c r="Q242">
        <f t="shared" ca="1" si="72"/>
        <v>0.52477658658073112</v>
      </c>
      <c r="R242">
        <f t="shared" ca="1" si="73"/>
        <v>0.30472923574012734</v>
      </c>
      <c r="S242">
        <f t="shared" ca="1" si="70"/>
        <v>1.7221077764532573</v>
      </c>
      <c r="T242">
        <f t="shared" ca="1" si="71"/>
        <v>63.263761683127044</v>
      </c>
      <c r="U242">
        <f>70</f>
        <v>70</v>
      </c>
      <c r="V242">
        <f>30</f>
        <v>30</v>
      </c>
      <c r="W242">
        <f t="shared" ca="1" si="69"/>
        <v>104.39590481526496</v>
      </c>
      <c r="X242">
        <f t="shared" ca="1" si="79"/>
        <v>102.64794225464497</v>
      </c>
      <c r="Y242">
        <f t="shared" ca="1" si="78"/>
        <v>1.8621153771341312</v>
      </c>
      <c r="Z242">
        <f t="shared" ca="1" si="80"/>
        <v>1.5526088372354958</v>
      </c>
      <c r="AA242">
        <f t="shared" ca="1" si="81"/>
        <v>0.30950653989863541</v>
      </c>
      <c r="AB242">
        <f t="shared" ca="1" si="82"/>
        <v>99.701599999999956</v>
      </c>
    </row>
    <row r="243" spans="1:28" x14ac:dyDescent="0.25">
      <c r="A243" s="21">
        <f t="shared" ca="1" si="62"/>
        <v>46055</v>
      </c>
      <c r="B243" vm="706">
        <f ca="1"/>
        <v>46056</v>
      </c>
      <c r="C243" vm="707">
        <f ca="1"/>
        <v>107.45</v>
      </c>
      <c r="D243" vm="708">
        <f ca="1"/>
        <v>1988627</v>
      </c>
      <c r="E243">
        <f t="shared" ca="1" si="63"/>
        <v>213677971.15000001</v>
      </c>
      <c r="F243">
        <f ca="1">SUM($E$2:E243)/SUM($D$2:D243)</f>
        <v>102.40287854338798</v>
      </c>
      <c r="G243">
        <f ca="1">_xlfn.STDEV.P($C$2:C243)</f>
        <v>4.210994231760079</v>
      </c>
      <c r="H243">
        <f t="shared" ca="1" si="64"/>
        <v>106.61387277514807</v>
      </c>
      <c r="I243">
        <f t="shared" ca="1" si="65"/>
        <v>98.191884311627902</v>
      </c>
      <c r="J243">
        <f t="shared" ca="1" si="74"/>
        <v>103.075</v>
      </c>
      <c r="K243">
        <f t="shared" ca="1" si="75"/>
        <v>2.7469360922192649</v>
      </c>
      <c r="L243">
        <f t="shared" ca="1" si="76"/>
        <v>108.56887218443853</v>
      </c>
      <c r="M243">
        <f t="shared" ca="1" si="77"/>
        <v>97.581127815561473</v>
      </c>
      <c r="N243">
        <f t="shared" ca="1" si="66"/>
        <v>2.0300000000000011</v>
      </c>
      <c r="O243">
        <f t="shared" ca="1" si="67"/>
        <v>2.0300000000000011</v>
      </c>
      <c r="P243">
        <f t="shared" ca="1" si="68"/>
        <v>0</v>
      </c>
      <c r="Q243">
        <f t="shared" ca="1" si="72"/>
        <v>0.6322925446821076</v>
      </c>
      <c r="R243">
        <f t="shared" ca="1" si="73"/>
        <v>0.28296286175868968</v>
      </c>
      <c r="S243">
        <f t="shared" ca="1" si="70"/>
        <v>2.234542514704017</v>
      </c>
      <c r="T243">
        <f t="shared" ca="1" si="71"/>
        <v>69.083726819045779</v>
      </c>
      <c r="U243">
        <f>70</f>
        <v>70</v>
      </c>
      <c r="V243">
        <f>30</f>
        <v>30</v>
      </c>
      <c r="W243">
        <f t="shared" ca="1" si="69"/>
        <v>104.8657656129165</v>
      </c>
      <c r="X243">
        <f t="shared" ca="1" si="79"/>
        <v>103.00365023578237</v>
      </c>
      <c r="Y243">
        <f t="shared" ca="1" si="78"/>
        <v>2.0045186906180419</v>
      </c>
      <c r="Z243">
        <f t="shared" ca="1" si="80"/>
        <v>1.6429908079120052</v>
      </c>
      <c r="AA243">
        <f t="shared" ca="1" si="81"/>
        <v>0.36152788270603664</v>
      </c>
      <c r="AB243">
        <f t="shared" ca="1" si="82"/>
        <v>99.805299999999946</v>
      </c>
    </row>
    <row r="244" spans="1:28" x14ac:dyDescent="0.25">
      <c r="A244" s="21">
        <f t="shared" ca="1" si="62"/>
        <v>46055</v>
      </c>
      <c r="B244" vm="709">
        <f ca="1"/>
        <v>46057</v>
      </c>
      <c r="C244" vm="710">
        <f ca="1"/>
        <v>108.38</v>
      </c>
      <c r="D244" vm="711">
        <f ca="1"/>
        <v>2463148</v>
      </c>
      <c r="E244">
        <f t="shared" ca="1" si="63"/>
        <v>266955980.23999998</v>
      </c>
      <c r="F244">
        <f ca="1">SUM($E$2:E244)/SUM($D$2:D244)</f>
        <v>102.42730571728644</v>
      </c>
      <c r="G244">
        <f ca="1">_xlfn.STDEV.P($C$2:C244)</f>
        <v>4.2215805691695465</v>
      </c>
      <c r="H244">
        <f t="shared" ca="1" si="64"/>
        <v>106.64888628645599</v>
      </c>
      <c r="I244">
        <f t="shared" ca="1" si="65"/>
        <v>98.205725148116898</v>
      </c>
      <c r="J244">
        <f t="shared" ca="1" si="74"/>
        <v>103.52799999999999</v>
      </c>
      <c r="K244">
        <f t="shared" ca="1" si="75"/>
        <v>2.8405551718300641</v>
      </c>
      <c r="L244">
        <f t="shared" ca="1" si="76"/>
        <v>109.20911034366011</v>
      </c>
      <c r="M244">
        <f t="shared" ca="1" si="77"/>
        <v>97.846889656339869</v>
      </c>
      <c r="N244">
        <f t="shared" ca="1" si="66"/>
        <v>0.92999999999999261</v>
      </c>
      <c r="O244">
        <f t="shared" ca="1" si="67"/>
        <v>0.92999999999999261</v>
      </c>
      <c r="P244">
        <f t="shared" ca="1" si="68"/>
        <v>0</v>
      </c>
      <c r="Q244">
        <f t="shared" ca="1" si="72"/>
        <v>0.65355736291909938</v>
      </c>
      <c r="R244">
        <f t="shared" ca="1" si="73"/>
        <v>0.2627512287759261</v>
      </c>
      <c r="S244">
        <f t="shared" ca="1" si="70"/>
        <v>2.487361775485557</v>
      </c>
      <c r="T244">
        <f t="shared" ca="1" si="71"/>
        <v>71.325028363001806</v>
      </c>
      <c r="U244">
        <f>70</f>
        <v>70</v>
      </c>
      <c r="V244">
        <f>30</f>
        <v>30</v>
      </c>
      <c r="W244">
        <f t="shared" ca="1" si="69"/>
        <v>105.4064170570832</v>
      </c>
      <c r="X244">
        <f t="shared" ca="1" si="79"/>
        <v>103.40189836646516</v>
      </c>
      <c r="Y244">
        <f t="shared" ca="1" si="78"/>
        <v>2.1323330394659052</v>
      </c>
      <c r="Z244">
        <f t="shared" ca="1" si="80"/>
        <v>1.7408592542227854</v>
      </c>
      <c r="AA244">
        <f t="shared" ca="1" si="81"/>
        <v>0.39147378524311982</v>
      </c>
      <c r="AB244">
        <f t="shared" ca="1" si="82"/>
        <v>99.912099999999953</v>
      </c>
    </row>
    <row r="245" spans="1:28" x14ac:dyDescent="0.25">
      <c r="A245" s="21">
        <f t="shared" ca="1" si="62"/>
        <v>46055</v>
      </c>
      <c r="B245" vm="712">
        <f ca="1"/>
        <v>46058</v>
      </c>
      <c r="C245" vm="713">
        <f ca="1"/>
        <v>108.87</v>
      </c>
      <c r="D245" vm="714">
        <f ca="1"/>
        <v>1811491</v>
      </c>
      <c r="E245">
        <f t="shared" ca="1" si="63"/>
        <v>197217025.17000002</v>
      </c>
      <c r="F245">
        <f ca="1">SUM($E$2:E245)/SUM($D$2:D245)</f>
        <v>102.44661165921582</v>
      </c>
      <c r="G245">
        <f ca="1">_xlfn.STDEV.P($C$2:C245)</f>
        <v>4.2349734409262512</v>
      </c>
      <c r="H245">
        <f t="shared" ca="1" si="64"/>
        <v>106.68158510014207</v>
      </c>
      <c r="I245">
        <f t="shared" ca="1" si="65"/>
        <v>98.211638218289565</v>
      </c>
      <c r="J245">
        <f t="shared" ca="1" si="74"/>
        <v>104.003</v>
      </c>
      <c r="K245">
        <f t="shared" ca="1" si="75"/>
        <v>2.9022842183718889</v>
      </c>
      <c r="L245">
        <f t="shared" ca="1" si="76"/>
        <v>109.80756843674378</v>
      </c>
      <c r="M245">
        <f t="shared" ca="1" si="77"/>
        <v>98.198431563256221</v>
      </c>
      <c r="N245">
        <f t="shared" ca="1" si="66"/>
        <v>0.49000000000000909</v>
      </c>
      <c r="O245">
        <f t="shared" ca="1" si="67"/>
        <v>0.49000000000000909</v>
      </c>
      <c r="P245">
        <f t="shared" ca="1" si="68"/>
        <v>0</v>
      </c>
      <c r="Q245">
        <f t="shared" ca="1" si="72"/>
        <v>0.64187469413916431</v>
      </c>
      <c r="R245">
        <f t="shared" ca="1" si="73"/>
        <v>0.24398328386335996</v>
      </c>
      <c r="S245">
        <f t="shared" ca="1" si="70"/>
        <v>2.6308142261854255</v>
      </c>
      <c r="T245">
        <f t="shared" ca="1" si="71"/>
        <v>72.457968441678958</v>
      </c>
      <c r="U245">
        <f>70</f>
        <v>70</v>
      </c>
      <c r="V245">
        <f>30</f>
        <v>30</v>
      </c>
      <c r="W245">
        <f t="shared" ca="1" si="69"/>
        <v>105.93927597137809</v>
      </c>
      <c r="X245">
        <f t="shared" ca="1" si="79"/>
        <v>103.80694293191219</v>
      </c>
      <c r="Y245">
        <f t="shared" ca="1" si="78"/>
        <v>2.0861211128998036</v>
      </c>
      <c r="Z245">
        <f t="shared" ca="1" si="80"/>
        <v>1.8099116259581891</v>
      </c>
      <c r="AA245">
        <f t="shared" ca="1" si="81"/>
        <v>0.27620948694161451</v>
      </c>
      <c r="AB245">
        <f t="shared" ca="1" si="82"/>
        <v>100.02529999999997</v>
      </c>
    </row>
    <row r="246" spans="1:28" x14ac:dyDescent="0.25">
      <c r="A246" s="21">
        <f t="shared" ca="1" si="62"/>
        <v>46055</v>
      </c>
      <c r="B246" vm="715">
        <f ca="1"/>
        <v>46059</v>
      </c>
      <c r="C246" vm="716">
        <f ca="1"/>
        <v>107.34</v>
      </c>
      <c r="D246" vm="717">
        <f ca="1"/>
        <v>2743754</v>
      </c>
      <c r="E246">
        <f t="shared" ca="1" si="63"/>
        <v>294514554.36000001</v>
      </c>
      <c r="F246">
        <f ca="1">SUM($E$2:E246)/SUM($D$2:D246)</f>
        <v>102.46872098339239</v>
      </c>
      <c r="G246">
        <f ca="1">_xlfn.STDEV.P($C$2:C246)</f>
        <v>4.2392973245473362</v>
      </c>
      <c r="H246">
        <f t="shared" ca="1" si="64"/>
        <v>106.70801830793972</v>
      </c>
      <c r="I246">
        <f t="shared" ca="1" si="65"/>
        <v>98.22942365884505</v>
      </c>
      <c r="J246">
        <f t="shared" ca="1" si="74"/>
        <v>104.36100000000002</v>
      </c>
      <c r="K246">
        <f t="shared" ca="1" si="75"/>
        <v>2.8469631095903627</v>
      </c>
      <c r="L246">
        <f t="shared" ca="1" si="76"/>
        <v>110.05492621918074</v>
      </c>
      <c r="M246">
        <f t="shared" ca="1" si="77"/>
        <v>98.667073780819294</v>
      </c>
      <c r="N246">
        <f t="shared" ca="1" si="66"/>
        <v>-1.5300000000000011</v>
      </c>
      <c r="O246">
        <f t="shared" ca="1" si="67"/>
        <v>0</v>
      </c>
      <c r="P246">
        <f t="shared" ca="1" si="68"/>
        <v>1.5300000000000011</v>
      </c>
      <c r="Q246">
        <f t="shared" ca="1" si="72"/>
        <v>0.59602650170065263</v>
      </c>
      <c r="R246">
        <f t="shared" ca="1" si="73"/>
        <v>0.33584162073026291</v>
      </c>
      <c r="S246">
        <f t="shared" ca="1" si="70"/>
        <v>1.7747249444682789</v>
      </c>
      <c r="T246">
        <f t="shared" ca="1" si="71"/>
        <v>63.96039175005037</v>
      </c>
      <c r="U246">
        <f>70</f>
        <v>70</v>
      </c>
      <c r="V246">
        <f>30</f>
        <v>30</v>
      </c>
      <c r="W246">
        <f t="shared" ca="1" si="69"/>
        <v>106.15477197578147</v>
      </c>
      <c r="X246">
        <f t="shared" ca="1" si="79"/>
        <v>104.06865086288167</v>
      </c>
      <c r="Y246">
        <f t="shared" ca="1" si="78"/>
        <v>1.9734921549018622</v>
      </c>
      <c r="Z246">
        <f t="shared" ca="1" si="80"/>
        <v>1.842627731746924</v>
      </c>
      <c r="AA246">
        <f t="shared" ca="1" si="81"/>
        <v>0.13086442315493829</v>
      </c>
      <c r="AB246">
        <f t="shared" ca="1" si="82"/>
        <v>100.12869999999997</v>
      </c>
    </row>
    <row r="247" spans="1:28" x14ac:dyDescent="0.25">
      <c r="A247" s="21">
        <f t="shared" ca="1" si="62"/>
        <v>46062</v>
      </c>
      <c r="B247" vm="718">
        <f ca="1"/>
        <v>46062</v>
      </c>
      <c r="C247" vm="719">
        <f ca="1"/>
        <v>106.68</v>
      </c>
      <c r="D247" vm="720">
        <f ca="1"/>
        <v>1294321</v>
      </c>
      <c r="E247">
        <f t="shared" ca="1" si="63"/>
        <v>138078164.28</v>
      </c>
      <c r="F247">
        <f ca="1">SUM($E$2:E247)/SUM($D$2:D247)</f>
        <v>102.47767776454018</v>
      </c>
      <c r="G247">
        <f ca="1">_xlfn.STDEV.P($C$2:C247)</f>
        <v>4.2404236966885005</v>
      </c>
      <c r="H247">
        <f t="shared" ca="1" si="64"/>
        <v>106.71810146122867</v>
      </c>
      <c r="I247">
        <f t="shared" ca="1" si="65"/>
        <v>98.23725406785168</v>
      </c>
      <c r="J247">
        <f t="shared" ca="1" si="74"/>
        <v>104.7345</v>
      </c>
      <c r="K247">
        <f t="shared" ca="1" si="75"/>
        <v>2.6162819641218871</v>
      </c>
      <c r="L247">
        <f t="shared" ca="1" si="76"/>
        <v>109.96706392824377</v>
      </c>
      <c r="M247">
        <f t="shared" ca="1" si="77"/>
        <v>99.501936071756219</v>
      </c>
      <c r="N247">
        <f t="shared" ca="1" si="66"/>
        <v>-0.65999999999999659</v>
      </c>
      <c r="O247">
        <f t="shared" ca="1" si="67"/>
        <v>0</v>
      </c>
      <c r="P247">
        <f t="shared" ca="1" si="68"/>
        <v>0.65999999999999659</v>
      </c>
      <c r="Q247">
        <f t="shared" ca="1" si="72"/>
        <v>0.55345318015060596</v>
      </c>
      <c r="R247">
        <f t="shared" ca="1" si="73"/>
        <v>0.358995790678101</v>
      </c>
      <c r="S247">
        <f t="shared" ca="1" si="70"/>
        <v>1.5416703886839389</v>
      </c>
      <c r="T247">
        <f t="shared" ca="1" si="71"/>
        <v>60.655795320580744</v>
      </c>
      <c r="U247">
        <f>70</f>
        <v>70</v>
      </c>
      <c r="V247">
        <f>30</f>
        <v>30</v>
      </c>
      <c r="W247">
        <f t="shared" ca="1" si="69"/>
        <v>106.23557628719971</v>
      </c>
      <c r="X247">
        <f t="shared" ca="1" si="79"/>
        <v>104.26208413229784</v>
      </c>
      <c r="Y247">
        <f t="shared" ca="1" si="78"/>
        <v>2.0023612943062972</v>
      </c>
      <c r="Z247">
        <f t="shared" ca="1" si="80"/>
        <v>1.8745744442587988</v>
      </c>
      <c r="AA247">
        <f t="shared" ca="1" si="81"/>
        <v>0.12778685004749835</v>
      </c>
      <c r="AB247">
        <f t="shared" ca="1" si="82"/>
        <v>100.2398</v>
      </c>
    </row>
    <row r="248" spans="1:28" x14ac:dyDescent="0.25">
      <c r="A248" s="21">
        <f t="shared" ca="1" si="62"/>
        <v>46062</v>
      </c>
      <c r="B248" vm="721">
        <f ca="1"/>
        <v>46063</v>
      </c>
      <c r="C248" vm="722">
        <f ca="1"/>
        <v>108.43</v>
      </c>
      <c r="D248" vm="723">
        <f ca="1"/>
        <v>2368103</v>
      </c>
      <c r="E248">
        <f t="shared" ca="1" si="63"/>
        <v>256773408.29000002</v>
      </c>
      <c r="F248">
        <f ca="1">SUM($E$2:E248)/SUM($D$2:D248)</f>
        <v>102.50075035053456</v>
      </c>
      <c r="G248">
        <f ca="1">_xlfn.STDEV.P($C$2:C248)</f>
        <v>4.250392777705656</v>
      </c>
      <c r="H248">
        <f t="shared" ca="1" si="64"/>
        <v>106.75114312824022</v>
      </c>
      <c r="I248">
        <f t="shared" ca="1" si="65"/>
        <v>98.250357572828904</v>
      </c>
      <c r="J248">
        <f t="shared" ca="1" si="74"/>
        <v>105.2145</v>
      </c>
      <c r="K248">
        <f t="shared" ca="1" si="75"/>
        <v>2.3422806587193028</v>
      </c>
      <c r="L248">
        <f t="shared" ca="1" si="76"/>
        <v>109.89906131743861</v>
      </c>
      <c r="M248">
        <f t="shared" ca="1" si="77"/>
        <v>100.52993868256139</v>
      </c>
      <c r="N248">
        <f t="shared" ca="1" si="66"/>
        <v>1.75</v>
      </c>
      <c r="O248">
        <f t="shared" ca="1" si="67"/>
        <v>1.75</v>
      </c>
      <c r="P248">
        <f t="shared" ca="1" si="68"/>
        <v>0</v>
      </c>
      <c r="Q248">
        <f t="shared" ca="1" si="72"/>
        <v>0.63892081013984836</v>
      </c>
      <c r="R248">
        <f t="shared" ca="1" si="73"/>
        <v>0.33335323420109381</v>
      </c>
      <c r="S248">
        <f t="shared" ca="1" si="70"/>
        <v>1.9166480015442788</v>
      </c>
      <c r="T248">
        <f t="shared" ca="1" si="71"/>
        <v>65.714066302463323</v>
      </c>
      <c r="U248">
        <f>70</f>
        <v>70</v>
      </c>
      <c r="V248">
        <f>30</f>
        <v>30</v>
      </c>
      <c r="W248">
        <f t="shared" ca="1" si="69"/>
        <v>106.57317993532283</v>
      </c>
      <c r="X248">
        <f t="shared" ca="1" si="79"/>
        <v>104.57081864101653</v>
      </c>
      <c r="Y248">
        <f t="shared" ca="1" si="78"/>
        <v>2.1170324286624123</v>
      </c>
      <c r="Z248">
        <f t="shared" ca="1" si="80"/>
        <v>1.9230660411395215</v>
      </c>
      <c r="AA248">
        <f t="shared" ca="1" si="81"/>
        <v>0.19396638752289075</v>
      </c>
      <c r="AB248">
        <f t="shared" ca="1" si="82"/>
        <v>100.3601</v>
      </c>
    </row>
    <row r="249" spans="1:28" x14ac:dyDescent="0.25">
      <c r="A249" s="21">
        <f t="shared" ca="1" si="62"/>
        <v>46062</v>
      </c>
      <c r="B249" vm="724">
        <f ca="1"/>
        <v>46064</v>
      </c>
      <c r="C249" vm="725">
        <f ca="1"/>
        <v>109.87</v>
      </c>
      <c r="D249" vm="726">
        <f ca="1"/>
        <v>1354491</v>
      </c>
      <c r="E249">
        <f t="shared" ca="1" si="63"/>
        <v>148817926.17000002</v>
      </c>
      <c r="F249">
        <f ca="1">SUM($E$2:E249)/SUM($D$2:D249)</f>
        <v>102.51705257376015</v>
      </c>
      <c r="G249">
        <f ca="1">_xlfn.STDEV.P($C$2:C249)</f>
        <v>4.2695252151603711</v>
      </c>
      <c r="H249">
        <f t="shared" ca="1" si="64"/>
        <v>106.78657778892052</v>
      </c>
      <c r="I249">
        <f t="shared" ca="1" si="65"/>
        <v>98.247527358599783</v>
      </c>
      <c r="J249">
        <f t="shared" ca="1" si="74"/>
        <v>105.69750000000002</v>
      </c>
      <c r="K249">
        <f t="shared" ca="1" si="75"/>
        <v>2.2501716308808652</v>
      </c>
      <c r="L249">
        <f t="shared" ca="1" si="76"/>
        <v>110.19784326176175</v>
      </c>
      <c r="M249">
        <f t="shared" ca="1" si="77"/>
        <v>101.19715673823829</v>
      </c>
      <c r="N249">
        <f t="shared" ca="1" si="66"/>
        <v>1.4399999999999977</v>
      </c>
      <c r="O249">
        <f t="shared" ca="1" si="67"/>
        <v>1.4399999999999977</v>
      </c>
      <c r="P249">
        <f t="shared" ca="1" si="68"/>
        <v>0</v>
      </c>
      <c r="Q249">
        <f t="shared" ca="1" si="72"/>
        <v>0.6961407522727161</v>
      </c>
      <c r="R249">
        <f t="shared" ca="1" si="73"/>
        <v>0.30954228890101565</v>
      </c>
      <c r="S249">
        <f t="shared" ca="1" si="70"/>
        <v>2.2489358554020562</v>
      </c>
      <c r="T249">
        <f t="shared" ca="1" si="71"/>
        <v>69.220691189169386</v>
      </c>
      <c r="U249">
        <f>70</f>
        <v>70</v>
      </c>
      <c r="V249">
        <f>30</f>
        <v>30</v>
      </c>
      <c r="W249">
        <f t="shared" ca="1" si="69"/>
        <v>107.08038302219624</v>
      </c>
      <c r="X249">
        <f t="shared" ca="1" si="79"/>
        <v>104.96335059353383</v>
      </c>
      <c r="Y249">
        <f t="shared" ca="1" si="78"/>
        <v>2.3303271073897065</v>
      </c>
      <c r="Z249">
        <f t="shared" ca="1" si="80"/>
        <v>2.0045182543895588</v>
      </c>
      <c r="AA249">
        <f t="shared" ca="1" si="81"/>
        <v>0.32580885300014772</v>
      </c>
      <c r="AB249">
        <f t="shared" ca="1" si="82"/>
        <v>100.4953</v>
      </c>
    </row>
    <row r="250" spans="1:28" x14ac:dyDescent="0.25">
      <c r="A250" s="21">
        <f t="shared" ca="1" si="62"/>
        <v>46062</v>
      </c>
      <c r="B250" vm="727">
        <f ca="1"/>
        <v>46065</v>
      </c>
      <c r="C250" vm="728">
        <f ca="1"/>
        <v>111.72</v>
      </c>
      <c r="D250" vm="729">
        <f ca="1"/>
        <v>1523235</v>
      </c>
      <c r="E250">
        <f t="shared" ca="1" si="63"/>
        <v>170175814.19999999</v>
      </c>
      <c r="F250">
        <f ca="1">SUM($E$2:E250)/SUM($D$2:D250)</f>
        <v>102.53989079103245</v>
      </c>
      <c r="G250">
        <f ca="1">_xlfn.STDEV.P($C$2:C250)</f>
        <v>4.3029415323184583</v>
      </c>
      <c r="H250">
        <f t="shared" ca="1" si="64"/>
        <v>106.8428323233509</v>
      </c>
      <c r="I250">
        <f t="shared" ca="1" si="65"/>
        <v>98.236949258713992</v>
      </c>
      <c r="J250">
        <f t="shared" ca="1" si="74"/>
        <v>106.21</v>
      </c>
      <c r="K250">
        <f t="shared" ca="1" si="75"/>
        <v>2.3989888220708848</v>
      </c>
      <c r="L250">
        <f t="shared" ca="1" si="76"/>
        <v>111.00797764414176</v>
      </c>
      <c r="M250">
        <f t="shared" ca="1" si="77"/>
        <v>101.41202235585823</v>
      </c>
      <c r="N250">
        <f t="shared" ca="1" si="66"/>
        <v>1.8499999999999943</v>
      </c>
      <c r="O250">
        <f t="shared" ca="1" si="67"/>
        <v>1.8499999999999943</v>
      </c>
      <c r="P250">
        <f t="shared" ca="1" si="68"/>
        <v>0</v>
      </c>
      <c r="Q250">
        <f t="shared" ca="1" si="72"/>
        <v>0.77855926996752167</v>
      </c>
      <c r="R250">
        <f t="shared" ca="1" si="73"/>
        <v>0.28743212540808599</v>
      </c>
      <c r="S250">
        <f t="shared" ca="1" si="70"/>
        <v>2.7086717215834892</v>
      </c>
      <c r="T250">
        <f t="shared" ca="1" si="71"/>
        <v>73.03616833541065</v>
      </c>
      <c r="U250">
        <f>70</f>
        <v>70</v>
      </c>
      <c r="V250">
        <f>30</f>
        <v>30</v>
      </c>
      <c r="W250">
        <f t="shared" ca="1" si="69"/>
        <v>107.79417024955066</v>
      </c>
      <c r="X250">
        <f t="shared" ca="1" si="79"/>
        <v>105.46384314216095</v>
      </c>
      <c r="Y250">
        <f t="shared" ca="1" si="78"/>
        <v>2.6304260481887098</v>
      </c>
      <c r="Z250">
        <f t="shared" ca="1" si="80"/>
        <v>2.1296998131493892</v>
      </c>
      <c r="AA250">
        <f t="shared" ca="1" si="81"/>
        <v>0.50072623503932068</v>
      </c>
      <c r="AB250">
        <f t="shared" ca="1" si="82"/>
        <v>100.64920000000001</v>
      </c>
    </row>
    <row r="251" spans="1:28" x14ac:dyDescent="0.25">
      <c r="A251" s="21">
        <f t="shared" ca="1" si="62"/>
        <v>46062</v>
      </c>
      <c r="B251" vm="730">
        <f ca="1"/>
        <v>46066</v>
      </c>
      <c r="C251" vm="731">
        <f ca="1"/>
        <v>113.72</v>
      </c>
      <c r="D251" vm="732">
        <f ca="1"/>
        <v>2275122</v>
      </c>
      <c r="E251">
        <f t="shared" ca="1" si="63"/>
        <v>258726873.84</v>
      </c>
      <c r="F251">
        <f ca="1">SUM($E$2:E251)/SUM($D$2:D251)</f>
        <v>102.58117769479716</v>
      </c>
      <c r="G251">
        <f ca="1">_xlfn.STDEV.P($C$2:C251)</f>
        <v>4.3546585925420143</v>
      </c>
      <c r="H251">
        <f t="shared" ca="1" si="64"/>
        <v>106.93583628733917</v>
      </c>
      <c r="I251">
        <f t="shared" ca="1" si="65"/>
        <v>98.226519102255153</v>
      </c>
      <c r="J251">
        <f t="shared" ca="1" si="74"/>
        <v>106.76700000000001</v>
      </c>
      <c r="K251">
        <f t="shared" ca="1" si="75"/>
        <v>2.7755134186024217</v>
      </c>
      <c r="L251">
        <f t="shared" ca="1" si="76"/>
        <v>112.31802683720485</v>
      </c>
      <c r="M251">
        <f t="shared" ca="1" si="77"/>
        <v>101.21597316279517</v>
      </c>
      <c r="N251">
        <f t="shared" ca="1" si="66"/>
        <v>2</v>
      </c>
      <c r="O251">
        <f t="shared" ca="1" si="67"/>
        <v>2</v>
      </c>
      <c r="P251">
        <f t="shared" ca="1" si="68"/>
        <v>0</v>
      </c>
      <c r="Q251">
        <f t="shared" ca="1" si="72"/>
        <v>0.865805036398413</v>
      </c>
      <c r="R251">
        <f t="shared" ca="1" si="73"/>
        <v>0.26690125930750841</v>
      </c>
      <c r="S251">
        <f t="shared" ca="1" si="70"/>
        <v>3.2439151416699827</v>
      </c>
      <c r="T251">
        <f t="shared" ca="1" si="71"/>
        <v>76.436852137281434</v>
      </c>
      <c r="U251">
        <f>70</f>
        <v>70</v>
      </c>
      <c r="V251">
        <f>30</f>
        <v>30</v>
      </c>
      <c r="W251">
        <f t="shared" ca="1" si="69"/>
        <v>108.70583636500442</v>
      </c>
      <c r="X251">
        <f t="shared" ca="1" si="79"/>
        <v>106.07541031681571</v>
      </c>
      <c r="Y251" t="e">
        <f>#REF!-#REF!</f>
        <v>#REF!</v>
      </c>
      <c r="Z251" t="e">
        <f t="shared" ca="1" si="80"/>
        <v>#REF!</v>
      </c>
      <c r="AA251" t="e">
        <f t="shared" ca="1" si="81"/>
        <v>#REF!</v>
      </c>
      <c r="AB251">
        <f t="shared" ca="1" si="82"/>
        <v>100.8202</v>
      </c>
    </row>
    <row r="252" spans="1:28" x14ac:dyDescent="0.25">
      <c r="B252" vm="733">
        <f ca="1"/>
        <v>46070</v>
      </c>
      <c r="C252" vm="734">
        <f ca="1"/>
        <v>113.92</v>
      </c>
      <c r="D252" vm="735">
        <f ca="1"/>
        <v>2565528</v>
      </c>
    </row>
    <row r="253" spans="1:28" x14ac:dyDescent="0.25">
      <c r="B253" vm="736">
        <f ca="1"/>
        <v>46071</v>
      </c>
      <c r="C253" vm="737">
        <f ca="1"/>
        <v>111.61</v>
      </c>
      <c r="D253" vm="738">
        <f ca="1"/>
        <v>1842140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6104-E0E5-4E26-AF20-1E8102E70C73}">
  <dimension ref="A1:B53"/>
  <sheetViews>
    <sheetView topLeftCell="A41" workbookViewId="0"/>
  </sheetViews>
  <sheetFormatPr defaultRowHeight="15" x14ac:dyDescent="0.25"/>
  <cols>
    <col min="1" max="2" width="10.42578125" bestFit="1" customWidth="1"/>
  </cols>
  <sheetData>
    <row r="1" spans="1:2" x14ac:dyDescent="0.25">
      <c r="A1" t="s">
        <v>45</v>
      </c>
      <c r="B1" t="s">
        <v>46</v>
      </c>
    </row>
    <row r="2" spans="1:2" x14ac:dyDescent="0.25">
      <c r="A2" s="12">
        <v>45705</v>
      </c>
      <c r="B2">
        <v>96.26</v>
      </c>
    </row>
    <row r="3" spans="1:2" x14ac:dyDescent="0.25">
      <c r="A3" s="12">
        <v>45712</v>
      </c>
      <c r="B3">
        <v>100.41</v>
      </c>
    </row>
    <row r="4" spans="1:2" x14ac:dyDescent="0.25">
      <c r="A4" s="12">
        <v>45719</v>
      </c>
      <c r="B4">
        <v>102.184</v>
      </c>
    </row>
    <row r="5" spans="1:2" x14ac:dyDescent="0.25">
      <c r="A5" s="12">
        <v>45726</v>
      </c>
      <c r="B5">
        <v>104.81</v>
      </c>
    </row>
    <row r="6" spans="1:2" x14ac:dyDescent="0.25">
      <c r="A6" s="12">
        <v>45733</v>
      </c>
      <c r="B6">
        <v>107.84</v>
      </c>
    </row>
    <row r="7" spans="1:2" x14ac:dyDescent="0.25">
      <c r="A7" s="12">
        <v>45740</v>
      </c>
      <c r="B7">
        <v>107.3</v>
      </c>
    </row>
    <row r="8" spans="1:2" x14ac:dyDescent="0.25">
      <c r="A8" s="12">
        <v>45747</v>
      </c>
      <c r="B8">
        <v>110.45399999999999</v>
      </c>
    </row>
    <row r="9" spans="1:2" x14ac:dyDescent="0.25">
      <c r="A9" s="12">
        <v>45754</v>
      </c>
      <c r="B9">
        <v>107.072</v>
      </c>
    </row>
    <row r="10" spans="1:2" x14ac:dyDescent="0.25">
      <c r="A10" s="12">
        <v>45761</v>
      </c>
      <c r="B10">
        <v>111.9</v>
      </c>
    </row>
    <row r="11" spans="1:2" x14ac:dyDescent="0.25">
      <c r="A11" s="12">
        <v>45768</v>
      </c>
      <c r="B11">
        <v>111.70399999999999</v>
      </c>
    </row>
    <row r="12" spans="1:2" x14ac:dyDescent="0.25">
      <c r="A12" s="12">
        <v>45775</v>
      </c>
      <c r="B12">
        <v>111.72</v>
      </c>
    </row>
    <row r="13" spans="1:2" x14ac:dyDescent="0.25">
      <c r="A13" s="12">
        <v>45782</v>
      </c>
      <c r="B13">
        <v>109.292</v>
      </c>
    </row>
    <row r="14" spans="1:2" x14ac:dyDescent="0.25">
      <c r="A14" s="12">
        <v>45789</v>
      </c>
      <c r="B14">
        <v>101.938</v>
      </c>
    </row>
    <row r="15" spans="1:2" x14ac:dyDescent="0.25">
      <c r="A15" s="12">
        <v>45796</v>
      </c>
      <c r="B15">
        <v>104.76599999999999</v>
      </c>
    </row>
    <row r="16" spans="1:2" x14ac:dyDescent="0.25">
      <c r="A16" s="12">
        <v>45803</v>
      </c>
      <c r="B16">
        <v>103.4875</v>
      </c>
    </row>
    <row r="17" spans="1:2" x14ac:dyDescent="0.25">
      <c r="A17" s="12">
        <v>45810</v>
      </c>
      <c r="B17">
        <v>102.63799999999999</v>
      </c>
    </row>
    <row r="18" spans="1:2" x14ac:dyDescent="0.25">
      <c r="A18" s="12">
        <v>45817</v>
      </c>
      <c r="B18">
        <v>102.756</v>
      </c>
    </row>
    <row r="19" spans="1:2" x14ac:dyDescent="0.25">
      <c r="A19" s="12">
        <v>45824</v>
      </c>
      <c r="B19">
        <v>101.17</v>
      </c>
    </row>
    <row r="20" spans="1:2" x14ac:dyDescent="0.25">
      <c r="A20" s="12">
        <v>45831</v>
      </c>
      <c r="B20">
        <v>99.19</v>
      </c>
    </row>
    <row r="21" spans="1:2" x14ac:dyDescent="0.25">
      <c r="A21" s="12">
        <v>45838</v>
      </c>
      <c r="B21">
        <v>100.34</v>
      </c>
    </row>
    <row r="22" spans="1:2" x14ac:dyDescent="0.25">
      <c r="A22" s="12">
        <v>45845</v>
      </c>
      <c r="B22">
        <v>100.13</v>
      </c>
    </row>
    <row r="23" spans="1:2" x14ac:dyDescent="0.25">
      <c r="A23" s="12">
        <v>45852</v>
      </c>
      <c r="B23">
        <v>100.62</v>
      </c>
    </row>
    <row r="24" spans="1:2" x14ac:dyDescent="0.25">
      <c r="A24" s="12">
        <v>45859</v>
      </c>
      <c r="B24">
        <v>102.504</v>
      </c>
    </row>
    <row r="25" spans="1:2" x14ac:dyDescent="0.25">
      <c r="A25" s="12">
        <v>45866</v>
      </c>
      <c r="B25">
        <v>102.75</v>
      </c>
    </row>
    <row r="26" spans="1:2" x14ac:dyDescent="0.25">
      <c r="A26" s="12">
        <v>45873</v>
      </c>
      <c r="B26">
        <v>104.634</v>
      </c>
    </row>
    <row r="27" spans="1:2" x14ac:dyDescent="0.25">
      <c r="A27" s="12">
        <v>45880</v>
      </c>
      <c r="B27">
        <v>103.02</v>
      </c>
    </row>
    <row r="28" spans="1:2" x14ac:dyDescent="0.25">
      <c r="A28" s="12">
        <v>45887</v>
      </c>
      <c r="B28">
        <v>101.15</v>
      </c>
    </row>
    <row r="29" spans="1:2" x14ac:dyDescent="0.25">
      <c r="A29" s="12">
        <v>45894</v>
      </c>
      <c r="B29">
        <v>99.227999999999994</v>
      </c>
    </row>
    <row r="30" spans="1:2" x14ac:dyDescent="0.25">
      <c r="A30" s="12">
        <v>45901</v>
      </c>
      <c r="B30">
        <v>97.724999999999994</v>
      </c>
    </row>
    <row r="31" spans="1:2" x14ac:dyDescent="0.25">
      <c r="A31" s="12">
        <v>45908</v>
      </c>
      <c r="B31">
        <v>97.192000000000007</v>
      </c>
    </row>
    <row r="32" spans="1:2" x14ac:dyDescent="0.25">
      <c r="A32" s="12">
        <v>45915</v>
      </c>
      <c r="B32">
        <v>96.33</v>
      </c>
    </row>
    <row r="33" spans="1:2" x14ac:dyDescent="0.25">
      <c r="A33" s="12">
        <v>45922</v>
      </c>
      <c r="B33">
        <v>98.39</v>
      </c>
    </row>
    <row r="34" spans="1:2" x14ac:dyDescent="0.25">
      <c r="A34" s="12">
        <v>45929</v>
      </c>
      <c r="B34">
        <v>98.941999999999993</v>
      </c>
    </row>
    <row r="35" spans="1:2" x14ac:dyDescent="0.25">
      <c r="A35" s="12">
        <v>45936</v>
      </c>
      <c r="B35">
        <v>100.678</v>
      </c>
    </row>
    <row r="36" spans="1:2" x14ac:dyDescent="0.25">
      <c r="A36" s="12">
        <v>45943</v>
      </c>
      <c r="B36">
        <v>101.46</v>
      </c>
    </row>
    <row r="37" spans="1:2" x14ac:dyDescent="0.25">
      <c r="A37" s="12">
        <v>45950</v>
      </c>
      <c r="B37">
        <v>101.206</v>
      </c>
    </row>
    <row r="38" spans="1:2" x14ac:dyDescent="0.25">
      <c r="A38" s="12">
        <v>45957</v>
      </c>
      <c r="B38">
        <v>98.274000000000001</v>
      </c>
    </row>
    <row r="39" spans="1:2" x14ac:dyDescent="0.25">
      <c r="A39" s="12">
        <v>45964</v>
      </c>
      <c r="B39">
        <v>97.244</v>
      </c>
    </row>
    <row r="40" spans="1:2" x14ac:dyDescent="0.25">
      <c r="A40" s="12">
        <v>45971</v>
      </c>
      <c r="B40">
        <v>100.126</v>
      </c>
    </row>
    <row r="41" spans="1:2" x14ac:dyDescent="0.25">
      <c r="A41" s="12">
        <v>45978</v>
      </c>
      <c r="B41">
        <v>101.64999999999999</v>
      </c>
    </row>
    <row r="42" spans="1:2" x14ac:dyDescent="0.25">
      <c r="A42" s="12">
        <v>45985</v>
      </c>
      <c r="B42">
        <v>99.567499999999995</v>
      </c>
    </row>
    <row r="43" spans="1:2" x14ac:dyDescent="0.25">
      <c r="A43" s="12">
        <v>45992</v>
      </c>
      <c r="B43">
        <v>96.804000000000002</v>
      </c>
    </row>
    <row r="44" spans="1:2" x14ac:dyDescent="0.25">
      <c r="A44" s="12">
        <v>45999</v>
      </c>
      <c r="B44">
        <v>95.97</v>
      </c>
    </row>
    <row r="45" spans="1:2" x14ac:dyDescent="0.25">
      <c r="A45" s="12">
        <v>46006</v>
      </c>
      <c r="B45">
        <v>99.31</v>
      </c>
    </row>
    <row r="46" spans="1:2" x14ac:dyDescent="0.25">
      <c r="A46" s="12">
        <v>46013</v>
      </c>
      <c r="B46">
        <v>99.087500000000006</v>
      </c>
    </row>
    <row r="47" spans="1:2" x14ac:dyDescent="0.25">
      <c r="A47" s="12">
        <v>46020</v>
      </c>
      <c r="B47">
        <v>99.685000000000002</v>
      </c>
    </row>
    <row r="48" spans="1:2" x14ac:dyDescent="0.25">
      <c r="A48" s="12">
        <v>46027</v>
      </c>
      <c r="B48">
        <v>99.316000000000003</v>
      </c>
    </row>
    <row r="49" spans="1:2" x14ac:dyDescent="0.25">
      <c r="A49" s="12">
        <v>46034</v>
      </c>
      <c r="B49">
        <v>101.38</v>
      </c>
    </row>
    <row r="50" spans="1:2" x14ac:dyDescent="0.25">
      <c r="A50" s="12">
        <v>46041</v>
      </c>
      <c r="B50">
        <v>103.985</v>
      </c>
    </row>
    <row r="51" spans="1:2" x14ac:dyDescent="0.25">
      <c r="A51" s="12">
        <v>46048</v>
      </c>
      <c r="B51">
        <v>105.542</v>
      </c>
    </row>
    <row r="52" spans="1:2" x14ac:dyDescent="0.25">
      <c r="A52" s="12">
        <v>46055</v>
      </c>
      <c r="B52">
        <v>107.492</v>
      </c>
    </row>
    <row r="53" spans="1:2" x14ac:dyDescent="0.25">
      <c r="A53" s="12">
        <v>46062</v>
      </c>
      <c r="B53">
        <v>110.084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6AB8-0A2C-42AC-B66D-35A573501CAA}">
  <dimension ref="A1:E120"/>
  <sheetViews>
    <sheetView workbookViewId="0">
      <selection activeCell="E2" sqref="E2"/>
    </sheetView>
  </sheetViews>
  <sheetFormatPr defaultRowHeight="15" x14ac:dyDescent="0.25"/>
  <cols>
    <col min="1" max="1" width="10.42578125" style="21" bestFit="1" customWidth="1"/>
    <col min="2" max="2" width="10.42578125" bestFit="1" customWidth="1"/>
    <col min="3" max="4" width="15.5703125" bestFit="1" customWidth="1"/>
  </cols>
  <sheetData>
    <row r="1" spans="1:5" x14ac:dyDescent="0.25">
      <c r="A1" s="21" t="s">
        <v>45</v>
      </c>
      <c r="B1" t="s">
        <v>46</v>
      </c>
      <c r="C1" t="s">
        <v>49</v>
      </c>
      <c r="D1" t="s">
        <v>50</v>
      </c>
      <c r="E1" t="s">
        <v>51</v>
      </c>
    </row>
    <row r="2" spans="1:5" x14ac:dyDescent="0.25">
      <c r="A2" s="21">
        <v>45292</v>
      </c>
      <c r="B2">
        <v>93.045000000000002</v>
      </c>
    </row>
    <row r="3" spans="1:5" x14ac:dyDescent="0.25">
      <c r="A3" s="21">
        <v>45299</v>
      </c>
      <c r="B3">
        <v>92.94</v>
      </c>
    </row>
    <row r="4" spans="1:5" x14ac:dyDescent="0.25">
      <c r="A4" s="21">
        <v>45306</v>
      </c>
      <c r="B4">
        <v>90.342500000000001</v>
      </c>
    </row>
    <row r="5" spans="1:5" x14ac:dyDescent="0.25">
      <c r="A5" s="21">
        <v>45313</v>
      </c>
      <c r="B5">
        <v>89.266000000000005</v>
      </c>
    </row>
    <row r="6" spans="1:5" x14ac:dyDescent="0.25">
      <c r="A6" s="21">
        <v>45320</v>
      </c>
      <c r="B6">
        <v>91.210000000000008</v>
      </c>
    </row>
    <row r="7" spans="1:5" x14ac:dyDescent="0.25">
      <c r="A7" s="21">
        <v>45327</v>
      </c>
      <c r="B7">
        <v>89.328000000000003</v>
      </c>
    </row>
    <row r="8" spans="1:5" x14ac:dyDescent="0.25">
      <c r="A8" s="21">
        <v>45334</v>
      </c>
      <c r="B8">
        <v>87.7</v>
      </c>
    </row>
    <row r="9" spans="1:5" x14ac:dyDescent="0.25">
      <c r="A9" s="21">
        <v>45341</v>
      </c>
      <c r="B9">
        <v>88.007499999999993</v>
      </c>
    </row>
    <row r="10" spans="1:5" x14ac:dyDescent="0.25">
      <c r="A10" s="21">
        <v>45348</v>
      </c>
      <c r="B10">
        <v>86.792000000000002</v>
      </c>
    </row>
    <row r="11" spans="1:5" x14ac:dyDescent="0.25">
      <c r="A11" s="21">
        <v>45355</v>
      </c>
      <c r="B11">
        <v>89.605999999999995</v>
      </c>
    </row>
    <row r="12" spans="1:5" x14ac:dyDescent="0.25">
      <c r="A12" s="21">
        <v>45362</v>
      </c>
      <c r="B12">
        <v>89.581999999999994</v>
      </c>
    </row>
    <row r="13" spans="1:5" x14ac:dyDescent="0.25">
      <c r="A13" s="21">
        <v>45369</v>
      </c>
      <c r="B13">
        <v>88.998000000000005</v>
      </c>
    </row>
    <row r="14" spans="1:5" x14ac:dyDescent="0.25">
      <c r="A14" s="21">
        <v>45376</v>
      </c>
      <c r="B14">
        <v>89.202500000000001</v>
      </c>
    </row>
    <row r="15" spans="1:5" x14ac:dyDescent="0.25">
      <c r="A15" s="21">
        <v>45383</v>
      </c>
      <c r="B15">
        <v>90.132000000000005</v>
      </c>
    </row>
    <row r="16" spans="1:5" x14ac:dyDescent="0.25">
      <c r="A16" s="21">
        <v>45390</v>
      </c>
      <c r="B16">
        <v>89.56</v>
      </c>
    </row>
    <row r="17" spans="1:2" x14ac:dyDescent="0.25">
      <c r="A17" s="21">
        <v>45397</v>
      </c>
      <c r="B17">
        <v>89.947999999999993</v>
      </c>
    </row>
    <row r="18" spans="1:2" x14ac:dyDescent="0.25">
      <c r="A18" s="21">
        <v>45404</v>
      </c>
      <c r="B18">
        <v>93.207999999999998</v>
      </c>
    </row>
    <row r="19" spans="1:2" x14ac:dyDescent="0.25">
      <c r="A19" s="21">
        <v>45411</v>
      </c>
      <c r="B19">
        <v>94.796000000000006</v>
      </c>
    </row>
    <row r="20" spans="1:2" x14ac:dyDescent="0.25">
      <c r="A20" s="21">
        <v>45418</v>
      </c>
      <c r="B20">
        <v>97.403999999999996</v>
      </c>
    </row>
    <row r="21" spans="1:2" x14ac:dyDescent="0.25">
      <c r="A21" s="21">
        <v>45425</v>
      </c>
      <c r="B21">
        <v>97.039999999999992</v>
      </c>
    </row>
    <row r="22" spans="1:2" x14ac:dyDescent="0.25">
      <c r="A22" s="21">
        <v>45432</v>
      </c>
      <c r="B22">
        <v>95.456000000000003</v>
      </c>
    </row>
    <row r="23" spans="1:2" x14ac:dyDescent="0.25">
      <c r="A23" s="21">
        <v>45439</v>
      </c>
      <c r="B23">
        <v>93.03</v>
      </c>
    </row>
    <row r="24" spans="1:2" x14ac:dyDescent="0.25">
      <c r="A24" s="21">
        <v>45446</v>
      </c>
      <c r="B24">
        <v>92.7</v>
      </c>
    </row>
    <row r="25" spans="1:2" x14ac:dyDescent="0.25">
      <c r="A25" s="21">
        <v>45453</v>
      </c>
      <c r="B25">
        <v>91.337999999999994</v>
      </c>
    </row>
    <row r="26" spans="1:2" x14ac:dyDescent="0.25">
      <c r="A26" s="21">
        <v>45460</v>
      </c>
      <c r="B26">
        <v>90.477500000000006</v>
      </c>
    </row>
    <row r="27" spans="1:2" x14ac:dyDescent="0.25">
      <c r="A27" s="21">
        <v>45467</v>
      </c>
      <c r="B27">
        <v>89.885999999999996</v>
      </c>
    </row>
    <row r="28" spans="1:2" x14ac:dyDescent="0.25">
      <c r="A28" s="21">
        <v>45474</v>
      </c>
      <c r="B28">
        <v>88.94</v>
      </c>
    </row>
    <row r="29" spans="1:2" x14ac:dyDescent="0.25">
      <c r="A29" s="21">
        <v>45481</v>
      </c>
      <c r="B29">
        <v>90.158000000000001</v>
      </c>
    </row>
    <row r="30" spans="1:2" x14ac:dyDescent="0.25">
      <c r="A30" s="21">
        <v>45488</v>
      </c>
      <c r="B30">
        <v>92.744</v>
      </c>
    </row>
    <row r="31" spans="1:2" x14ac:dyDescent="0.25">
      <c r="A31" s="21">
        <v>45495</v>
      </c>
      <c r="B31">
        <v>95.225999999999999</v>
      </c>
    </row>
    <row r="32" spans="1:2" x14ac:dyDescent="0.25">
      <c r="A32" s="21">
        <v>45502</v>
      </c>
      <c r="B32">
        <v>98.917999999999992</v>
      </c>
    </row>
    <row r="33" spans="1:2" x14ac:dyDescent="0.25">
      <c r="A33" s="21">
        <v>45509</v>
      </c>
      <c r="B33">
        <v>100.86</v>
      </c>
    </row>
    <row r="34" spans="1:2" x14ac:dyDescent="0.25">
      <c r="A34" s="21">
        <v>45516</v>
      </c>
      <c r="B34">
        <v>100.746</v>
      </c>
    </row>
    <row r="35" spans="1:2" x14ac:dyDescent="0.25">
      <c r="A35" s="21">
        <v>45523</v>
      </c>
      <c r="B35">
        <v>100.45399999999999</v>
      </c>
    </row>
    <row r="36" spans="1:2" x14ac:dyDescent="0.25">
      <c r="A36" s="21">
        <v>45530</v>
      </c>
      <c r="B36">
        <v>100.65</v>
      </c>
    </row>
    <row r="37" spans="1:2" x14ac:dyDescent="0.25">
      <c r="A37" s="21">
        <v>45537</v>
      </c>
      <c r="B37">
        <v>103.6875</v>
      </c>
    </row>
    <row r="38" spans="1:2" x14ac:dyDescent="0.25">
      <c r="A38" s="21">
        <v>45544</v>
      </c>
      <c r="B38">
        <v>104.298</v>
      </c>
    </row>
    <row r="39" spans="1:2" x14ac:dyDescent="0.25">
      <c r="A39" s="21">
        <v>45551</v>
      </c>
      <c r="B39">
        <v>103.654</v>
      </c>
    </row>
    <row r="40" spans="1:2" x14ac:dyDescent="0.25">
      <c r="A40" s="21">
        <v>45558</v>
      </c>
      <c r="B40">
        <v>103.434</v>
      </c>
    </row>
    <row r="41" spans="1:2" x14ac:dyDescent="0.25">
      <c r="A41" s="21">
        <v>45565</v>
      </c>
      <c r="B41">
        <v>104.18</v>
      </c>
    </row>
    <row r="42" spans="1:2" x14ac:dyDescent="0.25">
      <c r="A42" s="21">
        <v>45572</v>
      </c>
      <c r="B42">
        <v>101.904</v>
      </c>
    </row>
    <row r="43" spans="1:2" x14ac:dyDescent="0.25">
      <c r="A43" s="21">
        <v>45579</v>
      </c>
      <c r="B43">
        <v>105.41</v>
      </c>
    </row>
    <row r="44" spans="1:2" x14ac:dyDescent="0.25">
      <c r="A44" s="21">
        <v>45586</v>
      </c>
      <c r="B44">
        <v>106.19200000000001</v>
      </c>
    </row>
    <row r="45" spans="1:2" x14ac:dyDescent="0.25">
      <c r="A45" s="21">
        <v>45593</v>
      </c>
      <c r="B45">
        <v>102.42400000000001</v>
      </c>
    </row>
    <row r="46" spans="1:2" x14ac:dyDescent="0.25">
      <c r="A46" s="21">
        <v>45600</v>
      </c>
      <c r="B46">
        <v>98.727999999999994</v>
      </c>
    </row>
    <row r="47" spans="1:2" x14ac:dyDescent="0.25">
      <c r="A47" s="21">
        <v>45607</v>
      </c>
      <c r="B47">
        <v>96.522000000000006</v>
      </c>
    </row>
    <row r="48" spans="1:2" x14ac:dyDescent="0.25">
      <c r="A48" s="21">
        <v>45614</v>
      </c>
      <c r="B48">
        <v>97.671999999999997</v>
      </c>
    </row>
    <row r="49" spans="1:2" x14ac:dyDescent="0.25">
      <c r="A49" s="21">
        <v>45621</v>
      </c>
      <c r="B49">
        <v>100.83500000000001</v>
      </c>
    </row>
    <row r="50" spans="1:2" x14ac:dyDescent="0.25">
      <c r="A50" s="21">
        <v>45628</v>
      </c>
      <c r="B50">
        <v>96.793999999999997</v>
      </c>
    </row>
    <row r="51" spans="1:2" x14ac:dyDescent="0.25">
      <c r="A51" s="21">
        <v>45635</v>
      </c>
      <c r="B51">
        <v>93.504000000000005</v>
      </c>
    </row>
    <row r="52" spans="1:2" x14ac:dyDescent="0.25">
      <c r="A52" s="21">
        <v>45642</v>
      </c>
      <c r="B52">
        <v>90.013999999999996</v>
      </c>
    </row>
    <row r="53" spans="1:2" x14ac:dyDescent="0.25">
      <c r="A53" s="21">
        <v>45649</v>
      </c>
      <c r="B53">
        <v>89.6</v>
      </c>
    </row>
    <row r="54" spans="1:2" x14ac:dyDescent="0.25">
      <c r="A54" s="21">
        <v>45656</v>
      </c>
      <c r="B54">
        <v>89.164999999999992</v>
      </c>
    </row>
    <row r="55" spans="1:2" x14ac:dyDescent="0.25">
      <c r="A55" s="21">
        <v>45663</v>
      </c>
      <c r="B55">
        <v>88.382500000000007</v>
      </c>
    </row>
    <row r="56" spans="1:2" x14ac:dyDescent="0.25">
      <c r="A56" s="21">
        <v>45670</v>
      </c>
      <c r="B56">
        <v>90.787999999999997</v>
      </c>
    </row>
    <row r="57" spans="1:2" x14ac:dyDescent="0.25">
      <c r="A57" s="21">
        <v>45677</v>
      </c>
      <c r="B57">
        <v>91.334999999999994</v>
      </c>
    </row>
    <row r="58" spans="1:2" x14ac:dyDescent="0.25">
      <c r="A58" s="21">
        <v>45684</v>
      </c>
      <c r="B58">
        <v>93.69</v>
      </c>
    </row>
    <row r="59" spans="1:2" x14ac:dyDescent="0.25">
      <c r="A59" s="21">
        <v>45691</v>
      </c>
      <c r="B59">
        <v>95.644000000000005</v>
      </c>
    </row>
    <row r="60" spans="1:2" x14ac:dyDescent="0.25">
      <c r="A60" s="21">
        <v>45698</v>
      </c>
      <c r="B60">
        <v>95.632000000000005</v>
      </c>
    </row>
    <row r="61" spans="1:2" x14ac:dyDescent="0.25">
      <c r="A61" s="21">
        <v>45705</v>
      </c>
      <c r="B61">
        <v>96.26</v>
      </c>
    </row>
    <row r="62" spans="1:2" x14ac:dyDescent="0.25">
      <c r="A62" s="21">
        <v>45712</v>
      </c>
      <c r="B62">
        <v>100.41</v>
      </c>
    </row>
    <row r="63" spans="1:2" x14ac:dyDescent="0.25">
      <c r="A63" s="21">
        <v>45719</v>
      </c>
      <c r="B63">
        <v>102.184</v>
      </c>
    </row>
    <row r="64" spans="1:2" x14ac:dyDescent="0.25">
      <c r="A64" s="21">
        <v>45726</v>
      </c>
      <c r="B64">
        <v>104.81</v>
      </c>
    </row>
    <row r="65" spans="1:2" x14ac:dyDescent="0.25">
      <c r="A65" s="21">
        <v>45733</v>
      </c>
      <c r="B65">
        <v>107.84</v>
      </c>
    </row>
    <row r="66" spans="1:2" x14ac:dyDescent="0.25">
      <c r="A66" s="21">
        <v>45740</v>
      </c>
      <c r="B66">
        <v>107.3</v>
      </c>
    </row>
    <row r="67" spans="1:2" x14ac:dyDescent="0.25">
      <c r="A67" s="21">
        <v>45747</v>
      </c>
      <c r="B67">
        <v>110.45399999999999</v>
      </c>
    </row>
    <row r="68" spans="1:2" x14ac:dyDescent="0.25">
      <c r="A68" s="21">
        <v>45754</v>
      </c>
      <c r="B68">
        <v>107.072</v>
      </c>
    </row>
    <row r="69" spans="1:2" x14ac:dyDescent="0.25">
      <c r="A69" s="21">
        <v>45761</v>
      </c>
      <c r="B69">
        <v>111.9</v>
      </c>
    </row>
    <row r="70" spans="1:2" x14ac:dyDescent="0.25">
      <c r="A70" s="21">
        <v>45768</v>
      </c>
      <c r="B70">
        <v>111.70399999999999</v>
      </c>
    </row>
    <row r="71" spans="1:2" x14ac:dyDescent="0.25">
      <c r="A71" s="21">
        <v>45775</v>
      </c>
      <c r="B71">
        <v>111.72</v>
      </c>
    </row>
    <row r="72" spans="1:2" x14ac:dyDescent="0.25">
      <c r="A72" s="21">
        <v>45782</v>
      </c>
      <c r="B72">
        <v>109.292</v>
      </c>
    </row>
    <row r="73" spans="1:2" x14ac:dyDescent="0.25">
      <c r="A73" s="21">
        <v>45789</v>
      </c>
      <c r="B73">
        <v>101.938</v>
      </c>
    </row>
    <row r="74" spans="1:2" x14ac:dyDescent="0.25">
      <c r="A74" s="21">
        <v>45796</v>
      </c>
      <c r="B74">
        <v>104.76599999999999</v>
      </c>
    </row>
    <row r="75" spans="1:2" x14ac:dyDescent="0.25">
      <c r="A75" s="21">
        <v>45803</v>
      </c>
      <c r="B75">
        <v>103.4875</v>
      </c>
    </row>
    <row r="76" spans="1:2" x14ac:dyDescent="0.25">
      <c r="A76" s="21">
        <v>45810</v>
      </c>
      <c r="B76">
        <v>102.63799999999999</v>
      </c>
    </row>
    <row r="77" spans="1:2" x14ac:dyDescent="0.25">
      <c r="A77" s="21">
        <v>45817</v>
      </c>
      <c r="B77">
        <v>102.756</v>
      </c>
    </row>
    <row r="78" spans="1:2" x14ac:dyDescent="0.25">
      <c r="A78" s="21">
        <v>45824</v>
      </c>
      <c r="B78">
        <v>101.17</v>
      </c>
    </row>
    <row r="79" spans="1:2" x14ac:dyDescent="0.25">
      <c r="A79" s="21">
        <v>45831</v>
      </c>
      <c r="B79">
        <v>99.19</v>
      </c>
    </row>
    <row r="80" spans="1:2" x14ac:dyDescent="0.25">
      <c r="A80" s="21">
        <v>45838</v>
      </c>
      <c r="B80">
        <v>100.34</v>
      </c>
    </row>
    <row r="81" spans="1:2" x14ac:dyDescent="0.25">
      <c r="A81" s="21">
        <v>45845</v>
      </c>
      <c r="B81">
        <v>100.13</v>
      </c>
    </row>
    <row r="82" spans="1:2" x14ac:dyDescent="0.25">
      <c r="A82" s="21">
        <v>45852</v>
      </c>
      <c r="B82">
        <v>100.62</v>
      </c>
    </row>
    <row r="83" spans="1:2" x14ac:dyDescent="0.25">
      <c r="A83" s="21">
        <v>45859</v>
      </c>
      <c r="B83">
        <v>102.504</v>
      </c>
    </row>
    <row r="84" spans="1:2" x14ac:dyDescent="0.25">
      <c r="A84" s="21">
        <v>45866</v>
      </c>
      <c r="B84">
        <v>102.75</v>
      </c>
    </row>
    <row r="85" spans="1:2" x14ac:dyDescent="0.25">
      <c r="A85" s="21">
        <v>45873</v>
      </c>
      <c r="B85">
        <v>104.634</v>
      </c>
    </row>
    <row r="86" spans="1:2" x14ac:dyDescent="0.25">
      <c r="A86" s="21">
        <v>45880</v>
      </c>
      <c r="B86">
        <v>103.02</v>
      </c>
    </row>
    <row r="87" spans="1:2" x14ac:dyDescent="0.25">
      <c r="A87" s="21">
        <v>45887</v>
      </c>
      <c r="B87">
        <v>101.15</v>
      </c>
    </row>
    <row r="88" spans="1:2" x14ac:dyDescent="0.25">
      <c r="A88" s="21">
        <v>45894</v>
      </c>
      <c r="B88">
        <v>99.227999999999994</v>
      </c>
    </row>
    <row r="89" spans="1:2" x14ac:dyDescent="0.25">
      <c r="A89" s="21">
        <v>45901</v>
      </c>
      <c r="B89">
        <v>97.724999999999994</v>
      </c>
    </row>
    <row r="90" spans="1:2" x14ac:dyDescent="0.25">
      <c r="A90" s="21">
        <v>45908</v>
      </c>
      <c r="B90">
        <v>97.192000000000007</v>
      </c>
    </row>
    <row r="91" spans="1:2" x14ac:dyDescent="0.25">
      <c r="A91" s="21">
        <v>45915</v>
      </c>
      <c r="B91">
        <v>96.33</v>
      </c>
    </row>
    <row r="92" spans="1:2" x14ac:dyDescent="0.25">
      <c r="A92" s="21">
        <v>45922</v>
      </c>
      <c r="B92">
        <v>98.39</v>
      </c>
    </row>
    <row r="93" spans="1:2" x14ac:dyDescent="0.25">
      <c r="A93" s="21">
        <v>45929</v>
      </c>
      <c r="B93">
        <v>98.941999999999993</v>
      </c>
    </row>
    <row r="94" spans="1:2" x14ac:dyDescent="0.25">
      <c r="A94" s="21">
        <v>45936</v>
      </c>
      <c r="B94">
        <v>100.678</v>
      </c>
    </row>
    <row r="95" spans="1:2" x14ac:dyDescent="0.25">
      <c r="A95" s="21">
        <v>45943</v>
      </c>
      <c r="B95">
        <v>101.46</v>
      </c>
    </row>
    <row r="96" spans="1:2" x14ac:dyDescent="0.25">
      <c r="A96" s="21">
        <v>45950</v>
      </c>
      <c r="B96">
        <v>101.206</v>
      </c>
    </row>
    <row r="97" spans="1:5" x14ac:dyDescent="0.25">
      <c r="A97" s="21">
        <v>45957</v>
      </c>
      <c r="B97">
        <v>98.274000000000001</v>
      </c>
    </row>
    <row r="98" spans="1:5" x14ac:dyDescent="0.25">
      <c r="A98" s="21">
        <v>45964</v>
      </c>
      <c r="B98">
        <v>97.244</v>
      </c>
    </row>
    <row r="99" spans="1:5" x14ac:dyDescent="0.25">
      <c r="A99" s="21">
        <v>45971</v>
      </c>
      <c r="B99">
        <v>100.126</v>
      </c>
    </row>
    <row r="100" spans="1:5" x14ac:dyDescent="0.25">
      <c r="A100" s="21">
        <v>45978</v>
      </c>
      <c r="B100">
        <v>101.64999999999999</v>
      </c>
    </row>
    <row r="101" spans="1:5" x14ac:dyDescent="0.25">
      <c r="A101" s="21">
        <v>45985</v>
      </c>
      <c r="B101">
        <v>99.567499999999995</v>
      </c>
    </row>
    <row r="102" spans="1:5" x14ac:dyDescent="0.25">
      <c r="A102" s="21">
        <v>45992</v>
      </c>
      <c r="B102">
        <v>96.804000000000002</v>
      </c>
    </row>
    <row r="103" spans="1:5" x14ac:dyDescent="0.25">
      <c r="A103" s="21">
        <v>45999</v>
      </c>
      <c r="B103">
        <v>95.97</v>
      </c>
    </row>
    <row r="104" spans="1:5" x14ac:dyDescent="0.25">
      <c r="A104" s="21">
        <v>46006</v>
      </c>
      <c r="B104">
        <v>99.31</v>
      </c>
    </row>
    <row r="105" spans="1:5" x14ac:dyDescent="0.25">
      <c r="A105" s="21">
        <v>46013</v>
      </c>
      <c r="B105">
        <v>99.087500000000006</v>
      </c>
    </row>
    <row r="106" spans="1:5" x14ac:dyDescent="0.25">
      <c r="A106" s="21">
        <v>46020</v>
      </c>
      <c r="B106">
        <v>99.685000000000002</v>
      </c>
    </row>
    <row r="107" spans="1:5" x14ac:dyDescent="0.25">
      <c r="A107" s="21">
        <v>46027</v>
      </c>
      <c r="B107">
        <v>99.316000000000003</v>
      </c>
    </row>
    <row r="108" spans="1:5" x14ac:dyDescent="0.25">
      <c r="A108" s="21">
        <v>46034</v>
      </c>
      <c r="B108">
        <v>101.38</v>
      </c>
    </row>
    <row r="109" spans="1:5" x14ac:dyDescent="0.25">
      <c r="A109" s="21">
        <v>46041</v>
      </c>
      <c r="B109">
        <v>103.985</v>
      </c>
    </row>
    <row r="110" spans="1:5" x14ac:dyDescent="0.25">
      <c r="A110" s="21">
        <v>46048</v>
      </c>
      <c r="B110">
        <v>105.542</v>
      </c>
    </row>
    <row r="111" spans="1:5" ht="15.75" thickBot="1" x14ac:dyDescent="0.3">
      <c r="A111" s="21">
        <v>46055</v>
      </c>
      <c r="B111">
        <v>107.492</v>
      </c>
    </row>
    <row r="112" spans="1:5" ht="15.75" thickBot="1" x14ac:dyDescent="0.3">
      <c r="A112" s="21">
        <v>46062</v>
      </c>
      <c r="C112">
        <f>_xlfn.FORECAST.ETS(Forecast[[#This Row],[Week]],B2:B111,A2:A111,1,1,1)</f>
        <v>106.46826186045647</v>
      </c>
      <c r="D112">
        <v>106.091143284041</v>
      </c>
      <c r="E112" s="24">
        <v>104.627629</v>
      </c>
    </row>
    <row r="113" spans="1:5" ht="15.75" thickBot="1" x14ac:dyDescent="0.3">
      <c r="A113" s="21">
        <v>46069</v>
      </c>
      <c r="C113">
        <f>_xlfn.FORECAST.ETS(Forecast[[#This Row],[Week]],B3:B112,A3:A112,1,1,1)</f>
        <v>105.37055714670956</v>
      </c>
      <c r="D113">
        <v>108.864403090612</v>
      </c>
      <c r="E113" s="25">
        <v>104.676574</v>
      </c>
    </row>
    <row r="114" spans="1:5" ht="15.75" thickBot="1" x14ac:dyDescent="0.3">
      <c r="A114" s="21">
        <v>46076</v>
      </c>
      <c r="C114">
        <f>_xlfn.FORECAST.ETS(Forecast[[#This Row],[Week]],B4:B113,A4:A113,1,1,1)</f>
        <v>103.37095172963238</v>
      </c>
      <c r="D114">
        <v>108.904168002739</v>
      </c>
      <c r="E114" s="24">
        <v>107.613495</v>
      </c>
    </row>
    <row r="115" spans="1:5" ht="15.75" thickBot="1" x14ac:dyDescent="0.3">
      <c r="A115" s="21">
        <v>46083</v>
      </c>
      <c r="C115">
        <f>_xlfn.FORECAST.ETS(Forecast[[#This Row],[Week]],B5:B114,A5:A114,1,1,1)</f>
        <v>103.17076985713925</v>
      </c>
      <c r="D115">
        <v>108.543550386899</v>
      </c>
      <c r="E115" s="25">
        <v>107.744578</v>
      </c>
    </row>
    <row r="116" spans="1:5" ht="15.75" thickBot="1" x14ac:dyDescent="0.3">
      <c r="A116" s="21">
        <v>46090</v>
      </c>
      <c r="C116">
        <f>_xlfn.FORECAST.ETS(Forecast[[#This Row],[Week]],B6:B115,A6:A115,1,1,1)</f>
        <v>102.49552625562917</v>
      </c>
      <c r="D116">
        <v>108.723662466533</v>
      </c>
      <c r="E116" s="24">
        <v>107.87566099999999</v>
      </c>
    </row>
    <row r="117" spans="1:5" ht="15.75" thickBot="1" x14ac:dyDescent="0.3">
      <c r="A117" s="21">
        <v>46097</v>
      </c>
      <c r="C117">
        <f>_xlfn.FORECAST.ETS(Forecast[[#This Row],[Week]],B7:B116,A7:A116,1,1,1)</f>
        <v>101.94388420718269</v>
      </c>
      <c r="D117">
        <v>108.999348865306</v>
      </c>
      <c r="E117" s="25">
        <v>108.006743</v>
      </c>
    </row>
    <row r="118" spans="1:5" ht="15.75" thickBot="1" x14ac:dyDescent="0.3">
      <c r="A118" s="21">
        <v>46104</v>
      </c>
      <c r="C118">
        <f>_xlfn.FORECAST.ETS(Forecast[[#This Row],[Week]],B8:B117,A8:A117,1,1,1)</f>
        <v>102.28562654015926</v>
      </c>
      <c r="D118">
        <v>109.11481116199499</v>
      </c>
      <c r="E118" s="24">
        <v>108.13782500000001</v>
      </c>
    </row>
    <row r="119" spans="1:5" ht="15.75" thickBot="1" x14ac:dyDescent="0.3">
      <c r="A119" s="21">
        <v>46111</v>
      </c>
      <c r="C119">
        <f>_xlfn.FORECAST.ETS(Forecast[[#This Row],[Week]],B9:B118,A9:A118,1,1,1)</f>
        <v>97.037318534831314</v>
      </c>
      <c r="D119">
        <v>108.47222195885701</v>
      </c>
      <c r="E119" s="25">
        <v>108.268908</v>
      </c>
    </row>
    <row r="120" spans="1:5" ht="15.75" thickBot="1" x14ac:dyDescent="0.3">
      <c r="A120" s="21">
        <v>46118</v>
      </c>
      <c r="C120">
        <f>_xlfn.FORECAST.ETS(Forecast[[#This Row],[Week]],B10:B119,A10:A119,1,1,1)</f>
        <v>97.484922789214565</v>
      </c>
      <c r="D120">
        <v>112.38422261658501</v>
      </c>
      <c r="E120" s="24">
        <v>108.39999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4F94-30C5-4744-9A39-28C356764337}">
  <dimension ref="A1:B105"/>
  <sheetViews>
    <sheetView topLeftCell="A9" workbookViewId="0">
      <selection activeCell="B1" activeCellId="1" sqref="A1:A1048576 B1:B1048576"/>
    </sheetView>
  </sheetViews>
  <sheetFormatPr defaultRowHeight="15" x14ac:dyDescent="0.25"/>
  <cols>
    <col min="1" max="1" width="20.7109375" style="23" customWidth="1"/>
  </cols>
  <sheetData>
    <row r="1" spans="1:2" x14ac:dyDescent="0.25">
      <c r="A1" s="22" t="s">
        <v>47</v>
      </c>
      <c r="B1" s="22" t="s">
        <v>48</v>
      </c>
    </row>
    <row r="2" spans="1:2" x14ac:dyDescent="0.25">
      <c r="A2" s="23">
        <v>36570</v>
      </c>
      <c r="B2">
        <v>0.54500000000000004</v>
      </c>
    </row>
    <row r="3" spans="1:2" x14ac:dyDescent="0.25">
      <c r="A3" s="23">
        <v>36661</v>
      </c>
      <c r="B3">
        <v>0.54500000000000004</v>
      </c>
    </row>
    <row r="4" spans="1:2" x14ac:dyDescent="0.25">
      <c r="A4" s="23">
        <v>36752</v>
      </c>
      <c r="B4">
        <v>0.54500000000000004</v>
      </c>
    </row>
    <row r="5" spans="1:2" x14ac:dyDescent="0.25">
      <c r="A5" s="23">
        <v>36843</v>
      </c>
      <c r="B5">
        <v>0.54500000000000004</v>
      </c>
    </row>
    <row r="6" spans="1:2" x14ac:dyDescent="0.25">
      <c r="A6" s="23">
        <v>36934</v>
      </c>
      <c r="B6">
        <v>0.55000000000000004</v>
      </c>
    </row>
    <row r="7" spans="1:2" x14ac:dyDescent="0.25">
      <c r="A7" s="23">
        <v>37025</v>
      </c>
      <c r="B7">
        <v>0.55000000000000004</v>
      </c>
    </row>
    <row r="8" spans="1:2" x14ac:dyDescent="0.25">
      <c r="A8" s="23">
        <v>37116</v>
      </c>
      <c r="B8">
        <v>0.55000000000000004</v>
      </c>
    </row>
    <row r="9" spans="1:2" x14ac:dyDescent="0.25">
      <c r="A9" s="23">
        <v>37204</v>
      </c>
      <c r="B9">
        <v>0.55000000000000004</v>
      </c>
    </row>
    <row r="10" spans="1:2" x14ac:dyDescent="0.25">
      <c r="A10" s="23">
        <v>37298</v>
      </c>
      <c r="B10">
        <v>0.55500000000000005</v>
      </c>
    </row>
    <row r="11" spans="1:2" x14ac:dyDescent="0.25">
      <c r="A11" s="23">
        <v>37389</v>
      </c>
      <c r="B11">
        <v>0.55500000000000005</v>
      </c>
    </row>
    <row r="12" spans="1:2" x14ac:dyDescent="0.25">
      <c r="A12" s="23">
        <v>37480</v>
      </c>
      <c r="B12">
        <v>0.55500000000000005</v>
      </c>
    </row>
    <row r="13" spans="1:2" x14ac:dyDescent="0.25">
      <c r="A13" s="23">
        <v>37568</v>
      </c>
      <c r="B13">
        <v>0.55500000000000005</v>
      </c>
    </row>
    <row r="14" spans="1:2" x14ac:dyDescent="0.25">
      <c r="A14" s="23">
        <v>37662</v>
      </c>
      <c r="B14">
        <v>0.56000000000000005</v>
      </c>
    </row>
    <row r="15" spans="1:2" x14ac:dyDescent="0.25">
      <c r="A15" s="23">
        <v>37753</v>
      </c>
      <c r="B15">
        <v>0.56000000000000005</v>
      </c>
    </row>
    <row r="16" spans="1:2" x14ac:dyDescent="0.25">
      <c r="A16" s="23">
        <v>37844</v>
      </c>
      <c r="B16">
        <v>0.56000000000000005</v>
      </c>
    </row>
    <row r="17" spans="1:2" x14ac:dyDescent="0.25">
      <c r="A17" s="23">
        <v>37932</v>
      </c>
      <c r="B17">
        <v>0.56000000000000005</v>
      </c>
    </row>
    <row r="18" spans="1:2" x14ac:dyDescent="0.25">
      <c r="A18" s="23">
        <v>38026</v>
      </c>
      <c r="B18">
        <v>0.56499999999999995</v>
      </c>
    </row>
    <row r="19" spans="1:2" x14ac:dyDescent="0.25">
      <c r="A19" s="23">
        <v>38117</v>
      </c>
      <c r="B19">
        <v>0.56499999999999995</v>
      </c>
    </row>
    <row r="20" spans="1:2" x14ac:dyDescent="0.25">
      <c r="A20" s="23">
        <v>38208</v>
      </c>
      <c r="B20">
        <v>0.56499999999999995</v>
      </c>
    </row>
    <row r="21" spans="1:2" x14ac:dyDescent="0.25">
      <c r="A21" s="23">
        <v>38299</v>
      </c>
      <c r="B21">
        <v>0.56499999999999995</v>
      </c>
    </row>
    <row r="22" spans="1:2" x14ac:dyDescent="0.25">
      <c r="A22" s="23">
        <v>38397</v>
      </c>
      <c r="B22">
        <v>0.56999999999999995</v>
      </c>
    </row>
    <row r="23" spans="1:2" x14ac:dyDescent="0.25">
      <c r="A23" s="23">
        <v>38488</v>
      </c>
      <c r="B23">
        <v>0.56999999999999995</v>
      </c>
    </row>
    <row r="24" spans="1:2" x14ac:dyDescent="0.25">
      <c r="A24" s="23">
        <v>38579</v>
      </c>
      <c r="B24">
        <v>0.56999999999999995</v>
      </c>
    </row>
    <row r="25" spans="1:2" x14ac:dyDescent="0.25">
      <c r="A25" s="23">
        <v>38670</v>
      </c>
      <c r="B25">
        <v>0.56999999999999995</v>
      </c>
    </row>
    <row r="26" spans="1:2" x14ac:dyDescent="0.25">
      <c r="A26" s="23">
        <v>38761</v>
      </c>
      <c r="B26">
        <v>0.57499999999999996</v>
      </c>
    </row>
    <row r="27" spans="1:2" x14ac:dyDescent="0.25">
      <c r="A27" s="23">
        <v>38848</v>
      </c>
      <c r="B27">
        <v>0.57499999999999996</v>
      </c>
    </row>
    <row r="28" spans="1:2" x14ac:dyDescent="0.25">
      <c r="A28" s="23">
        <v>38943</v>
      </c>
      <c r="B28">
        <v>0.57499999999999996</v>
      </c>
    </row>
    <row r="29" spans="1:2" x14ac:dyDescent="0.25">
      <c r="A29" s="23">
        <v>39034</v>
      </c>
      <c r="B29">
        <v>0.57499999999999996</v>
      </c>
    </row>
    <row r="30" spans="1:2" x14ac:dyDescent="0.25">
      <c r="A30" s="23">
        <v>39125</v>
      </c>
      <c r="B30">
        <v>0.57999999999999996</v>
      </c>
    </row>
    <row r="31" spans="1:2" x14ac:dyDescent="0.25">
      <c r="A31" s="23">
        <v>39216</v>
      </c>
      <c r="B31">
        <v>0.57999999999999996</v>
      </c>
    </row>
    <row r="32" spans="1:2" x14ac:dyDescent="0.25">
      <c r="A32" s="23">
        <v>39307</v>
      </c>
      <c r="B32">
        <v>0.57999999999999996</v>
      </c>
    </row>
    <row r="33" spans="1:2" x14ac:dyDescent="0.25">
      <c r="A33" s="23">
        <v>39395</v>
      </c>
      <c r="B33">
        <v>0.57999999999999996</v>
      </c>
    </row>
    <row r="34" spans="1:2" x14ac:dyDescent="0.25">
      <c r="A34" s="23">
        <v>39489</v>
      </c>
      <c r="B34">
        <v>0.58499999999999996</v>
      </c>
    </row>
    <row r="35" spans="1:2" x14ac:dyDescent="0.25">
      <c r="A35" s="23">
        <v>39580</v>
      </c>
      <c r="B35">
        <v>0.58499999999999996</v>
      </c>
    </row>
    <row r="36" spans="1:2" x14ac:dyDescent="0.25">
      <c r="A36" s="23">
        <v>39671</v>
      </c>
      <c r="B36">
        <v>0.58499999999999996</v>
      </c>
    </row>
    <row r="37" spans="1:2" x14ac:dyDescent="0.25">
      <c r="A37" s="23">
        <v>39759</v>
      </c>
      <c r="B37">
        <v>0.58499999999999996</v>
      </c>
    </row>
    <row r="38" spans="1:2" x14ac:dyDescent="0.25">
      <c r="A38" s="23">
        <v>39857</v>
      </c>
      <c r="B38">
        <v>0.59</v>
      </c>
    </row>
    <row r="39" spans="1:2" x14ac:dyDescent="0.25">
      <c r="A39" s="23">
        <v>39944</v>
      </c>
      <c r="B39">
        <v>0.59</v>
      </c>
    </row>
    <row r="40" spans="1:2" x14ac:dyDescent="0.25">
      <c r="A40" s="23">
        <v>40042</v>
      </c>
      <c r="B40">
        <v>0.59</v>
      </c>
    </row>
    <row r="41" spans="1:2" x14ac:dyDescent="0.25">
      <c r="A41" s="23">
        <v>40133</v>
      </c>
      <c r="B41">
        <v>0.59</v>
      </c>
    </row>
    <row r="42" spans="1:2" x14ac:dyDescent="0.25">
      <c r="A42" s="23">
        <v>40221</v>
      </c>
      <c r="B42">
        <v>0.59499999999999997</v>
      </c>
    </row>
    <row r="43" spans="1:2" x14ac:dyDescent="0.25">
      <c r="A43" s="23">
        <v>40308</v>
      </c>
      <c r="B43">
        <v>0.59499999999999997</v>
      </c>
    </row>
    <row r="44" spans="1:2" x14ac:dyDescent="0.25">
      <c r="A44" s="23">
        <v>40406</v>
      </c>
      <c r="B44">
        <v>0.59499999999999997</v>
      </c>
    </row>
    <row r="45" spans="1:2" x14ac:dyDescent="0.25">
      <c r="A45" s="23">
        <v>40497</v>
      </c>
      <c r="B45">
        <v>0.59499999999999997</v>
      </c>
    </row>
    <row r="46" spans="1:2" x14ac:dyDescent="0.25">
      <c r="A46" s="23">
        <v>40588</v>
      </c>
      <c r="B46">
        <v>0.6</v>
      </c>
    </row>
    <row r="47" spans="1:2" x14ac:dyDescent="0.25">
      <c r="A47" s="23">
        <v>40679</v>
      </c>
      <c r="B47">
        <v>0.6</v>
      </c>
    </row>
    <row r="48" spans="1:2" x14ac:dyDescent="0.25">
      <c r="A48" s="23">
        <v>40770</v>
      </c>
      <c r="B48">
        <v>0.6</v>
      </c>
    </row>
    <row r="49" spans="1:2" x14ac:dyDescent="0.25">
      <c r="A49" s="23">
        <v>40861</v>
      </c>
      <c r="B49">
        <v>0.6</v>
      </c>
    </row>
    <row r="50" spans="1:2" x14ac:dyDescent="0.25">
      <c r="A50" s="23">
        <v>40952</v>
      </c>
      <c r="B50">
        <v>0.60499999999999998</v>
      </c>
    </row>
    <row r="51" spans="1:2" x14ac:dyDescent="0.25">
      <c r="A51" s="23">
        <v>41043</v>
      </c>
      <c r="B51">
        <v>0.60499999999999998</v>
      </c>
    </row>
    <row r="52" spans="1:2" x14ac:dyDescent="0.25">
      <c r="A52" s="23">
        <v>41134</v>
      </c>
      <c r="B52">
        <v>0.60499999999999998</v>
      </c>
    </row>
    <row r="53" spans="1:2" x14ac:dyDescent="0.25">
      <c r="A53" s="23">
        <v>41222</v>
      </c>
      <c r="B53">
        <v>0.60499999999999998</v>
      </c>
    </row>
    <row r="54" spans="1:2" x14ac:dyDescent="0.25">
      <c r="A54" s="23">
        <v>41316</v>
      </c>
      <c r="B54">
        <v>0.61499999999999999</v>
      </c>
    </row>
    <row r="55" spans="1:2" x14ac:dyDescent="0.25">
      <c r="A55" s="23">
        <v>41407</v>
      </c>
      <c r="B55">
        <v>0.61499999999999999</v>
      </c>
    </row>
    <row r="56" spans="1:2" x14ac:dyDescent="0.25">
      <c r="A56" s="23">
        <v>41498</v>
      </c>
      <c r="B56">
        <v>0.61499999999999999</v>
      </c>
    </row>
    <row r="57" spans="1:2" x14ac:dyDescent="0.25">
      <c r="A57" s="23">
        <v>41586</v>
      </c>
      <c r="B57">
        <v>0.61499999999999999</v>
      </c>
    </row>
    <row r="58" spans="1:2" x14ac:dyDescent="0.25">
      <c r="A58" s="23">
        <v>41680</v>
      </c>
      <c r="B58">
        <v>0.63</v>
      </c>
    </row>
    <row r="59" spans="1:2" x14ac:dyDescent="0.25">
      <c r="A59" s="23">
        <v>41771</v>
      </c>
      <c r="B59">
        <v>0.63</v>
      </c>
    </row>
    <row r="60" spans="1:2" x14ac:dyDescent="0.25">
      <c r="A60" s="23">
        <v>41862</v>
      </c>
      <c r="B60">
        <v>0.63</v>
      </c>
    </row>
    <row r="61" spans="1:2" x14ac:dyDescent="0.25">
      <c r="A61" s="23">
        <v>41950</v>
      </c>
      <c r="B61">
        <v>0.63</v>
      </c>
    </row>
    <row r="62" spans="1:2" x14ac:dyDescent="0.25">
      <c r="A62" s="23">
        <v>42048</v>
      </c>
      <c r="B62">
        <v>0.65</v>
      </c>
    </row>
    <row r="63" spans="1:2" x14ac:dyDescent="0.25">
      <c r="A63" s="23">
        <v>42142</v>
      </c>
      <c r="B63">
        <v>0.65</v>
      </c>
    </row>
    <row r="64" spans="1:2" x14ac:dyDescent="0.25">
      <c r="A64" s="23">
        <v>42233</v>
      </c>
      <c r="B64">
        <v>0.65</v>
      </c>
    </row>
    <row r="65" spans="1:2" x14ac:dyDescent="0.25">
      <c r="A65" s="23">
        <v>42324</v>
      </c>
      <c r="B65">
        <v>0.65</v>
      </c>
    </row>
    <row r="66" spans="1:2" x14ac:dyDescent="0.25">
      <c r="A66" s="23">
        <v>42412</v>
      </c>
      <c r="B66">
        <v>0.67</v>
      </c>
    </row>
    <row r="67" spans="1:2" x14ac:dyDescent="0.25">
      <c r="A67" s="23">
        <v>42506</v>
      </c>
      <c r="B67">
        <v>0.67</v>
      </c>
    </row>
    <row r="68" spans="1:2" x14ac:dyDescent="0.25">
      <c r="A68" s="23">
        <v>42597</v>
      </c>
      <c r="B68">
        <v>0.67</v>
      </c>
    </row>
    <row r="69" spans="1:2" x14ac:dyDescent="0.25">
      <c r="A69" s="23">
        <v>42688</v>
      </c>
      <c r="B69">
        <v>0.67</v>
      </c>
    </row>
    <row r="70" spans="1:2" x14ac:dyDescent="0.25">
      <c r="A70" s="23">
        <v>42779</v>
      </c>
      <c r="B70">
        <v>0.69</v>
      </c>
    </row>
    <row r="71" spans="1:2" x14ac:dyDescent="0.25">
      <c r="A71" s="23">
        <v>42870</v>
      </c>
      <c r="B71">
        <v>0.69</v>
      </c>
    </row>
    <row r="72" spans="1:2" x14ac:dyDescent="0.25">
      <c r="A72" s="23">
        <v>42961</v>
      </c>
      <c r="B72">
        <v>0.69</v>
      </c>
    </row>
    <row r="73" spans="1:2" x14ac:dyDescent="0.25">
      <c r="A73" s="23">
        <v>43053</v>
      </c>
      <c r="B73">
        <v>0.69</v>
      </c>
    </row>
    <row r="74" spans="1:2" x14ac:dyDescent="0.25">
      <c r="A74" s="23">
        <v>43144</v>
      </c>
      <c r="B74">
        <v>0.71499999999999997</v>
      </c>
    </row>
    <row r="75" spans="1:2" x14ac:dyDescent="0.25">
      <c r="A75" s="23">
        <v>43235</v>
      </c>
      <c r="B75">
        <v>0.71499999999999997</v>
      </c>
    </row>
    <row r="76" spans="1:2" x14ac:dyDescent="0.25">
      <c r="A76" s="23">
        <v>43326</v>
      </c>
      <c r="B76">
        <v>0.71499999999999997</v>
      </c>
    </row>
    <row r="77" spans="1:2" x14ac:dyDescent="0.25">
      <c r="A77" s="23">
        <v>43417</v>
      </c>
      <c r="B77">
        <v>0.71499999999999997</v>
      </c>
    </row>
    <row r="78" spans="1:2" x14ac:dyDescent="0.25">
      <c r="A78" s="23">
        <v>43508</v>
      </c>
      <c r="B78">
        <v>0.74</v>
      </c>
    </row>
    <row r="79" spans="1:2" x14ac:dyDescent="0.25">
      <c r="A79" s="23">
        <v>43599</v>
      </c>
      <c r="B79">
        <v>0.74</v>
      </c>
    </row>
    <row r="80" spans="1:2" x14ac:dyDescent="0.25">
      <c r="A80" s="23">
        <v>43690</v>
      </c>
      <c r="B80">
        <v>0.74</v>
      </c>
    </row>
    <row r="81" spans="1:2" x14ac:dyDescent="0.25">
      <c r="A81" s="23">
        <v>43781</v>
      </c>
      <c r="B81">
        <v>0.74</v>
      </c>
    </row>
    <row r="82" spans="1:2" x14ac:dyDescent="0.25">
      <c r="A82" s="23">
        <v>43879</v>
      </c>
      <c r="B82">
        <v>0.76500000000000001</v>
      </c>
    </row>
    <row r="83" spans="1:2" x14ac:dyDescent="0.25">
      <c r="A83" s="23">
        <v>43963</v>
      </c>
      <c r="B83">
        <v>0.76500000000000001</v>
      </c>
    </row>
    <row r="84" spans="1:2" x14ac:dyDescent="0.25">
      <c r="A84" s="23">
        <v>44061</v>
      </c>
      <c r="B84">
        <v>0.76500000000000001</v>
      </c>
    </row>
    <row r="85" spans="1:2" x14ac:dyDescent="0.25">
      <c r="A85" s="23">
        <v>44152</v>
      </c>
      <c r="B85">
        <v>0.76500000000000001</v>
      </c>
    </row>
    <row r="86" spans="1:2" x14ac:dyDescent="0.25">
      <c r="A86" s="23">
        <v>44243</v>
      </c>
      <c r="B86">
        <v>0.77500000000000002</v>
      </c>
    </row>
    <row r="87" spans="1:2" x14ac:dyDescent="0.25">
      <c r="A87" s="23">
        <v>44334</v>
      </c>
      <c r="B87">
        <v>0.77500000000000002</v>
      </c>
    </row>
    <row r="88" spans="1:2" x14ac:dyDescent="0.25">
      <c r="A88" s="23">
        <v>44425</v>
      </c>
      <c r="B88">
        <v>0.77500000000000002</v>
      </c>
    </row>
    <row r="89" spans="1:2" x14ac:dyDescent="0.25">
      <c r="A89" s="23">
        <v>44516</v>
      </c>
      <c r="B89">
        <v>0.77500000000000002</v>
      </c>
    </row>
    <row r="90" spans="1:2" x14ac:dyDescent="0.25">
      <c r="A90" s="23">
        <v>44607</v>
      </c>
      <c r="B90">
        <v>0.79</v>
      </c>
    </row>
    <row r="91" spans="1:2" x14ac:dyDescent="0.25">
      <c r="A91" s="23">
        <v>44698</v>
      </c>
      <c r="B91">
        <v>0.79</v>
      </c>
    </row>
    <row r="92" spans="1:2" x14ac:dyDescent="0.25">
      <c r="A92" s="23">
        <v>44789</v>
      </c>
      <c r="B92">
        <v>0.79</v>
      </c>
    </row>
    <row r="93" spans="1:2" x14ac:dyDescent="0.25">
      <c r="A93" s="23">
        <v>44880</v>
      </c>
      <c r="B93">
        <v>0.79</v>
      </c>
    </row>
    <row r="94" spans="1:2" x14ac:dyDescent="0.25">
      <c r="A94" s="23">
        <v>44971</v>
      </c>
      <c r="B94">
        <v>0.81</v>
      </c>
    </row>
    <row r="95" spans="1:2" x14ac:dyDescent="0.25">
      <c r="A95" s="23">
        <v>45062</v>
      </c>
      <c r="B95">
        <v>0.81</v>
      </c>
    </row>
    <row r="96" spans="1:2" x14ac:dyDescent="0.25">
      <c r="A96" s="23">
        <v>45153</v>
      </c>
      <c r="B96">
        <v>0.81</v>
      </c>
    </row>
    <row r="97" spans="1:2" x14ac:dyDescent="0.25">
      <c r="A97" s="23">
        <v>45244</v>
      </c>
      <c r="B97">
        <v>0.81</v>
      </c>
    </row>
    <row r="98" spans="1:2" x14ac:dyDescent="0.25">
      <c r="A98" s="23">
        <v>45335</v>
      </c>
      <c r="B98">
        <v>0.83</v>
      </c>
    </row>
    <row r="99" spans="1:2" x14ac:dyDescent="0.25">
      <c r="A99" s="23">
        <v>45426</v>
      </c>
      <c r="B99">
        <v>0.83</v>
      </c>
    </row>
    <row r="100" spans="1:2" x14ac:dyDescent="0.25">
      <c r="A100" s="23">
        <v>45518</v>
      </c>
      <c r="B100">
        <v>0.83</v>
      </c>
    </row>
    <row r="101" spans="1:2" x14ac:dyDescent="0.25">
      <c r="A101" s="23">
        <v>45609</v>
      </c>
      <c r="B101">
        <v>0.83</v>
      </c>
    </row>
    <row r="102" spans="1:2" x14ac:dyDescent="0.25">
      <c r="A102" s="23">
        <v>45707</v>
      </c>
      <c r="B102">
        <v>0.85</v>
      </c>
    </row>
    <row r="103" spans="1:2" x14ac:dyDescent="0.25">
      <c r="A103" s="23">
        <v>45791</v>
      </c>
      <c r="B103">
        <v>0.85</v>
      </c>
    </row>
    <row r="104" spans="1:2" x14ac:dyDescent="0.25">
      <c r="A104" s="23">
        <v>45882</v>
      </c>
      <c r="B104">
        <v>0.85</v>
      </c>
    </row>
    <row r="105" spans="1:2" x14ac:dyDescent="0.25">
      <c r="A105" s="23">
        <v>45980</v>
      </c>
      <c r="B105">
        <v>0.85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Dashboard</vt:lpstr>
      <vt:lpstr>Data</vt:lpstr>
      <vt:lpstr>Weekly</vt:lpstr>
      <vt:lpstr>Forecast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2026-02-19T02:46:15Z</dcterms:modified>
</cp:coreProperties>
</file>