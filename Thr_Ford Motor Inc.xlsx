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9EC1B656-6C55-4AA0-A912-91DD03C6FD42}" xr6:coauthVersionLast="47" xr6:coauthVersionMax="47" xr10:uidLastSave="{00000000-0000-0000-0000-000000000000}"/>
  <bookViews>
    <workbookView xWindow="5520" yWindow="180" windowWidth="7500" windowHeight="10620" activeTab="4" xr2:uid="{92AFEA67-FCE1-458C-9A7E-ADF426D7B024}"/>
  </bookViews>
  <sheets>
    <sheet name="Intro" sheetId="10" r:id="rId1"/>
    <sheet name="Weekly" sheetId="13" r:id="rId2"/>
    <sheet name="Data" sheetId="1" r:id="rId3"/>
    <sheet name="Formula" sheetId="11" r:id="rId4"/>
    <sheet name="Dashboard" sheetId="7" r:id="rId5"/>
  </sheets>
  <definedNames>
    <definedName name="data">Data!$1:$1048576</definedName>
    <definedName name="ExternalData_1" localSheetId="1" hidden="1">Weekly!$A$1:$B$120</definedName>
    <definedName name="FromArray_1">_xlfn.ANCHORARRAY(Data!$A$1)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" i="13" l="1"/>
  <c r="F110" i="13"/>
  <c r="F111" i="13"/>
  <c r="F112" i="13"/>
  <c r="F113" i="13"/>
  <c r="F114" i="13"/>
  <c r="F115" i="13"/>
  <c r="F116" i="13"/>
  <c r="F117" i="13"/>
  <c r="F118" i="13"/>
  <c r="F119" i="13"/>
  <c r="F120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AD2" i="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X514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15" i="1"/>
  <c r="C111" i="11"/>
  <c r="C109" i="11"/>
  <c r="C120" i="11"/>
  <c r="C119" i="11"/>
  <c r="C112" i="11"/>
  <c r="C110" i="11"/>
  <c r="C116" i="11"/>
  <c r="C113" i="11"/>
  <c r="C114" i="11"/>
  <c r="C115" i="11"/>
  <c r="C118" i="11"/>
  <c r="C117" i="11"/>
  <c r="D110" i="11"/>
  <c r="D111" i="11"/>
  <c r="D119" i="11"/>
  <c r="D112" i="11"/>
  <c r="D120" i="11"/>
  <c r="D113" i="11"/>
  <c r="D114" i="11"/>
  <c r="D116" i="11"/>
  <c r="D115" i="11"/>
  <c r="D117" i="11"/>
  <c r="D118" i="11"/>
  <c r="D109" i="11"/>
  <c r="D110" i="13"/>
  <c r="D118" i="13"/>
  <c r="D111" i="13"/>
  <c r="D119" i="13"/>
  <c r="D112" i="13"/>
  <c r="D120" i="13"/>
  <c r="D113" i="13"/>
  <c r="D114" i="13"/>
  <c r="D115" i="13"/>
  <c r="D116" i="13"/>
  <c r="D117" i="13"/>
  <c r="C110" i="13"/>
  <c r="C118" i="13"/>
  <c r="C111" i="13"/>
  <c r="C119" i="13"/>
  <c r="C112" i="13"/>
  <c r="C120" i="13"/>
  <c r="C113" i="13"/>
  <c r="C114" i="13"/>
  <c r="C115" i="13"/>
  <c r="C116" i="13"/>
  <c r="C117" i="13"/>
  <c r="D109" i="13"/>
  <c r="C109" i="13"/>
  <c r="A1" i="1" a="1"/>
  <c r="A1" i="1" l="1"/>
  <c r="AB4" i="1"/>
  <c r="AB12" i="1"/>
  <c r="AB20" i="1"/>
  <c r="AB28" i="1"/>
  <c r="AB36" i="1"/>
  <c r="AB44" i="1"/>
  <c r="AB52" i="1"/>
  <c r="AB60" i="1"/>
  <c r="AB68" i="1"/>
  <c r="AB76" i="1"/>
  <c r="AB84" i="1"/>
  <c r="AB92" i="1"/>
  <c r="AB100" i="1"/>
  <c r="AB108" i="1"/>
  <c r="AB116" i="1"/>
  <c r="AB124" i="1"/>
  <c r="AB132" i="1"/>
  <c r="AB140" i="1"/>
  <c r="AB148" i="1"/>
  <c r="AB156" i="1"/>
  <c r="AB164" i="1"/>
  <c r="AB172" i="1"/>
  <c r="AB180" i="1"/>
  <c r="AB188" i="1"/>
  <c r="AB196" i="1"/>
  <c r="AB204" i="1"/>
  <c r="AB212" i="1"/>
  <c r="AB220" i="1"/>
  <c r="AB228" i="1"/>
  <c r="AB236" i="1"/>
  <c r="AB244" i="1"/>
  <c r="AB252" i="1"/>
  <c r="AB260" i="1"/>
  <c r="AB268" i="1"/>
  <c r="AB276" i="1"/>
  <c r="AB284" i="1"/>
  <c r="AB292" i="1"/>
  <c r="AB300" i="1"/>
  <c r="AB308" i="1"/>
  <c r="AB316" i="1"/>
  <c r="AB324" i="1"/>
  <c r="AB332" i="1"/>
  <c r="AB340" i="1"/>
  <c r="AB348" i="1"/>
  <c r="AB356" i="1"/>
  <c r="AB364" i="1"/>
  <c r="AB372" i="1"/>
  <c r="AB380" i="1"/>
  <c r="AB388" i="1"/>
  <c r="AB396" i="1"/>
  <c r="AB404" i="1"/>
  <c r="AB412" i="1"/>
  <c r="AB420" i="1"/>
  <c r="AB428" i="1"/>
  <c r="AB436" i="1"/>
  <c r="AB444" i="1"/>
  <c r="AB452" i="1"/>
  <c r="AB460" i="1"/>
  <c r="AB468" i="1"/>
  <c r="AB476" i="1"/>
  <c r="AB484" i="1"/>
  <c r="AB492" i="1"/>
  <c r="AB500" i="1"/>
  <c r="AB508" i="1"/>
  <c r="AB50" i="1"/>
  <c r="AB170" i="1"/>
  <c r="AB250" i="1"/>
  <c r="AB298" i="1"/>
  <c r="AB354" i="1"/>
  <c r="AB426" i="1"/>
  <c r="AB466" i="1"/>
  <c r="AB5" i="1"/>
  <c r="AB13" i="1"/>
  <c r="AB21" i="1"/>
  <c r="AB29" i="1"/>
  <c r="AB37" i="1"/>
  <c r="AB45" i="1"/>
  <c r="AB53" i="1"/>
  <c r="AB61" i="1"/>
  <c r="AB69" i="1"/>
  <c r="AB77" i="1"/>
  <c r="AB85" i="1"/>
  <c r="AB93" i="1"/>
  <c r="AB101" i="1"/>
  <c r="AB109" i="1"/>
  <c r="AB117" i="1"/>
  <c r="AB125" i="1"/>
  <c r="AB133" i="1"/>
  <c r="AB141" i="1"/>
  <c r="AB149" i="1"/>
  <c r="AB157" i="1"/>
  <c r="AB165" i="1"/>
  <c r="AB173" i="1"/>
  <c r="AB181" i="1"/>
  <c r="AB189" i="1"/>
  <c r="AB197" i="1"/>
  <c r="AB205" i="1"/>
  <c r="AB213" i="1"/>
  <c r="AB221" i="1"/>
  <c r="AB229" i="1"/>
  <c r="AB237" i="1"/>
  <c r="AB245" i="1"/>
  <c r="AB253" i="1"/>
  <c r="AB261" i="1"/>
  <c r="AB269" i="1"/>
  <c r="AB277" i="1"/>
  <c r="AB285" i="1"/>
  <c r="AB293" i="1"/>
  <c r="AB301" i="1"/>
  <c r="AB309" i="1"/>
  <c r="AB317" i="1"/>
  <c r="AB325" i="1"/>
  <c r="AB333" i="1"/>
  <c r="AB341" i="1"/>
  <c r="AB349" i="1"/>
  <c r="AB357" i="1"/>
  <c r="AB365" i="1"/>
  <c r="AB373" i="1"/>
  <c r="AB381" i="1"/>
  <c r="AB389" i="1"/>
  <c r="AB397" i="1"/>
  <c r="AB405" i="1"/>
  <c r="AB413" i="1"/>
  <c r="AB421" i="1"/>
  <c r="AB429" i="1"/>
  <c r="AB437" i="1"/>
  <c r="AB445" i="1"/>
  <c r="AB453" i="1"/>
  <c r="AB461" i="1"/>
  <c r="AB469" i="1"/>
  <c r="AB477" i="1"/>
  <c r="AB485" i="1"/>
  <c r="AB493" i="1"/>
  <c r="AB501" i="1"/>
  <c r="AB509" i="1"/>
  <c r="AB42" i="1"/>
  <c r="AB6" i="1"/>
  <c r="AB14" i="1"/>
  <c r="AB22" i="1"/>
  <c r="AB30" i="1"/>
  <c r="AB38" i="1"/>
  <c r="AB46" i="1"/>
  <c r="AB54" i="1"/>
  <c r="AB62" i="1"/>
  <c r="AB70" i="1"/>
  <c r="AB78" i="1"/>
  <c r="AB86" i="1"/>
  <c r="AB94" i="1"/>
  <c r="AB102" i="1"/>
  <c r="AB110" i="1"/>
  <c r="AB118" i="1"/>
  <c r="AB126" i="1"/>
  <c r="AB134" i="1"/>
  <c r="AB142" i="1"/>
  <c r="AB150" i="1"/>
  <c r="AB158" i="1"/>
  <c r="AB166" i="1"/>
  <c r="AB174" i="1"/>
  <c r="AB182" i="1"/>
  <c r="AB190" i="1"/>
  <c r="AB198" i="1"/>
  <c r="AB206" i="1"/>
  <c r="AB214" i="1"/>
  <c r="AB222" i="1"/>
  <c r="AB230" i="1"/>
  <c r="AB238" i="1"/>
  <c r="AB246" i="1"/>
  <c r="AB254" i="1"/>
  <c r="AB262" i="1"/>
  <c r="AB270" i="1"/>
  <c r="AB278" i="1"/>
  <c r="AB286" i="1"/>
  <c r="AB294" i="1"/>
  <c r="AB302" i="1"/>
  <c r="AB310" i="1"/>
  <c r="AB318" i="1"/>
  <c r="AB326" i="1"/>
  <c r="AB334" i="1"/>
  <c r="AB342" i="1"/>
  <c r="AB350" i="1"/>
  <c r="AB358" i="1"/>
  <c r="AB366" i="1"/>
  <c r="AB374" i="1"/>
  <c r="AB382" i="1"/>
  <c r="AB390" i="1"/>
  <c r="AB398" i="1"/>
  <c r="AB406" i="1"/>
  <c r="AB414" i="1"/>
  <c r="AB422" i="1"/>
  <c r="AB430" i="1"/>
  <c r="AB438" i="1"/>
  <c r="AB446" i="1"/>
  <c r="AB454" i="1"/>
  <c r="AB462" i="1"/>
  <c r="AB470" i="1"/>
  <c r="AB478" i="1"/>
  <c r="AB486" i="1"/>
  <c r="AB494" i="1"/>
  <c r="AB502" i="1"/>
  <c r="AB510" i="1"/>
  <c r="AB18" i="1"/>
  <c r="AB90" i="1"/>
  <c r="AB122" i="1"/>
  <c r="AB162" i="1"/>
  <c r="AB194" i="1"/>
  <c r="AB210" i="1"/>
  <c r="AB266" i="1"/>
  <c r="AB330" i="1"/>
  <c r="AB378" i="1"/>
  <c r="AB394" i="1"/>
  <c r="AB442" i="1"/>
  <c r="AB498" i="1"/>
  <c r="AB7" i="1"/>
  <c r="AB15" i="1"/>
  <c r="AB23" i="1"/>
  <c r="AB31" i="1"/>
  <c r="AB39" i="1"/>
  <c r="AB47" i="1"/>
  <c r="AB55" i="1"/>
  <c r="AB63" i="1"/>
  <c r="AB71" i="1"/>
  <c r="AB79" i="1"/>
  <c r="AB87" i="1"/>
  <c r="AB95" i="1"/>
  <c r="AB103" i="1"/>
  <c r="AB111" i="1"/>
  <c r="AB119" i="1"/>
  <c r="AB127" i="1"/>
  <c r="AB135" i="1"/>
  <c r="AB143" i="1"/>
  <c r="AB151" i="1"/>
  <c r="AB159" i="1"/>
  <c r="AB167" i="1"/>
  <c r="AB175" i="1"/>
  <c r="AB183" i="1"/>
  <c r="AB191" i="1"/>
  <c r="AB199" i="1"/>
  <c r="AB207" i="1"/>
  <c r="AB215" i="1"/>
  <c r="AB223" i="1"/>
  <c r="AB231" i="1"/>
  <c r="AB239" i="1"/>
  <c r="AB247" i="1"/>
  <c r="AB255" i="1"/>
  <c r="AB263" i="1"/>
  <c r="AB271" i="1"/>
  <c r="AB279" i="1"/>
  <c r="AB287" i="1"/>
  <c r="AB295" i="1"/>
  <c r="AB303" i="1"/>
  <c r="AB311" i="1"/>
  <c r="AB319" i="1"/>
  <c r="AB327" i="1"/>
  <c r="AB335" i="1"/>
  <c r="AB343" i="1"/>
  <c r="AB351" i="1"/>
  <c r="AB359" i="1"/>
  <c r="AB367" i="1"/>
  <c r="AB375" i="1"/>
  <c r="AB383" i="1"/>
  <c r="AB391" i="1"/>
  <c r="AB399" i="1"/>
  <c r="AB407" i="1"/>
  <c r="AB415" i="1"/>
  <c r="AB423" i="1"/>
  <c r="AB431" i="1"/>
  <c r="AB439" i="1"/>
  <c r="AB447" i="1"/>
  <c r="AB455" i="1"/>
  <c r="AB463" i="1"/>
  <c r="AB471" i="1"/>
  <c r="AB479" i="1"/>
  <c r="AB487" i="1"/>
  <c r="AB495" i="1"/>
  <c r="AB503" i="1"/>
  <c r="AB511" i="1"/>
  <c r="AB34" i="1"/>
  <c r="AB154" i="1"/>
  <c r="AB242" i="1"/>
  <c r="AB306" i="1"/>
  <c r="AB370" i="1"/>
  <c r="AB418" i="1"/>
  <c r="AB474" i="1"/>
  <c r="AB506" i="1"/>
  <c r="AB8" i="1"/>
  <c r="AB16" i="1"/>
  <c r="AB24" i="1"/>
  <c r="AB32" i="1"/>
  <c r="AB40" i="1"/>
  <c r="AB48" i="1"/>
  <c r="AB56" i="1"/>
  <c r="AB64" i="1"/>
  <c r="AB72" i="1"/>
  <c r="AB80" i="1"/>
  <c r="AB88" i="1"/>
  <c r="AB96" i="1"/>
  <c r="AB104" i="1"/>
  <c r="AB112" i="1"/>
  <c r="AB120" i="1"/>
  <c r="AB128" i="1"/>
  <c r="AB136" i="1"/>
  <c r="AB144" i="1"/>
  <c r="AB152" i="1"/>
  <c r="AB160" i="1"/>
  <c r="AB168" i="1"/>
  <c r="AB176" i="1"/>
  <c r="AB184" i="1"/>
  <c r="AB192" i="1"/>
  <c r="AB200" i="1"/>
  <c r="AB208" i="1"/>
  <c r="AB216" i="1"/>
  <c r="AB224" i="1"/>
  <c r="AB232" i="1"/>
  <c r="AB240" i="1"/>
  <c r="AB248" i="1"/>
  <c r="AB256" i="1"/>
  <c r="AB264" i="1"/>
  <c r="AB272" i="1"/>
  <c r="AB280" i="1"/>
  <c r="AB288" i="1"/>
  <c r="AB296" i="1"/>
  <c r="AB304" i="1"/>
  <c r="AB312" i="1"/>
  <c r="AB320" i="1"/>
  <c r="AB328" i="1"/>
  <c r="AB336" i="1"/>
  <c r="AB344" i="1"/>
  <c r="AB352" i="1"/>
  <c r="AB360" i="1"/>
  <c r="AB368" i="1"/>
  <c r="AB376" i="1"/>
  <c r="AB384" i="1"/>
  <c r="AB392" i="1"/>
  <c r="AB400" i="1"/>
  <c r="AB408" i="1"/>
  <c r="AB416" i="1"/>
  <c r="AB424" i="1"/>
  <c r="AB432" i="1"/>
  <c r="AB440" i="1"/>
  <c r="AB448" i="1"/>
  <c r="AB456" i="1"/>
  <c r="AB464" i="1"/>
  <c r="AB472" i="1"/>
  <c r="AB480" i="1"/>
  <c r="AB488" i="1"/>
  <c r="AB496" i="1"/>
  <c r="AB504" i="1"/>
  <c r="AB512" i="1"/>
  <c r="AB26" i="1"/>
  <c r="AB74" i="1"/>
  <c r="AB98" i="1"/>
  <c r="AB146" i="1"/>
  <c r="AB202" i="1"/>
  <c r="AB234" i="1"/>
  <c r="AB274" i="1"/>
  <c r="AB322" i="1"/>
  <c r="AB362" i="1"/>
  <c r="AB402" i="1"/>
  <c r="AB450" i="1"/>
  <c r="AB490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77" i="1"/>
  <c r="AB185" i="1"/>
  <c r="AB193" i="1"/>
  <c r="AB201" i="1"/>
  <c r="AB209" i="1"/>
  <c r="AB217" i="1"/>
  <c r="AB225" i="1"/>
  <c r="AB233" i="1"/>
  <c r="AB241" i="1"/>
  <c r="AB249" i="1"/>
  <c r="AB257" i="1"/>
  <c r="AB265" i="1"/>
  <c r="AB273" i="1"/>
  <c r="AB281" i="1"/>
  <c r="AB289" i="1"/>
  <c r="AB297" i="1"/>
  <c r="AB305" i="1"/>
  <c r="AB313" i="1"/>
  <c r="AB321" i="1"/>
  <c r="AB329" i="1"/>
  <c r="AB337" i="1"/>
  <c r="AB345" i="1"/>
  <c r="AB353" i="1"/>
  <c r="AB361" i="1"/>
  <c r="AB369" i="1"/>
  <c r="AB377" i="1"/>
  <c r="AB385" i="1"/>
  <c r="AB393" i="1"/>
  <c r="AB401" i="1"/>
  <c r="AB409" i="1"/>
  <c r="AB417" i="1"/>
  <c r="AB425" i="1"/>
  <c r="AB433" i="1"/>
  <c r="AB441" i="1"/>
  <c r="AB449" i="1"/>
  <c r="AB457" i="1"/>
  <c r="AB465" i="1"/>
  <c r="AB473" i="1"/>
  <c r="AB481" i="1"/>
  <c r="AB489" i="1"/>
  <c r="AB497" i="1"/>
  <c r="AB505" i="1"/>
  <c r="AB513" i="1"/>
  <c r="AB10" i="1"/>
  <c r="AB106" i="1"/>
  <c r="AB130" i="1"/>
  <c r="AB178" i="1"/>
  <c r="AB218" i="1"/>
  <c r="AB258" i="1"/>
  <c r="AB290" i="1"/>
  <c r="AB346" i="1"/>
  <c r="AB410" i="1"/>
  <c r="AB458" i="1"/>
  <c r="AB11" i="1"/>
  <c r="AB19" i="1"/>
  <c r="AB27" i="1"/>
  <c r="AB35" i="1"/>
  <c r="AB43" i="1"/>
  <c r="AB51" i="1"/>
  <c r="AB59" i="1"/>
  <c r="AB67" i="1"/>
  <c r="AB75" i="1"/>
  <c r="AB83" i="1"/>
  <c r="AB91" i="1"/>
  <c r="AB99" i="1"/>
  <c r="AB107" i="1"/>
  <c r="AB115" i="1"/>
  <c r="AB123" i="1"/>
  <c r="AB131" i="1"/>
  <c r="AB139" i="1"/>
  <c r="AB147" i="1"/>
  <c r="AB155" i="1"/>
  <c r="AB163" i="1"/>
  <c r="AB171" i="1"/>
  <c r="AB179" i="1"/>
  <c r="AB187" i="1"/>
  <c r="AB195" i="1"/>
  <c r="AB203" i="1"/>
  <c r="AB211" i="1"/>
  <c r="AB219" i="1"/>
  <c r="AB227" i="1"/>
  <c r="AB235" i="1"/>
  <c r="AB243" i="1"/>
  <c r="AB251" i="1"/>
  <c r="AB259" i="1"/>
  <c r="AB267" i="1"/>
  <c r="AB275" i="1"/>
  <c r="AB283" i="1"/>
  <c r="AB291" i="1"/>
  <c r="AB299" i="1"/>
  <c r="AB307" i="1"/>
  <c r="AB315" i="1"/>
  <c r="AB323" i="1"/>
  <c r="AB331" i="1"/>
  <c r="AB339" i="1"/>
  <c r="AB347" i="1"/>
  <c r="AB355" i="1"/>
  <c r="AB363" i="1"/>
  <c r="AB371" i="1"/>
  <c r="AB379" i="1"/>
  <c r="AB387" i="1"/>
  <c r="AB395" i="1"/>
  <c r="AB403" i="1"/>
  <c r="AB411" i="1"/>
  <c r="AB419" i="1"/>
  <c r="AB427" i="1"/>
  <c r="AB435" i="1"/>
  <c r="AB443" i="1"/>
  <c r="AB451" i="1"/>
  <c r="AB459" i="1"/>
  <c r="AB467" i="1"/>
  <c r="AB475" i="1"/>
  <c r="AB483" i="1"/>
  <c r="AB491" i="1"/>
  <c r="AB499" i="1"/>
  <c r="AB507" i="1"/>
  <c r="AB58" i="1"/>
  <c r="AB66" i="1"/>
  <c r="AB82" i="1"/>
  <c r="AB114" i="1"/>
  <c r="AB138" i="1"/>
  <c r="AB186" i="1"/>
  <c r="AB226" i="1"/>
  <c r="AB282" i="1"/>
  <c r="AB314" i="1"/>
  <c r="AB338" i="1"/>
  <c r="AB386" i="1"/>
  <c r="AB434" i="1"/>
  <c r="AB482" i="1"/>
  <c r="AB514" i="1"/>
  <c r="AB3" i="1"/>
  <c r="AD3" i="1" s="1"/>
  <c r="AC4" i="1"/>
  <c r="AC12" i="1"/>
  <c r="AC20" i="1"/>
  <c r="AC28" i="1"/>
  <c r="AC36" i="1"/>
  <c r="AC44" i="1"/>
  <c r="AC52" i="1"/>
  <c r="AC60" i="1"/>
  <c r="AC68" i="1"/>
  <c r="AC76" i="1"/>
  <c r="AC84" i="1"/>
  <c r="AC92" i="1"/>
  <c r="AC100" i="1"/>
  <c r="AC108" i="1"/>
  <c r="AC116" i="1"/>
  <c r="AC124" i="1"/>
  <c r="AC132" i="1"/>
  <c r="AC140" i="1"/>
  <c r="AC148" i="1"/>
  <c r="AC156" i="1"/>
  <c r="AC164" i="1"/>
  <c r="AC172" i="1"/>
  <c r="AC180" i="1"/>
  <c r="AC188" i="1"/>
  <c r="AC196" i="1"/>
  <c r="AC204" i="1"/>
  <c r="AC212" i="1"/>
  <c r="AC220" i="1"/>
  <c r="AC228" i="1"/>
  <c r="AC236" i="1"/>
  <c r="AC244" i="1"/>
  <c r="AC252" i="1"/>
  <c r="AC260" i="1"/>
  <c r="AC268" i="1"/>
  <c r="AC276" i="1"/>
  <c r="AC284" i="1"/>
  <c r="AC292" i="1"/>
  <c r="AC300" i="1"/>
  <c r="AC308" i="1"/>
  <c r="AC316" i="1"/>
  <c r="AC324" i="1"/>
  <c r="AC332" i="1"/>
  <c r="AC340" i="1"/>
  <c r="AC348" i="1"/>
  <c r="AC356" i="1"/>
  <c r="AC364" i="1"/>
  <c r="AC372" i="1"/>
  <c r="AC380" i="1"/>
  <c r="AC388" i="1"/>
  <c r="AC396" i="1"/>
  <c r="AC404" i="1"/>
  <c r="AC412" i="1"/>
  <c r="AC420" i="1"/>
  <c r="AC428" i="1"/>
  <c r="AC436" i="1"/>
  <c r="AC444" i="1"/>
  <c r="AC452" i="1"/>
  <c r="AC460" i="1"/>
  <c r="AC468" i="1"/>
  <c r="AC476" i="1"/>
  <c r="AC484" i="1"/>
  <c r="AC492" i="1"/>
  <c r="AC500" i="1"/>
  <c r="AC508" i="1"/>
  <c r="AC32" i="1"/>
  <c r="AC264" i="1"/>
  <c r="AC384" i="1"/>
  <c r="AC448" i="1"/>
  <c r="AC5" i="1"/>
  <c r="AC13" i="1"/>
  <c r="AC21" i="1"/>
  <c r="AC29" i="1"/>
  <c r="AC37" i="1"/>
  <c r="AC45" i="1"/>
  <c r="AC53" i="1"/>
  <c r="AC61" i="1"/>
  <c r="AC69" i="1"/>
  <c r="AC77" i="1"/>
  <c r="AC85" i="1"/>
  <c r="AC93" i="1"/>
  <c r="AC101" i="1"/>
  <c r="AC109" i="1"/>
  <c r="AC117" i="1"/>
  <c r="AC125" i="1"/>
  <c r="AC133" i="1"/>
  <c r="AC141" i="1"/>
  <c r="AC149" i="1"/>
  <c r="AC157" i="1"/>
  <c r="AC165" i="1"/>
  <c r="AC173" i="1"/>
  <c r="AC181" i="1"/>
  <c r="AC189" i="1"/>
  <c r="AC197" i="1"/>
  <c r="AC205" i="1"/>
  <c r="AC213" i="1"/>
  <c r="AC221" i="1"/>
  <c r="AC229" i="1"/>
  <c r="AC237" i="1"/>
  <c r="AC245" i="1"/>
  <c r="AC253" i="1"/>
  <c r="AC261" i="1"/>
  <c r="AC269" i="1"/>
  <c r="AC277" i="1"/>
  <c r="AC285" i="1"/>
  <c r="AC293" i="1"/>
  <c r="AC301" i="1"/>
  <c r="AC309" i="1"/>
  <c r="AC317" i="1"/>
  <c r="AC325" i="1"/>
  <c r="AC333" i="1"/>
  <c r="AC341" i="1"/>
  <c r="AC349" i="1"/>
  <c r="AC357" i="1"/>
  <c r="AC365" i="1"/>
  <c r="AC373" i="1"/>
  <c r="AC381" i="1"/>
  <c r="AC389" i="1"/>
  <c r="AC397" i="1"/>
  <c r="AC405" i="1"/>
  <c r="AC413" i="1"/>
  <c r="AC421" i="1"/>
  <c r="AC429" i="1"/>
  <c r="AC437" i="1"/>
  <c r="AC445" i="1"/>
  <c r="AC453" i="1"/>
  <c r="AC461" i="1"/>
  <c r="AC469" i="1"/>
  <c r="AC477" i="1"/>
  <c r="AC485" i="1"/>
  <c r="AC493" i="1"/>
  <c r="AC501" i="1"/>
  <c r="AC509" i="1"/>
  <c r="AC16" i="1"/>
  <c r="AC48" i="1"/>
  <c r="AC64" i="1"/>
  <c r="AC80" i="1"/>
  <c r="AC104" i="1"/>
  <c r="AC120" i="1"/>
  <c r="AC144" i="1"/>
  <c r="AC160" i="1"/>
  <c r="AC184" i="1"/>
  <c r="AC208" i="1"/>
  <c r="AC216" i="1"/>
  <c r="AC240" i="1"/>
  <c r="AC272" i="1"/>
  <c r="AC296" i="1"/>
  <c r="AC312" i="1"/>
  <c r="AC336" i="1"/>
  <c r="AC360" i="1"/>
  <c r="AC392" i="1"/>
  <c r="AC408" i="1"/>
  <c r="AC440" i="1"/>
  <c r="AC472" i="1"/>
  <c r="AC6" i="1"/>
  <c r="AC14" i="1"/>
  <c r="AC22" i="1"/>
  <c r="AC30" i="1"/>
  <c r="AC38" i="1"/>
  <c r="AC46" i="1"/>
  <c r="AC54" i="1"/>
  <c r="AC62" i="1"/>
  <c r="AC70" i="1"/>
  <c r="AC78" i="1"/>
  <c r="AC86" i="1"/>
  <c r="AC94" i="1"/>
  <c r="AC102" i="1"/>
  <c r="AC110" i="1"/>
  <c r="AC118" i="1"/>
  <c r="AC126" i="1"/>
  <c r="AC134" i="1"/>
  <c r="AC142" i="1"/>
  <c r="AC150" i="1"/>
  <c r="AC158" i="1"/>
  <c r="AC166" i="1"/>
  <c r="AC174" i="1"/>
  <c r="AC182" i="1"/>
  <c r="AC190" i="1"/>
  <c r="AC198" i="1"/>
  <c r="AC206" i="1"/>
  <c r="AC214" i="1"/>
  <c r="AC222" i="1"/>
  <c r="AC230" i="1"/>
  <c r="AC238" i="1"/>
  <c r="AC246" i="1"/>
  <c r="AC254" i="1"/>
  <c r="AC262" i="1"/>
  <c r="AC270" i="1"/>
  <c r="AC278" i="1"/>
  <c r="AC286" i="1"/>
  <c r="AC294" i="1"/>
  <c r="AC302" i="1"/>
  <c r="AC310" i="1"/>
  <c r="AC318" i="1"/>
  <c r="AC326" i="1"/>
  <c r="AC334" i="1"/>
  <c r="AC342" i="1"/>
  <c r="AC350" i="1"/>
  <c r="AC358" i="1"/>
  <c r="AC366" i="1"/>
  <c r="AC374" i="1"/>
  <c r="AC382" i="1"/>
  <c r="AC390" i="1"/>
  <c r="AC398" i="1"/>
  <c r="AC406" i="1"/>
  <c r="AC414" i="1"/>
  <c r="AC422" i="1"/>
  <c r="AC430" i="1"/>
  <c r="AC438" i="1"/>
  <c r="AC446" i="1"/>
  <c r="AC454" i="1"/>
  <c r="AC462" i="1"/>
  <c r="AC470" i="1"/>
  <c r="AC478" i="1"/>
  <c r="AC486" i="1"/>
  <c r="AC494" i="1"/>
  <c r="AC502" i="1"/>
  <c r="AC510" i="1"/>
  <c r="AC24" i="1"/>
  <c r="AC40" i="1"/>
  <c r="AC56" i="1"/>
  <c r="AC72" i="1"/>
  <c r="AC96" i="1"/>
  <c r="AC112" i="1"/>
  <c r="AC128" i="1"/>
  <c r="AC152" i="1"/>
  <c r="AC176" i="1"/>
  <c r="AC200" i="1"/>
  <c r="AC232" i="1"/>
  <c r="AC248" i="1"/>
  <c r="AC280" i="1"/>
  <c r="AC304" i="1"/>
  <c r="AC328" i="1"/>
  <c r="AC352" i="1"/>
  <c r="AC368" i="1"/>
  <c r="AC400" i="1"/>
  <c r="AC416" i="1"/>
  <c r="AC432" i="1"/>
  <c r="AC456" i="1"/>
  <c r="AC7" i="1"/>
  <c r="AC15" i="1"/>
  <c r="AC23" i="1"/>
  <c r="AC31" i="1"/>
  <c r="AC39" i="1"/>
  <c r="AC47" i="1"/>
  <c r="AC55" i="1"/>
  <c r="AC63" i="1"/>
  <c r="AC71" i="1"/>
  <c r="AC79" i="1"/>
  <c r="AC87" i="1"/>
  <c r="AC95" i="1"/>
  <c r="AC103" i="1"/>
  <c r="AC111" i="1"/>
  <c r="AC119" i="1"/>
  <c r="AC127" i="1"/>
  <c r="AC135" i="1"/>
  <c r="AC143" i="1"/>
  <c r="AC151" i="1"/>
  <c r="AC159" i="1"/>
  <c r="AC167" i="1"/>
  <c r="AC175" i="1"/>
  <c r="AC183" i="1"/>
  <c r="AC191" i="1"/>
  <c r="AC199" i="1"/>
  <c r="AC207" i="1"/>
  <c r="AC215" i="1"/>
  <c r="AC223" i="1"/>
  <c r="AC231" i="1"/>
  <c r="AC239" i="1"/>
  <c r="AC247" i="1"/>
  <c r="AC255" i="1"/>
  <c r="AC263" i="1"/>
  <c r="AC271" i="1"/>
  <c r="AC279" i="1"/>
  <c r="AC287" i="1"/>
  <c r="AC295" i="1"/>
  <c r="AC303" i="1"/>
  <c r="AC311" i="1"/>
  <c r="AC319" i="1"/>
  <c r="AC327" i="1"/>
  <c r="AC335" i="1"/>
  <c r="AC343" i="1"/>
  <c r="AC351" i="1"/>
  <c r="AC359" i="1"/>
  <c r="AC367" i="1"/>
  <c r="AC375" i="1"/>
  <c r="AC383" i="1"/>
  <c r="AC391" i="1"/>
  <c r="AC399" i="1"/>
  <c r="AC407" i="1"/>
  <c r="AC415" i="1"/>
  <c r="AC423" i="1"/>
  <c r="AC431" i="1"/>
  <c r="AC439" i="1"/>
  <c r="AC447" i="1"/>
  <c r="AC455" i="1"/>
  <c r="AC463" i="1"/>
  <c r="AC471" i="1"/>
  <c r="AC479" i="1"/>
  <c r="AC487" i="1"/>
  <c r="AC495" i="1"/>
  <c r="AC503" i="1"/>
  <c r="AC511" i="1"/>
  <c r="AC8" i="1"/>
  <c r="AC88" i="1"/>
  <c r="AC136" i="1"/>
  <c r="AC168" i="1"/>
  <c r="AC192" i="1"/>
  <c r="AC224" i="1"/>
  <c r="AC256" i="1"/>
  <c r="AC288" i="1"/>
  <c r="AC320" i="1"/>
  <c r="AC344" i="1"/>
  <c r="AC376" i="1"/>
  <c r="AC424" i="1"/>
  <c r="AC464" i="1"/>
  <c r="AC9" i="1"/>
  <c r="AC17" i="1"/>
  <c r="AC25" i="1"/>
  <c r="AC33" i="1"/>
  <c r="AC41" i="1"/>
  <c r="AC49" i="1"/>
  <c r="AC57" i="1"/>
  <c r="AC65" i="1"/>
  <c r="AC73" i="1"/>
  <c r="AC81" i="1"/>
  <c r="AC89" i="1"/>
  <c r="AC97" i="1"/>
  <c r="AC105" i="1"/>
  <c r="AC113" i="1"/>
  <c r="AC121" i="1"/>
  <c r="AC129" i="1"/>
  <c r="AC137" i="1"/>
  <c r="AC145" i="1"/>
  <c r="AC153" i="1"/>
  <c r="AC161" i="1"/>
  <c r="AC169" i="1"/>
  <c r="AC177" i="1"/>
  <c r="AC185" i="1"/>
  <c r="AC193" i="1"/>
  <c r="AC201" i="1"/>
  <c r="AC209" i="1"/>
  <c r="AC217" i="1"/>
  <c r="AC225" i="1"/>
  <c r="AC233" i="1"/>
  <c r="AC241" i="1"/>
  <c r="AC249" i="1"/>
  <c r="AC257" i="1"/>
  <c r="AC265" i="1"/>
  <c r="AC273" i="1"/>
  <c r="AC281" i="1"/>
  <c r="AC289" i="1"/>
  <c r="AC297" i="1"/>
  <c r="AC305" i="1"/>
  <c r="AC313" i="1"/>
  <c r="AC321" i="1"/>
  <c r="AC329" i="1"/>
  <c r="AC337" i="1"/>
  <c r="AC345" i="1"/>
  <c r="AC353" i="1"/>
  <c r="AC361" i="1"/>
  <c r="AC369" i="1"/>
  <c r="AC377" i="1"/>
  <c r="AC385" i="1"/>
  <c r="AC393" i="1"/>
  <c r="AC401" i="1"/>
  <c r="AC409" i="1"/>
  <c r="AC417" i="1"/>
  <c r="AC425" i="1"/>
  <c r="AC433" i="1"/>
  <c r="AC441" i="1"/>
  <c r="AC449" i="1"/>
  <c r="AC457" i="1"/>
  <c r="AC465" i="1"/>
  <c r="AC473" i="1"/>
  <c r="AC481" i="1"/>
  <c r="AC489" i="1"/>
  <c r="AC497" i="1"/>
  <c r="AC505" i="1"/>
  <c r="AC513" i="1"/>
  <c r="AC19" i="1"/>
  <c r="AC27" i="1"/>
  <c r="AC43" i="1"/>
  <c r="AC67" i="1"/>
  <c r="AC83" i="1"/>
  <c r="AC107" i="1"/>
  <c r="AC115" i="1"/>
  <c r="AC131" i="1"/>
  <c r="AC147" i="1"/>
  <c r="AC163" i="1"/>
  <c r="AC179" i="1"/>
  <c r="AC195" i="1"/>
  <c r="AC203" i="1"/>
  <c r="AC219" i="1"/>
  <c r="AC235" i="1"/>
  <c r="AC251" i="1"/>
  <c r="AC275" i="1"/>
  <c r="AC291" i="1"/>
  <c r="AC307" i="1"/>
  <c r="AC323" i="1"/>
  <c r="AC339" i="1"/>
  <c r="AC10" i="1"/>
  <c r="AC18" i="1"/>
  <c r="AC26" i="1"/>
  <c r="AC34" i="1"/>
  <c r="AC42" i="1"/>
  <c r="AC50" i="1"/>
  <c r="AC58" i="1"/>
  <c r="AC66" i="1"/>
  <c r="AC74" i="1"/>
  <c r="AC82" i="1"/>
  <c r="AC90" i="1"/>
  <c r="AC98" i="1"/>
  <c r="AC106" i="1"/>
  <c r="AC114" i="1"/>
  <c r="AC122" i="1"/>
  <c r="AC130" i="1"/>
  <c r="AC138" i="1"/>
  <c r="AC146" i="1"/>
  <c r="AC154" i="1"/>
  <c r="AC162" i="1"/>
  <c r="AC170" i="1"/>
  <c r="AC178" i="1"/>
  <c r="AC186" i="1"/>
  <c r="AC194" i="1"/>
  <c r="AC202" i="1"/>
  <c r="AC210" i="1"/>
  <c r="AC218" i="1"/>
  <c r="AC226" i="1"/>
  <c r="AC234" i="1"/>
  <c r="AC242" i="1"/>
  <c r="AC250" i="1"/>
  <c r="AC258" i="1"/>
  <c r="AC266" i="1"/>
  <c r="AC274" i="1"/>
  <c r="AC282" i="1"/>
  <c r="AC290" i="1"/>
  <c r="AC298" i="1"/>
  <c r="AC306" i="1"/>
  <c r="AC314" i="1"/>
  <c r="AC322" i="1"/>
  <c r="AC330" i="1"/>
  <c r="AC338" i="1"/>
  <c r="AC346" i="1"/>
  <c r="AC354" i="1"/>
  <c r="AC362" i="1"/>
  <c r="AC370" i="1"/>
  <c r="AC378" i="1"/>
  <c r="AC386" i="1"/>
  <c r="AC394" i="1"/>
  <c r="AC402" i="1"/>
  <c r="AC410" i="1"/>
  <c r="AC418" i="1"/>
  <c r="AC426" i="1"/>
  <c r="AC434" i="1"/>
  <c r="AC442" i="1"/>
  <c r="AC450" i="1"/>
  <c r="AC458" i="1"/>
  <c r="AC466" i="1"/>
  <c r="AC474" i="1"/>
  <c r="AC482" i="1"/>
  <c r="AC490" i="1"/>
  <c r="AC498" i="1"/>
  <c r="AC506" i="1"/>
  <c r="AC514" i="1"/>
  <c r="AC11" i="1"/>
  <c r="AC35" i="1"/>
  <c r="AC51" i="1"/>
  <c r="AC59" i="1"/>
  <c r="AC75" i="1"/>
  <c r="AC91" i="1"/>
  <c r="AC99" i="1"/>
  <c r="AC123" i="1"/>
  <c r="AC139" i="1"/>
  <c r="AC155" i="1"/>
  <c r="AC171" i="1"/>
  <c r="AC187" i="1"/>
  <c r="AC211" i="1"/>
  <c r="AC227" i="1"/>
  <c r="AC243" i="1"/>
  <c r="AC259" i="1"/>
  <c r="AC267" i="1"/>
  <c r="AC283" i="1"/>
  <c r="AC299" i="1"/>
  <c r="AC315" i="1"/>
  <c r="AC331" i="1"/>
  <c r="AC347" i="1"/>
  <c r="AC411" i="1"/>
  <c r="AC475" i="1"/>
  <c r="AC507" i="1"/>
  <c r="AC491" i="1"/>
  <c r="AC355" i="1"/>
  <c r="AC419" i="1"/>
  <c r="AC480" i="1"/>
  <c r="AC512" i="1"/>
  <c r="AC379" i="1"/>
  <c r="AC467" i="1"/>
  <c r="AC363" i="1"/>
  <c r="AC427" i="1"/>
  <c r="AC483" i="1"/>
  <c r="AC443" i="1"/>
  <c r="AC504" i="1"/>
  <c r="AC371" i="1"/>
  <c r="AC435" i="1"/>
  <c r="AC488" i="1"/>
  <c r="AC403" i="1"/>
  <c r="AC387" i="1"/>
  <c r="AC451" i="1"/>
  <c r="AC496" i="1"/>
  <c r="AC395" i="1"/>
  <c r="AC459" i="1"/>
  <c r="AC499" i="1"/>
  <c r="AC3" i="1"/>
  <c r="AA102" i="1"/>
  <c r="M96" i="1"/>
  <c r="AA172" i="1"/>
  <c r="AA198" i="1"/>
  <c r="M192" i="1"/>
  <c r="AA278" i="1"/>
  <c r="M272" i="1"/>
  <c r="M427" i="1"/>
  <c r="M114" i="1"/>
  <c r="AA105" i="1"/>
  <c r="J294" i="1"/>
  <c r="AA241" i="1"/>
  <c r="AA366" i="1"/>
  <c r="M34" i="1"/>
  <c r="AA361" i="1"/>
  <c r="AA495" i="1"/>
  <c r="AA268" i="1"/>
  <c r="AA489" i="1"/>
  <c r="M108" i="1"/>
  <c r="M315" i="1"/>
  <c r="M329" i="1"/>
  <c r="AA482" i="1"/>
  <c r="AA413" i="1"/>
  <c r="AA178" i="1"/>
  <c r="AA476" i="1"/>
  <c r="AA509" i="1"/>
  <c r="AA283" i="1"/>
  <c r="M54" i="1"/>
  <c r="M342" i="1"/>
  <c r="AA267" i="1"/>
  <c r="J372" i="1"/>
  <c r="M324" i="1"/>
  <c r="AA327" i="1"/>
  <c r="M474" i="1"/>
  <c r="M142" i="1"/>
  <c r="AA423" i="1"/>
  <c r="M59" i="1"/>
  <c r="AA503" i="1"/>
  <c r="M139" i="1"/>
  <c r="M145" i="1"/>
  <c r="M332" i="1"/>
  <c r="AA101" i="1"/>
  <c r="J327" i="1"/>
  <c r="AA115" i="1"/>
  <c r="AA104" i="1"/>
  <c r="M291" i="1"/>
  <c r="AA211" i="1"/>
  <c r="AA217" i="1"/>
  <c r="AA291" i="1"/>
  <c r="AA220" i="1"/>
  <c r="J278" i="1"/>
  <c r="M132" i="1"/>
  <c r="M121" i="1"/>
  <c r="M510" i="1"/>
  <c r="M71" i="1"/>
  <c r="AA379" i="1"/>
  <c r="AA312" i="1"/>
  <c r="M167" i="1"/>
  <c r="AA389" i="1"/>
  <c r="M80" i="1"/>
  <c r="M456" i="1"/>
  <c r="M56" i="1"/>
  <c r="AA343" i="1"/>
  <c r="J102" i="1"/>
  <c r="AA505" i="1"/>
  <c r="AA174" i="1"/>
  <c r="M168" i="1"/>
  <c r="AA145" i="1"/>
  <c r="AA303" i="1"/>
  <c r="AA225" i="1"/>
  <c r="AA350" i="1"/>
  <c r="M299" i="1"/>
  <c r="M452" i="1"/>
  <c r="M386" i="1"/>
  <c r="AA297" i="1"/>
  <c r="AA334" i="1"/>
  <c r="M353" i="1"/>
  <c r="M51" i="1"/>
  <c r="M150" i="1"/>
  <c r="J205" i="1"/>
  <c r="M53" i="1"/>
  <c r="J411" i="1"/>
  <c r="M125" i="1"/>
  <c r="AA235" i="1"/>
  <c r="J53" i="1"/>
  <c r="AA135" i="1"/>
  <c r="M282" i="1"/>
  <c r="AA485" i="1"/>
  <c r="AA231" i="1"/>
  <c r="M378" i="1"/>
  <c r="AA311" i="1"/>
  <c r="M458" i="1"/>
  <c r="M77" i="1"/>
  <c r="M437" i="1"/>
  <c r="AA300" i="1"/>
  <c r="J135" i="1"/>
  <c r="AA426" i="1"/>
  <c r="AA399" i="1"/>
  <c r="M35" i="1"/>
  <c r="AA116" i="1"/>
  <c r="AA345" i="1"/>
  <c r="AA484" i="1"/>
  <c r="AA215" i="1"/>
  <c r="J86" i="1"/>
  <c r="M129" i="1"/>
  <c r="M513" i="1"/>
  <c r="M126" i="1"/>
  <c r="M390" i="1"/>
  <c r="AA187" i="1"/>
  <c r="AA120" i="1"/>
  <c r="M486" i="1"/>
  <c r="AA197" i="1"/>
  <c r="M55" i="1"/>
  <c r="M362" i="1"/>
  <c r="M350" i="1"/>
  <c r="J511" i="1"/>
  <c r="M5" i="1"/>
  <c r="AA352" i="1"/>
  <c r="M384" i="1"/>
  <c r="M143" i="1"/>
  <c r="AA448" i="1"/>
  <c r="AA111" i="1"/>
  <c r="AA441" i="1"/>
  <c r="AA158" i="1"/>
  <c r="M303" i="1"/>
  <c r="M165" i="1"/>
  <c r="M328" i="1"/>
  <c r="AA216" i="1"/>
  <c r="AA260" i="1"/>
  <c r="AA121" i="1"/>
  <c r="AA190" i="1"/>
  <c r="AA125" i="1"/>
  <c r="AA402" i="1"/>
  <c r="AA205" i="1"/>
  <c r="AA188" i="1"/>
  <c r="AA364" i="1"/>
  <c r="J286" i="1"/>
  <c r="M68" i="1"/>
  <c r="AA422" i="1"/>
  <c r="M90" i="1"/>
  <c r="AA293" i="1"/>
  <c r="AA353" i="1"/>
  <c r="M186" i="1"/>
  <c r="AA119" i="1"/>
  <c r="M266" i="1"/>
  <c r="M492" i="1"/>
  <c r="M175" i="1"/>
  <c r="AA131" i="1"/>
  <c r="J451" i="1"/>
  <c r="AA234" i="1"/>
  <c r="AA207" i="1"/>
  <c r="M354" i="1"/>
  <c r="AA330" i="1"/>
  <c r="AA328" i="1"/>
  <c r="AA410" i="1"/>
  <c r="AA383" i="1"/>
  <c r="M488" i="1"/>
  <c r="M311" i="1"/>
  <c r="M243" i="1"/>
  <c r="AA237" i="1"/>
  <c r="AA272" i="1"/>
  <c r="M195" i="1"/>
  <c r="M375" i="1"/>
  <c r="M219" i="1"/>
  <c r="I150" i="1"/>
  <c r="M347" i="1"/>
  <c r="J441" i="1"/>
  <c r="J480" i="1"/>
  <c r="M352" i="1"/>
  <c r="J436" i="1"/>
  <c r="AA160" i="1"/>
  <c r="M29" i="1"/>
  <c r="M462" i="1"/>
  <c r="AA256" i="1"/>
  <c r="AA398" i="1"/>
  <c r="AA336" i="1"/>
  <c r="M363" i="1"/>
  <c r="M508" i="1"/>
  <c r="M100" i="1"/>
  <c r="M111" i="1"/>
  <c r="J164" i="1"/>
  <c r="AA435" i="1"/>
  <c r="AA424" i="1"/>
  <c r="M480" i="1"/>
  <c r="AA132" i="1"/>
  <c r="AA210" i="1"/>
  <c r="AA236" i="1"/>
  <c r="AA356" i="1"/>
  <c r="AA279" i="1"/>
  <c r="J94" i="1"/>
  <c r="M377" i="1"/>
  <c r="AA230" i="1"/>
  <c r="M224" i="1"/>
  <c r="AA492" i="1"/>
  <c r="AA326" i="1"/>
  <c r="M320" i="1"/>
  <c r="AA406" i="1"/>
  <c r="M74" i="1"/>
  <c r="M217" i="1"/>
  <c r="M370" i="1"/>
  <c r="AA122" i="1"/>
  <c r="J422" i="1"/>
  <c r="AA393" i="1"/>
  <c r="AA494" i="1"/>
  <c r="M162" i="1"/>
  <c r="AA138" i="1"/>
  <c r="AA136" i="1"/>
  <c r="AA218" i="1"/>
  <c r="AA191" i="1"/>
  <c r="M380" i="1"/>
  <c r="M340" i="1"/>
  <c r="M331" i="1"/>
  <c r="AA323" i="1"/>
  <c r="M6" i="1"/>
  <c r="AA306" i="1"/>
  <c r="AA223" i="1"/>
  <c r="M102" i="1"/>
  <c r="AA411" i="1"/>
  <c r="M182" i="1"/>
  <c r="M87" i="1"/>
  <c r="AA252" i="1"/>
  <c r="J127" i="1"/>
  <c r="M496" i="1"/>
  <c r="AA455" i="1"/>
  <c r="M91" i="1"/>
  <c r="M270" i="1"/>
  <c r="AA228" i="1"/>
  <c r="AA206" i="1"/>
  <c r="AA144" i="1"/>
  <c r="M489" i="1"/>
  <c r="M356" i="1"/>
  <c r="M503" i="1"/>
  <c r="M238" i="1"/>
  <c r="J455" i="1"/>
  <c r="AA243" i="1"/>
  <c r="AA232" i="1"/>
  <c r="M203" i="1"/>
  <c r="AA339" i="1"/>
  <c r="AA369" i="1"/>
  <c r="AA419" i="1"/>
  <c r="AA417" i="1"/>
  <c r="J406" i="1"/>
  <c r="M509" i="1"/>
  <c r="M17" i="1"/>
  <c r="M88" i="1"/>
  <c r="M267" i="1"/>
  <c r="M415" i="1"/>
  <c r="M220" i="1"/>
  <c r="M359" i="1"/>
  <c r="AA420" i="1"/>
  <c r="J316" i="1"/>
  <c r="J370" i="1"/>
  <c r="J32" i="1"/>
  <c r="M169" i="1"/>
  <c r="M268" i="1"/>
  <c r="AA177" i="1"/>
  <c r="AA302" i="1"/>
  <c r="M296" i="1"/>
  <c r="AA273" i="1"/>
  <c r="AA431" i="1"/>
  <c r="AA377" i="1"/>
  <c r="AA478" i="1"/>
  <c r="M475" i="1"/>
  <c r="M45" i="1"/>
  <c r="M123" i="1"/>
  <c r="AA314" i="1"/>
  <c r="AA349" i="1"/>
  <c r="AA114" i="1"/>
  <c r="AA510" i="1"/>
  <c r="AA445" i="1"/>
  <c r="AA219" i="1"/>
  <c r="W27" i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W503" i="1" s="1"/>
  <c r="W504" i="1" s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M214" i="1"/>
  <c r="AA107" i="1"/>
  <c r="J355" i="1"/>
  <c r="M221" i="1"/>
  <c r="AA263" i="1"/>
  <c r="M410" i="1"/>
  <c r="M78" i="1"/>
  <c r="AA359" i="1"/>
  <c r="M506" i="1"/>
  <c r="AA439" i="1"/>
  <c r="M75" i="1"/>
  <c r="M493" i="1"/>
  <c r="M229" i="1"/>
  <c r="AA373" i="1"/>
  <c r="J263" i="1"/>
  <c r="AA308" i="1"/>
  <c r="AA433" i="1"/>
  <c r="M163" i="1"/>
  <c r="AA147" i="1"/>
  <c r="AA153" i="1"/>
  <c r="AA227" i="1"/>
  <c r="AA368" i="1"/>
  <c r="J214" i="1"/>
  <c r="M401" i="1"/>
  <c r="M461" i="1"/>
  <c r="M382" i="1"/>
  <c r="M7" i="1"/>
  <c r="AA315" i="1"/>
  <c r="AA248" i="1"/>
  <c r="M103" i="1"/>
  <c r="AA325" i="1"/>
  <c r="M16" i="1"/>
  <c r="M107" i="1"/>
  <c r="M95" i="1"/>
  <c r="AA310" i="1"/>
  <c r="J38" i="1"/>
  <c r="AA480" i="1"/>
  <c r="AA110" i="1"/>
  <c r="M104" i="1"/>
  <c r="AA412" i="1"/>
  <c r="AA239" i="1"/>
  <c r="AA161" i="1"/>
  <c r="AA286" i="1"/>
  <c r="M196" i="1"/>
  <c r="M367" i="1"/>
  <c r="M258" i="1"/>
  <c r="AA129" i="1"/>
  <c r="AA157" i="1"/>
  <c r="AA249" i="1"/>
  <c r="AA318" i="1"/>
  <c r="AA253" i="1"/>
  <c r="AA244" i="1"/>
  <c r="AA333" i="1"/>
  <c r="AA341" i="1"/>
  <c r="AA452" i="1"/>
  <c r="J414" i="1"/>
  <c r="M69" i="1"/>
  <c r="AA212" i="1"/>
  <c r="M325" i="1"/>
  <c r="M444" i="1"/>
  <c r="M468" i="1"/>
  <c r="J175" i="1"/>
  <c r="M152" i="1"/>
  <c r="AA471" i="1"/>
  <c r="J291" i="1"/>
  <c r="J129" i="1"/>
  <c r="J504" i="1"/>
  <c r="J488" i="1"/>
  <c r="AA362" i="1"/>
  <c r="AA335" i="1"/>
  <c r="M482" i="1"/>
  <c r="AA458" i="1"/>
  <c r="AA456" i="1"/>
  <c r="AA276" i="1"/>
  <c r="AA182" i="1"/>
  <c r="J22" i="1"/>
  <c r="M485" i="1"/>
  <c r="M428" i="1"/>
  <c r="V13" i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M326" i="1"/>
  <c r="AA123" i="1"/>
  <c r="AA497" i="1"/>
  <c r="M422" i="1"/>
  <c r="AA133" i="1"/>
  <c r="M502" i="1"/>
  <c r="M234" i="1"/>
  <c r="M222" i="1"/>
  <c r="J447" i="1"/>
  <c r="M360" i="1"/>
  <c r="AA288" i="1"/>
  <c r="M292" i="1"/>
  <c r="M79" i="1"/>
  <c r="AA384" i="1"/>
  <c r="AA425" i="1"/>
  <c r="AA464" i="1"/>
  <c r="M33" i="1"/>
  <c r="M499" i="1"/>
  <c r="M457" i="1"/>
  <c r="M200" i="1"/>
  <c r="AA407" i="1"/>
  <c r="AA164" i="1"/>
  <c r="AA513" i="1"/>
  <c r="AA126" i="1"/>
  <c r="AA332" i="1"/>
  <c r="AA338" i="1"/>
  <c r="AA141" i="1"/>
  <c r="AA427" i="1"/>
  <c r="AA408" i="1"/>
  <c r="J222" i="1"/>
  <c r="M369" i="1"/>
  <c r="AA358" i="1"/>
  <c r="M26" i="1"/>
  <c r="AA229" i="1"/>
  <c r="AA454" i="1"/>
  <c r="M122" i="1"/>
  <c r="AA457" i="1"/>
  <c r="M202" i="1"/>
  <c r="M407" i="1"/>
  <c r="M115" i="1"/>
  <c r="AA450" i="1"/>
  <c r="J368" i="1"/>
  <c r="AA170" i="1"/>
  <c r="AA143" i="1"/>
  <c r="M290" i="1"/>
  <c r="AA266" i="1"/>
  <c r="AA264" i="1"/>
  <c r="AA346" i="1"/>
  <c r="AA319" i="1"/>
  <c r="M327" i="1"/>
  <c r="M209" i="1"/>
  <c r="M117" i="1"/>
  <c r="AA316" i="1"/>
  <c r="M134" i="1"/>
  <c r="AA434" i="1"/>
  <c r="AA351" i="1"/>
  <c r="M230" i="1"/>
  <c r="AA140" i="1"/>
  <c r="M310" i="1"/>
  <c r="M176" i="1"/>
  <c r="AA365" i="1"/>
  <c r="J255" i="1"/>
  <c r="M275" i="1"/>
  <c r="AA500" i="1"/>
  <c r="M440" i="1"/>
  <c r="J238" i="1"/>
  <c r="M476" i="1"/>
  <c r="J192" i="1"/>
  <c r="M207" i="1"/>
  <c r="M264" i="1"/>
  <c r="J357" i="1"/>
  <c r="J58" i="1"/>
  <c r="J40" i="1"/>
  <c r="J354" i="1"/>
  <c r="AA371" i="1"/>
  <c r="AA360" i="1"/>
  <c r="M395" i="1"/>
  <c r="AA467" i="1"/>
  <c r="AA146" i="1"/>
  <c r="AA148" i="1"/>
  <c r="AA418" i="1"/>
  <c r="AA246" i="1"/>
  <c r="J30" i="1"/>
  <c r="M284" i="1"/>
  <c r="AA166" i="1"/>
  <c r="M160" i="1"/>
  <c r="AA284" i="1"/>
  <c r="AA262" i="1"/>
  <c r="M256" i="1"/>
  <c r="AA342" i="1"/>
  <c r="M10" i="1"/>
  <c r="M76" i="1"/>
  <c r="M242" i="1"/>
  <c r="AA265" i="1"/>
  <c r="J358" i="1"/>
  <c r="AA305" i="1"/>
  <c r="AA430" i="1"/>
  <c r="M98" i="1"/>
  <c r="AA449" i="1"/>
  <c r="AA388" i="1"/>
  <c r="AA154" i="1"/>
  <c r="AA127" i="1"/>
  <c r="M236" i="1"/>
  <c r="M28" i="1"/>
  <c r="M137" i="1"/>
  <c r="AA139" i="1"/>
  <c r="AA477" i="1"/>
  <c r="AA242" i="1"/>
  <c r="AA159" i="1"/>
  <c r="M38" i="1"/>
  <c r="AA347" i="1"/>
  <c r="M118" i="1"/>
  <c r="M470" i="1"/>
  <c r="AA451" i="1"/>
  <c r="J63" i="1"/>
  <c r="M411" i="1"/>
  <c r="AA391" i="1"/>
  <c r="M27" i="1"/>
  <c r="M206" i="1"/>
  <c r="AA487" i="1"/>
  <c r="AA142" i="1"/>
  <c r="AA428" i="1"/>
  <c r="M49" i="1"/>
  <c r="M259" i="1"/>
  <c r="M417" i="1"/>
  <c r="M110" i="1"/>
  <c r="J391" i="1"/>
  <c r="AA179" i="1"/>
  <c r="AA168" i="1"/>
  <c r="M52" i="1"/>
  <c r="AA275" i="1"/>
  <c r="AA281" i="1"/>
  <c r="AA355" i="1"/>
  <c r="AA233" i="1"/>
  <c r="J342" i="1"/>
  <c r="M349" i="1"/>
  <c r="M365" i="1"/>
  <c r="M127" i="1"/>
  <c r="M135" i="1"/>
  <c r="AA443" i="1"/>
  <c r="AA376" i="1"/>
  <c r="M64" i="1"/>
  <c r="AA150" i="1"/>
  <c r="M144" i="1"/>
  <c r="M93" i="1"/>
  <c r="M184" i="1"/>
  <c r="AA176" i="1"/>
  <c r="J166" i="1"/>
  <c r="M227" i="1"/>
  <c r="M494" i="1"/>
  <c r="AA496" i="1"/>
  <c r="J254" i="1"/>
  <c r="J289" i="1"/>
  <c r="J70" i="1"/>
  <c r="M245" i="1"/>
  <c r="I302" i="1"/>
  <c r="J244" i="1"/>
  <c r="J137" i="1"/>
  <c r="J341" i="1"/>
  <c r="AA285" i="1"/>
  <c r="M262" i="1"/>
  <c r="AA401" i="1"/>
  <c r="AA461" i="1"/>
  <c r="M84" i="1"/>
  <c r="AA295" i="1"/>
  <c r="M295" i="1"/>
  <c r="AA490" i="1"/>
  <c r="AA468" i="1"/>
  <c r="M261" i="1"/>
  <c r="AA251" i="1"/>
  <c r="M119" i="1"/>
  <c r="M351" i="1"/>
  <c r="AA512" i="1"/>
  <c r="M41" i="1"/>
  <c r="AA444" i="1"/>
  <c r="AA466" i="1"/>
  <c r="J350" i="1"/>
  <c r="AA357" i="1"/>
  <c r="M330" i="1"/>
  <c r="J444" i="1"/>
  <c r="J95" i="1"/>
  <c r="AA203" i="1"/>
  <c r="I408" i="1"/>
  <c r="J221" i="1"/>
  <c r="AA289" i="1"/>
  <c r="M297" i="1"/>
  <c r="M460" i="1"/>
  <c r="M180" i="1"/>
  <c r="I214" i="1"/>
  <c r="M85" i="1"/>
  <c r="J505" i="1"/>
  <c r="M418" i="1"/>
  <c r="AA405" i="1"/>
  <c r="AA277" i="1"/>
  <c r="J223" i="1"/>
  <c r="J346" i="1"/>
  <c r="J496" i="1"/>
  <c r="J454" i="1"/>
  <c r="AA469" i="1"/>
  <c r="J470" i="1"/>
  <c r="M92" i="1"/>
  <c r="M357" i="1"/>
  <c r="J487" i="1"/>
  <c r="M73" i="1"/>
  <c r="AA171" i="1"/>
  <c r="J37" i="1"/>
  <c r="J321" i="1"/>
  <c r="J239" i="1"/>
  <c r="J297" i="1"/>
  <c r="I156" i="1"/>
  <c r="AA313" i="1"/>
  <c r="M372" i="1"/>
  <c r="AA354" i="1"/>
  <c r="J510" i="1"/>
  <c r="J491" i="1"/>
  <c r="J260" i="1"/>
  <c r="M368" i="1"/>
  <c r="I82" i="1"/>
  <c r="J235" i="1"/>
  <c r="M198" i="1"/>
  <c r="J319" i="1"/>
  <c r="AA502" i="1"/>
  <c r="J62" i="1"/>
  <c r="J97" i="1"/>
  <c r="M65" i="1"/>
  <c r="M396" i="1"/>
  <c r="I110" i="1"/>
  <c r="J378" i="1"/>
  <c r="J28" i="1"/>
  <c r="J100" i="1"/>
  <c r="M128" i="1"/>
  <c r="M140" i="1"/>
  <c r="M306" i="1"/>
  <c r="AA395" i="1"/>
  <c r="J77" i="1"/>
  <c r="M67" i="1"/>
  <c r="J216" i="1"/>
  <c r="M249" i="1"/>
  <c r="AA193" i="1"/>
  <c r="J427" i="1"/>
  <c r="I280" i="1"/>
  <c r="M408" i="1"/>
  <c r="J252" i="1"/>
  <c r="J55" i="1"/>
  <c r="I458" i="1"/>
  <c r="J248" i="1"/>
  <c r="I94" i="1"/>
  <c r="J268" i="1"/>
  <c r="I355" i="1"/>
  <c r="F506" i="1"/>
  <c r="I356" i="1"/>
  <c r="I127" i="1"/>
  <c r="F221" i="1"/>
  <c r="D213" i="1"/>
  <c r="F309" i="1"/>
  <c r="F297" i="1"/>
  <c r="F435" i="1"/>
  <c r="I323" i="1"/>
  <c r="D474" i="1"/>
  <c r="D475" i="1"/>
  <c r="F252" i="1"/>
  <c r="D106" i="1"/>
  <c r="J154" i="1"/>
  <c r="J36" i="1"/>
  <c r="I28" i="1"/>
  <c r="J371" i="1"/>
  <c r="I69" i="1"/>
  <c r="J361" i="1"/>
  <c r="I188" i="1"/>
  <c r="I177" i="1"/>
  <c r="F134" i="1"/>
  <c r="I416" i="1"/>
  <c r="F289" i="1"/>
  <c r="F472" i="1"/>
  <c r="F193" i="1"/>
  <c r="I197" i="1"/>
  <c r="J311" i="1"/>
  <c r="J181" i="1"/>
  <c r="J80" i="1"/>
  <c r="I87" i="1"/>
  <c r="J89" i="1"/>
  <c r="I326" i="1"/>
  <c r="J288" i="1"/>
  <c r="I483" i="1"/>
  <c r="D21" i="1"/>
  <c r="I125" i="1"/>
  <c r="I48" i="1"/>
  <c r="F113" i="1"/>
  <c r="F212" i="1"/>
  <c r="M314" i="1"/>
  <c r="J483" i="1"/>
  <c r="J275" i="1"/>
  <c r="I382" i="1"/>
  <c r="I402" i="1"/>
  <c r="I78" i="1"/>
  <c r="I248" i="1"/>
  <c r="J413" i="1"/>
  <c r="J69" i="1"/>
  <c r="F361" i="1"/>
  <c r="F135" i="1"/>
  <c r="I244" i="1"/>
  <c r="I306" i="1"/>
  <c r="F364" i="1"/>
  <c r="F403" i="1"/>
  <c r="F384" i="1"/>
  <c r="D144" i="1"/>
  <c r="F432" i="1"/>
  <c r="D158" i="1"/>
  <c r="D381" i="1"/>
  <c r="F482" i="1"/>
  <c r="I180" i="1"/>
  <c r="J377" i="1"/>
  <c r="J501" i="1"/>
  <c r="J49" i="1"/>
  <c r="I215" i="1"/>
  <c r="J345" i="1"/>
  <c r="I502" i="1"/>
  <c r="J113" i="1"/>
  <c r="I68" i="1"/>
  <c r="F20" i="1"/>
  <c r="F195" i="1"/>
  <c r="I304" i="1"/>
  <c r="F217" i="1"/>
  <c r="F24" i="1"/>
  <c r="F418" i="1"/>
  <c r="F81" i="1"/>
  <c r="D39" i="1"/>
  <c r="F286" i="1"/>
  <c r="D191" i="1"/>
  <c r="M21" i="1"/>
  <c r="AA324" i="1"/>
  <c r="M438" i="1"/>
  <c r="M173" i="1"/>
  <c r="AA320" i="1"/>
  <c r="M276" i="1"/>
  <c r="AA499" i="1"/>
  <c r="AA274" i="1"/>
  <c r="J158" i="1"/>
  <c r="AA165" i="1"/>
  <c r="M138" i="1"/>
  <c r="J486" i="1"/>
  <c r="AA202" i="1"/>
  <c r="M89" i="1"/>
  <c r="M70" i="1"/>
  <c r="AA475" i="1"/>
  <c r="J191" i="1"/>
  <c r="M334" i="1"/>
  <c r="M157" i="1"/>
  <c r="J272" i="1"/>
  <c r="J512" i="1"/>
  <c r="M253" i="1"/>
  <c r="I265" i="1"/>
  <c r="I503" i="1"/>
  <c r="AA414" i="1"/>
  <c r="M105" i="1"/>
  <c r="M323" i="1"/>
  <c r="M445" i="1"/>
  <c r="AA472" i="1"/>
  <c r="J103" i="1"/>
  <c r="J434" i="1"/>
  <c r="AA394" i="1"/>
  <c r="M361" i="1"/>
  <c r="M120" i="1"/>
  <c r="AA438" i="1"/>
  <c r="J267" i="1"/>
  <c r="M190" i="1"/>
  <c r="J435" i="1"/>
  <c r="AA307" i="1"/>
  <c r="M316" i="1"/>
  <c r="J430" i="1"/>
  <c r="M188" i="1"/>
  <c r="J132" i="1"/>
  <c r="M425" i="1"/>
  <c r="M241" i="1"/>
  <c r="J340" i="1"/>
  <c r="J250" i="1"/>
  <c r="J232" i="1"/>
  <c r="J147" i="1"/>
  <c r="I245" i="1"/>
  <c r="AA382" i="1"/>
  <c r="M18" i="1"/>
  <c r="M30" i="1"/>
  <c r="J351" i="1"/>
  <c r="J474" i="1"/>
  <c r="AA151" i="1"/>
  <c r="J500" i="1"/>
  <c r="M151" i="1"/>
  <c r="J301" i="1"/>
  <c r="AA498" i="1"/>
  <c r="M423" i="1"/>
  <c r="AA514" i="1"/>
  <c r="J424" i="1"/>
  <c r="J26" i="1"/>
  <c r="J87" i="1"/>
  <c r="M185" i="1"/>
  <c r="AA465" i="1"/>
  <c r="J299" i="1"/>
  <c r="J457" i="1"/>
  <c r="I374" i="1"/>
  <c r="AA214" i="1"/>
  <c r="M387" i="1"/>
  <c r="M179" i="1"/>
  <c r="M501" i="1"/>
  <c r="I22" i="1"/>
  <c r="M251" i="1"/>
  <c r="J313" i="1"/>
  <c r="J310" i="1"/>
  <c r="M338" i="1"/>
  <c r="J437" i="1"/>
  <c r="I137" i="1"/>
  <c r="I238" i="1"/>
  <c r="M66" i="1"/>
  <c r="J106" i="1"/>
  <c r="I511" i="1"/>
  <c r="J274" i="1"/>
  <c r="I103" i="1"/>
  <c r="J42" i="1"/>
  <c r="I324" i="1"/>
  <c r="F463" i="1"/>
  <c r="F9" i="1"/>
  <c r="I161" i="1"/>
  <c r="F59" i="1"/>
  <c r="F225" i="1"/>
  <c r="F203" i="1"/>
  <c r="F167" i="1"/>
  <c r="D16" i="1"/>
  <c r="F125" i="1"/>
  <c r="D445" i="1"/>
  <c r="F414" i="1"/>
  <c r="D389" i="1"/>
  <c r="F513" i="1"/>
  <c r="J295" i="1"/>
  <c r="J130" i="1"/>
  <c r="I501" i="1"/>
  <c r="J509" i="1"/>
  <c r="M164" i="1"/>
  <c r="J211" i="1"/>
  <c r="M430" i="1"/>
  <c r="I122" i="1"/>
  <c r="F459" i="1"/>
  <c r="I349" i="1"/>
  <c r="J184" i="1"/>
  <c r="F292" i="1"/>
  <c r="F445" i="1"/>
  <c r="I276" i="1"/>
  <c r="M147" i="1"/>
  <c r="M453" i="1"/>
  <c r="J490" i="1"/>
  <c r="I40" i="1"/>
  <c r="J443" i="1"/>
  <c r="I231" i="1"/>
  <c r="J298" i="1"/>
  <c r="I452" i="1"/>
  <c r="F359" i="1"/>
  <c r="F162" i="1"/>
  <c r="I417" i="1"/>
  <c r="F444" i="1"/>
  <c r="D182" i="1"/>
  <c r="M255" i="1"/>
  <c r="J186" i="1"/>
  <c r="I199" i="1"/>
  <c r="I495" i="1"/>
  <c r="I481" i="1"/>
  <c r="I95" i="1"/>
  <c r="I105" i="1"/>
  <c r="I221" i="1"/>
  <c r="I400" i="1"/>
  <c r="F90" i="1"/>
  <c r="F5" i="1"/>
  <c r="F72" i="1"/>
  <c r="I57" i="1"/>
  <c r="D53" i="1"/>
  <c r="D84" i="1"/>
  <c r="F423" i="1"/>
  <c r="D315" i="1"/>
  <c r="F273" i="1"/>
  <c r="F126" i="1"/>
  <c r="I146" i="1"/>
  <c r="D201" i="1"/>
  <c r="F462" i="1"/>
  <c r="M449" i="1"/>
  <c r="J200" i="1"/>
  <c r="J283" i="1"/>
  <c r="I168" i="1"/>
  <c r="J195" i="1"/>
  <c r="I359" i="1"/>
  <c r="J116" i="1"/>
  <c r="I93" i="1"/>
  <c r="D340" i="1"/>
  <c r="D4" i="1"/>
  <c r="I106" i="1"/>
  <c r="J507" i="1"/>
  <c r="F483" i="1"/>
  <c r="F400" i="1"/>
  <c r="F367" i="1"/>
  <c r="F354" i="1"/>
  <c r="F261" i="1"/>
  <c r="F321" i="1"/>
  <c r="I274" i="1"/>
  <c r="J201" i="1"/>
  <c r="AA446" i="1"/>
  <c r="M86" i="1"/>
  <c r="AA199" i="1"/>
  <c r="M442" i="1"/>
  <c r="M97" i="1"/>
  <c r="AA463" i="1"/>
  <c r="AA163" i="1"/>
  <c r="M308" i="1"/>
  <c r="AA184" i="1"/>
  <c r="M490" i="1"/>
  <c r="AA416" i="1"/>
  <c r="AA175" i="1"/>
  <c r="M271" i="1"/>
  <c r="AA185" i="1"/>
  <c r="AA269" i="1"/>
  <c r="M339" i="1"/>
  <c r="AA103" i="1"/>
  <c r="M257" i="1"/>
  <c r="M398" i="1"/>
  <c r="J218" i="1"/>
  <c r="J45" i="1"/>
  <c r="I285" i="1"/>
  <c r="I399" i="1"/>
  <c r="M389" i="1"/>
  <c r="M187" i="1"/>
  <c r="M148" i="1"/>
  <c r="J279" i="1"/>
  <c r="M194" i="1"/>
  <c r="AA473" i="1"/>
  <c r="J395" i="1"/>
  <c r="AA392" i="1"/>
  <c r="M36" i="1"/>
  <c r="M436" i="1"/>
  <c r="M136" i="1"/>
  <c r="J333" i="1"/>
  <c r="M344" i="1"/>
  <c r="J57" i="1"/>
  <c r="AA296" i="1"/>
  <c r="M181" i="1"/>
  <c r="AA186" i="1"/>
  <c r="J446" i="1"/>
  <c r="J481" i="1"/>
  <c r="J384" i="1"/>
  <c r="M20" i="1"/>
  <c r="I494" i="1"/>
  <c r="J171" i="1"/>
  <c r="J329" i="1"/>
  <c r="I158" i="1"/>
  <c r="M464" i="1"/>
  <c r="AA317" i="1"/>
  <c r="M341" i="1"/>
  <c r="M50" i="1"/>
  <c r="AA385" i="1"/>
  <c r="J84" i="1"/>
  <c r="M240" i="1"/>
  <c r="J88" i="1"/>
  <c r="M451" i="1"/>
  <c r="I246" i="1"/>
  <c r="AA415" i="1"/>
  <c r="M146" i="1"/>
  <c r="M158" i="1"/>
  <c r="J415" i="1"/>
  <c r="J499" i="1"/>
  <c r="AA504" i="1"/>
  <c r="J111" i="1"/>
  <c r="M280" i="1"/>
  <c r="J365" i="1"/>
  <c r="J386" i="1"/>
  <c r="I263" i="1"/>
  <c r="M208" i="1"/>
  <c r="M371" i="1"/>
  <c r="M429" i="1"/>
  <c r="M273" i="1"/>
  <c r="I479" i="1"/>
  <c r="J438" i="1"/>
  <c r="J242" i="1"/>
  <c r="J336" i="1"/>
  <c r="M412" i="1"/>
  <c r="AA149" i="1"/>
  <c r="M218" i="1"/>
  <c r="J462" i="1"/>
  <c r="J226" i="1"/>
  <c r="J477" i="1"/>
  <c r="I424" i="1"/>
  <c r="J261" i="1"/>
  <c r="I56" i="1"/>
  <c r="J29" i="1"/>
  <c r="J153" i="1"/>
  <c r="F85" i="1"/>
  <c r="F396" i="1"/>
  <c r="I403" i="1"/>
  <c r="J251" i="1"/>
  <c r="F169" i="1"/>
  <c r="D195" i="1"/>
  <c r="D428" i="1"/>
  <c r="D328" i="1"/>
  <c r="F21" i="1"/>
  <c r="F160" i="1"/>
  <c r="D231" i="1"/>
  <c r="D419" i="1"/>
  <c r="I497" i="1"/>
  <c r="M213" i="1"/>
  <c r="J117" i="1"/>
  <c r="J471" i="1"/>
  <c r="I23" i="1"/>
  <c r="J108" i="1"/>
  <c r="I222" i="1"/>
  <c r="J144" i="1"/>
  <c r="I419" i="1"/>
  <c r="D140" i="1"/>
  <c r="I484" i="1"/>
  <c r="I383" i="1"/>
  <c r="F112" i="1"/>
  <c r="F339" i="1"/>
  <c r="AA167" i="1"/>
  <c r="J119" i="1"/>
  <c r="J484" i="1"/>
  <c r="I294" i="1"/>
  <c r="I138" i="1"/>
  <c r="J68" i="1"/>
  <c r="I184" i="1"/>
  <c r="J285" i="1"/>
  <c r="J380" i="1"/>
  <c r="F488" i="1"/>
  <c r="F208" i="1"/>
  <c r="I116" i="1"/>
  <c r="I262" i="1"/>
  <c r="F491" i="1"/>
  <c r="M434" i="1"/>
  <c r="I54" i="1"/>
  <c r="I397" i="1"/>
  <c r="J334" i="1"/>
  <c r="I203" i="1"/>
  <c r="AA378" i="1"/>
  <c r="I477" i="1"/>
  <c r="I234" i="1"/>
  <c r="I205" i="1"/>
  <c r="M24" i="1"/>
  <c r="D285" i="1"/>
  <c r="F182" i="1"/>
  <c r="I299" i="1"/>
  <c r="J325" i="1"/>
  <c r="F43" i="1"/>
  <c r="D61" i="1"/>
  <c r="D156" i="1"/>
  <c r="D335" i="1"/>
  <c r="D249" i="1"/>
  <c r="J61" i="1"/>
  <c r="D116" i="1"/>
  <c r="AA247" i="1"/>
  <c r="J96" i="1"/>
  <c r="J213" i="1"/>
  <c r="I462" i="1"/>
  <c r="I25" i="1"/>
  <c r="I206" i="1"/>
  <c r="I312" i="1"/>
  <c r="J284" i="1"/>
  <c r="J21" i="1"/>
  <c r="F299" i="1"/>
  <c r="F369" i="1"/>
  <c r="I372" i="1"/>
  <c r="I183" i="1"/>
  <c r="F285" i="1"/>
  <c r="F276" i="1"/>
  <c r="F241" i="1"/>
  <c r="D171" i="1"/>
  <c r="F471" i="1"/>
  <c r="D431" i="1"/>
  <c r="J408" i="1"/>
  <c r="AA479" i="1"/>
  <c r="M106" i="1"/>
  <c r="AA224" i="1"/>
  <c r="AA462" i="1"/>
  <c r="M333" i="1"/>
  <c r="AA488" i="1"/>
  <c r="AA372" i="1"/>
  <c r="M463" i="1"/>
  <c r="AA390" i="1"/>
  <c r="M319" i="1"/>
  <c r="AA106" i="1"/>
  <c r="AA200" i="1"/>
  <c r="M61" i="1"/>
  <c r="AA370" i="1"/>
  <c r="M246" i="1"/>
  <c r="M149" i="1"/>
  <c r="AA128" i="1"/>
  <c r="M441" i="1"/>
  <c r="AA192" i="1"/>
  <c r="J139" i="1"/>
  <c r="J396" i="1"/>
  <c r="I507" i="1"/>
  <c r="AA113" i="1"/>
  <c r="M348" i="1"/>
  <c r="J302" i="1"/>
  <c r="M237" i="1"/>
  <c r="J256" i="1"/>
  <c r="M431" i="1"/>
  <c r="M298" i="1"/>
  <c r="J421" i="1"/>
  <c r="AA474" i="1"/>
  <c r="M388" i="1"/>
  <c r="M193" i="1"/>
  <c r="M124" i="1"/>
  <c r="I278" i="1"/>
  <c r="M497" i="1"/>
  <c r="J228" i="1"/>
  <c r="M305" i="1"/>
  <c r="M216" i="1"/>
  <c r="AA437" i="1"/>
  <c r="J287" i="1"/>
  <c r="J410" i="1"/>
  <c r="J452" i="1"/>
  <c r="J456" i="1"/>
  <c r="M302" i="1"/>
  <c r="J237" i="1"/>
  <c r="J258" i="1"/>
  <c r="I135" i="1"/>
  <c r="J177" i="1"/>
  <c r="AA436" i="1"/>
  <c r="M483" i="1"/>
  <c r="M373" i="1"/>
  <c r="M466" i="1"/>
  <c r="J461" i="1"/>
  <c r="M233" i="1"/>
  <c r="J185" i="1"/>
  <c r="M252" i="1"/>
  <c r="M8" i="1"/>
  <c r="M294" i="1"/>
  <c r="M491" i="1"/>
  <c r="M178" i="1"/>
  <c r="AA506" i="1"/>
  <c r="J404" i="1"/>
  <c r="M210" i="1"/>
  <c r="J152" i="1"/>
  <c r="M309" i="1"/>
  <c r="AA460" i="1"/>
  <c r="J307" i="1"/>
  <c r="I216" i="1"/>
  <c r="M279" i="1"/>
  <c r="M172" i="1"/>
  <c r="M413" i="1"/>
  <c r="J196" i="1"/>
  <c r="M174" i="1"/>
  <c r="J379" i="1"/>
  <c r="J163" i="1"/>
  <c r="J356" i="1"/>
  <c r="J326" i="1"/>
  <c r="J72" i="1"/>
  <c r="AA459" i="1"/>
  <c r="J257" i="1"/>
  <c r="I487" i="1"/>
  <c r="I207" i="1"/>
  <c r="I281" i="1"/>
  <c r="I162" i="1"/>
  <c r="I210" i="1"/>
  <c r="I422" i="1"/>
  <c r="I437" i="1"/>
  <c r="F496" i="1"/>
  <c r="D85" i="1"/>
  <c r="F259" i="1"/>
  <c r="I328" i="1"/>
  <c r="F370" i="1"/>
  <c r="F10" i="1"/>
  <c r="D380" i="1"/>
  <c r="D96" i="1"/>
  <c r="F448" i="1"/>
  <c r="D146" i="1"/>
  <c r="D387" i="1"/>
  <c r="D118" i="1"/>
  <c r="D187" i="1"/>
  <c r="AA226" i="1"/>
  <c r="M345" i="1"/>
  <c r="J362" i="1"/>
  <c r="I466" i="1"/>
  <c r="J402" i="1"/>
  <c r="I167" i="1"/>
  <c r="J170" i="1"/>
  <c r="I388" i="1"/>
  <c r="F358" i="1"/>
  <c r="F249" i="1"/>
  <c r="I289" i="1"/>
  <c r="F142" i="1"/>
  <c r="D20" i="1"/>
  <c r="M402" i="1"/>
  <c r="J122" i="1"/>
  <c r="I71" i="1"/>
  <c r="I335" i="1"/>
  <c r="I409" i="1"/>
  <c r="I31" i="1"/>
  <c r="I41" i="1"/>
  <c r="I242" i="1"/>
  <c r="I272" i="1"/>
  <c r="F378" i="1"/>
  <c r="F84" i="1"/>
  <c r="F181" i="1"/>
  <c r="I258" i="1"/>
  <c r="D172" i="1"/>
  <c r="AA301" i="1"/>
  <c r="M467" i="1"/>
  <c r="I59" i="1"/>
  <c r="J337" i="1"/>
  <c r="I172" i="1"/>
  <c r="J212" i="1"/>
  <c r="I347" i="1"/>
  <c r="I448" i="1"/>
  <c r="I468" i="1"/>
  <c r="I447" i="1"/>
  <c r="F236" i="1"/>
  <c r="D268" i="1"/>
  <c r="I485" i="1"/>
  <c r="I464" i="1"/>
  <c r="D35" i="1"/>
  <c r="D240" i="1"/>
  <c r="D346" i="1"/>
  <c r="F421" i="1"/>
  <c r="D281" i="1"/>
  <c r="I164" i="1"/>
  <c r="D283" i="1"/>
  <c r="M37" i="1"/>
  <c r="J506" i="1"/>
  <c r="I391" i="1"/>
  <c r="I426" i="1"/>
  <c r="I314" i="1"/>
  <c r="I159" i="1"/>
  <c r="I169" i="1"/>
  <c r="I47" i="1"/>
  <c r="I489" i="1"/>
  <c r="D291" i="1"/>
  <c r="F22" i="1"/>
  <c r="F73" i="1"/>
  <c r="I185" i="1"/>
  <c r="F123" i="1"/>
  <c r="D366" i="1"/>
  <c r="D244" i="1"/>
  <c r="F248" i="1"/>
  <c r="D243" i="1"/>
  <c r="D395" i="1"/>
  <c r="J306" i="1"/>
  <c r="AA381" i="1"/>
  <c r="AA442" i="1"/>
  <c r="M346" i="1"/>
  <c r="AA375" i="1"/>
  <c r="AA213" i="1"/>
  <c r="M99" i="1"/>
  <c r="AA112" i="1"/>
  <c r="M254" i="1"/>
  <c r="M39" i="1"/>
  <c r="M478" i="1"/>
  <c r="M469" i="1"/>
  <c r="AA508" i="1"/>
  <c r="M130" i="1"/>
  <c r="AA254" i="1"/>
  <c r="AA173" i="1"/>
  <c r="AA486" i="1"/>
  <c r="M250" i="1"/>
  <c r="M116" i="1"/>
  <c r="J448" i="1"/>
  <c r="J399" i="1"/>
  <c r="J66" i="1"/>
  <c r="I476" i="1"/>
  <c r="AA238" i="1"/>
  <c r="M514" i="1"/>
  <c r="AA169" i="1"/>
  <c r="J318" i="1"/>
  <c r="J353" i="1"/>
  <c r="J246" i="1"/>
  <c r="M505" i="1"/>
  <c r="I366" i="1"/>
  <c r="AA447" i="1"/>
  <c r="M235" i="1"/>
  <c r="M409" i="1"/>
  <c r="J54" i="1"/>
  <c r="AA409" i="1"/>
  <c r="J207" i="1"/>
  <c r="J498" i="1"/>
  <c r="AA403" i="1"/>
  <c r="M177" i="1"/>
  <c r="M248" i="1"/>
  <c r="AA344" i="1"/>
  <c r="J331" i="1"/>
  <c r="M47" i="1"/>
  <c r="J24" i="1"/>
  <c r="M397" i="1"/>
  <c r="I182" i="1"/>
  <c r="J179" i="1"/>
  <c r="I88" i="1"/>
  <c r="J27" i="1"/>
  <c r="AA397" i="1"/>
  <c r="M391" i="1"/>
  <c r="M500" i="1"/>
  <c r="M153" i="1"/>
  <c r="I406" i="1"/>
  <c r="J78" i="1"/>
  <c r="J114" i="1"/>
  <c r="J335" i="1"/>
  <c r="M472" i="1"/>
  <c r="AA204" i="1"/>
  <c r="M141" i="1"/>
  <c r="M512" i="1"/>
  <c r="M9" i="1"/>
  <c r="J156" i="1"/>
  <c r="M484" i="1"/>
  <c r="J249" i="1"/>
  <c r="J134" i="1"/>
  <c r="M42" i="1"/>
  <c r="J373" i="1"/>
  <c r="I73" i="1"/>
  <c r="M312" i="1"/>
  <c r="J110" i="1"/>
  <c r="M197" i="1"/>
  <c r="J64" i="1"/>
  <c r="M244" i="1"/>
  <c r="M278" i="1"/>
  <c r="J229" i="1"/>
  <c r="J513" i="1"/>
  <c r="J376" i="1"/>
  <c r="J98" i="1"/>
  <c r="AA280" i="1"/>
  <c r="J109" i="1"/>
  <c r="I344" i="1"/>
  <c r="M481" i="1"/>
  <c r="I413" i="1"/>
  <c r="I415" i="1"/>
  <c r="I425" i="1"/>
  <c r="I303" i="1"/>
  <c r="I385" i="1"/>
  <c r="F316" i="1"/>
  <c r="F271" i="1"/>
  <c r="D68" i="1"/>
  <c r="I154" i="1"/>
  <c r="J409" i="1"/>
  <c r="F341" i="1"/>
  <c r="D65" i="1"/>
  <c r="D398" i="1"/>
  <c r="F175" i="1"/>
  <c r="F362" i="1"/>
  <c r="F152" i="1"/>
  <c r="D154" i="1"/>
  <c r="AA421" i="1"/>
  <c r="J23" i="1"/>
  <c r="J482" i="1"/>
  <c r="I166" i="1"/>
  <c r="I488" i="1"/>
  <c r="J389" i="1"/>
  <c r="I120" i="1"/>
  <c r="J157" i="1"/>
  <c r="J82" i="1"/>
  <c r="F238" i="1"/>
  <c r="F317" i="1"/>
  <c r="I229" i="1"/>
  <c r="J317" i="1"/>
  <c r="F279" i="1"/>
  <c r="M414" i="1"/>
  <c r="J493" i="1"/>
  <c r="I505" i="1"/>
  <c r="M300" i="1"/>
  <c r="I139" i="1"/>
  <c r="I506" i="1"/>
  <c r="I394" i="1"/>
  <c r="I431" i="1"/>
  <c r="I50" i="1"/>
  <c r="F128" i="1"/>
  <c r="D404" i="1"/>
  <c r="F75" i="1"/>
  <c r="I171" i="1"/>
  <c r="J259" i="1"/>
  <c r="J141" i="1"/>
  <c r="J168" i="1"/>
  <c r="I220" i="1"/>
  <c r="J187" i="1"/>
  <c r="I309" i="1"/>
  <c r="J34" i="1"/>
  <c r="I316" i="1"/>
  <c r="I305" i="1"/>
  <c r="F327" i="1"/>
  <c r="I461" i="1"/>
  <c r="D246" i="1"/>
  <c r="F185" i="1"/>
  <c r="F458" i="1"/>
  <c r="I51" i="1"/>
  <c r="J25" i="1"/>
  <c r="F28" i="1"/>
  <c r="F218" i="1"/>
  <c r="D217" i="1"/>
  <c r="D289" i="1"/>
  <c r="F346" i="1"/>
  <c r="F15" i="1"/>
  <c r="M281" i="1"/>
  <c r="I118" i="1"/>
  <c r="I201" i="1"/>
  <c r="J151" i="1"/>
  <c r="I267" i="1"/>
  <c r="M406" i="1"/>
  <c r="I114" i="1"/>
  <c r="I301" i="1"/>
  <c r="I115" i="1"/>
  <c r="M479" i="1"/>
  <c r="F355" i="1"/>
  <c r="F460" i="1"/>
  <c r="I427" i="1"/>
  <c r="I270" i="1"/>
  <c r="F102" i="1"/>
  <c r="F156" i="1"/>
  <c r="D192" i="1"/>
  <c r="D296" i="1"/>
  <c r="D409" i="1"/>
  <c r="M358" i="1"/>
  <c r="M94" i="1"/>
  <c r="M189" i="1"/>
  <c r="AA400" i="1"/>
  <c r="M72" i="1"/>
  <c r="AA118" i="1"/>
  <c r="AA259" i="1"/>
  <c r="AA294" i="1"/>
  <c r="M58" i="1"/>
  <c r="M498" i="1"/>
  <c r="AA380" i="1"/>
  <c r="AA282" i="1"/>
  <c r="M459" i="1"/>
  <c r="AA287" i="1"/>
  <c r="M48" i="1"/>
  <c r="AA337" i="1"/>
  <c r="AA270" i="1"/>
  <c r="M283" i="1"/>
  <c r="M19" i="1"/>
  <c r="AA156" i="1"/>
  <c r="J276" i="1"/>
  <c r="M82" i="1"/>
  <c r="M232" i="1"/>
  <c r="AA130" i="1"/>
  <c r="AA109" i="1"/>
  <c r="J159" i="1"/>
  <c r="J282" i="1"/>
  <c r="J495" i="1"/>
  <c r="J270" i="1"/>
  <c r="AA404" i="1"/>
  <c r="M277" i="1"/>
  <c r="M381" i="1"/>
  <c r="M260" i="1"/>
  <c r="J375" i="1"/>
  <c r="M43" i="1"/>
  <c r="AA194" i="1"/>
  <c r="J180" i="1"/>
  <c r="AA481" i="1"/>
  <c r="M321" i="1"/>
  <c r="M228" i="1"/>
  <c r="M170" i="1"/>
  <c r="J397" i="1"/>
  <c r="M269" i="1"/>
  <c r="J121" i="1"/>
  <c r="M212" i="1"/>
  <c r="M318" i="1"/>
  <c r="J245" i="1"/>
  <c r="I330" i="1"/>
  <c r="I38" i="1"/>
  <c r="AA493" i="1"/>
  <c r="M421" i="1"/>
  <c r="M433" i="1"/>
  <c r="J390" i="1"/>
  <c r="AA108" i="1"/>
  <c r="J407" i="1"/>
  <c r="J35" i="1"/>
  <c r="J312" i="1"/>
  <c r="M404" i="1"/>
  <c r="M374" i="1"/>
  <c r="M109" i="1"/>
  <c r="M205" i="1"/>
  <c r="M265" i="1"/>
  <c r="I470" i="1"/>
  <c r="J262" i="1"/>
  <c r="J178" i="1"/>
  <c r="J431" i="1"/>
  <c r="M335" i="1"/>
  <c r="AA240" i="1"/>
  <c r="M32" i="1"/>
  <c r="AA432" i="1"/>
  <c r="AA511" i="1"/>
  <c r="J126" i="1"/>
  <c r="J161" i="1"/>
  <c r="M455" i="1"/>
  <c r="M376" i="1"/>
  <c r="I174" i="1"/>
  <c r="J442" i="1"/>
  <c r="J420" i="1"/>
  <c r="J85" i="1"/>
  <c r="J190" i="1"/>
  <c r="M4" i="1"/>
  <c r="I253" i="1"/>
  <c r="J92" i="1"/>
  <c r="I181" i="1"/>
  <c r="M289" i="1"/>
  <c r="I155" i="1"/>
  <c r="I256" i="1"/>
  <c r="I84" i="1"/>
  <c r="J123" i="1"/>
  <c r="F41" i="1"/>
  <c r="F497" i="1"/>
  <c r="I396" i="1"/>
  <c r="I80" i="1"/>
  <c r="F233" i="1"/>
  <c r="D284" i="1"/>
  <c r="D353" i="1"/>
  <c r="D174" i="1"/>
  <c r="F308" i="1"/>
  <c r="I473" i="1"/>
  <c r="D491" i="1"/>
  <c r="J71" i="1"/>
  <c r="J308" i="1"/>
  <c r="I389" i="1"/>
  <c r="I271" i="1"/>
  <c r="I345" i="1"/>
  <c r="I490" i="1"/>
  <c r="I482" i="1"/>
  <c r="I510" i="1"/>
  <c r="I144" i="1"/>
  <c r="F409" i="1"/>
  <c r="F211" i="1"/>
  <c r="F260" i="1"/>
  <c r="I456" i="1"/>
  <c r="F350" i="1"/>
  <c r="J360" i="1"/>
  <c r="M471" i="1"/>
  <c r="I250" i="1"/>
  <c r="J209" i="1"/>
  <c r="I108" i="1"/>
  <c r="J247" i="1"/>
  <c r="I283" i="1"/>
  <c r="I384" i="1"/>
  <c r="I340" i="1"/>
  <c r="I134" i="1"/>
  <c r="F363" i="1"/>
  <c r="D67" i="1"/>
  <c r="I157" i="1"/>
  <c r="I336" i="1"/>
  <c r="M215" i="1"/>
  <c r="J322" i="1"/>
  <c r="AA304" i="1"/>
  <c r="I198" i="1"/>
  <c r="M337" i="1"/>
  <c r="J460" i="1"/>
  <c r="M57" i="1"/>
  <c r="I35" i="1"/>
  <c r="F253" i="1"/>
  <c r="I259" i="1"/>
  <c r="J210" i="1"/>
  <c r="F104" i="1"/>
  <c r="F447" i="1"/>
  <c r="I45" i="1"/>
  <c r="I235" i="1"/>
  <c r="D506" i="1"/>
  <c r="I373" i="1"/>
  <c r="D501" i="1"/>
  <c r="D228" i="1"/>
  <c r="F23" i="1"/>
  <c r="F230" i="1"/>
  <c r="M307" i="1"/>
  <c r="M432" i="1"/>
  <c r="I123" i="1"/>
  <c r="J465" i="1"/>
  <c r="I236" i="1"/>
  <c r="J136" i="1"/>
  <c r="I411" i="1"/>
  <c r="I512" i="1"/>
  <c r="I109" i="1"/>
  <c r="I119" i="1"/>
  <c r="F157" i="1"/>
  <c r="D149" i="1"/>
  <c r="F387" i="1"/>
  <c r="I290" i="1"/>
  <c r="D236" i="1"/>
  <c r="D73" i="1"/>
  <c r="D22" i="1"/>
  <c r="F194" i="1"/>
  <c r="M394" i="1"/>
  <c r="J160" i="1"/>
  <c r="J469" i="1"/>
  <c r="AA155" i="1"/>
  <c r="J199" i="1"/>
  <c r="AA261" i="1"/>
  <c r="AA440" i="1"/>
  <c r="AA183" i="1"/>
  <c r="I386" i="1"/>
  <c r="M159" i="1"/>
  <c r="J320" i="1"/>
  <c r="M424" i="1"/>
  <c r="J485" i="1"/>
  <c r="M420" i="1"/>
  <c r="J231" i="1"/>
  <c r="I79" i="1"/>
  <c r="J472" i="1"/>
  <c r="J385" i="1"/>
  <c r="M199" i="1"/>
  <c r="J99" i="1"/>
  <c r="AA507" i="1"/>
  <c r="J90" i="1"/>
  <c r="J403" i="1"/>
  <c r="J143" i="1"/>
  <c r="J233" i="1"/>
  <c r="I288" i="1"/>
  <c r="I449" i="1"/>
  <c r="D304" i="1"/>
  <c r="AA363" i="1"/>
  <c r="I75" i="1"/>
  <c r="I186" i="1"/>
  <c r="I43" i="1"/>
  <c r="I92" i="1"/>
  <c r="I252" i="1"/>
  <c r="D44" i="1"/>
  <c r="J296" i="1"/>
  <c r="J217" i="1"/>
  <c r="F147" i="1"/>
  <c r="F133" i="1"/>
  <c r="I509" i="1"/>
  <c r="J453" i="1"/>
  <c r="J315" i="1"/>
  <c r="I369" i="1"/>
  <c r="F478" i="1"/>
  <c r="F479" i="1"/>
  <c r="M435" i="1"/>
  <c r="I329" i="1"/>
  <c r="J400" i="1"/>
  <c r="I331" i="1"/>
  <c r="M301" i="1"/>
  <c r="I410" i="1"/>
  <c r="I64" i="1"/>
  <c r="I243" i="1"/>
  <c r="J176" i="1"/>
  <c r="F228" i="1"/>
  <c r="F381" i="1"/>
  <c r="I381" i="1"/>
  <c r="I346" i="1"/>
  <c r="F428" i="1"/>
  <c r="D280" i="1"/>
  <c r="D361" i="1"/>
  <c r="D129" i="1"/>
  <c r="D58" i="1"/>
  <c r="I96" i="1"/>
  <c r="J227" i="1"/>
  <c r="I126" i="1"/>
  <c r="J433" i="1"/>
  <c r="I343" i="1"/>
  <c r="J476" i="1"/>
  <c r="I514" i="1"/>
  <c r="J369" i="1"/>
  <c r="I196" i="1"/>
  <c r="F453" i="1"/>
  <c r="F117" i="1"/>
  <c r="I170" i="1"/>
  <c r="D108" i="1"/>
  <c r="F410" i="1"/>
  <c r="D196" i="1"/>
  <c r="D341" i="1"/>
  <c r="D226" i="1"/>
  <c r="D59" i="1"/>
  <c r="F82" i="1"/>
  <c r="D265" i="1"/>
  <c r="I286" i="1"/>
  <c r="D204" i="1"/>
  <c r="F141" i="1"/>
  <c r="D107" i="1"/>
  <c r="F154" i="1"/>
  <c r="F166" i="1"/>
  <c r="F315" i="1"/>
  <c r="D242" i="1"/>
  <c r="D210" i="1"/>
  <c r="D10" i="1"/>
  <c r="D454" i="1"/>
  <c r="I351" i="1"/>
  <c r="J432" i="1"/>
  <c r="D302" i="1"/>
  <c r="D36" i="1"/>
  <c r="D184" i="1"/>
  <c r="D257" i="1"/>
  <c r="D87" i="1"/>
  <c r="F111" i="1"/>
  <c r="D423" i="1"/>
  <c r="AA348" i="1"/>
  <c r="AA374" i="1"/>
  <c r="AA470" i="1"/>
  <c r="AA491" i="1"/>
  <c r="AA208" i="1"/>
  <c r="I471" i="1"/>
  <c r="M171" i="1"/>
  <c r="J292" i="1"/>
  <c r="J382" i="1"/>
  <c r="I430" i="1"/>
  <c r="J206" i="1"/>
  <c r="J224" i="1"/>
  <c r="AA221" i="1"/>
  <c r="J33" i="1"/>
  <c r="J314" i="1"/>
  <c r="M44" i="1"/>
  <c r="J165" i="1"/>
  <c r="AA134" i="1"/>
  <c r="J428" i="1"/>
  <c r="J429" i="1"/>
  <c r="J348" i="1"/>
  <c r="J83" i="1"/>
  <c r="I74" i="1"/>
  <c r="I148" i="1"/>
  <c r="F284" i="1"/>
  <c r="J31" i="1"/>
  <c r="I44" i="1"/>
  <c r="I212" i="1"/>
  <c r="I37" i="1"/>
  <c r="F323" i="1"/>
  <c r="M393" i="1"/>
  <c r="J281" i="1"/>
  <c r="M191" i="1"/>
  <c r="J67" i="1"/>
  <c r="D139" i="1"/>
  <c r="F27" i="1"/>
  <c r="F19" i="1"/>
  <c r="J445" i="1"/>
  <c r="I310" i="1"/>
  <c r="I99" i="1"/>
  <c r="F105" i="1"/>
  <c r="D459" i="1"/>
  <c r="J43" i="1"/>
  <c r="I251" i="1"/>
  <c r="J412" i="1"/>
  <c r="I300" i="1"/>
  <c r="J264" i="1"/>
  <c r="I475" i="1"/>
  <c r="I226" i="1"/>
  <c r="I357" i="1"/>
  <c r="I375" i="1"/>
  <c r="F48" i="1"/>
  <c r="F275" i="1"/>
  <c r="F324" i="1"/>
  <c r="I65" i="1"/>
  <c r="D117" i="1"/>
  <c r="D178" i="1"/>
  <c r="D102" i="1"/>
  <c r="D436" i="1"/>
  <c r="D372" i="1"/>
  <c r="F3" i="1"/>
  <c r="M379" i="1"/>
  <c r="J169" i="1"/>
  <c r="J344" i="1"/>
  <c r="AA396" i="1"/>
  <c r="J440" i="1"/>
  <c r="AA189" i="1"/>
  <c r="AA299" i="1"/>
  <c r="J208" i="1"/>
  <c r="J324" i="1"/>
  <c r="AA298" i="1"/>
  <c r="J464" i="1"/>
  <c r="AA483" i="1"/>
  <c r="I342" i="1"/>
  <c r="M504" i="1"/>
  <c r="AA258" i="1"/>
  <c r="M12" i="1"/>
  <c r="J343" i="1"/>
  <c r="J328" i="1"/>
  <c r="J467" i="1"/>
  <c r="J230" i="1"/>
  <c r="J183" i="1"/>
  <c r="J387" i="1"/>
  <c r="I443" i="1"/>
  <c r="I124" i="1"/>
  <c r="F510" i="1"/>
  <c r="F254" i="1"/>
  <c r="D229" i="1"/>
  <c r="J173" i="1"/>
  <c r="I98" i="1"/>
  <c r="F237" i="1"/>
  <c r="J338" i="1"/>
  <c r="J59" i="1"/>
  <c r="I241" i="1"/>
  <c r="F439" i="1"/>
  <c r="J309" i="1"/>
  <c r="I414" i="1"/>
  <c r="I405" i="1"/>
  <c r="F353" i="1"/>
  <c r="D494" i="1"/>
  <c r="I86" i="1"/>
  <c r="I21" i="1"/>
  <c r="F489" i="1"/>
  <c r="D132" i="1"/>
  <c r="F16" i="1"/>
  <c r="AA322" i="1"/>
  <c r="I348" i="1"/>
  <c r="J300" i="1"/>
  <c r="F451" i="1"/>
  <c r="J290" i="1"/>
  <c r="I444" i="1"/>
  <c r="I433" i="1"/>
  <c r="F366" i="1"/>
  <c r="I273" i="1"/>
  <c r="F507" i="1"/>
  <c r="D267" i="1"/>
  <c r="D13" i="1"/>
  <c r="I307" i="1"/>
  <c r="I438" i="1"/>
  <c r="D91" i="1"/>
  <c r="F14" i="1"/>
  <c r="D464" i="1"/>
  <c r="D14" i="1"/>
  <c r="M419" i="1"/>
  <c r="J65" i="1"/>
  <c r="I30" i="1"/>
  <c r="I453" i="1"/>
  <c r="I153" i="1"/>
  <c r="I398" i="1"/>
  <c r="I440" i="1"/>
  <c r="I230" i="1"/>
  <c r="I63" i="1"/>
  <c r="F93" i="1"/>
  <c r="D3" i="1"/>
  <c r="I149" i="1"/>
  <c r="I72" i="1"/>
  <c r="F7" i="1"/>
  <c r="F88" i="1"/>
  <c r="F393" i="1"/>
  <c r="D371" i="1"/>
  <c r="F188" i="1"/>
  <c r="D225" i="1"/>
  <c r="D27" i="1"/>
  <c r="I217" i="1"/>
  <c r="I200" i="1"/>
  <c r="F440" i="1"/>
  <c r="F122" i="1"/>
  <c r="D368" i="1"/>
  <c r="F334" i="1"/>
  <c r="D385" i="1"/>
  <c r="I491" i="1"/>
  <c r="D234" i="1"/>
  <c r="D467" i="1"/>
  <c r="D433" i="1"/>
  <c r="I239" i="1"/>
  <c r="F420" i="1"/>
  <c r="F375" i="1"/>
  <c r="M101" i="1"/>
  <c r="D262" i="1"/>
  <c r="I317" i="1"/>
  <c r="D209" i="1"/>
  <c r="F465" i="1"/>
  <c r="D241" i="1"/>
  <c r="D317" i="1"/>
  <c r="I218" i="1"/>
  <c r="F40" i="1"/>
  <c r="D162" i="1"/>
  <c r="D64" i="1"/>
  <c r="D508" i="1"/>
  <c r="F467" i="1"/>
  <c r="F192" i="1"/>
  <c r="D142" i="1"/>
  <c r="D379" i="1"/>
  <c r="D230" i="1"/>
  <c r="D417" i="1"/>
  <c r="J105" i="1"/>
  <c r="I321" i="1"/>
  <c r="D408" i="1"/>
  <c r="D165" i="1"/>
  <c r="J383" i="1"/>
  <c r="AA196" i="1"/>
  <c r="AA290" i="1"/>
  <c r="M166" i="1"/>
  <c r="M366" i="1"/>
  <c r="J234" i="1"/>
  <c r="M446" i="1"/>
  <c r="AA271" i="1"/>
  <c r="J417" i="1"/>
  <c r="AA250" i="1"/>
  <c r="AA292" i="1"/>
  <c r="M263" i="1"/>
  <c r="J478" i="1"/>
  <c r="M285" i="1"/>
  <c r="J352" i="1"/>
  <c r="J388" i="1"/>
  <c r="J449" i="1"/>
  <c r="M274" i="1"/>
  <c r="AA162" i="1"/>
  <c r="J450" i="1"/>
  <c r="I117" i="1"/>
  <c r="AA386" i="1"/>
  <c r="M3" i="1"/>
  <c r="I293" i="1"/>
  <c r="D441" i="1"/>
  <c r="M204" i="1"/>
  <c r="J280" i="1"/>
  <c r="J189" i="1"/>
  <c r="I208" i="1"/>
  <c r="I70" i="1"/>
  <c r="I450" i="1"/>
  <c r="F213" i="1"/>
  <c r="J47" i="1"/>
  <c r="I295" i="1"/>
  <c r="F183" i="1"/>
  <c r="F509" i="1"/>
  <c r="D89" i="1"/>
  <c r="M511" i="1"/>
  <c r="J374" i="1"/>
  <c r="F144" i="1"/>
  <c r="F282" i="1"/>
  <c r="I368" i="1"/>
  <c r="M223" i="1"/>
  <c r="M293" i="1"/>
  <c r="I390" i="1"/>
  <c r="J167" i="1"/>
  <c r="J277" i="1"/>
  <c r="M403" i="1"/>
  <c r="I163" i="1"/>
  <c r="F145" i="1"/>
  <c r="I133" i="1"/>
  <c r="J197" i="1"/>
  <c r="F74" i="1"/>
  <c r="F306" i="1"/>
  <c r="I493" i="1"/>
  <c r="I420" i="1"/>
  <c r="D397" i="1"/>
  <c r="I81" i="1"/>
  <c r="D120" i="1"/>
  <c r="D310" i="1"/>
  <c r="M287" i="1"/>
  <c r="J107" i="1"/>
  <c r="I24" i="1"/>
  <c r="M46" i="1"/>
  <c r="I90" i="1"/>
  <c r="I287" i="1"/>
  <c r="M15" i="1"/>
  <c r="AA152" i="1"/>
  <c r="M226" i="1"/>
  <c r="AA181" i="1"/>
  <c r="M31" i="1"/>
  <c r="AA367" i="1"/>
  <c r="J269" i="1"/>
  <c r="M343" i="1"/>
  <c r="J398" i="1"/>
  <c r="M336" i="1"/>
  <c r="J303" i="1"/>
  <c r="J182" i="1"/>
  <c r="J494" i="1"/>
  <c r="M161" i="1"/>
  <c r="AA501" i="1"/>
  <c r="M364" i="1"/>
  <c r="J439" i="1"/>
  <c r="M286" i="1"/>
  <c r="J215" i="1"/>
  <c r="I327" i="1"/>
  <c r="J381" i="1"/>
  <c r="I26" i="1"/>
  <c r="F419" i="1"/>
  <c r="D56" i="1"/>
  <c r="D75" i="1"/>
  <c r="I58" i="1"/>
  <c r="I219" i="1"/>
  <c r="F130" i="1"/>
  <c r="AA340" i="1"/>
  <c r="M487" i="1"/>
  <c r="F332" i="1"/>
  <c r="F336" i="1"/>
  <c r="J155" i="1"/>
  <c r="J426" i="1"/>
  <c r="I354" i="1"/>
  <c r="F174" i="1"/>
  <c r="F226" i="1"/>
  <c r="J514" i="1"/>
  <c r="J149" i="1"/>
  <c r="I387" i="1"/>
  <c r="I165" i="1"/>
  <c r="D159" i="1"/>
  <c r="I62" i="1"/>
  <c r="J124" i="1"/>
  <c r="I232" i="1"/>
  <c r="J323" i="1"/>
  <c r="I423" i="1"/>
  <c r="J91" i="1"/>
  <c r="AA387" i="1"/>
  <c r="D221" i="1"/>
  <c r="D62" i="1"/>
  <c r="I469" i="1"/>
  <c r="J392" i="1"/>
  <c r="F356" i="1"/>
  <c r="F374" i="1"/>
  <c r="F108" i="1"/>
  <c r="D500" i="1"/>
  <c r="F335" i="1"/>
  <c r="D336" i="1"/>
  <c r="D202" i="1"/>
  <c r="J79" i="1"/>
  <c r="J502" i="1"/>
  <c r="I315" i="1"/>
  <c r="J138" i="1"/>
  <c r="I364" i="1"/>
  <c r="J188" i="1"/>
  <c r="I261" i="1"/>
  <c r="I189" i="1"/>
  <c r="F131" i="1"/>
  <c r="I32" i="1"/>
  <c r="F49" i="1"/>
  <c r="F148" i="1"/>
  <c r="F245" i="1"/>
  <c r="I193" i="1"/>
  <c r="F187" i="1"/>
  <c r="D384" i="1"/>
  <c r="J74" i="1"/>
  <c r="D38" i="1"/>
  <c r="F219" i="1"/>
  <c r="F373" i="1"/>
  <c r="I334" i="1"/>
  <c r="F127" i="1"/>
  <c r="D269" i="1"/>
  <c r="F95" i="1"/>
  <c r="D443" i="1"/>
  <c r="I225" i="1"/>
  <c r="D376" i="1"/>
  <c r="F274" i="1"/>
  <c r="F480" i="1"/>
  <c r="D405" i="1"/>
  <c r="I152" i="1"/>
  <c r="F343" i="1"/>
  <c r="D232" i="1"/>
  <c r="D103" i="1"/>
  <c r="D307" i="1"/>
  <c r="D12" i="1"/>
  <c r="F109" i="1"/>
  <c r="D481" i="1"/>
  <c r="D457" i="1"/>
  <c r="D511" i="1"/>
  <c r="D453" i="1"/>
  <c r="M156" i="1"/>
  <c r="I455" i="1"/>
  <c r="D512" i="1"/>
  <c r="F115" i="1"/>
  <c r="D17" i="1"/>
  <c r="D80" i="1"/>
  <c r="D48" i="1"/>
  <c r="D150" i="1"/>
  <c r="D448" i="1"/>
  <c r="D253" i="1"/>
  <c r="J128" i="1"/>
  <c r="F132" i="1"/>
  <c r="I353" i="1"/>
  <c r="D30" i="1"/>
  <c r="M11" i="1"/>
  <c r="M454" i="1"/>
  <c r="AA222" i="1"/>
  <c r="M154" i="1"/>
  <c r="J118" i="1"/>
  <c r="M131" i="1"/>
  <c r="AA429" i="1"/>
  <c r="J366" i="1"/>
  <c r="M83" i="1"/>
  <c r="M355" i="1"/>
  <c r="J50" i="1"/>
  <c r="I457" i="1"/>
  <c r="M443" i="1"/>
  <c r="J101" i="1"/>
  <c r="M507" i="1"/>
  <c r="J503" i="1"/>
  <c r="J463" i="1"/>
  <c r="J140" i="1"/>
  <c r="AA137" i="1"/>
  <c r="J225" i="1"/>
  <c r="I492" i="1"/>
  <c r="F53" i="1"/>
  <c r="F137" i="1"/>
  <c r="I209" i="1"/>
  <c r="D495" i="1"/>
  <c r="M465" i="1"/>
  <c r="I367" i="1"/>
  <c r="D326" i="1"/>
  <c r="J104" i="1"/>
  <c r="J489" i="1"/>
  <c r="I42" i="1"/>
  <c r="I194" i="1"/>
  <c r="I151" i="1"/>
  <c r="I325" i="1"/>
  <c r="F106" i="1"/>
  <c r="D365" i="1"/>
  <c r="F63" i="1"/>
  <c r="I284" i="1"/>
  <c r="I380" i="1"/>
  <c r="F51" i="1"/>
  <c r="J475" i="1"/>
  <c r="M113" i="1"/>
  <c r="J41" i="1"/>
  <c r="I418" i="1"/>
  <c r="I89" i="1"/>
  <c r="I318" i="1"/>
  <c r="I376" i="1"/>
  <c r="I102" i="1"/>
  <c r="I446" i="1"/>
  <c r="F172" i="1"/>
  <c r="F434" i="1"/>
  <c r="I500" i="1"/>
  <c r="I439" i="1"/>
  <c r="F176" i="1"/>
  <c r="F197" i="1"/>
  <c r="F178" i="1"/>
  <c r="F504" i="1"/>
  <c r="D181" i="1"/>
  <c r="D392" i="1"/>
  <c r="D127" i="1"/>
  <c r="M23" i="1"/>
  <c r="J265" i="1"/>
  <c r="I412" i="1"/>
  <c r="J125" i="1"/>
  <c r="AA321" i="1"/>
  <c r="J418" i="1"/>
  <c r="I508" i="1"/>
  <c r="I66" i="1"/>
  <c r="D251" i="1"/>
  <c r="I401" i="1"/>
  <c r="F380" i="1"/>
  <c r="D468" i="1"/>
  <c r="F139" i="1"/>
  <c r="I435" i="1"/>
  <c r="I322" i="1"/>
  <c r="D437" i="1"/>
  <c r="D212" i="1"/>
  <c r="D19" i="1"/>
  <c r="D293" i="1"/>
  <c r="M317" i="1"/>
  <c r="I319" i="1"/>
  <c r="F493" i="1"/>
  <c r="F425" i="1"/>
  <c r="F326" i="1"/>
  <c r="F501" i="1"/>
  <c r="M14" i="1"/>
  <c r="AA124" i="1"/>
  <c r="M225" i="1"/>
  <c r="M383" i="1"/>
  <c r="J142" i="1"/>
  <c r="J394" i="1"/>
  <c r="D123" i="1"/>
  <c r="J75" i="1"/>
  <c r="J363" i="1"/>
  <c r="F66" i="1"/>
  <c r="I179" i="1"/>
  <c r="I279" i="1"/>
  <c r="I132" i="1"/>
  <c r="F290" i="1"/>
  <c r="D330" i="1"/>
  <c r="M201" i="1"/>
  <c r="I478" i="1"/>
  <c r="I297" i="1"/>
  <c r="I129" i="1"/>
  <c r="F422" i="1"/>
  <c r="I441" i="1"/>
  <c r="F78" i="1"/>
  <c r="D416" i="1"/>
  <c r="D199" i="1"/>
  <c r="I486" i="1"/>
  <c r="D263" i="1"/>
  <c r="D223" i="1"/>
  <c r="D69" i="1"/>
  <c r="D219" i="1"/>
  <c r="F92" i="1"/>
  <c r="I338" i="1"/>
  <c r="F98" i="1"/>
  <c r="D74" i="1"/>
  <c r="F29" i="1"/>
  <c r="F338" i="1"/>
  <c r="F382" i="1"/>
  <c r="F413" i="1"/>
  <c r="I91" i="1"/>
  <c r="I352" i="1"/>
  <c r="F101" i="1"/>
  <c r="D435" i="1"/>
  <c r="F140" i="1"/>
  <c r="I311" i="1"/>
  <c r="D286" i="1"/>
  <c r="F45" i="1"/>
  <c r="I60" i="1"/>
  <c r="F502" i="1"/>
  <c r="D121" i="1"/>
  <c r="D41" i="1"/>
  <c r="D60" i="1"/>
  <c r="D105" i="1"/>
  <c r="F68" i="1"/>
  <c r="D220" i="1"/>
  <c r="F37" i="1"/>
  <c r="D505" i="1"/>
  <c r="I85" i="1"/>
  <c r="D396" i="1"/>
  <c r="I277" i="1"/>
  <c r="D282" i="1"/>
  <c r="F288" i="1"/>
  <c r="J492" i="1"/>
  <c r="F454" i="1"/>
  <c r="D300" i="1"/>
  <c r="D200" i="1"/>
  <c r="F171" i="1"/>
  <c r="J198" i="1"/>
  <c r="I463" i="1"/>
  <c r="D382" i="1"/>
  <c r="D45" i="1"/>
  <c r="D110" i="1"/>
  <c r="D148" i="1"/>
  <c r="F402" i="1"/>
  <c r="J133" i="1"/>
  <c r="F168" i="1"/>
  <c r="D190" i="1"/>
  <c r="F278" i="1"/>
  <c r="D254" i="1"/>
  <c r="D270" i="1"/>
  <c r="D83" i="1"/>
  <c r="F204" i="1"/>
  <c r="D37" i="1"/>
  <c r="D46" i="1"/>
  <c r="D316" i="1"/>
  <c r="D18" i="1"/>
  <c r="D141" i="1"/>
  <c r="D124" i="1"/>
  <c r="F512" i="1"/>
  <c r="D2" i="1"/>
  <c r="F17" i="1"/>
  <c r="F430" i="1"/>
  <c r="D498" i="1"/>
  <c r="J148" i="1"/>
  <c r="F263" i="1"/>
  <c r="D472" i="1"/>
  <c r="D49" i="1"/>
  <c r="F302" i="1"/>
  <c r="D514" i="1"/>
  <c r="D362" i="1"/>
  <c r="F177" i="1"/>
  <c r="D350" i="1"/>
  <c r="F379" i="1"/>
  <c r="F498" i="1"/>
  <c r="D507" i="1"/>
  <c r="I39" i="1"/>
  <c r="D197" i="1"/>
  <c r="F429" i="1"/>
  <c r="D394" i="1"/>
  <c r="D451" i="1"/>
  <c r="D418" i="1"/>
  <c r="I33" i="1"/>
  <c r="F293" i="1"/>
  <c r="D138" i="1"/>
  <c r="F269" i="1"/>
  <c r="I332" i="1"/>
  <c r="D347" i="1"/>
  <c r="F170" i="1"/>
  <c r="D125" i="1"/>
  <c r="F200" i="1"/>
  <c r="D9" i="1"/>
  <c r="I339" i="1"/>
  <c r="D24" i="1"/>
  <c r="D115" i="1"/>
  <c r="F424" i="1"/>
  <c r="F205" i="1"/>
  <c r="D168" i="1"/>
  <c r="D299" i="1"/>
  <c r="D180" i="1"/>
  <c r="D167" i="1"/>
  <c r="D297" i="1"/>
  <c r="J56" i="1"/>
  <c r="I460" i="1"/>
  <c r="F264" i="1"/>
  <c r="F514" i="1"/>
  <c r="D290" i="1"/>
  <c r="D93" i="1"/>
  <c r="D29" i="1"/>
  <c r="I358" i="1"/>
  <c r="I407" i="1"/>
  <c r="F476" i="1"/>
  <c r="D482" i="1"/>
  <c r="D306" i="1"/>
  <c r="J497" i="1"/>
  <c r="D203" i="1"/>
  <c r="F468" i="1"/>
  <c r="J204" i="1"/>
  <c r="D185" i="1"/>
  <c r="D311" i="1"/>
  <c r="D412" i="1"/>
  <c r="F389" i="1"/>
  <c r="D42" i="1"/>
  <c r="M62" i="1"/>
  <c r="F255" i="1"/>
  <c r="F328" i="1"/>
  <c r="F62" i="1"/>
  <c r="J349" i="1"/>
  <c r="F469" i="1"/>
  <c r="F6" i="1"/>
  <c r="D179" i="1"/>
  <c r="F394" i="1"/>
  <c r="D352" i="1"/>
  <c r="D70" i="1"/>
  <c r="D370" i="1"/>
  <c r="I260" i="1"/>
  <c r="D375" i="1"/>
  <c r="AA453" i="1"/>
  <c r="F30" i="1"/>
  <c r="F398" i="1"/>
  <c r="M247" i="1"/>
  <c r="J401" i="1"/>
  <c r="F55" i="1"/>
  <c r="M448" i="1"/>
  <c r="J423" i="1"/>
  <c r="M392" i="1"/>
  <c r="M447" i="1"/>
  <c r="J44" i="1"/>
  <c r="M450" i="1"/>
  <c r="D287" i="1"/>
  <c r="J194" i="1"/>
  <c r="I104" i="1"/>
  <c r="D390" i="1"/>
  <c r="I52" i="1"/>
  <c r="I365" i="1"/>
  <c r="I341" i="1"/>
  <c r="I313" i="1"/>
  <c r="D327" i="1"/>
  <c r="J508" i="1"/>
  <c r="I296" i="1"/>
  <c r="I27" i="1"/>
  <c r="I371" i="1"/>
  <c r="F149" i="1"/>
  <c r="I140" i="1"/>
  <c r="F349" i="1"/>
  <c r="F475" i="1"/>
  <c r="D403" i="1"/>
  <c r="I504" i="1"/>
  <c r="I83" i="1"/>
  <c r="F416" i="1"/>
  <c r="D429" i="1"/>
  <c r="D489" i="1"/>
  <c r="D264" i="1"/>
  <c r="I361" i="1"/>
  <c r="D216" i="1"/>
  <c r="F267" i="1"/>
  <c r="F47" i="1"/>
  <c r="D383" i="1"/>
  <c r="D164" i="1"/>
  <c r="D411" i="1"/>
  <c r="I192" i="1"/>
  <c r="D157" i="1"/>
  <c r="D456" i="1"/>
  <c r="D356" i="1"/>
  <c r="F36" i="1"/>
  <c r="I173" i="1"/>
  <c r="D313" i="1"/>
  <c r="D206" i="1"/>
  <c r="I49" i="1"/>
  <c r="D25" i="1"/>
  <c r="F455" i="1"/>
  <c r="D183" i="1"/>
  <c r="F312" i="1"/>
  <c r="D82" i="1"/>
  <c r="F340" i="1"/>
  <c r="F499" i="1"/>
  <c r="D303" i="1"/>
  <c r="I34" i="1"/>
  <c r="I434" i="1"/>
  <c r="F240" i="1"/>
  <c r="F495" i="1"/>
  <c r="I97" i="1"/>
  <c r="D8" i="1"/>
  <c r="I292" i="1"/>
  <c r="F184" i="1"/>
  <c r="D252" i="1"/>
  <c r="D477" i="1"/>
  <c r="F372" i="1"/>
  <c r="I130" i="1"/>
  <c r="F300" i="1"/>
  <c r="D318" i="1"/>
  <c r="F138" i="1"/>
  <c r="F390" i="1"/>
  <c r="F38" i="1"/>
  <c r="D79" i="1"/>
  <c r="I237" i="1"/>
  <c r="F103" i="1"/>
  <c r="I136" i="1"/>
  <c r="D248" i="1"/>
  <c r="D250" i="1"/>
  <c r="F333" i="1"/>
  <c r="D6" i="1"/>
  <c r="F100" i="1"/>
  <c r="F13" i="1"/>
  <c r="D374" i="1"/>
  <c r="J293" i="1"/>
  <c r="I249" i="1"/>
  <c r="D410" i="1"/>
  <c r="D351" i="1"/>
  <c r="F481" i="1"/>
  <c r="I337" i="1"/>
  <c r="F466" i="1"/>
  <c r="D461" i="1"/>
  <c r="I496" i="1"/>
  <c r="D449" i="1"/>
  <c r="D40" i="1"/>
  <c r="D364" i="1"/>
  <c r="D189" i="1"/>
  <c r="D504" i="1"/>
  <c r="D301" i="1"/>
  <c r="F470" i="1"/>
  <c r="D235" i="1"/>
  <c r="F265" i="1"/>
  <c r="D305" i="1"/>
  <c r="F242" i="1"/>
  <c r="I211" i="1"/>
  <c r="F159" i="1"/>
  <c r="F446" i="1"/>
  <c r="D402" i="1"/>
  <c r="D422" i="1"/>
  <c r="F449" i="1"/>
  <c r="D113" i="1"/>
  <c r="F4" i="1"/>
  <c r="D272" i="1"/>
  <c r="D460" i="1"/>
  <c r="F404" i="1"/>
  <c r="M477" i="1"/>
  <c r="I143" i="1"/>
  <c r="J150" i="1"/>
  <c r="AA209" i="1"/>
  <c r="M473" i="1"/>
  <c r="AA180" i="1"/>
  <c r="AA195" i="1"/>
  <c r="I113" i="1"/>
  <c r="I472" i="1"/>
  <c r="I141" i="1"/>
  <c r="J236" i="1"/>
  <c r="J73" i="1"/>
  <c r="F39" i="1"/>
  <c r="J473" i="1"/>
  <c r="F110" i="1"/>
  <c r="F25" i="1"/>
  <c r="F431" i="1"/>
  <c r="AA117" i="1"/>
  <c r="I395" i="1"/>
  <c r="J304" i="1"/>
  <c r="F215" i="1"/>
  <c r="I142" i="1"/>
  <c r="D131" i="1"/>
  <c r="I269" i="1"/>
  <c r="I377" i="1"/>
  <c r="D424" i="1"/>
  <c r="F262" i="1"/>
  <c r="D137" i="1"/>
  <c r="I121" i="1"/>
  <c r="D426" i="1"/>
  <c r="F352" i="1"/>
  <c r="F342" i="1"/>
  <c r="I257" i="1"/>
  <c r="F401" i="1"/>
  <c r="F206" i="1"/>
  <c r="I247" i="1"/>
  <c r="I350" i="1"/>
  <c r="F357" i="1"/>
  <c r="D357" i="1"/>
  <c r="I499" i="1"/>
  <c r="D95" i="1"/>
  <c r="D166" i="1"/>
  <c r="D76" i="1"/>
  <c r="F351" i="1"/>
  <c r="F70" i="1"/>
  <c r="D109" i="1"/>
  <c r="D425" i="1"/>
  <c r="I160" i="1"/>
  <c r="D98" i="1"/>
  <c r="D513" i="1"/>
  <c r="D378" i="1"/>
  <c r="J458" i="1"/>
  <c r="F96" i="1"/>
  <c r="F486" i="1"/>
  <c r="D239" i="1"/>
  <c r="F452" i="1"/>
  <c r="M231" i="1"/>
  <c r="D452" i="1"/>
  <c r="I298" i="1"/>
  <c r="D473" i="1"/>
  <c r="F83" i="1"/>
  <c r="J459" i="1"/>
  <c r="F231" i="1"/>
  <c r="D359" i="1"/>
  <c r="D194" i="1"/>
  <c r="J332" i="1"/>
  <c r="F347" i="1"/>
  <c r="J120" i="1"/>
  <c r="D332" i="1"/>
  <c r="F94" i="1"/>
  <c r="D160" i="1"/>
  <c r="F150" i="1"/>
  <c r="F426" i="1"/>
  <c r="F294" i="1"/>
  <c r="J347" i="1"/>
  <c r="F143" i="1"/>
  <c r="I436" i="1"/>
  <c r="I204" i="1"/>
  <c r="D81" i="1"/>
  <c r="I465" i="1"/>
  <c r="D415" i="1"/>
  <c r="F256" i="1"/>
  <c r="D55" i="1"/>
  <c r="D321" i="1"/>
  <c r="F344" i="1"/>
  <c r="D133" i="1"/>
  <c r="D413" i="1"/>
  <c r="F473" i="1"/>
  <c r="F18" i="1"/>
  <c r="D502" i="1"/>
  <c r="D147" i="1"/>
  <c r="F239" i="1"/>
  <c r="I224" i="1"/>
  <c r="D279" i="1"/>
  <c r="F120" i="1"/>
  <c r="F246" i="1"/>
  <c r="F442" i="1"/>
  <c r="D466" i="1"/>
  <c r="F301" i="1"/>
  <c r="D400" i="1"/>
  <c r="D50" i="1"/>
  <c r="D439" i="1"/>
  <c r="D308" i="1"/>
  <c r="F399" i="1"/>
  <c r="D7" i="1"/>
  <c r="D334" i="1"/>
  <c r="F310" i="1"/>
  <c r="F60" i="1"/>
  <c r="F474" i="1"/>
  <c r="D440" i="1"/>
  <c r="F266" i="1"/>
  <c r="F283" i="1"/>
  <c r="D388" i="1"/>
  <c r="F151" i="1"/>
  <c r="F89" i="1"/>
  <c r="D238" i="1"/>
  <c r="I454" i="1"/>
  <c r="F223" i="1"/>
  <c r="D363" i="1"/>
  <c r="F318" i="1"/>
  <c r="D173" i="1"/>
  <c r="F32" i="1"/>
  <c r="D274" i="1"/>
  <c r="D26" i="1"/>
  <c r="D222" i="1"/>
  <c r="D122" i="1"/>
  <c r="F303" i="1"/>
  <c r="I55" i="1"/>
  <c r="D101" i="1"/>
  <c r="J48" i="1"/>
  <c r="I112" i="1"/>
  <c r="F179" i="1"/>
  <c r="D322" i="1"/>
  <c r="I76" i="1"/>
  <c r="F173" i="1"/>
  <c r="I187" i="1"/>
  <c r="I404" i="1"/>
  <c r="I111" i="1"/>
  <c r="I178" i="1"/>
  <c r="D78" i="1"/>
  <c r="D193" i="1"/>
  <c r="F376" i="1"/>
  <c r="M288" i="1"/>
  <c r="M439" i="1"/>
  <c r="M495" i="1"/>
  <c r="I46" i="1"/>
  <c r="J479" i="1"/>
  <c r="D333" i="1"/>
  <c r="J81" i="1"/>
  <c r="J339" i="1"/>
  <c r="I29" i="1"/>
  <c r="AA245" i="1"/>
  <c r="M81" i="1"/>
  <c r="I223" i="1"/>
  <c r="D492" i="1"/>
  <c r="M416" i="1"/>
  <c r="D444" i="1"/>
  <c r="J115" i="1"/>
  <c r="J416" i="1"/>
  <c r="J219" i="1"/>
  <c r="F291" i="1"/>
  <c r="I147" i="1"/>
  <c r="F277" i="1"/>
  <c r="F368" i="1"/>
  <c r="D11" i="1"/>
  <c r="D503" i="1"/>
  <c r="I445" i="1"/>
  <c r="F329" i="1"/>
  <c r="F107" i="1"/>
  <c r="F485" i="1"/>
  <c r="D134" i="1"/>
  <c r="D23" i="1"/>
  <c r="F443" i="1"/>
  <c r="I77" i="1"/>
  <c r="D323" i="1"/>
  <c r="D324" i="1"/>
  <c r="I308" i="1"/>
  <c r="F392" i="1"/>
  <c r="F503" i="1"/>
  <c r="J202" i="1"/>
  <c r="D177" i="1"/>
  <c r="J419" i="1"/>
  <c r="I363" i="1"/>
  <c r="F116" i="1"/>
  <c r="F199" i="1"/>
  <c r="F153" i="1"/>
  <c r="D237" i="1"/>
  <c r="F186" i="1"/>
  <c r="D367" i="1"/>
  <c r="I333" i="1"/>
  <c r="F161" i="1"/>
  <c r="I467" i="1"/>
  <c r="D345" i="1"/>
  <c r="D51" i="1"/>
  <c r="D32" i="1"/>
  <c r="D298" i="1"/>
  <c r="J393" i="1"/>
  <c r="I266" i="1"/>
  <c r="F124" i="1"/>
  <c r="D275" i="1"/>
  <c r="D245" i="1"/>
  <c r="F67" i="1"/>
  <c r="F235" i="1"/>
  <c r="D145" i="1"/>
  <c r="J220" i="1"/>
  <c r="F388" i="1"/>
  <c r="D469" i="1"/>
  <c r="D427" i="1"/>
  <c r="I451" i="1"/>
  <c r="F457" i="1"/>
  <c r="F201" i="1"/>
  <c r="F450" i="1"/>
  <c r="J266" i="1"/>
  <c r="I282" i="1"/>
  <c r="M40" i="1"/>
  <c r="J203" i="1"/>
  <c r="M133" i="1"/>
  <c r="M304" i="1"/>
  <c r="M25" i="1"/>
  <c r="F190" i="1"/>
  <c r="I513" i="1"/>
  <c r="F456" i="1"/>
  <c r="I176" i="1"/>
  <c r="J162" i="1"/>
  <c r="J51" i="1"/>
  <c r="I202" i="1"/>
  <c r="F196" i="1"/>
  <c r="F2" i="1"/>
  <c r="F52" i="1"/>
  <c r="I393" i="1"/>
  <c r="J364" i="1"/>
  <c r="I175" i="1"/>
  <c r="D373" i="1"/>
  <c r="F79" i="1"/>
  <c r="J60" i="1"/>
  <c r="D271" i="1"/>
  <c r="D325" i="1"/>
  <c r="D260" i="1"/>
  <c r="F298" i="1"/>
  <c r="D483" i="1"/>
  <c r="D463" i="1"/>
  <c r="D486" i="1"/>
  <c r="F406" i="1"/>
  <c r="D447" i="1"/>
  <c r="F441" i="1"/>
  <c r="F397" i="1"/>
  <c r="D478" i="1"/>
  <c r="D276" i="1"/>
  <c r="F270" i="1"/>
  <c r="D487" i="1"/>
  <c r="M313" i="1"/>
  <c r="F319" i="1"/>
  <c r="M60" i="1"/>
  <c r="F189" i="1"/>
  <c r="F511" i="1"/>
  <c r="D355" i="1"/>
  <c r="D143" i="1"/>
  <c r="F224" i="1"/>
  <c r="J39" i="1"/>
  <c r="F69" i="1"/>
  <c r="J52" i="1"/>
  <c r="D259" i="1"/>
  <c r="M183" i="1"/>
  <c r="F80" i="1"/>
  <c r="D54" i="1"/>
  <c r="D104" i="1"/>
  <c r="J468" i="1"/>
  <c r="F258" i="1"/>
  <c r="I53" i="1"/>
  <c r="M112" i="1"/>
  <c r="F345" i="1"/>
  <c r="F407" i="1"/>
  <c r="F114" i="1"/>
  <c r="F385" i="1"/>
  <c r="F337" i="1"/>
  <c r="D34" i="1"/>
  <c r="D119" i="1"/>
  <c r="F214" i="1"/>
  <c r="F436" i="1"/>
  <c r="J271" i="1"/>
  <c r="D277" i="1"/>
  <c r="I362" i="1"/>
  <c r="J359" i="1"/>
  <c r="D450" i="1"/>
  <c r="I255" i="1"/>
  <c r="M211" i="1"/>
  <c r="F164" i="1"/>
  <c r="D205" i="1"/>
  <c r="D343" i="1"/>
  <c r="F163" i="1"/>
  <c r="I480" i="1"/>
  <c r="F216" i="1"/>
  <c r="D294" i="1"/>
  <c r="F438" i="1"/>
  <c r="I264" i="1"/>
  <c r="F371" i="1"/>
  <c r="D266" i="1"/>
  <c r="F417" i="1"/>
  <c r="D100" i="1"/>
  <c r="I254" i="1"/>
  <c r="I421" i="1"/>
  <c r="D337" i="1"/>
  <c r="D153" i="1"/>
  <c r="D152" i="1"/>
  <c r="D295" i="1"/>
  <c r="D399" i="1"/>
  <c r="D186" i="1"/>
  <c r="F484" i="1"/>
  <c r="D438" i="1"/>
  <c r="D470" i="1"/>
  <c r="D442" i="1"/>
  <c r="I213" i="1"/>
  <c r="D92" i="1"/>
  <c r="D5" i="1"/>
  <c r="J146" i="1"/>
  <c r="F412" i="1"/>
  <c r="D480" i="1"/>
  <c r="D128" i="1"/>
  <c r="D312" i="1"/>
  <c r="D126" i="1"/>
  <c r="D314" i="1"/>
  <c r="F129" i="1"/>
  <c r="D33" i="1"/>
  <c r="M400" i="1"/>
  <c r="F281" i="1"/>
  <c r="I145" i="1"/>
  <c r="J241" i="1"/>
  <c r="F202" i="1"/>
  <c r="J405" i="1"/>
  <c r="I100" i="1"/>
  <c r="F492" i="1"/>
  <c r="D218" i="1"/>
  <c r="F405" i="1"/>
  <c r="I442" i="1"/>
  <c r="D57" i="1"/>
  <c r="F395" i="1"/>
  <c r="J240" i="1"/>
  <c r="D484" i="1"/>
  <c r="F42" i="1"/>
  <c r="F77" i="1"/>
  <c r="D161" i="1"/>
  <c r="F91" i="1"/>
  <c r="M63" i="1"/>
  <c r="F325" i="1"/>
  <c r="F243" i="1"/>
  <c r="D188" i="1"/>
  <c r="D28" i="1"/>
  <c r="D155" i="1"/>
  <c r="D273" i="1"/>
  <c r="D163" i="1"/>
  <c r="D509" i="1"/>
  <c r="F320" i="1"/>
  <c r="F57" i="1"/>
  <c r="D111" i="1"/>
  <c r="M155" i="1"/>
  <c r="F305" i="1"/>
  <c r="AA201" i="1"/>
  <c r="J112" i="1"/>
  <c r="F287" i="1"/>
  <c r="F322" i="1"/>
  <c r="AA255" i="1"/>
  <c r="M385" i="1"/>
  <c r="J172" i="1"/>
  <c r="J46" i="1"/>
  <c r="M322" i="1"/>
  <c r="F86" i="1"/>
  <c r="I320" i="1"/>
  <c r="I131" i="1"/>
  <c r="M405" i="1"/>
  <c r="M239" i="1"/>
  <c r="I370" i="1"/>
  <c r="I233" i="1"/>
  <c r="F408" i="1"/>
  <c r="F35" i="1"/>
  <c r="D170" i="1"/>
  <c r="M399" i="1"/>
  <c r="M13" i="1"/>
  <c r="I128" i="1"/>
  <c r="J273" i="1"/>
  <c r="F272" i="1"/>
  <c r="I191" i="1"/>
  <c r="F165" i="1"/>
  <c r="D354" i="1"/>
  <c r="I392" i="1"/>
  <c r="D77" i="1"/>
  <c r="F146" i="1"/>
  <c r="F295" i="1"/>
  <c r="J466" i="1"/>
  <c r="D278" i="1"/>
  <c r="J174" i="1"/>
  <c r="I474" i="1"/>
  <c r="D386" i="1"/>
  <c r="D233" i="1"/>
  <c r="F222" i="1"/>
  <c r="D485" i="1"/>
  <c r="D215" i="1"/>
  <c r="M22" i="1"/>
  <c r="I268" i="1"/>
  <c r="F505" i="1"/>
  <c r="F383" i="1"/>
  <c r="F377" i="1"/>
  <c r="D499" i="1"/>
  <c r="F244" i="1"/>
  <c r="F58" i="1"/>
  <c r="I379" i="1"/>
  <c r="F136" i="1"/>
  <c r="F99" i="1"/>
  <c r="F490" i="1"/>
  <c r="I61" i="1"/>
  <c r="F296" i="1"/>
  <c r="F257" i="1"/>
  <c r="F250" i="1"/>
  <c r="F44" i="1"/>
  <c r="D476" i="1"/>
  <c r="J253" i="1"/>
  <c r="D349" i="1"/>
  <c r="D401" i="1"/>
  <c r="F54" i="1"/>
  <c r="F56" i="1"/>
  <c r="D309" i="1"/>
  <c r="D421" i="1"/>
  <c r="I378" i="1"/>
  <c r="D479" i="1"/>
  <c r="D97" i="1"/>
  <c r="D446" i="1"/>
  <c r="I291" i="1"/>
  <c r="F433" i="1"/>
  <c r="F500" i="1"/>
  <c r="I498" i="1"/>
  <c r="F180" i="1"/>
  <c r="I101" i="1"/>
  <c r="J425" i="1"/>
  <c r="F508" i="1"/>
  <c r="D261" i="1"/>
  <c r="D86" i="1"/>
  <c r="F34" i="1"/>
  <c r="F331" i="1"/>
  <c r="D227" i="1"/>
  <c r="D136" i="1"/>
  <c r="D112" i="1"/>
  <c r="D214" i="1"/>
  <c r="D256" i="1"/>
  <c r="F234" i="1"/>
  <c r="F307" i="1"/>
  <c r="I36" i="1"/>
  <c r="F8" i="1"/>
  <c r="F220" i="1"/>
  <c r="D31" i="1"/>
  <c r="F391" i="1"/>
  <c r="F313" i="1"/>
  <c r="F229" i="1"/>
  <c r="F227" i="1"/>
  <c r="D15" i="1"/>
  <c r="D176" i="1"/>
  <c r="F121" i="1"/>
  <c r="F87" i="1"/>
  <c r="F119" i="1"/>
  <c r="D288" i="1"/>
  <c r="F64" i="1"/>
  <c r="D496" i="1"/>
  <c r="F314" i="1"/>
  <c r="D208" i="1"/>
  <c r="F330" i="1"/>
  <c r="D292" i="1"/>
  <c r="D72" i="1"/>
  <c r="D71" i="1"/>
  <c r="D510" i="1"/>
  <c r="F461" i="1"/>
  <c r="D207" i="1"/>
  <c r="AA257" i="1"/>
  <c r="I190" i="1"/>
  <c r="AA309" i="1"/>
  <c r="F61" i="1"/>
  <c r="J305" i="1"/>
  <c r="I432" i="1"/>
  <c r="D471" i="1"/>
  <c r="J93" i="1"/>
  <c r="I227" i="1"/>
  <c r="F427" i="1"/>
  <c r="D458" i="1"/>
  <c r="J193" i="1"/>
  <c r="F464" i="1"/>
  <c r="F76" i="1"/>
  <c r="D255" i="1"/>
  <c r="D420" i="1"/>
  <c r="J367" i="1"/>
  <c r="F31" i="1"/>
  <c r="F71" i="1"/>
  <c r="F12" i="1"/>
  <c r="D94" i="1"/>
  <c r="D52" i="1"/>
  <c r="F191" i="1"/>
  <c r="I275" i="1"/>
  <c r="D360" i="1"/>
  <c r="F155" i="1"/>
  <c r="D130" i="1"/>
  <c r="F268" i="1"/>
  <c r="F494" i="1"/>
  <c r="D377" i="1"/>
  <c r="D175" i="1"/>
  <c r="D339" i="1"/>
  <c r="AA329" i="1"/>
  <c r="J131" i="1"/>
  <c r="D358" i="1"/>
  <c r="F158" i="1"/>
  <c r="F11" i="1"/>
  <c r="F311" i="1"/>
  <c r="F360" i="1"/>
  <c r="J145" i="1"/>
  <c r="I459" i="1"/>
  <c r="I428" i="1"/>
  <c r="D348" i="1"/>
  <c r="D393" i="1"/>
  <c r="F118" i="1"/>
  <c r="F65" i="1"/>
  <c r="F97" i="1"/>
  <c r="F304" i="1"/>
  <c r="D455" i="1"/>
  <c r="F415" i="1"/>
  <c r="F232" i="1"/>
  <c r="F210" i="1"/>
  <c r="D114" i="1"/>
  <c r="F280" i="1"/>
  <c r="D66" i="1"/>
  <c r="D90" i="1"/>
  <c r="D488" i="1"/>
  <c r="F411" i="1"/>
  <c r="D430" i="1"/>
  <c r="I195" i="1"/>
  <c r="M426" i="1"/>
  <c r="F437" i="1"/>
  <c r="D224" i="1"/>
  <c r="D434" i="1"/>
  <c r="D258" i="1"/>
  <c r="I67" i="1"/>
  <c r="J330" i="1"/>
  <c r="D43" i="1"/>
  <c r="D338" i="1"/>
  <c r="F46" i="1"/>
  <c r="D169" i="1"/>
  <c r="F198" i="1"/>
  <c r="AA331" i="1"/>
  <c r="D344" i="1"/>
  <c r="D497" i="1"/>
  <c r="J76" i="1"/>
  <c r="F477" i="1"/>
  <c r="D414" i="1"/>
  <c r="D198" i="1"/>
  <c r="I360" i="1"/>
  <c r="D151" i="1"/>
  <c r="I107" i="1"/>
  <c r="D47" i="1"/>
  <c r="F251" i="1"/>
  <c r="D63" i="1"/>
  <c r="I228" i="1"/>
  <c r="D493" i="1"/>
  <c r="D88" i="1"/>
  <c r="F247" i="1"/>
  <c r="F207" i="1"/>
  <c r="D406" i="1"/>
  <c r="F386" i="1"/>
  <c r="D369" i="1"/>
  <c r="I429" i="1"/>
  <c r="D247" i="1"/>
  <c r="D99" i="1"/>
  <c r="F487" i="1"/>
  <c r="F348" i="1"/>
  <c r="F209" i="1"/>
  <c r="D319" i="1"/>
  <c r="I240" i="1"/>
  <c r="J243" i="1"/>
  <c r="D211" i="1"/>
  <c r="D329" i="1"/>
  <c r="D342" i="1"/>
  <c r="D432" i="1"/>
  <c r="D465" i="1"/>
  <c r="D407" i="1"/>
  <c r="D331" i="1"/>
  <c r="D320" i="1"/>
  <c r="D462" i="1"/>
  <c r="D490" i="1"/>
  <c r="D391" i="1"/>
  <c r="F50" i="1"/>
  <c r="F33" i="1"/>
  <c r="F26" i="1"/>
  <c r="F365" i="1"/>
  <c r="D135" i="1"/>
  <c r="AD4" i="1" l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D88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D106" i="1" s="1"/>
  <c r="AD107" i="1" s="1"/>
  <c r="AD108" i="1" s="1"/>
  <c r="AD109" i="1" s="1"/>
  <c r="AD110" i="1" s="1"/>
  <c r="AD111" i="1" s="1"/>
  <c r="AD112" i="1" s="1"/>
  <c r="AD113" i="1" s="1"/>
  <c r="AD114" i="1" s="1"/>
  <c r="AD115" i="1" s="1"/>
  <c r="AD116" i="1" s="1"/>
  <c r="AD117" i="1" s="1"/>
  <c r="AD118" i="1" s="1"/>
  <c r="AD119" i="1" s="1"/>
  <c r="AD120" i="1" s="1"/>
  <c r="AD121" i="1" s="1"/>
  <c r="AD122" i="1" s="1"/>
  <c r="AD123" i="1" s="1"/>
  <c r="AD124" i="1" s="1"/>
  <c r="AD125" i="1" s="1"/>
  <c r="AD126" i="1" s="1"/>
  <c r="AD127" i="1" s="1"/>
  <c r="AD128" i="1" s="1"/>
  <c r="AD129" i="1" s="1"/>
  <c r="AD130" i="1" s="1"/>
  <c r="AD131" i="1" s="1"/>
  <c r="AD132" i="1" s="1"/>
  <c r="AD133" i="1" s="1"/>
  <c r="AD134" i="1" s="1"/>
  <c r="AD135" i="1" s="1"/>
  <c r="AD136" i="1" s="1"/>
  <c r="AD137" i="1" s="1"/>
  <c r="AD138" i="1" s="1"/>
  <c r="AD139" i="1" s="1"/>
  <c r="AD140" i="1" s="1"/>
  <c r="AD141" i="1" s="1"/>
  <c r="AD142" i="1" s="1"/>
  <c r="AD143" i="1" s="1"/>
  <c r="AD144" i="1" s="1"/>
  <c r="AD145" i="1" s="1"/>
  <c r="AD146" i="1" s="1"/>
  <c r="AD147" i="1" s="1"/>
  <c r="AD148" i="1" s="1"/>
  <c r="AD149" i="1" s="1"/>
  <c r="AD150" i="1" s="1"/>
  <c r="AD151" i="1" s="1"/>
  <c r="AD152" i="1" s="1"/>
  <c r="AD153" i="1" s="1"/>
  <c r="AD154" i="1" s="1"/>
  <c r="AD155" i="1" s="1"/>
  <c r="AD156" i="1" s="1"/>
  <c r="AD157" i="1" s="1"/>
  <c r="AD158" i="1" s="1"/>
  <c r="AD159" i="1" s="1"/>
  <c r="AD160" i="1" s="1"/>
  <c r="AD161" i="1" s="1"/>
  <c r="AD162" i="1" s="1"/>
  <c r="AD163" i="1" s="1"/>
  <c r="AD164" i="1" s="1"/>
  <c r="AD165" i="1" s="1"/>
  <c r="AD166" i="1" s="1"/>
  <c r="AD167" i="1" s="1"/>
  <c r="AD168" i="1" s="1"/>
  <c r="AD169" i="1" s="1"/>
  <c r="AD170" i="1" s="1"/>
  <c r="AD171" i="1" s="1"/>
  <c r="AD172" i="1" s="1"/>
  <c r="AD173" i="1" s="1"/>
  <c r="AD174" i="1" s="1"/>
  <c r="AD175" i="1" s="1"/>
  <c r="AD176" i="1" s="1"/>
  <c r="AD177" i="1" s="1"/>
  <c r="AD178" i="1" s="1"/>
  <c r="AD179" i="1" s="1"/>
  <c r="AD180" i="1" s="1"/>
  <c r="AD181" i="1" s="1"/>
  <c r="AD182" i="1" s="1"/>
  <c r="AD183" i="1" s="1"/>
  <c r="AD184" i="1" s="1"/>
  <c r="AD185" i="1" s="1"/>
  <c r="AD186" i="1" s="1"/>
  <c r="AD187" i="1" s="1"/>
  <c r="AD188" i="1" s="1"/>
  <c r="AD189" i="1" s="1"/>
  <c r="AD190" i="1" s="1"/>
  <c r="AD191" i="1" s="1"/>
  <c r="AD192" i="1" s="1"/>
  <c r="AD193" i="1" s="1"/>
  <c r="AD194" i="1" s="1"/>
  <c r="AD195" i="1" s="1"/>
  <c r="AD196" i="1" s="1"/>
  <c r="AD197" i="1" s="1"/>
  <c r="AD198" i="1" s="1"/>
  <c r="AD199" i="1" s="1"/>
  <c r="AD200" i="1" s="1"/>
  <c r="AD201" i="1" s="1"/>
  <c r="AD202" i="1" s="1"/>
  <c r="AD203" i="1" s="1"/>
  <c r="AD204" i="1" s="1"/>
  <c r="AD205" i="1" s="1"/>
  <c r="AD206" i="1" s="1"/>
  <c r="AD207" i="1" s="1"/>
  <c r="AD208" i="1" s="1"/>
  <c r="AD209" i="1" s="1"/>
  <c r="AD210" i="1" s="1"/>
  <c r="AD211" i="1" s="1"/>
  <c r="AD212" i="1" s="1"/>
  <c r="AD213" i="1" s="1"/>
  <c r="AD214" i="1" s="1"/>
  <c r="AD215" i="1" s="1"/>
  <c r="AD216" i="1" s="1"/>
  <c r="AD217" i="1" s="1"/>
  <c r="AD218" i="1" s="1"/>
  <c r="AD219" i="1" s="1"/>
  <c r="AD220" i="1" s="1"/>
  <c r="AD221" i="1" s="1"/>
  <c r="AD222" i="1" s="1"/>
  <c r="AD223" i="1" s="1"/>
  <c r="AD224" i="1" s="1"/>
  <c r="AD225" i="1" s="1"/>
  <c r="AD226" i="1" s="1"/>
  <c r="AD227" i="1" s="1"/>
  <c r="AD228" i="1" s="1"/>
  <c r="AD229" i="1" s="1"/>
  <c r="AD230" i="1" s="1"/>
  <c r="AD231" i="1" s="1"/>
  <c r="AD232" i="1" s="1"/>
  <c r="AD233" i="1" s="1"/>
  <c r="AD234" i="1" s="1"/>
  <c r="AD235" i="1" s="1"/>
  <c r="AD236" i="1" s="1"/>
  <c r="AD237" i="1" s="1"/>
  <c r="AD238" i="1" s="1"/>
  <c r="AD239" i="1" s="1"/>
  <c r="AD240" i="1" s="1"/>
  <c r="AD241" i="1" s="1"/>
  <c r="AD242" i="1" s="1"/>
  <c r="AD243" i="1" s="1"/>
  <c r="AD244" i="1" s="1"/>
  <c r="AD245" i="1" s="1"/>
  <c r="AD246" i="1" s="1"/>
  <c r="AD247" i="1" s="1"/>
  <c r="AD248" i="1" s="1"/>
  <c r="AD249" i="1" s="1"/>
  <c r="AD250" i="1" s="1"/>
  <c r="AD251" i="1" s="1"/>
  <c r="AD252" i="1" s="1"/>
  <c r="AD253" i="1" s="1"/>
  <c r="AD254" i="1" s="1"/>
  <c r="AD255" i="1" s="1"/>
  <c r="AD256" i="1" s="1"/>
  <c r="AD257" i="1" s="1"/>
  <c r="AD258" i="1" s="1"/>
  <c r="AD259" i="1" s="1"/>
  <c r="AD260" i="1" s="1"/>
  <c r="AD261" i="1" s="1"/>
  <c r="AD262" i="1" s="1"/>
  <c r="AD263" i="1" s="1"/>
  <c r="AD264" i="1" s="1"/>
  <c r="AD265" i="1" s="1"/>
  <c r="AD266" i="1" s="1"/>
  <c r="AD267" i="1" s="1"/>
  <c r="AD268" i="1" s="1"/>
  <c r="AD269" i="1" s="1"/>
  <c r="AD270" i="1" s="1"/>
  <c r="AD271" i="1" s="1"/>
  <c r="AD272" i="1" s="1"/>
  <c r="AD273" i="1" s="1"/>
  <c r="AD274" i="1" s="1"/>
  <c r="AD275" i="1" s="1"/>
  <c r="AD276" i="1" s="1"/>
  <c r="AD277" i="1" s="1"/>
  <c r="AD278" i="1" s="1"/>
  <c r="AD279" i="1" s="1"/>
  <c r="AD280" i="1" s="1"/>
  <c r="AD281" i="1" s="1"/>
  <c r="AD282" i="1" s="1"/>
  <c r="AD283" i="1" s="1"/>
  <c r="AD284" i="1" s="1"/>
  <c r="AD285" i="1" s="1"/>
  <c r="AD286" i="1" s="1"/>
  <c r="AD287" i="1" s="1"/>
  <c r="AD288" i="1" s="1"/>
  <c r="AD289" i="1" s="1"/>
  <c r="AD290" i="1" s="1"/>
  <c r="AD291" i="1" s="1"/>
  <c r="AD292" i="1" s="1"/>
  <c r="AD293" i="1" s="1"/>
  <c r="AD294" i="1" s="1"/>
  <c r="AD295" i="1" s="1"/>
  <c r="AD296" i="1" s="1"/>
  <c r="AD297" i="1" s="1"/>
  <c r="AD298" i="1" s="1"/>
  <c r="AD299" i="1" s="1"/>
  <c r="AD300" i="1" s="1"/>
  <c r="AD301" i="1" s="1"/>
  <c r="AD302" i="1" s="1"/>
  <c r="AD303" i="1" s="1"/>
  <c r="AD304" i="1" s="1"/>
  <c r="AD305" i="1" s="1"/>
  <c r="AD306" i="1" s="1"/>
  <c r="AD307" i="1" s="1"/>
  <c r="AD308" i="1" s="1"/>
  <c r="AD309" i="1" s="1"/>
  <c r="AD310" i="1" s="1"/>
  <c r="AD311" i="1" s="1"/>
  <c r="AD312" i="1" s="1"/>
  <c r="AD313" i="1" s="1"/>
  <c r="AD314" i="1" s="1"/>
  <c r="AD315" i="1" s="1"/>
  <c r="AD316" i="1" s="1"/>
  <c r="AD317" i="1" s="1"/>
  <c r="AD318" i="1" s="1"/>
  <c r="AD319" i="1" s="1"/>
  <c r="AD320" i="1" s="1"/>
  <c r="AD321" i="1" s="1"/>
  <c r="AD322" i="1" s="1"/>
  <c r="AD323" i="1" s="1"/>
  <c r="AD324" i="1" s="1"/>
  <c r="AD325" i="1" s="1"/>
  <c r="AD326" i="1" s="1"/>
  <c r="AD327" i="1" s="1"/>
  <c r="AD328" i="1" s="1"/>
  <c r="AD329" i="1" s="1"/>
  <c r="AD330" i="1" s="1"/>
  <c r="AD331" i="1" s="1"/>
  <c r="AD332" i="1" s="1"/>
  <c r="AD333" i="1" s="1"/>
  <c r="AD334" i="1" s="1"/>
  <c r="AD335" i="1" s="1"/>
  <c r="AD336" i="1" s="1"/>
  <c r="AD337" i="1" s="1"/>
  <c r="AD338" i="1" s="1"/>
  <c r="AD339" i="1" s="1"/>
  <c r="AD340" i="1" s="1"/>
  <c r="AD341" i="1" s="1"/>
  <c r="AD342" i="1" s="1"/>
  <c r="AD343" i="1" s="1"/>
  <c r="AD344" i="1" s="1"/>
  <c r="AD345" i="1" s="1"/>
  <c r="AD346" i="1" s="1"/>
  <c r="AD347" i="1" s="1"/>
  <c r="AD348" i="1" s="1"/>
  <c r="AD349" i="1" s="1"/>
  <c r="AD350" i="1" s="1"/>
  <c r="AD351" i="1" s="1"/>
  <c r="AD352" i="1" s="1"/>
  <c r="AD353" i="1" s="1"/>
  <c r="AD354" i="1" s="1"/>
  <c r="AD355" i="1" s="1"/>
  <c r="AD356" i="1" s="1"/>
  <c r="AD357" i="1" s="1"/>
  <c r="AD358" i="1" s="1"/>
  <c r="AD359" i="1" s="1"/>
  <c r="AD360" i="1" s="1"/>
  <c r="AD361" i="1" s="1"/>
  <c r="AD362" i="1" s="1"/>
  <c r="AD363" i="1" s="1"/>
  <c r="AD364" i="1" s="1"/>
  <c r="AD365" i="1" s="1"/>
  <c r="AD366" i="1" s="1"/>
  <c r="AD367" i="1" s="1"/>
  <c r="AD368" i="1" s="1"/>
  <c r="AD369" i="1" s="1"/>
  <c r="AD370" i="1" s="1"/>
  <c r="AD371" i="1" s="1"/>
  <c r="AD372" i="1" s="1"/>
  <c r="AD373" i="1" s="1"/>
  <c r="AD374" i="1" s="1"/>
  <c r="AD375" i="1" s="1"/>
  <c r="AD376" i="1" s="1"/>
  <c r="AD377" i="1" s="1"/>
  <c r="AD378" i="1" s="1"/>
  <c r="AD379" i="1" s="1"/>
  <c r="AD380" i="1" s="1"/>
  <c r="AD381" i="1" s="1"/>
  <c r="AD382" i="1" s="1"/>
  <c r="AD383" i="1" s="1"/>
  <c r="AD384" i="1" s="1"/>
  <c r="AD385" i="1" s="1"/>
  <c r="AD386" i="1" s="1"/>
  <c r="AD387" i="1" s="1"/>
  <c r="AD388" i="1" s="1"/>
  <c r="AD389" i="1" s="1"/>
  <c r="AD390" i="1" s="1"/>
  <c r="AD391" i="1" s="1"/>
  <c r="AD392" i="1" s="1"/>
  <c r="AD393" i="1" s="1"/>
  <c r="AD394" i="1" s="1"/>
  <c r="AD395" i="1" s="1"/>
  <c r="AD396" i="1" s="1"/>
  <c r="AD397" i="1" s="1"/>
  <c r="AD398" i="1" s="1"/>
  <c r="AD399" i="1" s="1"/>
  <c r="AD400" i="1" s="1"/>
  <c r="AD401" i="1" s="1"/>
  <c r="AD402" i="1" s="1"/>
  <c r="AD403" i="1" s="1"/>
  <c r="AD404" i="1" s="1"/>
  <c r="AD405" i="1" s="1"/>
  <c r="AD406" i="1" s="1"/>
  <c r="AD407" i="1" s="1"/>
  <c r="AD408" i="1" s="1"/>
  <c r="AD409" i="1" s="1"/>
  <c r="AD410" i="1" s="1"/>
  <c r="AD411" i="1" s="1"/>
  <c r="AD412" i="1" s="1"/>
  <c r="AD413" i="1" s="1"/>
  <c r="AD414" i="1" s="1"/>
  <c r="AD415" i="1" s="1"/>
  <c r="AD416" i="1" s="1"/>
  <c r="AD417" i="1" s="1"/>
  <c r="AD418" i="1" s="1"/>
  <c r="AD419" i="1" s="1"/>
  <c r="AD420" i="1" s="1"/>
  <c r="AD421" i="1" s="1"/>
  <c r="AD422" i="1" s="1"/>
  <c r="AD423" i="1" s="1"/>
  <c r="AD424" i="1" s="1"/>
  <c r="AD425" i="1" s="1"/>
  <c r="AD426" i="1" s="1"/>
  <c r="AD427" i="1" s="1"/>
  <c r="AD428" i="1" s="1"/>
  <c r="AD429" i="1" s="1"/>
  <c r="AD430" i="1" s="1"/>
  <c r="AD431" i="1" s="1"/>
  <c r="AD432" i="1" s="1"/>
  <c r="AD433" i="1" s="1"/>
  <c r="AD434" i="1" s="1"/>
  <c r="AD435" i="1" s="1"/>
  <c r="AD436" i="1" s="1"/>
  <c r="AD437" i="1" s="1"/>
  <c r="AD438" i="1" s="1"/>
  <c r="AD439" i="1" s="1"/>
  <c r="AD440" i="1" s="1"/>
  <c r="AD441" i="1" s="1"/>
  <c r="AD442" i="1" s="1"/>
  <c r="AD443" i="1" s="1"/>
  <c r="AD444" i="1" s="1"/>
  <c r="AD445" i="1" s="1"/>
  <c r="AD446" i="1" s="1"/>
  <c r="AD447" i="1" s="1"/>
  <c r="AD448" i="1" s="1"/>
  <c r="AD449" i="1" s="1"/>
  <c r="AD450" i="1" s="1"/>
  <c r="AD451" i="1" s="1"/>
  <c r="AD452" i="1" s="1"/>
  <c r="AD453" i="1" s="1"/>
  <c r="AD454" i="1" s="1"/>
  <c r="AD455" i="1" s="1"/>
  <c r="AD456" i="1" s="1"/>
  <c r="AD457" i="1" s="1"/>
  <c r="AD458" i="1" s="1"/>
  <c r="AD459" i="1" s="1"/>
  <c r="AD460" i="1" s="1"/>
  <c r="AD461" i="1" s="1"/>
  <c r="AD462" i="1" s="1"/>
  <c r="AD463" i="1" s="1"/>
  <c r="AD464" i="1" s="1"/>
  <c r="AD465" i="1" s="1"/>
  <c r="AD466" i="1" s="1"/>
  <c r="AD467" i="1" s="1"/>
  <c r="AD468" i="1" s="1"/>
  <c r="AD469" i="1" s="1"/>
  <c r="AD470" i="1" s="1"/>
  <c r="AD471" i="1" s="1"/>
  <c r="AD472" i="1" s="1"/>
  <c r="AD473" i="1" s="1"/>
  <c r="AD474" i="1" s="1"/>
  <c r="AD475" i="1" s="1"/>
  <c r="AD476" i="1" s="1"/>
  <c r="AD477" i="1" s="1"/>
  <c r="AD478" i="1" s="1"/>
  <c r="AD479" i="1" s="1"/>
  <c r="AD480" i="1" s="1"/>
  <c r="AD481" i="1" s="1"/>
  <c r="AD482" i="1" s="1"/>
  <c r="AD483" i="1" s="1"/>
  <c r="AD484" i="1" s="1"/>
  <c r="AD485" i="1" s="1"/>
  <c r="AD486" i="1" s="1"/>
  <c r="AD487" i="1" s="1"/>
  <c r="AD488" i="1" s="1"/>
  <c r="AD489" i="1" s="1"/>
  <c r="AD490" i="1" s="1"/>
  <c r="AD491" i="1" s="1"/>
  <c r="AD492" i="1" s="1"/>
  <c r="AD493" i="1" s="1"/>
  <c r="AD494" i="1" s="1"/>
  <c r="AD495" i="1" s="1"/>
  <c r="AD496" i="1" s="1"/>
  <c r="AD497" i="1" s="1"/>
  <c r="AD498" i="1" s="1"/>
  <c r="AD499" i="1" s="1"/>
  <c r="AD500" i="1" s="1"/>
  <c r="AD501" i="1" s="1"/>
  <c r="AD502" i="1" s="1"/>
  <c r="AD503" i="1" s="1"/>
  <c r="AD504" i="1" s="1"/>
  <c r="AD505" i="1" s="1"/>
  <c r="AD506" i="1" s="1"/>
  <c r="AD507" i="1" s="1"/>
  <c r="AD508" i="1" s="1"/>
  <c r="AD509" i="1" s="1"/>
  <c r="AD510" i="1" s="1"/>
  <c r="AD511" i="1" s="1"/>
  <c r="AD512" i="1" s="1"/>
  <c r="AD513" i="1" s="1"/>
  <c r="AD514" i="1" s="1"/>
  <c r="X28" i="1"/>
  <c r="X27" i="1"/>
  <c r="L36" i="1"/>
  <c r="K36" i="1"/>
  <c r="L498" i="1"/>
  <c r="K498" i="1"/>
  <c r="L379" i="1"/>
  <c r="K379" i="1"/>
  <c r="N22" i="1"/>
  <c r="O22" i="1"/>
  <c r="K191" i="1"/>
  <c r="L191" i="1"/>
  <c r="L421" i="1"/>
  <c r="K421" i="1"/>
  <c r="L255" i="1"/>
  <c r="K255" i="1"/>
  <c r="L53" i="1"/>
  <c r="K53" i="1"/>
  <c r="N60" i="1"/>
  <c r="O60" i="1"/>
  <c r="L513" i="1"/>
  <c r="K513" i="1"/>
  <c r="L454" i="1"/>
  <c r="K454" i="1"/>
  <c r="L224" i="1"/>
  <c r="K224" i="1"/>
  <c r="K436" i="1"/>
  <c r="L436" i="1"/>
  <c r="K350" i="1"/>
  <c r="L350" i="1"/>
  <c r="L121" i="1"/>
  <c r="K121" i="1"/>
  <c r="O473" i="1"/>
  <c r="N473" i="1"/>
  <c r="L49" i="1"/>
  <c r="K49" i="1"/>
  <c r="K192" i="1"/>
  <c r="L192" i="1"/>
  <c r="K313" i="1"/>
  <c r="L313" i="1"/>
  <c r="O450" i="1"/>
  <c r="N450" i="1"/>
  <c r="N247" i="1"/>
  <c r="O247" i="1"/>
  <c r="L339" i="1"/>
  <c r="K339" i="1"/>
  <c r="L39" i="1"/>
  <c r="K39" i="1"/>
  <c r="E75" i="1"/>
  <c r="E201" i="1"/>
  <c r="E29" i="1"/>
  <c r="E432" i="1"/>
  <c r="E436" i="1"/>
  <c r="E429" i="1"/>
  <c r="E375" i="1"/>
  <c r="E5" i="1"/>
  <c r="E339" i="1"/>
  <c r="E246" i="1"/>
  <c r="E92" i="1"/>
  <c r="E25" i="1"/>
  <c r="E67" i="1"/>
  <c r="E131" i="1"/>
  <c r="E422" i="1"/>
  <c r="E12" i="1"/>
  <c r="E118" i="1"/>
  <c r="E355" i="1"/>
  <c r="E480" i="1"/>
  <c r="E99" i="1"/>
  <c r="E257" i="1"/>
  <c r="E206" i="1"/>
  <c r="E266" i="1"/>
  <c r="E239" i="1"/>
  <c r="E79" i="1"/>
  <c r="E403" i="1"/>
  <c r="E177" i="1"/>
  <c r="E365" i="1"/>
  <c r="E451" i="1"/>
  <c r="E255" i="1"/>
  <c r="E254" i="1"/>
  <c r="E260" i="1"/>
  <c r="E334" i="1"/>
  <c r="E259" i="1"/>
  <c r="E330" i="1"/>
  <c r="E338" i="1"/>
  <c r="E72" i="1"/>
  <c r="E107" i="1"/>
  <c r="E175" i="1"/>
  <c r="E388" i="1"/>
  <c r="E36" i="1"/>
  <c r="E115" i="1"/>
  <c r="E105" i="1"/>
  <c r="E512" i="1"/>
  <c r="E145" i="1"/>
  <c r="E272" i="1"/>
  <c r="E449" i="1"/>
  <c r="E354" i="1"/>
  <c r="E164" i="1"/>
  <c r="E43" i="1"/>
  <c r="E402" i="1"/>
  <c r="E252" i="1"/>
  <c r="E398" i="1"/>
  <c r="E463" i="1"/>
  <c r="E28" i="1"/>
  <c r="E60" i="1"/>
  <c r="E33" i="1"/>
  <c r="E41" i="1"/>
  <c r="E236" i="1"/>
  <c r="E310" i="1"/>
  <c r="E458" i="1"/>
  <c r="E420" i="1"/>
  <c r="E158" i="1"/>
  <c r="E318" i="1"/>
  <c r="E104" i="1"/>
  <c r="E130" i="1"/>
  <c r="E191" i="1"/>
  <c r="E283" i="1"/>
  <c r="E331" i="1"/>
  <c r="E51" i="1"/>
  <c r="E174" i="1"/>
  <c r="E232" i="1"/>
  <c r="E337" i="1"/>
  <c r="E53" i="1"/>
  <c r="E324" i="1"/>
  <c r="E279" i="1"/>
  <c r="E348" i="1"/>
  <c r="E489" i="1"/>
  <c r="E456" i="1"/>
  <c r="E473" i="1"/>
  <c r="E502" i="1"/>
  <c r="E280" i="1"/>
  <c r="E278" i="1"/>
  <c r="E31" i="1"/>
  <c r="E134" i="1"/>
  <c r="E103" i="1"/>
  <c r="E139" i="1"/>
  <c r="E214" i="1"/>
  <c r="E421" i="1"/>
  <c r="E486" i="1"/>
  <c r="E341" i="1"/>
  <c r="E509" i="1"/>
  <c r="E126" i="1"/>
  <c r="E240" i="1"/>
  <c r="E80" i="1"/>
  <c r="E299" i="1"/>
  <c r="E462" i="1"/>
  <c r="E492" i="1"/>
  <c r="E269" i="1"/>
  <c r="E45" i="1"/>
  <c r="E294" i="1"/>
  <c r="E268" i="1"/>
  <c r="E113" i="1"/>
  <c r="E204" i="1"/>
  <c r="E9" i="1"/>
  <c r="E58" i="1"/>
  <c r="E317" i="1"/>
  <c r="E192" i="1"/>
  <c r="E76" i="1"/>
  <c r="E253" i="1"/>
  <c r="E380" i="1"/>
  <c r="E374" i="1"/>
  <c r="E187" i="1"/>
  <c r="E223" i="1"/>
  <c r="E16" i="1"/>
  <c r="E132" i="1"/>
  <c r="E362" i="1"/>
  <c r="E196" i="1"/>
  <c r="E225" i="1"/>
  <c r="E137" i="1"/>
  <c r="E250" i="1"/>
  <c r="E491" i="1"/>
  <c r="E481" i="1"/>
  <c r="E405" i="1"/>
  <c r="E98" i="1"/>
  <c r="E112" i="1"/>
  <c r="E353" i="1"/>
  <c r="E165" i="1"/>
  <c r="E63" i="1"/>
  <c r="E415" i="1"/>
  <c r="E323" i="1"/>
  <c r="E435" i="1"/>
  <c r="E194" i="1"/>
  <c r="E321" i="1"/>
  <c r="E377" i="1"/>
  <c r="E182" i="1"/>
  <c r="E142" i="1"/>
  <c r="E121" i="1"/>
  <c r="E54" i="1"/>
  <c r="E124" i="1"/>
  <c r="E368" i="1"/>
  <c r="E483" i="1"/>
  <c r="E369" i="1"/>
  <c r="E289" i="1"/>
  <c r="E303" i="1"/>
  <c r="E69" i="1"/>
  <c r="E514" i="1"/>
  <c r="E419" i="1"/>
  <c r="E219" i="1"/>
  <c r="E153" i="1"/>
  <c r="E21" i="1"/>
  <c r="E476" i="1"/>
  <c r="E111" i="1"/>
  <c r="E73" i="1"/>
  <c r="E503" i="1"/>
  <c r="E271" i="1"/>
  <c r="E499" i="1"/>
  <c r="E116" i="1"/>
  <c r="E320" i="1"/>
  <c r="E68" i="1"/>
  <c r="E457" i="1"/>
  <c r="E6" i="1"/>
  <c r="E35" i="1"/>
  <c r="E428" i="1"/>
  <c r="E426" i="1"/>
  <c r="E189" i="1"/>
  <c r="E179" i="1"/>
  <c r="E211" i="1"/>
  <c r="E493" i="1"/>
  <c r="E513" i="1"/>
  <c r="E215" i="1"/>
  <c r="E329" i="1"/>
  <c r="E231" i="1"/>
  <c r="E247" i="1"/>
  <c r="E325" i="1"/>
  <c r="E83" i="1"/>
  <c r="E416" i="1"/>
  <c r="E265" i="1"/>
  <c r="E245" i="1"/>
  <c r="E198" i="1"/>
  <c r="E285" i="1"/>
  <c r="E373" i="1"/>
  <c r="E208" i="1"/>
  <c r="E418" i="1"/>
  <c r="E96" i="1"/>
  <c r="E427" i="1"/>
  <c r="E30" i="1"/>
  <c r="E123" i="1"/>
  <c r="E409" i="1"/>
  <c r="E407" i="1"/>
  <c r="E178" i="1"/>
  <c r="E248" i="1"/>
  <c r="E37" i="1"/>
  <c r="E396" i="1"/>
  <c r="E218" i="1"/>
  <c r="E149" i="1"/>
  <c r="E475" i="1"/>
  <c r="E439" i="1"/>
  <c r="E490" i="1"/>
  <c r="E154" i="1"/>
  <c r="E148" i="1"/>
  <c r="E487" i="1"/>
  <c r="E386" i="1"/>
  <c r="E507" i="1"/>
  <c r="E109" i="1"/>
  <c r="E169" i="1"/>
  <c r="E437" i="1"/>
  <c r="E455" i="1"/>
  <c r="E203" i="1"/>
  <c r="E81" i="1"/>
  <c r="E184" i="1"/>
  <c r="E364" i="1"/>
  <c r="E504" i="1"/>
  <c r="E32" i="1"/>
  <c r="E197" i="1"/>
  <c r="E293" i="1"/>
  <c r="E263" i="1"/>
  <c r="E224" i="1"/>
  <c r="E453" i="1"/>
  <c r="E389" i="1"/>
  <c r="E185" i="1"/>
  <c r="E448" i="1"/>
  <c r="E508" i="1"/>
  <c r="E478" i="1"/>
  <c r="E106" i="1"/>
  <c r="E470" i="1"/>
  <c r="E438" i="1"/>
  <c r="E4" i="1"/>
  <c r="E167" i="1"/>
  <c r="E312" i="1"/>
  <c r="E424" i="1"/>
  <c r="E108" i="1"/>
  <c r="E333" i="1"/>
  <c r="E319" i="1"/>
  <c r="E383" i="1"/>
  <c r="E316" i="1"/>
  <c r="E371" i="1"/>
  <c r="E146" i="1"/>
  <c r="E332" i="1"/>
  <c r="E309" i="1"/>
  <c r="E2" i="1"/>
  <c r="E55" i="1"/>
  <c r="E410" i="1"/>
  <c r="E46" i="1"/>
  <c r="E89" i="1"/>
  <c r="E24" i="1"/>
  <c r="E267" i="1"/>
  <c r="E359" i="1"/>
  <c r="E302" i="1"/>
  <c r="E394" i="1"/>
  <c r="E249" i="1"/>
  <c r="E230" i="1"/>
  <c r="E413" i="1"/>
  <c r="E505" i="1"/>
  <c r="E242" i="1"/>
  <c r="E61" i="1"/>
  <c r="E155" i="1"/>
  <c r="E342" i="1"/>
  <c r="E56" i="1"/>
  <c r="E237" i="1"/>
  <c r="E474" i="1"/>
  <c r="E229" i="1"/>
  <c r="E382" i="1"/>
  <c r="E94" i="1"/>
  <c r="E372" i="1"/>
  <c r="E3" i="1"/>
  <c r="E274" i="1"/>
  <c r="E417" i="1"/>
  <c r="E497" i="1"/>
  <c r="E400" i="1"/>
  <c r="E445" i="1"/>
  <c r="E308" i="1"/>
  <c r="E347" i="1"/>
  <c r="E434" i="1"/>
  <c r="E256" i="1"/>
  <c r="E406" i="1"/>
  <c r="E222" i="1"/>
  <c r="E34" i="1"/>
  <c r="E315" i="1"/>
  <c r="E304" i="1"/>
  <c r="E166" i="1"/>
  <c r="E488" i="1"/>
  <c r="E151" i="1"/>
  <c r="E397" i="1"/>
  <c r="E399" i="1"/>
  <c r="E23" i="1"/>
  <c r="E86" i="1"/>
  <c r="E352" i="1"/>
  <c r="E38" i="1"/>
  <c r="E135" i="1"/>
  <c r="E311" i="1"/>
  <c r="E277" i="1"/>
  <c r="E27" i="1"/>
  <c r="E363" i="1"/>
  <c r="E220" i="1"/>
  <c r="E471" i="1"/>
  <c r="E270" i="1"/>
  <c r="E8" i="1"/>
  <c r="E95" i="1"/>
  <c r="E90" i="1"/>
  <c r="E387" i="1"/>
  <c r="E244" i="1"/>
  <c r="E181" i="1"/>
  <c r="E344" i="1"/>
  <c r="E183" i="1"/>
  <c r="E286" i="1"/>
  <c r="E501" i="1"/>
  <c r="E42" i="1"/>
  <c r="E441" i="1"/>
  <c r="E101" i="1"/>
  <c r="E173" i="1"/>
  <c r="E454" i="1"/>
  <c r="E494" i="1"/>
  <c r="E446" i="1"/>
  <c r="E469" i="1"/>
  <c r="E384" i="1"/>
  <c r="E241" i="1"/>
  <c r="E442" i="1"/>
  <c r="E430" i="1"/>
  <c r="E162" i="1"/>
  <c r="E18" i="1"/>
  <c r="E205" i="1"/>
  <c r="E77" i="1"/>
  <c r="E262" i="1"/>
  <c r="E120" i="1"/>
  <c r="E163" i="1"/>
  <c r="E235" i="1"/>
  <c r="E114" i="1"/>
  <c r="E443" i="1"/>
  <c r="E313" i="1"/>
  <c r="E301" i="1"/>
  <c r="E40" i="1"/>
  <c r="E335" i="1"/>
  <c r="E408" i="1"/>
  <c r="E305" i="1"/>
  <c r="E295" i="1"/>
  <c r="E468" i="1"/>
  <c r="E367" i="1"/>
  <c r="E207" i="1"/>
  <c r="E156" i="1"/>
  <c r="E44" i="1"/>
  <c r="E298" i="1"/>
  <c r="E345" i="1"/>
  <c r="E93" i="1"/>
  <c r="E349" i="1"/>
  <c r="E510" i="1"/>
  <c r="E228" i="1"/>
  <c r="E440" i="1"/>
  <c r="E284" i="1"/>
  <c r="E401" i="1"/>
  <c r="E322" i="1"/>
  <c r="E152" i="1"/>
  <c r="E168" i="1"/>
  <c r="E234" i="1"/>
  <c r="E370" i="1"/>
  <c r="E119" i="1"/>
  <c r="E117" i="1"/>
  <c r="E287" i="1"/>
  <c r="E498" i="1"/>
  <c r="E102" i="1"/>
  <c r="E466" i="1"/>
  <c r="E110" i="1"/>
  <c r="E199" i="1"/>
  <c r="E392" i="1"/>
  <c r="E22" i="1"/>
  <c r="E87" i="1"/>
  <c r="E273" i="1"/>
  <c r="E200" i="1"/>
  <c r="E391" i="1"/>
  <c r="E39" i="1"/>
  <c r="E261" i="1"/>
  <c r="E157" i="1"/>
  <c r="E328" i="1"/>
  <c r="E472" i="1"/>
  <c r="E447" i="1"/>
  <c r="E414" i="1"/>
  <c r="E366" i="1"/>
  <c r="E292" i="1"/>
  <c r="E336" i="1"/>
  <c r="E147" i="1"/>
  <c r="E291" i="1"/>
  <c r="E195" i="1"/>
  <c r="E511" i="1"/>
  <c r="E495" i="1"/>
  <c r="E297" i="1"/>
  <c r="E346" i="1"/>
  <c r="E129" i="1"/>
  <c r="E264" i="1"/>
  <c r="E461" i="1"/>
  <c r="E171" i="1"/>
  <c r="E85" i="1"/>
  <c r="E404" i="1"/>
  <c r="E57" i="1"/>
  <c r="E251" i="1"/>
  <c r="E144" i="1"/>
  <c r="E19" i="1"/>
  <c r="E343" i="1"/>
  <c r="E467" i="1"/>
  <c r="E243" i="1"/>
  <c r="E213" i="1"/>
  <c r="E431" i="1"/>
  <c r="E506" i="1"/>
  <c r="E216" i="1"/>
  <c r="E340" i="1"/>
  <c r="E52" i="1"/>
  <c r="E306" i="1"/>
  <c r="E26" i="1"/>
  <c r="E59" i="1"/>
  <c r="E217" i="1"/>
  <c r="E258" i="1"/>
  <c r="E188" i="1"/>
  <c r="E358" i="1"/>
  <c r="E15" i="1"/>
  <c r="E376" i="1"/>
  <c r="E357" i="1"/>
  <c r="E385" i="1"/>
  <c r="E459" i="1"/>
  <c r="E186" i="1"/>
  <c r="E14" i="1"/>
  <c r="E393" i="1"/>
  <c r="E161" i="1"/>
  <c r="E460" i="1"/>
  <c r="E452" i="1"/>
  <c r="E47" i="1"/>
  <c r="E395" i="1"/>
  <c r="E238" i="1"/>
  <c r="E288" i="1"/>
  <c r="E233" i="1"/>
  <c r="E360" i="1"/>
  <c r="E140" i="1"/>
  <c r="E65" i="1"/>
  <c r="E78" i="1"/>
  <c r="E464" i="1"/>
  <c r="E88" i="1"/>
  <c r="E361" i="1"/>
  <c r="E450" i="1"/>
  <c r="E425" i="1"/>
  <c r="E20" i="1"/>
  <c r="E275" i="1"/>
  <c r="E411" i="1"/>
  <c r="E133" i="1"/>
  <c r="E190" i="1"/>
  <c r="E496" i="1"/>
  <c r="E91" i="1"/>
  <c r="E300" i="1"/>
  <c r="E138" i="1"/>
  <c r="E84" i="1"/>
  <c r="E50" i="1"/>
  <c r="E172" i="1"/>
  <c r="E176" i="1"/>
  <c r="E48" i="1"/>
  <c r="E74" i="1"/>
  <c r="E412" i="1"/>
  <c r="E281" i="1"/>
  <c r="E127" i="1"/>
  <c r="E49" i="1"/>
  <c r="E326" i="1"/>
  <c r="E62" i="1"/>
  <c r="E484" i="1"/>
  <c r="E141" i="1"/>
  <c r="E82" i="1"/>
  <c r="E180" i="1"/>
  <c r="E70" i="1"/>
  <c r="E351" i="1"/>
  <c r="E221" i="1"/>
  <c r="E227" i="1"/>
  <c r="E11" i="1"/>
  <c r="E276" i="1"/>
  <c r="E390" i="1"/>
  <c r="E444" i="1"/>
  <c r="E296" i="1"/>
  <c r="E128" i="1"/>
  <c r="E477" i="1"/>
  <c r="E122" i="1"/>
  <c r="E482" i="1"/>
  <c r="E170" i="1"/>
  <c r="E71" i="1"/>
  <c r="E97" i="1"/>
  <c r="E193" i="1"/>
  <c r="E150" i="1"/>
  <c r="E160" i="1"/>
  <c r="E17" i="1"/>
  <c r="E210" i="1"/>
  <c r="E327" i="1"/>
  <c r="E13" i="1"/>
  <c r="E64" i="1"/>
  <c r="E226" i="1"/>
  <c r="E356" i="1"/>
  <c r="E500" i="1"/>
  <c r="E423" i="1"/>
  <c r="E290" i="1"/>
  <c r="E202" i="1"/>
  <c r="E212" i="1"/>
  <c r="E485" i="1"/>
  <c r="E7" i="1"/>
  <c r="E159" i="1"/>
  <c r="E378" i="1"/>
  <c r="E143" i="1"/>
  <c r="E282" i="1"/>
  <c r="E10" i="1"/>
  <c r="E433" i="1"/>
  <c r="E307" i="1"/>
  <c r="E379" i="1"/>
  <c r="E125" i="1"/>
  <c r="E350" i="1"/>
  <c r="E465" i="1"/>
  <c r="E381" i="1"/>
  <c r="E209" i="1"/>
  <c r="E136" i="1"/>
  <c r="E479" i="1"/>
  <c r="E66" i="1"/>
  <c r="E100" i="1"/>
  <c r="E314" i="1"/>
  <c r="K85" i="1"/>
  <c r="L85" i="1"/>
  <c r="N201" i="1"/>
  <c r="O201" i="1"/>
  <c r="O23" i="1"/>
  <c r="N23" i="1"/>
  <c r="L439" i="1"/>
  <c r="K439" i="1"/>
  <c r="K89" i="1"/>
  <c r="L89" i="1"/>
  <c r="L492" i="1"/>
  <c r="K492" i="1"/>
  <c r="N443" i="1"/>
  <c r="O443" i="1"/>
  <c r="K387" i="1"/>
  <c r="L387" i="1"/>
  <c r="O364" i="1"/>
  <c r="N364" i="1"/>
  <c r="O343" i="1"/>
  <c r="N343" i="1"/>
  <c r="K287" i="1"/>
  <c r="L287" i="1"/>
  <c r="L81" i="1"/>
  <c r="K81" i="1"/>
  <c r="L368" i="1"/>
  <c r="K368" i="1"/>
  <c r="K295" i="1"/>
  <c r="L295" i="1"/>
  <c r="O204" i="1"/>
  <c r="N204" i="1"/>
  <c r="O274" i="1"/>
  <c r="N274" i="1"/>
  <c r="L218" i="1"/>
  <c r="K218" i="1"/>
  <c r="K86" i="1"/>
  <c r="L86" i="1"/>
  <c r="L124" i="1"/>
  <c r="K124" i="1"/>
  <c r="O12" i="1"/>
  <c r="N12" i="1"/>
  <c r="K37" i="1"/>
  <c r="L37" i="1"/>
  <c r="K286" i="1"/>
  <c r="L286" i="1"/>
  <c r="K343" i="1"/>
  <c r="L343" i="1"/>
  <c r="L64" i="1"/>
  <c r="K64" i="1"/>
  <c r="N424" i="1"/>
  <c r="O424" i="1"/>
  <c r="L290" i="1"/>
  <c r="K290" i="1"/>
  <c r="L340" i="1"/>
  <c r="K340" i="1"/>
  <c r="L482" i="1"/>
  <c r="K482" i="1"/>
  <c r="K473" i="1"/>
  <c r="L473" i="1"/>
  <c r="O376" i="1"/>
  <c r="N376" i="1"/>
  <c r="N335" i="1"/>
  <c r="O335" i="1"/>
  <c r="O374" i="1"/>
  <c r="N374" i="1"/>
  <c r="N421" i="1"/>
  <c r="O421" i="1"/>
  <c r="N269" i="1"/>
  <c r="O269" i="1"/>
  <c r="O43" i="1"/>
  <c r="N43" i="1"/>
  <c r="N19" i="1"/>
  <c r="O19" i="1"/>
  <c r="O189" i="1"/>
  <c r="N189" i="1"/>
  <c r="K270" i="1"/>
  <c r="L270" i="1"/>
  <c r="O406" i="1"/>
  <c r="N406" i="1"/>
  <c r="L220" i="1"/>
  <c r="K220" i="1"/>
  <c r="K50" i="1"/>
  <c r="L50" i="1"/>
  <c r="N414" i="1"/>
  <c r="O414" i="1"/>
  <c r="K120" i="1"/>
  <c r="L120" i="1"/>
  <c r="O481" i="1"/>
  <c r="N481" i="1"/>
  <c r="O278" i="1"/>
  <c r="N278" i="1"/>
  <c r="N42" i="1"/>
  <c r="O42" i="1"/>
  <c r="N391" i="1"/>
  <c r="O391" i="1"/>
  <c r="O47" i="1"/>
  <c r="N47" i="1"/>
  <c r="N469" i="1"/>
  <c r="O469" i="1"/>
  <c r="O346" i="1"/>
  <c r="N346" i="1"/>
  <c r="K169" i="1"/>
  <c r="L169" i="1"/>
  <c r="K164" i="1"/>
  <c r="L164" i="1"/>
  <c r="K328" i="1"/>
  <c r="L328" i="1"/>
  <c r="L281" i="1"/>
  <c r="K281" i="1"/>
  <c r="O491" i="1"/>
  <c r="N491" i="1"/>
  <c r="O373" i="1"/>
  <c r="N373" i="1"/>
  <c r="N497" i="1"/>
  <c r="O497" i="1"/>
  <c r="N431" i="1"/>
  <c r="O431" i="1"/>
  <c r="L299" i="1"/>
  <c r="K299" i="1"/>
  <c r="K203" i="1"/>
  <c r="L203" i="1"/>
  <c r="K419" i="1"/>
  <c r="L419" i="1"/>
  <c r="L497" i="1"/>
  <c r="K497" i="1"/>
  <c r="K263" i="1"/>
  <c r="L263" i="1"/>
  <c r="N158" i="1"/>
  <c r="O158" i="1"/>
  <c r="K494" i="1"/>
  <c r="L494" i="1"/>
  <c r="N271" i="1"/>
  <c r="O271" i="1"/>
  <c r="N97" i="1"/>
  <c r="O97" i="1"/>
  <c r="O449" i="1"/>
  <c r="N449" i="1"/>
  <c r="K105" i="1"/>
  <c r="L105" i="1"/>
  <c r="K40" i="1"/>
  <c r="L40" i="1"/>
  <c r="L349" i="1"/>
  <c r="K349" i="1"/>
  <c r="N387" i="1"/>
  <c r="O387" i="1"/>
  <c r="O316" i="1"/>
  <c r="N316" i="1"/>
  <c r="L503" i="1"/>
  <c r="K503" i="1"/>
  <c r="K28" i="1"/>
  <c r="L28" i="1"/>
  <c r="K355" i="1"/>
  <c r="L355" i="1"/>
  <c r="L280" i="1"/>
  <c r="K280" i="1"/>
  <c r="O306" i="1"/>
  <c r="N306" i="1"/>
  <c r="N65" i="1"/>
  <c r="O65" i="1"/>
  <c r="O368" i="1"/>
  <c r="N368" i="1"/>
  <c r="N92" i="1"/>
  <c r="O92" i="1"/>
  <c r="N261" i="1"/>
  <c r="O261" i="1"/>
  <c r="O262" i="1"/>
  <c r="N262" i="1"/>
  <c r="O93" i="1"/>
  <c r="N93" i="1"/>
  <c r="O365" i="1"/>
  <c r="N365" i="1"/>
  <c r="O470" i="1"/>
  <c r="N470" i="1"/>
  <c r="N137" i="1"/>
  <c r="O137" i="1"/>
  <c r="N256" i="1"/>
  <c r="O256" i="1"/>
  <c r="O440" i="1"/>
  <c r="N440" i="1"/>
  <c r="O230" i="1"/>
  <c r="N230" i="1"/>
  <c r="O26" i="1"/>
  <c r="N26" i="1"/>
  <c r="N33" i="1"/>
  <c r="O33" i="1"/>
  <c r="N326" i="1"/>
  <c r="O326" i="1"/>
  <c r="N16" i="1"/>
  <c r="O16" i="1"/>
  <c r="N401" i="1"/>
  <c r="O401" i="1"/>
  <c r="N45" i="1"/>
  <c r="O45" i="1"/>
  <c r="O220" i="1"/>
  <c r="N220" i="1"/>
  <c r="N503" i="1"/>
  <c r="O503" i="1"/>
  <c r="O370" i="1"/>
  <c r="N370" i="1"/>
  <c r="O480" i="1"/>
  <c r="N480" i="1"/>
  <c r="N354" i="1"/>
  <c r="O354" i="1"/>
  <c r="N143" i="1"/>
  <c r="O143" i="1"/>
  <c r="N299" i="1"/>
  <c r="O299" i="1"/>
  <c r="O145" i="1"/>
  <c r="N145" i="1"/>
  <c r="O324" i="1"/>
  <c r="N324" i="1"/>
  <c r="O427" i="1"/>
  <c r="N427" i="1"/>
  <c r="L228" i="1"/>
  <c r="K228" i="1"/>
  <c r="K292" i="1"/>
  <c r="L292" i="1"/>
  <c r="K338" i="1"/>
  <c r="L338" i="1"/>
  <c r="L500" i="1"/>
  <c r="K500" i="1"/>
  <c r="K457" i="1"/>
  <c r="L457" i="1"/>
  <c r="K90" i="1"/>
  <c r="L90" i="1"/>
  <c r="L163" i="1"/>
  <c r="K163" i="1"/>
  <c r="N419" i="1"/>
  <c r="O419" i="1"/>
  <c r="L369" i="1"/>
  <c r="K369" i="1"/>
  <c r="O199" i="1"/>
  <c r="N199" i="1"/>
  <c r="K236" i="1"/>
  <c r="L236" i="1"/>
  <c r="K490" i="1"/>
  <c r="L490" i="1"/>
  <c r="K253" i="1"/>
  <c r="L253" i="1"/>
  <c r="O283" i="1"/>
  <c r="N283" i="1"/>
  <c r="L427" i="1"/>
  <c r="K427" i="1"/>
  <c r="L461" i="1"/>
  <c r="K461" i="1"/>
  <c r="L431" i="1"/>
  <c r="K431" i="1"/>
  <c r="L344" i="1"/>
  <c r="K344" i="1"/>
  <c r="O116" i="1"/>
  <c r="N116" i="1"/>
  <c r="K159" i="1"/>
  <c r="L159" i="1"/>
  <c r="O483" i="1"/>
  <c r="N483" i="1"/>
  <c r="L278" i="1"/>
  <c r="K278" i="1"/>
  <c r="N146" i="1"/>
  <c r="O146" i="1"/>
  <c r="N50" i="1"/>
  <c r="O50" i="1"/>
  <c r="O20" i="1"/>
  <c r="N20" i="1"/>
  <c r="O344" i="1"/>
  <c r="N344" i="1"/>
  <c r="N194" i="1"/>
  <c r="O194" i="1"/>
  <c r="N442" i="1"/>
  <c r="O442" i="1"/>
  <c r="L93" i="1"/>
  <c r="K93" i="1"/>
  <c r="L95" i="1"/>
  <c r="K95" i="1"/>
  <c r="L417" i="1"/>
  <c r="K417" i="1"/>
  <c r="K103" i="1"/>
  <c r="L103" i="1"/>
  <c r="O338" i="1"/>
  <c r="N338" i="1"/>
  <c r="K265" i="1"/>
  <c r="L265" i="1"/>
  <c r="K87" i="1"/>
  <c r="L87" i="1"/>
  <c r="K416" i="1"/>
  <c r="L416" i="1"/>
  <c r="N140" i="1"/>
  <c r="O140" i="1"/>
  <c r="O144" i="1"/>
  <c r="N144" i="1"/>
  <c r="O349" i="1"/>
  <c r="N349" i="1"/>
  <c r="N118" i="1"/>
  <c r="O118" i="1"/>
  <c r="O28" i="1"/>
  <c r="N28" i="1"/>
  <c r="N115" i="1"/>
  <c r="O115" i="1"/>
  <c r="N222" i="1"/>
  <c r="O222" i="1"/>
  <c r="N482" i="1"/>
  <c r="O482" i="1"/>
  <c r="O152" i="1"/>
  <c r="N152" i="1"/>
  <c r="O104" i="1"/>
  <c r="N104" i="1"/>
  <c r="N78" i="1"/>
  <c r="O78" i="1"/>
  <c r="N475" i="1"/>
  <c r="O475" i="1"/>
  <c r="N268" i="1"/>
  <c r="O268" i="1"/>
  <c r="O415" i="1"/>
  <c r="N415" i="1"/>
  <c r="O356" i="1"/>
  <c r="N356" i="1"/>
  <c r="N217" i="1"/>
  <c r="O217" i="1"/>
  <c r="N186" i="1"/>
  <c r="O186" i="1"/>
  <c r="O328" i="1"/>
  <c r="N328" i="1"/>
  <c r="N384" i="1"/>
  <c r="O384" i="1"/>
  <c r="O486" i="1"/>
  <c r="N486" i="1"/>
  <c r="O282" i="1"/>
  <c r="N282" i="1"/>
  <c r="O150" i="1"/>
  <c r="N150" i="1"/>
  <c r="N71" i="1"/>
  <c r="O71" i="1"/>
  <c r="O139" i="1"/>
  <c r="N139" i="1"/>
  <c r="N272" i="1"/>
  <c r="O272" i="1"/>
  <c r="K240" i="1"/>
  <c r="L240" i="1"/>
  <c r="N426" i="1"/>
  <c r="O426" i="1"/>
  <c r="K432" i="1"/>
  <c r="L432" i="1"/>
  <c r="L370" i="1"/>
  <c r="K370" i="1"/>
  <c r="N155" i="1"/>
  <c r="O155" i="1"/>
  <c r="L480" i="1"/>
  <c r="K480" i="1"/>
  <c r="O313" i="1"/>
  <c r="N313" i="1"/>
  <c r="N25" i="1"/>
  <c r="O25" i="1"/>
  <c r="L178" i="1"/>
  <c r="K178" i="1"/>
  <c r="L112" i="1"/>
  <c r="K112" i="1"/>
  <c r="L298" i="1"/>
  <c r="K298" i="1"/>
  <c r="K395" i="1"/>
  <c r="L395" i="1"/>
  <c r="K249" i="1"/>
  <c r="L249" i="1"/>
  <c r="K365" i="1"/>
  <c r="L365" i="1"/>
  <c r="N447" i="1"/>
  <c r="O447" i="1"/>
  <c r="L33" i="1"/>
  <c r="K33" i="1"/>
  <c r="K60" i="1"/>
  <c r="L60" i="1"/>
  <c r="L91" i="1"/>
  <c r="K91" i="1"/>
  <c r="L322" i="1"/>
  <c r="K322" i="1"/>
  <c r="K508" i="1"/>
  <c r="L508" i="1"/>
  <c r="L367" i="1"/>
  <c r="K367" i="1"/>
  <c r="O156" i="1"/>
  <c r="N156" i="1"/>
  <c r="L225" i="1"/>
  <c r="K225" i="1"/>
  <c r="L32" i="1"/>
  <c r="K32" i="1"/>
  <c r="N487" i="1"/>
  <c r="O487" i="1"/>
  <c r="K26" i="1"/>
  <c r="L26" i="1"/>
  <c r="N161" i="1"/>
  <c r="O161" i="1"/>
  <c r="N46" i="1"/>
  <c r="O46" i="1"/>
  <c r="K420" i="1"/>
  <c r="L420" i="1"/>
  <c r="O403" i="1"/>
  <c r="N403" i="1"/>
  <c r="L293" i="1"/>
  <c r="K293" i="1"/>
  <c r="L239" i="1"/>
  <c r="K239" i="1"/>
  <c r="L230" i="1"/>
  <c r="K230" i="1"/>
  <c r="L348" i="1"/>
  <c r="K348" i="1"/>
  <c r="N504" i="1"/>
  <c r="O504" i="1"/>
  <c r="L375" i="1"/>
  <c r="K375" i="1"/>
  <c r="K44" i="1"/>
  <c r="L44" i="1"/>
  <c r="L126" i="1"/>
  <c r="K126" i="1"/>
  <c r="K346" i="1"/>
  <c r="L346" i="1"/>
  <c r="N301" i="1"/>
  <c r="O301" i="1"/>
  <c r="K252" i="1"/>
  <c r="L252" i="1"/>
  <c r="L288" i="1"/>
  <c r="K288" i="1"/>
  <c r="O159" i="1"/>
  <c r="N159" i="1"/>
  <c r="L373" i="1"/>
  <c r="K373" i="1"/>
  <c r="N215" i="1"/>
  <c r="O215" i="1"/>
  <c r="L283" i="1"/>
  <c r="K283" i="1"/>
  <c r="K456" i="1"/>
  <c r="L456" i="1"/>
  <c r="K345" i="1"/>
  <c r="L345" i="1"/>
  <c r="N4" i="1"/>
  <c r="O4" i="1"/>
  <c r="K38" i="1"/>
  <c r="L38" i="1"/>
  <c r="N170" i="1"/>
  <c r="O170" i="1"/>
  <c r="O260" i="1"/>
  <c r="N260" i="1"/>
  <c r="O58" i="1"/>
  <c r="N58" i="1"/>
  <c r="N358" i="1"/>
  <c r="O358" i="1"/>
  <c r="L394" i="1"/>
  <c r="K394" i="1"/>
  <c r="K488" i="1"/>
  <c r="L488" i="1"/>
  <c r="N409" i="1"/>
  <c r="O409" i="1"/>
  <c r="N250" i="1"/>
  <c r="O250" i="1"/>
  <c r="N39" i="1"/>
  <c r="O39" i="1"/>
  <c r="L185" i="1"/>
  <c r="K185" i="1"/>
  <c r="K314" i="1"/>
  <c r="L314" i="1"/>
  <c r="L447" i="1"/>
  <c r="K447" i="1"/>
  <c r="N467" i="1"/>
  <c r="O467" i="1"/>
  <c r="K242" i="1"/>
  <c r="L242" i="1"/>
  <c r="K487" i="1"/>
  <c r="L487" i="1"/>
  <c r="N174" i="1"/>
  <c r="O174" i="1"/>
  <c r="N309" i="1"/>
  <c r="O309" i="1"/>
  <c r="O8" i="1"/>
  <c r="N8" i="1"/>
  <c r="N124" i="1"/>
  <c r="O124" i="1"/>
  <c r="N237" i="1"/>
  <c r="O237" i="1"/>
  <c r="N441" i="1"/>
  <c r="O441" i="1"/>
  <c r="N319" i="1"/>
  <c r="O319" i="1"/>
  <c r="O106" i="1"/>
  <c r="N106" i="1"/>
  <c r="K206" i="1"/>
  <c r="L206" i="1"/>
  <c r="L397" i="1"/>
  <c r="K397" i="1"/>
  <c r="L222" i="1"/>
  <c r="K222" i="1"/>
  <c r="K403" i="1"/>
  <c r="L403" i="1"/>
  <c r="O341" i="1"/>
  <c r="N341" i="1"/>
  <c r="O398" i="1"/>
  <c r="N398" i="1"/>
  <c r="L57" i="1"/>
  <c r="K57" i="1"/>
  <c r="L481" i="1"/>
  <c r="K481" i="1"/>
  <c r="N453" i="1"/>
  <c r="O453" i="1"/>
  <c r="K122" i="1"/>
  <c r="L122" i="1"/>
  <c r="K374" i="1"/>
  <c r="L374" i="1"/>
  <c r="N253" i="1"/>
  <c r="O253" i="1"/>
  <c r="O89" i="1"/>
  <c r="N89" i="1"/>
  <c r="O276" i="1"/>
  <c r="N276" i="1"/>
  <c r="K68" i="1"/>
  <c r="L68" i="1"/>
  <c r="K180" i="1"/>
  <c r="L180" i="1"/>
  <c r="L78" i="1"/>
  <c r="K78" i="1"/>
  <c r="L48" i="1"/>
  <c r="K48" i="1"/>
  <c r="L94" i="1"/>
  <c r="K94" i="1"/>
  <c r="N128" i="1"/>
  <c r="O128" i="1"/>
  <c r="L408" i="1"/>
  <c r="K408" i="1"/>
  <c r="N206" i="1"/>
  <c r="O206" i="1"/>
  <c r="O236" i="1"/>
  <c r="N236" i="1"/>
  <c r="N275" i="1"/>
  <c r="O275" i="1"/>
  <c r="O407" i="1"/>
  <c r="N407" i="1"/>
  <c r="O369" i="1"/>
  <c r="N369" i="1"/>
  <c r="O234" i="1"/>
  <c r="N234" i="1"/>
  <c r="O428" i="1"/>
  <c r="N428" i="1"/>
  <c r="N258" i="1"/>
  <c r="O258" i="1"/>
  <c r="N103" i="1"/>
  <c r="O103" i="1"/>
  <c r="O410" i="1"/>
  <c r="N410" i="1"/>
  <c r="O169" i="1"/>
  <c r="N169" i="1"/>
  <c r="O267" i="1"/>
  <c r="N267" i="1"/>
  <c r="N489" i="1"/>
  <c r="O489" i="1"/>
  <c r="N6" i="1"/>
  <c r="O6" i="1"/>
  <c r="O74" i="1"/>
  <c r="N74" i="1"/>
  <c r="O347" i="1"/>
  <c r="N347" i="1"/>
  <c r="N311" i="1"/>
  <c r="O311" i="1"/>
  <c r="O165" i="1"/>
  <c r="N165" i="1"/>
  <c r="N437" i="1"/>
  <c r="O437" i="1"/>
  <c r="O51" i="1"/>
  <c r="N51" i="1"/>
  <c r="O56" i="1"/>
  <c r="N56" i="1"/>
  <c r="O510" i="1"/>
  <c r="N510" i="1"/>
  <c r="N291" i="1"/>
  <c r="O291" i="1"/>
  <c r="N34" i="1"/>
  <c r="O34" i="1"/>
  <c r="L429" i="1"/>
  <c r="K429" i="1"/>
  <c r="O400" i="1"/>
  <c r="N400" i="1"/>
  <c r="K254" i="1"/>
  <c r="L254" i="1"/>
  <c r="L247" i="1"/>
  <c r="K247" i="1"/>
  <c r="K140" i="1"/>
  <c r="L140" i="1"/>
  <c r="K341" i="1"/>
  <c r="L341" i="1"/>
  <c r="O62" i="1"/>
  <c r="N62" i="1"/>
  <c r="L352" i="1"/>
  <c r="K352" i="1"/>
  <c r="L66" i="1"/>
  <c r="K66" i="1"/>
  <c r="K418" i="1"/>
  <c r="L418" i="1"/>
  <c r="N154" i="1"/>
  <c r="O154" i="1"/>
  <c r="L455" i="1"/>
  <c r="K455" i="1"/>
  <c r="L315" i="1"/>
  <c r="K315" i="1"/>
  <c r="K423" i="1"/>
  <c r="L423" i="1"/>
  <c r="K63" i="1"/>
  <c r="L63" i="1"/>
  <c r="K443" i="1"/>
  <c r="L443" i="1"/>
  <c r="L251" i="1"/>
  <c r="K251" i="1"/>
  <c r="L212" i="1"/>
  <c r="K212" i="1"/>
  <c r="L170" i="1"/>
  <c r="K170" i="1"/>
  <c r="K410" i="1"/>
  <c r="L410" i="1"/>
  <c r="L449" i="1"/>
  <c r="K449" i="1"/>
  <c r="K259" i="1"/>
  <c r="L259" i="1"/>
  <c r="L384" i="1"/>
  <c r="K384" i="1"/>
  <c r="O455" i="1"/>
  <c r="N455" i="1"/>
  <c r="N404" i="1"/>
  <c r="O404" i="1"/>
  <c r="O498" i="1"/>
  <c r="N498" i="1"/>
  <c r="N94" i="1"/>
  <c r="O94" i="1"/>
  <c r="L267" i="1"/>
  <c r="K267" i="1"/>
  <c r="N244" i="1"/>
  <c r="O244" i="1"/>
  <c r="N472" i="1"/>
  <c r="O472" i="1"/>
  <c r="O478" i="1"/>
  <c r="N478" i="1"/>
  <c r="L59" i="1"/>
  <c r="K59" i="1"/>
  <c r="K272" i="1"/>
  <c r="L272" i="1"/>
  <c r="N402" i="1"/>
  <c r="O402" i="1"/>
  <c r="K167" i="1"/>
  <c r="L167" i="1"/>
  <c r="L207" i="1"/>
  <c r="K207" i="1"/>
  <c r="O294" i="1"/>
  <c r="N294" i="1"/>
  <c r="K312" i="1"/>
  <c r="L312" i="1"/>
  <c r="K424" i="1"/>
  <c r="L424" i="1"/>
  <c r="N70" i="1"/>
  <c r="O70" i="1"/>
  <c r="K248" i="1"/>
  <c r="L248" i="1"/>
  <c r="O418" i="1"/>
  <c r="N418" i="1"/>
  <c r="N496" i="1"/>
  <c r="O496" i="1"/>
  <c r="O377" i="1"/>
  <c r="N377" i="1"/>
  <c r="N243" i="1"/>
  <c r="O243" i="1"/>
  <c r="L291" i="1"/>
  <c r="K291" i="1"/>
  <c r="K128" i="1"/>
  <c r="L128" i="1"/>
  <c r="O239" i="1"/>
  <c r="N239" i="1"/>
  <c r="O385" i="1"/>
  <c r="N385" i="1"/>
  <c r="L100" i="1"/>
  <c r="K100" i="1"/>
  <c r="L362" i="1"/>
  <c r="K362" i="1"/>
  <c r="L202" i="1"/>
  <c r="K202" i="1"/>
  <c r="N304" i="1"/>
  <c r="O304" i="1"/>
  <c r="L147" i="1"/>
  <c r="K147" i="1"/>
  <c r="L223" i="1"/>
  <c r="K223" i="1"/>
  <c r="K46" i="1"/>
  <c r="L46" i="1"/>
  <c r="L111" i="1"/>
  <c r="K111" i="1"/>
  <c r="K141" i="1"/>
  <c r="L141" i="1"/>
  <c r="K143" i="1"/>
  <c r="L143" i="1"/>
  <c r="K496" i="1"/>
  <c r="L496" i="1"/>
  <c r="K136" i="1"/>
  <c r="L136" i="1"/>
  <c r="K97" i="1"/>
  <c r="L97" i="1"/>
  <c r="L173" i="1"/>
  <c r="K173" i="1"/>
  <c r="K371" i="1"/>
  <c r="L371" i="1"/>
  <c r="L52" i="1"/>
  <c r="K52" i="1"/>
  <c r="N392" i="1"/>
  <c r="O392" i="1"/>
  <c r="K441" i="1"/>
  <c r="L441" i="1"/>
  <c r="L132" i="1"/>
  <c r="K132" i="1"/>
  <c r="K435" i="1"/>
  <c r="L435" i="1"/>
  <c r="O113" i="1"/>
  <c r="N113" i="1"/>
  <c r="K325" i="1"/>
  <c r="L325" i="1"/>
  <c r="O465" i="1"/>
  <c r="N465" i="1"/>
  <c r="N355" i="1"/>
  <c r="O355" i="1"/>
  <c r="N454" i="1"/>
  <c r="O454" i="1"/>
  <c r="K232" i="1"/>
  <c r="L232" i="1"/>
  <c r="N31" i="1"/>
  <c r="O31" i="1"/>
  <c r="L24" i="1"/>
  <c r="K24" i="1"/>
  <c r="K493" i="1"/>
  <c r="L493" i="1"/>
  <c r="K450" i="1"/>
  <c r="L450" i="1"/>
  <c r="O3" i="1"/>
  <c r="N3" i="1"/>
  <c r="N446" i="1"/>
  <c r="O446" i="1"/>
  <c r="L440" i="1"/>
  <c r="K440" i="1"/>
  <c r="L273" i="1"/>
  <c r="K273" i="1"/>
  <c r="L405" i="1"/>
  <c r="K405" i="1"/>
  <c r="K98" i="1"/>
  <c r="L98" i="1"/>
  <c r="L342" i="1"/>
  <c r="K342" i="1"/>
  <c r="K357" i="1"/>
  <c r="L357" i="1"/>
  <c r="K430" i="1"/>
  <c r="L430" i="1"/>
  <c r="K381" i="1"/>
  <c r="L381" i="1"/>
  <c r="L331" i="1"/>
  <c r="K331" i="1"/>
  <c r="K92" i="1"/>
  <c r="L92" i="1"/>
  <c r="L386" i="1"/>
  <c r="K386" i="1"/>
  <c r="N394" i="1"/>
  <c r="O394" i="1"/>
  <c r="K123" i="1"/>
  <c r="L123" i="1"/>
  <c r="K35" i="1"/>
  <c r="L35" i="1"/>
  <c r="L336" i="1"/>
  <c r="K336" i="1"/>
  <c r="K271" i="1"/>
  <c r="L271" i="1"/>
  <c r="L84" i="1"/>
  <c r="K84" i="1"/>
  <c r="L330" i="1"/>
  <c r="K330" i="1"/>
  <c r="N228" i="1"/>
  <c r="O228" i="1"/>
  <c r="O381" i="1"/>
  <c r="N381" i="1"/>
  <c r="K201" i="1"/>
  <c r="L201" i="1"/>
  <c r="K305" i="1"/>
  <c r="L305" i="1"/>
  <c r="K506" i="1"/>
  <c r="L506" i="1"/>
  <c r="L229" i="1"/>
  <c r="K229" i="1"/>
  <c r="K166" i="1"/>
  <c r="L166" i="1"/>
  <c r="L385" i="1"/>
  <c r="K385" i="1"/>
  <c r="N197" i="1"/>
  <c r="O197" i="1"/>
  <c r="O484" i="1"/>
  <c r="N484" i="1"/>
  <c r="L88" i="1"/>
  <c r="K88" i="1"/>
  <c r="N248" i="1"/>
  <c r="O248" i="1"/>
  <c r="O235" i="1"/>
  <c r="N235" i="1"/>
  <c r="N514" i="1"/>
  <c r="O514" i="1"/>
  <c r="N254" i="1"/>
  <c r="O254" i="1"/>
  <c r="L426" i="1"/>
  <c r="K426" i="1"/>
  <c r="K468" i="1"/>
  <c r="L468" i="1"/>
  <c r="K41" i="1"/>
  <c r="L41" i="1"/>
  <c r="K466" i="1"/>
  <c r="L466" i="1"/>
  <c r="O252" i="1"/>
  <c r="N252" i="1"/>
  <c r="O193" i="1"/>
  <c r="N193" i="1"/>
  <c r="K183" i="1"/>
  <c r="L183" i="1"/>
  <c r="L25" i="1"/>
  <c r="K25" i="1"/>
  <c r="N24" i="1"/>
  <c r="O24" i="1"/>
  <c r="L54" i="1"/>
  <c r="K54" i="1"/>
  <c r="L479" i="1"/>
  <c r="K479" i="1"/>
  <c r="N280" i="1"/>
  <c r="O280" i="1"/>
  <c r="K246" i="1"/>
  <c r="L246" i="1"/>
  <c r="O136" i="1"/>
  <c r="N136" i="1"/>
  <c r="O148" i="1"/>
  <c r="N148" i="1"/>
  <c r="N257" i="1"/>
  <c r="O257" i="1"/>
  <c r="O490" i="1"/>
  <c r="N490" i="1"/>
  <c r="O86" i="1"/>
  <c r="N86" i="1"/>
  <c r="L359" i="1"/>
  <c r="K359" i="1"/>
  <c r="K146" i="1"/>
  <c r="L146" i="1"/>
  <c r="L495" i="1"/>
  <c r="K495" i="1"/>
  <c r="O147" i="1"/>
  <c r="N147" i="1"/>
  <c r="N430" i="1"/>
  <c r="O430" i="1"/>
  <c r="L511" i="1"/>
  <c r="K511" i="1"/>
  <c r="N423" i="1"/>
  <c r="O423" i="1"/>
  <c r="O30" i="1"/>
  <c r="N30" i="1"/>
  <c r="O241" i="1"/>
  <c r="N241" i="1"/>
  <c r="N190" i="1"/>
  <c r="O190" i="1"/>
  <c r="L306" i="1"/>
  <c r="K306" i="1"/>
  <c r="K402" i="1"/>
  <c r="L402" i="1"/>
  <c r="L125" i="1"/>
  <c r="K125" i="1"/>
  <c r="L177" i="1"/>
  <c r="K177" i="1"/>
  <c r="O249" i="1"/>
  <c r="N249" i="1"/>
  <c r="O85" i="1"/>
  <c r="N85" i="1"/>
  <c r="N41" i="1"/>
  <c r="O41" i="1"/>
  <c r="O295" i="1"/>
  <c r="N295" i="1"/>
  <c r="O494" i="1"/>
  <c r="N494" i="1"/>
  <c r="O64" i="1"/>
  <c r="N64" i="1"/>
  <c r="O110" i="1"/>
  <c r="N110" i="1"/>
  <c r="O27" i="1"/>
  <c r="N27" i="1"/>
  <c r="O38" i="1"/>
  <c r="N38" i="1"/>
  <c r="N160" i="1"/>
  <c r="O160" i="1"/>
  <c r="N264" i="1"/>
  <c r="O264" i="1"/>
  <c r="O134" i="1"/>
  <c r="N134" i="1"/>
  <c r="O202" i="1"/>
  <c r="N202" i="1"/>
  <c r="N502" i="1"/>
  <c r="O502" i="1"/>
  <c r="N485" i="1"/>
  <c r="O485" i="1"/>
  <c r="O468" i="1"/>
  <c r="N468" i="1"/>
  <c r="N367" i="1"/>
  <c r="O367" i="1"/>
  <c r="O229" i="1"/>
  <c r="N229" i="1"/>
  <c r="N88" i="1"/>
  <c r="O88" i="1"/>
  <c r="O203" i="1"/>
  <c r="N203" i="1"/>
  <c r="N162" i="1"/>
  <c r="O162" i="1"/>
  <c r="O462" i="1"/>
  <c r="N462" i="1"/>
  <c r="L150" i="1"/>
  <c r="K150" i="1"/>
  <c r="N488" i="1"/>
  <c r="O488" i="1"/>
  <c r="N303" i="1"/>
  <c r="O303" i="1"/>
  <c r="N5" i="1"/>
  <c r="O5" i="1"/>
  <c r="N77" i="1"/>
  <c r="O77" i="1"/>
  <c r="N353" i="1"/>
  <c r="O353" i="1"/>
  <c r="O456" i="1"/>
  <c r="N456" i="1"/>
  <c r="O121" i="1"/>
  <c r="N121" i="1"/>
  <c r="N59" i="1"/>
  <c r="O59" i="1"/>
  <c r="N342" i="1"/>
  <c r="O342" i="1"/>
  <c r="N329" i="1"/>
  <c r="O329" i="1"/>
  <c r="O192" i="1"/>
  <c r="N192" i="1"/>
  <c r="O231" i="1"/>
  <c r="N231" i="1"/>
  <c r="L257" i="1"/>
  <c r="K257" i="1"/>
  <c r="L377" i="1"/>
  <c r="K377" i="1"/>
  <c r="K472" i="1"/>
  <c r="L472" i="1"/>
  <c r="N477" i="1"/>
  <c r="O477" i="1"/>
  <c r="K130" i="1"/>
  <c r="L130" i="1"/>
  <c r="K83" i="1"/>
  <c r="L83" i="1"/>
  <c r="K27" i="1"/>
  <c r="L27" i="1"/>
  <c r="L279" i="1"/>
  <c r="K279" i="1"/>
  <c r="O383" i="1"/>
  <c r="N383" i="1"/>
  <c r="L319" i="1"/>
  <c r="K319" i="1"/>
  <c r="K446" i="1"/>
  <c r="L446" i="1"/>
  <c r="K151" i="1"/>
  <c r="L151" i="1"/>
  <c r="O83" i="1"/>
  <c r="N83" i="1"/>
  <c r="N11" i="1"/>
  <c r="O11" i="1"/>
  <c r="K189" i="1"/>
  <c r="L189" i="1"/>
  <c r="L469" i="1"/>
  <c r="K469" i="1"/>
  <c r="K327" i="1"/>
  <c r="L327" i="1"/>
  <c r="N511" i="1"/>
  <c r="O511" i="1"/>
  <c r="L70" i="1"/>
  <c r="K70" i="1"/>
  <c r="O285" i="1"/>
  <c r="N285" i="1"/>
  <c r="K321" i="1"/>
  <c r="L321" i="1"/>
  <c r="L200" i="1"/>
  <c r="K200" i="1"/>
  <c r="L398" i="1"/>
  <c r="K398" i="1"/>
  <c r="K414" i="1"/>
  <c r="L414" i="1"/>
  <c r="K226" i="1"/>
  <c r="L226" i="1"/>
  <c r="O191" i="1"/>
  <c r="N191" i="1"/>
  <c r="K196" i="1"/>
  <c r="L196" i="1"/>
  <c r="K96" i="1"/>
  <c r="L96" i="1"/>
  <c r="L509" i="1"/>
  <c r="K509" i="1"/>
  <c r="L43" i="1"/>
  <c r="K43" i="1"/>
  <c r="L79" i="1"/>
  <c r="K79" i="1"/>
  <c r="K119" i="1"/>
  <c r="L119" i="1"/>
  <c r="O432" i="1"/>
  <c r="N432" i="1"/>
  <c r="K235" i="1"/>
  <c r="L235" i="1"/>
  <c r="O57" i="1"/>
  <c r="N57" i="1"/>
  <c r="K157" i="1"/>
  <c r="L157" i="1"/>
  <c r="K108" i="1"/>
  <c r="L108" i="1"/>
  <c r="L389" i="1"/>
  <c r="K389" i="1"/>
  <c r="L256" i="1"/>
  <c r="K256" i="1"/>
  <c r="L470" i="1"/>
  <c r="K470" i="1"/>
  <c r="O321" i="1"/>
  <c r="N321" i="1"/>
  <c r="N277" i="1"/>
  <c r="O277" i="1"/>
  <c r="N232" i="1"/>
  <c r="O232" i="1"/>
  <c r="O48" i="1"/>
  <c r="N48" i="1"/>
  <c r="O479" i="1"/>
  <c r="N479" i="1"/>
  <c r="L118" i="1"/>
  <c r="K118" i="1"/>
  <c r="K316" i="1"/>
  <c r="L316" i="1"/>
  <c r="L171" i="1"/>
  <c r="K171" i="1"/>
  <c r="K139" i="1"/>
  <c r="L139" i="1"/>
  <c r="L303" i="1"/>
  <c r="K303" i="1"/>
  <c r="O177" i="1"/>
  <c r="N177" i="1"/>
  <c r="L391" i="1"/>
  <c r="K391" i="1"/>
  <c r="K448" i="1"/>
  <c r="L448" i="1"/>
  <c r="L31" i="1"/>
  <c r="K31" i="1"/>
  <c r="K289" i="1"/>
  <c r="L289" i="1"/>
  <c r="L437" i="1"/>
  <c r="K437" i="1"/>
  <c r="N413" i="1"/>
  <c r="O413" i="1"/>
  <c r="O210" i="1"/>
  <c r="N210" i="1"/>
  <c r="K135" i="1"/>
  <c r="L135" i="1"/>
  <c r="N388" i="1"/>
  <c r="O388" i="1"/>
  <c r="N348" i="1"/>
  <c r="O348" i="1"/>
  <c r="N149" i="1"/>
  <c r="O149" i="1"/>
  <c r="N463" i="1"/>
  <c r="O463" i="1"/>
  <c r="K372" i="1"/>
  <c r="L372" i="1"/>
  <c r="K462" i="1"/>
  <c r="L462" i="1"/>
  <c r="L205" i="1"/>
  <c r="K205" i="1"/>
  <c r="O434" i="1"/>
  <c r="N434" i="1"/>
  <c r="K184" i="1"/>
  <c r="L184" i="1"/>
  <c r="K23" i="1"/>
  <c r="L23" i="1"/>
  <c r="N273" i="1"/>
  <c r="O273" i="1"/>
  <c r="N451" i="1"/>
  <c r="O451" i="1"/>
  <c r="N464" i="1"/>
  <c r="O464" i="1"/>
  <c r="O436" i="1"/>
  <c r="N436" i="1"/>
  <c r="N187" i="1"/>
  <c r="O187" i="1"/>
  <c r="L199" i="1"/>
  <c r="K199" i="1"/>
  <c r="K452" i="1"/>
  <c r="L452" i="1"/>
  <c r="K276" i="1"/>
  <c r="L276" i="1"/>
  <c r="K161" i="1"/>
  <c r="L161" i="1"/>
  <c r="O251" i="1"/>
  <c r="N251" i="1"/>
  <c r="O18" i="1"/>
  <c r="N18" i="1"/>
  <c r="N425" i="1"/>
  <c r="O425" i="1"/>
  <c r="O445" i="1"/>
  <c r="N445" i="1"/>
  <c r="O173" i="1"/>
  <c r="N173" i="1"/>
  <c r="K502" i="1"/>
  <c r="L502" i="1"/>
  <c r="K244" i="1"/>
  <c r="L244" i="1"/>
  <c r="L382" i="1"/>
  <c r="K382" i="1"/>
  <c r="L188" i="1"/>
  <c r="K188" i="1"/>
  <c r="L458" i="1"/>
  <c r="K458" i="1"/>
  <c r="L214" i="1"/>
  <c r="K214" i="1"/>
  <c r="N227" i="1"/>
  <c r="O227" i="1"/>
  <c r="N417" i="1"/>
  <c r="O417" i="1"/>
  <c r="O242" i="1"/>
  <c r="N242" i="1"/>
  <c r="O395" i="1"/>
  <c r="N395" i="1"/>
  <c r="O207" i="1"/>
  <c r="N207" i="1"/>
  <c r="O290" i="1"/>
  <c r="N290" i="1"/>
  <c r="O79" i="1"/>
  <c r="N79" i="1"/>
  <c r="O444" i="1"/>
  <c r="N444" i="1"/>
  <c r="N196" i="1"/>
  <c r="O196" i="1"/>
  <c r="N493" i="1"/>
  <c r="O493" i="1"/>
  <c r="N221" i="1"/>
  <c r="O221" i="1"/>
  <c r="O17" i="1"/>
  <c r="N17" i="1"/>
  <c r="O87" i="1"/>
  <c r="N87" i="1"/>
  <c r="O331" i="1"/>
  <c r="N331" i="1"/>
  <c r="N320" i="1"/>
  <c r="O320" i="1"/>
  <c r="O111" i="1"/>
  <c r="N111" i="1"/>
  <c r="N29" i="1"/>
  <c r="O29" i="1"/>
  <c r="N219" i="1"/>
  <c r="O219" i="1"/>
  <c r="O90" i="1"/>
  <c r="N90" i="1"/>
  <c r="O390" i="1"/>
  <c r="N390" i="1"/>
  <c r="N458" i="1"/>
  <c r="O458" i="1"/>
  <c r="N80" i="1"/>
  <c r="O80" i="1"/>
  <c r="O132" i="1"/>
  <c r="N132" i="1"/>
  <c r="O54" i="1"/>
  <c r="N54" i="1"/>
  <c r="O315" i="1"/>
  <c r="N315" i="1"/>
  <c r="L233" i="1"/>
  <c r="K233" i="1"/>
  <c r="K195" i="1"/>
  <c r="L195" i="1"/>
  <c r="L61" i="1"/>
  <c r="K61" i="1"/>
  <c r="N81" i="1"/>
  <c r="O81" i="1"/>
  <c r="N495" i="1"/>
  <c r="O495" i="1"/>
  <c r="K107" i="1"/>
  <c r="L107" i="1"/>
  <c r="K213" i="1"/>
  <c r="L213" i="1"/>
  <c r="L175" i="1"/>
  <c r="K175" i="1"/>
  <c r="K467" i="1"/>
  <c r="L467" i="1"/>
  <c r="N439" i="1"/>
  <c r="O439" i="1"/>
  <c r="L187" i="1"/>
  <c r="K187" i="1"/>
  <c r="L55" i="1"/>
  <c r="K55" i="1"/>
  <c r="L465" i="1"/>
  <c r="K465" i="1"/>
  <c r="K160" i="1"/>
  <c r="L160" i="1"/>
  <c r="K499" i="1"/>
  <c r="L499" i="1"/>
  <c r="L269" i="1"/>
  <c r="K269" i="1"/>
  <c r="K113" i="1"/>
  <c r="L113" i="1"/>
  <c r="L237" i="1"/>
  <c r="K237" i="1"/>
  <c r="L504" i="1"/>
  <c r="K504" i="1"/>
  <c r="K296" i="1"/>
  <c r="L296" i="1"/>
  <c r="K104" i="1"/>
  <c r="L104" i="1"/>
  <c r="O448" i="1"/>
  <c r="N448" i="1"/>
  <c r="L260" i="1"/>
  <c r="K260" i="1"/>
  <c r="L460" i="1"/>
  <c r="K460" i="1"/>
  <c r="K463" i="1"/>
  <c r="L463" i="1"/>
  <c r="K311" i="1"/>
  <c r="L311" i="1"/>
  <c r="K129" i="1"/>
  <c r="L129" i="1"/>
  <c r="L179" i="1"/>
  <c r="K179" i="1"/>
  <c r="O225" i="1"/>
  <c r="N225" i="1"/>
  <c r="O317" i="1"/>
  <c r="N317" i="1"/>
  <c r="K102" i="1"/>
  <c r="L102" i="1"/>
  <c r="L194" i="1"/>
  <c r="K194" i="1"/>
  <c r="L209" i="1"/>
  <c r="K209" i="1"/>
  <c r="K152" i="1"/>
  <c r="L152" i="1"/>
  <c r="L261" i="1"/>
  <c r="K261" i="1"/>
  <c r="L62" i="1"/>
  <c r="K62" i="1"/>
  <c r="K354" i="1"/>
  <c r="L354" i="1"/>
  <c r="K219" i="1"/>
  <c r="L219" i="1"/>
  <c r="N226" i="1"/>
  <c r="O226" i="1"/>
  <c r="O287" i="1"/>
  <c r="N287" i="1"/>
  <c r="K390" i="1"/>
  <c r="L390" i="1"/>
  <c r="K208" i="1"/>
  <c r="L208" i="1"/>
  <c r="K117" i="1"/>
  <c r="L117" i="1"/>
  <c r="O366" i="1"/>
  <c r="N366" i="1"/>
  <c r="L317" i="1"/>
  <c r="K317" i="1"/>
  <c r="K217" i="1"/>
  <c r="L217" i="1"/>
  <c r="L72" i="1"/>
  <c r="K72" i="1"/>
  <c r="K153" i="1"/>
  <c r="L153" i="1"/>
  <c r="K433" i="1"/>
  <c r="L433" i="1"/>
  <c r="L475" i="1"/>
  <c r="K475" i="1"/>
  <c r="L99" i="1"/>
  <c r="K99" i="1"/>
  <c r="L148" i="1"/>
  <c r="K148" i="1"/>
  <c r="O44" i="1"/>
  <c r="N44" i="1"/>
  <c r="L351" i="1"/>
  <c r="K351" i="1"/>
  <c r="K329" i="1"/>
  <c r="L329" i="1"/>
  <c r="K186" i="1"/>
  <c r="L186" i="1"/>
  <c r="K109" i="1"/>
  <c r="L109" i="1"/>
  <c r="N307" i="1"/>
  <c r="O307" i="1"/>
  <c r="L45" i="1"/>
  <c r="K45" i="1"/>
  <c r="L155" i="1"/>
  <c r="K155" i="1"/>
  <c r="O265" i="1"/>
  <c r="N265" i="1"/>
  <c r="O318" i="1"/>
  <c r="N318" i="1"/>
  <c r="O82" i="1"/>
  <c r="N82" i="1"/>
  <c r="L115" i="1"/>
  <c r="K115" i="1"/>
  <c r="O281" i="1"/>
  <c r="N281" i="1"/>
  <c r="K51" i="1"/>
  <c r="L51" i="1"/>
  <c r="N300" i="1"/>
  <c r="O300" i="1"/>
  <c r="L425" i="1"/>
  <c r="K425" i="1"/>
  <c r="O312" i="1"/>
  <c r="N312" i="1"/>
  <c r="O9" i="1"/>
  <c r="N9" i="1"/>
  <c r="L406" i="1"/>
  <c r="K406" i="1"/>
  <c r="L182" i="1"/>
  <c r="K182" i="1"/>
  <c r="K366" i="1"/>
  <c r="L366" i="1"/>
  <c r="K476" i="1"/>
  <c r="L476" i="1"/>
  <c r="O99" i="1"/>
  <c r="N99" i="1"/>
  <c r="L347" i="1"/>
  <c r="K347" i="1"/>
  <c r="K258" i="1"/>
  <c r="L258" i="1"/>
  <c r="L409" i="1"/>
  <c r="K409" i="1"/>
  <c r="O345" i="1"/>
  <c r="N345" i="1"/>
  <c r="K422" i="1"/>
  <c r="L422" i="1"/>
  <c r="O172" i="1"/>
  <c r="N172" i="1"/>
  <c r="O233" i="1"/>
  <c r="N233" i="1"/>
  <c r="N216" i="1"/>
  <c r="O216" i="1"/>
  <c r="O246" i="1"/>
  <c r="N246" i="1"/>
  <c r="K234" i="1"/>
  <c r="L234" i="1"/>
  <c r="L383" i="1"/>
  <c r="K383" i="1"/>
  <c r="O218" i="1"/>
  <c r="N218" i="1"/>
  <c r="O429" i="1"/>
  <c r="N429" i="1"/>
  <c r="L158" i="1"/>
  <c r="K158" i="1"/>
  <c r="O36" i="1"/>
  <c r="N36" i="1"/>
  <c r="O389" i="1"/>
  <c r="N389" i="1"/>
  <c r="N339" i="1"/>
  <c r="O339" i="1"/>
  <c r="N308" i="1"/>
  <c r="O308" i="1"/>
  <c r="L168" i="1"/>
  <c r="K168" i="1"/>
  <c r="N164" i="1"/>
  <c r="O164" i="1"/>
  <c r="O66" i="1"/>
  <c r="N66" i="1"/>
  <c r="L22" i="1"/>
  <c r="K22" i="1"/>
  <c r="N323" i="1"/>
  <c r="O323" i="1"/>
  <c r="N157" i="1"/>
  <c r="O157" i="1"/>
  <c r="O138" i="1"/>
  <c r="N138" i="1"/>
  <c r="O438" i="1"/>
  <c r="N438" i="1"/>
  <c r="K483" i="1"/>
  <c r="L483" i="1"/>
  <c r="K197" i="1"/>
  <c r="L197" i="1"/>
  <c r="K127" i="1"/>
  <c r="L127" i="1"/>
  <c r="N67" i="1"/>
  <c r="O67" i="1"/>
  <c r="O198" i="1"/>
  <c r="N198" i="1"/>
  <c r="O372" i="1"/>
  <c r="N372" i="1"/>
  <c r="N73" i="1"/>
  <c r="O73" i="1"/>
  <c r="N180" i="1"/>
  <c r="O180" i="1"/>
  <c r="N351" i="1"/>
  <c r="O351" i="1"/>
  <c r="N84" i="1"/>
  <c r="O84" i="1"/>
  <c r="L302" i="1"/>
  <c r="K302" i="1"/>
  <c r="N259" i="1"/>
  <c r="O259" i="1"/>
  <c r="N411" i="1"/>
  <c r="O411" i="1"/>
  <c r="N76" i="1"/>
  <c r="O76" i="1"/>
  <c r="O284" i="1"/>
  <c r="N284" i="1"/>
  <c r="O176" i="1"/>
  <c r="N176" i="1"/>
  <c r="N117" i="1"/>
  <c r="O117" i="1"/>
  <c r="O122" i="1"/>
  <c r="N122" i="1"/>
  <c r="N200" i="1"/>
  <c r="O200" i="1"/>
  <c r="O292" i="1"/>
  <c r="N292" i="1"/>
  <c r="N422" i="1"/>
  <c r="O422" i="1"/>
  <c r="O325" i="1"/>
  <c r="N325" i="1"/>
  <c r="N7" i="1"/>
  <c r="O7" i="1"/>
  <c r="O75" i="1"/>
  <c r="N75" i="1"/>
  <c r="O509" i="1"/>
  <c r="N509" i="1"/>
  <c r="O182" i="1"/>
  <c r="N182" i="1"/>
  <c r="O340" i="1"/>
  <c r="N340" i="1"/>
  <c r="N100" i="1"/>
  <c r="O100" i="1"/>
  <c r="O375" i="1"/>
  <c r="N375" i="1"/>
  <c r="N175" i="1"/>
  <c r="O175" i="1"/>
  <c r="N350" i="1"/>
  <c r="O350" i="1"/>
  <c r="O126" i="1"/>
  <c r="N126" i="1"/>
  <c r="N35" i="1"/>
  <c r="O35" i="1"/>
  <c r="O125" i="1"/>
  <c r="N125" i="1"/>
  <c r="O168" i="1"/>
  <c r="N168" i="1"/>
  <c r="N142" i="1"/>
  <c r="O142" i="1"/>
  <c r="O108" i="1"/>
  <c r="N108" i="1"/>
  <c r="K275" i="1"/>
  <c r="L275" i="1"/>
  <c r="N322" i="1"/>
  <c r="O322" i="1"/>
  <c r="O416" i="1"/>
  <c r="N416" i="1"/>
  <c r="O13" i="1"/>
  <c r="N13" i="1"/>
  <c r="O405" i="1"/>
  <c r="N405" i="1"/>
  <c r="O133" i="1"/>
  <c r="N133" i="1"/>
  <c r="L404" i="1"/>
  <c r="K404" i="1"/>
  <c r="K67" i="1"/>
  <c r="L67" i="1"/>
  <c r="K392" i="1"/>
  <c r="L392" i="1"/>
  <c r="N399" i="1"/>
  <c r="O399" i="1"/>
  <c r="K131" i="1"/>
  <c r="L131" i="1"/>
  <c r="L474" i="1"/>
  <c r="K474" i="1"/>
  <c r="K320" i="1"/>
  <c r="L320" i="1"/>
  <c r="N63" i="1"/>
  <c r="O63" i="1"/>
  <c r="K264" i="1"/>
  <c r="L264" i="1"/>
  <c r="O40" i="1"/>
  <c r="N40" i="1"/>
  <c r="K407" i="1"/>
  <c r="L407" i="1"/>
  <c r="L380" i="1"/>
  <c r="K380" i="1"/>
  <c r="O507" i="1"/>
  <c r="N507" i="1"/>
  <c r="L353" i="1"/>
  <c r="K353" i="1"/>
  <c r="K193" i="1"/>
  <c r="L193" i="1"/>
  <c r="O286" i="1"/>
  <c r="N286" i="1"/>
  <c r="O263" i="1"/>
  <c r="N263" i="1"/>
  <c r="L491" i="1"/>
  <c r="K491" i="1"/>
  <c r="L149" i="1"/>
  <c r="K149" i="1"/>
  <c r="K438" i="1"/>
  <c r="L438" i="1"/>
  <c r="K65" i="1"/>
  <c r="L65" i="1"/>
  <c r="L310" i="1"/>
  <c r="K310" i="1"/>
  <c r="O393" i="1"/>
  <c r="N393" i="1"/>
  <c r="L74" i="1"/>
  <c r="K74" i="1"/>
  <c r="L514" i="1"/>
  <c r="K514" i="1"/>
  <c r="O435" i="1"/>
  <c r="N435" i="1"/>
  <c r="L75" i="1"/>
  <c r="K75" i="1"/>
  <c r="N420" i="1"/>
  <c r="O420" i="1"/>
  <c r="K512" i="1"/>
  <c r="L512" i="1"/>
  <c r="O337" i="1"/>
  <c r="N337" i="1"/>
  <c r="L250" i="1"/>
  <c r="K250" i="1"/>
  <c r="L144" i="1"/>
  <c r="K144" i="1"/>
  <c r="L80" i="1"/>
  <c r="K80" i="1"/>
  <c r="N289" i="1"/>
  <c r="O289" i="1"/>
  <c r="O32" i="1"/>
  <c r="N32" i="1"/>
  <c r="O205" i="1"/>
  <c r="N205" i="1"/>
  <c r="N212" i="1"/>
  <c r="O212" i="1"/>
  <c r="N459" i="1"/>
  <c r="O459" i="1"/>
  <c r="O72" i="1"/>
  <c r="N72" i="1"/>
  <c r="K301" i="1"/>
  <c r="L301" i="1"/>
  <c r="K309" i="1"/>
  <c r="L309" i="1"/>
  <c r="K505" i="1"/>
  <c r="L505" i="1"/>
  <c r="K415" i="1"/>
  <c r="L415" i="1"/>
  <c r="L73" i="1"/>
  <c r="K73" i="1"/>
  <c r="N512" i="1"/>
  <c r="O512" i="1"/>
  <c r="O153" i="1"/>
  <c r="N153" i="1"/>
  <c r="O397" i="1"/>
  <c r="N397" i="1"/>
  <c r="N505" i="1"/>
  <c r="O505" i="1"/>
  <c r="O130" i="1"/>
  <c r="N130" i="1"/>
  <c r="K489" i="1"/>
  <c r="L489" i="1"/>
  <c r="N37" i="1"/>
  <c r="O37" i="1"/>
  <c r="L464" i="1"/>
  <c r="K464" i="1"/>
  <c r="L335" i="1"/>
  <c r="K335" i="1"/>
  <c r="K210" i="1"/>
  <c r="L210" i="1"/>
  <c r="N279" i="1"/>
  <c r="O279" i="1"/>
  <c r="N305" i="1"/>
  <c r="O305" i="1"/>
  <c r="K507" i="1"/>
  <c r="L507" i="1"/>
  <c r="K477" i="1"/>
  <c r="L477" i="1"/>
  <c r="K262" i="1"/>
  <c r="L262" i="1"/>
  <c r="L138" i="1"/>
  <c r="K138" i="1"/>
  <c r="K484" i="1"/>
  <c r="L484" i="1"/>
  <c r="N371" i="1"/>
  <c r="O371" i="1"/>
  <c r="O240" i="1"/>
  <c r="N240" i="1"/>
  <c r="O181" i="1"/>
  <c r="N181" i="1"/>
  <c r="K399" i="1"/>
  <c r="L399" i="1"/>
  <c r="K274" i="1"/>
  <c r="L274" i="1"/>
  <c r="L106" i="1"/>
  <c r="K106" i="1"/>
  <c r="K400" i="1"/>
  <c r="L400" i="1"/>
  <c r="N255" i="1"/>
  <c r="O255" i="1"/>
  <c r="K231" i="1"/>
  <c r="L231" i="1"/>
  <c r="K238" i="1"/>
  <c r="L238" i="1"/>
  <c r="N501" i="1"/>
  <c r="O501" i="1"/>
  <c r="N185" i="1"/>
  <c r="O185" i="1"/>
  <c r="O151" i="1"/>
  <c r="N151" i="1"/>
  <c r="K245" i="1"/>
  <c r="L245" i="1"/>
  <c r="O188" i="1"/>
  <c r="N188" i="1"/>
  <c r="N120" i="1"/>
  <c r="O120" i="1"/>
  <c r="O105" i="1"/>
  <c r="N105" i="1"/>
  <c r="N334" i="1"/>
  <c r="O334" i="1"/>
  <c r="K215" i="1"/>
  <c r="L215" i="1"/>
  <c r="L69" i="1"/>
  <c r="K69" i="1"/>
  <c r="K356" i="1"/>
  <c r="L356" i="1"/>
  <c r="L110" i="1"/>
  <c r="K110" i="1"/>
  <c r="O460" i="1"/>
  <c r="N460" i="1"/>
  <c r="O330" i="1"/>
  <c r="N330" i="1"/>
  <c r="O119" i="1"/>
  <c r="N119" i="1"/>
  <c r="O245" i="1"/>
  <c r="N245" i="1"/>
  <c r="O135" i="1"/>
  <c r="N135" i="1"/>
  <c r="N49" i="1"/>
  <c r="O49" i="1"/>
  <c r="O10" i="1"/>
  <c r="N10" i="1"/>
  <c r="N476" i="1"/>
  <c r="O476" i="1"/>
  <c r="O310" i="1"/>
  <c r="N310" i="1"/>
  <c r="N209" i="1"/>
  <c r="O209" i="1"/>
  <c r="O457" i="1"/>
  <c r="N457" i="1"/>
  <c r="O95" i="1"/>
  <c r="N95" i="1"/>
  <c r="N382" i="1"/>
  <c r="O382" i="1"/>
  <c r="O163" i="1"/>
  <c r="N163" i="1"/>
  <c r="O296" i="1"/>
  <c r="N296" i="1"/>
  <c r="N270" i="1"/>
  <c r="O270" i="1"/>
  <c r="O380" i="1"/>
  <c r="N380" i="1"/>
  <c r="N508" i="1"/>
  <c r="O508" i="1"/>
  <c r="N195" i="1"/>
  <c r="O195" i="1"/>
  <c r="N492" i="1"/>
  <c r="O492" i="1"/>
  <c r="N68" i="1"/>
  <c r="O68" i="1"/>
  <c r="O362" i="1"/>
  <c r="N362" i="1"/>
  <c r="O513" i="1"/>
  <c r="N513" i="1"/>
  <c r="N378" i="1"/>
  <c r="O378" i="1"/>
  <c r="N386" i="1"/>
  <c r="O386" i="1"/>
  <c r="O167" i="1"/>
  <c r="N167" i="1"/>
  <c r="N474" i="1"/>
  <c r="O474" i="1"/>
  <c r="N96" i="1"/>
  <c r="O96" i="1"/>
  <c r="K451" i="1"/>
  <c r="L451" i="1"/>
  <c r="L308" i="1"/>
  <c r="K308" i="1"/>
  <c r="L428" i="1"/>
  <c r="K428" i="1"/>
  <c r="K190" i="1"/>
  <c r="L190" i="1"/>
  <c r="L101" i="1"/>
  <c r="K101" i="1"/>
  <c r="O183" i="1"/>
  <c r="N183" i="1"/>
  <c r="L176" i="1"/>
  <c r="K176" i="1"/>
  <c r="L363" i="1"/>
  <c r="K363" i="1"/>
  <c r="L445" i="1"/>
  <c r="K445" i="1"/>
  <c r="K29" i="1"/>
  <c r="L29" i="1"/>
  <c r="N288" i="1"/>
  <c r="O288" i="1"/>
  <c r="L337" i="1"/>
  <c r="K337" i="1"/>
  <c r="L434" i="1"/>
  <c r="K434" i="1"/>
  <c r="K332" i="1"/>
  <c r="L332" i="1"/>
  <c r="L277" i="1"/>
  <c r="K277" i="1"/>
  <c r="L297" i="1"/>
  <c r="K297" i="1"/>
  <c r="K412" i="1"/>
  <c r="L412" i="1"/>
  <c r="K376" i="1"/>
  <c r="L376" i="1"/>
  <c r="L42" i="1"/>
  <c r="K42" i="1"/>
  <c r="L58" i="1"/>
  <c r="K58" i="1"/>
  <c r="O336" i="1"/>
  <c r="N336" i="1"/>
  <c r="N293" i="1"/>
  <c r="O293" i="1"/>
  <c r="O166" i="1"/>
  <c r="N166" i="1"/>
  <c r="K453" i="1"/>
  <c r="L453" i="1"/>
  <c r="L444" i="1"/>
  <c r="K444" i="1"/>
  <c r="O171" i="1"/>
  <c r="N171" i="1"/>
  <c r="V30" i="1"/>
  <c r="L360" i="1"/>
  <c r="K360" i="1"/>
  <c r="L459" i="1"/>
  <c r="K459" i="1"/>
  <c r="L227" i="1"/>
  <c r="K227" i="1"/>
  <c r="K378" i="1"/>
  <c r="L378" i="1"/>
  <c r="K268" i="1"/>
  <c r="L268" i="1"/>
  <c r="K442" i="1"/>
  <c r="L442" i="1"/>
  <c r="L145" i="1"/>
  <c r="K145" i="1"/>
  <c r="O211" i="1"/>
  <c r="N211" i="1"/>
  <c r="O112" i="1"/>
  <c r="N112" i="1"/>
  <c r="L393" i="1"/>
  <c r="K393" i="1"/>
  <c r="L282" i="1"/>
  <c r="K282" i="1"/>
  <c r="K266" i="1"/>
  <c r="L266" i="1"/>
  <c r="L333" i="1"/>
  <c r="K333" i="1"/>
  <c r="K77" i="1"/>
  <c r="L77" i="1"/>
  <c r="L76" i="1"/>
  <c r="K76" i="1"/>
  <c r="K204" i="1"/>
  <c r="L204" i="1"/>
  <c r="L142" i="1"/>
  <c r="K142" i="1"/>
  <c r="L211" i="1"/>
  <c r="K211" i="1"/>
  <c r="K34" i="1"/>
  <c r="L34" i="1"/>
  <c r="L361" i="1"/>
  <c r="K361" i="1"/>
  <c r="L358" i="1"/>
  <c r="K358" i="1"/>
  <c r="K486" i="1"/>
  <c r="L486" i="1"/>
  <c r="L478" i="1"/>
  <c r="K478" i="1"/>
  <c r="O14" i="1"/>
  <c r="N14" i="1"/>
  <c r="K401" i="1"/>
  <c r="L401" i="1"/>
  <c r="L318" i="1"/>
  <c r="K318" i="1"/>
  <c r="K284" i="1"/>
  <c r="L284" i="1"/>
  <c r="O131" i="1"/>
  <c r="N131" i="1"/>
  <c r="K334" i="1"/>
  <c r="L334" i="1"/>
  <c r="L364" i="1"/>
  <c r="K364" i="1"/>
  <c r="K165" i="1"/>
  <c r="L165" i="1"/>
  <c r="N15" i="1"/>
  <c r="O15" i="1"/>
  <c r="L133" i="1"/>
  <c r="K133" i="1"/>
  <c r="O223" i="1"/>
  <c r="N223" i="1"/>
  <c r="N101" i="1"/>
  <c r="O101" i="1"/>
  <c r="K30" i="1"/>
  <c r="L30" i="1"/>
  <c r="K307" i="1"/>
  <c r="L307" i="1"/>
  <c r="K21" i="1"/>
  <c r="L21" i="1"/>
  <c r="K241" i="1"/>
  <c r="L241" i="1"/>
  <c r="O379" i="1"/>
  <c r="N379" i="1"/>
  <c r="L300" i="1"/>
  <c r="K300" i="1"/>
  <c r="L471" i="1"/>
  <c r="K471" i="1"/>
  <c r="K243" i="1"/>
  <c r="L243" i="1"/>
  <c r="L411" i="1"/>
  <c r="K411" i="1"/>
  <c r="L198" i="1"/>
  <c r="K198" i="1"/>
  <c r="K134" i="1"/>
  <c r="L134" i="1"/>
  <c r="O471" i="1"/>
  <c r="N471" i="1"/>
  <c r="L510" i="1"/>
  <c r="K510" i="1"/>
  <c r="K396" i="1"/>
  <c r="L396" i="1"/>
  <c r="K181" i="1"/>
  <c r="L181" i="1"/>
  <c r="L174" i="1"/>
  <c r="K174" i="1"/>
  <c r="N109" i="1"/>
  <c r="O109" i="1"/>
  <c r="O433" i="1"/>
  <c r="N433" i="1"/>
  <c r="K114" i="1"/>
  <c r="L114" i="1"/>
  <c r="K154" i="1"/>
  <c r="L154" i="1"/>
  <c r="L413" i="1"/>
  <c r="K413" i="1"/>
  <c r="N141" i="1"/>
  <c r="O141" i="1"/>
  <c r="N500" i="1"/>
  <c r="O500" i="1"/>
  <c r="K47" i="1"/>
  <c r="L47" i="1"/>
  <c r="K485" i="1"/>
  <c r="L485" i="1"/>
  <c r="L172" i="1"/>
  <c r="K172" i="1"/>
  <c r="L71" i="1"/>
  <c r="K71" i="1"/>
  <c r="K388" i="1"/>
  <c r="L388" i="1"/>
  <c r="K162" i="1"/>
  <c r="L162" i="1"/>
  <c r="K216" i="1"/>
  <c r="L216" i="1"/>
  <c r="O178" i="1"/>
  <c r="N178" i="1"/>
  <c r="O466" i="1"/>
  <c r="N466" i="1"/>
  <c r="N302" i="1"/>
  <c r="O302" i="1"/>
  <c r="O298" i="1"/>
  <c r="N298" i="1"/>
  <c r="N61" i="1"/>
  <c r="O61" i="1"/>
  <c r="O333" i="1"/>
  <c r="N333" i="1"/>
  <c r="L116" i="1"/>
  <c r="K116" i="1"/>
  <c r="L294" i="1"/>
  <c r="K294" i="1"/>
  <c r="O213" i="1"/>
  <c r="N213" i="1"/>
  <c r="L56" i="1"/>
  <c r="K56" i="1"/>
  <c r="O412" i="1"/>
  <c r="N412" i="1"/>
  <c r="O208" i="1"/>
  <c r="N208" i="1"/>
  <c r="L285" i="1"/>
  <c r="K285" i="1"/>
  <c r="L221" i="1"/>
  <c r="K221" i="1"/>
  <c r="L501" i="1"/>
  <c r="K501" i="1"/>
  <c r="K324" i="1"/>
  <c r="L324" i="1"/>
  <c r="K137" i="1"/>
  <c r="L137" i="1"/>
  <c r="O179" i="1"/>
  <c r="N179" i="1"/>
  <c r="O361" i="1"/>
  <c r="N361" i="1"/>
  <c r="N21" i="1"/>
  <c r="O21" i="1"/>
  <c r="L304" i="1"/>
  <c r="K304" i="1"/>
  <c r="O314" i="1"/>
  <c r="N314" i="1"/>
  <c r="L326" i="1"/>
  <c r="K326" i="1"/>
  <c r="L323" i="1"/>
  <c r="K323" i="1"/>
  <c r="O408" i="1"/>
  <c r="N408" i="1"/>
  <c r="N396" i="1"/>
  <c r="O396" i="1"/>
  <c r="L82" i="1"/>
  <c r="K82" i="1"/>
  <c r="K156" i="1"/>
  <c r="L156" i="1"/>
  <c r="O357" i="1"/>
  <c r="N357" i="1"/>
  <c r="O297" i="1"/>
  <c r="N297" i="1"/>
  <c r="O184" i="1"/>
  <c r="N184" i="1"/>
  <c r="O127" i="1"/>
  <c r="N127" i="1"/>
  <c r="O52" i="1"/>
  <c r="N52" i="1"/>
  <c r="O98" i="1"/>
  <c r="N98" i="1"/>
  <c r="O327" i="1"/>
  <c r="N327" i="1"/>
  <c r="N499" i="1"/>
  <c r="O499" i="1"/>
  <c r="O360" i="1"/>
  <c r="N360" i="1"/>
  <c r="N69" i="1"/>
  <c r="O69" i="1"/>
  <c r="O107" i="1"/>
  <c r="N107" i="1"/>
  <c r="N461" i="1"/>
  <c r="O461" i="1"/>
  <c r="O506" i="1"/>
  <c r="N506" i="1"/>
  <c r="N214" i="1"/>
  <c r="O214" i="1"/>
  <c r="O123" i="1"/>
  <c r="N123" i="1"/>
  <c r="O359" i="1"/>
  <c r="N359" i="1"/>
  <c r="N238" i="1"/>
  <c r="O238" i="1"/>
  <c r="O91" i="1"/>
  <c r="N91" i="1"/>
  <c r="O102" i="1"/>
  <c r="N102" i="1"/>
  <c r="O224" i="1"/>
  <c r="N224" i="1"/>
  <c r="O363" i="1"/>
  <c r="N363" i="1"/>
  <c r="O352" i="1"/>
  <c r="N352" i="1"/>
  <c r="O266" i="1"/>
  <c r="N266" i="1"/>
  <c r="O55" i="1"/>
  <c r="N55" i="1"/>
  <c r="O129" i="1"/>
  <c r="N129" i="1"/>
  <c r="N53" i="1"/>
  <c r="O53" i="1"/>
  <c r="O452" i="1"/>
  <c r="N452" i="1"/>
  <c r="O332" i="1"/>
  <c r="N332" i="1"/>
  <c r="O114" i="1"/>
  <c r="N114" i="1"/>
  <c r="G171" i="1" l="1"/>
  <c r="H171" i="1"/>
  <c r="Q15" i="1"/>
  <c r="H465" i="1"/>
  <c r="G465" i="1"/>
  <c r="G143" i="1"/>
  <c r="H143" i="1"/>
  <c r="G423" i="1"/>
  <c r="H423" i="1"/>
  <c r="H17" i="1"/>
  <c r="G17" i="1"/>
  <c r="H122" i="1"/>
  <c r="G122" i="1"/>
  <c r="G227" i="1"/>
  <c r="H227" i="1"/>
  <c r="G62" i="1"/>
  <c r="H62" i="1"/>
  <c r="H176" i="1"/>
  <c r="G176" i="1"/>
  <c r="G190" i="1"/>
  <c r="H190" i="1"/>
  <c r="G88" i="1"/>
  <c r="H88" i="1"/>
  <c r="H238" i="1"/>
  <c r="G238" i="1"/>
  <c r="G186" i="1"/>
  <c r="H186" i="1"/>
  <c r="H258" i="1"/>
  <c r="G258" i="1"/>
  <c r="G506" i="1"/>
  <c r="H506" i="1"/>
  <c r="H251" i="1"/>
  <c r="G251" i="1"/>
  <c r="G346" i="1"/>
  <c r="H346" i="1"/>
  <c r="G292" i="1"/>
  <c r="H292" i="1"/>
  <c r="G39" i="1"/>
  <c r="H39" i="1"/>
  <c r="G110" i="1"/>
  <c r="H110" i="1"/>
  <c r="G234" i="1"/>
  <c r="H234" i="1"/>
  <c r="G510" i="1"/>
  <c r="H510" i="1"/>
  <c r="G367" i="1"/>
  <c r="H367" i="1"/>
  <c r="H313" i="1"/>
  <c r="G313" i="1"/>
  <c r="G205" i="1"/>
  <c r="H205" i="1"/>
  <c r="H446" i="1"/>
  <c r="G446" i="1"/>
  <c r="G286" i="1"/>
  <c r="H286" i="1"/>
  <c r="G8" i="1"/>
  <c r="H8" i="1"/>
  <c r="G135" i="1"/>
  <c r="H135" i="1"/>
  <c r="G488" i="1"/>
  <c r="H488" i="1"/>
  <c r="G434" i="1"/>
  <c r="H434" i="1"/>
  <c r="H3" i="1"/>
  <c r="G3" i="1"/>
  <c r="H342" i="1"/>
  <c r="G342" i="1"/>
  <c r="G394" i="1"/>
  <c r="H394" i="1"/>
  <c r="G55" i="1"/>
  <c r="H55" i="1"/>
  <c r="G319" i="1"/>
  <c r="H319" i="1"/>
  <c r="H470" i="1"/>
  <c r="G470" i="1"/>
  <c r="H224" i="1"/>
  <c r="G224" i="1"/>
  <c r="G81" i="1"/>
  <c r="H81" i="1"/>
  <c r="G487" i="1"/>
  <c r="H487" i="1"/>
  <c r="G396" i="1"/>
  <c r="H396" i="1"/>
  <c r="H427" i="1"/>
  <c r="G427" i="1"/>
  <c r="H265" i="1"/>
  <c r="G265" i="1"/>
  <c r="G513" i="1"/>
  <c r="H513" i="1"/>
  <c r="H6" i="1"/>
  <c r="G6" i="1"/>
  <c r="G73" i="1"/>
  <c r="H73" i="1"/>
  <c r="G69" i="1"/>
  <c r="H69" i="1"/>
  <c r="G121" i="1"/>
  <c r="H121" i="1"/>
  <c r="G415" i="1"/>
  <c r="H415" i="1"/>
  <c r="G491" i="1"/>
  <c r="H491" i="1"/>
  <c r="H223" i="1"/>
  <c r="G223" i="1"/>
  <c r="G58" i="1"/>
  <c r="H58" i="1"/>
  <c r="G492" i="1"/>
  <c r="H492" i="1"/>
  <c r="G486" i="1"/>
  <c r="H486" i="1"/>
  <c r="H280" i="1"/>
  <c r="G280" i="1"/>
  <c r="G53" i="1"/>
  <c r="H53" i="1"/>
  <c r="H130" i="1"/>
  <c r="G130" i="1"/>
  <c r="G41" i="1"/>
  <c r="H41" i="1"/>
  <c r="H43" i="1"/>
  <c r="G43" i="1"/>
  <c r="H115" i="1"/>
  <c r="G115" i="1"/>
  <c r="H259" i="1"/>
  <c r="G259" i="1"/>
  <c r="H403" i="1"/>
  <c r="G403" i="1"/>
  <c r="G355" i="1"/>
  <c r="H355" i="1"/>
  <c r="G246" i="1"/>
  <c r="H246" i="1"/>
  <c r="G201" i="1"/>
  <c r="H201" i="1"/>
  <c r="H306" i="1"/>
  <c r="G306" i="1"/>
  <c r="G314" i="1"/>
  <c r="H314" i="1"/>
  <c r="G350" i="1"/>
  <c r="H350" i="1"/>
  <c r="H378" i="1"/>
  <c r="G378" i="1"/>
  <c r="H500" i="1"/>
  <c r="G500" i="1"/>
  <c r="G160" i="1"/>
  <c r="H160" i="1"/>
  <c r="G477" i="1"/>
  <c r="H477" i="1"/>
  <c r="H221" i="1"/>
  <c r="G221" i="1"/>
  <c r="H326" i="1"/>
  <c r="G326" i="1"/>
  <c r="G172" i="1"/>
  <c r="H172" i="1"/>
  <c r="G133" i="1"/>
  <c r="H133" i="1"/>
  <c r="H464" i="1"/>
  <c r="G464" i="1"/>
  <c r="H395" i="1"/>
  <c r="G395" i="1"/>
  <c r="G459" i="1"/>
  <c r="H459" i="1"/>
  <c r="G217" i="1"/>
  <c r="H217" i="1"/>
  <c r="G431" i="1"/>
  <c r="H431" i="1"/>
  <c r="H57" i="1"/>
  <c r="G57" i="1"/>
  <c r="G297" i="1"/>
  <c r="H297" i="1"/>
  <c r="G366" i="1"/>
  <c r="H366" i="1"/>
  <c r="H391" i="1"/>
  <c r="G391" i="1"/>
  <c r="G466" i="1"/>
  <c r="H466" i="1"/>
  <c r="H168" i="1"/>
  <c r="G168" i="1"/>
  <c r="G349" i="1"/>
  <c r="H349" i="1"/>
  <c r="H468" i="1"/>
  <c r="G468" i="1"/>
  <c r="G443" i="1"/>
  <c r="H443" i="1"/>
  <c r="G18" i="1"/>
  <c r="H18" i="1"/>
  <c r="G494" i="1"/>
  <c r="H494" i="1"/>
  <c r="H183" i="1"/>
  <c r="G183" i="1"/>
  <c r="H270" i="1"/>
  <c r="G270" i="1"/>
  <c r="G38" i="1"/>
  <c r="H38" i="1"/>
  <c r="H166" i="1"/>
  <c r="G166" i="1"/>
  <c r="G347" i="1"/>
  <c r="H347" i="1"/>
  <c r="G372" i="1"/>
  <c r="H372" i="1"/>
  <c r="G155" i="1"/>
  <c r="H155" i="1"/>
  <c r="G302" i="1"/>
  <c r="H302" i="1"/>
  <c r="G2" i="1"/>
  <c r="H2" i="1"/>
  <c r="H333" i="1"/>
  <c r="G333" i="1"/>
  <c r="H106" i="1"/>
  <c r="G106" i="1"/>
  <c r="H263" i="1"/>
  <c r="G263" i="1"/>
  <c r="H203" i="1"/>
  <c r="G203" i="1"/>
  <c r="G148" i="1"/>
  <c r="H148" i="1"/>
  <c r="H37" i="1"/>
  <c r="G37" i="1"/>
  <c r="G96" i="1"/>
  <c r="H96" i="1"/>
  <c r="H416" i="1"/>
  <c r="G416" i="1"/>
  <c r="G493" i="1"/>
  <c r="H493" i="1"/>
  <c r="G457" i="1"/>
  <c r="H457" i="1"/>
  <c r="H111" i="1"/>
  <c r="G111" i="1"/>
  <c r="G303" i="1"/>
  <c r="H303" i="1"/>
  <c r="G142" i="1"/>
  <c r="H142" i="1"/>
  <c r="G63" i="1"/>
  <c r="H63" i="1"/>
  <c r="G250" i="1"/>
  <c r="H250" i="1"/>
  <c r="H187" i="1"/>
  <c r="G187" i="1"/>
  <c r="H9" i="1"/>
  <c r="G9" i="1"/>
  <c r="G462" i="1"/>
  <c r="H462" i="1"/>
  <c r="G421" i="1"/>
  <c r="H421" i="1"/>
  <c r="G502" i="1"/>
  <c r="H502" i="1"/>
  <c r="G337" i="1"/>
  <c r="H337" i="1"/>
  <c r="H104" i="1"/>
  <c r="G104" i="1"/>
  <c r="G33" i="1"/>
  <c r="H33" i="1"/>
  <c r="G164" i="1"/>
  <c r="H164" i="1"/>
  <c r="G36" i="1"/>
  <c r="H36" i="1"/>
  <c r="G334" i="1"/>
  <c r="H334" i="1"/>
  <c r="G79" i="1"/>
  <c r="H79" i="1"/>
  <c r="G118" i="1"/>
  <c r="H118" i="1"/>
  <c r="H339" i="1"/>
  <c r="G339" i="1"/>
  <c r="H75" i="1"/>
  <c r="G75" i="1"/>
  <c r="G467" i="1"/>
  <c r="H467" i="1"/>
  <c r="G100" i="1"/>
  <c r="H100" i="1"/>
  <c r="G125" i="1"/>
  <c r="H125" i="1"/>
  <c r="G159" i="1"/>
  <c r="H159" i="1"/>
  <c r="G356" i="1"/>
  <c r="H356" i="1"/>
  <c r="H150" i="1"/>
  <c r="G150" i="1"/>
  <c r="H128" i="1"/>
  <c r="G128" i="1"/>
  <c r="H351" i="1"/>
  <c r="G351" i="1"/>
  <c r="H49" i="1"/>
  <c r="G49" i="1"/>
  <c r="H50" i="1"/>
  <c r="G50" i="1"/>
  <c r="H411" i="1"/>
  <c r="G411" i="1"/>
  <c r="G78" i="1"/>
  <c r="H78" i="1"/>
  <c r="H47" i="1"/>
  <c r="G47" i="1"/>
  <c r="G385" i="1"/>
  <c r="H385" i="1"/>
  <c r="G59" i="1"/>
  <c r="H59" i="1"/>
  <c r="G213" i="1"/>
  <c r="H213" i="1"/>
  <c r="H404" i="1"/>
  <c r="G404" i="1"/>
  <c r="H495" i="1"/>
  <c r="G495" i="1"/>
  <c r="H414" i="1"/>
  <c r="G414" i="1"/>
  <c r="G200" i="1"/>
  <c r="H200" i="1"/>
  <c r="G102" i="1"/>
  <c r="H102" i="1"/>
  <c r="H152" i="1"/>
  <c r="G152" i="1"/>
  <c r="H93" i="1"/>
  <c r="G93" i="1"/>
  <c r="G295" i="1"/>
  <c r="H295" i="1"/>
  <c r="G114" i="1"/>
  <c r="H114" i="1"/>
  <c r="G162" i="1"/>
  <c r="H162" i="1"/>
  <c r="H454" i="1"/>
  <c r="G454" i="1"/>
  <c r="H344" i="1"/>
  <c r="G344" i="1"/>
  <c r="H471" i="1"/>
  <c r="G471" i="1"/>
  <c r="G352" i="1"/>
  <c r="H352" i="1"/>
  <c r="G304" i="1"/>
  <c r="H304" i="1"/>
  <c r="H308" i="1"/>
  <c r="G308" i="1"/>
  <c r="G94" i="1"/>
  <c r="H94" i="1"/>
  <c r="H61" i="1"/>
  <c r="G61" i="1"/>
  <c r="H359" i="1"/>
  <c r="G359" i="1"/>
  <c r="H309" i="1"/>
  <c r="G309" i="1"/>
  <c r="G108" i="1"/>
  <c r="H108" i="1"/>
  <c r="G478" i="1"/>
  <c r="H478" i="1"/>
  <c r="G293" i="1"/>
  <c r="H293" i="1"/>
  <c r="G455" i="1"/>
  <c r="H455" i="1"/>
  <c r="G154" i="1"/>
  <c r="H154" i="1"/>
  <c r="G248" i="1"/>
  <c r="H248" i="1"/>
  <c r="H418" i="1"/>
  <c r="G418" i="1"/>
  <c r="G83" i="1"/>
  <c r="H83" i="1"/>
  <c r="H211" i="1"/>
  <c r="G211" i="1"/>
  <c r="G68" i="1"/>
  <c r="H68" i="1"/>
  <c r="G476" i="1"/>
  <c r="H476" i="1"/>
  <c r="G289" i="1"/>
  <c r="H289" i="1"/>
  <c r="G182" i="1"/>
  <c r="H182" i="1"/>
  <c r="G165" i="1"/>
  <c r="H165" i="1"/>
  <c r="H137" i="1"/>
  <c r="G137" i="1"/>
  <c r="G374" i="1"/>
  <c r="H374" i="1"/>
  <c r="G204" i="1"/>
  <c r="H204" i="1"/>
  <c r="H299" i="1"/>
  <c r="G299" i="1"/>
  <c r="H214" i="1"/>
  <c r="G214" i="1"/>
  <c r="G473" i="1"/>
  <c r="H473" i="1"/>
  <c r="G232" i="1"/>
  <c r="H232" i="1"/>
  <c r="G318" i="1"/>
  <c r="H318" i="1"/>
  <c r="G60" i="1"/>
  <c r="H60" i="1"/>
  <c r="H354" i="1"/>
  <c r="G354" i="1"/>
  <c r="G388" i="1"/>
  <c r="H388" i="1"/>
  <c r="G260" i="1"/>
  <c r="H260" i="1"/>
  <c r="G239" i="1"/>
  <c r="H239" i="1"/>
  <c r="G12" i="1"/>
  <c r="H12" i="1"/>
  <c r="G5" i="1"/>
  <c r="H5" i="1"/>
  <c r="G195" i="1"/>
  <c r="H195" i="1"/>
  <c r="H66" i="1"/>
  <c r="G66" i="1"/>
  <c r="G379" i="1"/>
  <c r="H379" i="1"/>
  <c r="H7" i="1"/>
  <c r="G7" i="1"/>
  <c r="G226" i="1"/>
  <c r="H226" i="1"/>
  <c r="G193" i="1"/>
  <c r="H193" i="1"/>
  <c r="G296" i="1"/>
  <c r="H296" i="1"/>
  <c r="G70" i="1"/>
  <c r="H70" i="1"/>
  <c r="G127" i="1"/>
  <c r="H127" i="1"/>
  <c r="G84" i="1"/>
  <c r="H84" i="1"/>
  <c r="G275" i="1"/>
  <c r="H275" i="1"/>
  <c r="G65" i="1"/>
  <c r="H65" i="1"/>
  <c r="G452" i="1"/>
  <c r="H452" i="1"/>
  <c r="H357" i="1"/>
  <c r="G357" i="1"/>
  <c r="G26" i="1"/>
  <c r="H26" i="1"/>
  <c r="G243" i="1"/>
  <c r="H243" i="1"/>
  <c r="H85" i="1"/>
  <c r="G85" i="1"/>
  <c r="G511" i="1"/>
  <c r="H511" i="1"/>
  <c r="G447" i="1"/>
  <c r="H447" i="1"/>
  <c r="G273" i="1"/>
  <c r="H273" i="1"/>
  <c r="G498" i="1"/>
  <c r="H498" i="1"/>
  <c r="G322" i="1"/>
  <c r="H322" i="1"/>
  <c r="G345" i="1"/>
  <c r="H345" i="1"/>
  <c r="G305" i="1"/>
  <c r="H305" i="1"/>
  <c r="G235" i="1"/>
  <c r="H235" i="1"/>
  <c r="G430" i="1"/>
  <c r="H430" i="1"/>
  <c r="H173" i="1"/>
  <c r="G173" i="1"/>
  <c r="G181" i="1"/>
  <c r="H181" i="1"/>
  <c r="H220" i="1"/>
  <c r="G220" i="1"/>
  <c r="G86" i="1"/>
  <c r="H86" i="1"/>
  <c r="H315" i="1"/>
  <c r="G315" i="1"/>
  <c r="G445" i="1"/>
  <c r="H445" i="1"/>
  <c r="G382" i="1"/>
  <c r="H382" i="1"/>
  <c r="G242" i="1"/>
  <c r="H242" i="1"/>
  <c r="G267" i="1"/>
  <c r="H267" i="1"/>
  <c r="G332" i="1"/>
  <c r="H332" i="1"/>
  <c r="H424" i="1"/>
  <c r="G424" i="1"/>
  <c r="G508" i="1"/>
  <c r="H508" i="1"/>
  <c r="G197" i="1"/>
  <c r="H197" i="1"/>
  <c r="G437" i="1"/>
  <c r="H437" i="1"/>
  <c r="G490" i="1"/>
  <c r="H490" i="1"/>
  <c r="H178" i="1"/>
  <c r="G178" i="1"/>
  <c r="G208" i="1"/>
  <c r="H208" i="1"/>
  <c r="H325" i="1"/>
  <c r="G325" i="1"/>
  <c r="G179" i="1"/>
  <c r="H179" i="1"/>
  <c r="G320" i="1"/>
  <c r="H320" i="1"/>
  <c r="H21" i="1"/>
  <c r="G21" i="1"/>
  <c r="G369" i="1"/>
  <c r="H369" i="1"/>
  <c r="H377" i="1"/>
  <c r="G377" i="1"/>
  <c r="G353" i="1"/>
  <c r="H353" i="1"/>
  <c r="G225" i="1"/>
  <c r="H225" i="1"/>
  <c r="G380" i="1"/>
  <c r="H380" i="1"/>
  <c r="G113" i="1"/>
  <c r="H113" i="1"/>
  <c r="H80" i="1"/>
  <c r="G80" i="1"/>
  <c r="G139" i="1"/>
  <c r="H139" i="1"/>
  <c r="G456" i="1"/>
  <c r="H456" i="1"/>
  <c r="G174" i="1"/>
  <c r="H174" i="1"/>
  <c r="G158" i="1"/>
  <c r="H158" i="1"/>
  <c r="H28" i="1"/>
  <c r="G28" i="1"/>
  <c r="G449" i="1"/>
  <c r="H449" i="1"/>
  <c r="G175" i="1"/>
  <c r="H175" i="1"/>
  <c r="G254" i="1"/>
  <c r="H254" i="1"/>
  <c r="G266" i="1"/>
  <c r="H266" i="1"/>
  <c r="H422" i="1"/>
  <c r="G422" i="1"/>
  <c r="H375" i="1"/>
  <c r="G375" i="1"/>
  <c r="G401" i="1"/>
  <c r="H401" i="1"/>
  <c r="G298" i="1"/>
  <c r="H298" i="1"/>
  <c r="G408" i="1"/>
  <c r="H408" i="1"/>
  <c r="G163" i="1"/>
  <c r="H163" i="1"/>
  <c r="H442" i="1"/>
  <c r="G442" i="1"/>
  <c r="G101" i="1"/>
  <c r="H101" i="1"/>
  <c r="G244" i="1"/>
  <c r="H244" i="1"/>
  <c r="G363" i="1"/>
  <c r="H363" i="1"/>
  <c r="G23" i="1"/>
  <c r="H23" i="1"/>
  <c r="G34" i="1"/>
  <c r="H34" i="1"/>
  <c r="H400" i="1"/>
  <c r="G400" i="1"/>
  <c r="H229" i="1"/>
  <c r="G229" i="1"/>
  <c r="G505" i="1"/>
  <c r="H505" i="1"/>
  <c r="G24" i="1"/>
  <c r="H24" i="1"/>
  <c r="G146" i="1"/>
  <c r="H146" i="1"/>
  <c r="G312" i="1"/>
  <c r="H312" i="1"/>
  <c r="G448" i="1"/>
  <c r="H448" i="1"/>
  <c r="H32" i="1"/>
  <c r="G32" i="1"/>
  <c r="G169" i="1"/>
  <c r="H169" i="1"/>
  <c r="G439" i="1"/>
  <c r="H439" i="1"/>
  <c r="G407" i="1"/>
  <c r="H407" i="1"/>
  <c r="G373" i="1"/>
  <c r="H373" i="1"/>
  <c r="G247" i="1"/>
  <c r="H247" i="1"/>
  <c r="H189" i="1"/>
  <c r="G189" i="1"/>
  <c r="G116" i="1"/>
  <c r="H116" i="1"/>
  <c r="H153" i="1"/>
  <c r="G153" i="1"/>
  <c r="G483" i="1"/>
  <c r="H483" i="1"/>
  <c r="H321" i="1"/>
  <c r="G321" i="1"/>
  <c r="G112" i="1"/>
  <c r="H112" i="1"/>
  <c r="H196" i="1"/>
  <c r="G196" i="1"/>
  <c r="H253" i="1"/>
  <c r="G253" i="1"/>
  <c r="H268" i="1"/>
  <c r="G268" i="1"/>
  <c r="H240" i="1"/>
  <c r="G240" i="1"/>
  <c r="H103" i="1"/>
  <c r="G103" i="1"/>
  <c r="G489" i="1"/>
  <c r="H489" i="1"/>
  <c r="H51" i="1"/>
  <c r="G51" i="1"/>
  <c r="H420" i="1"/>
  <c r="G420" i="1"/>
  <c r="G463" i="1"/>
  <c r="H463" i="1"/>
  <c r="G272" i="1"/>
  <c r="H272" i="1"/>
  <c r="G107" i="1"/>
  <c r="H107" i="1"/>
  <c r="G255" i="1"/>
  <c r="H255" i="1"/>
  <c r="G206" i="1"/>
  <c r="H206" i="1"/>
  <c r="G131" i="1"/>
  <c r="H131" i="1"/>
  <c r="G429" i="1"/>
  <c r="H429" i="1"/>
  <c r="G485" i="1"/>
  <c r="H485" i="1"/>
  <c r="G180" i="1"/>
  <c r="H180" i="1"/>
  <c r="H138" i="1"/>
  <c r="G138" i="1"/>
  <c r="G20" i="1"/>
  <c r="H20" i="1"/>
  <c r="H472" i="1"/>
  <c r="G472" i="1"/>
  <c r="H136" i="1"/>
  <c r="G136" i="1"/>
  <c r="H433" i="1"/>
  <c r="G433" i="1"/>
  <c r="H212" i="1"/>
  <c r="G212" i="1"/>
  <c r="G13" i="1"/>
  <c r="H13" i="1"/>
  <c r="H71" i="1"/>
  <c r="G71" i="1"/>
  <c r="G390" i="1"/>
  <c r="H390" i="1"/>
  <c r="H82" i="1"/>
  <c r="G82" i="1"/>
  <c r="G412" i="1"/>
  <c r="H412" i="1"/>
  <c r="H300" i="1"/>
  <c r="G300" i="1"/>
  <c r="G425" i="1"/>
  <c r="H425" i="1"/>
  <c r="G360" i="1"/>
  <c r="H360" i="1"/>
  <c r="G161" i="1"/>
  <c r="H161" i="1"/>
  <c r="G15" i="1"/>
  <c r="H15" i="1"/>
  <c r="G52" i="1"/>
  <c r="H52" i="1"/>
  <c r="H343" i="1"/>
  <c r="G343" i="1"/>
  <c r="H461" i="1"/>
  <c r="G461" i="1"/>
  <c r="G291" i="1"/>
  <c r="H291" i="1"/>
  <c r="G328" i="1"/>
  <c r="H328" i="1"/>
  <c r="G22" i="1"/>
  <c r="H22" i="1"/>
  <c r="H117" i="1"/>
  <c r="G117" i="1"/>
  <c r="H284" i="1"/>
  <c r="G284" i="1"/>
  <c r="G44" i="1"/>
  <c r="H44" i="1"/>
  <c r="G335" i="1"/>
  <c r="H335" i="1"/>
  <c r="G120" i="1"/>
  <c r="H120" i="1"/>
  <c r="G241" i="1"/>
  <c r="H241" i="1"/>
  <c r="G441" i="1"/>
  <c r="H441" i="1"/>
  <c r="G387" i="1"/>
  <c r="H387" i="1"/>
  <c r="G27" i="1"/>
  <c r="H27" i="1"/>
  <c r="H399" i="1"/>
  <c r="G399" i="1"/>
  <c r="G222" i="1"/>
  <c r="H222" i="1"/>
  <c r="H497" i="1"/>
  <c r="G497" i="1"/>
  <c r="G474" i="1"/>
  <c r="H474" i="1"/>
  <c r="G413" i="1"/>
  <c r="H413" i="1"/>
  <c r="G89" i="1"/>
  <c r="H89" i="1"/>
  <c r="H371" i="1"/>
  <c r="G371" i="1"/>
  <c r="H167" i="1"/>
  <c r="G167" i="1"/>
  <c r="H185" i="1"/>
  <c r="G185" i="1"/>
  <c r="H504" i="1"/>
  <c r="G504" i="1"/>
  <c r="G109" i="1"/>
  <c r="H109" i="1"/>
  <c r="G475" i="1"/>
  <c r="H475" i="1"/>
  <c r="H409" i="1"/>
  <c r="G409" i="1"/>
  <c r="G285" i="1"/>
  <c r="H285" i="1"/>
  <c r="G231" i="1"/>
  <c r="H231" i="1"/>
  <c r="G426" i="1"/>
  <c r="H426" i="1"/>
  <c r="G499" i="1"/>
  <c r="H499" i="1"/>
  <c r="G219" i="1"/>
  <c r="H219" i="1"/>
  <c r="G368" i="1"/>
  <c r="H368" i="1"/>
  <c r="G194" i="1"/>
  <c r="H194" i="1"/>
  <c r="G98" i="1"/>
  <c r="H98" i="1"/>
  <c r="H362" i="1"/>
  <c r="G362" i="1"/>
  <c r="G76" i="1"/>
  <c r="H76" i="1"/>
  <c r="H294" i="1"/>
  <c r="G294" i="1"/>
  <c r="H126" i="1"/>
  <c r="G126" i="1"/>
  <c r="H134" i="1"/>
  <c r="G134" i="1"/>
  <c r="G348" i="1"/>
  <c r="H348" i="1"/>
  <c r="G331" i="1"/>
  <c r="H331" i="1"/>
  <c r="H458" i="1"/>
  <c r="G458" i="1"/>
  <c r="H398" i="1"/>
  <c r="G398" i="1"/>
  <c r="H145" i="1"/>
  <c r="G145" i="1"/>
  <c r="H72" i="1"/>
  <c r="G72" i="1"/>
  <c r="G451" i="1"/>
  <c r="H451" i="1"/>
  <c r="H257" i="1"/>
  <c r="G257" i="1"/>
  <c r="G67" i="1"/>
  <c r="H67" i="1"/>
  <c r="G436" i="1"/>
  <c r="H436" i="1"/>
  <c r="H307" i="1"/>
  <c r="G307" i="1"/>
  <c r="G64" i="1"/>
  <c r="H64" i="1"/>
  <c r="H97" i="1"/>
  <c r="G97" i="1"/>
  <c r="H281" i="1"/>
  <c r="G281" i="1"/>
  <c r="G140" i="1"/>
  <c r="H140" i="1"/>
  <c r="G376" i="1"/>
  <c r="H376" i="1"/>
  <c r="G87" i="1"/>
  <c r="H87" i="1"/>
  <c r="X29" i="1"/>
  <c r="V31" i="1"/>
  <c r="G209" i="1"/>
  <c r="H209" i="1"/>
  <c r="G10" i="1"/>
  <c r="H10" i="1"/>
  <c r="H202" i="1"/>
  <c r="G202" i="1"/>
  <c r="G327" i="1"/>
  <c r="H327" i="1"/>
  <c r="H170" i="1"/>
  <c r="G170" i="1"/>
  <c r="G276" i="1"/>
  <c r="H276" i="1"/>
  <c r="G141" i="1"/>
  <c r="H141" i="1"/>
  <c r="H74" i="1"/>
  <c r="G74" i="1"/>
  <c r="H91" i="1"/>
  <c r="G91" i="1"/>
  <c r="H450" i="1"/>
  <c r="G450" i="1"/>
  <c r="G233" i="1"/>
  <c r="H233" i="1"/>
  <c r="G393" i="1"/>
  <c r="H393" i="1"/>
  <c r="H358" i="1"/>
  <c r="G358" i="1"/>
  <c r="G340" i="1"/>
  <c r="H340" i="1"/>
  <c r="G19" i="1"/>
  <c r="H19" i="1"/>
  <c r="H264" i="1"/>
  <c r="G264" i="1"/>
  <c r="H147" i="1"/>
  <c r="G147" i="1"/>
  <c r="G157" i="1"/>
  <c r="H157" i="1"/>
  <c r="G392" i="1"/>
  <c r="H392" i="1"/>
  <c r="G119" i="1"/>
  <c r="H119" i="1"/>
  <c r="G440" i="1"/>
  <c r="H440" i="1"/>
  <c r="G156" i="1"/>
  <c r="H156" i="1"/>
  <c r="H40" i="1"/>
  <c r="G40" i="1"/>
  <c r="G262" i="1"/>
  <c r="H262" i="1"/>
  <c r="G384" i="1"/>
  <c r="H384" i="1"/>
  <c r="G42" i="1"/>
  <c r="H42" i="1"/>
  <c r="G90" i="1"/>
  <c r="H90" i="1"/>
  <c r="G277" i="1"/>
  <c r="H277" i="1"/>
  <c r="H397" i="1"/>
  <c r="G397" i="1"/>
  <c r="G406" i="1"/>
  <c r="H406" i="1"/>
  <c r="G417" i="1"/>
  <c r="H417" i="1"/>
  <c r="G237" i="1"/>
  <c r="H237" i="1"/>
  <c r="H230" i="1"/>
  <c r="G230" i="1"/>
  <c r="G46" i="1"/>
  <c r="H46" i="1"/>
  <c r="H316" i="1"/>
  <c r="G316" i="1"/>
  <c r="H4" i="1"/>
  <c r="G4" i="1"/>
  <c r="G389" i="1"/>
  <c r="H389" i="1"/>
  <c r="G364" i="1"/>
  <c r="H364" i="1"/>
  <c r="G507" i="1"/>
  <c r="H507" i="1"/>
  <c r="G149" i="1"/>
  <c r="H149" i="1"/>
  <c r="G123" i="1"/>
  <c r="H123" i="1"/>
  <c r="G198" i="1"/>
  <c r="H198" i="1"/>
  <c r="H329" i="1"/>
  <c r="G329" i="1"/>
  <c r="G428" i="1"/>
  <c r="H428" i="1"/>
  <c r="G271" i="1"/>
  <c r="H271" i="1"/>
  <c r="H419" i="1"/>
  <c r="G419" i="1"/>
  <c r="H124" i="1"/>
  <c r="G124" i="1"/>
  <c r="H435" i="1"/>
  <c r="G435" i="1"/>
  <c r="G405" i="1"/>
  <c r="H405" i="1"/>
  <c r="H132" i="1"/>
  <c r="G132" i="1"/>
  <c r="G192" i="1"/>
  <c r="H192" i="1"/>
  <c r="G45" i="1"/>
  <c r="H45" i="1"/>
  <c r="G509" i="1"/>
  <c r="H509" i="1"/>
  <c r="G31" i="1"/>
  <c r="H31" i="1"/>
  <c r="H279" i="1"/>
  <c r="G279" i="1"/>
  <c r="H283" i="1"/>
  <c r="G283" i="1"/>
  <c r="G310" i="1"/>
  <c r="H310" i="1"/>
  <c r="G252" i="1"/>
  <c r="H252" i="1"/>
  <c r="G512" i="1"/>
  <c r="H512" i="1"/>
  <c r="G338" i="1"/>
  <c r="H338" i="1"/>
  <c r="H365" i="1"/>
  <c r="G365" i="1"/>
  <c r="H99" i="1"/>
  <c r="G99" i="1"/>
  <c r="G25" i="1"/>
  <c r="H25" i="1"/>
  <c r="G432" i="1"/>
  <c r="H432" i="1"/>
  <c r="G479" i="1"/>
  <c r="H479" i="1"/>
  <c r="H444" i="1"/>
  <c r="G444" i="1"/>
  <c r="H460" i="1"/>
  <c r="G460" i="1"/>
  <c r="G287" i="1"/>
  <c r="H287" i="1"/>
  <c r="P15" i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H381" i="1"/>
  <c r="G381" i="1"/>
  <c r="G282" i="1"/>
  <c r="H282" i="1"/>
  <c r="G290" i="1"/>
  <c r="H290" i="1"/>
  <c r="G210" i="1"/>
  <c r="H210" i="1"/>
  <c r="H482" i="1"/>
  <c r="G482" i="1"/>
  <c r="G11" i="1"/>
  <c r="H11" i="1"/>
  <c r="H484" i="1"/>
  <c r="G484" i="1"/>
  <c r="H48" i="1"/>
  <c r="G48" i="1"/>
  <c r="G496" i="1"/>
  <c r="H496" i="1"/>
  <c r="H361" i="1"/>
  <c r="G361" i="1"/>
  <c r="H288" i="1"/>
  <c r="G288" i="1"/>
  <c r="H14" i="1"/>
  <c r="G14" i="1"/>
  <c r="G188" i="1"/>
  <c r="H188" i="1"/>
  <c r="H216" i="1"/>
  <c r="G216" i="1"/>
  <c r="H144" i="1"/>
  <c r="G144" i="1"/>
  <c r="H129" i="1"/>
  <c r="G129" i="1"/>
  <c r="G336" i="1"/>
  <c r="H336" i="1"/>
  <c r="G261" i="1"/>
  <c r="H261" i="1"/>
  <c r="G199" i="1"/>
  <c r="H199" i="1"/>
  <c r="H370" i="1"/>
  <c r="G370" i="1"/>
  <c r="G228" i="1"/>
  <c r="H228" i="1"/>
  <c r="G207" i="1"/>
  <c r="H207" i="1"/>
  <c r="G301" i="1"/>
  <c r="H301" i="1"/>
  <c r="H77" i="1"/>
  <c r="G77" i="1"/>
  <c r="G469" i="1"/>
  <c r="H469" i="1"/>
  <c r="H501" i="1"/>
  <c r="G501" i="1"/>
  <c r="H95" i="1"/>
  <c r="G95" i="1"/>
  <c r="G311" i="1"/>
  <c r="H311" i="1"/>
  <c r="G151" i="1"/>
  <c r="H151" i="1"/>
  <c r="G256" i="1"/>
  <c r="H256" i="1"/>
  <c r="G274" i="1"/>
  <c r="H274" i="1"/>
  <c r="H56" i="1"/>
  <c r="G56" i="1"/>
  <c r="H249" i="1"/>
  <c r="G249" i="1"/>
  <c r="G410" i="1"/>
  <c r="H410" i="1"/>
  <c r="H383" i="1"/>
  <c r="G383" i="1"/>
  <c r="H438" i="1"/>
  <c r="G438" i="1"/>
  <c r="G453" i="1"/>
  <c r="H453" i="1"/>
  <c r="G184" i="1"/>
  <c r="H184" i="1"/>
  <c r="G386" i="1"/>
  <c r="H386" i="1"/>
  <c r="G218" i="1"/>
  <c r="H218" i="1"/>
  <c r="H30" i="1"/>
  <c r="G30" i="1"/>
  <c r="H245" i="1"/>
  <c r="G245" i="1"/>
  <c r="H215" i="1"/>
  <c r="G215" i="1"/>
  <c r="G35" i="1"/>
  <c r="H35" i="1"/>
  <c r="G503" i="1"/>
  <c r="H503" i="1"/>
  <c r="G514" i="1"/>
  <c r="H514" i="1"/>
  <c r="G54" i="1"/>
  <c r="H54" i="1"/>
  <c r="G323" i="1"/>
  <c r="H323" i="1"/>
  <c r="H481" i="1"/>
  <c r="G481" i="1"/>
  <c r="G16" i="1"/>
  <c r="H16" i="1"/>
  <c r="G317" i="1"/>
  <c r="H317" i="1"/>
  <c r="G269" i="1"/>
  <c r="H269" i="1"/>
  <c r="G341" i="1"/>
  <c r="H341" i="1"/>
  <c r="G278" i="1"/>
  <c r="H278" i="1"/>
  <c r="G324" i="1"/>
  <c r="H324" i="1"/>
  <c r="G191" i="1"/>
  <c r="H191" i="1"/>
  <c r="G236" i="1"/>
  <c r="H236" i="1"/>
  <c r="G402" i="1"/>
  <c r="H402" i="1"/>
  <c r="H105" i="1"/>
  <c r="G105" i="1"/>
  <c r="G330" i="1"/>
  <c r="H330" i="1"/>
  <c r="H177" i="1"/>
  <c r="G177" i="1"/>
  <c r="H480" i="1"/>
  <c r="G480" i="1"/>
  <c r="G92" i="1"/>
  <c r="H92" i="1"/>
  <c r="H29" i="1"/>
  <c r="G29" i="1"/>
  <c r="X30" i="1" l="1"/>
  <c r="V32" i="1"/>
  <c r="Q16" i="1"/>
  <c r="R15" i="1"/>
  <c r="S15" i="1" s="1"/>
  <c r="Q17" i="1" l="1"/>
  <c r="R16" i="1"/>
  <c r="S16" i="1" s="1"/>
  <c r="X31" i="1"/>
  <c r="V33" i="1"/>
  <c r="X32" i="1" l="1"/>
  <c r="V34" i="1"/>
  <c r="Q18" i="1"/>
  <c r="R17" i="1"/>
  <c r="S17" i="1" s="1"/>
  <c r="X33" i="1" l="1"/>
  <c r="V35" i="1"/>
  <c r="Q19" i="1"/>
  <c r="R18" i="1"/>
  <c r="S18" i="1" s="1"/>
  <c r="Q20" i="1" l="1"/>
  <c r="R19" i="1"/>
  <c r="S19" i="1" s="1"/>
  <c r="X34" i="1"/>
  <c r="V36" i="1"/>
  <c r="X35" i="1" l="1"/>
  <c r="V37" i="1"/>
  <c r="Q21" i="1"/>
  <c r="R20" i="1"/>
  <c r="S20" i="1" s="1"/>
  <c r="Q22" i="1" l="1"/>
  <c r="R21" i="1"/>
  <c r="S21" i="1" s="1"/>
  <c r="X36" i="1"/>
  <c r="Y36" i="1" s="1"/>
  <c r="V38" i="1"/>
  <c r="X37" i="1" l="1"/>
  <c r="Y37" i="1" s="1"/>
  <c r="Z37" i="1" s="1"/>
  <c r="V39" i="1"/>
  <c r="Q23" i="1"/>
  <c r="R22" i="1"/>
  <c r="S22" i="1" s="1"/>
  <c r="Q24" i="1" l="1"/>
  <c r="R23" i="1"/>
  <c r="S23" i="1" s="1"/>
  <c r="X38" i="1"/>
  <c r="Y38" i="1" s="1"/>
  <c r="Z38" i="1" s="1"/>
  <c r="V40" i="1"/>
  <c r="X39" i="1" l="1"/>
  <c r="Y39" i="1" s="1"/>
  <c r="Z39" i="1" s="1"/>
  <c r="V41" i="1"/>
  <c r="Q25" i="1"/>
  <c r="R24" i="1"/>
  <c r="S24" i="1" s="1"/>
  <c r="X40" i="1" l="1"/>
  <c r="Y40" i="1" s="1"/>
  <c r="Z40" i="1" s="1"/>
  <c r="V42" i="1"/>
  <c r="Q26" i="1"/>
  <c r="R25" i="1"/>
  <c r="S25" i="1" s="1"/>
  <c r="Q27" i="1" l="1"/>
  <c r="R26" i="1"/>
  <c r="S26" i="1" s="1"/>
  <c r="X41" i="1"/>
  <c r="Y41" i="1" s="1"/>
  <c r="Z41" i="1" s="1"/>
  <c r="V43" i="1"/>
  <c r="X42" i="1" l="1"/>
  <c r="Y42" i="1" s="1"/>
  <c r="Z42" i="1" s="1"/>
  <c r="V44" i="1"/>
  <c r="Q28" i="1"/>
  <c r="R27" i="1"/>
  <c r="S27" i="1" s="1"/>
  <c r="X43" i="1" l="1"/>
  <c r="Y43" i="1" s="1"/>
  <c r="Z43" i="1" s="1"/>
  <c r="V45" i="1"/>
  <c r="Q29" i="1"/>
  <c r="R28" i="1"/>
  <c r="S28" i="1" s="1"/>
  <c r="Q30" i="1" l="1"/>
  <c r="R29" i="1"/>
  <c r="S29" i="1" s="1"/>
  <c r="X44" i="1"/>
  <c r="Y44" i="1" s="1"/>
  <c r="Z44" i="1" s="1"/>
  <c r="V46" i="1"/>
  <c r="X45" i="1" l="1"/>
  <c r="Y45" i="1" s="1"/>
  <c r="Z45" i="1" s="1"/>
  <c r="V47" i="1"/>
  <c r="Q31" i="1"/>
  <c r="R30" i="1"/>
  <c r="S30" i="1" s="1"/>
  <c r="Q32" i="1" l="1"/>
  <c r="R31" i="1"/>
  <c r="S31" i="1" s="1"/>
  <c r="X46" i="1"/>
  <c r="Y46" i="1" s="1"/>
  <c r="Z46" i="1" s="1"/>
  <c r="V48" i="1"/>
  <c r="X47" i="1" l="1"/>
  <c r="Y47" i="1" s="1"/>
  <c r="Z47" i="1" s="1"/>
  <c r="V49" i="1"/>
  <c r="R32" i="1"/>
  <c r="S32" i="1" s="1"/>
  <c r="Q33" i="1"/>
  <c r="Q34" i="1" l="1"/>
  <c r="R33" i="1"/>
  <c r="S33" i="1" s="1"/>
  <c r="X48" i="1"/>
  <c r="Y48" i="1" s="1"/>
  <c r="Z48" i="1" s="1"/>
  <c r="V50" i="1"/>
  <c r="X49" i="1" l="1"/>
  <c r="Y49" i="1" s="1"/>
  <c r="Z49" i="1" s="1"/>
  <c r="V51" i="1"/>
  <c r="Q35" i="1"/>
  <c r="R34" i="1"/>
  <c r="S34" i="1" s="1"/>
  <c r="Q36" i="1" l="1"/>
  <c r="R35" i="1"/>
  <c r="S35" i="1" s="1"/>
  <c r="X50" i="1"/>
  <c r="Y50" i="1" s="1"/>
  <c r="Z50" i="1" s="1"/>
  <c r="V52" i="1"/>
  <c r="X51" i="1" l="1"/>
  <c r="Y51" i="1" s="1"/>
  <c r="Z51" i="1" s="1"/>
  <c r="V53" i="1"/>
  <c r="Q37" i="1"/>
  <c r="R36" i="1"/>
  <c r="S36" i="1" s="1"/>
  <c r="X52" i="1" l="1"/>
  <c r="Y52" i="1" s="1"/>
  <c r="Z52" i="1" s="1"/>
  <c r="V54" i="1"/>
  <c r="Q38" i="1"/>
  <c r="R37" i="1"/>
  <c r="S37" i="1" s="1"/>
  <c r="X53" i="1" l="1"/>
  <c r="Y53" i="1" s="1"/>
  <c r="Z53" i="1" s="1"/>
  <c r="V55" i="1"/>
  <c r="Q39" i="1"/>
  <c r="R38" i="1"/>
  <c r="S38" i="1" s="1"/>
  <c r="X54" i="1" l="1"/>
  <c r="Y54" i="1" s="1"/>
  <c r="Z54" i="1" s="1"/>
  <c r="V56" i="1"/>
  <c r="Q40" i="1"/>
  <c r="R39" i="1"/>
  <c r="S39" i="1" s="1"/>
  <c r="Q41" i="1" l="1"/>
  <c r="R40" i="1"/>
  <c r="S40" i="1" s="1"/>
  <c r="X55" i="1"/>
  <c r="Y55" i="1" s="1"/>
  <c r="Z55" i="1" s="1"/>
  <c r="V57" i="1"/>
  <c r="X56" i="1" l="1"/>
  <c r="Y56" i="1" s="1"/>
  <c r="Z56" i="1" s="1"/>
  <c r="V58" i="1"/>
  <c r="Q42" i="1"/>
  <c r="R41" i="1"/>
  <c r="S41" i="1" s="1"/>
  <c r="Q43" i="1" l="1"/>
  <c r="R42" i="1"/>
  <c r="S42" i="1" s="1"/>
  <c r="X57" i="1"/>
  <c r="Y57" i="1" s="1"/>
  <c r="Z57" i="1" s="1"/>
  <c r="V59" i="1"/>
  <c r="X58" i="1" l="1"/>
  <c r="Y58" i="1" s="1"/>
  <c r="Z58" i="1" s="1"/>
  <c r="V60" i="1"/>
  <c r="Q44" i="1"/>
  <c r="R43" i="1"/>
  <c r="S43" i="1" s="1"/>
  <c r="Q45" i="1" l="1"/>
  <c r="R44" i="1"/>
  <c r="S44" i="1" s="1"/>
  <c r="X59" i="1"/>
  <c r="Y59" i="1" s="1"/>
  <c r="Z59" i="1" s="1"/>
  <c r="V61" i="1"/>
  <c r="X60" i="1" l="1"/>
  <c r="Y60" i="1" s="1"/>
  <c r="Z60" i="1" s="1"/>
  <c r="V62" i="1"/>
  <c r="Q46" i="1"/>
  <c r="R45" i="1"/>
  <c r="S45" i="1" s="1"/>
  <c r="Q47" i="1" l="1"/>
  <c r="R46" i="1"/>
  <c r="S46" i="1" s="1"/>
  <c r="X61" i="1"/>
  <c r="Y61" i="1" s="1"/>
  <c r="Z61" i="1" s="1"/>
  <c r="V63" i="1"/>
  <c r="X62" i="1" l="1"/>
  <c r="Y62" i="1" s="1"/>
  <c r="Z62" i="1" s="1"/>
  <c r="V64" i="1"/>
  <c r="Q48" i="1"/>
  <c r="R47" i="1"/>
  <c r="S47" i="1" s="1"/>
  <c r="Q49" i="1" l="1"/>
  <c r="R48" i="1"/>
  <c r="S48" i="1" s="1"/>
  <c r="X63" i="1"/>
  <c r="Y63" i="1" s="1"/>
  <c r="Z63" i="1" s="1"/>
  <c r="V65" i="1"/>
  <c r="X64" i="1" l="1"/>
  <c r="Y64" i="1" s="1"/>
  <c r="Z64" i="1" s="1"/>
  <c r="V66" i="1"/>
  <c r="Q50" i="1"/>
  <c r="R49" i="1"/>
  <c r="S49" i="1" s="1"/>
  <c r="Q51" i="1" l="1"/>
  <c r="R50" i="1"/>
  <c r="S50" i="1" s="1"/>
  <c r="X65" i="1"/>
  <c r="Y65" i="1" s="1"/>
  <c r="Z65" i="1" s="1"/>
  <c r="V67" i="1"/>
  <c r="X66" i="1" l="1"/>
  <c r="Y66" i="1" s="1"/>
  <c r="Z66" i="1" s="1"/>
  <c r="V68" i="1"/>
  <c r="Q52" i="1"/>
  <c r="R51" i="1"/>
  <c r="S51" i="1" s="1"/>
  <c r="Q53" i="1" l="1"/>
  <c r="R52" i="1"/>
  <c r="S52" i="1" s="1"/>
  <c r="X67" i="1"/>
  <c r="Y67" i="1" s="1"/>
  <c r="Z67" i="1" s="1"/>
  <c r="V69" i="1"/>
  <c r="X68" i="1" l="1"/>
  <c r="Y68" i="1" s="1"/>
  <c r="Z68" i="1" s="1"/>
  <c r="V70" i="1"/>
  <c r="Q54" i="1"/>
  <c r="R53" i="1"/>
  <c r="S53" i="1" s="1"/>
  <c r="R54" i="1" l="1"/>
  <c r="S54" i="1" s="1"/>
  <c r="Q55" i="1"/>
  <c r="X69" i="1"/>
  <c r="Y69" i="1" s="1"/>
  <c r="Z69" i="1" s="1"/>
  <c r="V71" i="1"/>
  <c r="X70" i="1" l="1"/>
  <c r="Y70" i="1" s="1"/>
  <c r="Z70" i="1" s="1"/>
  <c r="V72" i="1"/>
  <c r="R55" i="1"/>
  <c r="S55" i="1" s="1"/>
  <c r="Q56" i="1"/>
  <c r="R56" i="1" l="1"/>
  <c r="S56" i="1" s="1"/>
  <c r="Q57" i="1"/>
  <c r="X71" i="1"/>
  <c r="Y71" i="1" s="1"/>
  <c r="Z71" i="1" s="1"/>
  <c r="V73" i="1"/>
  <c r="X72" i="1" l="1"/>
  <c r="Y72" i="1" s="1"/>
  <c r="Z72" i="1" s="1"/>
  <c r="V74" i="1"/>
  <c r="Q58" i="1"/>
  <c r="R57" i="1"/>
  <c r="S57" i="1" s="1"/>
  <c r="Q59" i="1" l="1"/>
  <c r="R58" i="1"/>
  <c r="S58" i="1" s="1"/>
  <c r="X73" i="1"/>
  <c r="Y73" i="1" s="1"/>
  <c r="Z73" i="1" s="1"/>
  <c r="V75" i="1"/>
  <c r="X74" i="1" l="1"/>
  <c r="Y74" i="1" s="1"/>
  <c r="Z74" i="1" s="1"/>
  <c r="V76" i="1"/>
  <c r="Q60" i="1"/>
  <c r="R59" i="1"/>
  <c r="S59" i="1" s="1"/>
  <c r="Q61" i="1" l="1"/>
  <c r="R60" i="1"/>
  <c r="S60" i="1" s="1"/>
  <c r="X75" i="1"/>
  <c r="Y75" i="1" s="1"/>
  <c r="Z75" i="1" s="1"/>
  <c r="V77" i="1"/>
  <c r="X76" i="1" l="1"/>
  <c r="Y76" i="1" s="1"/>
  <c r="Z76" i="1" s="1"/>
  <c r="V78" i="1"/>
  <c r="Q62" i="1"/>
  <c r="R61" i="1"/>
  <c r="S61" i="1" s="1"/>
  <c r="Q63" i="1" l="1"/>
  <c r="R62" i="1"/>
  <c r="S62" i="1" s="1"/>
  <c r="X77" i="1"/>
  <c r="Y77" i="1" s="1"/>
  <c r="Z77" i="1" s="1"/>
  <c r="V79" i="1"/>
  <c r="X78" i="1" l="1"/>
  <c r="Y78" i="1" s="1"/>
  <c r="Z78" i="1" s="1"/>
  <c r="V80" i="1"/>
  <c r="Q64" i="1"/>
  <c r="R63" i="1"/>
  <c r="S63" i="1" s="1"/>
  <c r="Q65" i="1" l="1"/>
  <c r="R64" i="1"/>
  <c r="S64" i="1" s="1"/>
  <c r="X79" i="1"/>
  <c r="Y79" i="1" s="1"/>
  <c r="Z79" i="1" s="1"/>
  <c r="V81" i="1"/>
  <c r="X80" i="1" l="1"/>
  <c r="Y80" i="1" s="1"/>
  <c r="Z80" i="1" s="1"/>
  <c r="V82" i="1"/>
  <c r="Q66" i="1"/>
  <c r="R65" i="1"/>
  <c r="S65" i="1" s="1"/>
  <c r="Q67" i="1" l="1"/>
  <c r="R66" i="1"/>
  <c r="S66" i="1" s="1"/>
  <c r="X81" i="1"/>
  <c r="Y81" i="1" s="1"/>
  <c r="Z81" i="1" s="1"/>
  <c r="V83" i="1"/>
  <c r="X82" i="1" l="1"/>
  <c r="Y82" i="1" s="1"/>
  <c r="Z82" i="1" s="1"/>
  <c r="V84" i="1"/>
  <c r="Q68" i="1"/>
  <c r="R67" i="1"/>
  <c r="S67" i="1" s="1"/>
  <c r="R68" i="1" l="1"/>
  <c r="S68" i="1" s="1"/>
  <c r="Q69" i="1"/>
  <c r="X83" i="1"/>
  <c r="Y83" i="1" s="1"/>
  <c r="Z83" i="1" s="1"/>
  <c r="V85" i="1"/>
  <c r="X84" i="1" l="1"/>
  <c r="Y84" i="1" s="1"/>
  <c r="Z84" i="1" s="1"/>
  <c r="V86" i="1"/>
  <c r="Q70" i="1"/>
  <c r="R69" i="1"/>
  <c r="S69" i="1" s="1"/>
  <c r="Q71" i="1" l="1"/>
  <c r="R70" i="1"/>
  <c r="S70" i="1" s="1"/>
  <c r="X85" i="1"/>
  <c r="Y85" i="1" s="1"/>
  <c r="Z85" i="1" s="1"/>
  <c r="V87" i="1"/>
  <c r="X86" i="1" l="1"/>
  <c r="Y86" i="1" s="1"/>
  <c r="Z86" i="1" s="1"/>
  <c r="V88" i="1"/>
  <c r="Q72" i="1"/>
  <c r="R71" i="1"/>
  <c r="S71" i="1" s="1"/>
  <c r="Q73" i="1" l="1"/>
  <c r="R72" i="1"/>
  <c r="S72" i="1" s="1"/>
  <c r="X87" i="1"/>
  <c r="Y87" i="1" s="1"/>
  <c r="Z87" i="1" s="1"/>
  <c r="V89" i="1"/>
  <c r="X88" i="1" l="1"/>
  <c r="V90" i="1"/>
  <c r="Q74" i="1"/>
  <c r="R73" i="1"/>
  <c r="S73" i="1" s="1"/>
  <c r="Q75" i="1" l="1"/>
  <c r="R74" i="1"/>
  <c r="S74" i="1" s="1"/>
  <c r="X89" i="1"/>
  <c r="V91" i="1"/>
  <c r="Y88" i="1"/>
  <c r="Z88" i="1" s="1"/>
  <c r="X90" i="1" l="1"/>
  <c r="V92" i="1"/>
  <c r="Y89" i="1"/>
  <c r="Z89" i="1" s="1"/>
  <c r="Q76" i="1"/>
  <c r="R75" i="1"/>
  <c r="S75" i="1" s="1"/>
  <c r="Q77" i="1" l="1"/>
  <c r="R76" i="1"/>
  <c r="S76" i="1" s="1"/>
  <c r="X91" i="1"/>
  <c r="V93" i="1"/>
  <c r="Y90" i="1"/>
  <c r="Z90" i="1" s="1"/>
  <c r="X92" i="1" l="1"/>
  <c r="V94" i="1"/>
  <c r="Y91" i="1"/>
  <c r="Z91" i="1" s="1"/>
  <c r="Q78" i="1"/>
  <c r="R77" i="1"/>
  <c r="S77" i="1" s="1"/>
  <c r="R78" i="1" l="1"/>
  <c r="S78" i="1" s="1"/>
  <c r="Q79" i="1"/>
  <c r="X93" i="1"/>
  <c r="V95" i="1"/>
  <c r="Y92" i="1"/>
  <c r="Z92" i="1" s="1"/>
  <c r="X94" i="1" l="1"/>
  <c r="V96" i="1"/>
  <c r="Y93" i="1"/>
  <c r="Z93" i="1" s="1"/>
  <c r="Q80" i="1"/>
  <c r="R79" i="1"/>
  <c r="S79" i="1" s="1"/>
  <c r="Q81" i="1" l="1"/>
  <c r="R80" i="1"/>
  <c r="S80" i="1" s="1"/>
  <c r="X95" i="1"/>
  <c r="V97" i="1"/>
  <c r="Y94" i="1"/>
  <c r="Z94" i="1" s="1"/>
  <c r="X96" i="1" l="1"/>
  <c r="V98" i="1"/>
  <c r="Y95" i="1"/>
  <c r="Z95" i="1" s="1"/>
  <c r="Q82" i="1"/>
  <c r="R81" i="1"/>
  <c r="S81" i="1" s="1"/>
  <c r="Q83" i="1" l="1"/>
  <c r="R82" i="1"/>
  <c r="S82" i="1" s="1"/>
  <c r="X97" i="1"/>
  <c r="V99" i="1"/>
  <c r="Y96" i="1"/>
  <c r="Z96" i="1" s="1"/>
  <c r="X98" i="1" l="1"/>
  <c r="V100" i="1"/>
  <c r="Y97" i="1"/>
  <c r="Z97" i="1" s="1"/>
  <c r="Q84" i="1"/>
  <c r="R83" i="1"/>
  <c r="S83" i="1" s="1"/>
  <c r="Q85" i="1" l="1"/>
  <c r="R84" i="1"/>
  <c r="S84" i="1" s="1"/>
  <c r="X99" i="1"/>
  <c r="V101" i="1"/>
  <c r="Y98" i="1"/>
  <c r="Z98" i="1" s="1"/>
  <c r="X100" i="1" l="1"/>
  <c r="V102" i="1"/>
  <c r="Y99" i="1"/>
  <c r="Z99" i="1" s="1"/>
  <c r="Q86" i="1"/>
  <c r="R85" i="1"/>
  <c r="S85" i="1" s="1"/>
  <c r="Q87" i="1" l="1"/>
  <c r="R86" i="1"/>
  <c r="S86" i="1" s="1"/>
  <c r="X101" i="1"/>
  <c r="V103" i="1"/>
  <c r="Y100" i="1"/>
  <c r="Z100" i="1" s="1"/>
  <c r="X102" i="1" l="1"/>
  <c r="V104" i="1"/>
  <c r="Y101" i="1"/>
  <c r="Z101" i="1" s="1"/>
  <c r="Q88" i="1"/>
  <c r="R87" i="1"/>
  <c r="S87" i="1" s="1"/>
  <c r="Q89" i="1" l="1"/>
  <c r="R88" i="1"/>
  <c r="S88" i="1" s="1"/>
  <c r="X103" i="1"/>
  <c r="V105" i="1"/>
  <c r="Y102" i="1"/>
  <c r="Z102" i="1" s="1"/>
  <c r="X104" i="1" l="1"/>
  <c r="V106" i="1"/>
  <c r="Y103" i="1"/>
  <c r="Z103" i="1" s="1"/>
  <c r="Q90" i="1"/>
  <c r="R89" i="1"/>
  <c r="S89" i="1" s="1"/>
  <c r="Q91" i="1" l="1"/>
  <c r="R90" i="1"/>
  <c r="S90" i="1" s="1"/>
  <c r="X105" i="1"/>
  <c r="V107" i="1"/>
  <c r="Y104" i="1"/>
  <c r="Z104" i="1" s="1"/>
  <c r="X106" i="1" l="1"/>
  <c r="V108" i="1"/>
  <c r="Y105" i="1"/>
  <c r="Z105" i="1" s="1"/>
  <c r="Q92" i="1"/>
  <c r="R91" i="1"/>
  <c r="S91" i="1" s="1"/>
  <c r="Q93" i="1" l="1"/>
  <c r="R92" i="1"/>
  <c r="S92" i="1" s="1"/>
  <c r="X107" i="1"/>
  <c r="V109" i="1"/>
  <c r="Y106" i="1"/>
  <c r="Z106" i="1" s="1"/>
  <c r="Y107" i="1" l="1"/>
  <c r="Z107" i="1" s="1"/>
  <c r="X108" i="1"/>
  <c r="V110" i="1"/>
  <c r="Q94" i="1"/>
  <c r="R93" i="1"/>
  <c r="S93" i="1" s="1"/>
  <c r="Y108" i="1" l="1"/>
  <c r="Z108" i="1" s="1"/>
  <c r="R94" i="1"/>
  <c r="S94" i="1" s="1"/>
  <c r="Q95" i="1"/>
  <c r="X109" i="1"/>
  <c r="V111" i="1"/>
  <c r="Y109" i="1" l="1"/>
  <c r="Z109" i="1" s="1"/>
  <c r="X110" i="1"/>
  <c r="V112" i="1"/>
  <c r="Q96" i="1"/>
  <c r="R95" i="1"/>
  <c r="S95" i="1" s="1"/>
  <c r="Y110" i="1" l="1"/>
  <c r="Z110" i="1" s="1"/>
  <c r="Q97" i="1"/>
  <c r="R96" i="1"/>
  <c r="S96" i="1" s="1"/>
  <c r="X111" i="1"/>
  <c r="V113" i="1"/>
  <c r="Y111" i="1" l="1"/>
  <c r="Z111" i="1" s="1"/>
  <c r="X112" i="1"/>
  <c r="V114" i="1"/>
  <c r="R97" i="1"/>
  <c r="S97" i="1" s="1"/>
  <c r="Q98" i="1"/>
  <c r="Y112" i="1" l="1"/>
  <c r="Z112" i="1" s="1"/>
  <c r="Q99" i="1"/>
  <c r="R98" i="1"/>
  <c r="S98" i="1" s="1"/>
  <c r="X113" i="1"/>
  <c r="V115" i="1"/>
  <c r="Y113" i="1" l="1"/>
  <c r="Z113" i="1" s="1"/>
  <c r="X114" i="1"/>
  <c r="V116" i="1"/>
  <c r="Q100" i="1"/>
  <c r="R99" i="1"/>
  <c r="S99" i="1" s="1"/>
  <c r="Y114" i="1" l="1"/>
  <c r="Z114" i="1" s="1"/>
  <c r="X115" i="1"/>
  <c r="V117" i="1"/>
  <c r="Q101" i="1"/>
  <c r="R100" i="1"/>
  <c r="S100" i="1" s="1"/>
  <c r="Y115" i="1" l="1"/>
  <c r="Z115" i="1" s="1"/>
  <c r="X116" i="1"/>
  <c r="V118" i="1"/>
  <c r="Q102" i="1"/>
  <c r="R101" i="1"/>
  <c r="S101" i="1" s="1"/>
  <c r="Y116" i="1" l="1"/>
  <c r="Z116" i="1" s="1"/>
  <c r="Q103" i="1"/>
  <c r="R102" i="1"/>
  <c r="S102" i="1" s="1"/>
  <c r="X117" i="1"/>
  <c r="V119" i="1"/>
  <c r="Y117" i="1" l="1"/>
  <c r="Z117" i="1" s="1"/>
  <c r="X118" i="1"/>
  <c r="V120" i="1"/>
  <c r="Q104" i="1"/>
  <c r="R103" i="1"/>
  <c r="S103" i="1" s="1"/>
  <c r="Y118" i="1" l="1"/>
  <c r="Z118" i="1" s="1"/>
  <c r="Q105" i="1"/>
  <c r="R104" i="1"/>
  <c r="S104" i="1" s="1"/>
  <c r="X119" i="1"/>
  <c r="V121" i="1"/>
  <c r="Y119" i="1" l="1"/>
  <c r="Z119" i="1" s="1"/>
  <c r="X120" i="1"/>
  <c r="V122" i="1"/>
  <c r="Q106" i="1"/>
  <c r="R105" i="1"/>
  <c r="S105" i="1" s="1"/>
  <c r="Y120" i="1" l="1"/>
  <c r="Z120" i="1" s="1"/>
  <c r="Q107" i="1"/>
  <c r="R106" i="1"/>
  <c r="S106" i="1" s="1"/>
  <c r="X121" i="1"/>
  <c r="V123" i="1"/>
  <c r="Y121" i="1" l="1"/>
  <c r="Z121" i="1" s="1"/>
  <c r="X122" i="1"/>
  <c r="V124" i="1"/>
  <c r="R107" i="1"/>
  <c r="S107" i="1" s="1"/>
  <c r="Q108" i="1"/>
  <c r="Q109" i="1" l="1"/>
  <c r="R108" i="1"/>
  <c r="S108" i="1" s="1"/>
  <c r="X123" i="1"/>
  <c r="V125" i="1"/>
  <c r="Y122" i="1"/>
  <c r="Z122" i="1" s="1"/>
  <c r="X124" i="1" l="1"/>
  <c r="V126" i="1"/>
  <c r="Y123" i="1"/>
  <c r="Z123" i="1" s="1"/>
  <c r="Q110" i="1"/>
  <c r="R109" i="1"/>
  <c r="S109" i="1" s="1"/>
  <c r="Q111" i="1" l="1"/>
  <c r="R110" i="1"/>
  <c r="S110" i="1" s="1"/>
  <c r="X125" i="1"/>
  <c r="V127" i="1"/>
  <c r="Y124" i="1"/>
  <c r="Z124" i="1" s="1"/>
  <c r="X126" i="1" l="1"/>
  <c r="V128" i="1"/>
  <c r="Y125" i="1"/>
  <c r="Z125" i="1" s="1"/>
  <c r="Q112" i="1"/>
  <c r="R111" i="1"/>
  <c r="S111" i="1" s="1"/>
  <c r="Q113" i="1" l="1"/>
  <c r="R112" i="1"/>
  <c r="S112" i="1" s="1"/>
  <c r="X127" i="1"/>
  <c r="V129" i="1"/>
  <c r="Y126" i="1"/>
  <c r="Z126" i="1" s="1"/>
  <c r="X128" i="1" l="1"/>
  <c r="V130" i="1"/>
  <c r="Y127" i="1"/>
  <c r="Z127" i="1" s="1"/>
  <c r="Q114" i="1"/>
  <c r="R113" i="1"/>
  <c r="S113" i="1" s="1"/>
  <c r="Q115" i="1" l="1"/>
  <c r="R114" i="1"/>
  <c r="S114" i="1" s="1"/>
  <c r="X129" i="1"/>
  <c r="V131" i="1"/>
  <c r="Y128" i="1"/>
  <c r="Z128" i="1" s="1"/>
  <c r="X130" i="1" l="1"/>
  <c r="V132" i="1"/>
  <c r="Y129" i="1"/>
  <c r="Z129" i="1" s="1"/>
  <c r="Q116" i="1"/>
  <c r="R115" i="1"/>
  <c r="S115" i="1" s="1"/>
  <c r="Q117" i="1" l="1"/>
  <c r="R116" i="1"/>
  <c r="S116" i="1" s="1"/>
  <c r="X131" i="1"/>
  <c r="V133" i="1"/>
  <c r="Y130" i="1"/>
  <c r="Z130" i="1" s="1"/>
  <c r="X132" i="1" l="1"/>
  <c r="V134" i="1"/>
  <c r="Y131" i="1"/>
  <c r="Z131" i="1" s="1"/>
  <c r="Q118" i="1"/>
  <c r="R117" i="1"/>
  <c r="S117" i="1" s="1"/>
  <c r="Q119" i="1" l="1"/>
  <c r="R118" i="1"/>
  <c r="S118" i="1" s="1"/>
  <c r="X133" i="1"/>
  <c r="V135" i="1"/>
  <c r="Y132" i="1"/>
  <c r="Z132" i="1" s="1"/>
  <c r="X134" i="1" l="1"/>
  <c r="V136" i="1"/>
  <c r="Y133" i="1"/>
  <c r="Z133" i="1" s="1"/>
  <c r="Q120" i="1"/>
  <c r="R119" i="1"/>
  <c r="S119" i="1" s="1"/>
  <c r="R120" i="1" l="1"/>
  <c r="S120" i="1" s="1"/>
  <c r="Q121" i="1"/>
  <c r="X135" i="1"/>
  <c r="V137" i="1"/>
  <c r="Y134" i="1"/>
  <c r="Z134" i="1" s="1"/>
  <c r="X136" i="1" l="1"/>
  <c r="V138" i="1"/>
  <c r="Y135" i="1"/>
  <c r="Z135" i="1" s="1"/>
  <c r="Q122" i="1"/>
  <c r="R121" i="1"/>
  <c r="S121" i="1" s="1"/>
  <c r="Q123" i="1" l="1"/>
  <c r="R122" i="1"/>
  <c r="S122" i="1" s="1"/>
  <c r="X137" i="1"/>
  <c r="V139" i="1"/>
  <c r="Y136" i="1"/>
  <c r="Z136" i="1" s="1"/>
  <c r="X138" i="1" l="1"/>
  <c r="V140" i="1"/>
  <c r="Y137" i="1"/>
  <c r="Z137" i="1" s="1"/>
  <c r="Q124" i="1"/>
  <c r="R123" i="1"/>
  <c r="S123" i="1" s="1"/>
  <c r="Q125" i="1" l="1"/>
  <c r="R124" i="1"/>
  <c r="S124" i="1" s="1"/>
  <c r="X139" i="1"/>
  <c r="V141" i="1"/>
  <c r="Y138" i="1"/>
  <c r="Z138" i="1" s="1"/>
  <c r="X140" i="1" l="1"/>
  <c r="V142" i="1"/>
  <c r="Y139" i="1"/>
  <c r="Z139" i="1" s="1"/>
  <c r="Q126" i="1"/>
  <c r="R125" i="1"/>
  <c r="S125" i="1" s="1"/>
  <c r="R126" i="1" l="1"/>
  <c r="S126" i="1" s="1"/>
  <c r="Q127" i="1"/>
  <c r="X141" i="1"/>
  <c r="V143" i="1"/>
  <c r="Y140" i="1"/>
  <c r="Z140" i="1" s="1"/>
  <c r="X142" i="1" l="1"/>
  <c r="V144" i="1"/>
  <c r="Y141" i="1"/>
  <c r="Z141" i="1" s="1"/>
  <c r="Q128" i="1"/>
  <c r="R127" i="1"/>
  <c r="S127" i="1" s="1"/>
  <c r="Q129" i="1" l="1"/>
  <c r="R128" i="1"/>
  <c r="S128" i="1" s="1"/>
  <c r="X143" i="1"/>
  <c r="V145" i="1"/>
  <c r="Y142" i="1"/>
  <c r="Z142" i="1" s="1"/>
  <c r="X144" i="1" l="1"/>
  <c r="V146" i="1"/>
  <c r="Y143" i="1"/>
  <c r="Z143" i="1" s="1"/>
  <c r="Q130" i="1"/>
  <c r="R129" i="1"/>
  <c r="S129" i="1" s="1"/>
  <c r="Q131" i="1" l="1"/>
  <c r="R130" i="1"/>
  <c r="S130" i="1" s="1"/>
  <c r="X145" i="1"/>
  <c r="V147" i="1"/>
  <c r="Y144" i="1"/>
  <c r="Z144" i="1" s="1"/>
  <c r="X146" i="1" l="1"/>
  <c r="V148" i="1"/>
  <c r="Y145" i="1"/>
  <c r="Z145" i="1" s="1"/>
  <c r="Q132" i="1"/>
  <c r="R131" i="1"/>
  <c r="S131" i="1" s="1"/>
  <c r="Q133" i="1" l="1"/>
  <c r="R132" i="1"/>
  <c r="S132" i="1" s="1"/>
  <c r="X147" i="1"/>
  <c r="V149" i="1"/>
  <c r="Y146" i="1"/>
  <c r="Z146" i="1" s="1"/>
  <c r="Y147" i="1" l="1"/>
  <c r="Z147" i="1" s="1"/>
  <c r="X148" i="1"/>
  <c r="V150" i="1"/>
  <c r="Q134" i="1"/>
  <c r="R133" i="1"/>
  <c r="S133" i="1" s="1"/>
  <c r="Y148" i="1" l="1"/>
  <c r="Z148" i="1" s="1"/>
  <c r="Q135" i="1"/>
  <c r="R134" i="1"/>
  <c r="S134" i="1" s="1"/>
  <c r="X149" i="1"/>
  <c r="V151" i="1"/>
  <c r="Y149" i="1" l="1"/>
  <c r="Z149" i="1" s="1"/>
  <c r="X150" i="1"/>
  <c r="V152" i="1"/>
  <c r="Q136" i="1"/>
  <c r="R135" i="1"/>
  <c r="S135" i="1" s="1"/>
  <c r="Y150" i="1" l="1"/>
  <c r="Z150" i="1" s="1"/>
  <c r="X151" i="1"/>
  <c r="V153" i="1"/>
  <c r="Q137" i="1"/>
  <c r="R136" i="1"/>
  <c r="S136" i="1" s="1"/>
  <c r="Y151" i="1" l="1"/>
  <c r="Z151" i="1" s="1"/>
  <c r="Q138" i="1"/>
  <c r="R137" i="1"/>
  <c r="S137" i="1" s="1"/>
  <c r="X152" i="1"/>
  <c r="V154" i="1"/>
  <c r="Y152" i="1" l="1"/>
  <c r="Z152" i="1" s="1"/>
  <c r="X153" i="1"/>
  <c r="V155" i="1"/>
  <c r="Q139" i="1"/>
  <c r="R138" i="1"/>
  <c r="S138" i="1" s="1"/>
  <c r="Y153" i="1" l="1"/>
  <c r="Z153" i="1" s="1"/>
  <c r="Q140" i="1"/>
  <c r="R139" i="1"/>
  <c r="S139" i="1" s="1"/>
  <c r="X154" i="1"/>
  <c r="V156" i="1"/>
  <c r="Y154" i="1" l="1"/>
  <c r="Z154" i="1" s="1"/>
  <c r="X155" i="1"/>
  <c r="V157" i="1"/>
  <c r="Q141" i="1"/>
  <c r="R140" i="1"/>
  <c r="S140" i="1" s="1"/>
  <c r="Y155" i="1" l="1"/>
  <c r="Z155" i="1" s="1"/>
  <c r="R141" i="1"/>
  <c r="S141" i="1" s="1"/>
  <c r="Q142" i="1"/>
  <c r="X156" i="1"/>
  <c r="V158" i="1"/>
  <c r="X157" i="1" l="1"/>
  <c r="V159" i="1"/>
  <c r="Y156" i="1"/>
  <c r="Z156" i="1" s="1"/>
  <c r="Q143" i="1"/>
  <c r="R142" i="1"/>
  <c r="S142" i="1" s="1"/>
  <c r="Q144" i="1" l="1"/>
  <c r="R143" i="1"/>
  <c r="S143" i="1" s="1"/>
  <c r="X158" i="1"/>
  <c r="V160" i="1"/>
  <c r="Y157" i="1"/>
  <c r="Z157" i="1" s="1"/>
  <c r="X159" i="1" l="1"/>
  <c r="V161" i="1"/>
  <c r="Y158" i="1"/>
  <c r="Z158" i="1" s="1"/>
  <c r="Q145" i="1"/>
  <c r="R144" i="1"/>
  <c r="S144" i="1" s="1"/>
  <c r="Q146" i="1" l="1"/>
  <c r="R145" i="1"/>
  <c r="S145" i="1" s="1"/>
  <c r="X160" i="1"/>
  <c r="V162" i="1"/>
  <c r="Y159" i="1"/>
  <c r="Z159" i="1" s="1"/>
  <c r="X161" i="1" l="1"/>
  <c r="V163" i="1"/>
  <c r="Y160" i="1"/>
  <c r="Z160" i="1" s="1"/>
  <c r="Q147" i="1"/>
  <c r="R146" i="1"/>
  <c r="S146" i="1" s="1"/>
  <c r="Q148" i="1" l="1"/>
  <c r="R147" i="1"/>
  <c r="S147" i="1" s="1"/>
  <c r="X162" i="1"/>
  <c r="V164" i="1"/>
  <c r="Y161" i="1"/>
  <c r="Z161" i="1" s="1"/>
  <c r="X163" i="1" l="1"/>
  <c r="V165" i="1"/>
  <c r="Y162" i="1"/>
  <c r="Z162" i="1" s="1"/>
  <c r="Q149" i="1"/>
  <c r="R148" i="1"/>
  <c r="S148" i="1" s="1"/>
  <c r="R149" i="1" l="1"/>
  <c r="S149" i="1" s="1"/>
  <c r="Q150" i="1"/>
  <c r="X164" i="1"/>
  <c r="V166" i="1"/>
  <c r="Y163" i="1"/>
  <c r="Z163" i="1" s="1"/>
  <c r="X165" i="1" l="1"/>
  <c r="V167" i="1"/>
  <c r="Y164" i="1"/>
  <c r="Z164" i="1" s="1"/>
  <c r="Q151" i="1"/>
  <c r="R150" i="1"/>
  <c r="S150" i="1" s="1"/>
  <c r="Q152" i="1" l="1"/>
  <c r="R151" i="1"/>
  <c r="S151" i="1" s="1"/>
  <c r="X166" i="1"/>
  <c r="V168" i="1"/>
  <c r="Y165" i="1"/>
  <c r="Z165" i="1" s="1"/>
  <c r="X167" i="1" l="1"/>
  <c r="V169" i="1"/>
  <c r="Y166" i="1"/>
  <c r="Z166" i="1" s="1"/>
  <c r="R152" i="1"/>
  <c r="S152" i="1" s="1"/>
  <c r="Q153" i="1"/>
  <c r="Q154" i="1" l="1"/>
  <c r="R153" i="1"/>
  <c r="S153" i="1" s="1"/>
  <c r="X168" i="1"/>
  <c r="V170" i="1"/>
  <c r="Y167" i="1"/>
  <c r="Z167" i="1" s="1"/>
  <c r="X169" i="1" l="1"/>
  <c r="V171" i="1"/>
  <c r="Y168" i="1"/>
  <c r="Z168" i="1" s="1"/>
  <c r="Q155" i="1"/>
  <c r="R154" i="1"/>
  <c r="S154" i="1" s="1"/>
  <c r="Q156" i="1" l="1"/>
  <c r="R155" i="1"/>
  <c r="S155" i="1" s="1"/>
  <c r="X170" i="1"/>
  <c r="V172" i="1"/>
  <c r="Y169" i="1"/>
  <c r="Z169" i="1" s="1"/>
  <c r="X171" i="1" l="1"/>
  <c r="V173" i="1"/>
  <c r="Y170" i="1"/>
  <c r="Z170" i="1" s="1"/>
  <c r="Q157" i="1"/>
  <c r="R156" i="1"/>
  <c r="S156" i="1" s="1"/>
  <c r="Q158" i="1" l="1"/>
  <c r="R157" i="1"/>
  <c r="S157" i="1" s="1"/>
  <c r="X172" i="1"/>
  <c r="V174" i="1"/>
  <c r="Y171" i="1"/>
  <c r="Z171" i="1" s="1"/>
  <c r="X173" i="1" l="1"/>
  <c r="V175" i="1"/>
  <c r="Y172" i="1"/>
  <c r="Z172" i="1" s="1"/>
  <c r="Q159" i="1"/>
  <c r="R158" i="1"/>
  <c r="S158" i="1" s="1"/>
  <c r="Q160" i="1" l="1"/>
  <c r="R159" i="1"/>
  <c r="S159" i="1" s="1"/>
  <c r="X174" i="1"/>
  <c r="V176" i="1"/>
  <c r="Y173" i="1"/>
  <c r="Z173" i="1" s="1"/>
  <c r="X175" i="1" l="1"/>
  <c r="V177" i="1"/>
  <c r="Y174" i="1"/>
  <c r="Z174" i="1" s="1"/>
  <c r="Q161" i="1"/>
  <c r="R160" i="1"/>
  <c r="S160" i="1" s="1"/>
  <c r="Q162" i="1" l="1"/>
  <c r="R161" i="1"/>
  <c r="S161" i="1" s="1"/>
  <c r="X176" i="1"/>
  <c r="V178" i="1"/>
  <c r="Y175" i="1"/>
  <c r="Z175" i="1" s="1"/>
  <c r="X177" i="1" l="1"/>
  <c r="V179" i="1"/>
  <c r="Y176" i="1"/>
  <c r="Z176" i="1" s="1"/>
  <c r="Q163" i="1"/>
  <c r="R162" i="1"/>
  <c r="S162" i="1" s="1"/>
  <c r="R163" i="1" l="1"/>
  <c r="S163" i="1" s="1"/>
  <c r="Q164" i="1"/>
  <c r="X178" i="1"/>
  <c r="V180" i="1"/>
  <c r="Y177" i="1"/>
  <c r="Z177" i="1" s="1"/>
  <c r="X179" i="1" l="1"/>
  <c r="V181" i="1"/>
  <c r="Y178" i="1"/>
  <c r="Z178" i="1" s="1"/>
  <c r="Q165" i="1"/>
  <c r="R164" i="1"/>
  <c r="S164" i="1" s="1"/>
  <c r="Q166" i="1" l="1"/>
  <c r="R165" i="1"/>
  <c r="S165" i="1" s="1"/>
  <c r="X180" i="1"/>
  <c r="V182" i="1"/>
  <c r="Y179" i="1"/>
  <c r="Z179" i="1" s="1"/>
  <c r="X181" i="1" l="1"/>
  <c r="V183" i="1"/>
  <c r="Y180" i="1"/>
  <c r="Z180" i="1" s="1"/>
  <c r="Q167" i="1"/>
  <c r="R166" i="1"/>
  <c r="S166" i="1" s="1"/>
  <c r="Q168" i="1" l="1"/>
  <c r="R167" i="1"/>
  <c r="S167" i="1" s="1"/>
  <c r="X182" i="1"/>
  <c r="V184" i="1"/>
  <c r="Y181" i="1"/>
  <c r="Z181" i="1" s="1"/>
  <c r="X183" i="1" l="1"/>
  <c r="V185" i="1"/>
  <c r="Y182" i="1"/>
  <c r="Z182" i="1" s="1"/>
  <c r="Q169" i="1"/>
  <c r="R168" i="1"/>
  <c r="S168" i="1" s="1"/>
  <c r="Q170" i="1" l="1"/>
  <c r="R169" i="1"/>
  <c r="S169" i="1" s="1"/>
  <c r="X184" i="1"/>
  <c r="V186" i="1"/>
  <c r="Y183" i="1"/>
  <c r="Z183" i="1" s="1"/>
  <c r="X185" i="1" l="1"/>
  <c r="V187" i="1"/>
  <c r="Y184" i="1"/>
  <c r="Z184" i="1" s="1"/>
  <c r="Q171" i="1"/>
  <c r="R170" i="1"/>
  <c r="S170" i="1" s="1"/>
  <c r="Q172" i="1" l="1"/>
  <c r="R171" i="1"/>
  <c r="S171" i="1" s="1"/>
  <c r="X186" i="1"/>
  <c r="V188" i="1"/>
  <c r="Y185" i="1"/>
  <c r="Z185" i="1" s="1"/>
  <c r="X187" i="1" l="1"/>
  <c r="V189" i="1"/>
  <c r="Y186" i="1"/>
  <c r="Z186" i="1" s="1"/>
  <c r="Q173" i="1"/>
  <c r="R172" i="1"/>
  <c r="S172" i="1" s="1"/>
  <c r="Q174" i="1" l="1"/>
  <c r="R173" i="1"/>
  <c r="S173" i="1" s="1"/>
  <c r="X188" i="1"/>
  <c r="V190" i="1"/>
  <c r="Y187" i="1"/>
  <c r="Z187" i="1" s="1"/>
  <c r="X189" i="1" l="1"/>
  <c r="V191" i="1"/>
  <c r="Y188" i="1"/>
  <c r="Z188" i="1" s="1"/>
  <c r="Q175" i="1"/>
  <c r="R174" i="1"/>
  <c r="S174" i="1" s="1"/>
  <c r="Q176" i="1" l="1"/>
  <c r="R175" i="1"/>
  <c r="S175" i="1" s="1"/>
  <c r="X190" i="1"/>
  <c r="V192" i="1"/>
  <c r="Y189" i="1"/>
  <c r="Z189" i="1" s="1"/>
  <c r="X191" i="1" l="1"/>
  <c r="V193" i="1"/>
  <c r="Y190" i="1"/>
  <c r="Z190" i="1" s="1"/>
  <c r="Q177" i="1"/>
  <c r="R176" i="1"/>
  <c r="S176" i="1" s="1"/>
  <c r="Q178" i="1" l="1"/>
  <c r="R177" i="1"/>
  <c r="S177" i="1" s="1"/>
  <c r="X192" i="1"/>
  <c r="V194" i="1"/>
  <c r="Y191" i="1"/>
  <c r="Z191" i="1" s="1"/>
  <c r="X193" i="1" l="1"/>
  <c r="V195" i="1"/>
  <c r="Y192" i="1"/>
  <c r="Z192" i="1" s="1"/>
  <c r="Q179" i="1"/>
  <c r="R178" i="1"/>
  <c r="S178" i="1" s="1"/>
  <c r="Q180" i="1" l="1"/>
  <c r="R179" i="1"/>
  <c r="S179" i="1" s="1"/>
  <c r="X194" i="1"/>
  <c r="V196" i="1"/>
  <c r="Y193" i="1"/>
  <c r="Z193" i="1" s="1"/>
  <c r="X195" i="1" l="1"/>
  <c r="V197" i="1"/>
  <c r="Y194" i="1"/>
  <c r="Z194" i="1" s="1"/>
  <c r="Q181" i="1"/>
  <c r="R180" i="1"/>
  <c r="S180" i="1" s="1"/>
  <c r="Q182" i="1" l="1"/>
  <c r="R181" i="1"/>
  <c r="S181" i="1" s="1"/>
  <c r="X196" i="1"/>
  <c r="V198" i="1"/>
  <c r="Y195" i="1"/>
  <c r="Z195" i="1" s="1"/>
  <c r="X197" i="1" l="1"/>
  <c r="V199" i="1"/>
  <c r="Y196" i="1"/>
  <c r="Z196" i="1" s="1"/>
  <c r="Q183" i="1"/>
  <c r="R182" i="1"/>
  <c r="S182" i="1" s="1"/>
  <c r="Q184" i="1" l="1"/>
  <c r="R183" i="1"/>
  <c r="S183" i="1" s="1"/>
  <c r="X198" i="1"/>
  <c r="V200" i="1"/>
  <c r="Y197" i="1"/>
  <c r="Z197" i="1" s="1"/>
  <c r="X199" i="1" l="1"/>
  <c r="V201" i="1"/>
  <c r="Y198" i="1"/>
  <c r="Z198" i="1" s="1"/>
  <c r="Q185" i="1"/>
  <c r="R184" i="1"/>
  <c r="S184" i="1" s="1"/>
  <c r="R185" i="1" l="1"/>
  <c r="S185" i="1" s="1"/>
  <c r="Q186" i="1"/>
  <c r="X200" i="1"/>
  <c r="V202" i="1"/>
  <c r="Y199" i="1"/>
  <c r="Z199" i="1" s="1"/>
  <c r="X201" i="1" l="1"/>
  <c r="V203" i="1"/>
  <c r="Y200" i="1"/>
  <c r="Z200" i="1" s="1"/>
  <c r="Q187" i="1"/>
  <c r="R186" i="1"/>
  <c r="S186" i="1" s="1"/>
  <c r="Q188" i="1" l="1"/>
  <c r="R187" i="1"/>
  <c r="S187" i="1" s="1"/>
  <c r="X202" i="1"/>
  <c r="V204" i="1"/>
  <c r="Y201" i="1"/>
  <c r="Z201" i="1" s="1"/>
  <c r="X203" i="1" l="1"/>
  <c r="V205" i="1"/>
  <c r="Y202" i="1"/>
  <c r="Z202" i="1" s="1"/>
  <c r="Q189" i="1"/>
  <c r="R188" i="1"/>
  <c r="S188" i="1" s="1"/>
  <c r="Q190" i="1" l="1"/>
  <c r="R189" i="1"/>
  <c r="S189" i="1" s="1"/>
  <c r="X204" i="1"/>
  <c r="V206" i="1"/>
  <c r="Y203" i="1"/>
  <c r="Z203" i="1" s="1"/>
  <c r="X205" i="1" l="1"/>
  <c r="V207" i="1"/>
  <c r="Y204" i="1"/>
  <c r="Z204" i="1" s="1"/>
  <c r="Q191" i="1"/>
  <c r="R190" i="1"/>
  <c r="S190" i="1" s="1"/>
  <c r="Q192" i="1" l="1"/>
  <c r="R191" i="1"/>
  <c r="S191" i="1" s="1"/>
  <c r="X206" i="1"/>
  <c r="V208" i="1"/>
  <c r="Y205" i="1"/>
  <c r="Z205" i="1" s="1"/>
  <c r="X207" i="1" l="1"/>
  <c r="V209" i="1"/>
  <c r="Y206" i="1"/>
  <c r="Z206" i="1" s="1"/>
  <c r="Q193" i="1"/>
  <c r="R192" i="1"/>
  <c r="S192" i="1" s="1"/>
  <c r="Y207" i="1" l="1"/>
  <c r="Z207" i="1" s="1"/>
  <c r="Q194" i="1"/>
  <c r="R193" i="1"/>
  <c r="S193" i="1" s="1"/>
  <c r="X208" i="1"/>
  <c r="V210" i="1"/>
  <c r="Y208" i="1" l="1"/>
  <c r="Z208" i="1" s="1"/>
  <c r="X209" i="1"/>
  <c r="V211" i="1"/>
  <c r="Q195" i="1"/>
  <c r="R194" i="1"/>
  <c r="S194" i="1" s="1"/>
  <c r="Y209" i="1" l="1"/>
  <c r="Z209" i="1" s="1"/>
  <c r="Q196" i="1"/>
  <c r="R195" i="1"/>
  <c r="S195" i="1" s="1"/>
  <c r="X210" i="1"/>
  <c r="V212" i="1"/>
  <c r="Y210" i="1" l="1"/>
  <c r="Z210" i="1" s="1"/>
  <c r="X211" i="1"/>
  <c r="V213" i="1"/>
  <c r="Q197" i="1"/>
  <c r="R196" i="1"/>
  <c r="S196" i="1" s="1"/>
  <c r="Y211" i="1" l="1"/>
  <c r="Z211" i="1" s="1"/>
  <c r="Q198" i="1"/>
  <c r="R197" i="1"/>
  <c r="S197" i="1" s="1"/>
  <c r="X212" i="1"/>
  <c r="V214" i="1"/>
  <c r="Y212" i="1" l="1"/>
  <c r="Z212" i="1" s="1"/>
  <c r="X213" i="1"/>
  <c r="V215" i="1"/>
  <c r="Q199" i="1"/>
  <c r="R198" i="1"/>
  <c r="S198" i="1" s="1"/>
  <c r="Y213" i="1" l="1"/>
  <c r="Z213" i="1" s="1"/>
  <c r="X214" i="1"/>
  <c r="V216" i="1"/>
  <c r="Q200" i="1"/>
  <c r="R199" i="1"/>
  <c r="S199" i="1" s="1"/>
  <c r="Y214" i="1" l="1"/>
  <c r="Z214" i="1" s="1"/>
  <c r="R200" i="1"/>
  <c r="S200" i="1" s="1"/>
  <c r="Q201" i="1"/>
  <c r="X215" i="1"/>
  <c r="V217" i="1"/>
  <c r="Y215" i="1" l="1"/>
  <c r="Z215" i="1" s="1"/>
  <c r="X216" i="1"/>
  <c r="V218" i="1"/>
  <c r="Q202" i="1"/>
  <c r="R201" i="1"/>
  <c r="S201" i="1" s="1"/>
  <c r="Y216" i="1" l="1"/>
  <c r="Z216" i="1" s="1"/>
  <c r="Q203" i="1"/>
  <c r="R202" i="1"/>
  <c r="S202" i="1" s="1"/>
  <c r="X217" i="1"/>
  <c r="V219" i="1"/>
  <c r="Y217" i="1" l="1"/>
  <c r="Z217" i="1" s="1"/>
  <c r="X218" i="1"/>
  <c r="V220" i="1"/>
  <c r="Q204" i="1"/>
  <c r="R203" i="1"/>
  <c r="S203" i="1" s="1"/>
  <c r="Y218" i="1" l="1"/>
  <c r="Z218" i="1" s="1"/>
  <c r="X219" i="1"/>
  <c r="V221" i="1"/>
  <c r="Q205" i="1"/>
  <c r="R204" i="1"/>
  <c r="S204" i="1" s="1"/>
  <c r="Q206" i="1" l="1"/>
  <c r="R205" i="1"/>
  <c r="S205" i="1" s="1"/>
  <c r="X220" i="1"/>
  <c r="V222" i="1"/>
  <c r="Y219" i="1"/>
  <c r="Z219" i="1" s="1"/>
  <c r="Y220" i="1" l="1"/>
  <c r="Z220" i="1" s="1"/>
  <c r="X221" i="1"/>
  <c r="V223" i="1"/>
  <c r="Q207" i="1"/>
  <c r="R206" i="1"/>
  <c r="S206" i="1" s="1"/>
  <c r="Y221" i="1" l="1"/>
  <c r="Z221" i="1" s="1"/>
  <c r="Q208" i="1"/>
  <c r="R207" i="1"/>
  <c r="S207" i="1" s="1"/>
  <c r="X222" i="1"/>
  <c r="V224" i="1"/>
  <c r="Y222" i="1" l="1"/>
  <c r="Z222" i="1" s="1"/>
  <c r="X223" i="1"/>
  <c r="V225" i="1"/>
  <c r="Q209" i="1"/>
  <c r="R208" i="1"/>
  <c r="S208" i="1" s="1"/>
  <c r="Y223" i="1" l="1"/>
  <c r="Z223" i="1" s="1"/>
  <c r="Q210" i="1"/>
  <c r="R209" i="1"/>
  <c r="S209" i="1" s="1"/>
  <c r="X224" i="1"/>
  <c r="V226" i="1"/>
  <c r="Y224" i="1" l="1"/>
  <c r="Z224" i="1" s="1"/>
  <c r="X225" i="1"/>
  <c r="V227" i="1"/>
  <c r="Q211" i="1"/>
  <c r="R210" i="1"/>
  <c r="S210" i="1" s="1"/>
  <c r="Y225" i="1" l="1"/>
  <c r="Z225" i="1" s="1"/>
  <c r="Q212" i="1"/>
  <c r="R211" i="1"/>
  <c r="S211" i="1" s="1"/>
  <c r="X226" i="1"/>
  <c r="V228" i="1"/>
  <c r="Y226" i="1" l="1"/>
  <c r="Z226" i="1" s="1"/>
  <c r="X227" i="1"/>
  <c r="V229" i="1"/>
  <c r="Q213" i="1"/>
  <c r="R212" i="1"/>
  <c r="S212" i="1" s="1"/>
  <c r="Y227" i="1" l="1"/>
  <c r="Z227" i="1" s="1"/>
  <c r="Q214" i="1"/>
  <c r="R213" i="1"/>
  <c r="S213" i="1" s="1"/>
  <c r="X228" i="1"/>
  <c r="V230" i="1"/>
  <c r="Y228" i="1" l="1"/>
  <c r="Z228" i="1" s="1"/>
  <c r="X229" i="1"/>
  <c r="V231" i="1"/>
  <c r="Q215" i="1"/>
  <c r="R214" i="1"/>
  <c r="S214" i="1" s="1"/>
  <c r="Y229" i="1" l="1"/>
  <c r="Z229" i="1" s="1"/>
  <c r="Q216" i="1"/>
  <c r="R215" i="1"/>
  <c r="S215" i="1" s="1"/>
  <c r="X230" i="1"/>
  <c r="V232" i="1"/>
  <c r="Y230" i="1" l="1"/>
  <c r="Z230" i="1" s="1"/>
  <c r="X231" i="1"/>
  <c r="V233" i="1"/>
  <c r="Q217" i="1"/>
  <c r="R216" i="1"/>
  <c r="S216" i="1" s="1"/>
  <c r="Y231" i="1" l="1"/>
  <c r="Z231" i="1" s="1"/>
  <c r="Q218" i="1"/>
  <c r="R217" i="1"/>
  <c r="S217" i="1" s="1"/>
  <c r="X232" i="1"/>
  <c r="V234" i="1"/>
  <c r="Y232" i="1" l="1"/>
  <c r="Z232" i="1" s="1"/>
  <c r="X233" i="1"/>
  <c r="V235" i="1"/>
  <c r="Q219" i="1"/>
  <c r="R218" i="1"/>
  <c r="S218" i="1" s="1"/>
  <c r="Y233" i="1" l="1"/>
  <c r="Z233" i="1" s="1"/>
  <c r="Q220" i="1"/>
  <c r="R219" i="1"/>
  <c r="S219" i="1" s="1"/>
  <c r="X234" i="1"/>
  <c r="V236" i="1"/>
  <c r="Y234" i="1" l="1"/>
  <c r="Z234" i="1" s="1"/>
  <c r="X235" i="1"/>
  <c r="V237" i="1"/>
  <c r="Q221" i="1"/>
  <c r="R220" i="1"/>
  <c r="S220" i="1" s="1"/>
  <c r="Y235" i="1" l="1"/>
  <c r="Z235" i="1" s="1"/>
  <c r="X236" i="1"/>
  <c r="V238" i="1"/>
  <c r="Q222" i="1"/>
  <c r="R221" i="1"/>
  <c r="S221" i="1" s="1"/>
  <c r="Y236" i="1" l="1"/>
  <c r="Z236" i="1" s="1"/>
  <c r="Q223" i="1"/>
  <c r="R222" i="1"/>
  <c r="S222" i="1" s="1"/>
  <c r="X237" i="1"/>
  <c r="Y237" i="1" s="1"/>
  <c r="Z237" i="1" s="1"/>
  <c r="V239" i="1"/>
  <c r="X238" i="1" l="1"/>
  <c r="Y238" i="1" s="1"/>
  <c r="Z238" i="1" s="1"/>
  <c r="V240" i="1"/>
  <c r="Q224" i="1"/>
  <c r="R223" i="1"/>
  <c r="S223" i="1" s="1"/>
  <c r="R224" i="1" l="1"/>
  <c r="S224" i="1" s="1"/>
  <c r="Q225" i="1"/>
  <c r="X239" i="1"/>
  <c r="Y239" i="1" s="1"/>
  <c r="Z239" i="1" s="1"/>
  <c r="V241" i="1"/>
  <c r="X240" i="1" l="1"/>
  <c r="Y240" i="1" s="1"/>
  <c r="Z240" i="1" s="1"/>
  <c r="V242" i="1"/>
  <c r="Q226" i="1"/>
  <c r="R225" i="1"/>
  <c r="S225" i="1" s="1"/>
  <c r="Q227" i="1" l="1"/>
  <c r="R226" i="1"/>
  <c r="S226" i="1" s="1"/>
  <c r="X241" i="1"/>
  <c r="Y241" i="1" s="1"/>
  <c r="Z241" i="1" s="1"/>
  <c r="V243" i="1"/>
  <c r="X242" i="1" l="1"/>
  <c r="Y242" i="1" s="1"/>
  <c r="Z242" i="1" s="1"/>
  <c r="V244" i="1"/>
  <c r="Q228" i="1"/>
  <c r="R227" i="1"/>
  <c r="S227" i="1" s="1"/>
  <c r="Q229" i="1" l="1"/>
  <c r="R228" i="1"/>
  <c r="S228" i="1" s="1"/>
  <c r="X243" i="1"/>
  <c r="Y243" i="1" s="1"/>
  <c r="Z243" i="1" s="1"/>
  <c r="V245" i="1"/>
  <c r="X244" i="1" l="1"/>
  <c r="Y244" i="1" s="1"/>
  <c r="Z244" i="1" s="1"/>
  <c r="V246" i="1"/>
  <c r="Q230" i="1"/>
  <c r="R229" i="1"/>
  <c r="S229" i="1" s="1"/>
  <c r="Q231" i="1" l="1"/>
  <c r="R230" i="1"/>
  <c r="S230" i="1" s="1"/>
  <c r="X245" i="1"/>
  <c r="Y245" i="1" s="1"/>
  <c r="Z245" i="1" s="1"/>
  <c r="V247" i="1"/>
  <c r="X246" i="1" l="1"/>
  <c r="Y246" i="1" s="1"/>
  <c r="Z246" i="1" s="1"/>
  <c r="V248" i="1"/>
  <c r="Q232" i="1"/>
  <c r="R231" i="1"/>
  <c r="S231" i="1" s="1"/>
  <c r="Q233" i="1" l="1"/>
  <c r="R232" i="1"/>
  <c r="S232" i="1" s="1"/>
  <c r="X247" i="1"/>
  <c r="Y247" i="1" s="1"/>
  <c r="Z247" i="1" s="1"/>
  <c r="V249" i="1"/>
  <c r="X248" i="1" l="1"/>
  <c r="Y248" i="1" s="1"/>
  <c r="Z248" i="1" s="1"/>
  <c r="V250" i="1"/>
  <c r="Q234" i="1"/>
  <c r="R233" i="1"/>
  <c r="S233" i="1" s="1"/>
  <c r="Q235" i="1" l="1"/>
  <c r="R234" i="1"/>
  <c r="S234" i="1" s="1"/>
  <c r="X249" i="1"/>
  <c r="Y249" i="1" s="1"/>
  <c r="Z249" i="1" s="1"/>
  <c r="V251" i="1"/>
  <c r="X250" i="1" l="1"/>
  <c r="Y250" i="1" s="1"/>
  <c r="Z250" i="1" s="1"/>
  <c r="V252" i="1"/>
  <c r="Q236" i="1"/>
  <c r="R235" i="1"/>
  <c r="S235" i="1" s="1"/>
  <c r="Q237" i="1" l="1"/>
  <c r="R236" i="1"/>
  <c r="S236" i="1" s="1"/>
  <c r="X251" i="1"/>
  <c r="Y251" i="1" s="1"/>
  <c r="Z251" i="1" s="1"/>
  <c r="V253" i="1"/>
  <c r="X252" i="1" l="1"/>
  <c r="Y252" i="1" s="1"/>
  <c r="Z252" i="1" s="1"/>
  <c r="V254" i="1"/>
  <c r="Q238" i="1"/>
  <c r="R237" i="1"/>
  <c r="S237" i="1" s="1"/>
  <c r="Q239" i="1" l="1"/>
  <c r="R238" i="1"/>
  <c r="S238" i="1" s="1"/>
  <c r="X253" i="1"/>
  <c r="Y253" i="1" s="1"/>
  <c r="Z253" i="1" s="1"/>
  <c r="V255" i="1"/>
  <c r="X254" i="1" l="1"/>
  <c r="Y254" i="1" s="1"/>
  <c r="Z254" i="1" s="1"/>
  <c r="V256" i="1"/>
  <c r="Q240" i="1"/>
  <c r="R239" i="1"/>
  <c r="S239" i="1" s="1"/>
  <c r="Q241" i="1" l="1"/>
  <c r="R240" i="1"/>
  <c r="S240" i="1" s="1"/>
  <c r="X255" i="1"/>
  <c r="Y255" i="1" s="1"/>
  <c r="Z255" i="1" s="1"/>
  <c r="V257" i="1"/>
  <c r="X256" i="1" l="1"/>
  <c r="Y256" i="1" s="1"/>
  <c r="Z256" i="1" s="1"/>
  <c r="V258" i="1"/>
  <c r="Q242" i="1"/>
  <c r="R241" i="1"/>
  <c r="S241" i="1" s="1"/>
  <c r="Q243" i="1" l="1"/>
  <c r="R242" i="1"/>
  <c r="S242" i="1" s="1"/>
  <c r="X257" i="1"/>
  <c r="Y257" i="1" s="1"/>
  <c r="Z257" i="1" s="1"/>
  <c r="V259" i="1"/>
  <c r="X258" i="1" l="1"/>
  <c r="Y258" i="1" s="1"/>
  <c r="Z258" i="1" s="1"/>
  <c r="V260" i="1"/>
  <c r="Q244" i="1"/>
  <c r="R243" i="1"/>
  <c r="S243" i="1" s="1"/>
  <c r="Q245" i="1" l="1"/>
  <c r="R244" i="1"/>
  <c r="S244" i="1" s="1"/>
  <c r="X259" i="1"/>
  <c r="Y259" i="1" s="1"/>
  <c r="Z259" i="1" s="1"/>
  <c r="V261" i="1"/>
  <c r="X260" i="1" l="1"/>
  <c r="Y260" i="1" s="1"/>
  <c r="Z260" i="1" s="1"/>
  <c r="V262" i="1"/>
  <c r="Q246" i="1"/>
  <c r="R245" i="1"/>
  <c r="S245" i="1" s="1"/>
  <c r="Q247" i="1" l="1"/>
  <c r="R246" i="1"/>
  <c r="S246" i="1" s="1"/>
  <c r="X261" i="1"/>
  <c r="Y261" i="1" s="1"/>
  <c r="Z261" i="1" s="1"/>
  <c r="V263" i="1"/>
  <c r="X262" i="1" l="1"/>
  <c r="Y262" i="1" s="1"/>
  <c r="Z262" i="1" s="1"/>
  <c r="V264" i="1"/>
  <c r="Q248" i="1"/>
  <c r="R247" i="1"/>
  <c r="S247" i="1" s="1"/>
  <c r="Q249" i="1" l="1"/>
  <c r="R248" i="1"/>
  <c r="S248" i="1" s="1"/>
  <c r="X263" i="1"/>
  <c r="Y263" i="1" s="1"/>
  <c r="Z263" i="1" s="1"/>
  <c r="V265" i="1"/>
  <c r="X264" i="1" l="1"/>
  <c r="Y264" i="1" s="1"/>
  <c r="Z264" i="1" s="1"/>
  <c r="V266" i="1"/>
  <c r="Q250" i="1"/>
  <c r="R249" i="1"/>
  <c r="S249" i="1" s="1"/>
  <c r="Q251" i="1" l="1"/>
  <c r="R250" i="1"/>
  <c r="S250" i="1" s="1"/>
  <c r="X265" i="1"/>
  <c r="Y265" i="1" s="1"/>
  <c r="Z265" i="1" s="1"/>
  <c r="V267" i="1"/>
  <c r="X266" i="1" l="1"/>
  <c r="Y266" i="1" s="1"/>
  <c r="Z266" i="1" s="1"/>
  <c r="V268" i="1"/>
  <c r="Q252" i="1"/>
  <c r="R251" i="1"/>
  <c r="S251" i="1" s="1"/>
  <c r="Q253" i="1" l="1"/>
  <c r="R252" i="1"/>
  <c r="S252" i="1" s="1"/>
  <c r="X267" i="1"/>
  <c r="Y267" i="1" s="1"/>
  <c r="Z267" i="1" s="1"/>
  <c r="V269" i="1"/>
  <c r="X268" i="1" l="1"/>
  <c r="Y268" i="1" s="1"/>
  <c r="Z268" i="1" s="1"/>
  <c r="V270" i="1"/>
  <c r="Q254" i="1"/>
  <c r="R253" i="1"/>
  <c r="S253" i="1" s="1"/>
  <c r="Q255" i="1" l="1"/>
  <c r="R254" i="1"/>
  <c r="S254" i="1" s="1"/>
  <c r="X269" i="1"/>
  <c r="Y269" i="1" s="1"/>
  <c r="Z269" i="1" s="1"/>
  <c r="V271" i="1"/>
  <c r="X270" i="1" l="1"/>
  <c r="Y270" i="1" s="1"/>
  <c r="Z270" i="1" s="1"/>
  <c r="V272" i="1"/>
  <c r="Q256" i="1"/>
  <c r="R255" i="1"/>
  <c r="S255" i="1" s="1"/>
  <c r="Q257" i="1" l="1"/>
  <c r="R256" i="1"/>
  <c r="S256" i="1" s="1"/>
  <c r="X271" i="1"/>
  <c r="Y271" i="1" s="1"/>
  <c r="Z271" i="1" s="1"/>
  <c r="V273" i="1"/>
  <c r="X272" i="1" l="1"/>
  <c r="Y272" i="1" s="1"/>
  <c r="Z272" i="1" s="1"/>
  <c r="V274" i="1"/>
  <c r="Q258" i="1"/>
  <c r="R257" i="1"/>
  <c r="S257" i="1" s="1"/>
  <c r="Q259" i="1" l="1"/>
  <c r="R258" i="1"/>
  <c r="S258" i="1" s="1"/>
  <c r="X273" i="1"/>
  <c r="Y273" i="1" s="1"/>
  <c r="Z273" i="1" s="1"/>
  <c r="V275" i="1"/>
  <c r="X274" i="1" l="1"/>
  <c r="Y274" i="1" s="1"/>
  <c r="Z274" i="1" s="1"/>
  <c r="V276" i="1"/>
  <c r="Q260" i="1"/>
  <c r="R259" i="1"/>
  <c r="S259" i="1" s="1"/>
  <c r="Q261" i="1" l="1"/>
  <c r="R260" i="1"/>
  <c r="S260" i="1" s="1"/>
  <c r="X275" i="1"/>
  <c r="Y275" i="1" s="1"/>
  <c r="Z275" i="1" s="1"/>
  <c r="V277" i="1"/>
  <c r="X276" i="1" l="1"/>
  <c r="Y276" i="1" s="1"/>
  <c r="Z276" i="1" s="1"/>
  <c r="V278" i="1"/>
  <c r="Q262" i="1"/>
  <c r="R261" i="1"/>
  <c r="S261" i="1" s="1"/>
  <c r="Q263" i="1" l="1"/>
  <c r="R262" i="1"/>
  <c r="S262" i="1" s="1"/>
  <c r="X277" i="1"/>
  <c r="Y277" i="1" s="1"/>
  <c r="Z277" i="1" s="1"/>
  <c r="V279" i="1"/>
  <c r="X278" i="1" l="1"/>
  <c r="Y278" i="1" s="1"/>
  <c r="Z278" i="1" s="1"/>
  <c r="V280" i="1"/>
  <c r="Q264" i="1"/>
  <c r="R263" i="1"/>
  <c r="S263" i="1" s="1"/>
  <c r="Q265" i="1" l="1"/>
  <c r="R264" i="1"/>
  <c r="S264" i="1" s="1"/>
  <c r="X279" i="1"/>
  <c r="Y279" i="1" s="1"/>
  <c r="Z279" i="1" s="1"/>
  <c r="V281" i="1"/>
  <c r="X280" i="1" l="1"/>
  <c r="Y280" i="1" s="1"/>
  <c r="Z280" i="1" s="1"/>
  <c r="V282" i="1"/>
  <c r="Q266" i="1"/>
  <c r="R265" i="1"/>
  <c r="S265" i="1" s="1"/>
  <c r="X281" i="1" l="1"/>
  <c r="Y281" i="1" s="1"/>
  <c r="Z281" i="1" s="1"/>
  <c r="V283" i="1"/>
  <c r="Q267" i="1"/>
  <c r="R266" i="1"/>
  <c r="S266" i="1" s="1"/>
  <c r="Q268" i="1" l="1"/>
  <c r="R267" i="1"/>
  <c r="S267" i="1" s="1"/>
  <c r="X282" i="1"/>
  <c r="Y282" i="1" s="1"/>
  <c r="Z282" i="1" s="1"/>
  <c r="V284" i="1"/>
  <c r="X283" i="1" l="1"/>
  <c r="Y283" i="1" s="1"/>
  <c r="Z283" i="1" s="1"/>
  <c r="V285" i="1"/>
  <c r="Q269" i="1"/>
  <c r="R268" i="1"/>
  <c r="S268" i="1" s="1"/>
  <c r="Q270" i="1" l="1"/>
  <c r="R269" i="1"/>
  <c r="S269" i="1" s="1"/>
  <c r="X284" i="1"/>
  <c r="Y284" i="1" s="1"/>
  <c r="Z284" i="1" s="1"/>
  <c r="V286" i="1"/>
  <c r="X285" i="1" l="1"/>
  <c r="Y285" i="1" s="1"/>
  <c r="Z285" i="1" s="1"/>
  <c r="V287" i="1"/>
  <c r="Q271" i="1"/>
  <c r="R270" i="1"/>
  <c r="S270" i="1" s="1"/>
  <c r="Q272" i="1" l="1"/>
  <c r="R271" i="1"/>
  <c r="S271" i="1" s="1"/>
  <c r="X286" i="1"/>
  <c r="Y286" i="1" s="1"/>
  <c r="Z286" i="1" s="1"/>
  <c r="V288" i="1"/>
  <c r="X287" i="1" l="1"/>
  <c r="Y287" i="1" s="1"/>
  <c r="Z287" i="1" s="1"/>
  <c r="V289" i="1"/>
  <c r="Q273" i="1"/>
  <c r="R272" i="1"/>
  <c r="S272" i="1" s="1"/>
  <c r="X288" i="1" l="1"/>
  <c r="Y288" i="1" s="1"/>
  <c r="Z288" i="1" s="1"/>
  <c r="V290" i="1"/>
  <c r="Q274" i="1"/>
  <c r="R273" i="1"/>
  <c r="S273" i="1" s="1"/>
  <c r="Q275" i="1" l="1"/>
  <c r="R274" i="1"/>
  <c r="S274" i="1" s="1"/>
  <c r="X289" i="1"/>
  <c r="Y289" i="1" s="1"/>
  <c r="Z289" i="1" s="1"/>
  <c r="V291" i="1"/>
  <c r="X290" i="1" l="1"/>
  <c r="Y290" i="1" s="1"/>
  <c r="Z290" i="1" s="1"/>
  <c r="V292" i="1"/>
  <c r="Q276" i="1"/>
  <c r="R275" i="1"/>
  <c r="S275" i="1" s="1"/>
  <c r="Q277" i="1" l="1"/>
  <c r="R276" i="1"/>
  <c r="S276" i="1" s="1"/>
  <c r="X291" i="1"/>
  <c r="Y291" i="1" s="1"/>
  <c r="Z291" i="1" s="1"/>
  <c r="V293" i="1"/>
  <c r="X292" i="1" l="1"/>
  <c r="Y292" i="1" s="1"/>
  <c r="Z292" i="1" s="1"/>
  <c r="V294" i="1"/>
  <c r="R277" i="1"/>
  <c r="S277" i="1" s="1"/>
  <c r="Q278" i="1"/>
  <c r="Q279" i="1" l="1"/>
  <c r="R278" i="1"/>
  <c r="S278" i="1" s="1"/>
  <c r="X293" i="1"/>
  <c r="Y293" i="1" s="1"/>
  <c r="Z293" i="1" s="1"/>
  <c r="V295" i="1"/>
  <c r="X294" i="1" l="1"/>
  <c r="Y294" i="1" s="1"/>
  <c r="Z294" i="1" s="1"/>
  <c r="V296" i="1"/>
  <c r="Q280" i="1"/>
  <c r="R279" i="1"/>
  <c r="S279" i="1" s="1"/>
  <c r="Q281" i="1" l="1"/>
  <c r="R280" i="1"/>
  <c r="S280" i="1" s="1"/>
  <c r="X295" i="1"/>
  <c r="Y295" i="1" s="1"/>
  <c r="Z295" i="1" s="1"/>
  <c r="V297" i="1"/>
  <c r="X296" i="1" l="1"/>
  <c r="Y296" i="1" s="1"/>
  <c r="Z296" i="1" s="1"/>
  <c r="V298" i="1"/>
  <c r="Q282" i="1"/>
  <c r="R281" i="1"/>
  <c r="S281" i="1" s="1"/>
  <c r="Q283" i="1" l="1"/>
  <c r="R282" i="1"/>
  <c r="S282" i="1" s="1"/>
  <c r="X297" i="1"/>
  <c r="Y297" i="1" s="1"/>
  <c r="Z297" i="1" s="1"/>
  <c r="V299" i="1"/>
  <c r="X298" i="1" l="1"/>
  <c r="Y298" i="1" s="1"/>
  <c r="Z298" i="1" s="1"/>
  <c r="V300" i="1"/>
  <c r="R283" i="1"/>
  <c r="S283" i="1" s="1"/>
  <c r="Q284" i="1"/>
  <c r="Q285" i="1" l="1"/>
  <c r="R284" i="1"/>
  <c r="S284" i="1" s="1"/>
  <c r="X299" i="1"/>
  <c r="Y299" i="1" s="1"/>
  <c r="Z299" i="1" s="1"/>
  <c r="V301" i="1"/>
  <c r="X300" i="1" l="1"/>
  <c r="V302" i="1"/>
  <c r="Q286" i="1"/>
  <c r="R285" i="1"/>
  <c r="S285" i="1" s="1"/>
  <c r="Q287" i="1" l="1"/>
  <c r="R286" i="1"/>
  <c r="S286" i="1" s="1"/>
  <c r="X301" i="1"/>
  <c r="V303" i="1"/>
  <c r="Y300" i="1"/>
  <c r="Z300" i="1" s="1"/>
  <c r="X302" i="1" l="1"/>
  <c r="V304" i="1"/>
  <c r="Y301" i="1"/>
  <c r="Z301" i="1" s="1"/>
  <c r="Q288" i="1"/>
  <c r="R287" i="1"/>
  <c r="S287" i="1" s="1"/>
  <c r="Q289" i="1" l="1"/>
  <c r="R288" i="1"/>
  <c r="S288" i="1" s="1"/>
  <c r="X303" i="1"/>
  <c r="V305" i="1"/>
  <c r="Y302" i="1"/>
  <c r="Z302" i="1" s="1"/>
  <c r="Y303" i="1" l="1"/>
  <c r="Z303" i="1" s="1"/>
  <c r="X304" i="1"/>
  <c r="V306" i="1"/>
  <c r="Q290" i="1"/>
  <c r="R289" i="1"/>
  <c r="S289" i="1" s="1"/>
  <c r="Y304" i="1" l="1"/>
  <c r="Z304" i="1" s="1"/>
  <c r="X305" i="1"/>
  <c r="V307" i="1"/>
  <c r="Q291" i="1"/>
  <c r="R290" i="1"/>
  <c r="S290" i="1" s="1"/>
  <c r="Q292" i="1" l="1"/>
  <c r="R291" i="1"/>
  <c r="S291" i="1" s="1"/>
  <c r="X306" i="1"/>
  <c r="V308" i="1"/>
  <c r="Y305" i="1"/>
  <c r="Z305" i="1" s="1"/>
  <c r="X307" i="1" l="1"/>
  <c r="V309" i="1"/>
  <c r="Y306" i="1"/>
  <c r="Z306" i="1" s="1"/>
  <c r="Q293" i="1"/>
  <c r="R292" i="1"/>
  <c r="S292" i="1" s="1"/>
  <c r="Q294" i="1" l="1"/>
  <c r="R293" i="1"/>
  <c r="S293" i="1" s="1"/>
  <c r="X308" i="1"/>
  <c r="V310" i="1"/>
  <c r="Y307" i="1"/>
  <c r="Z307" i="1" s="1"/>
  <c r="X309" i="1" l="1"/>
  <c r="V311" i="1"/>
  <c r="Y308" i="1"/>
  <c r="Z308" i="1" s="1"/>
  <c r="Q295" i="1"/>
  <c r="R294" i="1"/>
  <c r="S294" i="1" s="1"/>
  <c r="Q296" i="1" l="1"/>
  <c r="R295" i="1"/>
  <c r="S295" i="1" s="1"/>
  <c r="X310" i="1"/>
  <c r="V312" i="1"/>
  <c r="Y309" i="1"/>
  <c r="Z309" i="1" s="1"/>
  <c r="X311" i="1" l="1"/>
  <c r="V313" i="1"/>
  <c r="Y310" i="1"/>
  <c r="Z310" i="1" s="1"/>
  <c r="Q297" i="1"/>
  <c r="R296" i="1"/>
  <c r="S296" i="1" s="1"/>
  <c r="Q298" i="1" l="1"/>
  <c r="R297" i="1"/>
  <c r="S297" i="1" s="1"/>
  <c r="X312" i="1"/>
  <c r="V314" i="1"/>
  <c r="Y311" i="1"/>
  <c r="Z311" i="1" s="1"/>
  <c r="X313" i="1" l="1"/>
  <c r="V315" i="1"/>
  <c r="Y312" i="1"/>
  <c r="Z312" i="1" s="1"/>
  <c r="Q299" i="1"/>
  <c r="R298" i="1"/>
  <c r="S298" i="1" s="1"/>
  <c r="Q300" i="1" l="1"/>
  <c r="R299" i="1"/>
  <c r="S299" i="1" s="1"/>
  <c r="X314" i="1"/>
  <c r="V316" i="1"/>
  <c r="Y313" i="1"/>
  <c r="Z313" i="1" s="1"/>
  <c r="X315" i="1" l="1"/>
  <c r="V317" i="1"/>
  <c r="Y314" i="1"/>
  <c r="Z314" i="1" s="1"/>
  <c r="Q301" i="1"/>
  <c r="R300" i="1"/>
  <c r="S300" i="1" s="1"/>
  <c r="Q302" i="1" l="1"/>
  <c r="R301" i="1"/>
  <c r="S301" i="1" s="1"/>
  <c r="X316" i="1"/>
  <c r="V318" i="1"/>
  <c r="Y315" i="1"/>
  <c r="Z315" i="1" s="1"/>
  <c r="X317" i="1" l="1"/>
  <c r="V319" i="1"/>
  <c r="Y316" i="1"/>
  <c r="Z316" i="1" s="1"/>
  <c r="Q303" i="1"/>
  <c r="R302" i="1"/>
  <c r="S302" i="1" s="1"/>
  <c r="Q304" i="1" l="1"/>
  <c r="R303" i="1"/>
  <c r="S303" i="1" s="1"/>
  <c r="X318" i="1"/>
  <c r="V320" i="1"/>
  <c r="Y317" i="1"/>
  <c r="Z317" i="1" s="1"/>
  <c r="X319" i="1" l="1"/>
  <c r="V321" i="1"/>
  <c r="Y318" i="1"/>
  <c r="Z318" i="1" s="1"/>
  <c r="Q305" i="1"/>
  <c r="R304" i="1"/>
  <c r="S304" i="1" s="1"/>
  <c r="R305" i="1" l="1"/>
  <c r="S305" i="1" s="1"/>
  <c r="Q306" i="1"/>
  <c r="X320" i="1"/>
  <c r="V322" i="1"/>
  <c r="Y319" i="1"/>
  <c r="Z319" i="1" s="1"/>
  <c r="X321" i="1" l="1"/>
  <c r="V323" i="1"/>
  <c r="Y320" i="1"/>
  <c r="Z320" i="1" s="1"/>
  <c r="Q307" i="1"/>
  <c r="R306" i="1"/>
  <c r="S306" i="1" s="1"/>
  <c r="Q308" i="1" l="1"/>
  <c r="R307" i="1"/>
  <c r="S307" i="1" s="1"/>
  <c r="X322" i="1"/>
  <c r="V324" i="1"/>
  <c r="Y321" i="1"/>
  <c r="Z321" i="1" s="1"/>
  <c r="X323" i="1" l="1"/>
  <c r="V325" i="1"/>
  <c r="Y322" i="1"/>
  <c r="Z322" i="1" s="1"/>
  <c r="Q309" i="1"/>
  <c r="R308" i="1"/>
  <c r="S308" i="1" s="1"/>
  <c r="R309" i="1" l="1"/>
  <c r="S309" i="1" s="1"/>
  <c r="Q310" i="1"/>
  <c r="X324" i="1"/>
  <c r="V326" i="1"/>
  <c r="Y323" i="1"/>
  <c r="Z323" i="1" s="1"/>
  <c r="X325" i="1" l="1"/>
  <c r="V327" i="1"/>
  <c r="Y324" i="1"/>
  <c r="Z324" i="1" s="1"/>
  <c r="Q311" i="1"/>
  <c r="R310" i="1"/>
  <c r="S310" i="1" s="1"/>
  <c r="Q312" i="1" l="1"/>
  <c r="R311" i="1"/>
  <c r="S311" i="1" s="1"/>
  <c r="X326" i="1"/>
  <c r="V328" i="1"/>
  <c r="Y325" i="1"/>
  <c r="Z325" i="1" s="1"/>
  <c r="X327" i="1" l="1"/>
  <c r="V329" i="1"/>
  <c r="Y326" i="1"/>
  <c r="Z326" i="1" s="1"/>
  <c r="Q313" i="1"/>
  <c r="R312" i="1"/>
  <c r="S312" i="1" s="1"/>
  <c r="Q314" i="1" l="1"/>
  <c r="R313" i="1"/>
  <c r="S313" i="1" s="1"/>
  <c r="X328" i="1"/>
  <c r="V330" i="1"/>
  <c r="Y327" i="1"/>
  <c r="Z327" i="1" s="1"/>
  <c r="X329" i="1" l="1"/>
  <c r="V331" i="1"/>
  <c r="Y328" i="1"/>
  <c r="Z328" i="1" s="1"/>
  <c r="Q315" i="1"/>
  <c r="R314" i="1"/>
  <c r="S314" i="1" s="1"/>
  <c r="Q316" i="1" l="1"/>
  <c r="R315" i="1"/>
  <c r="S315" i="1" s="1"/>
  <c r="X330" i="1"/>
  <c r="V332" i="1"/>
  <c r="Y329" i="1"/>
  <c r="Z329" i="1" s="1"/>
  <c r="X331" i="1" l="1"/>
  <c r="V333" i="1"/>
  <c r="Y330" i="1"/>
  <c r="Z330" i="1" s="1"/>
  <c r="Q317" i="1"/>
  <c r="R316" i="1"/>
  <c r="S316" i="1" s="1"/>
  <c r="Q318" i="1" l="1"/>
  <c r="R317" i="1"/>
  <c r="S317" i="1" s="1"/>
  <c r="X332" i="1"/>
  <c r="V334" i="1"/>
  <c r="Y331" i="1"/>
  <c r="Z331" i="1" s="1"/>
  <c r="X333" i="1" l="1"/>
  <c r="V335" i="1"/>
  <c r="Y332" i="1"/>
  <c r="Z332" i="1" s="1"/>
  <c r="Q319" i="1"/>
  <c r="R318" i="1"/>
  <c r="S318" i="1" s="1"/>
  <c r="Q320" i="1" l="1"/>
  <c r="R319" i="1"/>
  <c r="S319" i="1" s="1"/>
  <c r="X334" i="1"/>
  <c r="V336" i="1"/>
  <c r="Y333" i="1"/>
  <c r="Z333" i="1" s="1"/>
  <c r="X335" i="1" l="1"/>
  <c r="V337" i="1"/>
  <c r="Y334" i="1"/>
  <c r="Z334" i="1" s="1"/>
  <c r="Q321" i="1"/>
  <c r="R320" i="1"/>
  <c r="S320" i="1" s="1"/>
  <c r="Q322" i="1" l="1"/>
  <c r="R321" i="1"/>
  <c r="S321" i="1" s="1"/>
  <c r="X336" i="1"/>
  <c r="V338" i="1"/>
  <c r="Y335" i="1"/>
  <c r="Z335" i="1" s="1"/>
  <c r="X337" i="1" l="1"/>
  <c r="V339" i="1"/>
  <c r="Y336" i="1"/>
  <c r="Z336" i="1" s="1"/>
  <c r="Q323" i="1"/>
  <c r="R322" i="1"/>
  <c r="S322" i="1" s="1"/>
  <c r="Q324" i="1" l="1"/>
  <c r="R323" i="1"/>
  <c r="S323" i="1" s="1"/>
  <c r="X338" i="1"/>
  <c r="V340" i="1"/>
  <c r="Y337" i="1"/>
  <c r="Z337" i="1" s="1"/>
  <c r="X339" i="1" l="1"/>
  <c r="V341" i="1"/>
  <c r="Y338" i="1"/>
  <c r="Z338" i="1" s="1"/>
  <c r="Q325" i="1"/>
  <c r="R324" i="1"/>
  <c r="S324" i="1" s="1"/>
  <c r="Q326" i="1" l="1"/>
  <c r="R325" i="1"/>
  <c r="S325" i="1" s="1"/>
  <c r="X340" i="1"/>
  <c r="V342" i="1"/>
  <c r="Y339" i="1"/>
  <c r="Z339" i="1" s="1"/>
  <c r="X341" i="1" l="1"/>
  <c r="V343" i="1"/>
  <c r="Y340" i="1"/>
  <c r="Z340" i="1" s="1"/>
  <c r="Q327" i="1"/>
  <c r="R326" i="1"/>
  <c r="S326" i="1" s="1"/>
  <c r="Q328" i="1" l="1"/>
  <c r="R327" i="1"/>
  <c r="S327" i="1" s="1"/>
  <c r="X342" i="1"/>
  <c r="V344" i="1"/>
  <c r="Y341" i="1"/>
  <c r="Z341" i="1" s="1"/>
  <c r="R328" i="1" l="1"/>
  <c r="S328" i="1" s="1"/>
  <c r="Q329" i="1"/>
  <c r="X343" i="1"/>
  <c r="V345" i="1"/>
  <c r="Y342" i="1"/>
  <c r="Z342" i="1" s="1"/>
  <c r="X344" i="1" l="1"/>
  <c r="V346" i="1"/>
  <c r="Y343" i="1"/>
  <c r="Z343" i="1" s="1"/>
  <c r="Q330" i="1"/>
  <c r="R329" i="1"/>
  <c r="S329" i="1" s="1"/>
  <c r="X345" i="1" l="1"/>
  <c r="V347" i="1"/>
  <c r="Q331" i="1"/>
  <c r="R330" i="1"/>
  <c r="S330" i="1" s="1"/>
  <c r="Y344" i="1"/>
  <c r="Z344" i="1" s="1"/>
  <c r="X346" i="1" l="1"/>
  <c r="V348" i="1"/>
  <c r="Q332" i="1"/>
  <c r="R331" i="1"/>
  <c r="S331" i="1" s="1"/>
  <c r="Y345" i="1"/>
  <c r="Z345" i="1" s="1"/>
  <c r="Q333" i="1" l="1"/>
  <c r="R332" i="1"/>
  <c r="S332" i="1" s="1"/>
  <c r="X347" i="1"/>
  <c r="V349" i="1"/>
  <c r="Y346" i="1"/>
  <c r="Z346" i="1" s="1"/>
  <c r="X348" i="1" l="1"/>
  <c r="V350" i="1"/>
  <c r="Y347" i="1"/>
  <c r="Z347" i="1" s="1"/>
  <c r="Q334" i="1"/>
  <c r="R333" i="1"/>
  <c r="S333" i="1" s="1"/>
  <c r="Q335" i="1" l="1"/>
  <c r="R334" i="1"/>
  <c r="S334" i="1" s="1"/>
  <c r="X349" i="1"/>
  <c r="V351" i="1"/>
  <c r="Y348" i="1"/>
  <c r="Z348" i="1" s="1"/>
  <c r="X350" i="1" l="1"/>
  <c r="V352" i="1"/>
  <c r="Y349" i="1"/>
  <c r="Z349" i="1" s="1"/>
  <c r="Q336" i="1"/>
  <c r="R335" i="1"/>
  <c r="S335" i="1" s="1"/>
  <c r="Q337" i="1" l="1"/>
  <c r="R336" i="1"/>
  <c r="S336" i="1" s="1"/>
  <c r="X351" i="1"/>
  <c r="V353" i="1"/>
  <c r="Y350" i="1"/>
  <c r="Z350" i="1" s="1"/>
  <c r="X352" i="1" l="1"/>
  <c r="V354" i="1"/>
  <c r="Y351" i="1"/>
  <c r="Z351" i="1" s="1"/>
  <c r="Q338" i="1"/>
  <c r="R337" i="1"/>
  <c r="S337" i="1" s="1"/>
  <c r="Q339" i="1" l="1"/>
  <c r="R338" i="1"/>
  <c r="S338" i="1" s="1"/>
  <c r="X353" i="1"/>
  <c r="V355" i="1"/>
  <c r="Y352" i="1"/>
  <c r="Z352" i="1" s="1"/>
  <c r="X354" i="1" l="1"/>
  <c r="V356" i="1"/>
  <c r="Y353" i="1"/>
  <c r="Z353" i="1" s="1"/>
  <c r="Q340" i="1"/>
  <c r="R339" i="1"/>
  <c r="S339" i="1" s="1"/>
  <c r="Q341" i="1" l="1"/>
  <c r="R340" i="1"/>
  <c r="S340" i="1" s="1"/>
  <c r="X355" i="1"/>
  <c r="V357" i="1"/>
  <c r="Y354" i="1"/>
  <c r="Z354" i="1" s="1"/>
  <c r="X356" i="1" l="1"/>
  <c r="V358" i="1"/>
  <c r="Y355" i="1"/>
  <c r="Z355" i="1" s="1"/>
  <c r="Q342" i="1"/>
  <c r="R341" i="1"/>
  <c r="S341" i="1" s="1"/>
  <c r="Q343" i="1" l="1"/>
  <c r="R342" i="1"/>
  <c r="S342" i="1" s="1"/>
  <c r="X357" i="1"/>
  <c r="V359" i="1"/>
  <c r="Y356" i="1"/>
  <c r="Z356" i="1" s="1"/>
  <c r="X358" i="1" l="1"/>
  <c r="V360" i="1"/>
  <c r="Y357" i="1"/>
  <c r="Z357" i="1" s="1"/>
  <c r="Q344" i="1"/>
  <c r="R343" i="1"/>
  <c r="S343" i="1" s="1"/>
  <c r="Q345" i="1" l="1"/>
  <c r="R344" i="1"/>
  <c r="S344" i="1" s="1"/>
  <c r="X359" i="1"/>
  <c r="V361" i="1"/>
  <c r="Y358" i="1"/>
  <c r="Z358" i="1" s="1"/>
  <c r="X360" i="1" l="1"/>
  <c r="V362" i="1"/>
  <c r="Y359" i="1"/>
  <c r="Z359" i="1" s="1"/>
  <c r="Q346" i="1"/>
  <c r="R345" i="1"/>
  <c r="S345" i="1" s="1"/>
  <c r="Q347" i="1" l="1"/>
  <c r="R346" i="1"/>
  <c r="S346" i="1" s="1"/>
  <c r="X361" i="1"/>
  <c r="V363" i="1"/>
  <c r="Y360" i="1"/>
  <c r="Z360" i="1" s="1"/>
  <c r="X362" i="1" l="1"/>
  <c r="V364" i="1"/>
  <c r="Y361" i="1"/>
  <c r="Z361" i="1" s="1"/>
  <c r="Q348" i="1"/>
  <c r="R347" i="1"/>
  <c r="S347" i="1" s="1"/>
  <c r="Q349" i="1" l="1"/>
  <c r="R348" i="1"/>
  <c r="S348" i="1" s="1"/>
  <c r="X363" i="1"/>
  <c r="V365" i="1"/>
  <c r="Y362" i="1"/>
  <c r="Z362" i="1" s="1"/>
  <c r="Y363" i="1" l="1"/>
  <c r="Z363" i="1" s="1"/>
  <c r="X364" i="1"/>
  <c r="V366" i="1"/>
  <c r="Q350" i="1"/>
  <c r="R349" i="1"/>
  <c r="S349" i="1" s="1"/>
  <c r="Y364" i="1" l="1"/>
  <c r="Z364" i="1" s="1"/>
  <c r="Q351" i="1"/>
  <c r="R350" i="1"/>
  <c r="S350" i="1" s="1"/>
  <c r="X365" i="1"/>
  <c r="V367" i="1"/>
  <c r="Y365" i="1" l="1"/>
  <c r="Z365" i="1" s="1"/>
  <c r="X366" i="1"/>
  <c r="V368" i="1"/>
  <c r="R351" i="1"/>
  <c r="S351" i="1" s="1"/>
  <c r="Q352" i="1"/>
  <c r="Y366" i="1" l="1"/>
  <c r="Z366" i="1" s="1"/>
  <c r="Q353" i="1"/>
  <c r="R352" i="1"/>
  <c r="S352" i="1" s="1"/>
  <c r="X367" i="1"/>
  <c r="V369" i="1"/>
  <c r="X368" i="1" l="1"/>
  <c r="V370" i="1"/>
  <c r="Y367" i="1"/>
  <c r="Z367" i="1" s="1"/>
  <c r="Q354" i="1"/>
  <c r="R353" i="1"/>
  <c r="S353" i="1" s="1"/>
  <c r="Q355" i="1" l="1"/>
  <c r="R354" i="1"/>
  <c r="S354" i="1" s="1"/>
  <c r="X369" i="1"/>
  <c r="V371" i="1"/>
  <c r="Y368" i="1"/>
  <c r="Z368" i="1" s="1"/>
  <c r="X370" i="1" l="1"/>
  <c r="V372" i="1"/>
  <c r="Y369" i="1"/>
  <c r="Z369" i="1" s="1"/>
  <c r="R355" i="1"/>
  <c r="S355" i="1" s="1"/>
  <c r="Q356" i="1"/>
  <c r="Q357" i="1" l="1"/>
  <c r="R356" i="1"/>
  <c r="S356" i="1" s="1"/>
  <c r="X371" i="1"/>
  <c r="V373" i="1"/>
  <c r="Y370" i="1"/>
  <c r="Z370" i="1" s="1"/>
  <c r="X372" i="1" l="1"/>
  <c r="V374" i="1"/>
  <c r="Y371" i="1"/>
  <c r="Z371" i="1" s="1"/>
  <c r="Q358" i="1"/>
  <c r="R357" i="1"/>
  <c r="S357" i="1" s="1"/>
  <c r="Q359" i="1" l="1"/>
  <c r="R358" i="1"/>
  <c r="S358" i="1" s="1"/>
  <c r="X373" i="1"/>
  <c r="V375" i="1"/>
  <c r="Y372" i="1"/>
  <c r="Z372" i="1" s="1"/>
  <c r="X374" i="1" l="1"/>
  <c r="V376" i="1"/>
  <c r="Y373" i="1"/>
  <c r="Z373" i="1" s="1"/>
  <c r="R359" i="1"/>
  <c r="S359" i="1" s="1"/>
  <c r="Q360" i="1"/>
  <c r="Q361" i="1" l="1"/>
  <c r="R360" i="1"/>
  <c r="S360" i="1" s="1"/>
  <c r="X375" i="1"/>
  <c r="V377" i="1"/>
  <c r="Y374" i="1"/>
  <c r="Z374" i="1" s="1"/>
  <c r="X376" i="1" l="1"/>
  <c r="V378" i="1"/>
  <c r="Y375" i="1"/>
  <c r="Z375" i="1" s="1"/>
  <c r="Q362" i="1"/>
  <c r="R361" i="1"/>
  <c r="S361" i="1" s="1"/>
  <c r="Q363" i="1" l="1"/>
  <c r="R362" i="1"/>
  <c r="S362" i="1" s="1"/>
  <c r="X377" i="1"/>
  <c r="V379" i="1"/>
  <c r="Y376" i="1"/>
  <c r="Z376" i="1" s="1"/>
  <c r="X378" i="1" l="1"/>
  <c r="V380" i="1"/>
  <c r="Y377" i="1"/>
  <c r="Z377" i="1" s="1"/>
  <c r="Q364" i="1"/>
  <c r="R363" i="1"/>
  <c r="S363" i="1" s="1"/>
  <c r="Q365" i="1" l="1"/>
  <c r="R364" i="1"/>
  <c r="S364" i="1" s="1"/>
  <c r="X379" i="1"/>
  <c r="V381" i="1"/>
  <c r="Y378" i="1"/>
  <c r="Z378" i="1" s="1"/>
  <c r="X380" i="1" l="1"/>
  <c r="V382" i="1"/>
  <c r="Y379" i="1"/>
  <c r="Z379" i="1" s="1"/>
  <c r="Q366" i="1"/>
  <c r="R365" i="1"/>
  <c r="S365" i="1" s="1"/>
  <c r="Q367" i="1" l="1"/>
  <c r="R366" i="1"/>
  <c r="S366" i="1" s="1"/>
  <c r="X381" i="1"/>
  <c r="V383" i="1"/>
  <c r="Y380" i="1"/>
  <c r="Z380" i="1" s="1"/>
  <c r="X382" i="1" l="1"/>
  <c r="V384" i="1"/>
  <c r="Y381" i="1"/>
  <c r="Z381" i="1" s="1"/>
  <c r="Q368" i="1"/>
  <c r="R367" i="1"/>
  <c r="S367" i="1" s="1"/>
  <c r="Q369" i="1" l="1"/>
  <c r="R368" i="1"/>
  <c r="S368" i="1" s="1"/>
  <c r="X383" i="1"/>
  <c r="V385" i="1"/>
  <c r="Y382" i="1"/>
  <c r="Z382" i="1" s="1"/>
  <c r="Y383" i="1" l="1"/>
  <c r="Z383" i="1" s="1"/>
  <c r="X384" i="1"/>
  <c r="V386" i="1"/>
  <c r="Q370" i="1"/>
  <c r="R369" i="1"/>
  <c r="S369" i="1" s="1"/>
  <c r="Y384" i="1" l="1"/>
  <c r="Z384" i="1" s="1"/>
  <c r="X385" i="1"/>
  <c r="V387" i="1"/>
  <c r="Q371" i="1"/>
  <c r="R370" i="1"/>
  <c r="S370" i="1" s="1"/>
  <c r="Y385" i="1" l="1"/>
  <c r="Z385" i="1" s="1"/>
  <c r="Q372" i="1"/>
  <c r="R371" i="1"/>
  <c r="S371" i="1" s="1"/>
  <c r="X386" i="1"/>
  <c r="V388" i="1"/>
  <c r="Y386" i="1" l="1"/>
  <c r="Z386" i="1" s="1"/>
  <c r="X387" i="1"/>
  <c r="V389" i="1"/>
  <c r="R372" i="1"/>
  <c r="S372" i="1" s="1"/>
  <c r="Q373" i="1"/>
  <c r="Y387" i="1" l="1"/>
  <c r="Z387" i="1" s="1"/>
  <c r="Q374" i="1"/>
  <c r="R373" i="1"/>
  <c r="S373" i="1" s="1"/>
  <c r="X388" i="1"/>
  <c r="V390" i="1"/>
  <c r="Y388" i="1" l="1"/>
  <c r="Z388" i="1" s="1"/>
  <c r="X389" i="1"/>
  <c r="V391" i="1"/>
  <c r="Q375" i="1"/>
  <c r="R374" i="1"/>
  <c r="S374" i="1" s="1"/>
  <c r="Y389" i="1" l="1"/>
  <c r="Z389" i="1" s="1"/>
  <c r="Q376" i="1"/>
  <c r="R375" i="1"/>
  <c r="S375" i="1" s="1"/>
  <c r="X390" i="1"/>
  <c r="V392" i="1"/>
  <c r="Y390" i="1" l="1"/>
  <c r="Z390" i="1" s="1"/>
  <c r="X391" i="1"/>
  <c r="V393" i="1"/>
  <c r="Q377" i="1"/>
  <c r="R376" i="1"/>
  <c r="S376" i="1" s="1"/>
  <c r="Y391" i="1" l="1"/>
  <c r="Z391" i="1" s="1"/>
  <c r="R377" i="1"/>
  <c r="S377" i="1" s="1"/>
  <c r="Q378" i="1"/>
  <c r="X392" i="1"/>
  <c r="V394" i="1"/>
  <c r="Y392" i="1" l="1"/>
  <c r="Z392" i="1" s="1"/>
  <c r="X393" i="1"/>
  <c r="V395" i="1"/>
  <c r="Q379" i="1"/>
  <c r="R378" i="1"/>
  <c r="S378" i="1" s="1"/>
  <c r="Y393" i="1" l="1"/>
  <c r="Z393" i="1" s="1"/>
  <c r="Q380" i="1"/>
  <c r="R379" i="1"/>
  <c r="S379" i="1" s="1"/>
  <c r="X394" i="1"/>
  <c r="V396" i="1"/>
  <c r="Y394" i="1" l="1"/>
  <c r="Z394" i="1" s="1"/>
  <c r="X395" i="1"/>
  <c r="V397" i="1"/>
  <c r="Q381" i="1"/>
  <c r="R380" i="1"/>
  <c r="S380" i="1" s="1"/>
  <c r="Y395" i="1" l="1"/>
  <c r="Z395" i="1" s="1"/>
  <c r="Q382" i="1"/>
  <c r="R381" i="1"/>
  <c r="S381" i="1" s="1"/>
  <c r="X396" i="1"/>
  <c r="Y396" i="1" s="1"/>
  <c r="Z396" i="1" s="1"/>
  <c r="V398" i="1"/>
  <c r="X397" i="1" l="1"/>
  <c r="Y397" i="1" s="1"/>
  <c r="Z397" i="1" s="1"/>
  <c r="V399" i="1"/>
  <c r="Q383" i="1"/>
  <c r="R382" i="1"/>
  <c r="S382" i="1" s="1"/>
  <c r="Q384" i="1" l="1"/>
  <c r="R383" i="1"/>
  <c r="S383" i="1" s="1"/>
  <c r="X398" i="1"/>
  <c r="Y398" i="1" s="1"/>
  <c r="Z398" i="1" s="1"/>
  <c r="V400" i="1"/>
  <c r="X399" i="1" l="1"/>
  <c r="Y399" i="1" s="1"/>
  <c r="Z399" i="1" s="1"/>
  <c r="V401" i="1"/>
  <c r="Q385" i="1"/>
  <c r="R384" i="1"/>
  <c r="S384" i="1" s="1"/>
  <c r="Q386" i="1" l="1"/>
  <c r="R385" i="1"/>
  <c r="S385" i="1" s="1"/>
  <c r="X400" i="1"/>
  <c r="Y400" i="1" s="1"/>
  <c r="Z400" i="1" s="1"/>
  <c r="V402" i="1"/>
  <c r="X401" i="1" l="1"/>
  <c r="Y401" i="1" s="1"/>
  <c r="Z401" i="1" s="1"/>
  <c r="V403" i="1"/>
  <c r="Q387" i="1"/>
  <c r="R386" i="1"/>
  <c r="S386" i="1" s="1"/>
  <c r="Q388" i="1" l="1"/>
  <c r="R387" i="1"/>
  <c r="S387" i="1" s="1"/>
  <c r="X402" i="1"/>
  <c r="Y402" i="1" s="1"/>
  <c r="Z402" i="1" s="1"/>
  <c r="V404" i="1"/>
  <c r="X403" i="1" l="1"/>
  <c r="Y403" i="1" s="1"/>
  <c r="Z403" i="1" s="1"/>
  <c r="V405" i="1"/>
  <c r="Q389" i="1"/>
  <c r="R388" i="1"/>
  <c r="S388" i="1" s="1"/>
  <c r="Q390" i="1" l="1"/>
  <c r="R389" i="1"/>
  <c r="S389" i="1" s="1"/>
  <c r="X404" i="1"/>
  <c r="Y404" i="1" s="1"/>
  <c r="Z404" i="1" s="1"/>
  <c r="V406" i="1"/>
  <c r="X405" i="1" l="1"/>
  <c r="Y405" i="1" s="1"/>
  <c r="Z405" i="1" s="1"/>
  <c r="V407" i="1"/>
  <c r="Q391" i="1"/>
  <c r="R390" i="1"/>
  <c r="S390" i="1" s="1"/>
  <c r="R391" i="1" l="1"/>
  <c r="S391" i="1" s="1"/>
  <c r="Q392" i="1"/>
  <c r="X406" i="1"/>
  <c r="Y406" i="1" s="1"/>
  <c r="Z406" i="1" s="1"/>
  <c r="V408" i="1"/>
  <c r="X407" i="1" l="1"/>
  <c r="Y407" i="1" s="1"/>
  <c r="Z407" i="1" s="1"/>
  <c r="V409" i="1"/>
  <c r="Q393" i="1"/>
  <c r="R392" i="1"/>
  <c r="S392" i="1" s="1"/>
  <c r="Q394" i="1" l="1"/>
  <c r="R393" i="1"/>
  <c r="S393" i="1" s="1"/>
  <c r="X408" i="1"/>
  <c r="Y408" i="1" s="1"/>
  <c r="Z408" i="1" s="1"/>
  <c r="V410" i="1"/>
  <c r="X409" i="1" l="1"/>
  <c r="Y409" i="1" s="1"/>
  <c r="Z409" i="1" s="1"/>
  <c r="V411" i="1"/>
  <c r="Q395" i="1"/>
  <c r="R394" i="1"/>
  <c r="S394" i="1" s="1"/>
  <c r="Q396" i="1" l="1"/>
  <c r="R395" i="1"/>
  <c r="S395" i="1" s="1"/>
  <c r="X410" i="1"/>
  <c r="Y410" i="1" s="1"/>
  <c r="Z410" i="1" s="1"/>
  <c r="V412" i="1"/>
  <c r="X411" i="1" l="1"/>
  <c r="Y411" i="1" s="1"/>
  <c r="Z411" i="1" s="1"/>
  <c r="V413" i="1"/>
  <c r="Q397" i="1"/>
  <c r="R396" i="1"/>
  <c r="S396" i="1" s="1"/>
  <c r="Q398" i="1" l="1"/>
  <c r="R397" i="1"/>
  <c r="S397" i="1" s="1"/>
  <c r="X412" i="1"/>
  <c r="Y412" i="1" s="1"/>
  <c r="Z412" i="1" s="1"/>
  <c r="V414" i="1"/>
  <c r="X413" i="1" l="1"/>
  <c r="Y413" i="1" s="1"/>
  <c r="Z413" i="1" s="1"/>
  <c r="V415" i="1"/>
  <c r="R398" i="1"/>
  <c r="S398" i="1" s="1"/>
  <c r="Q399" i="1"/>
  <c r="Q400" i="1" l="1"/>
  <c r="R399" i="1"/>
  <c r="S399" i="1" s="1"/>
  <c r="X414" i="1"/>
  <c r="Y414" i="1" s="1"/>
  <c r="Z414" i="1" s="1"/>
  <c r="V416" i="1"/>
  <c r="X415" i="1" l="1"/>
  <c r="Y415" i="1" s="1"/>
  <c r="Z415" i="1" s="1"/>
  <c r="V417" i="1"/>
  <c r="Q401" i="1"/>
  <c r="R400" i="1"/>
  <c r="S400" i="1" s="1"/>
  <c r="Q402" i="1" l="1"/>
  <c r="R401" i="1"/>
  <c r="S401" i="1" s="1"/>
  <c r="X416" i="1"/>
  <c r="Y416" i="1" s="1"/>
  <c r="Z416" i="1" s="1"/>
  <c r="V418" i="1"/>
  <c r="X417" i="1" l="1"/>
  <c r="Y417" i="1" s="1"/>
  <c r="Z417" i="1" s="1"/>
  <c r="V419" i="1"/>
  <c r="R402" i="1"/>
  <c r="S402" i="1" s="1"/>
  <c r="Q403" i="1"/>
  <c r="Q404" i="1" l="1"/>
  <c r="R403" i="1"/>
  <c r="S403" i="1" s="1"/>
  <c r="X418" i="1"/>
  <c r="Y418" i="1" s="1"/>
  <c r="Z418" i="1" s="1"/>
  <c r="V420" i="1"/>
  <c r="X419" i="1" l="1"/>
  <c r="V421" i="1"/>
  <c r="R404" i="1"/>
  <c r="S404" i="1" s="1"/>
  <c r="Q405" i="1"/>
  <c r="R405" i="1" l="1"/>
  <c r="S405" i="1" s="1"/>
  <c r="Q406" i="1"/>
  <c r="X420" i="1"/>
  <c r="V422" i="1"/>
  <c r="Y419" i="1"/>
  <c r="Z419" i="1" s="1"/>
  <c r="X421" i="1" l="1"/>
  <c r="V423" i="1"/>
  <c r="Y420" i="1"/>
  <c r="Z420" i="1" s="1"/>
  <c r="Q407" i="1"/>
  <c r="R406" i="1"/>
  <c r="S406" i="1" s="1"/>
  <c r="Q408" i="1" l="1"/>
  <c r="R407" i="1"/>
  <c r="S407" i="1" s="1"/>
  <c r="X422" i="1"/>
  <c r="V424" i="1"/>
  <c r="Y421" i="1"/>
  <c r="Z421" i="1" s="1"/>
  <c r="X423" i="1" l="1"/>
  <c r="V425" i="1"/>
  <c r="Y422" i="1"/>
  <c r="Z422" i="1" s="1"/>
  <c r="Q409" i="1"/>
  <c r="R408" i="1"/>
  <c r="S408" i="1" s="1"/>
  <c r="Q410" i="1" l="1"/>
  <c r="R409" i="1"/>
  <c r="S409" i="1" s="1"/>
  <c r="X424" i="1"/>
  <c r="V426" i="1"/>
  <c r="Y423" i="1"/>
  <c r="Z423" i="1" s="1"/>
  <c r="X425" i="1" l="1"/>
  <c r="V427" i="1"/>
  <c r="Y424" i="1"/>
  <c r="Z424" i="1" s="1"/>
  <c r="Q411" i="1"/>
  <c r="R410" i="1"/>
  <c r="S410" i="1" s="1"/>
  <c r="Y425" i="1" l="1"/>
  <c r="Z425" i="1" s="1"/>
  <c r="Q412" i="1"/>
  <c r="R411" i="1"/>
  <c r="S411" i="1" s="1"/>
  <c r="X426" i="1"/>
  <c r="V428" i="1"/>
  <c r="Y426" i="1" l="1"/>
  <c r="Z426" i="1" s="1"/>
  <c r="X427" i="1"/>
  <c r="V429" i="1"/>
  <c r="Q413" i="1"/>
  <c r="R412" i="1"/>
  <c r="S412" i="1" s="1"/>
  <c r="Y427" i="1" l="1"/>
  <c r="Z427" i="1" s="1"/>
  <c r="Q414" i="1"/>
  <c r="R413" i="1"/>
  <c r="S413" i="1" s="1"/>
  <c r="X428" i="1"/>
  <c r="V430" i="1"/>
  <c r="Y428" i="1" l="1"/>
  <c r="Z428" i="1" s="1"/>
  <c r="X429" i="1"/>
  <c r="V431" i="1"/>
  <c r="Q415" i="1"/>
  <c r="R414" i="1"/>
  <c r="S414" i="1" s="1"/>
  <c r="Y429" i="1" l="1"/>
  <c r="Z429" i="1" s="1"/>
  <c r="Q416" i="1"/>
  <c r="R415" i="1"/>
  <c r="S415" i="1" s="1"/>
  <c r="X430" i="1"/>
  <c r="V432" i="1"/>
  <c r="Y430" i="1" l="1"/>
  <c r="Z430" i="1" s="1"/>
  <c r="X431" i="1"/>
  <c r="V433" i="1"/>
  <c r="Q417" i="1"/>
  <c r="R416" i="1"/>
  <c r="S416" i="1" s="1"/>
  <c r="Y431" i="1" l="1"/>
  <c r="Z431" i="1" s="1"/>
  <c r="Q418" i="1"/>
  <c r="R417" i="1"/>
  <c r="S417" i="1" s="1"/>
  <c r="X432" i="1"/>
  <c r="V434" i="1"/>
  <c r="Y432" i="1" l="1"/>
  <c r="Z432" i="1" s="1"/>
  <c r="X433" i="1"/>
  <c r="V435" i="1"/>
  <c r="Q419" i="1"/>
  <c r="R418" i="1"/>
  <c r="S418" i="1" s="1"/>
  <c r="Q420" i="1" l="1"/>
  <c r="R419" i="1"/>
  <c r="S419" i="1" s="1"/>
  <c r="X434" i="1"/>
  <c r="V436" i="1"/>
  <c r="Y433" i="1"/>
  <c r="Z433" i="1" s="1"/>
  <c r="Y434" i="1" l="1"/>
  <c r="Z434" i="1" s="1"/>
  <c r="X435" i="1"/>
  <c r="V437" i="1"/>
  <c r="Q421" i="1"/>
  <c r="R420" i="1"/>
  <c r="S420" i="1" s="1"/>
  <c r="Y435" i="1" l="1"/>
  <c r="Z435" i="1" s="1"/>
  <c r="Q422" i="1"/>
  <c r="R421" i="1"/>
  <c r="S421" i="1" s="1"/>
  <c r="X436" i="1"/>
  <c r="V438" i="1"/>
  <c r="Y436" i="1" l="1"/>
  <c r="Z436" i="1" s="1"/>
  <c r="X437" i="1"/>
  <c r="V439" i="1"/>
  <c r="R422" i="1"/>
  <c r="S422" i="1" s="1"/>
  <c r="Q423" i="1"/>
  <c r="Y437" i="1" l="1"/>
  <c r="Z437" i="1" s="1"/>
  <c r="Q424" i="1"/>
  <c r="R423" i="1"/>
  <c r="S423" i="1" s="1"/>
  <c r="X438" i="1"/>
  <c r="V440" i="1"/>
  <c r="Y438" i="1" l="1"/>
  <c r="Z438" i="1" s="1"/>
  <c r="X439" i="1"/>
  <c r="V441" i="1"/>
  <c r="Q425" i="1"/>
  <c r="R424" i="1"/>
  <c r="S424" i="1" s="1"/>
  <c r="Y439" i="1" l="1"/>
  <c r="Z439" i="1" s="1"/>
  <c r="Q426" i="1"/>
  <c r="R425" i="1"/>
  <c r="S425" i="1" s="1"/>
  <c r="X440" i="1"/>
  <c r="V442" i="1"/>
  <c r="Y440" i="1" l="1"/>
  <c r="Z440" i="1" s="1"/>
  <c r="X441" i="1"/>
  <c r="V443" i="1"/>
  <c r="Q427" i="1"/>
  <c r="R426" i="1"/>
  <c r="S426" i="1" s="1"/>
  <c r="Y441" i="1" l="1"/>
  <c r="Z441" i="1" s="1"/>
  <c r="Q428" i="1"/>
  <c r="R427" i="1"/>
  <c r="S427" i="1" s="1"/>
  <c r="X442" i="1"/>
  <c r="V444" i="1"/>
  <c r="Y442" i="1" l="1"/>
  <c r="Z442" i="1" s="1"/>
  <c r="X443" i="1"/>
  <c r="V445" i="1"/>
  <c r="Q429" i="1"/>
  <c r="R428" i="1"/>
  <c r="S428" i="1" s="1"/>
  <c r="Y443" i="1" l="1"/>
  <c r="Z443" i="1" s="1"/>
  <c r="Q430" i="1"/>
  <c r="R429" i="1"/>
  <c r="S429" i="1" s="1"/>
  <c r="X444" i="1"/>
  <c r="V446" i="1"/>
  <c r="Y444" i="1" l="1"/>
  <c r="Z444" i="1" s="1"/>
  <c r="X445" i="1"/>
  <c r="Y445" i="1" s="1"/>
  <c r="Z445" i="1" s="1"/>
  <c r="V447" i="1"/>
  <c r="Q431" i="1"/>
  <c r="R430" i="1"/>
  <c r="S430" i="1" s="1"/>
  <c r="Q432" i="1" l="1"/>
  <c r="R431" i="1"/>
  <c r="S431" i="1" s="1"/>
  <c r="X446" i="1"/>
  <c r="Y446" i="1" s="1"/>
  <c r="Z446" i="1" s="1"/>
  <c r="V448" i="1"/>
  <c r="X447" i="1" l="1"/>
  <c r="Y447" i="1" s="1"/>
  <c r="Z447" i="1" s="1"/>
  <c r="V449" i="1"/>
  <c r="Q433" i="1"/>
  <c r="R432" i="1"/>
  <c r="S432" i="1" s="1"/>
  <c r="Q434" i="1" l="1"/>
  <c r="R433" i="1"/>
  <c r="S433" i="1" s="1"/>
  <c r="X448" i="1"/>
  <c r="Y448" i="1" s="1"/>
  <c r="Z448" i="1" s="1"/>
  <c r="V450" i="1"/>
  <c r="X449" i="1" l="1"/>
  <c r="Y449" i="1" s="1"/>
  <c r="Z449" i="1" s="1"/>
  <c r="V451" i="1"/>
  <c r="Q435" i="1"/>
  <c r="R434" i="1"/>
  <c r="S434" i="1" s="1"/>
  <c r="Q436" i="1" l="1"/>
  <c r="R435" i="1"/>
  <c r="S435" i="1" s="1"/>
  <c r="X450" i="1"/>
  <c r="Y450" i="1" s="1"/>
  <c r="Z450" i="1" s="1"/>
  <c r="V452" i="1"/>
  <c r="X451" i="1" l="1"/>
  <c r="Y451" i="1" s="1"/>
  <c r="Z451" i="1" s="1"/>
  <c r="V453" i="1"/>
  <c r="R436" i="1"/>
  <c r="S436" i="1" s="1"/>
  <c r="Q437" i="1"/>
  <c r="Q438" i="1" l="1"/>
  <c r="R437" i="1"/>
  <c r="S437" i="1" s="1"/>
  <c r="X452" i="1"/>
  <c r="Y452" i="1" s="1"/>
  <c r="Z452" i="1" s="1"/>
  <c r="V454" i="1"/>
  <c r="X453" i="1" l="1"/>
  <c r="Y453" i="1" s="1"/>
  <c r="Z453" i="1" s="1"/>
  <c r="V455" i="1"/>
  <c r="Q439" i="1"/>
  <c r="R438" i="1"/>
  <c r="S438" i="1" s="1"/>
  <c r="Q440" i="1" l="1"/>
  <c r="R439" i="1"/>
  <c r="S439" i="1" s="1"/>
  <c r="X454" i="1"/>
  <c r="Y454" i="1" s="1"/>
  <c r="Z454" i="1" s="1"/>
  <c r="V456" i="1"/>
  <c r="X455" i="1" l="1"/>
  <c r="Y455" i="1" s="1"/>
  <c r="Z455" i="1" s="1"/>
  <c r="V457" i="1"/>
  <c r="Q441" i="1"/>
  <c r="R440" i="1"/>
  <c r="S440" i="1" s="1"/>
  <c r="Q442" i="1" l="1"/>
  <c r="R441" i="1"/>
  <c r="S441" i="1" s="1"/>
  <c r="X456" i="1"/>
  <c r="Y456" i="1" s="1"/>
  <c r="Z456" i="1" s="1"/>
  <c r="V458" i="1"/>
  <c r="X457" i="1" l="1"/>
  <c r="Y457" i="1" s="1"/>
  <c r="Z457" i="1" s="1"/>
  <c r="V459" i="1"/>
  <c r="Q443" i="1"/>
  <c r="R442" i="1"/>
  <c r="S442" i="1" s="1"/>
  <c r="Q444" i="1" l="1"/>
  <c r="R443" i="1"/>
  <c r="S443" i="1" s="1"/>
  <c r="X458" i="1"/>
  <c r="Y458" i="1" s="1"/>
  <c r="Z458" i="1" s="1"/>
  <c r="V460" i="1"/>
  <c r="X459" i="1" l="1"/>
  <c r="V461" i="1"/>
  <c r="Q445" i="1"/>
  <c r="R444" i="1"/>
  <c r="S444" i="1" s="1"/>
  <c r="Q446" i="1" l="1"/>
  <c r="R445" i="1"/>
  <c r="S445" i="1" s="1"/>
  <c r="X460" i="1"/>
  <c r="V462" i="1"/>
  <c r="Y459" i="1"/>
  <c r="Z459" i="1" s="1"/>
  <c r="X461" i="1" l="1"/>
  <c r="V463" i="1"/>
  <c r="Y460" i="1"/>
  <c r="Z460" i="1" s="1"/>
  <c r="Q447" i="1"/>
  <c r="R446" i="1"/>
  <c r="S446" i="1" s="1"/>
  <c r="Q448" i="1" l="1"/>
  <c r="R447" i="1"/>
  <c r="S447" i="1" s="1"/>
  <c r="X462" i="1"/>
  <c r="V464" i="1"/>
  <c r="Y461" i="1"/>
  <c r="Z461" i="1" s="1"/>
  <c r="X463" i="1" l="1"/>
  <c r="V465" i="1"/>
  <c r="Y462" i="1"/>
  <c r="Z462" i="1" s="1"/>
  <c r="Q449" i="1"/>
  <c r="R448" i="1"/>
  <c r="S448" i="1" s="1"/>
  <c r="Q450" i="1" l="1"/>
  <c r="R449" i="1"/>
  <c r="S449" i="1" s="1"/>
  <c r="X464" i="1"/>
  <c r="V466" i="1"/>
  <c r="Y463" i="1"/>
  <c r="Z463" i="1" s="1"/>
  <c r="X465" i="1" l="1"/>
  <c r="V467" i="1"/>
  <c r="Y464" i="1"/>
  <c r="Z464" i="1" s="1"/>
  <c r="Q451" i="1"/>
  <c r="R450" i="1"/>
  <c r="S450" i="1" s="1"/>
  <c r="Q452" i="1" l="1"/>
  <c r="R451" i="1"/>
  <c r="S451" i="1" s="1"/>
  <c r="X466" i="1"/>
  <c r="V468" i="1"/>
  <c r="Y465" i="1"/>
  <c r="Z465" i="1" s="1"/>
  <c r="X467" i="1" l="1"/>
  <c r="V469" i="1"/>
  <c r="Y466" i="1"/>
  <c r="Z466" i="1" s="1"/>
  <c r="Q453" i="1"/>
  <c r="R452" i="1"/>
  <c r="S452" i="1" s="1"/>
  <c r="Q454" i="1" l="1"/>
  <c r="R453" i="1"/>
  <c r="S453" i="1" s="1"/>
  <c r="X468" i="1"/>
  <c r="V470" i="1"/>
  <c r="Y467" i="1"/>
  <c r="Z467" i="1" s="1"/>
  <c r="Y468" i="1" l="1"/>
  <c r="Z468" i="1" s="1"/>
  <c r="X469" i="1"/>
  <c r="V471" i="1"/>
  <c r="Q455" i="1"/>
  <c r="R454" i="1"/>
  <c r="S454" i="1" s="1"/>
  <c r="Y469" i="1" l="1"/>
  <c r="Z469" i="1" s="1"/>
  <c r="R455" i="1"/>
  <c r="S455" i="1" s="1"/>
  <c r="Q456" i="1"/>
  <c r="X470" i="1"/>
  <c r="V472" i="1"/>
  <c r="Y470" i="1" l="1"/>
  <c r="Z470" i="1" s="1"/>
  <c r="X471" i="1"/>
  <c r="V473" i="1"/>
  <c r="Q457" i="1"/>
  <c r="R456" i="1"/>
  <c r="S456" i="1" s="1"/>
  <c r="Y471" i="1" l="1"/>
  <c r="Z471" i="1" s="1"/>
  <c r="X472" i="1"/>
  <c r="V474" i="1"/>
  <c r="Q458" i="1"/>
  <c r="R457" i="1"/>
  <c r="S457" i="1" s="1"/>
  <c r="Y472" i="1" l="1"/>
  <c r="Z472" i="1" s="1"/>
  <c r="Q459" i="1"/>
  <c r="R458" i="1"/>
  <c r="S458" i="1" s="1"/>
  <c r="X473" i="1"/>
  <c r="Y473" i="1" s="1"/>
  <c r="Z473" i="1" s="1"/>
  <c r="V475" i="1"/>
  <c r="X474" i="1" l="1"/>
  <c r="Y474" i="1" s="1"/>
  <c r="Z474" i="1" s="1"/>
  <c r="V476" i="1"/>
  <c r="Q460" i="1"/>
  <c r="R459" i="1"/>
  <c r="S459" i="1" s="1"/>
  <c r="Q461" i="1" l="1"/>
  <c r="R460" i="1"/>
  <c r="S460" i="1" s="1"/>
  <c r="X475" i="1"/>
  <c r="Y475" i="1" s="1"/>
  <c r="Z475" i="1" s="1"/>
  <c r="V477" i="1"/>
  <c r="X476" i="1" l="1"/>
  <c r="Y476" i="1" s="1"/>
  <c r="Z476" i="1" s="1"/>
  <c r="V478" i="1"/>
  <c r="Q462" i="1"/>
  <c r="R461" i="1"/>
  <c r="S461" i="1" s="1"/>
  <c r="Q463" i="1" l="1"/>
  <c r="R462" i="1"/>
  <c r="S462" i="1" s="1"/>
  <c r="X477" i="1"/>
  <c r="Y477" i="1" s="1"/>
  <c r="Z477" i="1" s="1"/>
  <c r="V479" i="1"/>
  <c r="X478" i="1" l="1"/>
  <c r="Y478" i="1" s="1"/>
  <c r="Z478" i="1" s="1"/>
  <c r="V480" i="1"/>
  <c r="Q464" i="1"/>
  <c r="R463" i="1"/>
  <c r="S463" i="1" s="1"/>
  <c r="R464" i="1" l="1"/>
  <c r="S464" i="1" s="1"/>
  <c r="Q465" i="1"/>
  <c r="X479" i="1"/>
  <c r="Y479" i="1" s="1"/>
  <c r="Z479" i="1" s="1"/>
  <c r="V481" i="1"/>
  <c r="X480" i="1" l="1"/>
  <c r="Y480" i="1" s="1"/>
  <c r="Z480" i="1" s="1"/>
  <c r="V482" i="1"/>
  <c r="Q466" i="1"/>
  <c r="R465" i="1"/>
  <c r="S465" i="1" s="1"/>
  <c r="Q467" i="1" l="1"/>
  <c r="R466" i="1"/>
  <c r="S466" i="1" s="1"/>
  <c r="X481" i="1"/>
  <c r="Y481" i="1" s="1"/>
  <c r="Z481" i="1" s="1"/>
  <c r="V483" i="1"/>
  <c r="X482" i="1" l="1"/>
  <c r="Y482" i="1" s="1"/>
  <c r="Z482" i="1" s="1"/>
  <c r="V484" i="1"/>
  <c r="Q468" i="1"/>
  <c r="R467" i="1"/>
  <c r="S467" i="1" s="1"/>
  <c r="Q469" i="1" l="1"/>
  <c r="R468" i="1"/>
  <c r="S468" i="1" s="1"/>
  <c r="X483" i="1"/>
  <c r="Y483" i="1" s="1"/>
  <c r="Z483" i="1" s="1"/>
  <c r="V485" i="1"/>
  <c r="X484" i="1" l="1"/>
  <c r="Y484" i="1" s="1"/>
  <c r="Z484" i="1" s="1"/>
  <c r="V486" i="1"/>
  <c r="Q470" i="1"/>
  <c r="R469" i="1"/>
  <c r="S469" i="1" s="1"/>
  <c r="Q471" i="1" l="1"/>
  <c r="R470" i="1"/>
  <c r="S470" i="1" s="1"/>
  <c r="X485" i="1"/>
  <c r="V487" i="1"/>
  <c r="X486" i="1" l="1"/>
  <c r="V488" i="1"/>
  <c r="Y485" i="1"/>
  <c r="Z485" i="1" s="1"/>
  <c r="Q472" i="1"/>
  <c r="R471" i="1"/>
  <c r="S471" i="1" s="1"/>
  <c r="Q473" i="1" l="1"/>
  <c r="R472" i="1"/>
  <c r="S472" i="1" s="1"/>
  <c r="X487" i="1"/>
  <c r="V489" i="1"/>
  <c r="Y486" i="1"/>
  <c r="Z486" i="1" s="1"/>
  <c r="X488" i="1" l="1"/>
  <c r="V490" i="1"/>
  <c r="Y487" i="1"/>
  <c r="Z487" i="1" s="1"/>
  <c r="Q474" i="1"/>
  <c r="R473" i="1"/>
  <c r="S473" i="1" s="1"/>
  <c r="Q475" i="1" l="1"/>
  <c r="R474" i="1"/>
  <c r="S474" i="1" s="1"/>
  <c r="X489" i="1"/>
  <c r="V491" i="1"/>
  <c r="Y488" i="1"/>
  <c r="Z488" i="1" s="1"/>
  <c r="X490" i="1" l="1"/>
  <c r="V492" i="1"/>
  <c r="Y489" i="1"/>
  <c r="Z489" i="1" s="1"/>
  <c r="Q476" i="1"/>
  <c r="R475" i="1"/>
  <c r="S475" i="1" s="1"/>
  <c r="X491" i="1" l="1"/>
  <c r="V493" i="1"/>
  <c r="Q477" i="1"/>
  <c r="R476" i="1"/>
  <c r="S476" i="1" s="1"/>
  <c r="Y490" i="1"/>
  <c r="Z490" i="1" s="1"/>
  <c r="Q478" i="1" l="1"/>
  <c r="R477" i="1"/>
  <c r="S477" i="1" s="1"/>
  <c r="X492" i="1"/>
  <c r="V494" i="1"/>
  <c r="Y491" i="1"/>
  <c r="Z491" i="1" s="1"/>
  <c r="X493" i="1" l="1"/>
  <c r="V495" i="1"/>
  <c r="Y492" i="1"/>
  <c r="Z492" i="1" s="1"/>
  <c r="R478" i="1"/>
  <c r="S478" i="1" s="1"/>
  <c r="Q479" i="1"/>
  <c r="Q480" i="1" l="1"/>
  <c r="R479" i="1"/>
  <c r="S479" i="1" s="1"/>
  <c r="X494" i="1"/>
  <c r="V496" i="1"/>
  <c r="Y493" i="1"/>
  <c r="Z493" i="1" s="1"/>
  <c r="X495" i="1" l="1"/>
  <c r="V497" i="1"/>
  <c r="Y494" i="1"/>
  <c r="Z494" i="1" s="1"/>
  <c r="Q481" i="1"/>
  <c r="R480" i="1"/>
  <c r="S480" i="1" s="1"/>
  <c r="Q482" i="1" l="1"/>
  <c r="R481" i="1"/>
  <c r="S481" i="1" s="1"/>
  <c r="X496" i="1"/>
  <c r="V498" i="1"/>
  <c r="Y495" i="1"/>
  <c r="Z495" i="1" s="1"/>
  <c r="Y496" i="1" l="1"/>
  <c r="Z496" i="1" s="1"/>
  <c r="X497" i="1"/>
  <c r="V499" i="1"/>
  <c r="Q483" i="1"/>
  <c r="R482" i="1"/>
  <c r="S482" i="1" s="1"/>
  <c r="Y497" i="1" l="1"/>
  <c r="Z497" i="1" s="1"/>
  <c r="X498" i="1"/>
  <c r="V500" i="1"/>
  <c r="Q484" i="1"/>
  <c r="R483" i="1"/>
  <c r="S483" i="1" s="1"/>
  <c r="Y498" i="1" l="1"/>
  <c r="Z498" i="1" s="1"/>
  <c r="X499" i="1"/>
  <c r="V501" i="1"/>
  <c r="Q485" i="1"/>
  <c r="R484" i="1"/>
  <c r="S484" i="1" s="1"/>
  <c r="Y499" i="1" l="1"/>
  <c r="Z499" i="1" s="1"/>
  <c r="Q486" i="1"/>
  <c r="R485" i="1"/>
  <c r="S485" i="1" s="1"/>
  <c r="X500" i="1"/>
  <c r="V502" i="1"/>
  <c r="Y500" i="1" l="1"/>
  <c r="Z500" i="1" s="1"/>
  <c r="X501" i="1"/>
  <c r="V503" i="1"/>
  <c r="Q487" i="1"/>
  <c r="R486" i="1"/>
  <c r="S486" i="1" s="1"/>
  <c r="Y501" i="1" l="1"/>
  <c r="Z501" i="1" s="1"/>
  <c r="X502" i="1"/>
  <c r="Y502" i="1" s="1"/>
  <c r="Z502" i="1" s="1"/>
  <c r="V504" i="1"/>
  <c r="Q488" i="1"/>
  <c r="R487" i="1"/>
  <c r="S487" i="1" s="1"/>
  <c r="R488" i="1" l="1"/>
  <c r="S488" i="1" s="1"/>
  <c r="Q489" i="1"/>
  <c r="X503" i="1"/>
  <c r="Y503" i="1" s="1"/>
  <c r="Z503" i="1" s="1"/>
  <c r="V505" i="1"/>
  <c r="X504" i="1" l="1"/>
  <c r="Y504" i="1" s="1"/>
  <c r="Z504" i="1" s="1"/>
  <c r="V506" i="1"/>
  <c r="R489" i="1"/>
  <c r="S489" i="1" s="1"/>
  <c r="Q490" i="1"/>
  <c r="Q491" i="1" l="1"/>
  <c r="R490" i="1"/>
  <c r="S490" i="1" s="1"/>
  <c r="X505" i="1"/>
  <c r="Y505" i="1" s="1"/>
  <c r="Z505" i="1" s="1"/>
  <c r="V507" i="1"/>
  <c r="X506" i="1" l="1"/>
  <c r="Y506" i="1" s="1"/>
  <c r="Z506" i="1" s="1"/>
  <c r="V508" i="1"/>
  <c r="Q492" i="1"/>
  <c r="R491" i="1"/>
  <c r="S491" i="1" s="1"/>
  <c r="Q493" i="1" l="1"/>
  <c r="R492" i="1"/>
  <c r="S492" i="1" s="1"/>
  <c r="X507" i="1"/>
  <c r="Y507" i="1" s="1"/>
  <c r="Z507" i="1" s="1"/>
  <c r="V509" i="1"/>
  <c r="X508" i="1" l="1"/>
  <c r="Y508" i="1" s="1"/>
  <c r="Z508" i="1" s="1"/>
  <c r="V510" i="1"/>
  <c r="Q494" i="1"/>
  <c r="R493" i="1"/>
  <c r="S493" i="1" s="1"/>
  <c r="Q495" i="1" l="1"/>
  <c r="R494" i="1"/>
  <c r="S494" i="1" s="1"/>
  <c r="X509" i="1"/>
  <c r="Y509" i="1" s="1"/>
  <c r="Z509" i="1" s="1"/>
  <c r="V511" i="1"/>
  <c r="X510" i="1" l="1"/>
  <c r="Y510" i="1" s="1"/>
  <c r="Z510" i="1" s="1"/>
  <c r="V512" i="1"/>
  <c r="Q496" i="1"/>
  <c r="R495" i="1"/>
  <c r="S495" i="1" s="1"/>
  <c r="Q497" i="1" l="1"/>
  <c r="R496" i="1"/>
  <c r="S496" i="1" s="1"/>
  <c r="X511" i="1"/>
  <c r="Y511" i="1" s="1"/>
  <c r="Z511" i="1" s="1"/>
  <c r="V513" i="1"/>
  <c r="X512" i="1" l="1"/>
  <c r="V514" i="1"/>
  <c r="X513" i="1" s="1"/>
  <c r="Q498" i="1"/>
  <c r="R497" i="1"/>
  <c r="S497" i="1" s="1"/>
  <c r="Q499" i="1" l="1"/>
  <c r="R498" i="1"/>
  <c r="S498" i="1" s="1"/>
  <c r="Y512" i="1"/>
  <c r="Y513" i="1" s="1"/>
  <c r="Y514" i="1" s="1"/>
  <c r="Z514" i="1" s="1"/>
  <c r="Z512" i="1" l="1"/>
  <c r="Z513" i="1"/>
  <c r="Q500" i="1"/>
  <c r="R499" i="1"/>
  <c r="S499" i="1" s="1"/>
  <c r="Q501" i="1" l="1"/>
  <c r="R500" i="1"/>
  <c r="S500" i="1" s="1"/>
  <c r="Q502" i="1" l="1"/>
  <c r="R501" i="1"/>
  <c r="S501" i="1" s="1"/>
  <c r="Q503" i="1" l="1"/>
  <c r="R502" i="1"/>
  <c r="S502" i="1" s="1"/>
  <c r="Q504" i="1" l="1"/>
  <c r="R503" i="1"/>
  <c r="S503" i="1" s="1"/>
  <c r="Q505" i="1" l="1"/>
  <c r="R504" i="1"/>
  <c r="S504" i="1" s="1"/>
  <c r="Q506" i="1" l="1"/>
  <c r="R505" i="1"/>
  <c r="S505" i="1" s="1"/>
  <c r="Q507" i="1" l="1"/>
  <c r="R506" i="1"/>
  <c r="S506" i="1" s="1"/>
  <c r="Q508" i="1" l="1"/>
  <c r="R507" i="1"/>
  <c r="S507" i="1" s="1"/>
  <c r="Q509" i="1" l="1"/>
  <c r="R508" i="1"/>
  <c r="S508" i="1" s="1"/>
  <c r="Q510" i="1" l="1"/>
  <c r="R509" i="1"/>
  <c r="S509" i="1" s="1"/>
  <c r="Q511" i="1" l="1"/>
  <c r="R510" i="1"/>
  <c r="S510" i="1" s="1"/>
  <c r="Q512" i="1" l="1"/>
  <c r="R511" i="1"/>
  <c r="S511" i="1" s="1"/>
  <c r="Q513" i="1" l="1"/>
  <c r="R512" i="1"/>
  <c r="S512" i="1" s="1"/>
  <c r="Q514" i="1" l="1"/>
  <c r="R514" i="1" s="1"/>
  <c r="S514" i="1" s="1"/>
  <c r="R513" i="1"/>
  <c r="S5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F2E906-BD33-4942-9351-16B4B9BB2612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40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</futureMetadata>
  <cellMetadata count="1">
    <bk>
      <rc t="1" v="0"/>
    </bk>
  </cellMetadata>
  <valueMetadata count="140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</valueMetadata>
</metadata>
</file>

<file path=xl/sharedStrings.xml><?xml version="1.0" encoding="utf-8"?>
<sst xmlns="http://schemas.openxmlformats.org/spreadsheetml/2006/main" count="59" uniqueCount="47">
  <si>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</si>
  <si>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</si>
  <si>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</si>
  <si>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</si>
  <si>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</si>
  <si>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</si>
  <si>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</si>
  <si>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</si>
  <si>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</si>
  <si>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</si>
  <si>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</si>
  <si>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</si>
  <si>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</si>
  <si>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</si>
  <si>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</si>
  <si>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</si>
  <si>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</si>
  <si>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</si>
  <si>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</si>
  <si>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</si>
  <si>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</si>
  <si>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</si>
  <si>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</si>
  <si>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</si>
  <si>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Date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</si>
  <si>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</si>
  <si>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</si>
  <si>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</si>
  <si>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</si>
  <si>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</si>
  <si>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</si>
  <si>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</si>
  <si>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</si>
  <si>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</si>
  <si>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</si>
  <si>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</si>
  <si>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</si>
  <si>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</si>
  <si>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</si>
  <si>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Average Close</t>
  </si>
  <si>
    <t>PI</t>
  </si>
  <si>
    <t>Daily Returns</t>
  </si>
  <si>
    <t>Log Returns</t>
  </si>
  <si>
    <t>Cum Returns</t>
  </si>
  <si>
    <t>Returns</t>
  </si>
  <si>
    <t>AB,AC,AD</t>
  </si>
  <si>
    <t>weekly_average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</si>
</sst>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3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4" fontId="0" fillId="0" borderId="0" xfId="0" applyNumberFormat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10" fontId="0" fillId="0" borderId="0" xfId="1" applyNumberFormat="1" applyFont="1"/>
    <xf numFmtId="10" fontId="2" fillId="10" borderId="0" xfId="1" applyNumberFormat="1" applyFont="1" applyFill="1" applyAlignment="1"/>
    <xf numFmtId="0" fontId="0" fillId="10" borderId="0" xfId="0" applyFill="1"/>
    <xf numFmtId="10" fontId="2" fillId="11" borderId="0" xfId="1" applyNumberFormat="1" applyFont="1" applyFill="1" applyAlignment="1"/>
    <xf numFmtId="0" fontId="0" fillId="12" borderId="0" xfId="0" applyFill="1"/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Data!$S$2:$S$514</c:f>
              <c:numCache>
                <c:formatCode>General</c:formatCode>
                <c:ptCount val="513"/>
                <c:pt idx="13">
                  <c:v>31.45542145685252</c:v>
                </c:pt>
                <c:pt idx="14">
                  <c:v>36.880324118658741</c:v>
                </c:pt>
                <c:pt idx="15">
                  <c:v>31.509139696236886</c:v>
                </c:pt>
                <c:pt idx="16">
                  <c:v>40.078682343494471</c:v>
                </c:pt>
                <c:pt idx="17">
                  <c:v>41.353002016959231</c:v>
                </c:pt>
                <c:pt idx="18">
                  <c:v>45.359043696457725</c:v>
                </c:pt>
                <c:pt idx="19">
                  <c:v>50.582295081197508</c:v>
                </c:pt>
                <c:pt idx="20">
                  <c:v>49.26017551498898</c:v>
                </c:pt>
                <c:pt idx="21">
                  <c:v>56.94298995467512</c:v>
                </c:pt>
                <c:pt idx="22">
                  <c:v>57.668331250683764</c:v>
                </c:pt>
                <c:pt idx="23">
                  <c:v>46.1391538586225</c:v>
                </c:pt>
                <c:pt idx="24">
                  <c:v>54.660135408158965</c:v>
                </c:pt>
                <c:pt idx="25">
                  <c:v>63.988522981490661</c:v>
                </c:pt>
                <c:pt idx="26">
                  <c:v>64.313216889287915</c:v>
                </c:pt>
                <c:pt idx="27">
                  <c:v>61.333467438447634</c:v>
                </c:pt>
                <c:pt idx="28">
                  <c:v>64.843028074470553</c:v>
                </c:pt>
                <c:pt idx="29">
                  <c:v>59.069206702630098</c:v>
                </c:pt>
                <c:pt idx="30">
                  <c:v>56.887540286710056</c:v>
                </c:pt>
                <c:pt idx="31">
                  <c:v>56.14255044092576</c:v>
                </c:pt>
                <c:pt idx="32">
                  <c:v>52.104646239685444</c:v>
                </c:pt>
                <c:pt idx="33">
                  <c:v>51.203377377893943</c:v>
                </c:pt>
                <c:pt idx="34">
                  <c:v>49.186534003094735</c:v>
                </c:pt>
                <c:pt idx="35">
                  <c:v>48.811810631799574</c:v>
                </c:pt>
                <c:pt idx="36">
                  <c:v>49.228363762972215</c:v>
                </c:pt>
                <c:pt idx="37">
                  <c:v>45.431737116263221</c:v>
                </c:pt>
                <c:pt idx="38">
                  <c:v>46.599272756590395</c:v>
                </c:pt>
                <c:pt idx="39">
                  <c:v>53.085249181011527</c:v>
                </c:pt>
                <c:pt idx="40">
                  <c:v>55.784951313282868</c:v>
                </c:pt>
                <c:pt idx="41">
                  <c:v>55.978963157737439</c:v>
                </c:pt>
                <c:pt idx="42">
                  <c:v>61.305792824456837</c:v>
                </c:pt>
                <c:pt idx="43">
                  <c:v>57.194115548336171</c:v>
                </c:pt>
                <c:pt idx="44">
                  <c:v>52.457431968305549</c:v>
                </c:pt>
                <c:pt idx="45">
                  <c:v>53.086434144957124</c:v>
                </c:pt>
                <c:pt idx="46">
                  <c:v>47.869690170352378</c:v>
                </c:pt>
                <c:pt idx="47">
                  <c:v>46.376079247686611</c:v>
                </c:pt>
                <c:pt idx="48">
                  <c:v>46.376079247686619</c:v>
                </c:pt>
                <c:pt idx="49">
                  <c:v>52.729240457967464</c:v>
                </c:pt>
                <c:pt idx="50">
                  <c:v>46.160657840684735</c:v>
                </c:pt>
                <c:pt idx="51">
                  <c:v>45.737126099144461</c:v>
                </c:pt>
                <c:pt idx="52">
                  <c:v>48.771664083841479</c:v>
                </c:pt>
                <c:pt idx="53">
                  <c:v>51.681622688062163</c:v>
                </c:pt>
                <c:pt idx="54">
                  <c:v>62.998978377775124</c:v>
                </c:pt>
                <c:pt idx="55">
                  <c:v>63.307750420584483</c:v>
                </c:pt>
                <c:pt idx="56">
                  <c:v>63.025984524161423</c:v>
                </c:pt>
                <c:pt idx="57">
                  <c:v>62.722282837192957</c:v>
                </c:pt>
                <c:pt idx="58">
                  <c:v>50.693093883075036</c:v>
                </c:pt>
                <c:pt idx="59">
                  <c:v>61.430606596910557</c:v>
                </c:pt>
                <c:pt idx="60">
                  <c:v>64.393371382538902</c:v>
                </c:pt>
                <c:pt idx="61">
                  <c:v>64.527557453527976</c:v>
                </c:pt>
                <c:pt idx="62">
                  <c:v>64.266733489091635</c:v>
                </c:pt>
                <c:pt idx="63">
                  <c:v>69.199097671804026</c:v>
                </c:pt>
                <c:pt idx="64">
                  <c:v>58.804129419631352</c:v>
                </c:pt>
                <c:pt idx="65">
                  <c:v>59.837739198173608</c:v>
                </c:pt>
                <c:pt idx="66">
                  <c:v>61.757405342619158</c:v>
                </c:pt>
                <c:pt idx="67">
                  <c:v>63.628165115829113</c:v>
                </c:pt>
                <c:pt idx="68">
                  <c:v>53.264116770687778</c:v>
                </c:pt>
                <c:pt idx="69">
                  <c:v>52.877313238439754</c:v>
                </c:pt>
                <c:pt idx="70">
                  <c:v>45.271514318928567</c:v>
                </c:pt>
                <c:pt idx="71">
                  <c:v>39.820329184428999</c:v>
                </c:pt>
                <c:pt idx="72">
                  <c:v>38.004546926378694</c:v>
                </c:pt>
                <c:pt idx="73">
                  <c:v>37.349689900510363</c:v>
                </c:pt>
                <c:pt idx="74">
                  <c:v>37.811756977812344</c:v>
                </c:pt>
                <c:pt idx="75">
                  <c:v>39.724325779966783</c:v>
                </c:pt>
                <c:pt idx="76">
                  <c:v>53.864737061217632</c:v>
                </c:pt>
                <c:pt idx="77">
                  <c:v>54.791569548265976</c:v>
                </c:pt>
                <c:pt idx="78">
                  <c:v>54.953174890624069</c:v>
                </c:pt>
                <c:pt idx="79">
                  <c:v>56.468251944298878</c:v>
                </c:pt>
                <c:pt idx="80">
                  <c:v>51.308315434178304</c:v>
                </c:pt>
                <c:pt idx="81">
                  <c:v>50.512189076566756</c:v>
                </c:pt>
                <c:pt idx="82">
                  <c:v>40.395552249637568</c:v>
                </c:pt>
                <c:pt idx="83">
                  <c:v>41.447788255075523</c:v>
                </c:pt>
                <c:pt idx="84">
                  <c:v>47.263698648812166</c:v>
                </c:pt>
                <c:pt idx="85">
                  <c:v>46.241145910431626</c:v>
                </c:pt>
                <c:pt idx="86">
                  <c:v>47.665116970234656</c:v>
                </c:pt>
                <c:pt idx="87">
                  <c:v>42.015234266756273</c:v>
                </c:pt>
                <c:pt idx="88">
                  <c:v>41.69243619615434</c:v>
                </c:pt>
                <c:pt idx="89">
                  <c:v>41.350309011521261</c:v>
                </c:pt>
                <c:pt idx="90">
                  <c:v>38.943023237573691</c:v>
                </c:pt>
                <c:pt idx="91">
                  <c:v>47.009893699924376</c:v>
                </c:pt>
                <c:pt idx="92">
                  <c:v>49.342804494819241</c:v>
                </c:pt>
                <c:pt idx="93">
                  <c:v>46.726471032212622</c:v>
                </c:pt>
                <c:pt idx="94">
                  <c:v>48.314081953350843</c:v>
                </c:pt>
                <c:pt idx="95">
                  <c:v>46.193734519637133</c:v>
                </c:pt>
                <c:pt idx="96">
                  <c:v>43.520208622357259</c:v>
                </c:pt>
                <c:pt idx="97">
                  <c:v>43.520208622357252</c:v>
                </c:pt>
                <c:pt idx="98">
                  <c:v>40.980260998653392</c:v>
                </c:pt>
                <c:pt idx="99">
                  <c:v>43.352844036243006</c:v>
                </c:pt>
                <c:pt idx="100">
                  <c:v>44.845568340790933</c:v>
                </c:pt>
                <c:pt idx="101">
                  <c:v>35.242714568904049</c:v>
                </c:pt>
                <c:pt idx="102">
                  <c:v>33.321691774078658</c:v>
                </c:pt>
                <c:pt idx="103">
                  <c:v>39.533956837205714</c:v>
                </c:pt>
                <c:pt idx="104">
                  <c:v>48.406981733069493</c:v>
                </c:pt>
                <c:pt idx="105">
                  <c:v>49.732091865953826</c:v>
                </c:pt>
                <c:pt idx="106">
                  <c:v>46.317901921792306</c:v>
                </c:pt>
                <c:pt idx="107">
                  <c:v>47.292716316847248</c:v>
                </c:pt>
                <c:pt idx="108">
                  <c:v>47.292716316847248</c:v>
                </c:pt>
                <c:pt idx="109">
                  <c:v>49.420440701712643</c:v>
                </c:pt>
                <c:pt idx="110">
                  <c:v>55.04072793885107</c:v>
                </c:pt>
                <c:pt idx="111">
                  <c:v>48.260189567012468</c:v>
                </c:pt>
                <c:pt idx="112">
                  <c:v>47.559648196921415</c:v>
                </c:pt>
                <c:pt idx="113">
                  <c:v>44.323067371310614</c:v>
                </c:pt>
                <c:pt idx="114">
                  <c:v>39.55971347190529</c:v>
                </c:pt>
                <c:pt idx="115">
                  <c:v>43.537150490340984</c:v>
                </c:pt>
                <c:pt idx="116">
                  <c:v>42.047210841808614</c:v>
                </c:pt>
                <c:pt idx="117">
                  <c:v>46.550198842692339</c:v>
                </c:pt>
                <c:pt idx="118">
                  <c:v>44.237514354998218</c:v>
                </c:pt>
                <c:pt idx="119">
                  <c:v>53.865129256634603</c:v>
                </c:pt>
                <c:pt idx="120">
                  <c:v>50.494219106594997</c:v>
                </c:pt>
                <c:pt idx="121">
                  <c:v>50.966644007992194</c:v>
                </c:pt>
                <c:pt idx="122">
                  <c:v>53.812233090779507</c:v>
                </c:pt>
                <c:pt idx="123">
                  <c:v>60.232917080648264</c:v>
                </c:pt>
                <c:pt idx="124">
                  <c:v>64.051764325195592</c:v>
                </c:pt>
                <c:pt idx="125">
                  <c:v>65.819983358504061</c:v>
                </c:pt>
                <c:pt idx="126">
                  <c:v>65.819983358504061</c:v>
                </c:pt>
                <c:pt idx="127">
                  <c:v>64.81286017328506</c:v>
                </c:pt>
                <c:pt idx="128">
                  <c:v>67.327732742216867</c:v>
                </c:pt>
                <c:pt idx="129">
                  <c:v>64.489282751198232</c:v>
                </c:pt>
                <c:pt idx="130">
                  <c:v>69.205312170311743</c:v>
                </c:pt>
                <c:pt idx="131">
                  <c:v>73.426308798313059</c:v>
                </c:pt>
                <c:pt idx="132">
                  <c:v>79.167264962897704</c:v>
                </c:pt>
                <c:pt idx="133">
                  <c:v>80.766086513667929</c:v>
                </c:pt>
                <c:pt idx="134">
                  <c:v>81.95880649075994</c:v>
                </c:pt>
                <c:pt idx="135">
                  <c:v>82.611313250210316</c:v>
                </c:pt>
                <c:pt idx="136">
                  <c:v>83.123081727921345</c:v>
                </c:pt>
                <c:pt idx="137">
                  <c:v>66.071981650760577</c:v>
                </c:pt>
                <c:pt idx="138">
                  <c:v>67.818251835477554</c:v>
                </c:pt>
                <c:pt idx="139">
                  <c:v>60.834449171069167</c:v>
                </c:pt>
                <c:pt idx="140">
                  <c:v>57.326052589745686</c:v>
                </c:pt>
                <c:pt idx="141">
                  <c:v>29.038772950892977</c:v>
                </c:pt>
                <c:pt idx="142">
                  <c:v>29.487756444915874</c:v>
                </c:pt>
                <c:pt idx="143">
                  <c:v>28.332059171380394</c:v>
                </c:pt>
                <c:pt idx="144">
                  <c:v>27.246316126752873</c:v>
                </c:pt>
                <c:pt idx="145">
                  <c:v>27.114549243527719</c:v>
                </c:pt>
                <c:pt idx="146">
                  <c:v>26.227704165090245</c:v>
                </c:pt>
                <c:pt idx="147">
                  <c:v>22.247644656196869</c:v>
                </c:pt>
                <c:pt idx="148">
                  <c:v>20.614539135309542</c:v>
                </c:pt>
                <c:pt idx="149">
                  <c:v>21.964293739738082</c:v>
                </c:pt>
                <c:pt idx="150">
                  <c:v>21.906658164131088</c:v>
                </c:pt>
                <c:pt idx="151">
                  <c:v>29.079118537739205</c:v>
                </c:pt>
                <c:pt idx="152">
                  <c:v>28.841593742816229</c:v>
                </c:pt>
                <c:pt idx="153">
                  <c:v>26.943881193648636</c:v>
                </c:pt>
                <c:pt idx="154">
                  <c:v>32.52282598199001</c:v>
                </c:pt>
                <c:pt idx="155">
                  <c:v>33.306937475679433</c:v>
                </c:pt>
                <c:pt idx="156">
                  <c:v>38.673306665292934</c:v>
                </c:pt>
                <c:pt idx="157">
                  <c:v>39.607869318851868</c:v>
                </c:pt>
                <c:pt idx="158">
                  <c:v>43.503186985415311</c:v>
                </c:pt>
                <c:pt idx="159">
                  <c:v>42.934711803828911</c:v>
                </c:pt>
                <c:pt idx="160">
                  <c:v>46.154195431843604</c:v>
                </c:pt>
                <c:pt idx="161">
                  <c:v>47.46600944434811</c:v>
                </c:pt>
                <c:pt idx="162">
                  <c:v>53.56615892185571</c:v>
                </c:pt>
                <c:pt idx="163">
                  <c:v>50.669340003808109</c:v>
                </c:pt>
                <c:pt idx="164">
                  <c:v>51.20343186259543</c:v>
                </c:pt>
                <c:pt idx="165">
                  <c:v>49.290958061607256</c:v>
                </c:pt>
                <c:pt idx="166">
                  <c:v>50.678668613471807</c:v>
                </c:pt>
                <c:pt idx="167">
                  <c:v>52.286879454894247</c:v>
                </c:pt>
                <c:pt idx="168">
                  <c:v>47.876931680940316</c:v>
                </c:pt>
                <c:pt idx="169">
                  <c:v>47.264243285511668</c:v>
                </c:pt>
                <c:pt idx="170">
                  <c:v>43.650717818691817</c:v>
                </c:pt>
                <c:pt idx="171">
                  <c:v>40.161183413860599</c:v>
                </c:pt>
                <c:pt idx="172">
                  <c:v>42.256029091013858</c:v>
                </c:pt>
                <c:pt idx="173">
                  <c:v>36.423407631486789</c:v>
                </c:pt>
                <c:pt idx="174">
                  <c:v>39.843192821702054</c:v>
                </c:pt>
                <c:pt idx="175">
                  <c:v>44.077286582973798</c:v>
                </c:pt>
                <c:pt idx="176">
                  <c:v>45.770150531066626</c:v>
                </c:pt>
                <c:pt idx="177">
                  <c:v>48.411231429339551</c:v>
                </c:pt>
                <c:pt idx="178">
                  <c:v>50.762142005736031</c:v>
                </c:pt>
                <c:pt idx="179">
                  <c:v>52.619945147034421</c:v>
                </c:pt>
                <c:pt idx="180">
                  <c:v>51.06184810638932</c:v>
                </c:pt>
                <c:pt idx="181">
                  <c:v>50.001575470536942</c:v>
                </c:pt>
                <c:pt idx="182">
                  <c:v>50.826971040076749</c:v>
                </c:pt>
                <c:pt idx="183">
                  <c:v>49.648097250909338</c:v>
                </c:pt>
                <c:pt idx="184">
                  <c:v>38.765852385033625</c:v>
                </c:pt>
                <c:pt idx="185">
                  <c:v>46.113874497279888</c:v>
                </c:pt>
                <c:pt idx="186">
                  <c:v>48.66824149156804</c:v>
                </c:pt>
                <c:pt idx="187">
                  <c:v>43.756293420797618</c:v>
                </c:pt>
                <c:pt idx="188">
                  <c:v>48.581291189127178</c:v>
                </c:pt>
                <c:pt idx="189">
                  <c:v>42.944116577871227</c:v>
                </c:pt>
                <c:pt idx="190">
                  <c:v>42.35645515079419</c:v>
                </c:pt>
                <c:pt idx="191">
                  <c:v>45.567835054503931</c:v>
                </c:pt>
                <c:pt idx="192">
                  <c:v>43.813898397006412</c:v>
                </c:pt>
                <c:pt idx="193">
                  <c:v>43.813898397006412</c:v>
                </c:pt>
                <c:pt idx="194">
                  <c:v>47.61260239057939</c:v>
                </c:pt>
                <c:pt idx="195">
                  <c:v>49.313679664360556</c:v>
                </c:pt>
                <c:pt idx="196">
                  <c:v>50.470302562695281</c:v>
                </c:pt>
                <c:pt idx="197">
                  <c:v>55.885296140213207</c:v>
                </c:pt>
                <c:pt idx="198">
                  <c:v>53.372351451513445</c:v>
                </c:pt>
                <c:pt idx="199">
                  <c:v>58.183856124379993</c:v>
                </c:pt>
                <c:pt idx="200">
                  <c:v>59.140541861155853</c:v>
                </c:pt>
                <c:pt idx="201">
                  <c:v>59.880640802461343</c:v>
                </c:pt>
                <c:pt idx="202">
                  <c:v>52.381739092864123</c:v>
                </c:pt>
                <c:pt idx="203">
                  <c:v>58.265057795954455</c:v>
                </c:pt>
                <c:pt idx="204">
                  <c:v>56.626969170823322</c:v>
                </c:pt>
                <c:pt idx="205">
                  <c:v>60.891609894845111</c:v>
                </c:pt>
                <c:pt idx="206">
                  <c:v>55.357404132235729</c:v>
                </c:pt>
                <c:pt idx="207">
                  <c:v>61.931921766340992</c:v>
                </c:pt>
                <c:pt idx="208">
                  <c:v>41.079776506570646</c:v>
                </c:pt>
                <c:pt idx="209">
                  <c:v>42.386526552071921</c:v>
                </c:pt>
                <c:pt idx="210">
                  <c:v>39.553966659216648</c:v>
                </c:pt>
                <c:pt idx="211">
                  <c:v>38.477264342905549</c:v>
                </c:pt>
                <c:pt idx="212">
                  <c:v>41.884574776315084</c:v>
                </c:pt>
                <c:pt idx="213">
                  <c:v>47.274830937685323</c:v>
                </c:pt>
                <c:pt idx="214">
                  <c:v>57.669833057329186</c:v>
                </c:pt>
                <c:pt idx="215">
                  <c:v>53.260985533324778</c:v>
                </c:pt>
                <c:pt idx="216">
                  <c:v>53.428649090689483</c:v>
                </c:pt>
                <c:pt idx="217">
                  <c:v>57.655404731617516</c:v>
                </c:pt>
                <c:pt idx="218">
                  <c:v>54.969062598448524</c:v>
                </c:pt>
                <c:pt idx="219">
                  <c:v>54.969062598448517</c:v>
                </c:pt>
                <c:pt idx="220">
                  <c:v>54.292386142520648</c:v>
                </c:pt>
                <c:pt idx="221">
                  <c:v>52.887736970033743</c:v>
                </c:pt>
                <c:pt idx="222">
                  <c:v>56.889529926120304</c:v>
                </c:pt>
                <c:pt idx="223">
                  <c:v>53.010675230586223</c:v>
                </c:pt>
                <c:pt idx="224">
                  <c:v>46.22456670833386</c:v>
                </c:pt>
                <c:pt idx="225">
                  <c:v>47.796933771906204</c:v>
                </c:pt>
                <c:pt idx="226">
                  <c:v>55.426721358317863</c:v>
                </c:pt>
                <c:pt idx="227">
                  <c:v>59.150428151611514</c:v>
                </c:pt>
                <c:pt idx="228">
                  <c:v>52.68791304343975</c:v>
                </c:pt>
                <c:pt idx="229">
                  <c:v>52.68791304343975</c:v>
                </c:pt>
                <c:pt idx="230">
                  <c:v>53.279312390182966</c:v>
                </c:pt>
                <c:pt idx="231">
                  <c:v>49.917230829937083</c:v>
                </c:pt>
                <c:pt idx="232">
                  <c:v>46.54221680195581</c:v>
                </c:pt>
                <c:pt idx="233">
                  <c:v>44.908297707286778</c:v>
                </c:pt>
                <c:pt idx="234">
                  <c:v>39.329109698895913</c:v>
                </c:pt>
                <c:pt idx="235">
                  <c:v>41.16571298358528</c:v>
                </c:pt>
                <c:pt idx="236">
                  <c:v>43.53288475628478</c:v>
                </c:pt>
                <c:pt idx="237">
                  <c:v>42.709931186147614</c:v>
                </c:pt>
                <c:pt idx="238">
                  <c:v>39.683423136439529</c:v>
                </c:pt>
                <c:pt idx="239">
                  <c:v>39.28330746680539</c:v>
                </c:pt>
                <c:pt idx="240">
                  <c:v>39.283307466805383</c:v>
                </c:pt>
                <c:pt idx="241">
                  <c:v>31.843586625565763</c:v>
                </c:pt>
                <c:pt idx="242">
                  <c:v>31.521809217046481</c:v>
                </c:pt>
                <c:pt idx="243">
                  <c:v>27.356961705470098</c:v>
                </c:pt>
                <c:pt idx="244">
                  <c:v>29.156489728395101</c:v>
                </c:pt>
                <c:pt idx="245">
                  <c:v>34.081854424595164</c:v>
                </c:pt>
                <c:pt idx="246">
                  <c:v>34.779959947890802</c:v>
                </c:pt>
                <c:pt idx="247">
                  <c:v>38.95386549444423</c:v>
                </c:pt>
                <c:pt idx="248">
                  <c:v>40.657693935779065</c:v>
                </c:pt>
                <c:pt idx="249">
                  <c:v>39.702049311589555</c:v>
                </c:pt>
                <c:pt idx="250">
                  <c:v>36.263333960397709</c:v>
                </c:pt>
                <c:pt idx="251">
                  <c:v>37.047059279140143</c:v>
                </c:pt>
                <c:pt idx="252">
                  <c:v>31.78841826524237</c:v>
                </c:pt>
                <c:pt idx="253">
                  <c:v>40.198179764383951</c:v>
                </c:pt>
                <c:pt idx="254">
                  <c:v>41.548770275606188</c:v>
                </c:pt>
                <c:pt idx="255">
                  <c:v>37.867135029923055</c:v>
                </c:pt>
                <c:pt idx="256">
                  <c:v>37.420490101314996</c:v>
                </c:pt>
                <c:pt idx="257">
                  <c:v>35.398244662045983</c:v>
                </c:pt>
                <c:pt idx="258">
                  <c:v>37.812407604162658</c:v>
                </c:pt>
                <c:pt idx="259">
                  <c:v>40.599361584690648</c:v>
                </c:pt>
                <c:pt idx="260">
                  <c:v>46.830276981968368</c:v>
                </c:pt>
                <c:pt idx="261">
                  <c:v>48.867319329166023</c:v>
                </c:pt>
                <c:pt idx="262">
                  <c:v>54.225831803041359</c:v>
                </c:pt>
                <c:pt idx="263">
                  <c:v>60.737444799338952</c:v>
                </c:pt>
                <c:pt idx="264">
                  <c:v>48.778086647465649</c:v>
                </c:pt>
                <c:pt idx="265">
                  <c:v>52.081648637733082</c:v>
                </c:pt>
                <c:pt idx="266">
                  <c:v>50.991476233976641</c:v>
                </c:pt>
                <c:pt idx="267">
                  <c:v>57.250420138853777</c:v>
                </c:pt>
                <c:pt idx="268">
                  <c:v>49.408709798016154</c:v>
                </c:pt>
                <c:pt idx="269">
                  <c:v>52.449052236357765</c:v>
                </c:pt>
                <c:pt idx="270">
                  <c:v>51.17598090391315</c:v>
                </c:pt>
                <c:pt idx="271">
                  <c:v>49.119544775513766</c:v>
                </c:pt>
                <c:pt idx="272">
                  <c:v>44.544998066944196</c:v>
                </c:pt>
                <c:pt idx="273">
                  <c:v>51.464171741479802</c:v>
                </c:pt>
                <c:pt idx="274">
                  <c:v>47.888520679802653</c:v>
                </c:pt>
                <c:pt idx="275">
                  <c:v>34.855592416634153</c:v>
                </c:pt>
                <c:pt idx="276">
                  <c:v>34.585050413941588</c:v>
                </c:pt>
                <c:pt idx="277">
                  <c:v>34.585050413941588</c:v>
                </c:pt>
                <c:pt idx="278">
                  <c:v>34.125047426449569</c:v>
                </c:pt>
                <c:pt idx="279">
                  <c:v>34.749194601632695</c:v>
                </c:pt>
                <c:pt idx="280">
                  <c:v>38.510478885191318</c:v>
                </c:pt>
                <c:pt idx="281">
                  <c:v>42.383939738732266</c:v>
                </c:pt>
                <c:pt idx="282">
                  <c:v>41.50338628825849</c:v>
                </c:pt>
                <c:pt idx="283">
                  <c:v>43.094864003290141</c:v>
                </c:pt>
                <c:pt idx="284">
                  <c:v>44.714675155599679</c:v>
                </c:pt>
                <c:pt idx="285">
                  <c:v>41.889621384886205</c:v>
                </c:pt>
                <c:pt idx="286">
                  <c:v>44.301259032525017</c:v>
                </c:pt>
                <c:pt idx="287">
                  <c:v>46.684124788225155</c:v>
                </c:pt>
                <c:pt idx="288">
                  <c:v>48.382780833234506</c:v>
                </c:pt>
                <c:pt idx="289">
                  <c:v>43.063581815203008</c:v>
                </c:pt>
                <c:pt idx="290">
                  <c:v>51.378684958984699</c:v>
                </c:pt>
                <c:pt idx="291">
                  <c:v>46.844802770111592</c:v>
                </c:pt>
                <c:pt idx="292">
                  <c:v>40.370669137924217</c:v>
                </c:pt>
                <c:pt idx="293">
                  <c:v>53.852892504514912</c:v>
                </c:pt>
                <c:pt idx="294">
                  <c:v>52.881105882610136</c:v>
                </c:pt>
                <c:pt idx="295">
                  <c:v>58.699931512642017</c:v>
                </c:pt>
                <c:pt idx="296">
                  <c:v>59.805894413593506</c:v>
                </c:pt>
                <c:pt idx="297">
                  <c:v>52.936167403948275</c:v>
                </c:pt>
                <c:pt idx="298">
                  <c:v>50.617098485079687</c:v>
                </c:pt>
                <c:pt idx="299">
                  <c:v>49.223712432743334</c:v>
                </c:pt>
                <c:pt idx="300">
                  <c:v>53.790099050443409</c:v>
                </c:pt>
                <c:pt idx="301">
                  <c:v>57.683505188243579</c:v>
                </c:pt>
                <c:pt idx="302">
                  <c:v>58.281199091766453</c:v>
                </c:pt>
                <c:pt idx="303">
                  <c:v>62.467780116947921</c:v>
                </c:pt>
                <c:pt idx="304">
                  <c:v>57.91573807996452</c:v>
                </c:pt>
                <c:pt idx="305">
                  <c:v>57.633063602658289</c:v>
                </c:pt>
                <c:pt idx="306">
                  <c:v>62.553723353858153</c:v>
                </c:pt>
                <c:pt idx="307">
                  <c:v>63.288413299633071</c:v>
                </c:pt>
                <c:pt idx="308">
                  <c:v>63.481314656236918</c:v>
                </c:pt>
                <c:pt idx="309">
                  <c:v>51.76451617864933</c:v>
                </c:pt>
                <c:pt idx="310">
                  <c:v>47.514537496784044</c:v>
                </c:pt>
                <c:pt idx="311">
                  <c:v>54.450574040442909</c:v>
                </c:pt>
                <c:pt idx="312">
                  <c:v>52.290060524531555</c:v>
                </c:pt>
                <c:pt idx="313">
                  <c:v>56.615684315121037</c:v>
                </c:pt>
                <c:pt idx="314">
                  <c:v>44.106304597556537</c:v>
                </c:pt>
                <c:pt idx="315">
                  <c:v>44.965026647660778</c:v>
                </c:pt>
                <c:pt idx="316">
                  <c:v>39.421047812390114</c:v>
                </c:pt>
                <c:pt idx="317">
                  <c:v>32.45090102525775</c:v>
                </c:pt>
                <c:pt idx="318">
                  <c:v>47.244890412226376</c:v>
                </c:pt>
                <c:pt idx="319">
                  <c:v>42.762300880434459</c:v>
                </c:pt>
                <c:pt idx="320">
                  <c:v>45.691044531993441</c:v>
                </c:pt>
                <c:pt idx="321">
                  <c:v>51.082188069108497</c:v>
                </c:pt>
                <c:pt idx="322">
                  <c:v>47.600458651174861</c:v>
                </c:pt>
                <c:pt idx="323">
                  <c:v>46.937890685879999</c:v>
                </c:pt>
                <c:pt idx="324">
                  <c:v>50.360735061048707</c:v>
                </c:pt>
                <c:pt idx="325">
                  <c:v>48.039200034564658</c:v>
                </c:pt>
                <c:pt idx="326">
                  <c:v>50.78768988783154</c:v>
                </c:pt>
                <c:pt idx="327">
                  <c:v>52.732324817725107</c:v>
                </c:pt>
                <c:pt idx="328">
                  <c:v>56.700966547208573</c:v>
                </c:pt>
                <c:pt idx="329">
                  <c:v>56.337111106735257</c:v>
                </c:pt>
                <c:pt idx="330">
                  <c:v>55.950453370225411</c:v>
                </c:pt>
                <c:pt idx="331">
                  <c:v>57.969714614701999</c:v>
                </c:pt>
                <c:pt idx="332">
                  <c:v>55.043370123161736</c:v>
                </c:pt>
                <c:pt idx="333">
                  <c:v>57.827317869669287</c:v>
                </c:pt>
                <c:pt idx="334">
                  <c:v>59.419245115090405</c:v>
                </c:pt>
                <c:pt idx="335">
                  <c:v>56.87594289039977</c:v>
                </c:pt>
                <c:pt idx="336">
                  <c:v>61.259184062588197</c:v>
                </c:pt>
                <c:pt idx="337">
                  <c:v>57.527602560722798</c:v>
                </c:pt>
                <c:pt idx="338">
                  <c:v>57.527602560722791</c:v>
                </c:pt>
                <c:pt idx="339">
                  <c:v>60.16586365030701</c:v>
                </c:pt>
                <c:pt idx="340">
                  <c:v>62.18934792454062</c:v>
                </c:pt>
                <c:pt idx="341">
                  <c:v>63.031991520946839</c:v>
                </c:pt>
                <c:pt idx="342">
                  <c:v>63.898435452702088</c:v>
                </c:pt>
                <c:pt idx="343">
                  <c:v>65.633305126164075</c:v>
                </c:pt>
                <c:pt idx="344">
                  <c:v>66.500144156712679</c:v>
                </c:pt>
                <c:pt idx="345">
                  <c:v>64.741538799683283</c:v>
                </c:pt>
                <c:pt idx="346">
                  <c:v>63.653845669392801</c:v>
                </c:pt>
                <c:pt idx="347">
                  <c:v>55.605351581691679</c:v>
                </c:pt>
                <c:pt idx="348">
                  <c:v>54.371411634511006</c:v>
                </c:pt>
                <c:pt idx="349">
                  <c:v>51.891215883794537</c:v>
                </c:pt>
                <c:pt idx="350">
                  <c:v>50.34546187792742</c:v>
                </c:pt>
                <c:pt idx="351">
                  <c:v>46.195983850010307</c:v>
                </c:pt>
                <c:pt idx="352">
                  <c:v>47.849167263669678</c:v>
                </c:pt>
                <c:pt idx="353">
                  <c:v>52.842513238953288</c:v>
                </c:pt>
                <c:pt idx="354">
                  <c:v>42.012407993994046</c:v>
                </c:pt>
                <c:pt idx="355">
                  <c:v>48.034014431420601</c:v>
                </c:pt>
                <c:pt idx="356">
                  <c:v>49.381795711338739</c:v>
                </c:pt>
                <c:pt idx="357">
                  <c:v>45.799941619902128</c:v>
                </c:pt>
                <c:pt idx="358">
                  <c:v>50.241965222563628</c:v>
                </c:pt>
                <c:pt idx="359">
                  <c:v>52.34498986432083</c:v>
                </c:pt>
                <c:pt idx="360">
                  <c:v>58.486048697305982</c:v>
                </c:pt>
                <c:pt idx="361">
                  <c:v>59.774300855498836</c:v>
                </c:pt>
                <c:pt idx="362">
                  <c:v>55.738420785275856</c:v>
                </c:pt>
                <c:pt idx="363">
                  <c:v>52.78596409106212</c:v>
                </c:pt>
                <c:pt idx="364">
                  <c:v>57.402836201872489</c:v>
                </c:pt>
                <c:pt idx="365">
                  <c:v>51.674671210406252</c:v>
                </c:pt>
                <c:pt idx="366">
                  <c:v>51.932947386781919</c:v>
                </c:pt>
                <c:pt idx="367">
                  <c:v>55.986194796638571</c:v>
                </c:pt>
                <c:pt idx="368">
                  <c:v>59.650398074871951</c:v>
                </c:pt>
                <c:pt idx="369">
                  <c:v>58.989311006497232</c:v>
                </c:pt>
                <c:pt idx="370">
                  <c:v>51.331203499744284</c:v>
                </c:pt>
                <c:pt idx="371">
                  <c:v>55.097820726942068</c:v>
                </c:pt>
                <c:pt idx="372">
                  <c:v>58.973172761763614</c:v>
                </c:pt>
                <c:pt idx="373">
                  <c:v>60.064875866175193</c:v>
                </c:pt>
                <c:pt idx="374">
                  <c:v>68.959856651676319</c:v>
                </c:pt>
                <c:pt idx="375">
                  <c:v>74.165296442609971</c:v>
                </c:pt>
                <c:pt idx="376">
                  <c:v>74.602140280293042</c:v>
                </c:pt>
                <c:pt idx="377">
                  <c:v>67.810608381769427</c:v>
                </c:pt>
                <c:pt idx="378">
                  <c:v>69.051848169590102</c:v>
                </c:pt>
                <c:pt idx="379">
                  <c:v>71.055155471524841</c:v>
                </c:pt>
                <c:pt idx="380">
                  <c:v>72.092716914062308</c:v>
                </c:pt>
                <c:pt idx="381">
                  <c:v>67.83723462415054</c:v>
                </c:pt>
                <c:pt idx="382">
                  <c:v>69.336638037964818</c:v>
                </c:pt>
                <c:pt idx="383">
                  <c:v>59.998656413608494</c:v>
                </c:pt>
                <c:pt idx="384">
                  <c:v>51.974210319443578</c:v>
                </c:pt>
                <c:pt idx="385">
                  <c:v>50.009757771259579</c:v>
                </c:pt>
                <c:pt idx="386">
                  <c:v>50.234829689263158</c:v>
                </c:pt>
                <c:pt idx="387">
                  <c:v>53.608846082309135</c:v>
                </c:pt>
                <c:pt idx="388">
                  <c:v>50.650299692458773</c:v>
                </c:pt>
                <c:pt idx="389">
                  <c:v>54.894791119872927</c:v>
                </c:pt>
                <c:pt idx="390">
                  <c:v>51.860942712168743</c:v>
                </c:pt>
                <c:pt idx="391">
                  <c:v>56.401953200652017</c:v>
                </c:pt>
                <c:pt idx="392">
                  <c:v>51.654285921868393</c:v>
                </c:pt>
                <c:pt idx="393">
                  <c:v>47.154703341833446</c:v>
                </c:pt>
                <c:pt idx="394">
                  <c:v>42.926416141444555</c:v>
                </c:pt>
                <c:pt idx="395">
                  <c:v>47.733262469744886</c:v>
                </c:pt>
                <c:pt idx="396">
                  <c:v>42.872558301459215</c:v>
                </c:pt>
                <c:pt idx="397">
                  <c:v>45.954508181075525</c:v>
                </c:pt>
                <c:pt idx="398">
                  <c:v>48.486908872211188</c:v>
                </c:pt>
                <c:pt idx="399">
                  <c:v>51.803355486318594</c:v>
                </c:pt>
                <c:pt idx="400">
                  <c:v>53.313903139739843</c:v>
                </c:pt>
                <c:pt idx="401">
                  <c:v>54.197298982750304</c:v>
                </c:pt>
                <c:pt idx="402">
                  <c:v>49.644906680103936</c:v>
                </c:pt>
                <c:pt idx="403">
                  <c:v>52.282711501589041</c:v>
                </c:pt>
                <c:pt idx="404">
                  <c:v>56.519523084680309</c:v>
                </c:pt>
                <c:pt idx="405">
                  <c:v>56.519523084680309</c:v>
                </c:pt>
                <c:pt idx="406">
                  <c:v>56.519523084680316</c:v>
                </c:pt>
                <c:pt idx="407">
                  <c:v>57.02122741191468</c:v>
                </c:pt>
                <c:pt idx="408">
                  <c:v>60.003270807571084</c:v>
                </c:pt>
                <c:pt idx="409">
                  <c:v>56.819072983473596</c:v>
                </c:pt>
                <c:pt idx="410">
                  <c:v>51.578749661981441</c:v>
                </c:pt>
                <c:pt idx="411">
                  <c:v>61.402398234405283</c:v>
                </c:pt>
                <c:pt idx="412">
                  <c:v>62.98058076940557</c:v>
                </c:pt>
                <c:pt idx="413">
                  <c:v>63.383665613922666</c:v>
                </c:pt>
                <c:pt idx="414">
                  <c:v>64.827198100585832</c:v>
                </c:pt>
                <c:pt idx="415">
                  <c:v>57.814212458710308</c:v>
                </c:pt>
                <c:pt idx="416">
                  <c:v>59.238829969557202</c:v>
                </c:pt>
                <c:pt idx="417">
                  <c:v>57.496318707671485</c:v>
                </c:pt>
                <c:pt idx="418">
                  <c:v>54.070649774849848</c:v>
                </c:pt>
                <c:pt idx="419">
                  <c:v>55.773301430634575</c:v>
                </c:pt>
                <c:pt idx="420">
                  <c:v>57.471168320860073</c:v>
                </c:pt>
                <c:pt idx="421">
                  <c:v>55.557080026977296</c:v>
                </c:pt>
                <c:pt idx="422">
                  <c:v>48.586453488345946</c:v>
                </c:pt>
                <c:pt idx="423">
                  <c:v>46.39247351204326</c:v>
                </c:pt>
                <c:pt idx="424">
                  <c:v>56.635291433083793</c:v>
                </c:pt>
                <c:pt idx="425">
                  <c:v>54.019862570356814</c:v>
                </c:pt>
                <c:pt idx="426">
                  <c:v>54.019862570356814</c:v>
                </c:pt>
                <c:pt idx="427">
                  <c:v>51.60163773155822</c:v>
                </c:pt>
                <c:pt idx="428">
                  <c:v>53.212755613184676</c:v>
                </c:pt>
                <c:pt idx="429">
                  <c:v>55.750841608978554</c:v>
                </c:pt>
                <c:pt idx="430">
                  <c:v>51.258995212874062</c:v>
                </c:pt>
                <c:pt idx="431">
                  <c:v>52.629083902070981</c:v>
                </c:pt>
                <c:pt idx="432">
                  <c:v>55.012338053823839</c:v>
                </c:pt>
                <c:pt idx="433">
                  <c:v>51.06023697017465</c:v>
                </c:pt>
                <c:pt idx="434">
                  <c:v>50.668234864967516</c:v>
                </c:pt>
                <c:pt idx="435">
                  <c:v>62.696530421511007</c:v>
                </c:pt>
                <c:pt idx="436">
                  <c:v>64.603100287193001</c:v>
                </c:pt>
                <c:pt idx="437">
                  <c:v>59.299255718483145</c:v>
                </c:pt>
                <c:pt idx="438">
                  <c:v>66.386187150443945</c:v>
                </c:pt>
                <c:pt idx="439">
                  <c:v>64.437302107696894</c:v>
                </c:pt>
                <c:pt idx="440">
                  <c:v>72.314730229429472</c:v>
                </c:pt>
                <c:pt idx="441">
                  <c:v>72.748120967162322</c:v>
                </c:pt>
                <c:pt idx="442">
                  <c:v>50.578621576238177</c:v>
                </c:pt>
                <c:pt idx="443">
                  <c:v>47.017733053589986</c:v>
                </c:pt>
                <c:pt idx="444">
                  <c:v>42.701021109740573</c:v>
                </c:pt>
                <c:pt idx="445">
                  <c:v>41.174388645065513</c:v>
                </c:pt>
                <c:pt idx="446">
                  <c:v>44.273542895912669</c:v>
                </c:pt>
                <c:pt idx="447">
                  <c:v>46.826289606288888</c:v>
                </c:pt>
                <c:pt idx="448">
                  <c:v>49.326145179448751</c:v>
                </c:pt>
                <c:pt idx="449">
                  <c:v>48.876222813893072</c:v>
                </c:pt>
                <c:pt idx="450">
                  <c:v>53.028813530839997</c:v>
                </c:pt>
                <c:pt idx="451">
                  <c:v>54.574103277086977</c:v>
                </c:pt>
                <c:pt idx="452">
                  <c:v>64.745024829484962</c:v>
                </c:pt>
                <c:pt idx="453">
                  <c:v>61.370080095015972</c:v>
                </c:pt>
                <c:pt idx="454">
                  <c:v>59.074236890122187</c:v>
                </c:pt>
                <c:pt idx="455">
                  <c:v>75.514934409606468</c:v>
                </c:pt>
                <c:pt idx="456">
                  <c:v>64.693058393340181</c:v>
                </c:pt>
                <c:pt idx="457">
                  <c:v>62.530048469703537</c:v>
                </c:pt>
                <c:pt idx="458">
                  <c:v>63.637905545071447</c:v>
                </c:pt>
                <c:pt idx="459">
                  <c:v>60.486367105260605</c:v>
                </c:pt>
                <c:pt idx="460">
                  <c:v>61.289243352084689</c:v>
                </c:pt>
                <c:pt idx="461">
                  <c:v>59.073289590491193</c:v>
                </c:pt>
                <c:pt idx="462">
                  <c:v>55.137349851347615</c:v>
                </c:pt>
                <c:pt idx="463">
                  <c:v>59.377099338632</c:v>
                </c:pt>
                <c:pt idx="464">
                  <c:v>59.505889249558351</c:v>
                </c:pt>
                <c:pt idx="465">
                  <c:v>60.71310747566902</c:v>
                </c:pt>
                <c:pt idx="466">
                  <c:v>59.649183492871735</c:v>
                </c:pt>
                <c:pt idx="467">
                  <c:v>61.674348425531939</c:v>
                </c:pt>
                <c:pt idx="468">
                  <c:v>63.772305851419198</c:v>
                </c:pt>
                <c:pt idx="469">
                  <c:v>59.778435057559371</c:v>
                </c:pt>
                <c:pt idx="470">
                  <c:v>57.717576210180418</c:v>
                </c:pt>
                <c:pt idx="471">
                  <c:v>51.173441931416228</c:v>
                </c:pt>
                <c:pt idx="472">
                  <c:v>53.725201090955871</c:v>
                </c:pt>
                <c:pt idx="473">
                  <c:v>51.252690644379598</c:v>
                </c:pt>
                <c:pt idx="474">
                  <c:v>42.626165877965768</c:v>
                </c:pt>
                <c:pt idx="475">
                  <c:v>50.341437818769556</c:v>
                </c:pt>
                <c:pt idx="476">
                  <c:v>52.471865885521176</c:v>
                </c:pt>
                <c:pt idx="477">
                  <c:v>55.772700623004518</c:v>
                </c:pt>
                <c:pt idx="478">
                  <c:v>56.08550748308479</c:v>
                </c:pt>
                <c:pt idx="479">
                  <c:v>57.540814760264858</c:v>
                </c:pt>
                <c:pt idx="480">
                  <c:v>54.927107282881821</c:v>
                </c:pt>
                <c:pt idx="481">
                  <c:v>50.786511913100057</c:v>
                </c:pt>
                <c:pt idx="482">
                  <c:v>53.253263421127272</c:v>
                </c:pt>
                <c:pt idx="483">
                  <c:v>54.204042751181035</c:v>
                </c:pt>
                <c:pt idx="484">
                  <c:v>51.712155224000149</c:v>
                </c:pt>
                <c:pt idx="485">
                  <c:v>53.990047717178065</c:v>
                </c:pt>
                <c:pt idx="486">
                  <c:v>52.534314735796464</c:v>
                </c:pt>
                <c:pt idx="487">
                  <c:v>59.070856490568673</c:v>
                </c:pt>
                <c:pt idx="488">
                  <c:v>62.753403527224428</c:v>
                </c:pt>
                <c:pt idx="489">
                  <c:v>64.770503560353191</c:v>
                </c:pt>
                <c:pt idx="490">
                  <c:v>61.72448641255442</c:v>
                </c:pt>
                <c:pt idx="491">
                  <c:v>62.073721040696455</c:v>
                </c:pt>
                <c:pt idx="492">
                  <c:v>52.744769087193148</c:v>
                </c:pt>
                <c:pt idx="493">
                  <c:v>52.956268429902707</c:v>
                </c:pt>
                <c:pt idx="494">
                  <c:v>56.128177649714566</c:v>
                </c:pt>
                <c:pt idx="495">
                  <c:v>55.857784232455444</c:v>
                </c:pt>
                <c:pt idx="496">
                  <c:v>51.330629219941635</c:v>
                </c:pt>
                <c:pt idx="497">
                  <c:v>53.019112182216389</c:v>
                </c:pt>
                <c:pt idx="498">
                  <c:v>51.6409762918437</c:v>
                </c:pt>
                <c:pt idx="499">
                  <c:v>50.787961992121708</c:v>
                </c:pt>
                <c:pt idx="500">
                  <c:v>49.325558184915245</c:v>
                </c:pt>
                <c:pt idx="501">
                  <c:v>46.175453023565908</c:v>
                </c:pt>
                <c:pt idx="502">
                  <c:v>52.683890681439294</c:v>
                </c:pt>
                <c:pt idx="503">
                  <c:v>56.064661258624163</c:v>
                </c:pt>
                <c:pt idx="504">
                  <c:v>63.244079414928699</c:v>
                </c:pt>
                <c:pt idx="505">
                  <c:v>61.283253327622603</c:v>
                </c:pt>
                <c:pt idx="506">
                  <c:v>71.683368671645084</c:v>
                </c:pt>
                <c:pt idx="507">
                  <c:v>65.90593989183192</c:v>
                </c:pt>
                <c:pt idx="508">
                  <c:v>61.377690414903341</c:v>
                </c:pt>
                <c:pt idx="509">
                  <c:v>60.070399997195118</c:v>
                </c:pt>
                <c:pt idx="510">
                  <c:v>56.4452055259624</c:v>
                </c:pt>
                <c:pt idx="511">
                  <c:v>55.669906603711041</c:v>
                </c:pt>
                <c:pt idx="512">
                  <c:v>50.446477643969651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70816"/>
        <c:axId val="408466016"/>
      </c:lineChart>
      <c:lineChart>
        <c:grouping val="standard"/>
        <c:varyColors val="0"/>
        <c:ser>
          <c:idx val="1"/>
          <c:order val="1"/>
          <c:tx>
            <c:strRef>
              <c:f>Data!$T$1</c:f>
              <c:strCache>
                <c:ptCount val="1"/>
                <c:pt idx="0">
                  <c:v>RSI 70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Data!$T$2:$T$514</c:f>
              <c:numCache>
                <c:formatCode>General</c:formatCode>
                <c:ptCount val="513"/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C-4CBB-A24F-73F6BFD37766}"/>
            </c:ext>
          </c:extLst>
        </c:ser>
        <c:ser>
          <c:idx val="2"/>
          <c:order val="2"/>
          <c:tx>
            <c:strRef>
              <c:f>Data!$U$1</c:f>
              <c:strCache>
                <c:ptCount val="1"/>
                <c:pt idx="0">
                  <c:v>RSI 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Data!$U$2:$U$514</c:f>
              <c:numCache>
                <c:formatCode>General</c:formatCode>
                <c:ptCount val="513"/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57376"/>
        <c:axId val="408455936"/>
      </c:lineChart>
      <c:dateAx>
        <c:axId val="40847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66016"/>
        <c:crosses val="autoZero"/>
        <c:auto val="1"/>
        <c:lblOffset val="100"/>
        <c:baseTimeUnit val="days"/>
      </c:dateAx>
      <c:valAx>
        <c:axId val="4084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70816"/>
        <c:crosses val="autoZero"/>
        <c:crossBetween val="between"/>
      </c:valAx>
      <c:valAx>
        <c:axId val="408455936"/>
        <c:scaling>
          <c:orientation val="minMax"/>
          <c:max val="1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57376"/>
        <c:crosses val="max"/>
        <c:crossBetween val="between"/>
        <c:majorUnit val="20"/>
      </c:valAx>
      <c:dateAx>
        <c:axId val="4084573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084559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11.967599999999999</c:v>
                </c:pt>
                <c:pt idx="1">
                  <c:v>11.524699999999999</c:v>
                </c:pt>
                <c:pt idx="2">
                  <c:v>11.495200000000001</c:v>
                </c:pt>
                <c:pt idx="3">
                  <c:v>11.6625</c:v>
                </c:pt>
                <c:pt idx="4">
                  <c:v>11.7806</c:v>
                </c:pt>
                <c:pt idx="5">
                  <c:v>11.652699999999999</c:v>
                </c:pt>
                <c:pt idx="6">
                  <c:v>11.642799999999999</c:v>
                </c:pt>
                <c:pt idx="7">
                  <c:v>11.524699999999999</c:v>
                </c:pt>
                <c:pt idx="8">
                  <c:v>11.278700000000001</c:v>
                </c:pt>
                <c:pt idx="9">
                  <c:v>11.278700000000001</c:v>
                </c:pt>
                <c:pt idx="10">
                  <c:v>11.091699999999999</c:v>
                </c:pt>
                <c:pt idx="11">
                  <c:v>10.8161</c:v>
                </c:pt>
                <c:pt idx="12">
                  <c:v>11.0228</c:v>
                </c:pt>
                <c:pt idx="13">
                  <c:v>11.0228</c:v>
                </c:pt>
                <c:pt idx="14">
                  <c:v>11.190099999999999</c:v>
                </c:pt>
                <c:pt idx="15">
                  <c:v>10.855499999999999</c:v>
                </c:pt>
                <c:pt idx="16">
                  <c:v>11.160600000000001</c:v>
                </c:pt>
                <c:pt idx="17">
                  <c:v>11.2098</c:v>
                </c:pt>
                <c:pt idx="18">
                  <c:v>11.3673</c:v>
                </c:pt>
                <c:pt idx="19">
                  <c:v>11.5936</c:v>
                </c:pt>
                <c:pt idx="20">
                  <c:v>11.534599999999999</c:v>
                </c:pt>
                <c:pt idx="21">
                  <c:v>11.9086</c:v>
                </c:pt>
                <c:pt idx="22">
                  <c:v>11.947900000000001</c:v>
                </c:pt>
                <c:pt idx="23">
                  <c:v>11.406599999999999</c:v>
                </c:pt>
                <c:pt idx="24">
                  <c:v>11.879099999999999</c:v>
                </c:pt>
                <c:pt idx="25">
                  <c:v>12.5975</c:v>
                </c:pt>
                <c:pt idx="26">
                  <c:v>12.627000000000001</c:v>
                </c:pt>
                <c:pt idx="27">
                  <c:v>12.4794</c:v>
                </c:pt>
                <c:pt idx="28">
                  <c:v>12.774699999999999</c:v>
                </c:pt>
                <c:pt idx="29">
                  <c:v>12.4794</c:v>
                </c:pt>
                <c:pt idx="30">
                  <c:v>12.3613</c:v>
                </c:pt>
                <c:pt idx="31">
                  <c:v>12.321899999999999</c:v>
                </c:pt>
                <c:pt idx="32">
                  <c:v>12.105399999999999</c:v>
                </c:pt>
                <c:pt idx="33">
                  <c:v>12.0562</c:v>
                </c:pt>
                <c:pt idx="34">
                  <c:v>11.947900000000001</c:v>
                </c:pt>
                <c:pt idx="35">
                  <c:v>11.9283</c:v>
                </c:pt>
                <c:pt idx="36">
                  <c:v>11.947900000000001</c:v>
                </c:pt>
                <c:pt idx="37">
                  <c:v>11.760999999999999</c:v>
                </c:pt>
                <c:pt idx="38">
                  <c:v>11.8102</c:v>
                </c:pt>
                <c:pt idx="39">
                  <c:v>12.105399999999999</c:v>
                </c:pt>
                <c:pt idx="40">
                  <c:v>12.2432</c:v>
                </c:pt>
                <c:pt idx="41">
                  <c:v>12.253</c:v>
                </c:pt>
                <c:pt idx="42">
                  <c:v>12.538500000000001</c:v>
                </c:pt>
                <c:pt idx="43">
                  <c:v>12.381</c:v>
                </c:pt>
                <c:pt idx="44">
                  <c:v>12.184100000000001</c:v>
                </c:pt>
                <c:pt idx="45">
                  <c:v>12.213699999999999</c:v>
                </c:pt>
                <c:pt idx="46">
                  <c:v>11.987299999999999</c:v>
                </c:pt>
                <c:pt idx="47">
                  <c:v>11.9184</c:v>
                </c:pt>
                <c:pt idx="48">
                  <c:v>11.9184</c:v>
                </c:pt>
                <c:pt idx="49">
                  <c:v>12.174300000000001</c:v>
                </c:pt>
                <c:pt idx="50">
                  <c:v>11.8889</c:v>
                </c:pt>
                <c:pt idx="51">
                  <c:v>11.869199999999999</c:v>
                </c:pt>
                <c:pt idx="52">
                  <c:v>11.987299999999999</c:v>
                </c:pt>
                <c:pt idx="53">
                  <c:v>12.105399999999999</c:v>
                </c:pt>
                <c:pt idx="54">
                  <c:v>12.6959</c:v>
                </c:pt>
                <c:pt idx="55">
                  <c:v>12.7156</c:v>
                </c:pt>
                <c:pt idx="56">
                  <c:v>12.7058</c:v>
                </c:pt>
                <c:pt idx="57">
                  <c:v>12.6959</c:v>
                </c:pt>
                <c:pt idx="58">
                  <c:v>12.2432</c:v>
                </c:pt>
                <c:pt idx="59">
                  <c:v>12.853400000000001</c:v>
                </c:pt>
                <c:pt idx="60">
                  <c:v>13.069900000000001</c:v>
                </c:pt>
                <c:pt idx="61">
                  <c:v>13.079800000000001</c:v>
                </c:pt>
                <c:pt idx="62">
                  <c:v>13.069900000000001</c:v>
                </c:pt>
                <c:pt idx="63">
                  <c:v>13.434100000000001</c:v>
                </c:pt>
                <c:pt idx="64">
                  <c:v>13.000999999999999</c:v>
                </c:pt>
                <c:pt idx="65">
                  <c:v>13.069900000000001</c:v>
                </c:pt>
                <c:pt idx="66">
                  <c:v>13.197900000000001</c:v>
                </c:pt>
                <c:pt idx="67">
                  <c:v>13.325799999999999</c:v>
                </c:pt>
                <c:pt idx="68">
                  <c:v>12.853400000000001</c:v>
                </c:pt>
                <c:pt idx="69">
                  <c:v>12.8337</c:v>
                </c:pt>
                <c:pt idx="70">
                  <c:v>12.410500000000001</c:v>
                </c:pt>
                <c:pt idx="71">
                  <c:v>12.0365</c:v>
                </c:pt>
                <c:pt idx="72">
                  <c:v>11.8987</c:v>
                </c:pt>
                <c:pt idx="73">
                  <c:v>11.849500000000001</c:v>
                </c:pt>
                <c:pt idx="74">
                  <c:v>11.869199999999999</c:v>
                </c:pt>
                <c:pt idx="75">
                  <c:v>11.947900000000001</c:v>
                </c:pt>
                <c:pt idx="76">
                  <c:v>12.6762</c:v>
                </c:pt>
                <c:pt idx="77">
                  <c:v>12.735300000000001</c:v>
                </c:pt>
                <c:pt idx="78">
                  <c:v>12.745100000000001</c:v>
                </c:pt>
                <c:pt idx="79">
                  <c:v>12.8337</c:v>
                </c:pt>
                <c:pt idx="80">
                  <c:v>12.5877</c:v>
                </c:pt>
                <c:pt idx="81">
                  <c:v>12.548299999999999</c:v>
                </c:pt>
                <c:pt idx="82">
                  <c:v>11.957800000000001</c:v>
                </c:pt>
                <c:pt idx="83">
                  <c:v>12.007</c:v>
                </c:pt>
                <c:pt idx="84">
                  <c:v>12.292400000000001</c:v>
                </c:pt>
                <c:pt idx="85">
                  <c:v>12.2334</c:v>
                </c:pt>
                <c:pt idx="86">
                  <c:v>12.302300000000001</c:v>
                </c:pt>
                <c:pt idx="87">
                  <c:v>11.977499999999999</c:v>
                </c:pt>
                <c:pt idx="88">
                  <c:v>11.957800000000001</c:v>
                </c:pt>
                <c:pt idx="89">
                  <c:v>11.9381</c:v>
                </c:pt>
                <c:pt idx="90">
                  <c:v>11.8003</c:v>
                </c:pt>
                <c:pt idx="91">
                  <c:v>12.1349</c:v>
                </c:pt>
                <c:pt idx="92">
                  <c:v>12.2432</c:v>
                </c:pt>
                <c:pt idx="93">
                  <c:v>12.1153</c:v>
                </c:pt>
                <c:pt idx="94">
                  <c:v>12.184100000000001</c:v>
                </c:pt>
                <c:pt idx="95">
                  <c:v>12.085699999999999</c:v>
                </c:pt>
                <c:pt idx="96">
                  <c:v>11.957800000000001</c:v>
                </c:pt>
                <c:pt idx="97">
                  <c:v>11.957800000000001</c:v>
                </c:pt>
                <c:pt idx="98">
                  <c:v>11.839700000000001</c:v>
                </c:pt>
                <c:pt idx="99">
                  <c:v>11.9184</c:v>
                </c:pt>
                <c:pt idx="100">
                  <c:v>11.967599999999999</c:v>
                </c:pt>
                <c:pt idx="101">
                  <c:v>11.495200000000001</c:v>
                </c:pt>
                <c:pt idx="102">
                  <c:v>11.3771</c:v>
                </c:pt>
                <c:pt idx="103">
                  <c:v>11.5838</c:v>
                </c:pt>
                <c:pt idx="104">
                  <c:v>11.9381</c:v>
                </c:pt>
                <c:pt idx="105">
                  <c:v>11.997199999999999</c:v>
                </c:pt>
                <c:pt idx="106">
                  <c:v>11.839700000000001</c:v>
                </c:pt>
                <c:pt idx="107">
                  <c:v>11.879099999999999</c:v>
                </c:pt>
                <c:pt idx="108">
                  <c:v>11.879099999999999</c:v>
                </c:pt>
                <c:pt idx="109">
                  <c:v>11.957800000000001</c:v>
                </c:pt>
                <c:pt idx="110">
                  <c:v>12.184100000000001</c:v>
                </c:pt>
                <c:pt idx="111">
                  <c:v>11.9184</c:v>
                </c:pt>
                <c:pt idx="112">
                  <c:v>11.8889</c:v>
                </c:pt>
                <c:pt idx="113">
                  <c:v>11.751099999999999</c:v>
                </c:pt>
                <c:pt idx="114">
                  <c:v>11.524699999999999</c:v>
                </c:pt>
                <c:pt idx="115">
                  <c:v>11.6625</c:v>
                </c:pt>
                <c:pt idx="116">
                  <c:v>11.5936</c:v>
                </c:pt>
                <c:pt idx="117">
                  <c:v>11.751099999999999</c:v>
                </c:pt>
                <c:pt idx="118">
                  <c:v>11.652699999999999</c:v>
                </c:pt>
                <c:pt idx="119">
                  <c:v>12.0365</c:v>
                </c:pt>
                <c:pt idx="120">
                  <c:v>11.8987</c:v>
                </c:pt>
                <c:pt idx="121">
                  <c:v>11.9184</c:v>
                </c:pt>
                <c:pt idx="122">
                  <c:v>12.0365</c:v>
                </c:pt>
                <c:pt idx="123">
                  <c:v>12.3416</c:v>
                </c:pt>
                <c:pt idx="124">
                  <c:v>12.5581</c:v>
                </c:pt>
                <c:pt idx="125">
                  <c:v>12.666399999999999</c:v>
                </c:pt>
                <c:pt idx="126">
                  <c:v>12.666399999999999</c:v>
                </c:pt>
                <c:pt idx="127">
                  <c:v>12.636900000000001</c:v>
                </c:pt>
                <c:pt idx="128">
                  <c:v>12.774699999999999</c:v>
                </c:pt>
                <c:pt idx="129">
                  <c:v>12.6959</c:v>
                </c:pt>
                <c:pt idx="130">
                  <c:v>12.9617</c:v>
                </c:pt>
                <c:pt idx="131">
                  <c:v>13.2569</c:v>
                </c:pt>
                <c:pt idx="132">
                  <c:v>13.808</c:v>
                </c:pt>
                <c:pt idx="133">
                  <c:v>14.004899999999999</c:v>
                </c:pt>
                <c:pt idx="134">
                  <c:v>14.1624</c:v>
                </c:pt>
                <c:pt idx="135">
                  <c:v>14.2509</c:v>
                </c:pt>
                <c:pt idx="136">
                  <c:v>14.319800000000001</c:v>
                </c:pt>
                <c:pt idx="137">
                  <c:v>13.758800000000001</c:v>
                </c:pt>
                <c:pt idx="138">
                  <c:v>13.896599999999999</c:v>
                </c:pt>
                <c:pt idx="139">
                  <c:v>13.6112</c:v>
                </c:pt>
                <c:pt idx="140">
                  <c:v>13.4537</c:v>
                </c:pt>
                <c:pt idx="141">
                  <c:v>10.9834</c:v>
                </c:pt>
                <c:pt idx="142">
                  <c:v>11.013</c:v>
                </c:pt>
                <c:pt idx="143">
                  <c:v>10.835800000000001</c:v>
                </c:pt>
                <c:pt idx="144">
                  <c:v>10.6685</c:v>
                </c:pt>
                <c:pt idx="145">
                  <c:v>10.6488</c:v>
                </c:pt>
                <c:pt idx="146">
                  <c:v>10.520899999999999</c:v>
                </c:pt>
                <c:pt idx="147">
                  <c:v>9.8712999999999997</c:v>
                </c:pt>
                <c:pt idx="148">
                  <c:v>9.5564</c:v>
                </c:pt>
                <c:pt idx="149">
                  <c:v>9.6252999999999993</c:v>
                </c:pt>
                <c:pt idx="150">
                  <c:v>9.6153999999999993</c:v>
                </c:pt>
                <c:pt idx="151">
                  <c:v>9.9696999999999996</c:v>
                </c:pt>
                <c:pt idx="152">
                  <c:v>9.9402000000000008</c:v>
                </c:pt>
                <c:pt idx="153">
                  <c:v>9.7040000000000006</c:v>
                </c:pt>
                <c:pt idx="154">
                  <c:v>9.9795999999999996</c:v>
                </c:pt>
                <c:pt idx="155">
                  <c:v>10.019</c:v>
                </c:pt>
                <c:pt idx="156">
                  <c:v>10.294499999999999</c:v>
                </c:pt>
                <c:pt idx="157">
                  <c:v>10.3437</c:v>
                </c:pt>
                <c:pt idx="158">
                  <c:v>10.5504</c:v>
                </c:pt>
                <c:pt idx="159">
                  <c:v>10.510999999999999</c:v>
                </c:pt>
                <c:pt idx="160">
                  <c:v>10.6784</c:v>
                </c:pt>
                <c:pt idx="161">
                  <c:v>10.747199999999999</c:v>
                </c:pt>
                <c:pt idx="162">
                  <c:v>11.091699999999999</c:v>
                </c:pt>
                <c:pt idx="163">
                  <c:v>10.934200000000001</c:v>
                </c:pt>
                <c:pt idx="164">
                  <c:v>10.963800000000001</c:v>
                </c:pt>
                <c:pt idx="165">
                  <c:v>10.8653</c:v>
                </c:pt>
                <c:pt idx="166">
                  <c:v>10.934200000000001</c:v>
                </c:pt>
                <c:pt idx="167">
                  <c:v>11.013</c:v>
                </c:pt>
                <c:pt idx="168">
                  <c:v>10.8063</c:v>
                </c:pt>
                <c:pt idx="169">
                  <c:v>10.7768</c:v>
                </c:pt>
                <c:pt idx="170">
                  <c:v>10.599600000000001</c:v>
                </c:pt>
                <c:pt idx="171">
                  <c:v>10.412599999999999</c:v>
                </c:pt>
                <c:pt idx="172">
                  <c:v>10.491400000000001</c:v>
                </c:pt>
                <c:pt idx="173">
                  <c:v>10.156700000000001</c:v>
                </c:pt>
                <c:pt idx="174">
                  <c:v>10.284700000000001</c:v>
                </c:pt>
                <c:pt idx="175">
                  <c:v>10.452</c:v>
                </c:pt>
                <c:pt idx="176">
                  <c:v>10.520899999999999</c:v>
                </c:pt>
                <c:pt idx="177">
                  <c:v>10.629099999999999</c:v>
                </c:pt>
                <c:pt idx="178">
                  <c:v>10.727600000000001</c:v>
                </c:pt>
                <c:pt idx="179">
                  <c:v>10.8063</c:v>
                </c:pt>
                <c:pt idx="180">
                  <c:v>10.747199999999999</c:v>
                </c:pt>
                <c:pt idx="181">
                  <c:v>10.7079</c:v>
                </c:pt>
                <c:pt idx="182">
                  <c:v>10.737399999999999</c:v>
                </c:pt>
                <c:pt idx="183">
                  <c:v>10.698</c:v>
                </c:pt>
                <c:pt idx="184">
                  <c:v>10.2552</c:v>
                </c:pt>
                <c:pt idx="185">
                  <c:v>10.510999999999999</c:v>
                </c:pt>
                <c:pt idx="186">
                  <c:v>10.609500000000001</c:v>
                </c:pt>
                <c:pt idx="187">
                  <c:v>10.392899999999999</c:v>
                </c:pt>
                <c:pt idx="188">
                  <c:v>10.5799</c:v>
                </c:pt>
                <c:pt idx="189">
                  <c:v>10.3142</c:v>
                </c:pt>
                <c:pt idx="190">
                  <c:v>10.284700000000001</c:v>
                </c:pt>
                <c:pt idx="191">
                  <c:v>10.402799999999999</c:v>
                </c:pt>
                <c:pt idx="192">
                  <c:v>10.324</c:v>
                </c:pt>
                <c:pt idx="193">
                  <c:v>10.324</c:v>
                </c:pt>
                <c:pt idx="194">
                  <c:v>10.452</c:v>
                </c:pt>
                <c:pt idx="195">
                  <c:v>10.510999999999999</c:v>
                </c:pt>
                <c:pt idx="196">
                  <c:v>10.5504</c:v>
                </c:pt>
                <c:pt idx="197">
                  <c:v>10.747199999999999</c:v>
                </c:pt>
                <c:pt idx="198">
                  <c:v>10.6685</c:v>
                </c:pt>
                <c:pt idx="199">
                  <c:v>10.855499999999999</c:v>
                </c:pt>
                <c:pt idx="200">
                  <c:v>10.8949</c:v>
                </c:pt>
                <c:pt idx="201">
                  <c:v>10.9244</c:v>
                </c:pt>
                <c:pt idx="202">
                  <c:v>10.7079</c:v>
                </c:pt>
                <c:pt idx="203">
                  <c:v>10.934200000000001</c:v>
                </c:pt>
                <c:pt idx="204">
                  <c:v>10.885</c:v>
                </c:pt>
                <c:pt idx="205">
                  <c:v>11.062200000000001</c:v>
                </c:pt>
                <c:pt idx="206">
                  <c:v>10.8949</c:v>
                </c:pt>
                <c:pt idx="207">
                  <c:v>11.190099999999999</c:v>
                </c:pt>
                <c:pt idx="208">
                  <c:v>10.2453</c:v>
                </c:pt>
                <c:pt idx="209">
                  <c:v>10.304399999999999</c:v>
                </c:pt>
                <c:pt idx="210">
                  <c:v>10.1272</c:v>
                </c:pt>
                <c:pt idx="211">
                  <c:v>10.058299999999999</c:v>
                </c:pt>
                <c:pt idx="212">
                  <c:v>10.196099999999999</c:v>
                </c:pt>
                <c:pt idx="213">
                  <c:v>10.4323</c:v>
                </c:pt>
                <c:pt idx="214">
                  <c:v>11.013</c:v>
                </c:pt>
                <c:pt idx="215">
                  <c:v>10.7866</c:v>
                </c:pt>
                <c:pt idx="216">
                  <c:v>10.7965</c:v>
                </c:pt>
                <c:pt idx="217">
                  <c:v>11.052300000000001</c:v>
                </c:pt>
                <c:pt idx="218">
                  <c:v>10.9244</c:v>
                </c:pt>
                <c:pt idx="219">
                  <c:v>10.9244</c:v>
                </c:pt>
                <c:pt idx="220">
                  <c:v>10.8949</c:v>
                </c:pt>
                <c:pt idx="221">
                  <c:v>10.835800000000001</c:v>
                </c:pt>
                <c:pt idx="222">
                  <c:v>11.0327</c:v>
                </c:pt>
                <c:pt idx="223">
                  <c:v>10.8752</c:v>
                </c:pt>
                <c:pt idx="224">
                  <c:v>10.5603</c:v>
                </c:pt>
                <c:pt idx="225">
                  <c:v>10.629099999999999</c:v>
                </c:pt>
                <c:pt idx="226">
                  <c:v>11.0031</c:v>
                </c:pt>
                <c:pt idx="227">
                  <c:v>11.2197</c:v>
                </c:pt>
                <c:pt idx="228">
                  <c:v>10.9244</c:v>
                </c:pt>
                <c:pt idx="229">
                  <c:v>10.9244</c:v>
                </c:pt>
                <c:pt idx="230">
                  <c:v>10.953900000000001</c:v>
                </c:pt>
                <c:pt idx="231">
                  <c:v>10.8063</c:v>
                </c:pt>
                <c:pt idx="232">
                  <c:v>10.6488</c:v>
                </c:pt>
                <c:pt idx="233">
                  <c:v>10.5701</c:v>
                </c:pt>
                <c:pt idx="234">
                  <c:v>10.274800000000001</c:v>
                </c:pt>
                <c:pt idx="235">
                  <c:v>10.3437</c:v>
                </c:pt>
                <c:pt idx="236">
                  <c:v>10.4323</c:v>
                </c:pt>
                <c:pt idx="237">
                  <c:v>10.392899999999999</c:v>
                </c:pt>
                <c:pt idx="238">
                  <c:v>10.2453</c:v>
                </c:pt>
                <c:pt idx="239">
                  <c:v>10.2256</c:v>
                </c:pt>
                <c:pt idx="240">
                  <c:v>10.2256</c:v>
                </c:pt>
                <c:pt idx="241">
                  <c:v>9.8320000000000007</c:v>
                </c:pt>
                <c:pt idx="242">
                  <c:v>9.8123000000000005</c:v>
                </c:pt>
                <c:pt idx="243">
                  <c:v>9.5366999999999997</c:v>
                </c:pt>
                <c:pt idx="244">
                  <c:v>9.5859000000000005</c:v>
                </c:pt>
                <c:pt idx="245">
                  <c:v>9.7236999999999991</c:v>
                </c:pt>
                <c:pt idx="246">
                  <c:v>9.7433999999999994</c:v>
                </c:pt>
                <c:pt idx="247">
                  <c:v>9.8614999999999995</c:v>
                </c:pt>
                <c:pt idx="248">
                  <c:v>9.9107000000000003</c:v>
                </c:pt>
                <c:pt idx="249">
                  <c:v>9.8712999999999997</c:v>
                </c:pt>
                <c:pt idx="250">
                  <c:v>9.7236999999999991</c:v>
                </c:pt>
                <c:pt idx="251">
                  <c:v>9.7433999999999994</c:v>
                </c:pt>
                <c:pt idx="252">
                  <c:v>9.4972999999999992</c:v>
                </c:pt>
                <c:pt idx="253">
                  <c:v>9.7236999999999991</c:v>
                </c:pt>
                <c:pt idx="254">
                  <c:v>9.7630999999999997</c:v>
                </c:pt>
                <c:pt idx="255">
                  <c:v>9.6056000000000008</c:v>
                </c:pt>
                <c:pt idx="256">
                  <c:v>9.5859000000000005</c:v>
                </c:pt>
                <c:pt idx="257">
                  <c:v>9.4972999999999992</c:v>
                </c:pt>
                <c:pt idx="258">
                  <c:v>9.5564</c:v>
                </c:pt>
                <c:pt idx="259">
                  <c:v>9.6252999999999993</c:v>
                </c:pt>
                <c:pt idx="260">
                  <c:v>9.7926000000000002</c:v>
                </c:pt>
                <c:pt idx="261">
                  <c:v>9.8515999999999995</c:v>
                </c:pt>
                <c:pt idx="262">
                  <c:v>10.019</c:v>
                </c:pt>
                <c:pt idx="263">
                  <c:v>10.265000000000001</c:v>
                </c:pt>
                <c:pt idx="264">
                  <c:v>9.8712999999999997</c:v>
                </c:pt>
                <c:pt idx="265">
                  <c:v>9.9992999999999999</c:v>
                </c:pt>
                <c:pt idx="266">
                  <c:v>9.9598999999999993</c:v>
                </c:pt>
                <c:pt idx="267">
                  <c:v>10.2158</c:v>
                </c:pt>
                <c:pt idx="268">
                  <c:v>9.9205000000000005</c:v>
                </c:pt>
                <c:pt idx="269">
                  <c:v>10.048500000000001</c:v>
                </c:pt>
                <c:pt idx="270">
                  <c:v>9.9992999999999999</c:v>
                </c:pt>
                <c:pt idx="271">
                  <c:v>9.9205000000000005</c:v>
                </c:pt>
                <c:pt idx="272">
                  <c:v>9.7334999999999994</c:v>
                </c:pt>
                <c:pt idx="273">
                  <c:v>9.9992999999999999</c:v>
                </c:pt>
                <c:pt idx="274">
                  <c:v>9.8515999999999995</c:v>
                </c:pt>
                <c:pt idx="275">
                  <c:v>9.1135000000000002</c:v>
                </c:pt>
                <c:pt idx="276">
                  <c:v>9.0937999999999999</c:v>
                </c:pt>
                <c:pt idx="277">
                  <c:v>9.0937999999999999</c:v>
                </c:pt>
                <c:pt idx="278">
                  <c:v>9.0642999999999994</c:v>
                </c:pt>
                <c:pt idx="279">
                  <c:v>9.0839999999999996</c:v>
                </c:pt>
                <c:pt idx="280">
                  <c:v>9.2020999999999997</c:v>
                </c:pt>
                <c:pt idx="281">
                  <c:v>9.33</c:v>
                </c:pt>
                <c:pt idx="282">
                  <c:v>9.2899999999999991</c:v>
                </c:pt>
                <c:pt idx="283">
                  <c:v>9.34</c:v>
                </c:pt>
                <c:pt idx="284">
                  <c:v>9.39</c:v>
                </c:pt>
                <c:pt idx="285">
                  <c:v>9.2799999999999994</c:v>
                </c:pt>
                <c:pt idx="286">
                  <c:v>9.35</c:v>
                </c:pt>
                <c:pt idx="287">
                  <c:v>9.42</c:v>
                </c:pt>
                <c:pt idx="288">
                  <c:v>9.4700000000000006</c:v>
                </c:pt>
                <c:pt idx="289">
                  <c:v>9.2899999999999991</c:v>
                </c:pt>
                <c:pt idx="290">
                  <c:v>9.5500000000000007</c:v>
                </c:pt>
                <c:pt idx="291">
                  <c:v>9.39</c:v>
                </c:pt>
                <c:pt idx="292">
                  <c:v>9.1199999999999992</c:v>
                </c:pt>
                <c:pt idx="293">
                  <c:v>9.65</c:v>
                </c:pt>
                <c:pt idx="294">
                  <c:v>9.61</c:v>
                </c:pt>
                <c:pt idx="295">
                  <c:v>9.9</c:v>
                </c:pt>
                <c:pt idx="296">
                  <c:v>9.9600000000000009</c:v>
                </c:pt>
                <c:pt idx="297">
                  <c:v>9.69</c:v>
                </c:pt>
                <c:pt idx="298">
                  <c:v>9.59</c:v>
                </c:pt>
                <c:pt idx="299">
                  <c:v>9.5299999999999994</c:v>
                </c:pt>
                <c:pt idx="300">
                  <c:v>9.73</c:v>
                </c:pt>
                <c:pt idx="301">
                  <c:v>9.92</c:v>
                </c:pt>
                <c:pt idx="302">
                  <c:v>9.9499999999999993</c:v>
                </c:pt>
                <c:pt idx="303">
                  <c:v>10.17</c:v>
                </c:pt>
                <c:pt idx="304">
                  <c:v>10.01</c:v>
                </c:pt>
                <c:pt idx="305">
                  <c:v>10</c:v>
                </c:pt>
                <c:pt idx="306">
                  <c:v>10.25</c:v>
                </c:pt>
                <c:pt idx="307">
                  <c:v>10.29</c:v>
                </c:pt>
                <c:pt idx="308">
                  <c:v>10.3</c:v>
                </c:pt>
                <c:pt idx="309">
                  <c:v>9.9</c:v>
                </c:pt>
                <c:pt idx="310">
                  <c:v>9.7200000000000006</c:v>
                </c:pt>
                <c:pt idx="311">
                  <c:v>10.029999999999999</c:v>
                </c:pt>
                <c:pt idx="312">
                  <c:v>9.94</c:v>
                </c:pt>
                <c:pt idx="313">
                  <c:v>10.15</c:v>
                </c:pt>
                <c:pt idx="314">
                  <c:v>9.5399999999999991</c:v>
                </c:pt>
                <c:pt idx="315">
                  <c:v>9.58</c:v>
                </c:pt>
                <c:pt idx="316">
                  <c:v>9.24</c:v>
                </c:pt>
                <c:pt idx="317">
                  <c:v>8.69</c:v>
                </c:pt>
                <c:pt idx="318">
                  <c:v>9.5</c:v>
                </c:pt>
                <c:pt idx="319">
                  <c:v>9.14</c:v>
                </c:pt>
                <c:pt idx="320">
                  <c:v>9.33</c:v>
                </c:pt>
                <c:pt idx="321">
                  <c:v>9.7100000000000009</c:v>
                </c:pt>
                <c:pt idx="322">
                  <c:v>9.4499999999999993</c:v>
                </c:pt>
                <c:pt idx="323">
                  <c:v>9.4</c:v>
                </c:pt>
                <c:pt idx="324">
                  <c:v>9.6300000000000008</c:v>
                </c:pt>
                <c:pt idx="325">
                  <c:v>9.4700000000000006</c:v>
                </c:pt>
                <c:pt idx="326">
                  <c:v>9.65</c:v>
                </c:pt>
                <c:pt idx="327">
                  <c:v>9.7799999999999994</c:v>
                </c:pt>
                <c:pt idx="328">
                  <c:v>10.06</c:v>
                </c:pt>
                <c:pt idx="329">
                  <c:v>10.039999999999999</c:v>
                </c:pt>
                <c:pt idx="330">
                  <c:v>10.02</c:v>
                </c:pt>
                <c:pt idx="331">
                  <c:v>10.15</c:v>
                </c:pt>
                <c:pt idx="332">
                  <c:v>10.01</c:v>
                </c:pt>
                <c:pt idx="333">
                  <c:v>10.18</c:v>
                </c:pt>
                <c:pt idx="334">
                  <c:v>10.28</c:v>
                </c:pt>
                <c:pt idx="335">
                  <c:v>10.17</c:v>
                </c:pt>
                <c:pt idx="336">
                  <c:v>10.44</c:v>
                </c:pt>
                <c:pt idx="337">
                  <c:v>10.28</c:v>
                </c:pt>
                <c:pt idx="338">
                  <c:v>10.28</c:v>
                </c:pt>
                <c:pt idx="339">
                  <c:v>10.43</c:v>
                </c:pt>
                <c:pt idx="340">
                  <c:v>10.55</c:v>
                </c:pt>
                <c:pt idx="341">
                  <c:v>10.6</c:v>
                </c:pt>
                <c:pt idx="342">
                  <c:v>10.65</c:v>
                </c:pt>
                <c:pt idx="343">
                  <c:v>10.75</c:v>
                </c:pt>
                <c:pt idx="344">
                  <c:v>10.8</c:v>
                </c:pt>
                <c:pt idx="345">
                  <c:v>10.75</c:v>
                </c:pt>
                <c:pt idx="346">
                  <c:v>10.72</c:v>
                </c:pt>
                <c:pt idx="347">
                  <c:v>10.48</c:v>
                </c:pt>
                <c:pt idx="348">
                  <c:v>10.44</c:v>
                </c:pt>
                <c:pt idx="349">
                  <c:v>10.36</c:v>
                </c:pt>
                <c:pt idx="350">
                  <c:v>10.31</c:v>
                </c:pt>
                <c:pt idx="351">
                  <c:v>10.17</c:v>
                </c:pt>
                <c:pt idx="352">
                  <c:v>10.220000000000001</c:v>
                </c:pt>
                <c:pt idx="353">
                  <c:v>10.38</c:v>
                </c:pt>
                <c:pt idx="354">
                  <c:v>9.98</c:v>
                </c:pt>
                <c:pt idx="355">
                  <c:v>10.19</c:v>
                </c:pt>
                <c:pt idx="356">
                  <c:v>10.24</c:v>
                </c:pt>
                <c:pt idx="357">
                  <c:v>10.1</c:v>
                </c:pt>
                <c:pt idx="358">
                  <c:v>10.26</c:v>
                </c:pt>
                <c:pt idx="359">
                  <c:v>10.34</c:v>
                </c:pt>
                <c:pt idx="360">
                  <c:v>10.6</c:v>
                </c:pt>
                <c:pt idx="361">
                  <c:v>10.66</c:v>
                </c:pt>
                <c:pt idx="362">
                  <c:v>10.53</c:v>
                </c:pt>
                <c:pt idx="363">
                  <c:v>10.43</c:v>
                </c:pt>
                <c:pt idx="364">
                  <c:v>10.62</c:v>
                </c:pt>
                <c:pt idx="365">
                  <c:v>10.42</c:v>
                </c:pt>
                <c:pt idx="366">
                  <c:v>10.43</c:v>
                </c:pt>
                <c:pt idx="367">
                  <c:v>10.59</c:v>
                </c:pt>
                <c:pt idx="368">
                  <c:v>10.75</c:v>
                </c:pt>
                <c:pt idx="369">
                  <c:v>10.73</c:v>
                </c:pt>
                <c:pt idx="370">
                  <c:v>10.48</c:v>
                </c:pt>
                <c:pt idx="371">
                  <c:v>10.63</c:v>
                </c:pt>
                <c:pt idx="372">
                  <c:v>10.8</c:v>
                </c:pt>
                <c:pt idx="373">
                  <c:v>10.85</c:v>
                </c:pt>
                <c:pt idx="374">
                  <c:v>11.35</c:v>
                </c:pt>
                <c:pt idx="375">
                  <c:v>11.77</c:v>
                </c:pt>
                <c:pt idx="376">
                  <c:v>11.81</c:v>
                </c:pt>
                <c:pt idx="377">
                  <c:v>11.59</c:v>
                </c:pt>
                <c:pt idx="378">
                  <c:v>11.68</c:v>
                </c:pt>
                <c:pt idx="379">
                  <c:v>11.83</c:v>
                </c:pt>
                <c:pt idx="380">
                  <c:v>11.91</c:v>
                </c:pt>
                <c:pt idx="381">
                  <c:v>11.78</c:v>
                </c:pt>
                <c:pt idx="382">
                  <c:v>11.88</c:v>
                </c:pt>
                <c:pt idx="383">
                  <c:v>11.57</c:v>
                </c:pt>
                <c:pt idx="384">
                  <c:v>11.24</c:v>
                </c:pt>
                <c:pt idx="385">
                  <c:v>11.15</c:v>
                </c:pt>
                <c:pt idx="386">
                  <c:v>11.16</c:v>
                </c:pt>
                <c:pt idx="387">
                  <c:v>11.31</c:v>
                </c:pt>
                <c:pt idx="388">
                  <c:v>11.19</c:v>
                </c:pt>
                <c:pt idx="389">
                  <c:v>11.38</c:v>
                </c:pt>
                <c:pt idx="390">
                  <c:v>11.26</c:v>
                </c:pt>
                <c:pt idx="391">
                  <c:v>11.47</c:v>
                </c:pt>
                <c:pt idx="392">
                  <c:v>11.28</c:v>
                </c:pt>
                <c:pt idx="393">
                  <c:v>11.08</c:v>
                </c:pt>
                <c:pt idx="394">
                  <c:v>10.87</c:v>
                </c:pt>
                <c:pt idx="395">
                  <c:v>11.07</c:v>
                </c:pt>
                <c:pt idx="396">
                  <c:v>10.82</c:v>
                </c:pt>
                <c:pt idx="397">
                  <c:v>10.95</c:v>
                </c:pt>
                <c:pt idx="398">
                  <c:v>11.06</c:v>
                </c:pt>
                <c:pt idx="399">
                  <c:v>11.21</c:v>
                </c:pt>
                <c:pt idx="400">
                  <c:v>11.28</c:v>
                </c:pt>
                <c:pt idx="401">
                  <c:v>11.32</c:v>
                </c:pt>
                <c:pt idx="402">
                  <c:v>11.14</c:v>
                </c:pt>
                <c:pt idx="403">
                  <c:v>11.25</c:v>
                </c:pt>
                <c:pt idx="404">
                  <c:v>11.44</c:v>
                </c:pt>
                <c:pt idx="405">
                  <c:v>11.44</c:v>
                </c:pt>
                <c:pt idx="406">
                  <c:v>11.44</c:v>
                </c:pt>
                <c:pt idx="407">
                  <c:v>11.46</c:v>
                </c:pt>
                <c:pt idx="408">
                  <c:v>11.58</c:v>
                </c:pt>
                <c:pt idx="409">
                  <c:v>11.49</c:v>
                </c:pt>
                <c:pt idx="410">
                  <c:v>11.33</c:v>
                </c:pt>
                <c:pt idx="411">
                  <c:v>11.74</c:v>
                </c:pt>
                <c:pt idx="412">
                  <c:v>11.82</c:v>
                </c:pt>
                <c:pt idx="413">
                  <c:v>11.84</c:v>
                </c:pt>
                <c:pt idx="414">
                  <c:v>11.91</c:v>
                </c:pt>
                <c:pt idx="415">
                  <c:v>11.71</c:v>
                </c:pt>
                <c:pt idx="416">
                  <c:v>11.77</c:v>
                </c:pt>
                <c:pt idx="417">
                  <c:v>11.72</c:v>
                </c:pt>
                <c:pt idx="418">
                  <c:v>11.62</c:v>
                </c:pt>
                <c:pt idx="419">
                  <c:v>11.68</c:v>
                </c:pt>
                <c:pt idx="420">
                  <c:v>11.74</c:v>
                </c:pt>
                <c:pt idx="421">
                  <c:v>11.69</c:v>
                </c:pt>
                <c:pt idx="422">
                  <c:v>11.49</c:v>
                </c:pt>
                <c:pt idx="423">
                  <c:v>11.42</c:v>
                </c:pt>
                <c:pt idx="424">
                  <c:v>11.76</c:v>
                </c:pt>
                <c:pt idx="425">
                  <c:v>11.68</c:v>
                </c:pt>
                <c:pt idx="426">
                  <c:v>11.68</c:v>
                </c:pt>
                <c:pt idx="427">
                  <c:v>11.61</c:v>
                </c:pt>
                <c:pt idx="428">
                  <c:v>11.66</c:v>
                </c:pt>
                <c:pt idx="429">
                  <c:v>11.74</c:v>
                </c:pt>
                <c:pt idx="430">
                  <c:v>11.62</c:v>
                </c:pt>
                <c:pt idx="431">
                  <c:v>11.66</c:v>
                </c:pt>
                <c:pt idx="432">
                  <c:v>11.73</c:v>
                </c:pt>
                <c:pt idx="433">
                  <c:v>11.63</c:v>
                </c:pt>
                <c:pt idx="434">
                  <c:v>11.62</c:v>
                </c:pt>
                <c:pt idx="435">
                  <c:v>12.01</c:v>
                </c:pt>
                <c:pt idx="436">
                  <c:v>12.09</c:v>
                </c:pt>
                <c:pt idx="437">
                  <c:v>11.96</c:v>
                </c:pt>
                <c:pt idx="438">
                  <c:v>12.27</c:v>
                </c:pt>
                <c:pt idx="439">
                  <c:v>12.22</c:v>
                </c:pt>
                <c:pt idx="440">
                  <c:v>12.67</c:v>
                </c:pt>
                <c:pt idx="441">
                  <c:v>12.7</c:v>
                </c:pt>
                <c:pt idx="442">
                  <c:v>11.92</c:v>
                </c:pt>
                <c:pt idx="443">
                  <c:v>11.74</c:v>
                </c:pt>
                <c:pt idx="444">
                  <c:v>11.5</c:v>
                </c:pt>
                <c:pt idx="445">
                  <c:v>11.41</c:v>
                </c:pt>
                <c:pt idx="446">
                  <c:v>11.54</c:v>
                </c:pt>
                <c:pt idx="447">
                  <c:v>11.65</c:v>
                </c:pt>
                <c:pt idx="448">
                  <c:v>11.76</c:v>
                </c:pt>
                <c:pt idx="449">
                  <c:v>11.74</c:v>
                </c:pt>
                <c:pt idx="450">
                  <c:v>11.92</c:v>
                </c:pt>
                <c:pt idx="451">
                  <c:v>11.99</c:v>
                </c:pt>
                <c:pt idx="452">
                  <c:v>12.56</c:v>
                </c:pt>
                <c:pt idx="453">
                  <c:v>12.43</c:v>
                </c:pt>
                <c:pt idx="454">
                  <c:v>12.34</c:v>
                </c:pt>
                <c:pt idx="455">
                  <c:v>13.84</c:v>
                </c:pt>
                <c:pt idx="456">
                  <c:v>13.26</c:v>
                </c:pt>
                <c:pt idx="457">
                  <c:v>13.13</c:v>
                </c:pt>
                <c:pt idx="458">
                  <c:v>13.24</c:v>
                </c:pt>
                <c:pt idx="459">
                  <c:v>13.06</c:v>
                </c:pt>
                <c:pt idx="460">
                  <c:v>13.13</c:v>
                </c:pt>
                <c:pt idx="461">
                  <c:v>13.01</c:v>
                </c:pt>
                <c:pt idx="462">
                  <c:v>12.79</c:v>
                </c:pt>
                <c:pt idx="463">
                  <c:v>13.11</c:v>
                </c:pt>
                <c:pt idx="464">
                  <c:v>13.12</c:v>
                </c:pt>
                <c:pt idx="465">
                  <c:v>13.21</c:v>
                </c:pt>
                <c:pt idx="466">
                  <c:v>13.16</c:v>
                </c:pt>
                <c:pt idx="467">
                  <c:v>13.3</c:v>
                </c:pt>
                <c:pt idx="468">
                  <c:v>13.45</c:v>
                </c:pt>
                <c:pt idx="469">
                  <c:v>13.28</c:v>
                </c:pt>
                <c:pt idx="470">
                  <c:v>13.19</c:v>
                </c:pt>
                <c:pt idx="471">
                  <c:v>12.88</c:v>
                </c:pt>
                <c:pt idx="472">
                  <c:v>13.02</c:v>
                </c:pt>
                <c:pt idx="473">
                  <c:v>12.9</c:v>
                </c:pt>
                <c:pt idx="474">
                  <c:v>12.41</c:v>
                </c:pt>
                <c:pt idx="475">
                  <c:v>12.83</c:v>
                </c:pt>
                <c:pt idx="476">
                  <c:v>12.96</c:v>
                </c:pt>
                <c:pt idx="477">
                  <c:v>13.17</c:v>
                </c:pt>
                <c:pt idx="478">
                  <c:v>13.19</c:v>
                </c:pt>
                <c:pt idx="479">
                  <c:v>13.28</c:v>
                </c:pt>
                <c:pt idx="480">
                  <c:v>13.16</c:v>
                </c:pt>
                <c:pt idx="481">
                  <c:v>12.96</c:v>
                </c:pt>
                <c:pt idx="482">
                  <c:v>13.09</c:v>
                </c:pt>
                <c:pt idx="483">
                  <c:v>13.14</c:v>
                </c:pt>
                <c:pt idx="484">
                  <c:v>13.03</c:v>
                </c:pt>
                <c:pt idx="485">
                  <c:v>13.14</c:v>
                </c:pt>
                <c:pt idx="486">
                  <c:v>13.08</c:v>
                </c:pt>
                <c:pt idx="487">
                  <c:v>13.41</c:v>
                </c:pt>
                <c:pt idx="488">
                  <c:v>13.63</c:v>
                </c:pt>
                <c:pt idx="489">
                  <c:v>13.76</c:v>
                </c:pt>
                <c:pt idx="490">
                  <c:v>13.65</c:v>
                </c:pt>
                <c:pt idx="491">
                  <c:v>13.67</c:v>
                </c:pt>
                <c:pt idx="492">
                  <c:v>13.31</c:v>
                </c:pt>
                <c:pt idx="493">
                  <c:v>13.32</c:v>
                </c:pt>
                <c:pt idx="494">
                  <c:v>13.47</c:v>
                </c:pt>
                <c:pt idx="495">
                  <c:v>13.46</c:v>
                </c:pt>
                <c:pt idx="496">
                  <c:v>13.29</c:v>
                </c:pt>
                <c:pt idx="497">
                  <c:v>13.36</c:v>
                </c:pt>
                <c:pt idx="498">
                  <c:v>13.31</c:v>
                </c:pt>
                <c:pt idx="499">
                  <c:v>13.28</c:v>
                </c:pt>
                <c:pt idx="500">
                  <c:v>13.23</c:v>
                </c:pt>
                <c:pt idx="501">
                  <c:v>13.12</c:v>
                </c:pt>
                <c:pt idx="502">
                  <c:v>13.34</c:v>
                </c:pt>
                <c:pt idx="503">
                  <c:v>13.47</c:v>
                </c:pt>
                <c:pt idx="504">
                  <c:v>13.8</c:v>
                </c:pt>
                <c:pt idx="505">
                  <c:v>13.74</c:v>
                </c:pt>
                <c:pt idx="506">
                  <c:v>14.4</c:v>
                </c:pt>
                <c:pt idx="507">
                  <c:v>14.2</c:v>
                </c:pt>
                <c:pt idx="508">
                  <c:v>14.03</c:v>
                </c:pt>
                <c:pt idx="509">
                  <c:v>13.98</c:v>
                </c:pt>
                <c:pt idx="510">
                  <c:v>13.84</c:v>
                </c:pt>
                <c:pt idx="511">
                  <c:v>13.81</c:v>
                </c:pt>
                <c:pt idx="512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Data!$E$2:$E$514</c:f>
              <c:numCache>
                <c:formatCode>General</c:formatCode>
                <c:ptCount val="513"/>
                <c:pt idx="0">
                  <c:v>11.967599999999999</c:v>
                </c:pt>
                <c:pt idx="1">
                  <c:v>11.703550219772204</c:v>
                </c:pt>
                <c:pt idx="2">
                  <c:v>11.637229526702336</c:v>
                </c:pt>
                <c:pt idx="3">
                  <c:v>11.642405672844658</c:v>
                </c:pt>
                <c:pt idx="4">
                  <c:v>11.664599852192216</c:v>
                </c:pt>
                <c:pt idx="5">
                  <c:v>11.662686146252568</c:v>
                </c:pt>
                <c:pt idx="6">
                  <c:v>11.660525912013405</c:v>
                </c:pt>
                <c:pt idx="7">
                  <c:v>11.643751176639984</c:v>
                </c:pt>
                <c:pt idx="8">
                  <c:v>11.599038999340085</c:v>
                </c:pt>
                <c:pt idx="9">
                  <c:v>11.569753217188113</c:v>
                </c:pt>
                <c:pt idx="10">
                  <c:v>11.52373520957708</c:v>
                </c:pt>
                <c:pt idx="11">
                  <c:v>11.441784447448033</c:v>
                </c:pt>
                <c:pt idx="12">
                  <c:v>11.404109698451851</c:v>
                </c:pt>
                <c:pt idx="13">
                  <c:v>11.380205135401335</c:v>
                </c:pt>
                <c:pt idx="14">
                  <c:v>11.368993727346311</c:v>
                </c:pt>
                <c:pt idx="15">
                  <c:v>11.332451963534915</c:v>
                </c:pt>
                <c:pt idx="16">
                  <c:v>11.322806112945464</c:v>
                </c:pt>
                <c:pt idx="17">
                  <c:v>11.318380987910775</c:v>
                </c:pt>
                <c:pt idx="18">
                  <c:v>11.321308266487726</c:v>
                </c:pt>
                <c:pt idx="19">
                  <c:v>11.339627211837072</c:v>
                </c:pt>
                <c:pt idx="20">
                  <c:v>11.352627454179579</c:v>
                </c:pt>
                <c:pt idx="21">
                  <c:v>11.390208900655667</c:v>
                </c:pt>
                <c:pt idx="22">
                  <c:v>11.422262017742739</c:v>
                </c:pt>
                <c:pt idx="23">
                  <c:v>11.421324368216348</c:v>
                </c:pt>
                <c:pt idx="24">
                  <c:v>11.452604616395584</c:v>
                </c:pt>
                <c:pt idx="25">
                  <c:v>11.55141926778346</c:v>
                </c:pt>
                <c:pt idx="26">
                  <c:v>11.595941237963997</c:v>
                </c:pt>
                <c:pt idx="27">
                  <c:v>11.620613599393518</c:v>
                </c:pt>
                <c:pt idx="28">
                  <c:v>11.656041821628495</c:v>
                </c:pt>
                <c:pt idx="29">
                  <c:v>11.686625691279222</c:v>
                </c:pt>
                <c:pt idx="30">
                  <c:v>11.705626579884534</c:v>
                </c:pt>
                <c:pt idx="31">
                  <c:v>11.724001347659479</c:v>
                </c:pt>
                <c:pt idx="32">
                  <c:v>11.732319099850761</c:v>
                </c:pt>
                <c:pt idx="33">
                  <c:v>11.739444798139814</c:v>
                </c:pt>
                <c:pt idx="34">
                  <c:v>11.743667968905022</c:v>
                </c:pt>
                <c:pt idx="35">
                  <c:v>11.746910543556348</c:v>
                </c:pt>
                <c:pt idx="36">
                  <c:v>11.749933357288263</c:v>
                </c:pt>
                <c:pt idx="37">
                  <c:v>11.750137821912487</c:v>
                </c:pt>
                <c:pt idx="38">
                  <c:v>11.75112799169146</c:v>
                </c:pt>
                <c:pt idx="39">
                  <c:v>11.759171425749045</c:v>
                </c:pt>
                <c:pt idx="40">
                  <c:v>11.768205581477217</c:v>
                </c:pt>
                <c:pt idx="41">
                  <c:v>11.778231245258553</c:v>
                </c:pt>
                <c:pt idx="42">
                  <c:v>11.803743931700653</c:v>
                </c:pt>
                <c:pt idx="43">
                  <c:v>11.814858214989867</c:v>
                </c:pt>
                <c:pt idx="44">
                  <c:v>11.821967175026957</c:v>
                </c:pt>
                <c:pt idx="45">
                  <c:v>11.827894771993622</c:v>
                </c:pt>
                <c:pt idx="46">
                  <c:v>11.831211381051599</c:v>
                </c:pt>
                <c:pt idx="47">
                  <c:v>11.832360742835759</c:v>
                </c:pt>
                <c:pt idx="48">
                  <c:v>11.833357688428354</c:v>
                </c:pt>
                <c:pt idx="49">
                  <c:v>11.839636951025916</c:v>
                </c:pt>
                <c:pt idx="50">
                  <c:v>11.840562818469765</c:v>
                </c:pt>
                <c:pt idx="51">
                  <c:v>11.841437931615081</c:v>
                </c:pt>
                <c:pt idx="52">
                  <c:v>11.84326327431048</c:v>
                </c:pt>
                <c:pt idx="53">
                  <c:v>11.846159051361083</c:v>
                </c:pt>
                <c:pt idx="54">
                  <c:v>11.865182359153565</c:v>
                </c:pt>
                <c:pt idx="55">
                  <c:v>11.880591317578606</c:v>
                </c:pt>
                <c:pt idx="56">
                  <c:v>11.889372810282159</c:v>
                </c:pt>
                <c:pt idx="57">
                  <c:v>11.899365017015691</c:v>
                </c:pt>
                <c:pt idx="58">
                  <c:v>11.906533929053261</c:v>
                </c:pt>
                <c:pt idx="59">
                  <c:v>11.922023946571343</c:v>
                </c:pt>
                <c:pt idx="60">
                  <c:v>11.943307201583792</c:v>
                </c:pt>
                <c:pt idx="61">
                  <c:v>11.955408189698963</c:v>
                </c:pt>
                <c:pt idx="62">
                  <c:v>11.969331756941191</c:v>
                </c:pt>
                <c:pt idx="63">
                  <c:v>11.993591988517665</c:v>
                </c:pt>
                <c:pt idx="64">
                  <c:v>12.012892982628214</c:v>
                </c:pt>
                <c:pt idx="65">
                  <c:v>12.026726748414635</c:v>
                </c:pt>
                <c:pt idx="66">
                  <c:v>12.036410381669558</c:v>
                </c:pt>
                <c:pt idx="67">
                  <c:v>12.048959840133179</c:v>
                </c:pt>
                <c:pt idx="68">
                  <c:v>12.060124237872568</c:v>
                </c:pt>
                <c:pt idx="69">
                  <c:v>12.068059947026041</c:v>
                </c:pt>
                <c:pt idx="70">
                  <c:v>12.07278559591815</c:v>
                </c:pt>
                <c:pt idx="71">
                  <c:v>12.072225466169231</c:v>
                </c:pt>
                <c:pt idx="72">
                  <c:v>12.069722679985405</c:v>
                </c:pt>
                <c:pt idx="73">
                  <c:v>12.067291412142094</c:v>
                </c:pt>
                <c:pt idx="74">
                  <c:v>12.065312071327165</c:v>
                </c:pt>
                <c:pt idx="75">
                  <c:v>12.064158510517069</c:v>
                </c:pt>
                <c:pt idx="76">
                  <c:v>12.077004526420621</c:v>
                </c:pt>
                <c:pt idx="77">
                  <c:v>12.086890439051301</c:v>
                </c:pt>
                <c:pt idx="78">
                  <c:v>12.098411684418201</c:v>
                </c:pt>
                <c:pt idx="79">
                  <c:v>12.113129220425499</c:v>
                </c:pt>
                <c:pt idx="80">
                  <c:v>12.119303488643849</c:v>
                </c:pt>
                <c:pt idx="81">
                  <c:v>12.124159337878503</c:v>
                </c:pt>
                <c:pt idx="82">
                  <c:v>12.121370657067761</c:v>
                </c:pt>
                <c:pt idx="83">
                  <c:v>12.120151358620205</c:v>
                </c:pt>
                <c:pt idx="84">
                  <c:v>12.121897671367732</c:v>
                </c:pt>
                <c:pt idx="85">
                  <c:v>12.123030827558793</c:v>
                </c:pt>
                <c:pt idx="86">
                  <c:v>12.124166680470307</c:v>
                </c:pt>
                <c:pt idx="87">
                  <c:v>12.122680853988392</c:v>
                </c:pt>
                <c:pt idx="88">
                  <c:v>12.121365747123328</c:v>
                </c:pt>
                <c:pt idx="89">
                  <c:v>12.120258138753474</c:v>
                </c:pt>
                <c:pt idx="90">
                  <c:v>12.116875937857273</c:v>
                </c:pt>
                <c:pt idx="91">
                  <c:v>12.117098908237951</c:v>
                </c:pt>
                <c:pt idx="92">
                  <c:v>12.118113730844351</c:v>
                </c:pt>
                <c:pt idx="93">
                  <c:v>12.118085283430323</c:v>
                </c:pt>
                <c:pt idx="94">
                  <c:v>12.118626718671299</c:v>
                </c:pt>
                <c:pt idx="95">
                  <c:v>12.118471214439028</c:v>
                </c:pt>
                <c:pt idx="96">
                  <c:v>12.117621867553813</c:v>
                </c:pt>
                <c:pt idx="97">
                  <c:v>12.116601213431048</c:v>
                </c:pt>
                <c:pt idx="98">
                  <c:v>12.114708519815771</c:v>
                </c:pt>
                <c:pt idx="99">
                  <c:v>12.113070186348349</c:v>
                </c:pt>
                <c:pt idx="100">
                  <c:v>12.111941540929895</c:v>
                </c:pt>
                <c:pt idx="101">
                  <c:v>12.105281953710843</c:v>
                </c:pt>
                <c:pt idx="102">
                  <c:v>12.099073545018168</c:v>
                </c:pt>
                <c:pt idx="103">
                  <c:v>12.095049029772774</c:v>
                </c:pt>
                <c:pt idx="104">
                  <c:v>12.093406611894199</c:v>
                </c:pt>
                <c:pt idx="105">
                  <c:v>12.092469283211983</c:v>
                </c:pt>
                <c:pt idx="106">
                  <c:v>12.090581741052709</c:v>
                </c:pt>
                <c:pt idx="107">
                  <c:v>12.088865347861683</c:v>
                </c:pt>
                <c:pt idx="108">
                  <c:v>12.08781237272443</c:v>
                </c:pt>
                <c:pt idx="109">
                  <c:v>12.087079822498882</c:v>
                </c:pt>
                <c:pt idx="110">
                  <c:v>12.088235871005521</c:v>
                </c:pt>
                <c:pt idx="111">
                  <c:v>12.08682056086287</c:v>
                </c:pt>
                <c:pt idx="112">
                  <c:v>12.08488528791556</c:v>
                </c:pt>
                <c:pt idx="113">
                  <c:v>12.082534982538352</c:v>
                </c:pt>
                <c:pt idx="114">
                  <c:v>12.077891245016888</c:v>
                </c:pt>
                <c:pt idx="115">
                  <c:v>12.075664553777671</c:v>
                </c:pt>
                <c:pt idx="116">
                  <c:v>12.073330006385904</c:v>
                </c:pt>
                <c:pt idx="117">
                  <c:v>12.070480614795988</c:v>
                </c:pt>
                <c:pt idx="118">
                  <c:v>12.067040521577223</c:v>
                </c:pt>
                <c:pt idx="119">
                  <c:v>12.066750572035735</c:v>
                </c:pt>
                <c:pt idx="120">
                  <c:v>12.065683755114605</c:v>
                </c:pt>
                <c:pt idx="121">
                  <c:v>12.064705319070828</c:v>
                </c:pt>
                <c:pt idx="122">
                  <c:v>12.064489514725988</c:v>
                </c:pt>
                <c:pt idx="123">
                  <c:v>12.067366025882421</c:v>
                </c:pt>
                <c:pt idx="124">
                  <c:v>12.071667562880036</c:v>
                </c:pt>
                <c:pt idx="125">
                  <c:v>12.075998319787299</c:v>
                </c:pt>
                <c:pt idx="126">
                  <c:v>12.078448709106059</c:v>
                </c:pt>
                <c:pt idx="127">
                  <c:v>12.081157902914461</c:v>
                </c:pt>
                <c:pt idx="128">
                  <c:v>12.085849233865945</c:v>
                </c:pt>
                <c:pt idx="129">
                  <c:v>12.089616355068426</c:v>
                </c:pt>
                <c:pt idx="130">
                  <c:v>12.094389717254884</c:v>
                </c:pt>
                <c:pt idx="131">
                  <c:v>12.103336462012829</c:v>
                </c:pt>
                <c:pt idx="132">
                  <c:v>12.124892701829898</c:v>
                </c:pt>
                <c:pt idx="133">
                  <c:v>12.14294658039262</c:v>
                </c:pt>
                <c:pt idx="134">
                  <c:v>12.158204633833071</c:v>
                </c:pt>
                <c:pt idx="135">
                  <c:v>12.175705732095006</c:v>
                </c:pt>
                <c:pt idx="136">
                  <c:v>12.19348490036189</c:v>
                </c:pt>
                <c:pt idx="137">
                  <c:v>12.210268079832291</c:v>
                </c:pt>
                <c:pt idx="138">
                  <c:v>12.224232547088022</c:v>
                </c:pt>
                <c:pt idx="139">
                  <c:v>12.240722660039879</c:v>
                </c:pt>
                <c:pt idx="140">
                  <c:v>12.254297290736876</c:v>
                </c:pt>
                <c:pt idx="141">
                  <c:v>12.210710655936131</c:v>
                </c:pt>
                <c:pt idx="142">
                  <c:v>12.19824108591266</c:v>
                </c:pt>
                <c:pt idx="143">
                  <c:v>12.182099565841026</c:v>
                </c:pt>
                <c:pt idx="144">
                  <c:v>12.168656051257242</c:v>
                </c:pt>
                <c:pt idx="145">
                  <c:v>12.154102114082345</c:v>
                </c:pt>
                <c:pt idx="146">
                  <c:v>12.141658412790802</c:v>
                </c:pt>
                <c:pt idx="147">
                  <c:v>12.110449499725791</c:v>
                </c:pt>
                <c:pt idx="148">
                  <c:v>12.074308451267735</c:v>
                </c:pt>
                <c:pt idx="149">
                  <c:v>12.041238642372896</c:v>
                </c:pt>
                <c:pt idx="150">
                  <c:v>12.021053163059976</c:v>
                </c:pt>
                <c:pt idx="151">
                  <c:v>12.00327322726813</c:v>
                </c:pt>
                <c:pt idx="152">
                  <c:v>11.991374919346837</c:v>
                </c:pt>
                <c:pt idx="153">
                  <c:v>11.976323154863048</c:v>
                </c:pt>
                <c:pt idx="154">
                  <c:v>11.965896725628834</c:v>
                </c:pt>
                <c:pt idx="155">
                  <c:v>11.957524293676485</c:v>
                </c:pt>
                <c:pt idx="156">
                  <c:v>11.949528274168626</c:v>
                </c:pt>
                <c:pt idx="157">
                  <c:v>11.943215949914165</c:v>
                </c:pt>
                <c:pt idx="158">
                  <c:v>11.936661683730636</c:v>
                </c:pt>
                <c:pt idx="159">
                  <c:v>11.93137718319344</c:v>
                </c:pt>
                <c:pt idx="160">
                  <c:v>11.924414868959397</c:v>
                </c:pt>
                <c:pt idx="161">
                  <c:v>11.917653117747117</c:v>
                </c:pt>
                <c:pt idx="162">
                  <c:v>11.911672757331667</c:v>
                </c:pt>
                <c:pt idx="163">
                  <c:v>11.905893984576156</c:v>
                </c:pt>
                <c:pt idx="164">
                  <c:v>11.901211410659105</c:v>
                </c:pt>
                <c:pt idx="165">
                  <c:v>11.897157677689716</c:v>
                </c:pt>
                <c:pt idx="166">
                  <c:v>11.8923980213546</c:v>
                </c:pt>
                <c:pt idx="167">
                  <c:v>11.888073916992335</c:v>
                </c:pt>
                <c:pt idx="168">
                  <c:v>11.882238025861703</c:v>
                </c:pt>
                <c:pt idx="169">
                  <c:v>11.876510195922638</c:v>
                </c:pt>
                <c:pt idx="170">
                  <c:v>11.869565646447452</c:v>
                </c:pt>
                <c:pt idx="171">
                  <c:v>11.862156709210069</c:v>
                </c:pt>
                <c:pt idx="172">
                  <c:v>11.856425882919106</c:v>
                </c:pt>
                <c:pt idx="173">
                  <c:v>11.845084742446161</c:v>
                </c:pt>
                <c:pt idx="174">
                  <c:v>11.835913596505112</c:v>
                </c:pt>
                <c:pt idx="175">
                  <c:v>11.829561709844954</c:v>
                </c:pt>
                <c:pt idx="176">
                  <c:v>11.824755181858173</c:v>
                </c:pt>
                <c:pt idx="177">
                  <c:v>11.820427168965404</c:v>
                </c:pt>
                <c:pt idx="178">
                  <c:v>11.814540688909169</c:v>
                </c:pt>
                <c:pt idx="179">
                  <c:v>11.808834750161198</c:v>
                </c:pt>
                <c:pt idx="180">
                  <c:v>11.803139202483408</c:v>
                </c:pt>
                <c:pt idx="181">
                  <c:v>11.795482607443603</c:v>
                </c:pt>
                <c:pt idx="182">
                  <c:v>11.791155175945388</c:v>
                </c:pt>
                <c:pt idx="183">
                  <c:v>11.786996059101662</c:v>
                </c:pt>
                <c:pt idx="184">
                  <c:v>11.775638407053775</c:v>
                </c:pt>
                <c:pt idx="185">
                  <c:v>11.769167186764873</c:v>
                </c:pt>
                <c:pt idx="186">
                  <c:v>11.763942280743564</c:v>
                </c:pt>
                <c:pt idx="187">
                  <c:v>11.75587814648136</c:v>
                </c:pt>
                <c:pt idx="188">
                  <c:v>11.748515024786661</c:v>
                </c:pt>
                <c:pt idx="189">
                  <c:v>11.741326416304563</c:v>
                </c:pt>
                <c:pt idx="190">
                  <c:v>11.735046169914842</c:v>
                </c:pt>
                <c:pt idx="191">
                  <c:v>11.729133522036593</c:v>
                </c:pt>
                <c:pt idx="192">
                  <c:v>11.723995945129857</c:v>
                </c:pt>
                <c:pt idx="193">
                  <c:v>11.717780806192357</c:v>
                </c:pt>
                <c:pt idx="194">
                  <c:v>11.712901496828991</c:v>
                </c:pt>
                <c:pt idx="195">
                  <c:v>11.708394167891102</c:v>
                </c:pt>
                <c:pt idx="196">
                  <c:v>11.704892239773105</c:v>
                </c:pt>
                <c:pt idx="197">
                  <c:v>11.701101449654177</c:v>
                </c:pt>
                <c:pt idx="198">
                  <c:v>11.695952647760853</c:v>
                </c:pt>
                <c:pt idx="199">
                  <c:v>11.692259741183095</c:v>
                </c:pt>
                <c:pt idx="200">
                  <c:v>11.689465227517154</c:v>
                </c:pt>
                <c:pt idx="201">
                  <c:v>11.687611129359233</c:v>
                </c:pt>
                <c:pt idx="202">
                  <c:v>11.683891221356809</c:v>
                </c:pt>
                <c:pt idx="203">
                  <c:v>11.680326695075685</c:v>
                </c:pt>
                <c:pt idx="204">
                  <c:v>11.677599821094784</c:v>
                </c:pt>
                <c:pt idx="205">
                  <c:v>11.675081932074901</c:v>
                </c:pt>
                <c:pt idx="206">
                  <c:v>11.672300492325496</c:v>
                </c:pt>
                <c:pt idx="207">
                  <c:v>11.668033576524238</c:v>
                </c:pt>
                <c:pt idx="208">
                  <c:v>11.648236394003773</c:v>
                </c:pt>
                <c:pt idx="209">
                  <c:v>11.642414295269967</c:v>
                </c:pt>
                <c:pt idx="210">
                  <c:v>11.632787784992088</c:v>
                </c:pt>
                <c:pt idx="211">
                  <c:v>11.626779388652668</c:v>
                </c:pt>
                <c:pt idx="212">
                  <c:v>11.61986493999995</c:v>
                </c:pt>
                <c:pt idx="213">
                  <c:v>11.614771403683513</c:v>
                </c:pt>
                <c:pt idx="214">
                  <c:v>11.609541916711432</c:v>
                </c:pt>
                <c:pt idx="215">
                  <c:v>11.60562885461689</c:v>
                </c:pt>
                <c:pt idx="216">
                  <c:v>11.602484261651076</c:v>
                </c:pt>
                <c:pt idx="217">
                  <c:v>11.599833654842499</c:v>
                </c:pt>
                <c:pt idx="218">
                  <c:v>11.597262273676765</c:v>
                </c:pt>
                <c:pt idx="219">
                  <c:v>11.594131988387151</c:v>
                </c:pt>
                <c:pt idx="220">
                  <c:v>11.590798846873048</c:v>
                </c:pt>
                <c:pt idx="221">
                  <c:v>11.58708421170004</c:v>
                </c:pt>
                <c:pt idx="222">
                  <c:v>11.584878923507064</c:v>
                </c:pt>
                <c:pt idx="223">
                  <c:v>11.581749691274167</c:v>
                </c:pt>
                <c:pt idx="224">
                  <c:v>11.575975014983364</c:v>
                </c:pt>
                <c:pt idx="225">
                  <c:v>11.571827568910606</c:v>
                </c:pt>
                <c:pt idx="226">
                  <c:v>11.568002887535471</c:v>
                </c:pt>
                <c:pt idx="227">
                  <c:v>11.566211373705766</c:v>
                </c:pt>
                <c:pt idx="228">
                  <c:v>11.563752387514043</c:v>
                </c:pt>
                <c:pt idx="229">
                  <c:v>11.562286074766654</c:v>
                </c:pt>
                <c:pt idx="230">
                  <c:v>11.560871489182054</c:v>
                </c:pt>
                <c:pt idx="231">
                  <c:v>11.557849796281298</c:v>
                </c:pt>
                <c:pt idx="232">
                  <c:v>11.554666681682539</c:v>
                </c:pt>
                <c:pt idx="233">
                  <c:v>11.549450566287</c:v>
                </c:pt>
                <c:pt idx="234">
                  <c:v>11.542595009532356</c:v>
                </c:pt>
                <c:pt idx="235">
                  <c:v>11.537299441823402</c:v>
                </c:pt>
                <c:pt idx="236">
                  <c:v>11.532698008851447</c:v>
                </c:pt>
                <c:pt idx="237">
                  <c:v>11.528692125137981</c:v>
                </c:pt>
                <c:pt idx="238">
                  <c:v>11.522668967527769</c:v>
                </c:pt>
                <c:pt idx="239">
                  <c:v>11.518812656787009</c:v>
                </c:pt>
                <c:pt idx="240">
                  <c:v>11.514767609769718</c:v>
                </c:pt>
                <c:pt idx="241">
                  <c:v>11.502367479835424</c:v>
                </c:pt>
                <c:pt idx="242">
                  <c:v>11.492565407952565</c:v>
                </c:pt>
                <c:pt idx="243">
                  <c:v>11.480112104349669</c:v>
                </c:pt>
                <c:pt idx="244">
                  <c:v>11.468487040139561</c:v>
                </c:pt>
                <c:pt idx="245">
                  <c:v>11.45706144834743</c:v>
                </c:pt>
                <c:pt idx="246">
                  <c:v>11.450605714657186</c:v>
                </c:pt>
                <c:pt idx="247">
                  <c:v>11.447175465246071</c:v>
                </c:pt>
                <c:pt idx="248">
                  <c:v>11.443085944233118</c:v>
                </c:pt>
                <c:pt idx="249">
                  <c:v>11.436955030789191</c:v>
                </c:pt>
                <c:pt idx="250">
                  <c:v>11.431023486298425</c:v>
                </c:pt>
                <c:pt idx="251">
                  <c:v>11.424340761000167</c:v>
                </c:pt>
                <c:pt idx="252">
                  <c:v>11.41491546063885</c:v>
                </c:pt>
                <c:pt idx="253">
                  <c:v>11.405454050648542</c:v>
                </c:pt>
                <c:pt idx="254">
                  <c:v>11.397895413186621</c:v>
                </c:pt>
                <c:pt idx="255">
                  <c:v>11.389868455363288</c:v>
                </c:pt>
                <c:pt idx="256">
                  <c:v>11.381918297635147</c:v>
                </c:pt>
                <c:pt idx="257">
                  <c:v>11.372089461734571</c:v>
                </c:pt>
                <c:pt idx="258">
                  <c:v>11.363608530739949</c:v>
                </c:pt>
                <c:pt idx="259">
                  <c:v>11.358040692754912</c:v>
                </c:pt>
                <c:pt idx="260">
                  <c:v>11.350495916995397</c:v>
                </c:pt>
                <c:pt idx="261">
                  <c:v>11.345696650278642</c:v>
                </c:pt>
                <c:pt idx="262">
                  <c:v>11.340077460637842</c:v>
                </c:pt>
                <c:pt idx="263">
                  <c:v>11.335181830915456</c:v>
                </c:pt>
                <c:pt idx="264">
                  <c:v>11.328618494340335</c:v>
                </c:pt>
                <c:pt idx="265">
                  <c:v>11.323477523213297</c:v>
                </c:pt>
                <c:pt idx="266">
                  <c:v>11.319465974978202</c:v>
                </c:pt>
                <c:pt idx="267">
                  <c:v>11.313963430379367</c:v>
                </c:pt>
                <c:pt idx="268">
                  <c:v>11.305255587840993</c:v>
                </c:pt>
                <c:pt idx="269">
                  <c:v>11.299320851588654</c:v>
                </c:pt>
                <c:pt idx="270">
                  <c:v>11.2932387936343</c:v>
                </c:pt>
                <c:pt idx="271">
                  <c:v>11.283742393515222</c:v>
                </c:pt>
                <c:pt idx="272">
                  <c:v>11.270271782909246</c:v>
                </c:pt>
                <c:pt idx="273">
                  <c:v>11.264523733598367</c:v>
                </c:pt>
                <c:pt idx="274">
                  <c:v>11.253068969631119</c:v>
                </c:pt>
                <c:pt idx="275">
                  <c:v>11.222401445343307</c:v>
                </c:pt>
                <c:pt idx="276">
                  <c:v>11.203282687433729</c:v>
                </c:pt>
                <c:pt idx="277">
                  <c:v>11.193619359269846</c:v>
                </c:pt>
                <c:pt idx="278">
                  <c:v>11.186232305232387</c:v>
                </c:pt>
                <c:pt idx="279">
                  <c:v>11.177315655111096</c:v>
                </c:pt>
                <c:pt idx="280">
                  <c:v>11.16839099484495</c:v>
                </c:pt>
                <c:pt idx="281">
                  <c:v>11.162212719368215</c:v>
                </c:pt>
                <c:pt idx="282">
                  <c:v>11.155080653881221</c:v>
                </c:pt>
                <c:pt idx="283">
                  <c:v>11.149516058735964</c:v>
                </c:pt>
                <c:pt idx="284">
                  <c:v>11.145250318419862</c:v>
                </c:pt>
                <c:pt idx="285">
                  <c:v>11.13863215300484</c:v>
                </c:pt>
                <c:pt idx="286">
                  <c:v>11.13078643744231</c:v>
                </c:pt>
                <c:pt idx="287">
                  <c:v>11.121644131504443</c:v>
                </c:pt>
                <c:pt idx="288">
                  <c:v>11.112956053035676</c:v>
                </c:pt>
                <c:pt idx="289">
                  <c:v>11.10529949108737</c:v>
                </c:pt>
                <c:pt idx="290">
                  <c:v>11.092620989847738</c:v>
                </c:pt>
                <c:pt idx="291">
                  <c:v>11.077228096927465</c:v>
                </c:pt>
                <c:pt idx="292">
                  <c:v>11.058222898860933</c:v>
                </c:pt>
                <c:pt idx="293">
                  <c:v>11.045459351876376</c:v>
                </c:pt>
                <c:pt idx="294">
                  <c:v>11.034276215598751</c:v>
                </c:pt>
                <c:pt idx="295">
                  <c:v>11.024619589650591</c:v>
                </c:pt>
                <c:pt idx="296">
                  <c:v>11.014655058889204</c:v>
                </c:pt>
                <c:pt idx="297">
                  <c:v>10.999253182696268</c:v>
                </c:pt>
                <c:pt idx="298">
                  <c:v>10.989188719877799</c:v>
                </c:pt>
                <c:pt idx="299">
                  <c:v>10.97822904464314</c:v>
                </c:pt>
                <c:pt idx="300">
                  <c:v>10.972044957273676</c:v>
                </c:pt>
                <c:pt idx="301">
                  <c:v>10.966447832043126</c:v>
                </c:pt>
                <c:pt idx="302">
                  <c:v>10.960843632444792</c:v>
                </c:pt>
                <c:pt idx="303">
                  <c:v>10.955586142866645</c:v>
                </c:pt>
                <c:pt idx="304">
                  <c:v>10.950117842289547</c:v>
                </c:pt>
                <c:pt idx="305">
                  <c:v>10.938151810881676</c:v>
                </c:pt>
                <c:pt idx="306">
                  <c:v>10.934467531102928</c:v>
                </c:pt>
                <c:pt idx="307">
                  <c:v>10.931672514951941</c:v>
                </c:pt>
                <c:pt idx="308">
                  <c:v>10.927090437974815</c:v>
                </c:pt>
                <c:pt idx="309">
                  <c:v>10.915127328451787</c:v>
                </c:pt>
                <c:pt idx="310">
                  <c:v>10.906866130415565</c:v>
                </c:pt>
                <c:pt idx="311">
                  <c:v>10.900711825079672</c:v>
                </c:pt>
                <c:pt idx="312">
                  <c:v>10.894232887564616</c:v>
                </c:pt>
                <c:pt idx="313">
                  <c:v>10.889191897392465</c:v>
                </c:pt>
                <c:pt idx="314">
                  <c:v>10.874647342383033</c:v>
                </c:pt>
                <c:pt idx="315">
                  <c:v>10.863499753638086</c:v>
                </c:pt>
                <c:pt idx="316">
                  <c:v>10.84212769205436</c:v>
                </c:pt>
                <c:pt idx="317">
                  <c:v>10.821786294530304</c:v>
                </c:pt>
                <c:pt idx="318">
                  <c:v>10.809386918534898</c:v>
                </c:pt>
                <c:pt idx="319">
                  <c:v>10.79665816747657</c:v>
                </c:pt>
                <c:pt idx="320">
                  <c:v>10.786736833860251</c:v>
                </c:pt>
                <c:pt idx="321">
                  <c:v>10.777347694960543</c:v>
                </c:pt>
                <c:pt idx="322">
                  <c:v>10.769746315091142</c:v>
                </c:pt>
                <c:pt idx="323">
                  <c:v>10.761431755431685</c:v>
                </c:pt>
                <c:pt idx="324">
                  <c:v>10.754838574177178</c:v>
                </c:pt>
                <c:pt idx="325">
                  <c:v>10.749406491399471</c:v>
                </c:pt>
                <c:pt idx="326">
                  <c:v>10.743445501491232</c:v>
                </c:pt>
                <c:pt idx="327">
                  <c:v>10.73666438869177</c:v>
                </c:pt>
                <c:pt idx="328">
                  <c:v>10.734062465906359</c:v>
                </c:pt>
                <c:pt idx="329">
                  <c:v>10.731353617297817</c:v>
                </c:pt>
                <c:pt idx="330">
                  <c:v>10.728949558143505</c:v>
                </c:pt>
                <c:pt idx="331">
                  <c:v>10.725366522810026</c:v>
                </c:pt>
                <c:pt idx="332">
                  <c:v>10.721138177459068</c:v>
                </c:pt>
                <c:pt idx="333">
                  <c:v>10.718187354548785</c:v>
                </c:pt>
                <c:pt idx="334">
                  <c:v>10.716640036211931</c:v>
                </c:pt>
                <c:pt idx="335">
                  <c:v>10.714168442162139</c:v>
                </c:pt>
                <c:pt idx="336">
                  <c:v>10.712632172972596</c:v>
                </c:pt>
                <c:pt idx="337">
                  <c:v>10.710492220464756</c:v>
                </c:pt>
                <c:pt idx="338">
                  <c:v>10.708549444568947</c:v>
                </c:pt>
                <c:pt idx="339">
                  <c:v>10.707656773157478</c:v>
                </c:pt>
                <c:pt idx="340">
                  <c:v>10.706984438767439</c:v>
                </c:pt>
                <c:pt idx="341">
                  <c:v>10.706611618229044</c:v>
                </c:pt>
                <c:pt idx="342">
                  <c:v>10.706413191394995</c:v>
                </c:pt>
                <c:pt idx="343">
                  <c:v>10.70654142538781</c:v>
                </c:pt>
                <c:pt idx="344">
                  <c:v>10.706791797267178</c:v>
                </c:pt>
                <c:pt idx="345">
                  <c:v>10.706898872500043</c:v>
                </c:pt>
                <c:pt idx="346">
                  <c:v>10.706931724319299</c:v>
                </c:pt>
                <c:pt idx="347">
                  <c:v>10.706104530318283</c:v>
                </c:pt>
                <c:pt idx="348">
                  <c:v>10.705084138181563</c:v>
                </c:pt>
                <c:pt idx="349">
                  <c:v>10.703955349048741</c:v>
                </c:pt>
                <c:pt idx="350">
                  <c:v>10.702535036821951</c:v>
                </c:pt>
                <c:pt idx="351">
                  <c:v>10.700338187260401</c:v>
                </c:pt>
                <c:pt idx="352">
                  <c:v>10.698377224120261</c:v>
                </c:pt>
                <c:pt idx="353">
                  <c:v>10.696443759997688</c:v>
                </c:pt>
                <c:pt idx="354">
                  <c:v>10.691606914869295</c:v>
                </c:pt>
                <c:pt idx="355">
                  <c:v>10.68920136259382</c:v>
                </c:pt>
                <c:pt idx="356">
                  <c:v>10.68702921475756</c:v>
                </c:pt>
                <c:pt idx="357">
                  <c:v>10.683974343726014</c:v>
                </c:pt>
                <c:pt idx="358">
                  <c:v>10.682228062880503</c:v>
                </c:pt>
                <c:pt idx="359">
                  <c:v>10.681383221602228</c:v>
                </c:pt>
                <c:pt idx="360">
                  <c:v>10.681106492218255</c:v>
                </c:pt>
                <c:pt idx="361">
                  <c:v>10.681030802130797</c:v>
                </c:pt>
                <c:pt idx="362">
                  <c:v>10.680587661291909</c:v>
                </c:pt>
                <c:pt idx="363">
                  <c:v>10.679723420340235</c:v>
                </c:pt>
                <c:pt idx="364">
                  <c:v>10.679552021796987</c:v>
                </c:pt>
                <c:pt idx="365">
                  <c:v>10.678555662040152</c:v>
                </c:pt>
                <c:pt idx="366">
                  <c:v>10.677775948496842</c:v>
                </c:pt>
                <c:pt idx="367">
                  <c:v>10.677389289487753</c:v>
                </c:pt>
                <c:pt idx="368">
                  <c:v>10.677601214288334</c:v>
                </c:pt>
                <c:pt idx="369">
                  <c:v>10.677753051723535</c:v>
                </c:pt>
                <c:pt idx="370">
                  <c:v>10.677073436222777</c:v>
                </c:pt>
                <c:pt idx="371">
                  <c:v>10.67691835086204</c:v>
                </c:pt>
                <c:pt idx="372">
                  <c:v>10.677747459127776</c:v>
                </c:pt>
                <c:pt idx="373">
                  <c:v>10.678309644778883</c:v>
                </c:pt>
                <c:pt idx="374">
                  <c:v>10.68176451757836</c:v>
                </c:pt>
                <c:pt idx="375">
                  <c:v>10.686628406166781</c:v>
                </c:pt>
                <c:pt idx="376">
                  <c:v>10.689098363717992</c:v>
                </c:pt>
                <c:pt idx="377">
                  <c:v>10.691517052921714</c:v>
                </c:pt>
                <c:pt idx="378">
                  <c:v>10.694176213560562</c:v>
                </c:pt>
                <c:pt idx="379">
                  <c:v>10.696801317576625</c:v>
                </c:pt>
                <c:pt idx="380">
                  <c:v>10.699746259127636</c:v>
                </c:pt>
                <c:pt idx="381">
                  <c:v>10.702287555369971</c:v>
                </c:pt>
                <c:pt idx="382">
                  <c:v>10.70491475449286</c:v>
                </c:pt>
                <c:pt idx="383">
                  <c:v>10.706933184487044</c:v>
                </c:pt>
                <c:pt idx="384">
                  <c:v>10.708988134193934</c:v>
                </c:pt>
                <c:pt idx="385">
                  <c:v>10.710092923486082</c:v>
                </c:pt>
                <c:pt idx="386">
                  <c:v>10.711192744216168</c:v>
                </c:pt>
                <c:pt idx="387">
                  <c:v>10.712583189063592</c:v>
                </c:pt>
                <c:pt idx="388">
                  <c:v>10.713922989276442</c:v>
                </c:pt>
                <c:pt idx="389">
                  <c:v>10.715711137386762</c:v>
                </c:pt>
                <c:pt idx="390">
                  <c:v>10.716927772212099</c:v>
                </c:pt>
                <c:pt idx="391">
                  <c:v>10.71831071363639</c:v>
                </c:pt>
                <c:pt idx="392">
                  <c:v>10.719376874600858</c:v>
                </c:pt>
                <c:pt idx="393">
                  <c:v>10.720112921597305</c:v>
                </c:pt>
                <c:pt idx="394">
                  <c:v>10.720530339327958</c:v>
                </c:pt>
                <c:pt idx="395">
                  <c:v>10.721757872960335</c:v>
                </c:pt>
                <c:pt idx="396">
                  <c:v>10.722008272634531</c:v>
                </c:pt>
                <c:pt idx="397">
                  <c:v>10.722455397563516</c:v>
                </c:pt>
                <c:pt idx="398">
                  <c:v>10.723141281221171</c:v>
                </c:pt>
                <c:pt idx="399">
                  <c:v>10.724139535076425</c:v>
                </c:pt>
                <c:pt idx="400">
                  <c:v>10.72551055127335</c:v>
                </c:pt>
                <c:pt idx="401">
                  <c:v>10.726499004848618</c:v>
                </c:pt>
                <c:pt idx="402">
                  <c:v>10.727691894621469</c:v>
                </c:pt>
                <c:pt idx="403">
                  <c:v>10.728833262875582</c:v>
                </c:pt>
                <c:pt idx="404">
                  <c:v>10.730379165822795</c:v>
                </c:pt>
                <c:pt idx="405">
                  <c:v>10.731645029621465</c:v>
                </c:pt>
                <c:pt idx="406">
                  <c:v>10.732754501634473</c:v>
                </c:pt>
                <c:pt idx="407">
                  <c:v>10.733669551568331</c:v>
                </c:pt>
                <c:pt idx="408">
                  <c:v>10.735331026763303</c:v>
                </c:pt>
                <c:pt idx="409">
                  <c:v>10.736515759308096</c:v>
                </c:pt>
                <c:pt idx="410">
                  <c:v>10.737552091237763</c:v>
                </c:pt>
                <c:pt idx="411">
                  <c:v>10.739527158596694</c:v>
                </c:pt>
                <c:pt idx="412">
                  <c:v>10.741162541219772</c:v>
                </c:pt>
                <c:pt idx="413">
                  <c:v>10.742954791032266</c:v>
                </c:pt>
                <c:pt idx="414">
                  <c:v>10.744533827275355</c:v>
                </c:pt>
                <c:pt idx="415">
                  <c:v>10.746075169946927</c:v>
                </c:pt>
                <c:pt idx="416">
                  <c:v>10.747582460733268</c:v>
                </c:pt>
                <c:pt idx="417">
                  <c:v>10.749453195912976</c:v>
                </c:pt>
                <c:pt idx="418">
                  <c:v>10.750836230678329</c:v>
                </c:pt>
                <c:pt idx="419">
                  <c:v>10.751859956931277</c:v>
                </c:pt>
                <c:pt idx="420">
                  <c:v>10.753419675108605</c:v>
                </c:pt>
                <c:pt idx="421">
                  <c:v>10.754653454364115</c:v>
                </c:pt>
                <c:pt idx="422">
                  <c:v>10.755658025946122</c:v>
                </c:pt>
                <c:pt idx="423">
                  <c:v>10.75669064883493</c:v>
                </c:pt>
                <c:pt idx="424">
                  <c:v>10.758815253618788</c:v>
                </c:pt>
                <c:pt idx="425">
                  <c:v>10.76033513208994</c:v>
                </c:pt>
                <c:pt idx="426">
                  <c:v>10.761784844628579</c:v>
                </c:pt>
                <c:pt idx="427">
                  <c:v>10.763401152640837</c:v>
                </c:pt>
                <c:pt idx="428">
                  <c:v>10.765414695038572</c:v>
                </c:pt>
                <c:pt idx="429">
                  <c:v>10.767167946741464</c:v>
                </c:pt>
                <c:pt idx="430">
                  <c:v>10.769161228018453</c:v>
                </c:pt>
                <c:pt idx="431">
                  <c:v>10.770855400679411</c:v>
                </c:pt>
                <c:pt idx="432">
                  <c:v>10.772590013718457</c:v>
                </c:pt>
                <c:pt idx="433">
                  <c:v>10.774263445828598</c:v>
                </c:pt>
                <c:pt idx="434">
                  <c:v>10.776114673614432</c:v>
                </c:pt>
                <c:pt idx="435">
                  <c:v>10.780794720177997</c:v>
                </c:pt>
                <c:pt idx="436">
                  <c:v>10.784301304203817</c:v>
                </c:pt>
                <c:pt idx="437">
                  <c:v>10.786969570686527</c:v>
                </c:pt>
                <c:pt idx="438">
                  <c:v>10.790460903928844</c:v>
                </c:pt>
                <c:pt idx="439">
                  <c:v>10.793861747003099</c:v>
                </c:pt>
                <c:pt idx="440">
                  <c:v>10.799877562594277</c:v>
                </c:pt>
                <c:pt idx="441">
                  <c:v>10.805335869367267</c:v>
                </c:pt>
                <c:pt idx="442">
                  <c:v>10.810769045254155</c:v>
                </c:pt>
                <c:pt idx="443">
                  <c:v>10.813065410465589</c:v>
                </c:pt>
                <c:pt idx="444">
                  <c:v>10.814583341563784</c:v>
                </c:pt>
                <c:pt idx="445">
                  <c:v>10.816161932558852</c:v>
                </c:pt>
                <c:pt idx="446">
                  <c:v>10.817835387075851</c:v>
                </c:pt>
                <c:pt idx="447">
                  <c:v>10.820147785109437</c:v>
                </c:pt>
                <c:pt idx="448">
                  <c:v>10.822747603773221</c:v>
                </c:pt>
                <c:pt idx="449">
                  <c:v>10.825837493079122</c:v>
                </c:pt>
                <c:pt idx="450">
                  <c:v>10.829474992229784</c:v>
                </c:pt>
                <c:pt idx="451">
                  <c:v>10.832259860265278</c:v>
                </c:pt>
                <c:pt idx="452">
                  <c:v>10.847935689784563</c:v>
                </c:pt>
                <c:pt idx="453">
                  <c:v>10.867734529868454</c:v>
                </c:pt>
                <c:pt idx="454">
                  <c:v>10.888731039073297</c:v>
                </c:pt>
                <c:pt idx="455">
                  <c:v>10.914672197434257</c:v>
                </c:pt>
                <c:pt idx="456">
                  <c:v>10.924364337882295</c:v>
                </c:pt>
                <c:pt idx="457">
                  <c:v>10.93060647930832</c:v>
                </c:pt>
                <c:pt idx="458">
                  <c:v>10.939189367412768</c:v>
                </c:pt>
                <c:pt idx="459">
                  <c:v>10.944170115452353</c:v>
                </c:pt>
                <c:pt idx="460">
                  <c:v>10.948538186151023</c:v>
                </c:pt>
                <c:pt idx="461">
                  <c:v>10.953337924111981</c:v>
                </c:pt>
                <c:pt idx="462">
                  <c:v>10.957071770534068</c:v>
                </c:pt>
                <c:pt idx="463">
                  <c:v>10.961983111494577</c:v>
                </c:pt>
                <c:pt idx="464">
                  <c:v>10.967090326450277</c:v>
                </c:pt>
                <c:pt idx="465">
                  <c:v>10.972239549657203</c:v>
                </c:pt>
                <c:pt idx="466">
                  <c:v>10.976127812459062</c:v>
                </c:pt>
                <c:pt idx="467">
                  <c:v>10.981423431463696</c:v>
                </c:pt>
                <c:pt idx="468">
                  <c:v>10.985778226039045</c:v>
                </c:pt>
                <c:pt idx="469">
                  <c:v>10.9904468986135</c:v>
                </c:pt>
                <c:pt idx="470">
                  <c:v>10.994692469940533</c:v>
                </c:pt>
                <c:pt idx="471">
                  <c:v>10.998616424059918</c:v>
                </c:pt>
                <c:pt idx="472">
                  <c:v>11.002632825020031</c:v>
                </c:pt>
                <c:pt idx="473">
                  <c:v>11.005293233016969</c:v>
                </c:pt>
                <c:pt idx="474">
                  <c:v>11.009088158476196</c:v>
                </c:pt>
                <c:pt idx="475">
                  <c:v>11.012880204909697</c:v>
                </c:pt>
                <c:pt idx="476">
                  <c:v>11.015774654835139</c:v>
                </c:pt>
                <c:pt idx="477">
                  <c:v>11.018969127556497</c:v>
                </c:pt>
                <c:pt idx="478">
                  <c:v>11.021701558564272</c:v>
                </c:pt>
                <c:pt idx="479">
                  <c:v>11.023567961600657</c:v>
                </c:pt>
                <c:pt idx="480">
                  <c:v>11.026647822820605</c:v>
                </c:pt>
                <c:pt idx="481">
                  <c:v>11.029756618074517</c:v>
                </c:pt>
                <c:pt idx="482">
                  <c:v>11.032360560265394</c:v>
                </c:pt>
                <c:pt idx="483">
                  <c:v>11.035149317900542</c:v>
                </c:pt>
                <c:pt idx="484">
                  <c:v>11.038147578446889</c:v>
                </c:pt>
                <c:pt idx="485">
                  <c:v>11.040805864217608</c:v>
                </c:pt>
                <c:pt idx="486">
                  <c:v>11.042691117703923</c:v>
                </c:pt>
                <c:pt idx="487">
                  <c:v>11.047420490154702</c:v>
                </c:pt>
                <c:pt idx="488">
                  <c:v>11.051630032025122</c:v>
                </c:pt>
                <c:pt idx="489">
                  <c:v>11.05524121347093</c:v>
                </c:pt>
                <c:pt idx="490">
                  <c:v>11.059070300178448</c:v>
                </c:pt>
                <c:pt idx="491">
                  <c:v>11.064052239816526</c:v>
                </c:pt>
                <c:pt idx="492">
                  <c:v>11.067647368434173</c:v>
                </c:pt>
                <c:pt idx="493">
                  <c:v>11.070894709687028</c:v>
                </c:pt>
                <c:pt idx="494">
                  <c:v>11.074940923447793</c:v>
                </c:pt>
                <c:pt idx="495">
                  <c:v>11.076969111510989</c:v>
                </c:pt>
                <c:pt idx="496">
                  <c:v>11.078507196203002</c:v>
                </c:pt>
                <c:pt idx="497">
                  <c:v>11.079393623004526</c:v>
                </c:pt>
                <c:pt idx="498">
                  <c:v>11.080761603067044</c:v>
                </c:pt>
                <c:pt idx="499">
                  <c:v>11.082225023624723</c:v>
                </c:pt>
                <c:pt idx="500">
                  <c:v>11.083571610594781</c:v>
                </c:pt>
                <c:pt idx="501">
                  <c:v>11.085030477827242</c:v>
                </c:pt>
                <c:pt idx="502">
                  <c:v>11.087874636473778</c:v>
                </c:pt>
                <c:pt idx="503">
                  <c:v>11.09111893885078</c:v>
                </c:pt>
                <c:pt idx="504">
                  <c:v>11.097325375923088</c:v>
                </c:pt>
                <c:pt idx="505">
                  <c:v>11.100945247106226</c:v>
                </c:pt>
                <c:pt idx="506">
                  <c:v>11.114663622065558</c:v>
                </c:pt>
                <c:pt idx="507">
                  <c:v>11.12034430207779</c:v>
                </c:pt>
                <c:pt idx="508">
                  <c:v>11.124521916234569</c:v>
                </c:pt>
                <c:pt idx="509">
                  <c:v>11.129030669375904</c:v>
                </c:pt>
                <c:pt idx="510">
                  <c:v>11.133772026886064</c:v>
                </c:pt>
                <c:pt idx="511">
                  <c:v>11.136938531415508</c:v>
                </c:pt>
                <c:pt idx="512">
                  <c:v>11.14093383571972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Data!$G$1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Data!$G$2:$G$514</c:f>
              <c:numCache>
                <c:formatCode>General</c:formatCode>
                <c:ptCount val="513"/>
                <c:pt idx="0">
                  <c:v>11.967599999999999</c:v>
                </c:pt>
                <c:pt idx="1">
                  <c:v>11.925000219772205</c:v>
                </c:pt>
                <c:pt idx="2">
                  <c:v>11.853303696067085</c:v>
                </c:pt>
                <c:pt idx="3">
                  <c:v>11.829531392616152</c:v>
                </c:pt>
                <c:pt idx="4">
                  <c:v>11.838509154991117</c:v>
                </c:pt>
                <c:pt idx="5">
                  <c:v>11.821930703982703</c:v>
                </c:pt>
                <c:pt idx="6">
                  <c:v>11.808548331716279</c:v>
                </c:pt>
                <c:pt idx="7">
                  <c:v>11.790882979796201</c:v>
                </c:pt>
                <c:pt idx="8">
                  <c:v>11.781599506475205</c:v>
                </c:pt>
                <c:pt idx="9">
                  <c:v>11.770096266980213</c:v>
                </c:pt>
                <c:pt idx="10">
                  <c:v>11.760927652978237</c:v>
                </c:pt>
                <c:pt idx="11">
                  <c:v>11.743777668490418</c:v>
                </c:pt>
                <c:pt idx="12">
                  <c:v>11.718418323398696</c:v>
                </c:pt>
                <c:pt idx="13">
                  <c:v>11.701698809443267</c:v>
                </c:pt>
                <c:pt idx="14">
                  <c:v>11.684459770315545</c:v>
                </c:pt>
                <c:pt idx="15">
                  <c:v>11.664816118115398</c:v>
                </c:pt>
                <c:pt idx="16">
                  <c:v>11.648742940310102</c:v>
                </c:pt>
                <c:pt idx="17">
                  <c:v>11.636782744955061</c:v>
                </c:pt>
                <c:pt idx="18">
                  <c:v>11.631264499480695</c:v>
                </c:pt>
                <c:pt idx="19">
                  <c:v>11.646575715457793</c:v>
                </c:pt>
                <c:pt idx="20">
                  <c:v>11.654558763437503</c:v>
                </c:pt>
                <c:pt idx="21">
                  <c:v>11.706154938815549</c:v>
                </c:pt>
                <c:pt idx="22">
                  <c:v>11.751537837680162</c:v>
                </c:pt>
                <c:pt idx="23">
                  <c:v>11.743670990550996</c:v>
                </c:pt>
                <c:pt idx="24">
                  <c:v>11.781325417465428</c:v>
                </c:pt>
                <c:pt idx="25">
                  <c:v>11.94395575574184</c:v>
                </c:pt>
                <c:pt idx="26">
                  <c:v>12.038107870644756</c:v>
                </c:pt>
                <c:pt idx="27">
                  <c:v>12.089898574061342</c:v>
                </c:pt>
                <c:pt idx="28">
                  <c:v>12.168120553800536</c:v>
                </c:pt>
                <c:pt idx="29">
                  <c:v>12.214461323954984</c:v>
                </c:pt>
                <c:pt idx="30">
                  <c:v>12.240894278652574</c:v>
                </c:pt>
                <c:pt idx="31">
                  <c:v>12.263672704314027</c:v>
                </c:pt>
                <c:pt idx="32">
                  <c:v>12.268953926276485</c:v>
                </c:pt>
                <c:pt idx="33">
                  <c:v>12.271862106963724</c:v>
                </c:pt>
                <c:pt idx="34">
                  <c:v>12.270117575850513</c:v>
                </c:pt>
                <c:pt idx="35">
                  <c:v>12.267328672657577</c:v>
                </c:pt>
                <c:pt idx="36">
                  <c:v>12.264740482858237</c:v>
                </c:pt>
                <c:pt idx="37">
                  <c:v>12.258180178043617</c:v>
                </c:pt>
                <c:pt idx="38">
                  <c:v>12.25283627008389</c:v>
                </c:pt>
                <c:pt idx="39">
                  <c:v>12.25824162932766</c:v>
                </c:pt>
                <c:pt idx="40">
                  <c:v>12.267518035467994</c:v>
                </c:pt>
                <c:pt idx="41">
                  <c:v>12.27771183068247</c:v>
                </c:pt>
                <c:pt idx="42">
                  <c:v>12.311389180572345</c:v>
                </c:pt>
                <c:pt idx="43">
                  <c:v>12.324869096391163</c:v>
                </c:pt>
                <c:pt idx="44">
                  <c:v>12.329701295562062</c:v>
                </c:pt>
                <c:pt idx="45">
                  <c:v>12.333800203173928</c:v>
                </c:pt>
                <c:pt idx="46">
                  <c:v>12.332412970426063</c:v>
                </c:pt>
                <c:pt idx="47">
                  <c:v>12.328570074712605</c:v>
                </c:pt>
                <c:pt idx="48">
                  <c:v>12.324720536633647</c:v>
                </c:pt>
                <c:pt idx="49">
                  <c:v>12.328708099228303</c:v>
                </c:pt>
                <c:pt idx="50">
                  <c:v>12.324913458287064</c:v>
                </c:pt>
                <c:pt idx="51">
                  <c:v>12.321156348683424</c:v>
                </c:pt>
                <c:pt idx="52">
                  <c:v>12.318973299209315</c:v>
                </c:pt>
                <c:pt idx="53">
                  <c:v>12.318967412447732</c:v>
                </c:pt>
                <c:pt idx="54">
                  <c:v>12.347768977949944</c:v>
                </c:pt>
                <c:pt idx="55">
                  <c:v>12.372549439953792</c:v>
                </c:pt>
                <c:pt idx="56">
                  <c:v>12.38946270785771</c:v>
                </c:pt>
                <c:pt idx="57">
                  <c:v>12.40649877026927</c:v>
                </c:pt>
                <c:pt idx="58">
                  <c:v>12.411419354284885</c:v>
                </c:pt>
                <c:pt idx="59">
                  <c:v>12.437481983043654</c:v>
                </c:pt>
                <c:pt idx="60">
                  <c:v>12.475264031798968</c:v>
                </c:pt>
                <c:pt idx="61">
                  <c:v>12.50255949381344</c:v>
                </c:pt>
                <c:pt idx="62">
                  <c:v>12.52990953443132</c:v>
                </c:pt>
                <c:pt idx="63">
                  <c:v>12.578784311663107</c:v>
                </c:pt>
                <c:pt idx="64">
                  <c:v>12.606754741410828</c:v>
                </c:pt>
                <c:pt idx="65">
                  <c:v>12.63024947154882</c:v>
                </c:pt>
                <c:pt idx="66">
                  <c:v>12.652163640191036</c:v>
                </c:pt>
                <c:pt idx="67">
                  <c:v>12.67949022162928</c:v>
                </c:pt>
                <c:pt idx="68">
                  <c:v>12.693246885736293</c:v>
                </c:pt>
                <c:pt idx="69">
                  <c:v>12.703152394355643</c:v>
                </c:pt>
                <c:pt idx="70">
                  <c:v>12.704588432562609</c:v>
                </c:pt>
                <c:pt idx="71">
                  <c:v>12.699651148759605</c:v>
                </c:pt>
                <c:pt idx="72">
                  <c:v>12.693209685994081</c:v>
                </c:pt>
                <c:pt idx="73">
                  <c:v>12.687131972953701</c:v>
                </c:pt>
                <c:pt idx="74">
                  <c:v>12.681475103582608</c:v>
                </c:pt>
                <c:pt idx="75">
                  <c:v>12.676428122176423</c:v>
                </c:pt>
                <c:pt idx="76">
                  <c:v>12.689091975198924</c:v>
                </c:pt>
                <c:pt idx="77">
                  <c:v>12.699466331196437</c:v>
                </c:pt>
                <c:pt idx="78">
                  <c:v>12.711482987738341</c:v>
                </c:pt>
                <c:pt idx="79">
                  <c:v>12.727805566550789</c:v>
                </c:pt>
                <c:pt idx="80">
                  <c:v>12.732467301691267</c:v>
                </c:pt>
                <c:pt idx="81">
                  <c:v>12.735436042618332</c:v>
                </c:pt>
                <c:pt idx="82">
                  <c:v>12.729208578612443</c:v>
                </c:pt>
                <c:pt idx="83">
                  <c:v>12.724478449865392</c:v>
                </c:pt>
                <c:pt idx="84">
                  <c:v>12.722960966343788</c:v>
                </c:pt>
                <c:pt idx="85">
                  <c:v>12.720717595421664</c:v>
                </c:pt>
                <c:pt idx="86">
                  <c:v>12.718728772884571</c:v>
                </c:pt>
                <c:pt idx="87">
                  <c:v>12.714051711709962</c:v>
                </c:pt>
                <c:pt idx="88">
                  <c:v>12.709652537787276</c:v>
                </c:pt>
                <c:pt idx="89">
                  <c:v>12.705571069453322</c:v>
                </c:pt>
                <c:pt idx="90">
                  <c:v>12.699893131686864</c:v>
                </c:pt>
                <c:pt idx="91">
                  <c:v>12.69694355040115</c:v>
                </c:pt>
                <c:pt idx="92">
                  <c:v>12.694989577533025</c:v>
                </c:pt>
                <c:pt idx="93">
                  <c:v>12.691884450515641</c:v>
                </c:pt>
                <c:pt idx="94">
                  <c:v>12.689442608229172</c:v>
                </c:pt>
                <c:pt idx="95">
                  <c:v>12.686314026920101</c:v>
                </c:pt>
                <c:pt idx="96">
                  <c:v>12.682751867137052</c:v>
                </c:pt>
                <c:pt idx="97">
                  <c:v>12.679056576729179</c:v>
                </c:pt>
                <c:pt idx="98">
                  <c:v>12.674974789935009</c:v>
                </c:pt>
                <c:pt idx="99">
                  <c:v>12.670849188513184</c:v>
                </c:pt>
                <c:pt idx="100">
                  <c:v>12.667123211829759</c:v>
                </c:pt>
                <c:pt idx="101">
                  <c:v>12.660996309308484</c:v>
                </c:pt>
                <c:pt idx="102">
                  <c:v>12.656599568517578</c:v>
                </c:pt>
                <c:pt idx="103">
                  <c:v>12.652102887729756</c:v>
                </c:pt>
                <c:pt idx="104">
                  <c:v>12.647991162677348</c:v>
                </c:pt>
                <c:pt idx="105">
                  <c:v>12.644498426643359</c:v>
                </c:pt>
                <c:pt idx="106">
                  <c:v>12.640532681487688</c:v>
                </c:pt>
                <c:pt idx="107">
                  <c:v>12.636612123312846</c:v>
                </c:pt>
                <c:pt idx="108">
                  <c:v>12.63338041847682</c:v>
                </c:pt>
                <c:pt idx="109">
                  <c:v>12.630284438212941</c:v>
                </c:pt>
                <c:pt idx="110">
                  <c:v>12.629080948008538</c:v>
                </c:pt>
                <c:pt idx="111">
                  <c:v>12.625457607014772</c:v>
                </c:pt>
                <c:pt idx="112">
                  <c:v>12.621424677485813</c:v>
                </c:pt>
                <c:pt idx="113">
                  <c:v>12.617573756011573</c:v>
                </c:pt>
                <c:pt idx="114">
                  <c:v>12.613025820488003</c:v>
                </c:pt>
                <c:pt idx="115">
                  <c:v>12.609806340845518</c:v>
                </c:pt>
                <c:pt idx="116">
                  <c:v>12.606949855745588</c:v>
                </c:pt>
                <c:pt idx="117">
                  <c:v>12.602592113662206</c:v>
                </c:pt>
                <c:pt idx="118">
                  <c:v>12.598202358598247</c:v>
                </c:pt>
                <c:pt idx="119">
                  <c:v>12.595697195287368</c:v>
                </c:pt>
                <c:pt idx="120">
                  <c:v>12.592629068418457</c:v>
                </c:pt>
                <c:pt idx="121">
                  <c:v>12.589627452682871</c:v>
                </c:pt>
                <c:pt idx="122">
                  <c:v>12.587275356486042</c:v>
                </c:pt>
                <c:pt idx="123">
                  <c:v>12.588683288288028</c:v>
                </c:pt>
                <c:pt idx="124">
                  <c:v>12.592830876237528</c:v>
                </c:pt>
                <c:pt idx="125">
                  <c:v>12.597885358263735</c:v>
                </c:pt>
                <c:pt idx="126">
                  <c:v>12.601003587196658</c:v>
                </c:pt>
                <c:pt idx="127">
                  <c:v>12.604072069540848</c:v>
                </c:pt>
                <c:pt idx="128">
                  <c:v>12.610361492697026</c:v>
                </c:pt>
                <c:pt idx="129">
                  <c:v>12.614890043099599</c:v>
                </c:pt>
                <c:pt idx="130">
                  <c:v>12.623218896168865</c:v>
                </c:pt>
                <c:pt idx="131">
                  <c:v>12.63979785205788</c:v>
                </c:pt>
                <c:pt idx="132">
                  <c:v>12.679368026616153</c:v>
                </c:pt>
                <c:pt idx="133">
                  <c:v>12.718894027480145</c:v>
                </c:pt>
                <c:pt idx="134">
                  <c:v>12.758016039082891</c:v>
                </c:pt>
                <c:pt idx="135">
                  <c:v>12.799920022281468</c:v>
                </c:pt>
                <c:pt idx="136">
                  <c:v>12.842123743666573</c:v>
                </c:pt>
                <c:pt idx="137">
                  <c:v>12.870424902828013</c:v>
                </c:pt>
                <c:pt idx="138">
                  <c:v>12.897763033010603</c:v>
                </c:pt>
                <c:pt idx="139">
                  <c:v>12.922351961704093</c:v>
                </c:pt>
                <c:pt idx="140">
                  <c:v>12.941534077831498</c:v>
                </c:pt>
                <c:pt idx="141">
                  <c:v>12.903216398216045</c:v>
                </c:pt>
                <c:pt idx="142">
                  <c:v>12.895441760695325</c:v>
                </c:pt>
                <c:pt idx="143">
                  <c:v>12.886015489145368</c:v>
                </c:pt>
                <c:pt idx="144">
                  <c:v>12.881321362436275</c:v>
                </c:pt>
                <c:pt idx="145">
                  <c:v>12.875426051266956</c:v>
                </c:pt>
                <c:pt idx="146">
                  <c:v>12.873146776156396</c:v>
                </c:pt>
                <c:pt idx="147">
                  <c:v>12.863100362636594</c:v>
                </c:pt>
                <c:pt idx="148">
                  <c:v>12.853532649764485</c:v>
                </c:pt>
                <c:pt idx="149">
                  <c:v>12.844017847108267</c:v>
                </c:pt>
                <c:pt idx="150">
                  <c:v>12.846283584664054</c:v>
                </c:pt>
                <c:pt idx="151">
                  <c:v>12.843453242761518</c:v>
                </c:pt>
                <c:pt idx="152">
                  <c:v>12.846304878390971</c:v>
                </c:pt>
                <c:pt idx="153">
                  <c:v>12.849264896148771</c:v>
                </c:pt>
                <c:pt idx="154">
                  <c:v>12.851615595016629</c:v>
                </c:pt>
                <c:pt idx="155">
                  <c:v>12.854915382118955</c:v>
                </c:pt>
                <c:pt idx="156">
                  <c:v>12.854532467130332</c:v>
                </c:pt>
                <c:pt idx="157">
                  <c:v>12.854971176581735</c:v>
                </c:pt>
                <c:pt idx="158">
                  <c:v>12.852729894902424</c:v>
                </c:pt>
                <c:pt idx="159">
                  <c:v>12.851984050677594</c:v>
                </c:pt>
                <c:pt idx="160">
                  <c:v>12.847842179573357</c:v>
                </c:pt>
                <c:pt idx="161">
                  <c:v>12.843214088402878</c:v>
                </c:pt>
                <c:pt idx="162">
                  <c:v>12.836905604809541</c:v>
                </c:pt>
                <c:pt idx="163">
                  <c:v>12.831748468999379</c:v>
                </c:pt>
                <c:pt idx="164">
                  <c:v>12.827444865923718</c:v>
                </c:pt>
                <c:pt idx="165">
                  <c:v>12.824384382611443</c:v>
                </c:pt>
                <c:pt idx="166">
                  <c:v>12.820100034225652</c:v>
                </c:pt>
                <c:pt idx="167">
                  <c:v>12.815723968325132</c:v>
                </c:pt>
                <c:pt idx="168">
                  <c:v>12.811140291858409</c:v>
                </c:pt>
                <c:pt idx="169">
                  <c:v>12.806811406690263</c:v>
                </c:pt>
                <c:pt idx="170">
                  <c:v>12.802555969911587</c:v>
                </c:pt>
                <c:pt idx="171">
                  <c:v>12.799353424911228</c:v>
                </c:pt>
                <c:pt idx="172">
                  <c:v>12.796986323037082</c:v>
                </c:pt>
                <c:pt idx="173">
                  <c:v>12.792059960649469</c:v>
                </c:pt>
                <c:pt idx="174">
                  <c:v>12.787817527976504</c:v>
                </c:pt>
                <c:pt idx="175">
                  <c:v>12.784740945808071</c:v>
                </c:pt>
                <c:pt idx="176">
                  <c:v>12.78253832495899</c:v>
                </c:pt>
                <c:pt idx="177">
                  <c:v>12.779912068881774</c:v>
                </c:pt>
                <c:pt idx="178">
                  <c:v>12.77498962943416</c:v>
                </c:pt>
                <c:pt idx="179">
                  <c:v>12.769708926481618</c:v>
                </c:pt>
                <c:pt idx="180">
                  <c:v>12.764758060133071</c:v>
                </c:pt>
                <c:pt idx="181">
                  <c:v>12.758046642413591</c:v>
                </c:pt>
                <c:pt idx="182">
                  <c:v>12.754430711165794</c:v>
                </c:pt>
                <c:pt idx="183">
                  <c:v>12.751182154843129</c:v>
                </c:pt>
                <c:pt idx="184">
                  <c:v>12.743978409453941</c:v>
                </c:pt>
                <c:pt idx="185">
                  <c:v>12.739524944899527</c:v>
                </c:pt>
                <c:pt idx="186">
                  <c:v>12.735575939287754</c:v>
                </c:pt>
                <c:pt idx="187">
                  <c:v>12.730250536121403</c:v>
                </c:pt>
                <c:pt idx="188">
                  <c:v>12.724225670156272</c:v>
                </c:pt>
                <c:pt idx="189">
                  <c:v>12.720211461910573</c:v>
                </c:pt>
                <c:pt idx="190">
                  <c:v>12.717232872612815</c:v>
                </c:pt>
                <c:pt idx="191">
                  <c:v>12.713634873807905</c:v>
                </c:pt>
                <c:pt idx="192">
                  <c:v>12.711305358917137</c:v>
                </c:pt>
                <c:pt idx="193">
                  <c:v>12.707806800436119</c:v>
                </c:pt>
                <c:pt idx="194">
                  <c:v>12.704665279908413</c:v>
                </c:pt>
                <c:pt idx="195">
                  <c:v>12.701454113643612</c:v>
                </c:pt>
                <c:pt idx="196">
                  <c:v>12.698955399904797</c:v>
                </c:pt>
                <c:pt idx="197">
                  <c:v>12.695054475567202</c:v>
                </c:pt>
                <c:pt idx="198">
                  <c:v>12.690172010760838</c:v>
                </c:pt>
                <c:pt idx="199">
                  <c:v>12.685826568294388</c:v>
                </c:pt>
                <c:pt idx="200">
                  <c:v>12.682203962709639</c:v>
                </c:pt>
                <c:pt idx="201">
                  <c:v>12.679396809217208</c:v>
                </c:pt>
                <c:pt idx="202">
                  <c:v>12.675663033130144</c:v>
                </c:pt>
                <c:pt idx="203">
                  <c:v>12.671088464337304</c:v>
                </c:pt>
                <c:pt idx="204">
                  <c:v>12.667535023912379</c:v>
                </c:pt>
                <c:pt idx="205">
                  <c:v>12.663565115114471</c:v>
                </c:pt>
                <c:pt idx="206">
                  <c:v>12.659908873799118</c:v>
                </c:pt>
                <c:pt idx="207">
                  <c:v>12.65384745642937</c:v>
                </c:pt>
                <c:pt idx="208">
                  <c:v>12.636642931529661</c:v>
                </c:pt>
                <c:pt idx="209">
                  <c:v>12.632940766563443</c:v>
                </c:pt>
                <c:pt idx="210">
                  <c:v>12.626586519605176</c:v>
                </c:pt>
                <c:pt idx="211">
                  <c:v>12.624263821956347</c:v>
                </c:pt>
                <c:pt idx="212">
                  <c:v>12.619951493859357</c:v>
                </c:pt>
                <c:pt idx="213">
                  <c:v>12.615926745802403</c:v>
                </c:pt>
                <c:pt idx="214">
                  <c:v>12.609267985203662</c:v>
                </c:pt>
                <c:pt idx="215">
                  <c:v>12.604695553333359</c:v>
                </c:pt>
                <c:pt idx="216">
                  <c:v>12.600843893468621</c:v>
                </c:pt>
                <c:pt idx="217">
                  <c:v>12.596655587616159</c:v>
                </c:pt>
                <c:pt idx="218">
                  <c:v>12.59292232676227</c:v>
                </c:pt>
                <c:pt idx="219">
                  <c:v>12.588629274743553</c:v>
                </c:pt>
                <c:pt idx="220">
                  <c:v>12.584227259846871</c:v>
                </c:pt>
                <c:pt idx="221">
                  <c:v>12.579641533408504</c:v>
                </c:pt>
                <c:pt idx="222">
                  <c:v>12.575960412887818</c:v>
                </c:pt>
                <c:pt idx="223">
                  <c:v>12.571822107549798</c:v>
                </c:pt>
                <c:pt idx="224">
                  <c:v>12.566284223203818</c:v>
                </c:pt>
                <c:pt idx="225">
                  <c:v>12.562042316697307</c:v>
                </c:pt>
                <c:pt idx="226">
                  <c:v>12.556813216131806</c:v>
                </c:pt>
                <c:pt idx="227">
                  <c:v>12.553159322853787</c:v>
                </c:pt>
                <c:pt idx="228">
                  <c:v>12.549524747822103</c:v>
                </c:pt>
                <c:pt idx="229">
                  <c:v>12.546883178306691</c:v>
                </c:pt>
                <c:pt idx="230">
                  <c:v>12.54421016538584</c:v>
                </c:pt>
                <c:pt idx="231">
                  <c:v>12.540385000572559</c:v>
                </c:pt>
                <c:pt idx="232">
                  <c:v>12.536977346363653</c:v>
                </c:pt>
                <c:pt idx="233">
                  <c:v>12.531851907159639</c:v>
                </c:pt>
                <c:pt idx="234">
                  <c:v>12.526529696290703</c:v>
                </c:pt>
                <c:pt idx="235">
                  <c:v>12.522350879482785</c:v>
                </c:pt>
                <c:pt idx="236">
                  <c:v>12.518385937929349</c:v>
                </c:pt>
                <c:pt idx="237">
                  <c:v>12.515179160080027</c:v>
                </c:pt>
                <c:pt idx="238">
                  <c:v>12.510690939214344</c:v>
                </c:pt>
                <c:pt idx="239">
                  <c:v>12.508432850920762</c:v>
                </c:pt>
                <c:pt idx="240">
                  <c:v>12.505940084637238</c:v>
                </c:pt>
                <c:pt idx="241">
                  <c:v>12.497501192016534</c:v>
                </c:pt>
                <c:pt idx="242">
                  <c:v>12.491701119853834</c:v>
                </c:pt>
                <c:pt idx="243">
                  <c:v>12.485220181881626</c:v>
                </c:pt>
                <c:pt idx="244">
                  <c:v>12.479033255344762</c:v>
                </c:pt>
                <c:pt idx="245">
                  <c:v>12.471896435730891</c:v>
                </c:pt>
                <c:pt idx="246">
                  <c:v>12.469488633764879</c:v>
                </c:pt>
                <c:pt idx="247">
                  <c:v>12.469226298005898</c:v>
                </c:pt>
                <c:pt idx="248">
                  <c:v>12.467921313514495</c:v>
                </c:pt>
                <c:pt idx="249">
                  <c:v>12.464749121663351</c:v>
                </c:pt>
                <c:pt idx="250">
                  <c:v>12.462655205710787</c:v>
                </c:pt>
                <c:pt idx="251">
                  <c:v>12.459589231193803</c:v>
                </c:pt>
                <c:pt idx="252">
                  <c:v>12.455406949826985</c:v>
                </c:pt>
                <c:pt idx="253">
                  <c:v>12.4495021530306</c:v>
                </c:pt>
                <c:pt idx="254">
                  <c:v>12.445167104481932</c:v>
                </c:pt>
                <c:pt idx="255">
                  <c:v>12.441309328946815</c:v>
                </c:pt>
                <c:pt idx="256">
                  <c:v>12.437564359026711</c:v>
                </c:pt>
                <c:pt idx="257">
                  <c:v>12.432450322254784</c:v>
                </c:pt>
                <c:pt idx="258">
                  <c:v>12.428172641474598</c:v>
                </c:pt>
                <c:pt idx="259">
                  <c:v>12.426263103630795</c:v>
                </c:pt>
                <c:pt idx="260">
                  <c:v>12.421284969766491</c:v>
                </c:pt>
                <c:pt idx="261">
                  <c:v>12.418663174072593</c:v>
                </c:pt>
                <c:pt idx="262">
                  <c:v>12.414311532260353</c:v>
                </c:pt>
                <c:pt idx="263">
                  <c:v>12.409575928453123</c:v>
                </c:pt>
                <c:pt idx="264">
                  <c:v>12.404958334093202</c:v>
                </c:pt>
                <c:pt idx="265">
                  <c:v>12.401075987264445</c:v>
                </c:pt>
                <c:pt idx="266">
                  <c:v>12.398476888379212</c:v>
                </c:pt>
                <c:pt idx="267">
                  <c:v>12.39322610685919</c:v>
                </c:pt>
                <c:pt idx="268">
                  <c:v>12.386057515436267</c:v>
                </c:pt>
                <c:pt idx="269">
                  <c:v>12.381025062131524</c:v>
                </c:pt>
                <c:pt idx="270">
                  <c:v>12.376037776000629</c:v>
                </c:pt>
                <c:pt idx="271">
                  <c:v>12.367972676018374</c:v>
                </c:pt>
                <c:pt idx="272">
                  <c:v>12.356845428553013</c:v>
                </c:pt>
                <c:pt idx="273">
                  <c:v>12.352085641420603</c:v>
                </c:pt>
                <c:pt idx="274">
                  <c:v>12.342278404257661</c:v>
                </c:pt>
                <c:pt idx="275">
                  <c:v>12.317701213661467</c:v>
                </c:pt>
                <c:pt idx="276">
                  <c:v>12.304680204265896</c:v>
                </c:pt>
                <c:pt idx="277">
                  <c:v>12.300980170295258</c:v>
                </c:pt>
                <c:pt idx="278">
                  <c:v>12.299635767815195</c:v>
                </c:pt>
                <c:pt idx="279">
                  <c:v>12.296490925016283</c:v>
                </c:pt>
                <c:pt idx="280">
                  <c:v>12.292416529946687</c:v>
                </c:pt>
                <c:pt idx="281">
                  <c:v>12.290181090431666</c:v>
                </c:pt>
                <c:pt idx="282">
                  <c:v>12.287152413034701</c:v>
                </c:pt>
                <c:pt idx="283">
                  <c:v>12.285304646246514</c:v>
                </c:pt>
                <c:pt idx="284">
                  <c:v>12.284388108526528</c:v>
                </c:pt>
                <c:pt idx="285">
                  <c:v>12.281690325846785</c:v>
                </c:pt>
                <c:pt idx="286">
                  <c:v>12.277275491661197</c:v>
                </c:pt>
                <c:pt idx="287">
                  <c:v>12.271103270310714</c:v>
                </c:pt>
                <c:pt idx="288">
                  <c:v>12.265056368623299</c:v>
                </c:pt>
                <c:pt idx="289">
                  <c:v>12.26097108291285</c:v>
                </c:pt>
                <c:pt idx="290">
                  <c:v>12.250411130703517</c:v>
                </c:pt>
                <c:pt idx="291">
                  <c:v>12.237908967292441</c:v>
                </c:pt>
                <c:pt idx="292">
                  <c:v>12.223271013765089</c:v>
                </c:pt>
                <c:pt idx="293">
                  <c:v>12.212000788896127</c:v>
                </c:pt>
                <c:pt idx="294">
                  <c:v>12.202456057677891</c:v>
                </c:pt>
                <c:pt idx="295">
                  <c:v>12.193205920500699</c:v>
                </c:pt>
                <c:pt idx="296">
                  <c:v>12.183413600769326</c:v>
                </c:pt>
                <c:pt idx="297">
                  <c:v>12.169212115647669</c:v>
                </c:pt>
                <c:pt idx="298">
                  <c:v>12.160753612331519</c:v>
                </c:pt>
                <c:pt idx="299">
                  <c:v>12.15163630892436</c:v>
                </c:pt>
                <c:pt idx="300">
                  <c:v>12.14639144441157</c:v>
                </c:pt>
                <c:pt idx="301">
                  <c:v>12.140997110065156</c:v>
                </c:pt>
                <c:pt idx="302">
                  <c:v>12.135477966980527</c:v>
                </c:pt>
                <c:pt idx="303">
                  <c:v>12.129623409820926</c:v>
                </c:pt>
                <c:pt idx="304">
                  <c:v>12.124022855678946</c:v>
                </c:pt>
                <c:pt idx="305">
                  <c:v>12.111945268966203</c:v>
                </c:pt>
                <c:pt idx="306">
                  <c:v>12.107438061332275</c:v>
                </c:pt>
                <c:pt idx="307">
                  <c:v>12.10372235251036</c:v>
                </c:pt>
                <c:pt idx="308">
                  <c:v>12.098195419796994</c:v>
                </c:pt>
                <c:pt idx="309">
                  <c:v>12.086417203144588</c:v>
                </c:pt>
                <c:pt idx="310">
                  <c:v>12.078973871881548</c:v>
                </c:pt>
                <c:pt idx="311">
                  <c:v>12.072562135073847</c:v>
                </c:pt>
                <c:pt idx="312">
                  <c:v>12.066093953344275</c:v>
                </c:pt>
                <c:pt idx="313">
                  <c:v>12.060443774538687</c:v>
                </c:pt>
                <c:pt idx="314">
                  <c:v>12.047370163391552</c:v>
                </c:pt>
                <c:pt idx="315">
                  <c:v>12.037495344364416</c:v>
                </c:pt>
                <c:pt idx="316">
                  <c:v>12.018903902033589</c:v>
                </c:pt>
                <c:pt idx="317">
                  <c:v>12.004399004175323</c:v>
                </c:pt>
                <c:pt idx="318">
                  <c:v>11.993472751011341</c:v>
                </c:pt>
                <c:pt idx="319">
                  <c:v>11.983851111606915</c:v>
                </c:pt>
                <c:pt idx="320">
                  <c:v>11.976065833784611</c:v>
                </c:pt>
                <c:pt idx="321">
                  <c:v>11.967239038689087</c:v>
                </c:pt>
                <c:pt idx="322">
                  <c:v>11.961182889374214</c:v>
                </c:pt>
                <c:pt idx="323">
                  <c:v>11.954592244927269</c:v>
                </c:pt>
                <c:pt idx="324">
                  <c:v>11.948777746137752</c:v>
                </c:pt>
                <c:pt idx="325">
                  <c:v>11.944718002222473</c:v>
                </c:pt>
                <c:pt idx="326">
                  <c:v>11.939417810982908</c:v>
                </c:pt>
                <c:pt idx="327">
                  <c:v>11.932839504278496</c:v>
                </c:pt>
                <c:pt idx="328">
                  <c:v>11.929633100778887</c:v>
                </c:pt>
                <c:pt idx="329">
                  <c:v>11.926365639435785</c:v>
                </c:pt>
                <c:pt idx="330">
                  <c:v>11.9234491040568</c:v>
                </c:pt>
                <c:pt idx="331">
                  <c:v>11.919039747298706</c:v>
                </c:pt>
                <c:pt idx="332">
                  <c:v>11.914316406957928</c:v>
                </c:pt>
                <c:pt idx="333">
                  <c:v>11.910470235770102</c:v>
                </c:pt>
                <c:pt idx="334">
                  <c:v>11.907829187499171</c:v>
                </c:pt>
                <c:pt idx="335">
                  <c:v>11.904483135450187</c:v>
                </c:pt>
                <c:pt idx="336">
                  <c:v>11.901593509419316</c:v>
                </c:pt>
                <c:pt idx="337">
                  <c:v>11.898364544981877</c:v>
                </c:pt>
                <c:pt idx="338">
                  <c:v>11.895334241378171</c:v>
                </c:pt>
                <c:pt idx="339">
                  <c:v>11.893112244732599</c:v>
                </c:pt>
                <c:pt idx="340">
                  <c:v>11.890960651801112</c:v>
                </c:pt>
                <c:pt idx="341">
                  <c:v>11.889060529195579</c:v>
                </c:pt>
                <c:pt idx="342">
                  <c:v>11.887293599220435</c:v>
                </c:pt>
                <c:pt idx="343">
                  <c:v>11.885784394596355</c:v>
                </c:pt>
                <c:pt idx="344">
                  <c:v>11.884375909301008</c:v>
                </c:pt>
                <c:pt idx="345">
                  <c:v>11.882859174637352</c:v>
                </c:pt>
                <c:pt idx="346">
                  <c:v>11.881294596259021</c:v>
                </c:pt>
                <c:pt idx="347">
                  <c:v>11.879112463837719</c:v>
                </c:pt>
                <c:pt idx="348">
                  <c:v>11.876794212109958</c:v>
                </c:pt>
                <c:pt idx="349">
                  <c:v>11.874488093186539</c:v>
                </c:pt>
                <c:pt idx="350">
                  <c:v>11.871973643296563</c:v>
                </c:pt>
                <c:pt idx="351">
                  <c:v>11.868941088262416</c:v>
                </c:pt>
                <c:pt idx="352">
                  <c:v>11.86604732708417</c:v>
                </c:pt>
                <c:pt idx="353">
                  <c:v>11.862914503948033</c:v>
                </c:pt>
                <c:pt idx="354">
                  <c:v>11.857661494589795</c:v>
                </c:pt>
                <c:pt idx="355">
                  <c:v>11.854380028392914</c:v>
                </c:pt>
                <c:pt idx="356">
                  <c:v>11.851239667101073</c:v>
                </c:pt>
                <c:pt idx="357">
                  <c:v>11.847489755989024</c:v>
                </c:pt>
                <c:pt idx="358">
                  <c:v>11.844740989573378</c:v>
                </c:pt>
                <c:pt idx="359">
                  <c:v>11.84276562084764</c:v>
                </c:pt>
                <c:pt idx="360">
                  <c:v>11.841047577586702</c:v>
                </c:pt>
                <c:pt idx="361">
                  <c:v>11.839486610867107</c:v>
                </c:pt>
                <c:pt idx="362">
                  <c:v>11.837680852269894</c:v>
                </c:pt>
                <c:pt idx="363">
                  <c:v>11.835575434163687</c:v>
                </c:pt>
                <c:pt idx="364">
                  <c:v>11.833965711640701</c:v>
                </c:pt>
                <c:pt idx="365">
                  <c:v>11.831749181640042</c:v>
                </c:pt>
                <c:pt idx="366">
                  <c:v>11.829739887787676</c:v>
                </c:pt>
                <c:pt idx="367">
                  <c:v>11.827954788813312</c:v>
                </c:pt>
                <c:pt idx="368">
                  <c:v>11.826661709351196</c:v>
                </c:pt>
                <c:pt idx="369">
                  <c:v>11.825325031363942</c:v>
                </c:pt>
                <c:pt idx="370">
                  <c:v>11.823373847242802</c:v>
                </c:pt>
                <c:pt idx="371">
                  <c:v>11.821807533683614</c:v>
                </c:pt>
                <c:pt idx="372">
                  <c:v>11.821131971091518</c:v>
                </c:pt>
                <c:pt idx="373">
                  <c:v>11.820179337708785</c:v>
                </c:pt>
                <c:pt idx="374">
                  <c:v>11.82228600926296</c:v>
                </c:pt>
                <c:pt idx="375">
                  <c:v>11.826389753815514</c:v>
                </c:pt>
                <c:pt idx="376">
                  <c:v>11.828175691381258</c:v>
                </c:pt>
                <c:pt idx="377">
                  <c:v>11.829535721375025</c:v>
                </c:pt>
                <c:pt idx="378">
                  <c:v>11.831277125352887</c:v>
                </c:pt>
                <c:pt idx="379">
                  <c:v>11.833257059896875</c:v>
                </c:pt>
                <c:pt idx="380">
                  <c:v>11.835720687977624</c:v>
                </c:pt>
                <c:pt idx="381">
                  <c:v>11.837517889853249</c:v>
                </c:pt>
                <c:pt idx="382">
                  <c:v>11.839596071635569</c:v>
                </c:pt>
                <c:pt idx="383">
                  <c:v>11.840534448520611</c:v>
                </c:pt>
                <c:pt idx="384">
                  <c:v>11.841192441781294</c:v>
                </c:pt>
                <c:pt idx="385">
                  <c:v>11.840861720121147</c:v>
                </c:pt>
                <c:pt idx="386">
                  <c:v>11.840535397655827</c:v>
                </c:pt>
                <c:pt idx="387">
                  <c:v>11.84059106394481</c:v>
                </c:pt>
                <c:pt idx="388">
                  <c:v>11.840528195026758</c:v>
                </c:pt>
                <c:pt idx="389">
                  <c:v>11.841048504017326</c:v>
                </c:pt>
                <c:pt idx="390">
                  <c:v>11.840910457551379</c:v>
                </c:pt>
                <c:pt idx="391">
                  <c:v>11.841123688961369</c:v>
                </c:pt>
                <c:pt idx="392">
                  <c:v>11.840857050163869</c:v>
                </c:pt>
                <c:pt idx="393">
                  <c:v>11.84017844977417</c:v>
                </c:pt>
                <c:pt idx="394">
                  <c:v>11.839193084842101</c:v>
                </c:pt>
                <c:pt idx="395">
                  <c:v>11.839014766852895</c:v>
                </c:pt>
                <c:pt idx="396">
                  <c:v>11.837889184099346</c:v>
                </c:pt>
                <c:pt idx="397">
                  <c:v>11.836935211564434</c:v>
                </c:pt>
                <c:pt idx="398">
                  <c:v>11.836229425371691</c:v>
                </c:pt>
                <c:pt idx="399">
                  <c:v>11.83589056003407</c:v>
                </c:pt>
                <c:pt idx="400">
                  <c:v>11.835969415130453</c:v>
                </c:pt>
                <c:pt idx="401">
                  <c:v>11.835697945706949</c:v>
                </c:pt>
                <c:pt idx="402">
                  <c:v>11.835538794946935</c:v>
                </c:pt>
                <c:pt idx="403">
                  <c:v>11.835383174142589</c:v>
                </c:pt>
                <c:pt idx="404">
                  <c:v>11.835786301735968</c:v>
                </c:pt>
                <c:pt idx="405">
                  <c:v>11.835912743077184</c:v>
                </c:pt>
                <c:pt idx="406">
                  <c:v>11.835886130568896</c:v>
                </c:pt>
                <c:pt idx="407">
                  <c:v>11.835688619844786</c:v>
                </c:pt>
                <c:pt idx="408">
                  <c:v>11.836380013966847</c:v>
                </c:pt>
                <c:pt idx="409">
                  <c:v>11.83648967438903</c:v>
                </c:pt>
                <c:pt idx="410">
                  <c:v>11.836308392317321</c:v>
                </c:pt>
                <c:pt idx="411">
                  <c:v>11.837554238017667</c:v>
                </c:pt>
                <c:pt idx="412">
                  <c:v>11.838597677657527</c:v>
                </c:pt>
                <c:pt idx="413">
                  <c:v>11.839833299698025</c:v>
                </c:pt>
                <c:pt idx="414">
                  <c:v>11.840987913343675</c:v>
                </c:pt>
                <c:pt idx="415">
                  <c:v>11.841751096347743</c:v>
                </c:pt>
                <c:pt idx="416">
                  <c:v>11.842576652569166</c:v>
                </c:pt>
                <c:pt idx="417">
                  <c:v>11.843685409406032</c:v>
                </c:pt>
                <c:pt idx="418">
                  <c:v>11.844163792170548</c:v>
                </c:pt>
                <c:pt idx="419">
                  <c:v>11.844367492981785</c:v>
                </c:pt>
                <c:pt idx="420">
                  <c:v>11.845198621919476</c:v>
                </c:pt>
                <c:pt idx="421">
                  <c:v>11.845628494325748</c:v>
                </c:pt>
                <c:pt idx="422">
                  <c:v>11.845582912576463</c:v>
                </c:pt>
                <c:pt idx="423">
                  <c:v>11.845502395808227</c:v>
                </c:pt>
                <c:pt idx="424">
                  <c:v>11.846934640889433</c:v>
                </c:pt>
                <c:pt idx="425">
                  <c:v>11.847642060966708</c:v>
                </c:pt>
                <c:pt idx="426">
                  <c:v>11.848280341222324</c:v>
                </c:pt>
                <c:pt idx="427">
                  <c:v>11.848993176427435</c:v>
                </c:pt>
                <c:pt idx="428">
                  <c:v>11.850170168373777</c:v>
                </c:pt>
                <c:pt idx="429">
                  <c:v>11.851203094453183</c:v>
                </c:pt>
                <c:pt idx="430">
                  <c:v>11.852309788138703</c:v>
                </c:pt>
                <c:pt idx="431">
                  <c:v>11.853170967386744</c:v>
                </c:pt>
                <c:pt idx="432">
                  <c:v>11.854172569356953</c:v>
                </c:pt>
                <c:pt idx="433">
                  <c:v>11.854976232238128</c:v>
                </c:pt>
                <c:pt idx="434">
                  <c:v>11.855946754148317</c:v>
                </c:pt>
                <c:pt idx="435">
                  <c:v>11.860390764358469</c:v>
                </c:pt>
                <c:pt idx="436">
                  <c:v>11.863828724383637</c:v>
                </c:pt>
                <c:pt idx="437">
                  <c:v>11.86615366660358</c:v>
                </c:pt>
                <c:pt idx="438">
                  <c:v>11.869998207433405</c:v>
                </c:pt>
                <c:pt idx="439">
                  <c:v>11.873617569810227</c:v>
                </c:pt>
                <c:pt idx="440">
                  <c:v>11.881159011417978</c:v>
                </c:pt>
                <c:pt idx="441">
                  <c:v>11.8882235696727</c:v>
                </c:pt>
                <c:pt idx="442">
                  <c:v>11.89320897835568</c:v>
                </c:pt>
                <c:pt idx="443">
                  <c:v>11.894767627113461</c:v>
                </c:pt>
                <c:pt idx="444">
                  <c:v>11.895269914305054</c:v>
                </c:pt>
                <c:pt idx="445">
                  <c:v>11.895762175425855</c:v>
                </c:pt>
                <c:pt idx="446">
                  <c:v>11.896463562859575</c:v>
                </c:pt>
                <c:pt idx="447">
                  <c:v>11.897927176666997</c:v>
                </c:pt>
                <c:pt idx="448">
                  <c:v>11.899825093064363</c:v>
                </c:pt>
                <c:pt idx="449">
                  <c:v>11.902185357215142</c:v>
                </c:pt>
                <c:pt idx="450">
                  <c:v>11.90537611273319</c:v>
                </c:pt>
                <c:pt idx="451">
                  <c:v>11.907839948446103</c:v>
                </c:pt>
                <c:pt idx="452">
                  <c:v>11.92459646968728</c:v>
                </c:pt>
                <c:pt idx="453">
                  <c:v>11.945083658950747</c:v>
                </c:pt>
                <c:pt idx="454">
                  <c:v>11.966517501906067</c:v>
                </c:pt>
                <c:pt idx="455">
                  <c:v>11.998986426869937</c:v>
                </c:pt>
                <c:pt idx="456">
                  <c:v>12.012241882730377</c:v>
                </c:pt>
                <c:pt idx="457">
                  <c:v>12.021453609474113</c:v>
                </c:pt>
                <c:pt idx="458">
                  <c:v>12.033423781750269</c:v>
                </c:pt>
                <c:pt idx="459">
                  <c:v>12.041017633796487</c:v>
                </c:pt>
                <c:pt idx="460">
                  <c:v>12.048239143097092</c:v>
                </c:pt>
                <c:pt idx="461">
                  <c:v>12.055394202369245</c:v>
                </c:pt>
                <c:pt idx="462">
                  <c:v>12.060685648171145</c:v>
                </c:pt>
                <c:pt idx="463">
                  <c:v>12.068274747281537</c:v>
                </c:pt>
                <c:pt idx="464">
                  <c:v>12.076063829205507</c:v>
                </c:pt>
                <c:pt idx="465">
                  <c:v>12.084213986856273</c:v>
                </c:pt>
                <c:pt idx="466">
                  <c:v>12.090867542157545</c:v>
                </c:pt>
                <c:pt idx="467">
                  <c:v>12.099452699508905</c:v>
                </c:pt>
                <c:pt idx="468">
                  <c:v>12.107690695366475</c:v>
                </c:pt>
                <c:pt idx="469">
                  <c:v>12.115478960424344</c:v>
                </c:pt>
                <c:pt idx="470">
                  <c:v>12.12245138240398</c:v>
                </c:pt>
                <c:pt idx="471">
                  <c:v>12.127975828182903</c:v>
                </c:pt>
                <c:pt idx="472">
                  <c:v>12.134040246563231</c:v>
                </c:pt>
                <c:pt idx="473">
                  <c:v>12.138321557707945</c:v>
                </c:pt>
                <c:pt idx="474">
                  <c:v>12.142362978866263</c:v>
                </c:pt>
                <c:pt idx="475">
                  <c:v>12.1475227585459</c:v>
                </c:pt>
                <c:pt idx="476">
                  <c:v>12.152179750732998</c:v>
                </c:pt>
                <c:pt idx="477">
                  <c:v>12.157842590580803</c:v>
                </c:pt>
                <c:pt idx="478">
                  <c:v>12.163085676166112</c:v>
                </c:pt>
                <c:pt idx="479">
                  <c:v>12.167767194046284</c:v>
                </c:pt>
                <c:pt idx="480">
                  <c:v>12.173185615504361</c:v>
                </c:pt>
                <c:pt idx="481">
                  <c:v>12.177930059148547</c:v>
                </c:pt>
                <c:pt idx="482">
                  <c:v>12.182576462304814</c:v>
                </c:pt>
                <c:pt idx="483">
                  <c:v>12.187553830095208</c:v>
                </c:pt>
                <c:pt idx="484">
                  <c:v>12.192344580313257</c:v>
                </c:pt>
                <c:pt idx="485">
                  <c:v>12.197140070543307</c:v>
                </c:pt>
                <c:pt idx="486">
                  <c:v>12.2009345911369</c:v>
                </c:pt>
                <c:pt idx="487">
                  <c:v>12.208730497080889</c:v>
                </c:pt>
                <c:pt idx="488">
                  <c:v>12.216855867275514</c:v>
                </c:pt>
                <c:pt idx="489">
                  <c:v>12.224892793247657</c:v>
                </c:pt>
                <c:pt idx="490">
                  <c:v>12.232618632587117</c:v>
                </c:pt>
                <c:pt idx="491">
                  <c:v>12.241531738921077</c:v>
                </c:pt>
                <c:pt idx="492">
                  <c:v>12.24761873584329</c:v>
                </c:pt>
                <c:pt idx="493">
                  <c:v>12.253363201599047</c:v>
                </c:pt>
                <c:pt idx="494">
                  <c:v>12.260424504294255</c:v>
                </c:pt>
                <c:pt idx="495">
                  <c:v>12.265393673935653</c:v>
                </c:pt>
                <c:pt idx="496">
                  <c:v>12.269229758112555</c:v>
                </c:pt>
                <c:pt idx="497">
                  <c:v>12.272629400835084</c:v>
                </c:pt>
                <c:pt idx="498">
                  <c:v>12.276307287102245</c:v>
                </c:pt>
                <c:pt idx="499">
                  <c:v>12.279951673444483</c:v>
                </c:pt>
                <c:pt idx="500">
                  <c:v>12.283288569832262</c:v>
                </c:pt>
                <c:pt idx="501">
                  <c:v>12.28636829988292</c:v>
                </c:pt>
                <c:pt idx="502">
                  <c:v>12.291521001777465</c:v>
                </c:pt>
                <c:pt idx="503">
                  <c:v>12.29749915876841</c:v>
                </c:pt>
                <c:pt idx="504">
                  <c:v>12.307672166042032</c:v>
                </c:pt>
                <c:pt idx="505">
                  <c:v>12.314968386172582</c:v>
                </c:pt>
                <c:pt idx="506">
                  <c:v>12.335272482596878</c:v>
                </c:pt>
                <c:pt idx="507">
                  <c:v>12.346487844433113</c:v>
                </c:pt>
                <c:pt idx="508">
                  <c:v>12.355368006590195</c:v>
                </c:pt>
                <c:pt idx="509">
                  <c:v>12.364307054045748</c:v>
                </c:pt>
                <c:pt idx="510">
                  <c:v>12.37285241192234</c:v>
                </c:pt>
                <c:pt idx="511">
                  <c:v>12.379659416708719</c:v>
                </c:pt>
                <c:pt idx="512">
                  <c:v>12.386472952718268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Data!$H$1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11.967599999999999</c:v>
                </c:pt>
                <c:pt idx="1">
                  <c:v>11.482100219772203</c:v>
                </c:pt>
                <c:pt idx="2">
                  <c:v>11.421155357337588</c:v>
                </c:pt>
                <c:pt idx="3">
                  <c:v>11.455279953073164</c:v>
                </c:pt>
                <c:pt idx="4">
                  <c:v>11.490690549393316</c:v>
                </c:pt>
                <c:pt idx="5">
                  <c:v>11.503441588522433</c:v>
                </c:pt>
                <c:pt idx="6">
                  <c:v>11.512503492310531</c:v>
                </c:pt>
                <c:pt idx="7">
                  <c:v>11.496619373483767</c:v>
                </c:pt>
                <c:pt idx="8">
                  <c:v>11.416478492204964</c:v>
                </c:pt>
                <c:pt idx="9">
                  <c:v>11.369410167396014</c:v>
                </c:pt>
                <c:pt idx="10">
                  <c:v>11.286542766175922</c:v>
                </c:pt>
                <c:pt idx="11">
                  <c:v>11.139791226405647</c:v>
                </c:pt>
                <c:pt idx="12">
                  <c:v>11.089801073505006</c:v>
                </c:pt>
                <c:pt idx="13">
                  <c:v>11.058711461359403</c:v>
                </c:pt>
                <c:pt idx="14">
                  <c:v>11.053527684377077</c:v>
                </c:pt>
                <c:pt idx="15">
                  <c:v>11.000087808954431</c:v>
                </c:pt>
                <c:pt idx="16">
                  <c:v>10.996869285580827</c:v>
                </c:pt>
                <c:pt idx="17">
                  <c:v>10.999979230866488</c:v>
                </c:pt>
                <c:pt idx="18">
                  <c:v>11.011352033494758</c:v>
                </c:pt>
                <c:pt idx="19">
                  <c:v>11.032678708216352</c:v>
                </c:pt>
                <c:pt idx="20">
                  <c:v>11.050696144921655</c:v>
                </c:pt>
                <c:pt idx="21">
                  <c:v>11.074262862495784</c:v>
                </c:pt>
                <c:pt idx="22">
                  <c:v>11.092986197805315</c:v>
                </c:pt>
                <c:pt idx="23">
                  <c:v>11.098977745881701</c:v>
                </c:pt>
                <c:pt idx="24">
                  <c:v>11.12388381532574</c:v>
                </c:pt>
                <c:pt idx="25">
                  <c:v>11.158882779825081</c:v>
                </c:pt>
                <c:pt idx="26">
                  <c:v>11.153774605283237</c:v>
                </c:pt>
                <c:pt idx="27">
                  <c:v>11.151328624725695</c:v>
                </c:pt>
                <c:pt idx="28">
                  <c:v>11.143963089456454</c:v>
                </c:pt>
                <c:pt idx="29">
                  <c:v>11.15879005860346</c:v>
                </c:pt>
                <c:pt idx="30">
                  <c:v>11.170358881116494</c:v>
                </c:pt>
                <c:pt idx="31">
                  <c:v>11.184329991004931</c:v>
                </c:pt>
                <c:pt idx="32">
                  <c:v>11.195684273425037</c:v>
                </c:pt>
                <c:pt idx="33">
                  <c:v>11.207027489315905</c:v>
                </c:pt>
                <c:pt idx="34">
                  <c:v>11.217218361959532</c:v>
                </c:pt>
                <c:pt idx="35">
                  <c:v>11.226492414455119</c:v>
                </c:pt>
                <c:pt idx="36">
                  <c:v>11.23512623171829</c:v>
                </c:pt>
                <c:pt idx="37">
                  <c:v>11.242095465781357</c:v>
                </c:pt>
                <c:pt idx="38">
                  <c:v>11.24941971329903</c:v>
                </c:pt>
                <c:pt idx="39">
                  <c:v>11.26010122217043</c:v>
                </c:pt>
                <c:pt idx="40">
                  <c:v>11.268893127486439</c:v>
                </c:pt>
                <c:pt idx="41">
                  <c:v>11.278750659834635</c:v>
                </c:pt>
                <c:pt idx="42">
                  <c:v>11.296098682828962</c:v>
                </c:pt>
                <c:pt idx="43">
                  <c:v>11.304847333588571</c:v>
                </c:pt>
                <c:pt idx="44">
                  <c:v>11.314233054491853</c:v>
                </c:pt>
                <c:pt idx="45">
                  <c:v>11.321989340813316</c:v>
                </c:pt>
                <c:pt idx="46">
                  <c:v>11.330009791677135</c:v>
                </c:pt>
                <c:pt idx="47">
                  <c:v>11.336151410958912</c:v>
                </c:pt>
                <c:pt idx="48">
                  <c:v>11.341994840223061</c:v>
                </c:pt>
                <c:pt idx="49">
                  <c:v>11.35056580282353</c:v>
                </c:pt>
                <c:pt idx="50">
                  <c:v>11.356212178652466</c:v>
                </c:pt>
                <c:pt idx="51">
                  <c:v>11.361719514546738</c:v>
                </c:pt>
                <c:pt idx="52">
                  <c:v>11.367553249411646</c:v>
                </c:pt>
                <c:pt idx="53">
                  <c:v>11.373350690274433</c:v>
                </c:pt>
                <c:pt idx="54">
                  <c:v>11.382595740357186</c:v>
                </c:pt>
                <c:pt idx="55">
                  <c:v>11.38863319520342</c:v>
                </c:pt>
                <c:pt idx="56">
                  <c:v>11.389282912706609</c:v>
                </c:pt>
                <c:pt idx="57">
                  <c:v>11.392231263762113</c:v>
                </c:pt>
                <c:pt idx="58">
                  <c:v>11.401648503821637</c:v>
                </c:pt>
                <c:pt idx="59">
                  <c:v>11.406565910099033</c:v>
                </c:pt>
                <c:pt idx="60">
                  <c:v>11.411350371368616</c:v>
                </c:pt>
                <c:pt idx="61">
                  <c:v>11.408256885584485</c:v>
                </c:pt>
                <c:pt idx="62">
                  <c:v>11.408753979451062</c:v>
                </c:pt>
                <c:pt idx="63">
                  <c:v>11.408399665372222</c:v>
                </c:pt>
                <c:pt idx="64">
                  <c:v>11.4190312238456</c:v>
                </c:pt>
                <c:pt idx="65">
                  <c:v>11.42320402528045</c:v>
                </c:pt>
                <c:pt idx="66">
                  <c:v>11.42065712314808</c:v>
                </c:pt>
                <c:pt idx="67">
                  <c:v>11.418429458637078</c:v>
                </c:pt>
                <c:pt idx="68">
                  <c:v>11.427001590008842</c:v>
                </c:pt>
                <c:pt idx="69">
                  <c:v>11.43296749969644</c:v>
                </c:pt>
                <c:pt idx="70">
                  <c:v>11.440982759273691</c:v>
                </c:pt>
                <c:pt idx="71">
                  <c:v>11.444799783578857</c:v>
                </c:pt>
                <c:pt idx="72">
                  <c:v>11.44623567397673</c:v>
                </c:pt>
                <c:pt idx="73">
                  <c:v>11.447450851330487</c:v>
                </c:pt>
                <c:pt idx="74">
                  <c:v>11.449149039071722</c:v>
                </c:pt>
                <c:pt idx="75">
                  <c:v>11.451888898857716</c:v>
                </c:pt>
                <c:pt idx="76">
                  <c:v>11.464917077642319</c:v>
                </c:pt>
                <c:pt idx="77">
                  <c:v>11.474314546906164</c:v>
                </c:pt>
                <c:pt idx="78">
                  <c:v>11.485340381098061</c:v>
                </c:pt>
                <c:pt idx="79">
                  <c:v>11.498452874300209</c:v>
                </c:pt>
                <c:pt idx="80">
                  <c:v>11.506139675596431</c:v>
                </c:pt>
                <c:pt idx="81">
                  <c:v>11.512882633138673</c:v>
                </c:pt>
                <c:pt idx="82">
                  <c:v>11.513532735523079</c:v>
                </c:pt>
                <c:pt idx="83">
                  <c:v>11.515824267375018</c:v>
                </c:pt>
                <c:pt idx="84">
                  <c:v>11.520834376391676</c:v>
                </c:pt>
                <c:pt idx="85">
                  <c:v>11.525344059695922</c:v>
                </c:pt>
                <c:pt idx="86">
                  <c:v>11.529604588056042</c:v>
                </c:pt>
                <c:pt idx="87">
                  <c:v>11.531309996266822</c:v>
                </c:pt>
                <c:pt idx="88">
                  <c:v>11.533078956459379</c:v>
                </c:pt>
                <c:pt idx="89">
                  <c:v>11.534945208053626</c:v>
                </c:pt>
                <c:pt idx="90">
                  <c:v>11.533858744027683</c:v>
                </c:pt>
                <c:pt idx="91">
                  <c:v>11.537254266074752</c:v>
                </c:pt>
                <c:pt idx="92">
                  <c:v>11.541237884155677</c:v>
                </c:pt>
                <c:pt idx="93">
                  <c:v>11.544286116345006</c:v>
                </c:pt>
                <c:pt idx="94">
                  <c:v>11.547810829113427</c:v>
                </c:pt>
                <c:pt idx="95">
                  <c:v>11.550628401957955</c:v>
                </c:pt>
                <c:pt idx="96">
                  <c:v>11.552491867970575</c:v>
                </c:pt>
                <c:pt idx="97">
                  <c:v>11.554145850132917</c:v>
                </c:pt>
                <c:pt idx="98">
                  <c:v>11.554442249696534</c:v>
                </c:pt>
                <c:pt idx="99">
                  <c:v>11.555291184183513</c:v>
                </c:pt>
                <c:pt idx="100">
                  <c:v>11.55675987003003</c:v>
                </c:pt>
                <c:pt idx="101">
                  <c:v>11.549567598113203</c:v>
                </c:pt>
                <c:pt idx="102">
                  <c:v>11.541547521518758</c:v>
                </c:pt>
                <c:pt idx="103">
                  <c:v>11.537995171815792</c:v>
                </c:pt>
                <c:pt idx="104">
                  <c:v>11.53882206111105</c:v>
                </c:pt>
                <c:pt idx="105">
                  <c:v>11.540440139780607</c:v>
                </c:pt>
                <c:pt idx="106">
                  <c:v>11.540630800617731</c:v>
                </c:pt>
                <c:pt idx="107">
                  <c:v>11.54111857241052</c:v>
                </c:pt>
                <c:pt idx="108">
                  <c:v>11.542244326972041</c:v>
                </c:pt>
                <c:pt idx="109">
                  <c:v>11.543875206784824</c:v>
                </c:pt>
                <c:pt idx="110">
                  <c:v>11.547390794002505</c:v>
                </c:pt>
                <c:pt idx="111">
                  <c:v>11.548183514710969</c:v>
                </c:pt>
                <c:pt idx="112">
                  <c:v>11.548345898345307</c:v>
                </c:pt>
                <c:pt idx="113">
                  <c:v>11.54749620906513</c:v>
                </c:pt>
                <c:pt idx="114">
                  <c:v>11.542756669545772</c:v>
                </c:pt>
                <c:pt idx="115">
                  <c:v>11.541522766709823</c:v>
                </c:pt>
                <c:pt idx="116">
                  <c:v>11.539710157026219</c:v>
                </c:pt>
                <c:pt idx="117">
                  <c:v>11.53836911592977</c:v>
                </c:pt>
                <c:pt idx="118">
                  <c:v>11.535878684556199</c:v>
                </c:pt>
                <c:pt idx="119">
                  <c:v>11.537803948784102</c:v>
                </c:pt>
                <c:pt idx="120">
                  <c:v>11.538738441810754</c:v>
                </c:pt>
                <c:pt idx="121">
                  <c:v>11.539783185458786</c:v>
                </c:pt>
                <c:pt idx="122">
                  <c:v>11.541703672965934</c:v>
                </c:pt>
                <c:pt idx="123">
                  <c:v>11.546048763476815</c:v>
                </c:pt>
                <c:pt idx="124">
                  <c:v>11.550504249522543</c:v>
                </c:pt>
                <c:pt idx="125">
                  <c:v>11.554111281310863</c:v>
                </c:pt>
                <c:pt idx="126">
                  <c:v>11.55589383101546</c:v>
                </c:pt>
                <c:pt idx="127">
                  <c:v>11.558243736288073</c:v>
                </c:pt>
                <c:pt idx="128">
                  <c:v>11.561336975034864</c:v>
                </c:pt>
                <c:pt idx="129">
                  <c:v>11.564342667037252</c:v>
                </c:pt>
                <c:pt idx="130">
                  <c:v>11.565560538340904</c:v>
                </c:pt>
                <c:pt idx="131">
                  <c:v>11.566875071967777</c:v>
                </c:pt>
                <c:pt idx="132">
                  <c:v>11.570417377043643</c:v>
                </c:pt>
                <c:pt idx="133">
                  <c:v>11.566999133305094</c:v>
                </c:pt>
                <c:pt idx="134">
                  <c:v>11.558393228583251</c:v>
                </c:pt>
                <c:pt idx="135">
                  <c:v>11.551491441908544</c:v>
                </c:pt>
                <c:pt idx="136">
                  <c:v>11.544846057057207</c:v>
                </c:pt>
                <c:pt idx="137">
                  <c:v>11.550111256836569</c:v>
                </c:pt>
                <c:pt idx="138">
                  <c:v>11.55070206116544</c:v>
                </c:pt>
                <c:pt idx="139">
                  <c:v>11.559093358375664</c:v>
                </c:pt>
                <c:pt idx="140">
                  <c:v>11.567060503642253</c:v>
                </c:pt>
                <c:pt idx="141">
                  <c:v>11.518204913656216</c:v>
                </c:pt>
                <c:pt idx="142">
                  <c:v>11.501040411129994</c:v>
                </c:pt>
                <c:pt idx="143">
                  <c:v>11.478183642536685</c:v>
                </c:pt>
                <c:pt idx="144">
                  <c:v>11.45599074007821</c:v>
                </c:pt>
                <c:pt idx="145">
                  <c:v>11.432778176897735</c:v>
                </c:pt>
                <c:pt idx="146">
                  <c:v>11.410170049425208</c:v>
                </c:pt>
                <c:pt idx="147">
                  <c:v>11.357798636814987</c:v>
                </c:pt>
                <c:pt idx="148">
                  <c:v>11.295084252770984</c:v>
                </c:pt>
                <c:pt idx="149">
                  <c:v>11.238459437637525</c:v>
                </c:pt>
                <c:pt idx="150">
                  <c:v>11.195822741455899</c:v>
                </c:pt>
                <c:pt idx="151">
                  <c:v>11.163093211774742</c:v>
                </c:pt>
                <c:pt idx="152">
                  <c:v>11.136444960302704</c:v>
                </c:pt>
                <c:pt idx="153">
                  <c:v>11.103381413577324</c:v>
                </c:pt>
                <c:pt idx="154">
                  <c:v>11.08017785624104</c:v>
                </c:pt>
                <c:pt idx="155">
                  <c:v>11.060133205234015</c:v>
                </c:pt>
                <c:pt idx="156">
                  <c:v>11.044524081206921</c:v>
                </c:pt>
                <c:pt idx="157">
                  <c:v>11.031460723246596</c:v>
                </c:pt>
                <c:pt idx="158">
                  <c:v>11.020593472558847</c:v>
                </c:pt>
                <c:pt idx="159">
                  <c:v>11.010770315709287</c:v>
                </c:pt>
                <c:pt idx="160">
                  <c:v>11.000987558345438</c:v>
                </c:pt>
                <c:pt idx="161">
                  <c:v>10.992092147091356</c:v>
                </c:pt>
                <c:pt idx="162">
                  <c:v>10.986439909853793</c:v>
                </c:pt>
                <c:pt idx="163">
                  <c:v>10.980039500152934</c:v>
                </c:pt>
                <c:pt idx="164">
                  <c:v>10.974977955394492</c:v>
                </c:pt>
                <c:pt idx="165">
                  <c:v>10.969930972767989</c:v>
                </c:pt>
                <c:pt idx="166">
                  <c:v>10.964696008483548</c:v>
                </c:pt>
                <c:pt idx="167">
                  <c:v>10.960423865659537</c:v>
                </c:pt>
                <c:pt idx="168">
                  <c:v>10.953335759864997</c:v>
                </c:pt>
                <c:pt idx="169">
                  <c:v>10.946208985155012</c:v>
                </c:pt>
                <c:pt idx="170">
                  <c:v>10.936575322983316</c:v>
                </c:pt>
                <c:pt idx="171">
                  <c:v>10.92495999350891</c:v>
                </c:pt>
                <c:pt idx="172">
                  <c:v>10.915865442801131</c:v>
                </c:pt>
                <c:pt idx="173">
                  <c:v>10.898109524242853</c:v>
                </c:pt>
                <c:pt idx="174">
                  <c:v>10.884009665033719</c:v>
                </c:pt>
                <c:pt idx="175">
                  <c:v>10.874382473881838</c:v>
                </c:pt>
                <c:pt idx="176">
                  <c:v>10.866972038757355</c:v>
                </c:pt>
                <c:pt idx="177">
                  <c:v>10.860942269049033</c:v>
                </c:pt>
                <c:pt idx="178">
                  <c:v>10.854091748384178</c:v>
                </c:pt>
                <c:pt idx="179">
                  <c:v>10.847960573840778</c:v>
                </c:pt>
                <c:pt idx="180">
                  <c:v>10.841520344833745</c:v>
                </c:pt>
                <c:pt idx="181">
                  <c:v>10.832918572473615</c:v>
                </c:pt>
                <c:pt idx="182">
                  <c:v>10.827879640724982</c:v>
                </c:pt>
                <c:pt idx="183">
                  <c:v>10.822809963360196</c:v>
                </c:pt>
                <c:pt idx="184">
                  <c:v>10.807298404653608</c:v>
                </c:pt>
                <c:pt idx="185">
                  <c:v>10.79880942863022</c:v>
                </c:pt>
                <c:pt idx="186">
                  <c:v>10.792308622199373</c:v>
                </c:pt>
                <c:pt idx="187">
                  <c:v>10.781505756841316</c:v>
                </c:pt>
                <c:pt idx="188">
                  <c:v>10.77280437941705</c:v>
                </c:pt>
                <c:pt idx="189">
                  <c:v>10.762441370698554</c:v>
                </c:pt>
                <c:pt idx="190">
                  <c:v>10.752859467216869</c:v>
                </c:pt>
                <c:pt idx="191">
                  <c:v>10.74463217026528</c:v>
                </c:pt>
                <c:pt idx="192">
                  <c:v>10.736686531342578</c:v>
                </c:pt>
                <c:pt idx="193">
                  <c:v>10.727754811948595</c:v>
                </c:pt>
                <c:pt idx="194">
                  <c:v>10.721137713749568</c:v>
                </c:pt>
                <c:pt idx="195">
                  <c:v>10.715334222138592</c:v>
                </c:pt>
                <c:pt idx="196">
                  <c:v>10.710829079641414</c:v>
                </c:pt>
                <c:pt idx="197">
                  <c:v>10.707148423741151</c:v>
                </c:pt>
                <c:pt idx="198">
                  <c:v>10.701733284760868</c:v>
                </c:pt>
                <c:pt idx="199">
                  <c:v>10.698692914071803</c:v>
                </c:pt>
                <c:pt idx="200">
                  <c:v>10.696726492324668</c:v>
                </c:pt>
                <c:pt idx="201">
                  <c:v>10.695825449501259</c:v>
                </c:pt>
                <c:pt idx="202">
                  <c:v>10.692119409583475</c:v>
                </c:pt>
                <c:pt idx="203">
                  <c:v>10.689564925814066</c:v>
                </c:pt>
                <c:pt idx="204">
                  <c:v>10.687664618277189</c:v>
                </c:pt>
                <c:pt idx="205">
                  <c:v>10.686598749035332</c:v>
                </c:pt>
                <c:pt idx="206">
                  <c:v>10.684692110851874</c:v>
                </c:pt>
                <c:pt idx="207">
                  <c:v>10.682219696619105</c:v>
                </c:pt>
                <c:pt idx="208">
                  <c:v>10.659829856477884</c:v>
                </c:pt>
                <c:pt idx="209">
                  <c:v>10.651887823976491</c:v>
                </c:pt>
                <c:pt idx="210">
                  <c:v>10.638989050378999</c:v>
                </c:pt>
                <c:pt idx="211">
                  <c:v>10.629294955348989</c:v>
                </c:pt>
                <c:pt idx="212">
                  <c:v>10.619778386140542</c:v>
                </c:pt>
                <c:pt idx="213">
                  <c:v>10.613616061564622</c:v>
                </c:pt>
                <c:pt idx="214">
                  <c:v>10.609815848219203</c:v>
                </c:pt>
                <c:pt idx="215">
                  <c:v>10.606562155900422</c:v>
                </c:pt>
                <c:pt idx="216">
                  <c:v>10.604124629833532</c:v>
                </c:pt>
                <c:pt idx="217">
                  <c:v>10.603011722068839</c:v>
                </c:pt>
                <c:pt idx="218">
                  <c:v>10.601602220591261</c:v>
                </c:pt>
                <c:pt idx="219">
                  <c:v>10.599634702030748</c:v>
                </c:pt>
                <c:pt idx="220">
                  <c:v>10.597370433899224</c:v>
                </c:pt>
                <c:pt idx="221">
                  <c:v>10.594526889991576</c:v>
                </c:pt>
                <c:pt idx="222">
                  <c:v>10.59379743412631</c:v>
                </c:pt>
                <c:pt idx="223">
                  <c:v>10.591677274998537</c:v>
                </c:pt>
                <c:pt idx="224">
                  <c:v>10.585665806762909</c:v>
                </c:pt>
                <c:pt idx="225">
                  <c:v>10.581612821123906</c:v>
                </c:pt>
                <c:pt idx="226">
                  <c:v>10.579192558939136</c:v>
                </c:pt>
                <c:pt idx="227">
                  <c:v>10.579263424557745</c:v>
                </c:pt>
                <c:pt idx="228">
                  <c:v>10.577980027205983</c:v>
                </c:pt>
                <c:pt idx="229">
                  <c:v>10.577688971226616</c:v>
                </c:pt>
                <c:pt idx="230">
                  <c:v>10.577532812978268</c:v>
                </c:pt>
                <c:pt idx="231">
                  <c:v>10.575314591990036</c:v>
                </c:pt>
                <c:pt idx="232">
                  <c:v>10.572356017001425</c:v>
                </c:pt>
                <c:pt idx="233">
                  <c:v>10.56704922541436</c:v>
                </c:pt>
                <c:pt idx="234">
                  <c:v>10.558660322774008</c:v>
                </c:pt>
                <c:pt idx="235">
                  <c:v>10.552248004164019</c:v>
                </c:pt>
                <c:pt idx="236">
                  <c:v>10.547010079773546</c:v>
                </c:pt>
                <c:pt idx="237">
                  <c:v>10.542205090195935</c:v>
                </c:pt>
                <c:pt idx="238">
                  <c:v>10.534646995841195</c:v>
                </c:pt>
                <c:pt idx="239">
                  <c:v>10.529192462653256</c:v>
                </c:pt>
                <c:pt idx="240">
                  <c:v>10.523595134902198</c:v>
                </c:pt>
                <c:pt idx="241">
                  <c:v>10.507233767654315</c:v>
                </c:pt>
                <c:pt idx="242">
                  <c:v>10.493429696051296</c:v>
                </c:pt>
                <c:pt idx="243">
                  <c:v>10.475004026817711</c:v>
                </c:pt>
                <c:pt idx="244">
                  <c:v>10.45794082493436</c:v>
                </c:pt>
                <c:pt idx="245">
                  <c:v>10.442226460963969</c:v>
                </c:pt>
                <c:pt idx="246">
                  <c:v>10.431722795549494</c:v>
                </c:pt>
                <c:pt idx="247">
                  <c:v>10.425124632486243</c:v>
                </c:pt>
                <c:pt idx="248">
                  <c:v>10.418250574951742</c:v>
                </c:pt>
                <c:pt idx="249">
                  <c:v>10.409160939915031</c:v>
                </c:pt>
                <c:pt idx="250">
                  <c:v>10.399391766886064</c:v>
                </c:pt>
                <c:pt idx="251">
                  <c:v>10.389092290806531</c:v>
                </c:pt>
                <c:pt idx="252">
                  <c:v>10.374423971450716</c:v>
                </c:pt>
                <c:pt idx="253">
                  <c:v>10.361405948266484</c:v>
                </c:pt>
                <c:pt idx="254">
                  <c:v>10.35062372189131</c:v>
                </c:pt>
                <c:pt idx="255">
                  <c:v>10.338427581779762</c:v>
                </c:pt>
                <c:pt idx="256">
                  <c:v>10.326272236243584</c:v>
                </c:pt>
                <c:pt idx="257">
                  <c:v>10.311728601214359</c:v>
                </c:pt>
                <c:pt idx="258">
                  <c:v>10.2990444200053</c:v>
                </c:pt>
                <c:pt idx="259">
                  <c:v>10.289818281879029</c:v>
                </c:pt>
                <c:pt idx="260">
                  <c:v>10.279706864224304</c:v>
                </c:pt>
                <c:pt idx="261">
                  <c:v>10.27273012648469</c:v>
                </c:pt>
                <c:pt idx="262">
                  <c:v>10.26584338901533</c:v>
                </c:pt>
                <c:pt idx="263">
                  <c:v>10.260787733377789</c:v>
                </c:pt>
                <c:pt idx="264">
                  <c:v>10.252278654587467</c:v>
                </c:pt>
                <c:pt idx="265">
                  <c:v>10.245879059162149</c:v>
                </c:pt>
                <c:pt idx="266">
                  <c:v>10.240455061577192</c:v>
                </c:pt>
                <c:pt idx="267">
                  <c:v>10.234700753899544</c:v>
                </c:pt>
                <c:pt idx="268">
                  <c:v>10.224453660245718</c:v>
                </c:pt>
                <c:pt idx="269">
                  <c:v>10.217616641045783</c:v>
                </c:pt>
                <c:pt idx="270">
                  <c:v>10.210439811267971</c:v>
                </c:pt>
                <c:pt idx="271">
                  <c:v>10.199512111012071</c:v>
                </c:pt>
                <c:pt idx="272">
                  <c:v>10.183698137265479</c:v>
                </c:pt>
                <c:pt idx="273">
                  <c:v>10.176961825776131</c:v>
                </c:pt>
                <c:pt idx="274">
                  <c:v>10.163859535004578</c:v>
                </c:pt>
                <c:pt idx="275">
                  <c:v>10.127101677025147</c:v>
                </c:pt>
                <c:pt idx="276">
                  <c:v>10.101885170601562</c:v>
                </c:pt>
                <c:pt idx="277">
                  <c:v>10.086258548244434</c:v>
                </c:pt>
                <c:pt idx="278">
                  <c:v>10.07282884264958</c:v>
                </c:pt>
                <c:pt idx="279">
                  <c:v>10.05814038520591</c:v>
                </c:pt>
                <c:pt idx="280">
                  <c:v>10.044365459743213</c:v>
                </c:pt>
                <c:pt idx="281">
                  <c:v>10.034244348304764</c:v>
                </c:pt>
                <c:pt idx="282">
                  <c:v>10.023008894727742</c:v>
                </c:pt>
                <c:pt idx="283">
                  <c:v>10.013727471225414</c:v>
                </c:pt>
                <c:pt idx="284">
                  <c:v>10.006112528313196</c:v>
                </c:pt>
                <c:pt idx="285">
                  <c:v>9.9955739801628951</c:v>
                </c:pt>
                <c:pt idx="286">
                  <c:v>9.9842973832234243</c:v>
                </c:pt>
                <c:pt idx="287">
                  <c:v>9.9721849926981712</c:v>
                </c:pt>
                <c:pt idx="288">
                  <c:v>9.9608557374480533</c:v>
                </c:pt>
                <c:pt idx="289">
                  <c:v>9.9496278992618912</c:v>
                </c:pt>
                <c:pt idx="290">
                  <c:v>9.9348308489919592</c:v>
                </c:pt>
                <c:pt idx="291">
                  <c:v>9.9165472265624892</c:v>
                </c:pt>
                <c:pt idx="292">
                  <c:v>9.893174783956777</c:v>
                </c:pt>
                <c:pt idx="293">
                  <c:v>9.8789179148566255</c:v>
                </c:pt>
                <c:pt idx="294">
                  <c:v>9.8660963735196123</c:v>
                </c:pt>
                <c:pt idx="295">
                  <c:v>9.8560332588004833</c:v>
                </c:pt>
                <c:pt idx="296">
                  <c:v>9.8458965170090824</c:v>
                </c:pt>
                <c:pt idx="297">
                  <c:v>9.8292942497448674</c:v>
                </c:pt>
                <c:pt idx="298">
                  <c:v>9.8176238274240788</c:v>
                </c:pt>
                <c:pt idx="299">
                  <c:v>9.8048217803619195</c:v>
                </c:pt>
                <c:pt idx="300">
                  <c:v>9.7976984701357814</c:v>
                </c:pt>
                <c:pt idx="301">
                  <c:v>9.7918985540210972</c:v>
                </c:pt>
                <c:pt idx="302">
                  <c:v>9.7862092979090569</c:v>
                </c:pt>
                <c:pt idx="303">
                  <c:v>9.7815488759123639</c:v>
                </c:pt>
                <c:pt idx="304">
                  <c:v>9.7762128289001478</c:v>
                </c:pt>
                <c:pt idx="305">
                  <c:v>9.7643583527971494</c:v>
                </c:pt>
                <c:pt idx="306">
                  <c:v>9.7614970008735824</c:v>
                </c:pt>
                <c:pt idx="307">
                  <c:v>9.7596226773935228</c:v>
                </c:pt>
                <c:pt idx="308">
                  <c:v>9.7559854561526365</c:v>
                </c:pt>
                <c:pt idx="309">
                  <c:v>9.7438374537589851</c:v>
                </c:pt>
                <c:pt idx="310">
                  <c:v>9.734758388949583</c:v>
                </c:pt>
                <c:pt idx="311">
                  <c:v>9.7288615150854962</c:v>
                </c:pt>
                <c:pt idx="312">
                  <c:v>9.7223718217849573</c:v>
                </c:pt>
                <c:pt idx="313">
                  <c:v>9.7179400202462425</c:v>
                </c:pt>
                <c:pt idx="314">
                  <c:v>9.7019245213745151</c:v>
                </c:pt>
                <c:pt idx="315">
                  <c:v>9.6895041629117564</c:v>
                </c:pt>
                <c:pt idx="316">
                  <c:v>9.6653514820751312</c:v>
                </c:pt>
                <c:pt idx="317">
                  <c:v>9.6391735848852846</c:v>
                </c:pt>
                <c:pt idx="318">
                  <c:v>9.6253010860584549</c:v>
                </c:pt>
                <c:pt idx="319">
                  <c:v>9.6094652233462252</c:v>
                </c:pt>
                <c:pt idx="320">
                  <c:v>9.5974078339358915</c:v>
                </c:pt>
                <c:pt idx="321">
                  <c:v>9.5874563512319995</c:v>
                </c:pt>
                <c:pt idx="322">
                  <c:v>9.57830974080807</c:v>
                </c:pt>
                <c:pt idx="323">
                  <c:v>9.5682712659361009</c:v>
                </c:pt>
                <c:pt idx="324">
                  <c:v>9.5608994022166041</c:v>
                </c:pt>
                <c:pt idx="325">
                  <c:v>9.554094980576469</c:v>
                </c:pt>
                <c:pt idx="326">
                  <c:v>9.5474731919995559</c:v>
                </c:pt>
                <c:pt idx="327">
                  <c:v>9.5404892731050435</c:v>
                </c:pt>
                <c:pt idx="328">
                  <c:v>9.5384918310338307</c:v>
                </c:pt>
                <c:pt idx="329">
                  <c:v>9.5363415951598487</c:v>
                </c:pt>
                <c:pt idx="330">
                  <c:v>9.5344500122302094</c:v>
                </c:pt>
                <c:pt idx="331">
                  <c:v>9.5316932983213452</c:v>
                </c:pt>
                <c:pt idx="332">
                  <c:v>9.5279599479602073</c:v>
                </c:pt>
                <c:pt idx="333">
                  <c:v>9.5259044733274685</c:v>
                </c:pt>
                <c:pt idx="334">
                  <c:v>9.5254508849246911</c:v>
                </c:pt>
                <c:pt idx="335">
                  <c:v>9.5238537488740906</c:v>
                </c:pt>
                <c:pt idx="336">
                  <c:v>9.5236708365258753</c:v>
                </c:pt>
                <c:pt idx="337">
                  <c:v>9.5226198959476349</c:v>
                </c:pt>
                <c:pt idx="338">
                  <c:v>9.5217646477597224</c:v>
                </c:pt>
                <c:pt idx="339">
                  <c:v>9.5222013015823563</c:v>
                </c:pt>
                <c:pt idx="340">
                  <c:v>9.5230082257337649</c:v>
                </c:pt>
                <c:pt idx="341">
                  <c:v>9.5241627072625086</c:v>
                </c:pt>
                <c:pt idx="342">
                  <c:v>9.525532783569556</c:v>
                </c:pt>
                <c:pt idx="343">
                  <c:v>9.5272984561792651</c:v>
                </c:pt>
                <c:pt idx="344">
                  <c:v>9.5292076852333469</c:v>
                </c:pt>
                <c:pt idx="345">
                  <c:v>9.5309385703627338</c:v>
                </c:pt>
                <c:pt idx="346">
                  <c:v>9.5325688523795762</c:v>
                </c:pt>
                <c:pt idx="347">
                  <c:v>9.5330965967988472</c:v>
                </c:pt>
                <c:pt idx="348">
                  <c:v>9.5333740642531684</c:v>
                </c:pt>
                <c:pt idx="349">
                  <c:v>9.5334226049109425</c:v>
                </c:pt>
                <c:pt idx="350">
                  <c:v>9.5330964303473387</c:v>
                </c:pt>
                <c:pt idx="351">
                  <c:v>9.5317352862583871</c:v>
                </c:pt>
                <c:pt idx="352">
                  <c:v>9.5307071211563521</c:v>
                </c:pt>
                <c:pt idx="353">
                  <c:v>9.529973016047343</c:v>
                </c:pt>
                <c:pt idx="354">
                  <c:v>9.5255523351487952</c:v>
                </c:pt>
                <c:pt idx="355">
                  <c:v>9.5240226967947272</c:v>
                </c:pt>
                <c:pt idx="356">
                  <c:v>9.5228187624140475</c:v>
                </c:pt>
                <c:pt idx="357">
                  <c:v>9.5204589314630041</c:v>
                </c:pt>
                <c:pt idx="358">
                  <c:v>9.519715136187628</c:v>
                </c:pt>
                <c:pt idx="359">
                  <c:v>9.5200008223568169</c:v>
                </c:pt>
                <c:pt idx="360">
                  <c:v>9.5211654068498088</c:v>
                </c:pt>
                <c:pt idx="361">
                  <c:v>9.5225749933944872</c:v>
                </c:pt>
                <c:pt idx="362">
                  <c:v>9.5234944703139242</c:v>
                </c:pt>
                <c:pt idx="363">
                  <c:v>9.5238714065167827</c:v>
                </c:pt>
                <c:pt idx="364">
                  <c:v>9.5251383319532721</c:v>
                </c:pt>
                <c:pt idx="365">
                  <c:v>9.5253621424402617</c:v>
                </c:pt>
                <c:pt idx="366">
                  <c:v>9.5258120092060086</c:v>
                </c:pt>
                <c:pt idx="367">
                  <c:v>9.5268237901621937</c:v>
                </c:pt>
                <c:pt idx="368">
                  <c:v>9.5285407192254716</c:v>
                </c:pt>
                <c:pt idx="369">
                  <c:v>9.5301810720831277</c:v>
                </c:pt>
                <c:pt idx="370">
                  <c:v>9.5307730252027518</c:v>
                </c:pt>
                <c:pt idx="371">
                  <c:v>9.5320291680404665</c:v>
                </c:pt>
                <c:pt idx="372">
                  <c:v>9.5343629471640341</c:v>
                </c:pt>
                <c:pt idx="373">
                  <c:v>9.5364399518489815</c:v>
                </c:pt>
                <c:pt idx="374">
                  <c:v>9.5412430258937597</c:v>
                </c:pt>
                <c:pt idx="375">
                  <c:v>9.546867058518048</c:v>
                </c:pt>
                <c:pt idx="376">
                  <c:v>9.5500210360547264</c:v>
                </c:pt>
                <c:pt idx="377">
                  <c:v>9.5534983844684032</c:v>
                </c:pt>
                <c:pt idx="378">
                  <c:v>9.5570753017682364</c:v>
                </c:pt>
                <c:pt idx="379">
                  <c:v>9.5603455752563757</c:v>
                </c:pt>
                <c:pt idx="380">
                  <c:v>9.5637718302776484</c:v>
                </c:pt>
                <c:pt idx="381">
                  <c:v>9.5670572208866922</c:v>
                </c:pt>
                <c:pt idx="382">
                  <c:v>9.5702334373501508</c:v>
                </c:pt>
                <c:pt idx="383">
                  <c:v>9.5733319204534766</c:v>
                </c:pt>
                <c:pt idx="384">
                  <c:v>9.5767838266065741</c:v>
                </c:pt>
                <c:pt idx="385">
                  <c:v>9.5793241268510165</c:v>
                </c:pt>
                <c:pt idx="386">
                  <c:v>9.5818500907765092</c:v>
                </c:pt>
                <c:pt idx="387">
                  <c:v>9.5845753141823735</c:v>
                </c:pt>
                <c:pt idx="388">
                  <c:v>9.5873177835261263</c:v>
                </c:pt>
                <c:pt idx="389">
                  <c:v>9.590373770756198</c:v>
                </c:pt>
                <c:pt idx="390">
                  <c:v>9.5929450868728185</c:v>
                </c:pt>
                <c:pt idx="391">
                  <c:v>9.5954977383114102</c:v>
                </c:pt>
                <c:pt idx="392">
                  <c:v>9.5978966990378467</c:v>
                </c:pt>
                <c:pt idx="393">
                  <c:v>9.6000473934204411</c:v>
                </c:pt>
                <c:pt idx="394">
                  <c:v>9.6018675938138145</c:v>
                </c:pt>
                <c:pt idx="395">
                  <c:v>9.604500979067776</c:v>
                </c:pt>
                <c:pt idx="396">
                  <c:v>9.6061273611697153</c:v>
                </c:pt>
                <c:pt idx="397">
                  <c:v>9.6079755835625988</c:v>
                </c:pt>
                <c:pt idx="398">
                  <c:v>9.6100531370706506</c:v>
                </c:pt>
                <c:pt idx="399">
                  <c:v>9.6123885101187803</c:v>
                </c:pt>
                <c:pt idx="400">
                  <c:v>9.6150516874162477</c:v>
                </c:pt>
                <c:pt idx="401">
                  <c:v>9.617300063990287</c:v>
                </c:pt>
                <c:pt idx="402">
                  <c:v>9.6198449942960025</c:v>
                </c:pt>
                <c:pt idx="403">
                  <c:v>9.6222833516085764</c:v>
                </c:pt>
                <c:pt idx="404">
                  <c:v>9.6249720299096211</c:v>
                </c:pt>
                <c:pt idx="405">
                  <c:v>9.6273773161657452</c:v>
                </c:pt>
                <c:pt idx="406">
                  <c:v>9.6296228727000486</c:v>
                </c:pt>
                <c:pt idx="407">
                  <c:v>9.6316504832918763</c:v>
                </c:pt>
                <c:pt idx="408">
                  <c:v>9.6342820395597588</c:v>
                </c:pt>
                <c:pt idx="409">
                  <c:v>9.6365418442271622</c:v>
                </c:pt>
                <c:pt idx="410">
                  <c:v>9.6387957901582055</c:v>
                </c:pt>
                <c:pt idx="411">
                  <c:v>9.6415000791757208</c:v>
                </c:pt>
                <c:pt idx="412">
                  <c:v>9.6437274047820178</c:v>
                </c:pt>
                <c:pt idx="413">
                  <c:v>9.6460762823665078</c:v>
                </c:pt>
                <c:pt idx="414">
                  <c:v>9.6480797412070345</c:v>
                </c:pt>
                <c:pt idx="415">
                  <c:v>9.6503992435461114</c:v>
                </c:pt>
                <c:pt idx="416">
                  <c:v>9.6525882688973699</c:v>
                </c:pt>
                <c:pt idx="417">
                  <c:v>9.6552209824199196</c:v>
                </c:pt>
                <c:pt idx="418">
                  <c:v>9.657508669186111</c:v>
                </c:pt>
                <c:pt idx="419">
                  <c:v>9.6593524208807686</c:v>
                </c:pt>
                <c:pt idx="420">
                  <c:v>9.6616407282977335</c:v>
                </c:pt>
                <c:pt idx="421">
                  <c:v>9.663678414402483</c:v>
                </c:pt>
                <c:pt idx="422">
                  <c:v>9.6657331393157815</c:v>
                </c:pt>
                <c:pt idx="423">
                  <c:v>9.6678789018616325</c:v>
                </c:pt>
                <c:pt idx="424">
                  <c:v>9.6706958663481437</c:v>
                </c:pt>
                <c:pt idx="425">
                  <c:v>9.6730282032131729</c:v>
                </c:pt>
                <c:pt idx="426">
                  <c:v>9.6752893480348341</c:v>
                </c:pt>
                <c:pt idx="427">
                  <c:v>9.6778091288542392</c:v>
                </c:pt>
                <c:pt idx="428">
                  <c:v>9.6806592217033671</c:v>
                </c:pt>
                <c:pt idx="429">
                  <c:v>9.683132799029746</c:v>
                </c:pt>
                <c:pt idx="430">
                  <c:v>9.6860126678982024</c:v>
                </c:pt>
                <c:pt idx="431">
                  <c:v>9.6885398339720776</c:v>
                </c:pt>
                <c:pt idx="432">
                  <c:v>9.6910074580799606</c:v>
                </c:pt>
                <c:pt idx="433">
                  <c:v>9.6935506594190688</c:v>
                </c:pt>
                <c:pt idx="434">
                  <c:v>9.6962825930805465</c:v>
                </c:pt>
                <c:pt idx="435">
                  <c:v>9.7011986759975262</c:v>
                </c:pt>
                <c:pt idx="436">
                  <c:v>9.7047738840239965</c:v>
                </c:pt>
                <c:pt idx="437">
                  <c:v>9.707785474769473</c:v>
                </c:pt>
                <c:pt idx="438">
                  <c:v>9.7109236004242838</c:v>
                </c:pt>
                <c:pt idx="439">
                  <c:v>9.7141059241959713</c:v>
                </c:pt>
                <c:pt idx="440">
                  <c:v>9.7185961137705767</c:v>
                </c:pt>
                <c:pt idx="441">
                  <c:v>9.7224481690618347</c:v>
                </c:pt>
                <c:pt idx="442">
                  <c:v>9.728329112152629</c:v>
                </c:pt>
                <c:pt idx="443">
                  <c:v>9.7313631938177156</c:v>
                </c:pt>
                <c:pt idx="444">
                  <c:v>9.7338967688225146</c:v>
                </c:pt>
                <c:pt idx="445">
                  <c:v>9.7365616896918503</c:v>
                </c:pt>
                <c:pt idx="446">
                  <c:v>9.7392072112921273</c:v>
                </c:pt>
                <c:pt idx="447">
                  <c:v>9.7423683935518781</c:v>
                </c:pt>
                <c:pt idx="448">
                  <c:v>9.7456701144820794</c:v>
                </c:pt>
                <c:pt idx="449">
                  <c:v>9.7494896289431026</c:v>
                </c:pt>
                <c:pt idx="450">
                  <c:v>9.7535738717263776</c:v>
                </c:pt>
                <c:pt idx="451">
                  <c:v>9.7566797720844534</c:v>
                </c:pt>
                <c:pt idx="452">
                  <c:v>9.7712749098818463</c:v>
                </c:pt>
                <c:pt idx="453">
                  <c:v>9.7903854007861604</c:v>
                </c:pt>
                <c:pt idx="454">
                  <c:v>9.8109445762405283</c:v>
                </c:pt>
                <c:pt idx="455">
                  <c:v>9.8303579679985766</c:v>
                </c:pt>
                <c:pt idx="456">
                  <c:v>9.8364867930342132</c:v>
                </c:pt>
                <c:pt idx="457">
                  <c:v>9.8397593491425273</c:v>
                </c:pt>
                <c:pt idx="458">
                  <c:v>9.8449549530752662</c:v>
                </c:pt>
                <c:pt idx="459">
                  <c:v>9.847322597108219</c:v>
                </c:pt>
                <c:pt idx="460">
                  <c:v>9.8488372292049533</c:v>
                </c:pt>
                <c:pt idx="461">
                  <c:v>9.8512816458547174</c:v>
                </c:pt>
                <c:pt idx="462">
                  <c:v>9.8534578928969907</c:v>
                </c:pt>
                <c:pt idx="463">
                  <c:v>9.8556914757076175</c:v>
                </c:pt>
                <c:pt idx="464">
                  <c:v>9.8581168236950472</c:v>
                </c:pt>
                <c:pt idx="465">
                  <c:v>9.8602651124581335</c:v>
                </c:pt>
                <c:pt idx="466">
                  <c:v>9.8613880827605787</c:v>
                </c:pt>
                <c:pt idx="467">
                  <c:v>9.8633941634184872</c:v>
                </c:pt>
                <c:pt idx="468">
                  <c:v>9.8638657567116148</c:v>
                </c:pt>
                <c:pt idx="469">
                  <c:v>9.8654148368026569</c:v>
                </c:pt>
                <c:pt idx="470">
                  <c:v>9.8669335574770862</c:v>
                </c:pt>
                <c:pt idx="471">
                  <c:v>9.8692570199369332</c:v>
                </c:pt>
                <c:pt idx="472">
                  <c:v>9.8712254034768314</c:v>
                </c:pt>
                <c:pt idx="473">
                  <c:v>9.8722649083259935</c:v>
                </c:pt>
                <c:pt idx="474">
                  <c:v>9.8758133380861288</c:v>
                </c:pt>
                <c:pt idx="475">
                  <c:v>9.8782376512734942</c:v>
                </c:pt>
                <c:pt idx="476">
                  <c:v>9.879369558937281</c:v>
                </c:pt>
                <c:pt idx="477">
                  <c:v>9.8800956645321918</c:v>
                </c:pt>
                <c:pt idx="478">
                  <c:v>9.8803174409624326</c:v>
                </c:pt>
                <c:pt idx="479">
                  <c:v>9.8793687291550292</c:v>
                </c:pt>
                <c:pt idx="480">
                  <c:v>9.8801100301368496</c:v>
                </c:pt>
                <c:pt idx="481">
                  <c:v>9.8815831770004863</c:v>
                </c:pt>
                <c:pt idx="482">
                  <c:v>9.8821446582259735</c:v>
                </c:pt>
                <c:pt idx="483">
                  <c:v>9.882744805705876</c:v>
                </c:pt>
                <c:pt idx="484">
                  <c:v>9.8839505765805207</c:v>
                </c:pt>
                <c:pt idx="485">
                  <c:v>9.8844716578919094</c:v>
                </c:pt>
                <c:pt idx="486">
                  <c:v>9.8844476442709457</c:v>
                </c:pt>
                <c:pt idx="487">
                  <c:v>9.8861104832285136</c:v>
                </c:pt>
                <c:pt idx="488">
                  <c:v>9.8864041967747287</c:v>
                </c:pt>
                <c:pt idx="489">
                  <c:v>9.8855896336942042</c:v>
                </c:pt>
                <c:pt idx="490">
                  <c:v>9.8855219677697779</c:v>
                </c:pt>
                <c:pt idx="491">
                  <c:v>9.8865727407119746</c:v>
                </c:pt>
                <c:pt idx="492">
                  <c:v>9.8876760010250564</c:v>
                </c:pt>
                <c:pt idx="493">
                  <c:v>9.8884262177750095</c:v>
                </c:pt>
                <c:pt idx="494">
                  <c:v>9.8894573426013306</c:v>
                </c:pt>
                <c:pt idx="495">
                  <c:v>9.8885445490863244</c:v>
                </c:pt>
                <c:pt idx="496">
                  <c:v>9.8877846342934497</c:v>
                </c:pt>
                <c:pt idx="497">
                  <c:v>9.8861578451739671</c:v>
                </c:pt>
                <c:pt idx="498">
                  <c:v>9.8852159190318432</c:v>
                </c:pt>
                <c:pt idx="499">
                  <c:v>9.8844983738049628</c:v>
                </c:pt>
                <c:pt idx="500">
                  <c:v>9.8838546513573</c:v>
                </c:pt>
                <c:pt idx="501">
                  <c:v>9.883692655771565</c:v>
                </c:pt>
                <c:pt idx="502">
                  <c:v>9.8842282711700911</c:v>
                </c:pt>
                <c:pt idx="503">
                  <c:v>9.8847387189331499</c:v>
                </c:pt>
                <c:pt idx="504">
                  <c:v>9.8869785858041439</c:v>
                </c:pt>
                <c:pt idx="505">
                  <c:v>9.8869221080398706</c:v>
                </c:pt>
                <c:pt idx="506">
                  <c:v>9.8940547615342389</c:v>
                </c:pt>
                <c:pt idx="507">
                  <c:v>9.8942007597224659</c:v>
                </c:pt>
                <c:pt idx="508">
                  <c:v>9.8936758258789421</c:v>
                </c:pt>
                <c:pt idx="509">
                  <c:v>9.8937542847060609</c:v>
                </c:pt>
                <c:pt idx="510">
                  <c:v>9.8946916418497874</c:v>
                </c:pt>
                <c:pt idx="511">
                  <c:v>9.8942176461222964</c:v>
                </c:pt>
                <c:pt idx="512">
                  <c:v>9.895394718721171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ax val="15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11.967599999999999</c:v>
                </c:pt>
                <c:pt idx="1">
                  <c:v>11.524699999999999</c:v>
                </c:pt>
                <c:pt idx="2">
                  <c:v>11.495200000000001</c:v>
                </c:pt>
                <c:pt idx="3">
                  <c:v>11.6625</c:v>
                </c:pt>
                <c:pt idx="4">
                  <c:v>11.7806</c:v>
                </c:pt>
                <c:pt idx="5">
                  <c:v>11.652699999999999</c:v>
                </c:pt>
                <c:pt idx="6">
                  <c:v>11.642799999999999</c:v>
                </c:pt>
                <c:pt idx="7">
                  <c:v>11.524699999999999</c:v>
                </c:pt>
                <c:pt idx="8">
                  <c:v>11.278700000000001</c:v>
                </c:pt>
                <c:pt idx="9">
                  <c:v>11.278700000000001</c:v>
                </c:pt>
                <c:pt idx="10">
                  <c:v>11.091699999999999</c:v>
                </c:pt>
                <c:pt idx="11">
                  <c:v>10.8161</c:v>
                </c:pt>
                <c:pt idx="12">
                  <c:v>11.0228</c:v>
                </c:pt>
                <c:pt idx="13">
                  <c:v>11.0228</c:v>
                </c:pt>
                <c:pt idx="14">
                  <c:v>11.190099999999999</c:v>
                </c:pt>
                <c:pt idx="15">
                  <c:v>10.855499999999999</c:v>
                </c:pt>
                <c:pt idx="16">
                  <c:v>11.160600000000001</c:v>
                </c:pt>
                <c:pt idx="17">
                  <c:v>11.2098</c:v>
                </c:pt>
                <c:pt idx="18">
                  <c:v>11.3673</c:v>
                </c:pt>
                <c:pt idx="19">
                  <c:v>11.5936</c:v>
                </c:pt>
                <c:pt idx="20">
                  <c:v>11.534599999999999</c:v>
                </c:pt>
                <c:pt idx="21">
                  <c:v>11.9086</c:v>
                </c:pt>
                <c:pt idx="22">
                  <c:v>11.947900000000001</c:v>
                </c:pt>
                <c:pt idx="23">
                  <c:v>11.406599999999999</c:v>
                </c:pt>
                <c:pt idx="24">
                  <c:v>11.879099999999999</c:v>
                </c:pt>
                <c:pt idx="25">
                  <c:v>12.5975</c:v>
                </c:pt>
                <c:pt idx="26">
                  <c:v>12.627000000000001</c:v>
                </c:pt>
                <c:pt idx="27">
                  <c:v>12.4794</c:v>
                </c:pt>
                <c:pt idx="28">
                  <c:v>12.774699999999999</c:v>
                </c:pt>
                <c:pt idx="29">
                  <c:v>12.4794</c:v>
                </c:pt>
                <c:pt idx="30">
                  <c:v>12.3613</c:v>
                </c:pt>
                <c:pt idx="31">
                  <c:v>12.321899999999999</c:v>
                </c:pt>
                <c:pt idx="32">
                  <c:v>12.105399999999999</c:v>
                </c:pt>
                <c:pt idx="33">
                  <c:v>12.0562</c:v>
                </c:pt>
                <c:pt idx="34">
                  <c:v>11.947900000000001</c:v>
                </c:pt>
                <c:pt idx="35">
                  <c:v>11.9283</c:v>
                </c:pt>
                <c:pt idx="36">
                  <c:v>11.947900000000001</c:v>
                </c:pt>
                <c:pt idx="37">
                  <c:v>11.760999999999999</c:v>
                </c:pt>
                <c:pt idx="38">
                  <c:v>11.8102</c:v>
                </c:pt>
                <c:pt idx="39">
                  <c:v>12.105399999999999</c:v>
                </c:pt>
                <c:pt idx="40">
                  <c:v>12.2432</c:v>
                </c:pt>
                <c:pt idx="41">
                  <c:v>12.253</c:v>
                </c:pt>
                <c:pt idx="42">
                  <c:v>12.538500000000001</c:v>
                </c:pt>
                <c:pt idx="43">
                  <c:v>12.381</c:v>
                </c:pt>
                <c:pt idx="44">
                  <c:v>12.184100000000001</c:v>
                </c:pt>
                <c:pt idx="45">
                  <c:v>12.213699999999999</c:v>
                </c:pt>
                <c:pt idx="46">
                  <c:v>11.987299999999999</c:v>
                </c:pt>
                <c:pt idx="47">
                  <c:v>11.9184</c:v>
                </c:pt>
                <c:pt idx="48">
                  <c:v>11.9184</c:v>
                </c:pt>
                <c:pt idx="49">
                  <c:v>12.174300000000001</c:v>
                </c:pt>
                <c:pt idx="50">
                  <c:v>11.8889</c:v>
                </c:pt>
                <c:pt idx="51">
                  <c:v>11.869199999999999</c:v>
                </c:pt>
                <c:pt idx="52">
                  <c:v>11.987299999999999</c:v>
                </c:pt>
                <c:pt idx="53">
                  <c:v>12.105399999999999</c:v>
                </c:pt>
                <c:pt idx="54">
                  <c:v>12.6959</c:v>
                </c:pt>
                <c:pt idx="55">
                  <c:v>12.7156</c:v>
                </c:pt>
                <c:pt idx="56">
                  <c:v>12.7058</c:v>
                </c:pt>
                <c:pt idx="57">
                  <c:v>12.6959</c:v>
                </c:pt>
                <c:pt idx="58">
                  <c:v>12.2432</c:v>
                </c:pt>
                <c:pt idx="59">
                  <c:v>12.853400000000001</c:v>
                </c:pt>
                <c:pt idx="60">
                  <c:v>13.069900000000001</c:v>
                </c:pt>
                <c:pt idx="61">
                  <c:v>13.079800000000001</c:v>
                </c:pt>
                <c:pt idx="62">
                  <c:v>13.069900000000001</c:v>
                </c:pt>
                <c:pt idx="63">
                  <c:v>13.434100000000001</c:v>
                </c:pt>
                <c:pt idx="64">
                  <c:v>13.000999999999999</c:v>
                </c:pt>
                <c:pt idx="65">
                  <c:v>13.069900000000001</c:v>
                </c:pt>
                <c:pt idx="66">
                  <c:v>13.197900000000001</c:v>
                </c:pt>
                <c:pt idx="67">
                  <c:v>13.325799999999999</c:v>
                </c:pt>
                <c:pt idx="68">
                  <c:v>12.853400000000001</c:v>
                </c:pt>
                <c:pt idx="69">
                  <c:v>12.8337</c:v>
                </c:pt>
                <c:pt idx="70">
                  <c:v>12.410500000000001</c:v>
                </c:pt>
                <c:pt idx="71">
                  <c:v>12.0365</c:v>
                </c:pt>
                <c:pt idx="72">
                  <c:v>11.8987</c:v>
                </c:pt>
                <c:pt idx="73">
                  <c:v>11.849500000000001</c:v>
                </c:pt>
                <c:pt idx="74">
                  <c:v>11.869199999999999</c:v>
                </c:pt>
                <c:pt idx="75">
                  <c:v>11.947900000000001</c:v>
                </c:pt>
                <c:pt idx="76">
                  <c:v>12.6762</c:v>
                </c:pt>
                <c:pt idx="77">
                  <c:v>12.735300000000001</c:v>
                </c:pt>
                <c:pt idx="78">
                  <c:v>12.745100000000001</c:v>
                </c:pt>
                <c:pt idx="79">
                  <c:v>12.8337</c:v>
                </c:pt>
                <c:pt idx="80">
                  <c:v>12.5877</c:v>
                </c:pt>
                <c:pt idx="81">
                  <c:v>12.548299999999999</c:v>
                </c:pt>
                <c:pt idx="82">
                  <c:v>11.957800000000001</c:v>
                </c:pt>
                <c:pt idx="83">
                  <c:v>12.007</c:v>
                </c:pt>
                <c:pt idx="84">
                  <c:v>12.292400000000001</c:v>
                </c:pt>
                <c:pt idx="85">
                  <c:v>12.2334</c:v>
                </c:pt>
                <c:pt idx="86">
                  <c:v>12.302300000000001</c:v>
                </c:pt>
                <c:pt idx="87">
                  <c:v>11.977499999999999</c:v>
                </c:pt>
                <c:pt idx="88">
                  <c:v>11.957800000000001</c:v>
                </c:pt>
                <c:pt idx="89">
                  <c:v>11.9381</c:v>
                </c:pt>
                <c:pt idx="90">
                  <c:v>11.8003</c:v>
                </c:pt>
                <c:pt idx="91">
                  <c:v>12.1349</c:v>
                </c:pt>
                <c:pt idx="92">
                  <c:v>12.2432</c:v>
                </c:pt>
                <c:pt idx="93">
                  <c:v>12.1153</c:v>
                </c:pt>
                <c:pt idx="94">
                  <c:v>12.184100000000001</c:v>
                </c:pt>
                <c:pt idx="95">
                  <c:v>12.085699999999999</c:v>
                </c:pt>
                <c:pt idx="96">
                  <c:v>11.957800000000001</c:v>
                </c:pt>
                <c:pt idx="97">
                  <c:v>11.957800000000001</c:v>
                </c:pt>
                <c:pt idx="98">
                  <c:v>11.839700000000001</c:v>
                </c:pt>
                <c:pt idx="99">
                  <c:v>11.9184</c:v>
                </c:pt>
                <c:pt idx="100">
                  <c:v>11.967599999999999</c:v>
                </c:pt>
                <c:pt idx="101">
                  <c:v>11.495200000000001</c:v>
                </c:pt>
                <c:pt idx="102">
                  <c:v>11.3771</c:v>
                </c:pt>
                <c:pt idx="103">
                  <c:v>11.5838</c:v>
                </c:pt>
                <c:pt idx="104">
                  <c:v>11.9381</c:v>
                </c:pt>
                <c:pt idx="105">
                  <c:v>11.997199999999999</c:v>
                </c:pt>
                <c:pt idx="106">
                  <c:v>11.839700000000001</c:v>
                </c:pt>
                <c:pt idx="107">
                  <c:v>11.879099999999999</c:v>
                </c:pt>
                <c:pt idx="108">
                  <c:v>11.879099999999999</c:v>
                </c:pt>
                <c:pt idx="109">
                  <c:v>11.957800000000001</c:v>
                </c:pt>
                <c:pt idx="110">
                  <c:v>12.184100000000001</c:v>
                </c:pt>
                <c:pt idx="111">
                  <c:v>11.9184</c:v>
                </c:pt>
                <c:pt idx="112">
                  <c:v>11.8889</c:v>
                </c:pt>
                <c:pt idx="113">
                  <c:v>11.751099999999999</c:v>
                </c:pt>
                <c:pt idx="114">
                  <c:v>11.524699999999999</c:v>
                </c:pt>
                <c:pt idx="115">
                  <c:v>11.6625</c:v>
                </c:pt>
                <c:pt idx="116">
                  <c:v>11.5936</c:v>
                </c:pt>
                <c:pt idx="117">
                  <c:v>11.751099999999999</c:v>
                </c:pt>
                <c:pt idx="118">
                  <c:v>11.652699999999999</c:v>
                </c:pt>
                <c:pt idx="119">
                  <c:v>12.0365</c:v>
                </c:pt>
                <c:pt idx="120">
                  <c:v>11.8987</c:v>
                </c:pt>
                <c:pt idx="121">
                  <c:v>11.9184</c:v>
                </c:pt>
                <c:pt idx="122">
                  <c:v>12.0365</c:v>
                </c:pt>
                <c:pt idx="123">
                  <c:v>12.3416</c:v>
                </c:pt>
                <c:pt idx="124">
                  <c:v>12.5581</c:v>
                </c:pt>
                <c:pt idx="125">
                  <c:v>12.666399999999999</c:v>
                </c:pt>
                <c:pt idx="126">
                  <c:v>12.666399999999999</c:v>
                </c:pt>
                <c:pt idx="127">
                  <c:v>12.636900000000001</c:v>
                </c:pt>
                <c:pt idx="128">
                  <c:v>12.774699999999999</c:v>
                </c:pt>
                <c:pt idx="129">
                  <c:v>12.6959</c:v>
                </c:pt>
                <c:pt idx="130">
                  <c:v>12.9617</c:v>
                </c:pt>
                <c:pt idx="131">
                  <c:v>13.2569</c:v>
                </c:pt>
                <c:pt idx="132">
                  <c:v>13.808</c:v>
                </c:pt>
                <c:pt idx="133">
                  <c:v>14.004899999999999</c:v>
                </c:pt>
                <c:pt idx="134">
                  <c:v>14.1624</c:v>
                </c:pt>
                <c:pt idx="135">
                  <c:v>14.2509</c:v>
                </c:pt>
                <c:pt idx="136">
                  <c:v>14.319800000000001</c:v>
                </c:pt>
                <c:pt idx="137">
                  <c:v>13.758800000000001</c:v>
                </c:pt>
                <c:pt idx="138">
                  <c:v>13.896599999999999</c:v>
                </c:pt>
                <c:pt idx="139">
                  <c:v>13.6112</c:v>
                </c:pt>
                <c:pt idx="140">
                  <c:v>13.4537</c:v>
                </c:pt>
                <c:pt idx="141">
                  <c:v>10.9834</c:v>
                </c:pt>
                <c:pt idx="142">
                  <c:v>11.013</c:v>
                </c:pt>
                <c:pt idx="143">
                  <c:v>10.835800000000001</c:v>
                </c:pt>
                <c:pt idx="144">
                  <c:v>10.6685</c:v>
                </c:pt>
                <c:pt idx="145">
                  <c:v>10.6488</c:v>
                </c:pt>
                <c:pt idx="146">
                  <c:v>10.520899999999999</c:v>
                </c:pt>
                <c:pt idx="147">
                  <c:v>9.8712999999999997</c:v>
                </c:pt>
                <c:pt idx="148">
                  <c:v>9.5564</c:v>
                </c:pt>
                <c:pt idx="149">
                  <c:v>9.6252999999999993</c:v>
                </c:pt>
                <c:pt idx="150">
                  <c:v>9.6153999999999993</c:v>
                </c:pt>
                <c:pt idx="151">
                  <c:v>9.9696999999999996</c:v>
                </c:pt>
                <c:pt idx="152">
                  <c:v>9.9402000000000008</c:v>
                </c:pt>
                <c:pt idx="153">
                  <c:v>9.7040000000000006</c:v>
                </c:pt>
                <c:pt idx="154">
                  <c:v>9.9795999999999996</c:v>
                </c:pt>
                <c:pt idx="155">
                  <c:v>10.019</c:v>
                </c:pt>
                <c:pt idx="156">
                  <c:v>10.294499999999999</c:v>
                </c:pt>
                <c:pt idx="157">
                  <c:v>10.3437</c:v>
                </c:pt>
                <c:pt idx="158">
                  <c:v>10.5504</c:v>
                </c:pt>
                <c:pt idx="159">
                  <c:v>10.510999999999999</c:v>
                </c:pt>
                <c:pt idx="160">
                  <c:v>10.6784</c:v>
                </c:pt>
                <c:pt idx="161">
                  <c:v>10.747199999999999</c:v>
                </c:pt>
                <c:pt idx="162">
                  <c:v>11.091699999999999</c:v>
                </c:pt>
                <c:pt idx="163">
                  <c:v>10.934200000000001</c:v>
                </c:pt>
                <c:pt idx="164">
                  <c:v>10.963800000000001</c:v>
                </c:pt>
                <c:pt idx="165">
                  <c:v>10.8653</c:v>
                </c:pt>
                <c:pt idx="166">
                  <c:v>10.934200000000001</c:v>
                </c:pt>
                <c:pt idx="167">
                  <c:v>11.013</c:v>
                </c:pt>
                <c:pt idx="168">
                  <c:v>10.8063</c:v>
                </c:pt>
                <c:pt idx="169">
                  <c:v>10.7768</c:v>
                </c:pt>
                <c:pt idx="170">
                  <c:v>10.599600000000001</c:v>
                </c:pt>
                <c:pt idx="171">
                  <c:v>10.412599999999999</c:v>
                </c:pt>
                <c:pt idx="172">
                  <c:v>10.491400000000001</c:v>
                </c:pt>
                <c:pt idx="173">
                  <c:v>10.156700000000001</c:v>
                </c:pt>
                <c:pt idx="174">
                  <c:v>10.284700000000001</c:v>
                </c:pt>
                <c:pt idx="175">
                  <c:v>10.452</c:v>
                </c:pt>
                <c:pt idx="176">
                  <c:v>10.520899999999999</c:v>
                </c:pt>
                <c:pt idx="177">
                  <c:v>10.629099999999999</c:v>
                </c:pt>
                <c:pt idx="178">
                  <c:v>10.727600000000001</c:v>
                </c:pt>
                <c:pt idx="179">
                  <c:v>10.8063</c:v>
                </c:pt>
                <c:pt idx="180">
                  <c:v>10.747199999999999</c:v>
                </c:pt>
                <c:pt idx="181">
                  <c:v>10.7079</c:v>
                </c:pt>
                <c:pt idx="182">
                  <c:v>10.737399999999999</c:v>
                </c:pt>
                <c:pt idx="183">
                  <c:v>10.698</c:v>
                </c:pt>
                <c:pt idx="184">
                  <c:v>10.2552</c:v>
                </c:pt>
                <c:pt idx="185">
                  <c:v>10.510999999999999</c:v>
                </c:pt>
                <c:pt idx="186">
                  <c:v>10.609500000000001</c:v>
                </c:pt>
                <c:pt idx="187">
                  <c:v>10.392899999999999</c:v>
                </c:pt>
                <c:pt idx="188">
                  <c:v>10.5799</c:v>
                </c:pt>
                <c:pt idx="189">
                  <c:v>10.3142</c:v>
                </c:pt>
                <c:pt idx="190">
                  <c:v>10.284700000000001</c:v>
                </c:pt>
                <c:pt idx="191">
                  <c:v>10.402799999999999</c:v>
                </c:pt>
                <c:pt idx="192">
                  <c:v>10.324</c:v>
                </c:pt>
                <c:pt idx="193">
                  <c:v>10.324</c:v>
                </c:pt>
                <c:pt idx="194">
                  <c:v>10.452</c:v>
                </c:pt>
                <c:pt idx="195">
                  <c:v>10.510999999999999</c:v>
                </c:pt>
                <c:pt idx="196">
                  <c:v>10.5504</c:v>
                </c:pt>
                <c:pt idx="197">
                  <c:v>10.747199999999999</c:v>
                </c:pt>
                <c:pt idx="198">
                  <c:v>10.6685</c:v>
                </c:pt>
                <c:pt idx="199">
                  <c:v>10.855499999999999</c:v>
                </c:pt>
                <c:pt idx="200">
                  <c:v>10.8949</c:v>
                </c:pt>
                <c:pt idx="201">
                  <c:v>10.9244</c:v>
                </c:pt>
                <c:pt idx="202">
                  <c:v>10.7079</c:v>
                </c:pt>
                <c:pt idx="203">
                  <c:v>10.934200000000001</c:v>
                </c:pt>
                <c:pt idx="204">
                  <c:v>10.885</c:v>
                </c:pt>
                <c:pt idx="205">
                  <c:v>11.062200000000001</c:v>
                </c:pt>
                <c:pt idx="206">
                  <c:v>10.8949</c:v>
                </c:pt>
                <c:pt idx="207">
                  <c:v>11.190099999999999</c:v>
                </c:pt>
                <c:pt idx="208">
                  <c:v>10.2453</c:v>
                </c:pt>
                <c:pt idx="209">
                  <c:v>10.304399999999999</c:v>
                </c:pt>
                <c:pt idx="210">
                  <c:v>10.1272</c:v>
                </c:pt>
                <c:pt idx="211">
                  <c:v>10.058299999999999</c:v>
                </c:pt>
                <c:pt idx="212">
                  <c:v>10.196099999999999</c:v>
                </c:pt>
                <c:pt idx="213">
                  <c:v>10.4323</c:v>
                </c:pt>
                <c:pt idx="214">
                  <c:v>11.013</c:v>
                </c:pt>
                <c:pt idx="215">
                  <c:v>10.7866</c:v>
                </c:pt>
                <c:pt idx="216">
                  <c:v>10.7965</c:v>
                </c:pt>
                <c:pt idx="217">
                  <c:v>11.052300000000001</c:v>
                </c:pt>
                <c:pt idx="218">
                  <c:v>10.9244</c:v>
                </c:pt>
                <c:pt idx="219">
                  <c:v>10.9244</c:v>
                </c:pt>
                <c:pt idx="220">
                  <c:v>10.8949</c:v>
                </c:pt>
                <c:pt idx="221">
                  <c:v>10.835800000000001</c:v>
                </c:pt>
                <c:pt idx="222">
                  <c:v>11.0327</c:v>
                </c:pt>
                <c:pt idx="223">
                  <c:v>10.8752</c:v>
                </c:pt>
                <c:pt idx="224">
                  <c:v>10.5603</c:v>
                </c:pt>
                <c:pt idx="225">
                  <c:v>10.629099999999999</c:v>
                </c:pt>
                <c:pt idx="226">
                  <c:v>11.0031</c:v>
                </c:pt>
                <c:pt idx="227">
                  <c:v>11.2197</c:v>
                </c:pt>
                <c:pt idx="228">
                  <c:v>10.9244</c:v>
                </c:pt>
                <c:pt idx="229">
                  <c:v>10.9244</c:v>
                </c:pt>
                <c:pt idx="230">
                  <c:v>10.953900000000001</c:v>
                </c:pt>
                <c:pt idx="231">
                  <c:v>10.8063</c:v>
                </c:pt>
                <c:pt idx="232">
                  <c:v>10.6488</c:v>
                </c:pt>
                <c:pt idx="233">
                  <c:v>10.5701</c:v>
                </c:pt>
                <c:pt idx="234">
                  <c:v>10.274800000000001</c:v>
                </c:pt>
                <c:pt idx="235">
                  <c:v>10.3437</c:v>
                </c:pt>
                <c:pt idx="236">
                  <c:v>10.4323</c:v>
                </c:pt>
                <c:pt idx="237">
                  <c:v>10.392899999999999</c:v>
                </c:pt>
                <c:pt idx="238">
                  <c:v>10.2453</c:v>
                </c:pt>
                <c:pt idx="239">
                  <c:v>10.2256</c:v>
                </c:pt>
                <c:pt idx="240">
                  <c:v>10.2256</c:v>
                </c:pt>
                <c:pt idx="241">
                  <c:v>9.8320000000000007</c:v>
                </c:pt>
                <c:pt idx="242">
                  <c:v>9.8123000000000005</c:v>
                </c:pt>
                <c:pt idx="243">
                  <c:v>9.5366999999999997</c:v>
                </c:pt>
                <c:pt idx="244">
                  <c:v>9.5859000000000005</c:v>
                </c:pt>
                <c:pt idx="245">
                  <c:v>9.7236999999999991</c:v>
                </c:pt>
                <c:pt idx="246">
                  <c:v>9.7433999999999994</c:v>
                </c:pt>
                <c:pt idx="247">
                  <c:v>9.8614999999999995</c:v>
                </c:pt>
                <c:pt idx="248">
                  <c:v>9.9107000000000003</c:v>
                </c:pt>
                <c:pt idx="249">
                  <c:v>9.8712999999999997</c:v>
                </c:pt>
                <c:pt idx="250">
                  <c:v>9.7236999999999991</c:v>
                </c:pt>
                <c:pt idx="251">
                  <c:v>9.7433999999999994</c:v>
                </c:pt>
                <c:pt idx="252">
                  <c:v>9.4972999999999992</c:v>
                </c:pt>
                <c:pt idx="253">
                  <c:v>9.7236999999999991</c:v>
                </c:pt>
                <c:pt idx="254">
                  <c:v>9.7630999999999997</c:v>
                </c:pt>
                <c:pt idx="255">
                  <c:v>9.6056000000000008</c:v>
                </c:pt>
                <c:pt idx="256">
                  <c:v>9.5859000000000005</c:v>
                </c:pt>
                <c:pt idx="257">
                  <c:v>9.4972999999999992</c:v>
                </c:pt>
                <c:pt idx="258">
                  <c:v>9.5564</c:v>
                </c:pt>
                <c:pt idx="259">
                  <c:v>9.6252999999999993</c:v>
                </c:pt>
                <c:pt idx="260">
                  <c:v>9.7926000000000002</c:v>
                </c:pt>
                <c:pt idx="261">
                  <c:v>9.8515999999999995</c:v>
                </c:pt>
                <c:pt idx="262">
                  <c:v>10.019</c:v>
                </c:pt>
                <c:pt idx="263">
                  <c:v>10.265000000000001</c:v>
                </c:pt>
                <c:pt idx="264">
                  <c:v>9.8712999999999997</c:v>
                </c:pt>
                <c:pt idx="265">
                  <c:v>9.9992999999999999</c:v>
                </c:pt>
                <c:pt idx="266">
                  <c:v>9.9598999999999993</c:v>
                </c:pt>
                <c:pt idx="267">
                  <c:v>10.2158</c:v>
                </c:pt>
                <c:pt idx="268">
                  <c:v>9.9205000000000005</c:v>
                </c:pt>
                <c:pt idx="269">
                  <c:v>10.048500000000001</c:v>
                </c:pt>
                <c:pt idx="270">
                  <c:v>9.9992999999999999</c:v>
                </c:pt>
                <c:pt idx="271">
                  <c:v>9.9205000000000005</c:v>
                </c:pt>
                <c:pt idx="272">
                  <c:v>9.7334999999999994</c:v>
                </c:pt>
                <c:pt idx="273">
                  <c:v>9.9992999999999999</c:v>
                </c:pt>
                <c:pt idx="274">
                  <c:v>9.8515999999999995</c:v>
                </c:pt>
                <c:pt idx="275">
                  <c:v>9.1135000000000002</c:v>
                </c:pt>
                <c:pt idx="276">
                  <c:v>9.0937999999999999</c:v>
                </c:pt>
                <c:pt idx="277">
                  <c:v>9.0937999999999999</c:v>
                </c:pt>
                <c:pt idx="278">
                  <c:v>9.0642999999999994</c:v>
                </c:pt>
                <c:pt idx="279">
                  <c:v>9.0839999999999996</c:v>
                </c:pt>
                <c:pt idx="280">
                  <c:v>9.2020999999999997</c:v>
                </c:pt>
                <c:pt idx="281">
                  <c:v>9.33</c:v>
                </c:pt>
                <c:pt idx="282">
                  <c:v>9.2899999999999991</c:v>
                </c:pt>
                <c:pt idx="283">
                  <c:v>9.34</c:v>
                </c:pt>
                <c:pt idx="284">
                  <c:v>9.39</c:v>
                </c:pt>
                <c:pt idx="285">
                  <c:v>9.2799999999999994</c:v>
                </c:pt>
                <c:pt idx="286">
                  <c:v>9.35</c:v>
                </c:pt>
                <c:pt idx="287">
                  <c:v>9.42</c:v>
                </c:pt>
                <c:pt idx="288">
                  <c:v>9.4700000000000006</c:v>
                </c:pt>
                <c:pt idx="289">
                  <c:v>9.2899999999999991</c:v>
                </c:pt>
                <c:pt idx="290">
                  <c:v>9.5500000000000007</c:v>
                </c:pt>
                <c:pt idx="291">
                  <c:v>9.39</c:v>
                </c:pt>
                <c:pt idx="292">
                  <c:v>9.1199999999999992</c:v>
                </c:pt>
                <c:pt idx="293">
                  <c:v>9.65</c:v>
                </c:pt>
                <c:pt idx="294">
                  <c:v>9.61</c:v>
                </c:pt>
                <c:pt idx="295">
                  <c:v>9.9</c:v>
                </c:pt>
                <c:pt idx="296">
                  <c:v>9.9600000000000009</c:v>
                </c:pt>
                <c:pt idx="297">
                  <c:v>9.69</c:v>
                </c:pt>
                <c:pt idx="298">
                  <c:v>9.59</c:v>
                </c:pt>
                <c:pt idx="299">
                  <c:v>9.5299999999999994</c:v>
                </c:pt>
                <c:pt idx="300">
                  <c:v>9.73</c:v>
                </c:pt>
                <c:pt idx="301">
                  <c:v>9.92</c:v>
                </c:pt>
                <c:pt idx="302">
                  <c:v>9.9499999999999993</c:v>
                </c:pt>
                <c:pt idx="303">
                  <c:v>10.17</c:v>
                </c:pt>
                <c:pt idx="304">
                  <c:v>10.01</c:v>
                </c:pt>
                <c:pt idx="305">
                  <c:v>10</c:v>
                </c:pt>
                <c:pt idx="306">
                  <c:v>10.25</c:v>
                </c:pt>
                <c:pt idx="307">
                  <c:v>10.29</c:v>
                </c:pt>
                <c:pt idx="308">
                  <c:v>10.3</c:v>
                </c:pt>
                <c:pt idx="309">
                  <c:v>9.9</c:v>
                </c:pt>
                <c:pt idx="310">
                  <c:v>9.7200000000000006</c:v>
                </c:pt>
                <c:pt idx="311">
                  <c:v>10.029999999999999</c:v>
                </c:pt>
                <c:pt idx="312">
                  <c:v>9.94</c:v>
                </c:pt>
                <c:pt idx="313">
                  <c:v>10.15</c:v>
                </c:pt>
                <c:pt idx="314">
                  <c:v>9.5399999999999991</c:v>
                </c:pt>
                <c:pt idx="315">
                  <c:v>9.58</c:v>
                </c:pt>
                <c:pt idx="316">
                  <c:v>9.24</c:v>
                </c:pt>
                <c:pt idx="317">
                  <c:v>8.69</c:v>
                </c:pt>
                <c:pt idx="318">
                  <c:v>9.5</c:v>
                </c:pt>
                <c:pt idx="319">
                  <c:v>9.14</c:v>
                </c:pt>
                <c:pt idx="320">
                  <c:v>9.33</c:v>
                </c:pt>
                <c:pt idx="321">
                  <c:v>9.7100000000000009</c:v>
                </c:pt>
                <c:pt idx="322">
                  <c:v>9.4499999999999993</c:v>
                </c:pt>
                <c:pt idx="323">
                  <c:v>9.4</c:v>
                </c:pt>
                <c:pt idx="324">
                  <c:v>9.6300000000000008</c:v>
                </c:pt>
                <c:pt idx="325">
                  <c:v>9.4700000000000006</c:v>
                </c:pt>
                <c:pt idx="326">
                  <c:v>9.65</c:v>
                </c:pt>
                <c:pt idx="327">
                  <c:v>9.7799999999999994</c:v>
                </c:pt>
                <c:pt idx="328">
                  <c:v>10.06</c:v>
                </c:pt>
                <c:pt idx="329">
                  <c:v>10.039999999999999</c:v>
                </c:pt>
                <c:pt idx="330">
                  <c:v>10.02</c:v>
                </c:pt>
                <c:pt idx="331">
                  <c:v>10.15</c:v>
                </c:pt>
                <c:pt idx="332">
                  <c:v>10.01</c:v>
                </c:pt>
                <c:pt idx="333">
                  <c:v>10.18</c:v>
                </c:pt>
                <c:pt idx="334">
                  <c:v>10.28</c:v>
                </c:pt>
                <c:pt idx="335">
                  <c:v>10.17</c:v>
                </c:pt>
                <c:pt idx="336">
                  <c:v>10.44</c:v>
                </c:pt>
                <c:pt idx="337">
                  <c:v>10.28</c:v>
                </c:pt>
                <c:pt idx="338">
                  <c:v>10.28</c:v>
                </c:pt>
                <c:pt idx="339">
                  <c:v>10.43</c:v>
                </c:pt>
                <c:pt idx="340">
                  <c:v>10.55</c:v>
                </c:pt>
                <c:pt idx="341">
                  <c:v>10.6</c:v>
                </c:pt>
                <c:pt idx="342">
                  <c:v>10.65</c:v>
                </c:pt>
                <c:pt idx="343">
                  <c:v>10.75</c:v>
                </c:pt>
                <c:pt idx="344">
                  <c:v>10.8</c:v>
                </c:pt>
                <c:pt idx="345">
                  <c:v>10.75</c:v>
                </c:pt>
                <c:pt idx="346">
                  <c:v>10.72</c:v>
                </c:pt>
                <c:pt idx="347">
                  <c:v>10.48</c:v>
                </c:pt>
                <c:pt idx="348">
                  <c:v>10.44</c:v>
                </c:pt>
                <c:pt idx="349">
                  <c:v>10.36</c:v>
                </c:pt>
                <c:pt idx="350">
                  <c:v>10.31</c:v>
                </c:pt>
                <c:pt idx="351">
                  <c:v>10.17</c:v>
                </c:pt>
                <c:pt idx="352">
                  <c:v>10.220000000000001</c:v>
                </c:pt>
                <c:pt idx="353">
                  <c:v>10.38</c:v>
                </c:pt>
                <c:pt idx="354">
                  <c:v>9.98</c:v>
                </c:pt>
                <c:pt idx="355">
                  <c:v>10.19</c:v>
                </c:pt>
                <c:pt idx="356">
                  <c:v>10.24</c:v>
                </c:pt>
                <c:pt idx="357">
                  <c:v>10.1</c:v>
                </c:pt>
                <c:pt idx="358">
                  <c:v>10.26</c:v>
                </c:pt>
                <c:pt idx="359">
                  <c:v>10.34</c:v>
                </c:pt>
                <c:pt idx="360">
                  <c:v>10.6</c:v>
                </c:pt>
                <c:pt idx="361">
                  <c:v>10.66</c:v>
                </c:pt>
                <c:pt idx="362">
                  <c:v>10.53</c:v>
                </c:pt>
                <c:pt idx="363">
                  <c:v>10.43</c:v>
                </c:pt>
                <c:pt idx="364">
                  <c:v>10.62</c:v>
                </c:pt>
                <c:pt idx="365">
                  <c:v>10.42</c:v>
                </c:pt>
                <c:pt idx="366">
                  <c:v>10.43</c:v>
                </c:pt>
                <c:pt idx="367">
                  <c:v>10.59</c:v>
                </c:pt>
                <c:pt idx="368">
                  <c:v>10.75</c:v>
                </c:pt>
                <c:pt idx="369">
                  <c:v>10.73</c:v>
                </c:pt>
                <c:pt idx="370">
                  <c:v>10.48</c:v>
                </c:pt>
                <c:pt idx="371">
                  <c:v>10.63</c:v>
                </c:pt>
                <c:pt idx="372">
                  <c:v>10.8</c:v>
                </c:pt>
                <c:pt idx="373">
                  <c:v>10.85</c:v>
                </c:pt>
                <c:pt idx="374">
                  <c:v>11.35</c:v>
                </c:pt>
                <c:pt idx="375">
                  <c:v>11.77</c:v>
                </c:pt>
                <c:pt idx="376">
                  <c:v>11.81</c:v>
                </c:pt>
                <c:pt idx="377">
                  <c:v>11.59</c:v>
                </c:pt>
                <c:pt idx="378">
                  <c:v>11.68</c:v>
                </c:pt>
                <c:pt idx="379">
                  <c:v>11.83</c:v>
                </c:pt>
                <c:pt idx="380">
                  <c:v>11.91</c:v>
                </c:pt>
                <c:pt idx="381">
                  <c:v>11.78</c:v>
                </c:pt>
                <c:pt idx="382">
                  <c:v>11.88</c:v>
                </c:pt>
                <c:pt idx="383">
                  <c:v>11.57</c:v>
                </c:pt>
                <c:pt idx="384">
                  <c:v>11.24</c:v>
                </c:pt>
                <c:pt idx="385">
                  <c:v>11.15</c:v>
                </c:pt>
                <c:pt idx="386">
                  <c:v>11.16</c:v>
                </c:pt>
                <c:pt idx="387">
                  <c:v>11.31</c:v>
                </c:pt>
                <c:pt idx="388">
                  <c:v>11.19</c:v>
                </c:pt>
                <c:pt idx="389">
                  <c:v>11.38</c:v>
                </c:pt>
                <c:pt idx="390">
                  <c:v>11.26</c:v>
                </c:pt>
                <c:pt idx="391">
                  <c:v>11.47</c:v>
                </c:pt>
                <c:pt idx="392">
                  <c:v>11.28</c:v>
                </c:pt>
                <c:pt idx="393">
                  <c:v>11.08</c:v>
                </c:pt>
                <c:pt idx="394">
                  <c:v>10.87</c:v>
                </c:pt>
                <c:pt idx="395">
                  <c:v>11.07</c:v>
                </c:pt>
                <c:pt idx="396">
                  <c:v>10.82</c:v>
                </c:pt>
                <c:pt idx="397">
                  <c:v>10.95</c:v>
                </c:pt>
                <c:pt idx="398">
                  <c:v>11.06</c:v>
                </c:pt>
                <c:pt idx="399">
                  <c:v>11.21</c:v>
                </c:pt>
                <c:pt idx="400">
                  <c:v>11.28</c:v>
                </c:pt>
                <c:pt idx="401">
                  <c:v>11.32</c:v>
                </c:pt>
                <c:pt idx="402">
                  <c:v>11.14</c:v>
                </c:pt>
                <c:pt idx="403">
                  <c:v>11.25</c:v>
                </c:pt>
                <c:pt idx="404">
                  <c:v>11.44</c:v>
                </c:pt>
                <c:pt idx="405">
                  <c:v>11.44</c:v>
                </c:pt>
                <c:pt idx="406">
                  <c:v>11.44</c:v>
                </c:pt>
                <c:pt idx="407">
                  <c:v>11.46</c:v>
                </c:pt>
                <c:pt idx="408">
                  <c:v>11.58</c:v>
                </c:pt>
                <c:pt idx="409">
                  <c:v>11.49</c:v>
                </c:pt>
                <c:pt idx="410">
                  <c:v>11.33</c:v>
                </c:pt>
                <c:pt idx="411">
                  <c:v>11.74</c:v>
                </c:pt>
                <c:pt idx="412">
                  <c:v>11.82</c:v>
                </c:pt>
                <c:pt idx="413">
                  <c:v>11.84</c:v>
                </c:pt>
                <c:pt idx="414">
                  <c:v>11.91</c:v>
                </c:pt>
                <c:pt idx="415">
                  <c:v>11.71</c:v>
                </c:pt>
                <c:pt idx="416">
                  <c:v>11.77</c:v>
                </c:pt>
                <c:pt idx="417">
                  <c:v>11.72</c:v>
                </c:pt>
                <c:pt idx="418">
                  <c:v>11.62</c:v>
                </c:pt>
                <c:pt idx="419">
                  <c:v>11.68</c:v>
                </c:pt>
                <c:pt idx="420">
                  <c:v>11.74</c:v>
                </c:pt>
                <c:pt idx="421">
                  <c:v>11.69</c:v>
                </c:pt>
                <c:pt idx="422">
                  <c:v>11.49</c:v>
                </c:pt>
                <c:pt idx="423">
                  <c:v>11.42</c:v>
                </c:pt>
                <c:pt idx="424">
                  <c:v>11.76</c:v>
                </c:pt>
                <c:pt idx="425">
                  <c:v>11.68</c:v>
                </c:pt>
                <c:pt idx="426">
                  <c:v>11.68</c:v>
                </c:pt>
                <c:pt idx="427">
                  <c:v>11.61</c:v>
                </c:pt>
                <c:pt idx="428">
                  <c:v>11.66</c:v>
                </c:pt>
                <c:pt idx="429">
                  <c:v>11.74</c:v>
                </c:pt>
                <c:pt idx="430">
                  <c:v>11.62</c:v>
                </c:pt>
                <c:pt idx="431">
                  <c:v>11.66</c:v>
                </c:pt>
                <c:pt idx="432">
                  <c:v>11.73</c:v>
                </c:pt>
                <c:pt idx="433">
                  <c:v>11.63</c:v>
                </c:pt>
                <c:pt idx="434">
                  <c:v>11.62</c:v>
                </c:pt>
                <c:pt idx="435">
                  <c:v>12.01</c:v>
                </c:pt>
                <c:pt idx="436">
                  <c:v>12.09</c:v>
                </c:pt>
                <c:pt idx="437">
                  <c:v>11.96</c:v>
                </c:pt>
                <c:pt idx="438">
                  <c:v>12.27</c:v>
                </c:pt>
                <c:pt idx="439">
                  <c:v>12.22</c:v>
                </c:pt>
                <c:pt idx="440">
                  <c:v>12.67</c:v>
                </c:pt>
                <c:pt idx="441">
                  <c:v>12.7</c:v>
                </c:pt>
                <c:pt idx="442">
                  <c:v>11.92</c:v>
                </c:pt>
                <c:pt idx="443">
                  <c:v>11.74</c:v>
                </c:pt>
                <c:pt idx="444">
                  <c:v>11.5</c:v>
                </c:pt>
                <c:pt idx="445">
                  <c:v>11.41</c:v>
                </c:pt>
                <c:pt idx="446">
                  <c:v>11.54</c:v>
                </c:pt>
                <c:pt idx="447">
                  <c:v>11.65</c:v>
                </c:pt>
                <c:pt idx="448">
                  <c:v>11.76</c:v>
                </c:pt>
                <c:pt idx="449">
                  <c:v>11.74</c:v>
                </c:pt>
                <c:pt idx="450">
                  <c:v>11.92</c:v>
                </c:pt>
                <c:pt idx="451">
                  <c:v>11.99</c:v>
                </c:pt>
                <c:pt idx="452">
                  <c:v>12.56</c:v>
                </c:pt>
                <c:pt idx="453">
                  <c:v>12.43</c:v>
                </c:pt>
                <c:pt idx="454">
                  <c:v>12.34</c:v>
                </c:pt>
                <c:pt idx="455">
                  <c:v>13.84</c:v>
                </c:pt>
                <c:pt idx="456">
                  <c:v>13.26</c:v>
                </c:pt>
                <c:pt idx="457">
                  <c:v>13.13</c:v>
                </c:pt>
                <c:pt idx="458">
                  <c:v>13.24</c:v>
                </c:pt>
                <c:pt idx="459">
                  <c:v>13.06</c:v>
                </c:pt>
                <c:pt idx="460">
                  <c:v>13.13</c:v>
                </c:pt>
                <c:pt idx="461">
                  <c:v>13.01</c:v>
                </c:pt>
                <c:pt idx="462">
                  <c:v>12.79</c:v>
                </c:pt>
                <c:pt idx="463">
                  <c:v>13.11</c:v>
                </c:pt>
                <c:pt idx="464">
                  <c:v>13.12</c:v>
                </c:pt>
                <c:pt idx="465">
                  <c:v>13.21</c:v>
                </c:pt>
                <c:pt idx="466">
                  <c:v>13.16</c:v>
                </c:pt>
                <c:pt idx="467">
                  <c:v>13.3</c:v>
                </c:pt>
                <c:pt idx="468">
                  <c:v>13.45</c:v>
                </c:pt>
                <c:pt idx="469">
                  <c:v>13.28</c:v>
                </c:pt>
                <c:pt idx="470">
                  <c:v>13.19</c:v>
                </c:pt>
                <c:pt idx="471">
                  <c:v>12.88</c:v>
                </c:pt>
                <c:pt idx="472">
                  <c:v>13.02</c:v>
                </c:pt>
                <c:pt idx="473">
                  <c:v>12.9</c:v>
                </c:pt>
                <c:pt idx="474">
                  <c:v>12.41</c:v>
                </c:pt>
                <c:pt idx="475">
                  <c:v>12.83</c:v>
                </c:pt>
                <c:pt idx="476">
                  <c:v>12.96</c:v>
                </c:pt>
                <c:pt idx="477">
                  <c:v>13.17</c:v>
                </c:pt>
                <c:pt idx="478">
                  <c:v>13.19</c:v>
                </c:pt>
                <c:pt idx="479">
                  <c:v>13.28</c:v>
                </c:pt>
                <c:pt idx="480">
                  <c:v>13.16</c:v>
                </c:pt>
                <c:pt idx="481">
                  <c:v>12.96</c:v>
                </c:pt>
                <c:pt idx="482">
                  <c:v>13.09</c:v>
                </c:pt>
                <c:pt idx="483">
                  <c:v>13.14</c:v>
                </c:pt>
                <c:pt idx="484">
                  <c:v>13.03</c:v>
                </c:pt>
                <c:pt idx="485">
                  <c:v>13.14</c:v>
                </c:pt>
                <c:pt idx="486">
                  <c:v>13.08</c:v>
                </c:pt>
                <c:pt idx="487">
                  <c:v>13.41</c:v>
                </c:pt>
                <c:pt idx="488">
                  <c:v>13.63</c:v>
                </c:pt>
                <c:pt idx="489">
                  <c:v>13.76</c:v>
                </c:pt>
                <c:pt idx="490">
                  <c:v>13.65</c:v>
                </c:pt>
                <c:pt idx="491">
                  <c:v>13.67</c:v>
                </c:pt>
                <c:pt idx="492">
                  <c:v>13.31</c:v>
                </c:pt>
                <c:pt idx="493">
                  <c:v>13.32</c:v>
                </c:pt>
                <c:pt idx="494">
                  <c:v>13.47</c:v>
                </c:pt>
                <c:pt idx="495">
                  <c:v>13.46</c:v>
                </c:pt>
                <c:pt idx="496">
                  <c:v>13.29</c:v>
                </c:pt>
                <c:pt idx="497">
                  <c:v>13.36</c:v>
                </c:pt>
                <c:pt idx="498">
                  <c:v>13.31</c:v>
                </c:pt>
                <c:pt idx="499">
                  <c:v>13.28</c:v>
                </c:pt>
                <c:pt idx="500">
                  <c:v>13.23</c:v>
                </c:pt>
                <c:pt idx="501">
                  <c:v>13.12</c:v>
                </c:pt>
                <c:pt idx="502">
                  <c:v>13.34</c:v>
                </c:pt>
                <c:pt idx="503">
                  <c:v>13.47</c:v>
                </c:pt>
                <c:pt idx="504">
                  <c:v>13.8</c:v>
                </c:pt>
                <c:pt idx="505">
                  <c:v>13.74</c:v>
                </c:pt>
                <c:pt idx="506">
                  <c:v>14.4</c:v>
                </c:pt>
                <c:pt idx="507">
                  <c:v>14.2</c:v>
                </c:pt>
                <c:pt idx="508">
                  <c:v>14.03</c:v>
                </c:pt>
                <c:pt idx="509">
                  <c:v>13.98</c:v>
                </c:pt>
                <c:pt idx="510">
                  <c:v>13.84</c:v>
                </c:pt>
                <c:pt idx="511">
                  <c:v>13.81</c:v>
                </c:pt>
                <c:pt idx="512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19">
                  <c:v>11.356924999999999</c:v>
                </c:pt>
                <c:pt idx="20">
                  <c:v>11.335274999999999</c:v>
                </c:pt>
                <c:pt idx="21">
                  <c:v>11.354470000000003</c:v>
                </c:pt>
                <c:pt idx="22">
                  <c:v>11.377105000000002</c:v>
                </c:pt>
                <c:pt idx="23">
                  <c:v>11.364310000000001</c:v>
                </c:pt>
                <c:pt idx="24">
                  <c:v>11.369235000000002</c:v>
                </c:pt>
                <c:pt idx="25">
                  <c:v>11.416475000000002</c:v>
                </c:pt>
                <c:pt idx="26">
                  <c:v>11.465685000000002</c:v>
                </c:pt>
                <c:pt idx="27">
                  <c:v>11.51342</c:v>
                </c:pt>
                <c:pt idx="28">
                  <c:v>11.588220000000002</c:v>
                </c:pt>
                <c:pt idx="29">
                  <c:v>11.648254999999999</c:v>
                </c:pt>
                <c:pt idx="30">
                  <c:v>11.711734999999999</c:v>
                </c:pt>
                <c:pt idx="31">
                  <c:v>11.787025</c:v>
                </c:pt>
                <c:pt idx="32">
                  <c:v>11.841154999999999</c:v>
                </c:pt>
                <c:pt idx="33">
                  <c:v>11.892824999999998</c:v>
                </c:pt>
                <c:pt idx="34">
                  <c:v>11.930714999999999</c:v>
                </c:pt>
                <c:pt idx="35">
                  <c:v>11.984354999999999</c:v>
                </c:pt>
                <c:pt idx="36">
                  <c:v>12.023720000000001</c:v>
                </c:pt>
                <c:pt idx="37">
                  <c:v>12.05128</c:v>
                </c:pt>
                <c:pt idx="38">
                  <c:v>12.073425</c:v>
                </c:pt>
                <c:pt idx="39">
                  <c:v>12.099015</c:v>
                </c:pt>
                <c:pt idx="40">
                  <c:v>12.134444999999999</c:v>
                </c:pt>
                <c:pt idx="41">
                  <c:v>12.151664999999999</c:v>
                </c:pt>
                <c:pt idx="42">
                  <c:v>12.181195000000002</c:v>
                </c:pt>
                <c:pt idx="43">
                  <c:v>12.229915000000002</c:v>
                </c:pt>
                <c:pt idx="44">
                  <c:v>12.245165000000002</c:v>
                </c:pt>
                <c:pt idx="45">
                  <c:v>12.225975</c:v>
                </c:pt>
                <c:pt idx="46">
                  <c:v>12.193989999999999</c:v>
                </c:pt>
                <c:pt idx="47">
                  <c:v>12.165939999999999</c:v>
                </c:pt>
                <c:pt idx="48">
                  <c:v>12.123124999999998</c:v>
                </c:pt>
                <c:pt idx="49">
                  <c:v>12.107869999999998</c:v>
                </c:pt>
                <c:pt idx="50">
                  <c:v>12.084249999999997</c:v>
                </c:pt>
                <c:pt idx="51">
                  <c:v>12.061615</c:v>
                </c:pt>
                <c:pt idx="52">
                  <c:v>12.055709999999999</c:v>
                </c:pt>
                <c:pt idx="53">
                  <c:v>12.05817</c:v>
                </c:pt>
                <c:pt idx="54">
                  <c:v>12.095569999999999</c:v>
                </c:pt>
                <c:pt idx="55">
                  <c:v>12.134934999999999</c:v>
                </c:pt>
                <c:pt idx="56">
                  <c:v>12.172830000000001</c:v>
                </c:pt>
                <c:pt idx="57">
                  <c:v>12.219575000000001</c:v>
                </c:pt>
                <c:pt idx="58">
                  <c:v>12.241225000000002</c:v>
                </c:pt>
                <c:pt idx="59">
                  <c:v>12.278625000000002</c:v>
                </c:pt>
                <c:pt idx="60">
                  <c:v>12.31996</c:v>
                </c:pt>
                <c:pt idx="61">
                  <c:v>12.3613</c:v>
                </c:pt>
                <c:pt idx="62">
                  <c:v>12.387869999999999</c:v>
                </c:pt>
                <c:pt idx="63">
                  <c:v>12.440524999999999</c:v>
                </c:pt>
                <c:pt idx="64">
                  <c:v>12.48137</c:v>
                </c:pt>
                <c:pt idx="65">
                  <c:v>12.524179999999998</c:v>
                </c:pt>
                <c:pt idx="66">
                  <c:v>12.584709999999998</c:v>
                </c:pt>
                <c:pt idx="67">
                  <c:v>12.655079999999996</c:v>
                </c:pt>
                <c:pt idx="68">
                  <c:v>12.701829999999998</c:v>
                </c:pt>
                <c:pt idx="69">
                  <c:v>12.734799999999996</c:v>
                </c:pt>
                <c:pt idx="70">
                  <c:v>12.760879999999998</c:v>
                </c:pt>
                <c:pt idx="71">
                  <c:v>12.769245</c:v>
                </c:pt>
                <c:pt idx="72">
                  <c:v>12.764814999999999</c:v>
                </c:pt>
                <c:pt idx="73">
                  <c:v>12.75202</c:v>
                </c:pt>
                <c:pt idx="74">
                  <c:v>12.710685</c:v>
                </c:pt>
                <c:pt idx="75">
                  <c:v>12.6723</c:v>
                </c:pt>
                <c:pt idx="76">
                  <c:v>12.670819999999999</c:v>
                </c:pt>
                <c:pt idx="77">
                  <c:v>12.672789999999999</c:v>
                </c:pt>
                <c:pt idx="78">
                  <c:v>12.697885000000001</c:v>
                </c:pt>
                <c:pt idx="79">
                  <c:v>12.696900000000001</c:v>
                </c:pt>
                <c:pt idx="80">
                  <c:v>12.672790000000001</c:v>
                </c:pt>
                <c:pt idx="81">
                  <c:v>12.646215000000002</c:v>
                </c:pt>
                <c:pt idx="82">
                  <c:v>12.590610000000002</c:v>
                </c:pt>
                <c:pt idx="83">
                  <c:v>12.519255000000001</c:v>
                </c:pt>
                <c:pt idx="84">
                  <c:v>12.483825000000001</c:v>
                </c:pt>
                <c:pt idx="85">
                  <c:v>12.442</c:v>
                </c:pt>
                <c:pt idx="86">
                  <c:v>12.397220000000001</c:v>
                </c:pt>
                <c:pt idx="87">
                  <c:v>12.329804999999999</c:v>
                </c:pt>
                <c:pt idx="88">
                  <c:v>12.285025000000001</c:v>
                </c:pt>
                <c:pt idx="89">
                  <c:v>12.240244999999998</c:v>
                </c:pt>
                <c:pt idx="90">
                  <c:v>12.209734999999998</c:v>
                </c:pt>
                <c:pt idx="91">
                  <c:v>12.214654999999997</c:v>
                </c:pt>
                <c:pt idx="92">
                  <c:v>12.231879999999997</c:v>
                </c:pt>
                <c:pt idx="93">
                  <c:v>12.245169999999998</c:v>
                </c:pt>
                <c:pt idx="94">
                  <c:v>12.260914999999999</c:v>
                </c:pt>
                <c:pt idx="95">
                  <c:v>12.267804999999999</c:v>
                </c:pt>
                <c:pt idx="96">
                  <c:v>12.231884999999998</c:v>
                </c:pt>
                <c:pt idx="97">
                  <c:v>12.193009999999997</c:v>
                </c:pt>
                <c:pt idx="98">
                  <c:v>12.147739999999999</c:v>
                </c:pt>
                <c:pt idx="99">
                  <c:v>12.101974999999998</c:v>
                </c:pt>
                <c:pt idx="100">
                  <c:v>12.070969999999999</c:v>
                </c:pt>
                <c:pt idx="101">
                  <c:v>12.018314999999998</c:v>
                </c:pt>
                <c:pt idx="102">
                  <c:v>11.989280000000001</c:v>
                </c:pt>
                <c:pt idx="103">
                  <c:v>11.968120000000001</c:v>
                </c:pt>
                <c:pt idx="104">
                  <c:v>11.950405</c:v>
                </c:pt>
                <c:pt idx="105">
                  <c:v>11.938594999999999</c:v>
                </c:pt>
                <c:pt idx="106">
                  <c:v>11.915465000000001</c:v>
                </c:pt>
                <c:pt idx="107">
                  <c:v>11.910545000000001</c:v>
                </c:pt>
                <c:pt idx="108">
                  <c:v>11.906609999999999</c:v>
                </c:pt>
                <c:pt idx="109">
                  <c:v>11.907594999999999</c:v>
                </c:pt>
                <c:pt idx="110">
                  <c:v>11.926784999999999</c:v>
                </c:pt>
                <c:pt idx="111">
                  <c:v>11.915959999999998</c:v>
                </c:pt>
                <c:pt idx="112">
                  <c:v>11.898244999999999</c:v>
                </c:pt>
                <c:pt idx="113">
                  <c:v>11.880034999999998</c:v>
                </c:pt>
                <c:pt idx="114">
                  <c:v>11.847064999999999</c:v>
                </c:pt>
                <c:pt idx="115">
                  <c:v>11.825904999999999</c:v>
                </c:pt>
                <c:pt idx="116">
                  <c:v>11.807694999999999</c:v>
                </c:pt>
                <c:pt idx="117">
                  <c:v>11.797359999999999</c:v>
                </c:pt>
                <c:pt idx="118">
                  <c:v>11.78801</c:v>
                </c:pt>
                <c:pt idx="119">
                  <c:v>11.793915</c:v>
                </c:pt>
                <c:pt idx="120">
                  <c:v>11.790470000000001</c:v>
                </c:pt>
                <c:pt idx="121">
                  <c:v>11.811629999999999</c:v>
                </c:pt>
                <c:pt idx="122">
                  <c:v>11.8446</c:v>
                </c:pt>
                <c:pt idx="123">
                  <c:v>11.882490000000001</c:v>
                </c:pt>
                <c:pt idx="124">
                  <c:v>11.913489999999999</c:v>
                </c:pt>
                <c:pt idx="125">
                  <c:v>11.946949999999998</c:v>
                </c:pt>
                <c:pt idx="126">
                  <c:v>11.988284999999999</c:v>
                </c:pt>
                <c:pt idx="127">
                  <c:v>12.026174999999999</c:v>
                </c:pt>
                <c:pt idx="128">
                  <c:v>12.070954999999998</c:v>
                </c:pt>
                <c:pt idx="129">
                  <c:v>12.107859999999999</c:v>
                </c:pt>
                <c:pt idx="130">
                  <c:v>12.146739999999999</c:v>
                </c:pt>
                <c:pt idx="131">
                  <c:v>12.213665000000001</c:v>
                </c:pt>
                <c:pt idx="132">
                  <c:v>12.309620000000001</c:v>
                </c:pt>
                <c:pt idx="133">
                  <c:v>12.422310000000001</c:v>
                </c:pt>
                <c:pt idx="134">
                  <c:v>12.554195</c:v>
                </c:pt>
                <c:pt idx="135">
                  <c:v>12.683615</c:v>
                </c:pt>
                <c:pt idx="136">
                  <c:v>12.819924999999998</c:v>
                </c:pt>
                <c:pt idx="137">
                  <c:v>12.920309999999997</c:v>
                </c:pt>
                <c:pt idx="138">
                  <c:v>13.032504999999997</c:v>
                </c:pt>
                <c:pt idx="139">
                  <c:v>13.11124</c:v>
                </c:pt>
                <c:pt idx="140">
                  <c:v>13.188989999999999</c:v>
                </c:pt>
                <c:pt idx="141">
                  <c:v>13.142239999999997</c:v>
                </c:pt>
                <c:pt idx="142">
                  <c:v>13.091064999999997</c:v>
                </c:pt>
                <c:pt idx="143">
                  <c:v>13.015775</c:v>
                </c:pt>
                <c:pt idx="144">
                  <c:v>12.921295000000001</c:v>
                </c:pt>
                <c:pt idx="145">
                  <c:v>12.820415000000001</c:v>
                </c:pt>
                <c:pt idx="146">
                  <c:v>12.713139999999999</c:v>
                </c:pt>
                <c:pt idx="147">
                  <c:v>12.574859999999999</c:v>
                </c:pt>
                <c:pt idx="148">
                  <c:v>12.413945</c:v>
                </c:pt>
                <c:pt idx="149">
                  <c:v>12.260415</c:v>
                </c:pt>
                <c:pt idx="150">
                  <c:v>12.0931</c:v>
                </c:pt>
                <c:pt idx="151">
                  <c:v>11.928739999999999</c:v>
                </c:pt>
                <c:pt idx="152">
                  <c:v>11.73535</c:v>
                </c:pt>
                <c:pt idx="153">
                  <c:v>11.520304999999999</c:v>
                </c:pt>
                <c:pt idx="154">
                  <c:v>11.311165000000001</c:v>
                </c:pt>
                <c:pt idx="155">
                  <c:v>11.09957</c:v>
                </c:pt>
                <c:pt idx="156">
                  <c:v>10.898305000000001</c:v>
                </c:pt>
                <c:pt idx="157">
                  <c:v>10.727550000000001</c:v>
                </c:pt>
                <c:pt idx="158">
                  <c:v>10.56024</c:v>
                </c:pt>
                <c:pt idx="159">
                  <c:v>10.40523</c:v>
                </c:pt>
                <c:pt idx="160">
                  <c:v>10.266465</c:v>
                </c:pt>
                <c:pt idx="161">
                  <c:v>10.254655000000001</c:v>
                </c:pt>
                <c:pt idx="162">
                  <c:v>10.258590000000002</c:v>
                </c:pt>
                <c:pt idx="163">
                  <c:v>10.26351</c:v>
                </c:pt>
                <c:pt idx="164">
                  <c:v>10.278275000000001</c:v>
                </c:pt>
                <c:pt idx="165">
                  <c:v>10.289100000000001</c:v>
                </c:pt>
                <c:pt idx="166">
                  <c:v>10.309765000000001</c:v>
                </c:pt>
                <c:pt idx="167">
                  <c:v>10.366849999999999</c:v>
                </c:pt>
                <c:pt idx="168">
                  <c:v>10.429345</c:v>
                </c:pt>
                <c:pt idx="169">
                  <c:v>10.48692</c:v>
                </c:pt>
                <c:pt idx="170">
                  <c:v>10.53613</c:v>
                </c:pt>
                <c:pt idx="171">
                  <c:v>10.558275</c:v>
                </c:pt>
                <c:pt idx="172">
                  <c:v>10.585835000000001</c:v>
                </c:pt>
                <c:pt idx="173">
                  <c:v>10.608470000000001</c:v>
                </c:pt>
                <c:pt idx="174">
                  <c:v>10.623725000000002</c:v>
                </c:pt>
                <c:pt idx="175">
                  <c:v>10.645375000000001</c:v>
                </c:pt>
                <c:pt idx="176">
                  <c:v>10.656695000000003</c:v>
                </c:pt>
                <c:pt idx="177">
                  <c:v>10.670965000000002</c:v>
                </c:pt>
                <c:pt idx="178">
                  <c:v>10.679825000000001</c:v>
                </c:pt>
                <c:pt idx="179">
                  <c:v>10.69459</c:v>
                </c:pt>
                <c:pt idx="180">
                  <c:v>10.698029999999999</c:v>
                </c:pt>
                <c:pt idx="181">
                  <c:v>10.696064999999997</c:v>
                </c:pt>
                <c:pt idx="182">
                  <c:v>10.678349999999998</c:v>
                </c:pt>
                <c:pt idx="183">
                  <c:v>10.666539999999999</c:v>
                </c:pt>
                <c:pt idx="184">
                  <c:v>10.63111</c:v>
                </c:pt>
                <c:pt idx="185">
                  <c:v>10.613395000000001</c:v>
                </c:pt>
                <c:pt idx="186">
                  <c:v>10.597159999999999</c:v>
                </c:pt>
                <c:pt idx="187">
                  <c:v>10.566154999999998</c:v>
                </c:pt>
                <c:pt idx="188">
                  <c:v>10.554835000000001</c:v>
                </c:pt>
                <c:pt idx="189">
                  <c:v>10.531704999999999</c:v>
                </c:pt>
                <c:pt idx="190">
                  <c:v>10.515959999999998</c:v>
                </c:pt>
                <c:pt idx="191">
                  <c:v>10.515469999999999</c:v>
                </c:pt>
                <c:pt idx="192">
                  <c:v>10.507099999999999</c:v>
                </c:pt>
                <c:pt idx="193">
                  <c:v>10.515465000000001</c:v>
                </c:pt>
                <c:pt idx="194">
                  <c:v>10.52383</c:v>
                </c:pt>
                <c:pt idx="195">
                  <c:v>10.52678</c:v>
                </c:pt>
                <c:pt idx="196">
                  <c:v>10.528254999999998</c:v>
                </c:pt>
                <c:pt idx="197">
                  <c:v>10.534160000000002</c:v>
                </c:pt>
                <c:pt idx="198">
                  <c:v>10.531205</c:v>
                </c:pt>
                <c:pt idx="199">
                  <c:v>10.533664999999999</c:v>
                </c:pt>
                <c:pt idx="200">
                  <c:v>10.541049999999998</c:v>
                </c:pt>
                <c:pt idx="201">
                  <c:v>10.551874999999999</c:v>
                </c:pt>
                <c:pt idx="202">
                  <c:v>10.5504</c:v>
                </c:pt>
                <c:pt idx="203">
                  <c:v>10.562209999999999</c:v>
                </c:pt>
                <c:pt idx="204">
                  <c:v>10.593699999999998</c:v>
                </c:pt>
                <c:pt idx="205">
                  <c:v>10.621259999999998</c:v>
                </c:pt>
                <c:pt idx="206">
                  <c:v>10.635529999999999</c:v>
                </c:pt>
                <c:pt idx="207">
                  <c:v>10.675389999999998</c:v>
                </c:pt>
                <c:pt idx="208">
                  <c:v>10.658659999999998</c:v>
                </c:pt>
                <c:pt idx="209">
                  <c:v>10.658169999999998</c:v>
                </c:pt>
                <c:pt idx="210">
                  <c:v>10.650294999999998</c:v>
                </c:pt>
                <c:pt idx="211">
                  <c:v>10.63307</c:v>
                </c:pt>
                <c:pt idx="212">
                  <c:v>10.626675000000001</c:v>
                </c:pt>
                <c:pt idx="213">
                  <c:v>10.63209</c:v>
                </c:pt>
                <c:pt idx="214">
                  <c:v>10.66014</c:v>
                </c:pt>
                <c:pt idx="215">
                  <c:v>10.673919999999999</c:v>
                </c:pt>
                <c:pt idx="216">
                  <c:v>10.686225</c:v>
                </c:pt>
                <c:pt idx="217">
                  <c:v>10.70148</c:v>
                </c:pt>
                <c:pt idx="218">
                  <c:v>10.714275000000001</c:v>
                </c:pt>
                <c:pt idx="219">
                  <c:v>10.717719999999998</c:v>
                </c:pt>
                <c:pt idx="220">
                  <c:v>10.717720000000002</c:v>
                </c:pt>
                <c:pt idx="221">
                  <c:v>10.713289999999999</c:v>
                </c:pt>
                <c:pt idx="222">
                  <c:v>10.72953</c:v>
                </c:pt>
                <c:pt idx="223">
                  <c:v>10.726580000000002</c:v>
                </c:pt>
                <c:pt idx="224">
                  <c:v>10.710345</c:v>
                </c:pt>
                <c:pt idx="225">
                  <c:v>10.688690000000001</c:v>
                </c:pt>
                <c:pt idx="226">
                  <c:v>10.694100000000002</c:v>
                </c:pt>
                <c:pt idx="227">
                  <c:v>10.695580000000001</c:v>
                </c:pt>
                <c:pt idx="228">
                  <c:v>10.729535</c:v>
                </c:pt>
                <c:pt idx="229">
                  <c:v>10.760535000000001</c:v>
                </c:pt>
                <c:pt idx="230">
                  <c:v>10.801869999999999</c:v>
                </c:pt>
                <c:pt idx="231">
                  <c:v>10.839269999999999</c:v>
                </c:pt>
                <c:pt idx="232">
                  <c:v>10.861904999999998</c:v>
                </c:pt>
                <c:pt idx="233">
                  <c:v>10.868794999999999</c:v>
                </c:pt>
                <c:pt idx="234">
                  <c:v>10.831884999999998</c:v>
                </c:pt>
                <c:pt idx="235">
                  <c:v>10.80974</c:v>
                </c:pt>
                <c:pt idx="236">
                  <c:v>10.79153</c:v>
                </c:pt>
                <c:pt idx="237">
                  <c:v>10.758559999999999</c:v>
                </c:pt>
                <c:pt idx="238">
                  <c:v>10.724605</c:v>
                </c:pt>
                <c:pt idx="239">
                  <c:v>10.689665</c:v>
                </c:pt>
                <c:pt idx="240">
                  <c:v>10.656199999999998</c:v>
                </c:pt>
                <c:pt idx="241">
                  <c:v>10.606009999999998</c:v>
                </c:pt>
                <c:pt idx="242">
                  <c:v>10.544989999999999</c:v>
                </c:pt>
                <c:pt idx="243">
                  <c:v>10.478064999999997</c:v>
                </c:pt>
                <c:pt idx="244">
                  <c:v>10.429345</c:v>
                </c:pt>
                <c:pt idx="245">
                  <c:v>10.384074999999998</c:v>
                </c:pt>
                <c:pt idx="246">
                  <c:v>10.32109</c:v>
                </c:pt>
                <c:pt idx="247">
                  <c:v>10.25318</c:v>
                </c:pt>
                <c:pt idx="248">
                  <c:v>10.202495000000001</c:v>
                </c:pt>
                <c:pt idx="249">
                  <c:v>10.149840000000001</c:v>
                </c:pt>
                <c:pt idx="250">
                  <c:v>10.088330000000001</c:v>
                </c:pt>
                <c:pt idx="251">
                  <c:v>10.035185</c:v>
                </c:pt>
                <c:pt idx="252">
                  <c:v>9.9776100000000003</c:v>
                </c:pt>
                <c:pt idx="253">
                  <c:v>9.9352899999999984</c:v>
                </c:pt>
                <c:pt idx="254">
                  <c:v>9.9097049999999989</c:v>
                </c:pt>
                <c:pt idx="255">
                  <c:v>9.8727999999999998</c:v>
                </c:pt>
                <c:pt idx="256">
                  <c:v>9.8304800000000014</c:v>
                </c:pt>
                <c:pt idx="257">
                  <c:v>9.7857000000000021</c:v>
                </c:pt>
                <c:pt idx="258">
                  <c:v>9.7512550000000005</c:v>
                </c:pt>
                <c:pt idx="259">
                  <c:v>9.7212400000000017</c:v>
                </c:pt>
                <c:pt idx="260">
                  <c:v>9.6995900000000006</c:v>
                </c:pt>
                <c:pt idx="261">
                  <c:v>9.700569999999999</c:v>
                </c:pt>
                <c:pt idx="262">
                  <c:v>9.7109049999999986</c:v>
                </c:pt>
                <c:pt idx="263">
                  <c:v>9.7473199999999984</c:v>
                </c:pt>
                <c:pt idx="264">
                  <c:v>9.7615899999999964</c:v>
                </c:pt>
                <c:pt idx="265">
                  <c:v>9.775369999999997</c:v>
                </c:pt>
                <c:pt idx="266">
                  <c:v>9.7861949999999993</c:v>
                </c:pt>
                <c:pt idx="267">
                  <c:v>9.8039099999999983</c:v>
                </c:pt>
                <c:pt idx="268">
                  <c:v>9.8043999999999993</c:v>
                </c:pt>
                <c:pt idx="269">
                  <c:v>9.8132599999999996</c:v>
                </c:pt>
                <c:pt idx="270">
                  <c:v>9.8270400000000002</c:v>
                </c:pt>
                <c:pt idx="271">
                  <c:v>9.8358950000000007</c:v>
                </c:pt>
                <c:pt idx="272">
                  <c:v>9.8477050000000013</c:v>
                </c:pt>
                <c:pt idx="273">
                  <c:v>9.8614850000000001</c:v>
                </c:pt>
                <c:pt idx="274">
                  <c:v>9.8659099999999995</c:v>
                </c:pt>
                <c:pt idx="275">
                  <c:v>9.8413050000000002</c:v>
                </c:pt>
                <c:pt idx="276">
                  <c:v>9.8166999999999991</c:v>
                </c:pt>
                <c:pt idx="277">
                  <c:v>9.796524999999999</c:v>
                </c:pt>
                <c:pt idx="278">
                  <c:v>9.7719199999999979</c:v>
                </c:pt>
                <c:pt idx="279">
                  <c:v>9.7448549999999976</c:v>
                </c:pt>
                <c:pt idx="280">
                  <c:v>9.715329999999998</c:v>
                </c:pt>
                <c:pt idx="281">
                  <c:v>9.6892499999999995</c:v>
                </c:pt>
                <c:pt idx="282">
                  <c:v>9.6528000000000009</c:v>
                </c:pt>
                <c:pt idx="283">
                  <c:v>9.6065500000000021</c:v>
                </c:pt>
                <c:pt idx="284">
                  <c:v>9.5824850000000019</c:v>
                </c:pt>
                <c:pt idx="285">
                  <c:v>9.5465200000000028</c:v>
                </c:pt>
                <c:pt idx="286">
                  <c:v>9.5160250000000026</c:v>
                </c:pt>
                <c:pt idx="287">
                  <c:v>9.4762350000000009</c:v>
                </c:pt>
                <c:pt idx="288">
                  <c:v>9.4537100000000009</c:v>
                </c:pt>
                <c:pt idx="289">
                  <c:v>9.4157849999999979</c:v>
                </c:pt>
                <c:pt idx="290">
                  <c:v>9.3933199999999992</c:v>
                </c:pt>
                <c:pt idx="291">
                  <c:v>9.3667949999999998</c:v>
                </c:pt>
                <c:pt idx="292">
                  <c:v>9.3361199999999993</c:v>
                </c:pt>
                <c:pt idx="293">
                  <c:v>9.3186549999999997</c:v>
                </c:pt>
                <c:pt idx="294">
                  <c:v>9.3065750000000005</c:v>
                </c:pt>
                <c:pt idx="295">
                  <c:v>9.3458999999999985</c:v>
                </c:pt>
                <c:pt idx="296">
                  <c:v>9.3892100000000003</c:v>
                </c:pt>
                <c:pt idx="297">
                  <c:v>9.4190199999999997</c:v>
                </c:pt>
                <c:pt idx="298">
                  <c:v>9.4453050000000012</c:v>
                </c:pt>
                <c:pt idx="299">
                  <c:v>9.4676050000000007</c:v>
                </c:pt>
                <c:pt idx="300">
                  <c:v>9.4940000000000015</c:v>
                </c:pt>
                <c:pt idx="301">
                  <c:v>9.5235000000000003</c:v>
                </c:pt>
                <c:pt idx="302">
                  <c:v>9.556499999999998</c:v>
                </c:pt>
                <c:pt idx="303">
                  <c:v>9.597999999999999</c:v>
                </c:pt>
                <c:pt idx="304">
                  <c:v>9.6289999999999978</c:v>
                </c:pt>
                <c:pt idx="305">
                  <c:v>9.6649999999999974</c:v>
                </c:pt>
                <c:pt idx="306">
                  <c:v>9.7099999999999973</c:v>
                </c:pt>
                <c:pt idx="307">
                  <c:v>9.7534999999999989</c:v>
                </c:pt>
                <c:pt idx="308">
                  <c:v>9.7949999999999982</c:v>
                </c:pt>
                <c:pt idx="309">
                  <c:v>9.8255000000000017</c:v>
                </c:pt>
                <c:pt idx="310">
                  <c:v>9.8339999999999996</c:v>
                </c:pt>
                <c:pt idx="311">
                  <c:v>9.8660000000000014</c:v>
                </c:pt>
                <c:pt idx="312">
                  <c:v>9.907</c:v>
                </c:pt>
                <c:pt idx="313">
                  <c:v>9.9320000000000004</c:v>
                </c:pt>
                <c:pt idx="314">
                  <c:v>9.9285000000000014</c:v>
                </c:pt>
                <c:pt idx="315">
                  <c:v>9.9125000000000014</c:v>
                </c:pt>
                <c:pt idx="316">
                  <c:v>9.8765000000000018</c:v>
                </c:pt>
                <c:pt idx="317">
                  <c:v>9.8265000000000011</c:v>
                </c:pt>
                <c:pt idx="318">
                  <c:v>9.8219999999999992</c:v>
                </c:pt>
                <c:pt idx="319">
                  <c:v>9.8025000000000002</c:v>
                </c:pt>
                <c:pt idx="320">
                  <c:v>9.7825000000000006</c:v>
                </c:pt>
                <c:pt idx="321">
                  <c:v>9.772000000000002</c:v>
                </c:pt>
                <c:pt idx="322">
                  <c:v>9.7470000000000034</c:v>
                </c:pt>
                <c:pt idx="323">
                  <c:v>9.708499999999999</c:v>
                </c:pt>
                <c:pt idx="324">
                  <c:v>9.6894999999999989</c:v>
                </c:pt>
                <c:pt idx="325">
                  <c:v>9.6630000000000003</c:v>
                </c:pt>
                <c:pt idx="326">
                  <c:v>9.6329999999999991</c:v>
                </c:pt>
                <c:pt idx="327">
                  <c:v>9.6074999999999982</c:v>
                </c:pt>
                <c:pt idx="328">
                  <c:v>9.5954999999999995</c:v>
                </c:pt>
                <c:pt idx="329">
                  <c:v>9.6024999999999991</c:v>
                </c:pt>
                <c:pt idx="330">
                  <c:v>9.6175000000000015</c:v>
                </c:pt>
                <c:pt idx="331">
                  <c:v>9.6235000000000017</c:v>
                </c:pt>
                <c:pt idx="332">
                  <c:v>9.6269999999999989</c:v>
                </c:pt>
                <c:pt idx="333">
                  <c:v>9.6284999999999989</c:v>
                </c:pt>
                <c:pt idx="334">
                  <c:v>9.6654999999999998</c:v>
                </c:pt>
                <c:pt idx="335">
                  <c:v>9.6950000000000003</c:v>
                </c:pt>
                <c:pt idx="336">
                  <c:v>9.754999999999999</c:v>
                </c:pt>
                <c:pt idx="337">
                  <c:v>9.8344999999999985</c:v>
                </c:pt>
                <c:pt idx="338">
                  <c:v>9.8734999999999999</c:v>
                </c:pt>
                <c:pt idx="339">
                  <c:v>9.9380000000000006</c:v>
                </c:pt>
                <c:pt idx="340">
                  <c:v>9.9990000000000006</c:v>
                </c:pt>
                <c:pt idx="341">
                  <c:v>10.0435</c:v>
                </c:pt>
                <c:pt idx="342">
                  <c:v>10.1035</c:v>
                </c:pt>
                <c:pt idx="343">
                  <c:v>10.171000000000003</c:v>
                </c:pt>
                <c:pt idx="344">
                  <c:v>10.229500000000002</c:v>
                </c:pt>
                <c:pt idx="345">
                  <c:v>10.2935</c:v>
                </c:pt>
                <c:pt idx="346">
                  <c:v>10.347000000000001</c:v>
                </c:pt>
                <c:pt idx="347">
                  <c:v>10.382000000000001</c:v>
                </c:pt>
                <c:pt idx="348">
                  <c:v>10.401</c:v>
                </c:pt>
                <c:pt idx="349">
                  <c:v>10.416999999999998</c:v>
                </c:pt>
                <c:pt idx="350">
                  <c:v>10.4315</c:v>
                </c:pt>
                <c:pt idx="351">
                  <c:v>10.432499999999997</c:v>
                </c:pt>
                <c:pt idx="352">
                  <c:v>10.442999999999998</c:v>
                </c:pt>
                <c:pt idx="353">
                  <c:v>10.452999999999999</c:v>
                </c:pt>
                <c:pt idx="354">
                  <c:v>10.437999999999999</c:v>
                </c:pt>
                <c:pt idx="355">
                  <c:v>10.439</c:v>
                </c:pt>
                <c:pt idx="356">
                  <c:v>10.428999999999998</c:v>
                </c:pt>
                <c:pt idx="357">
                  <c:v>10.419999999999998</c:v>
                </c:pt>
                <c:pt idx="358">
                  <c:v>10.418999999999999</c:v>
                </c:pt>
                <c:pt idx="359">
                  <c:v>10.4145</c:v>
                </c:pt>
                <c:pt idx="360">
                  <c:v>10.416999999999998</c:v>
                </c:pt>
                <c:pt idx="361">
                  <c:v>10.419999999999998</c:v>
                </c:pt>
                <c:pt idx="362">
                  <c:v>10.414</c:v>
                </c:pt>
                <c:pt idx="363">
                  <c:v>10.398</c:v>
                </c:pt>
                <c:pt idx="364">
                  <c:v>10.388999999999999</c:v>
                </c:pt>
                <c:pt idx="365">
                  <c:v>10.372499999999999</c:v>
                </c:pt>
                <c:pt idx="366">
                  <c:v>10.358000000000001</c:v>
                </c:pt>
                <c:pt idx="367">
                  <c:v>10.3635</c:v>
                </c:pt>
                <c:pt idx="368">
                  <c:v>10.379000000000001</c:v>
                </c:pt>
                <c:pt idx="369">
                  <c:v>10.397499999999999</c:v>
                </c:pt>
                <c:pt idx="370">
                  <c:v>10.405999999999999</c:v>
                </c:pt>
                <c:pt idx="371">
                  <c:v>10.428999999999998</c:v>
                </c:pt>
                <c:pt idx="372">
                  <c:v>10.457999999999998</c:v>
                </c:pt>
                <c:pt idx="373">
                  <c:v>10.481499999999999</c:v>
                </c:pt>
                <c:pt idx="374">
                  <c:v>10.549999999999999</c:v>
                </c:pt>
                <c:pt idx="375">
                  <c:v>10.629</c:v>
                </c:pt>
                <c:pt idx="376">
                  <c:v>10.7075</c:v>
                </c:pt>
                <c:pt idx="377">
                  <c:v>10.782</c:v>
                </c:pt>
                <c:pt idx="378">
                  <c:v>10.853000000000002</c:v>
                </c:pt>
                <c:pt idx="379">
                  <c:v>10.927500000000002</c:v>
                </c:pt>
                <c:pt idx="380">
                  <c:v>10.993</c:v>
                </c:pt>
                <c:pt idx="381">
                  <c:v>11.049000000000001</c:v>
                </c:pt>
                <c:pt idx="382">
                  <c:v>11.1165</c:v>
                </c:pt>
                <c:pt idx="383">
                  <c:v>11.173500000000001</c:v>
                </c:pt>
                <c:pt idx="384">
                  <c:v>11.204499999999999</c:v>
                </c:pt>
                <c:pt idx="385">
                  <c:v>11.241000000000001</c:v>
                </c:pt>
                <c:pt idx="386">
                  <c:v>11.2775</c:v>
                </c:pt>
                <c:pt idx="387">
                  <c:v>11.313500000000001</c:v>
                </c:pt>
                <c:pt idx="388">
                  <c:v>11.3355</c:v>
                </c:pt>
                <c:pt idx="389">
                  <c:v>11.367999999999999</c:v>
                </c:pt>
                <c:pt idx="390">
                  <c:v>11.407</c:v>
                </c:pt>
                <c:pt idx="391">
                  <c:v>11.449</c:v>
                </c:pt>
                <c:pt idx="392">
                  <c:v>11.473000000000001</c:v>
                </c:pt>
                <c:pt idx="393">
                  <c:v>11.484500000000001</c:v>
                </c:pt>
                <c:pt idx="394">
                  <c:v>11.4605</c:v>
                </c:pt>
                <c:pt idx="395">
                  <c:v>11.425499999999998</c:v>
                </c:pt>
                <c:pt idx="396">
                  <c:v>11.376000000000001</c:v>
                </c:pt>
                <c:pt idx="397">
                  <c:v>11.343999999999999</c:v>
                </c:pt>
                <c:pt idx="398">
                  <c:v>11.312999999999999</c:v>
                </c:pt>
                <c:pt idx="399">
                  <c:v>11.282</c:v>
                </c:pt>
                <c:pt idx="400">
                  <c:v>11.250499999999999</c:v>
                </c:pt>
                <c:pt idx="401">
                  <c:v>11.227499999999999</c:v>
                </c:pt>
                <c:pt idx="402">
                  <c:v>11.1905</c:v>
                </c:pt>
                <c:pt idx="403">
                  <c:v>11.1745</c:v>
                </c:pt>
                <c:pt idx="404">
                  <c:v>11.1845</c:v>
                </c:pt>
                <c:pt idx="405">
                  <c:v>11.198999999999998</c:v>
                </c:pt>
                <c:pt idx="406">
                  <c:v>11.212999999999999</c:v>
                </c:pt>
                <c:pt idx="407">
                  <c:v>11.220499999999999</c:v>
                </c:pt>
                <c:pt idx="408">
                  <c:v>11.24</c:v>
                </c:pt>
                <c:pt idx="409">
                  <c:v>11.245500000000002</c:v>
                </c:pt>
                <c:pt idx="410">
                  <c:v>11.249000000000002</c:v>
                </c:pt>
                <c:pt idx="411">
                  <c:v>11.262500000000001</c:v>
                </c:pt>
                <c:pt idx="412">
                  <c:v>11.289500000000002</c:v>
                </c:pt>
                <c:pt idx="413">
                  <c:v>11.327500000000002</c:v>
                </c:pt>
                <c:pt idx="414">
                  <c:v>11.379500000000004</c:v>
                </c:pt>
                <c:pt idx="415">
                  <c:v>11.411500000000002</c:v>
                </c:pt>
                <c:pt idx="416">
                  <c:v>11.459000000000003</c:v>
                </c:pt>
                <c:pt idx="417">
                  <c:v>11.4975</c:v>
                </c:pt>
                <c:pt idx="418">
                  <c:v>11.525500000000001</c:v>
                </c:pt>
                <c:pt idx="419">
                  <c:v>11.549000000000001</c:v>
                </c:pt>
                <c:pt idx="420">
                  <c:v>11.572000000000001</c:v>
                </c:pt>
                <c:pt idx="421">
                  <c:v>11.5905</c:v>
                </c:pt>
                <c:pt idx="422">
                  <c:v>11.608000000000001</c:v>
                </c:pt>
                <c:pt idx="423">
                  <c:v>11.6165</c:v>
                </c:pt>
                <c:pt idx="424">
                  <c:v>11.632500000000002</c:v>
                </c:pt>
                <c:pt idx="425">
                  <c:v>11.644500000000001</c:v>
                </c:pt>
                <c:pt idx="426">
                  <c:v>11.656500000000001</c:v>
                </c:pt>
                <c:pt idx="427">
                  <c:v>11.663999999999998</c:v>
                </c:pt>
                <c:pt idx="428">
                  <c:v>11.667999999999999</c:v>
                </c:pt>
                <c:pt idx="429">
                  <c:v>11.680499999999999</c:v>
                </c:pt>
                <c:pt idx="430">
                  <c:v>11.695</c:v>
                </c:pt>
                <c:pt idx="431">
                  <c:v>11.690999999999999</c:v>
                </c:pt>
                <c:pt idx="432">
                  <c:v>11.686499999999999</c:v>
                </c:pt>
                <c:pt idx="433">
                  <c:v>11.676</c:v>
                </c:pt>
                <c:pt idx="434">
                  <c:v>11.6615</c:v>
                </c:pt>
                <c:pt idx="435">
                  <c:v>11.676500000000001</c:v>
                </c:pt>
                <c:pt idx="436">
                  <c:v>11.692500000000001</c:v>
                </c:pt>
                <c:pt idx="437">
                  <c:v>11.704500000000001</c:v>
                </c:pt>
                <c:pt idx="438">
                  <c:v>11.737</c:v>
                </c:pt>
                <c:pt idx="439">
                  <c:v>11.763999999999999</c:v>
                </c:pt>
                <c:pt idx="440">
                  <c:v>11.810499999999999</c:v>
                </c:pt>
                <c:pt idx="441">
                  <c:v>11.860999999999999</c:v>
                </c:pt>
                <c:pt idx="442">
                  <c:v>11.882499999999999</c:v>
                </c:pt>
                <c:pt idx="443">
                  <c:v>11.898499999999999</c:v>
                </c:pt>
                <c:pt idx="444">
                  <c:v>11.885499999999999</c:v>
                </c:pt>
                <c:pt idx="445">
                  <c:v>11.872</c:v>
                </c:pt>
                <c:pt idx="446">
                  <c:v>11.864999999999998</c:v>
                </c:pt>
                <c:pt idx="447">
                  <c:v>11.866999999999999</c:v>
                </c:pt>
                <c:pt idx="448">
                  <c:v>11.871999999999998</c:v>
                </c:pt>
                <c:pt idx="449">
                  <c:v>11.872</c:v>
                </c:pt>
                <c:pt idx="450">
                  <c:v>11.886999999999997</c:v>
                </c:pt>
                <c:pt idx="451">
                  <c:v>11.903499999999999</c:v>
                </c:pt>
                <c:pt idx="452">
                  <c:v>11.945</c:v>
                </c:pt>
                <c:pt idx="453">
                  <c:v>11.984999999999999</c:v>
                </c:pt>
                <c:pt idx="454">
                  <c:v>12.021000000000001</c:v>
                </c:pt>
                <c:pt idx="455">
                  <c:v>12.112500000000001</c:v>
                </c:pt>
                <c:pt idx="456">
                  <c:v>12.171000000000001</c:v>
                </c:pt>
                <c:pt idx="457">
                  <c:v>12.2295</c:v>
                </c:pt>
                <c:pt idx="458">
                  <c:v>12.278</c:v>
                </c:pt>
                <c:pt idx="459">
                  <c:v>12.32</c:v>
                </c:pt>
                <c:pt idx="460">
                  <c:v>12.343</c:v>
                </c:pt>
                <c:pt idx="461">
                  <c:v>12.358499999999999</c:v>
                </c:pt>
                <c:pt idx="462">
                  <c:v>12.401999999999999</c:v>
                </c:pt>
                <c:pt idx="463">
                  <c:v>12.470499999999998</c:v>
                </c:pt>
                <c:pt idx="464">
                  <c:v>12.551499999999999</c:v>
                </c:pt>
                <c:pt idx="465">
                  <c:v>12.641500000000001</c:v>
                </c:pt>
                <c:pt idx="466">
                  <c:v>12.722500000000002</c:v>
                </c:pt>
                <c:pt idx="467">
                  <c:v>12.805000000000001</c:v>
                </c:pt>
                <c:pt idx="468">
                  <c:v>12.889499999999998</c:v>
                </c:pt>
                <c:pt idx="469">
                  <c:v>12.9665</c:v>
                </c:pt>
                <c:pt idx="470">
                  <c:v>13.030000000000001</c:v>
                </c:pt>
                <c:pt idx="471">
                  <c:v>13.0745</c:v>
                </c:pt>
                <c:pt idx="472">
                  <c:v>13.0975</c:v>
                </c:pt>
                <c:pt idx="473">
                  <c:v>13.121</c:v>
                </c:pt>
                <c:pt idx="474">
                  <c:v>13.124500000000001</c:v>
                </c:pt>
                <c:pt idx="475">
                  <c:v>13.074000000000002</c:v>
                </c:pt>
                <c:pt idx="476">
                  <c:v>13.059000000000001</c:v>
                </c:pt>
                <c:pt idx="477">
                  <c:v>13.061000000000002</c:v>
                </c:pt>
                <c:pt idx="478">
                  <c:v>13.0585</c:v>
                </c:pt>
                <c:pt idx="479">
                  <c:v>13.0695</c:v>
                </c:pt>
                <c:pt idx="480">
                  <c:v>13.071000000000002</c:v>
                </c:pt>
                <c:pt idx="481">
                  <c:v>13.0685</c:v>
                </c:pt>
                <c:pt idx="482">
                  <c:v>13.083500000000001</c:v>
                </c:pt>
                <c:pt idx="483">
                  <c:v>13.084999999999999</c:v>
                </c:pt>
                <c:pt idx="484">
                  <c:v>13.080500000000001</c:v>
                </c:pt>
                <c:pt idx="485">
                  <c:v>13.077000000000002</c:v>
                </c:pt>
                <c:pt idx="486">
                  <c:v>13.072999999999999</c:v>
                </c:pt>
                <c:pt idx="487">
                  <c:v>13.0785</c:v>
                </c:pt>
                <c:pt idx="488">
                  <c:v>13.087500000000002</c:v>
                </c:pt>
                <c:pt idx="489">
                  <c:v>13.111500000000001</c:v>
                </c:pt>
                <c:pt idx="490">
                  <c:v>13.134499999999999</c:v>
                </c:pt>
                <c:pt idx="491">
                  <c:v>13.174000000000001</c:v>
                </c:pt>
                <c:pt idx="492">
                  <c:v>13.188499999999999</c:v>
                </c:pt>
                <c:pt idx="493">
                  <c:v>13.2095</c:v>
                </c:pt>
                <c:pt idx="494">
                  <c:v>13.262499999999999</c:v>
                </c:pt>
                <c:pt idx="495">
                  <c:v>13.294</c:v>
                </c:pt>
                <c:pt idx="496">
                  <c:v>13.310499999999999</c:v>
                </c:pt>
                <c:pt idx="497">
                  <c:v>13.319999999999999</c:v>
                </c:pt>
                <c:pt idx="498">
                  <c:v>13.325999999999999</c:v>
                </c:pt>
                <c:pt idx="499">
                  <c:v>13.325999999999997</c:v>
                </c:pt>
                <c:pt idx="500">
                  <c:v>13.329499999999999</c:v>
                </c:pt>
                <c:pt idx="501">
                  <c:v>13.3375</c:v>
                </c:pt>
                <c:pt idx="502">
                  <c:v>13.349999999999998</c:v>
                </c:pt>
                <c:pt idx="503">
                  <c:v>13.366499999999998</c:v>
                </c:pt>
                <c:pt idx="504">
                  <c:v>13.405000000000001</c:v>
                </c:pt>
                <c:pt idx="505">
                  <c:v>13.435000000000002</c:v>
                </c:pt>
                <c:pt idx="506">
                  <c:v>13.500999999999999</c:v>
                </c:pt>
                <c:pt idx="507">
                  <c:v>13.5405</c:v>
                </c:pt>
                <c:pt idx="508">
                  <c:v>13.560499999999999</c:v>
                </c:pt>
                <c:pt idx="509">
                  <c:v>13.5715</c:v>
                </c:pt>
                <c:pt idx="510">
                  <c:v>13.581</c:v>
                </c:pt>
                <c:pt idx="511">
                  <c:v>13.587999999999999</c:v>
                </c:pt>
                <c:pt idx="512">
                  <c:v>13.602500000000001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Data!$K$1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Data!$K$2:$K$514</c:f>
              <c:numCache>
                <c:formatCode>General</c:formatCode>
                <c:ptCount val="513"/>
                <c:pt idx="19">
                  <c:v>11.986770039839582</c:v>
                </c:pt>
                <c:pt idx="20">
                  <c:v>11.903488762129784</c:v>
                </c:pt>
                <c:pt idx="21">
                  <c:v>11.973309056026007</c:v>
                </c:pt>
                <c:pt idx="22">
                  <c:v>12.048501942673692</c:v>
                </c:pt>
                <c:pt idx="23">
                  <c:v>12.022428725171267</c:v>
                </c:pt>
                <c:pt idx="24">
                  <c:v>12.041786697954183</c:v>
                </c:pt>
                <c:pt idx="25">
                  <c:v>12.278809363958182</c:v>
                </c:pt>
                <c:pt idx="26">
                  <c:v>12.481135423833267</c:v>
                </c:pt>
                <c:pt idx="27">
                  <c:v>12.62569369331568</c:v>
                </c:pt>
                <c:pt idx="28">
                  <c:v>12.827940563760452</c:v>
                </c:pt>
                <c:pt idx="29">
                  <c:v>12.940061059217705</c:v>
                </c:pt>
                <c:pt idx="30">
                  <c:v>13.013127715152743</c:v>
                </c:pt>
                <c:pt idx="31">
                  <c:v>13.043710434617172</c:v>
                </c:pt>
                <c:pt idx="32">
                  <c:v>13.051652808819947</c:v>
                </c:pt>
                <c:pt idx="33">
                  <c:v>13.042959285752387</c:v>
                </c:pt>
                <c:pt idx="34">
                  <c:v>13.032277521387831</c:v>
                </c:pt>
                <c:pt idx="35">
                  <c:v>12.963098930760236</c:v>
                </c:pt>
                <c:pt idx="36">
                  <c:v>12.923073930915207</c:v>
                </c:pt>
                <c:pt idx="37">
                  <c:v>12.876327756448712</c:v>
                </c:pt>
                <c:pt idx="38">
                  <c:v>12.843090129848861</c:v>
                </c:pt>
                <c:pt idx="39">
                  <c:v>12.834795196797929</c:v>
                </c:pt>
                <c:pt idx="40">
                  <c:v>12.822483966078305</c:v>
                </c:pt>
                <c:pt idx="41">
                  <c:v>12.833111981449266</c:v>
                </c:pt>
                <c:pt idx="42">
                  <c:v>12.876508359042642</c:v>
                </c:pt>
                <c:pt idx="43">
                  <c:v>12.826199994647784</c:v>
                </c:pt>
                <c:pt idx="44">
                  <c:v>12.818845018183621</c:v>
                </c:pt>
                <c:pt idx="45">
                  <c:v>12.775185265074459</c:v>
                </c:pt>
                <c:pt idx="46">
                  <c:v>12.718832933497351</c:v>
                </c:pt>
                <c:pt idx="47">
                  <c:v>12.686504557501099</c:v>
                </c:pt>
                <c:pt idx="48">
                  <c:v>12.568266079351607</c:v>
                </c:pt>
                <c:pt idx="49">
                  <c:v>12.521390943783222</c:v>
                </c:pt>
                <c:pt idx="50">
                  <c:v>12.490726766993221</c:v>
                </c:pt>
                <c:pt idx="51">
                  <c:v>12.462753664960529</c:v>
                </c:pt>
                <c:pt idx="52">
                  <c:v>12.457611087071774</c:v>
                </c:pt>
                <c:pt idx="53">
                  <c:v>12.460685543210838</c:v>
                </c:pt>
                <c:pt idx="54">
                  <c:v>12.584640870335297</c:v>
                </c:pt>
                <c:pt idx="55">
                  <c:v>12.689650647497839</c:v>
                </c:pt>
                <c:pt idx="56">
                  <c:v>12.775246890446091</c:v>
                </c:pt>
                <c:pt idx="57">
                  <c:v>12.832437206115054</c:v>
                </c:pt>
                <c:pt idx="58">
                  <c:v>12.823000177683291</c:v>
                </c:pt>
                <c:pt idx="59">
                  <c:v>12.917049177998166</c:v>
                </c:pt>
                <c:pt idx="60">
                  <c:v>13.049302941211291</c:v>
                </c:pt>
                <c:pt idx="61">
                  <c:v>13.164636937896843</c:v>
                </c:pt>
                <c:pt idx="62">
                  <c:v>13.248959694209427</c:v>
                </c:pt>
                <c:pt idx="63">
                  <c:v>13.420439870362673</c:v>
                </c:pt>
                <c:pt idx="64">
                  <c:v>13.484115666657305</c:v>
                </c:pt>
                <c:pt idx="65">
                  <c:v>13.551612779412125</c:v>
                </c:pt>
                <c:pt idx="66">
                  <c:v>13.621564244235644</c:v>
                </c:pt>
                <c:pt idx="67">
                  <c:v>13.692564160640027</c:v>
                </c:pt>
                <c:pt idx="68">
                  <c:v>13.682237618987337</c:v>
                </c:pt>
                <c:pt idx="69">
                  <c:v>13.684376869757758</c:v>
                </c:pt>
                <c:pt idx="70">
                  <c:v>13.638565647118542</c:v>
                </c:pt>
                <c:pt idx="71">
                  <c:v>13.613708224028638</c:v>
                </c:pt>
                <c:pt idx="72">
                  <c:v>13.627287488104312</c:v>
                </c:pt>
                <c:pt idx="73">
                  <c:v>13.661968342316316</c:v>
                </c:pt>
                <c:pt idx="74">
                  <c:v>13.702767178843541</c:v>
                </c:pt>
                <c:pt idx="75">
                  <c:v>13.721352416531976</c:v>
                </c:pt>
                <c:pt idx="76">
                  <c:v>13.719756932728609</c:v>
                </c:pt>
                <c:pt idx="77">
                  <c:v>13.722073195730353</c:v>
                </c:pt>
                <c:pt idx="78">
                  <c:v>13.72773560802143</c:v>
                </c:pt>
                <c:pt idx="79">
                  <c:v>13.726161840758758</c:v>
                </c:pt>
                <c:pt idx="80">
                  <c:v>13.68775429784241</c:v>
                </c:pt>
                <c:pt idx="81">
                  <c:v>13.643995748566804</c:v>
                </c:pt>
                <c:pt idx="82">
                  <c:v>13.612631569244018</c:v>
                </c:pt>
                <c:pt idx="83">
                  <c:v>13.491371838277766</c:v>
                </c:pt>
                <c:pt idx="84">
                  <c:v>13.433404651879272</c:v>
                </c:pt>
                <c:pt idx="85">
                  <c:v>13.355907096510707</c:v>
                </c:pt>
                <c:pt idx="86">
                  <c:v>13.240191020542039</c:v>
                </c:pt>
                <c:pt idx="87">
                  <c:v>13.069415009539165</c:v>
                </c:pt>
                <c:pt idx="88">
                  <c:v>12.999166386193018</c:v>
                </c:pt>
                <c:pt idx="89">
                  <c:v>12.921064606604304</c:v>
                </c:pt>
                <c:pt idx="90">
                  <c:v>12.912757869359243</c:v>
                </c:pt>
                <c:pt idx="91">
                  <c:v>12.913940540579206</c:v>
                </c:pt>
                <c:pt idx="92">
                  <c:v>12.915185358571573</c:v>
                </c:pt>
                <c:pt idx="93">
                  <c:v>12.907168324373773</c:v>
                </c:pt>
                <c:pt idx="94">
                  <c:v>12.899839501840891</c:v>
                </c:pt>
                <c:pt idx="95">
                  <c:v>12.895388322964495</c:v>
                </c:pt>
                <c:pt idx="96">
                  <c:v>12.843070323862788</c:v>
                </c:pt>
                <c:pt idx="97">
                  <c:v>12.767158566506135</c:v>
                </c:pt>
                <c:pt idx="98">
                  <c:v>12.679837808183498</c:v>
                </c:pt>
                <c:pt idx="99">
                  <c:v>12.533624316118143</c:v>
                </c:pt>
                <c:pt idx="100">
                  <c:v>12.440301413574083</c:v>
                </c:pt>
                <c:pt idx="101">
                  <c:v>12.40114194331292</c:v>
                </c:pt>
                <c:pt idx="102">
                  <c:v>12.467605414886473</c:v>
                </c:pt>
                <c:pt idx="103">
                  <c:v>12.479448987103833</c:v>
                </c:pt>
                <c:pt idx="104">
                  <c:v>12.438449344296703</c:v>
                </c:pt>
                <c:pt idx="105">
                  <c:v>12.408914861930491</c:v>
                </c:pt>
                <c:pt idx="106">
                  <c:v>12.354962949339567</c:v>
                </c:pt>
                <c:pt idx="107">
                  <c:v>12.349321425385053</c:v>
                </c:pt>
                <c:pt idx="108">
                  <c:v>12.345013476263588</c:v>
                </c:pt>
                <c:pt idx="109">
                  <c:v>12.346384730124985</c:v>
                </c:pt>
                <c:pt idx="110">
                  <c:v>12.379176471253777</c:v>
                </c:pt>
                <c:pt idx="111">
                  <c:v>12.357617297007531</c:v>
                </c:pt>
                <c:pt idx="112">
                  <c:v>12.312188893859007</c:v>
                </c:pt>
                <c:pt idx="113">
                  <c:v>12.285735705213245</c:v>
                </c:pt>
                <c:pt idx="114">
                  <c:v>12.255884627065143</c:v>
                </c:pt>
                <c:pt idx="115">
                  <c:v>12.226443250883797</c:v>
                </c:pt>
                <c:pt idx="116">
                  <c:v>12.216025095955658</c:v>
                </c:pt>
                <c:pt idx="117">
                  <c:v>12.200118699602209</c:v>
                </c:pt>
                <c:pt idx="118">
                  <c:v>12.195287119674708</c:v>
                </c:pt>
                <c:pt idx="119">
                  <c:v>12.212421856008735</c:v>
                </c:pt>
                <c:pt idx="120">
                  <c:v>12.204062477280667</c:v>
                </c:pt>
                <c:pt idx="121">
                  <c:v>12.204395043465455</c:v>
                </c:pt>
                <c:pt idx="122">
                  <c:v>12.191849517448796</c:v>
                </c:pt>
                <c:pt idx="123">
                  <c:v>12.27264378830189</c:v>
                </c:pt>
                <c:pt idx="124">
                  <c:v>12.407065845608779</c:v>
                </c:pt>
                <c:pt idx="125">
                  <c:v>12.544251998904016</c:v>
                </c:pt>
                <c:pt idx="126">
                  <c:v>12.663654694549429</c:v>
                </c:pt>
                <c:pt idx="127">
                  <c:v>12.758389676242741</c:v>
                </c:pt>
                <c:pt idx="128">
                  <c:v>12.87164032875544</c:v>
                </c:pt>
                <c:pt idx="129">
                  <c:v>12.953371162489731</c:v>
                </c:pt>
                <c:pt idx="130">
                  <c:v>13.074524056998746</c:v>
                </c:pt>
                <c:pt idx="131">
                  <c:v>13.257892987356664</c:v>
                </c:pt>
                <c:pt idx="132">
                  <c:v>13.560450626928827</c:v>
                </c:pt>
                <c:pt idx="133">
                  <c:v>13.854260523843909</c:v>
                </c:pt>
                <c:pt idx="134">
                  <c:v>14.117869981001656</c:v>
                </c:pt>
                <c:pt idx="135">
                  <c:v>14.360882484897605</c:v>
                </c:pt>
                <c:pt idx="136">
                  <c:v>14.565908954679994</c:v>
                </c:pt>
                <c:pt idx="137">
                  <c:v>14.63818759370316</c:v>
                </c:pt>
                <c:pt idx="138">
                  <c:v>14.693975114370811</c:v>
                </c:pt>
                <c:pt idx="139">
                  <c:v>14.722461955894934</c:v>
                </c:pt>
                <c:pt idx="140">
                  <c:v>14.700858572539152</c:v>
                </c:pt>
                <c:pt idx="141">
                  <c:v>14.862938347091728</c:v>
                </c:pt>
                <c:pt idx="142">
                  <c:v>15.000732247151213</c:v>
                </c:pt>
                <c:pt idx="143">
                  <c:v>15.154815044284499</c:v>
                </c:pt>
                <c:pt idx="144">
                  <c:v>15.299055670949832</c:v>
                </c:pt>
                <c:pt idx="145">
                  <c:v>15.405840513812704</c:v>
                </c:pt>
                <c:pt idx="146">
                  <c:v>15.495978734968677</c:v>
                </c:pt>
                <c:pt idx="147">
                  <c:v>15.634709468192838</c:v>
                </c:pt>
                <c:pt idx="148">
                  <c:v>15.755108243684379</c:v>
                </c:pt>
                <c:pt idx="149">
                  <c:v>15.821953084222667</c:v>
                </c:pt>
                <c:pt idx="150">
                  <c:v>15.826196549007333</c:v>
                </c:pt>
                <c:pt idx="151">
                  <c:v>15.734833720338468</c:v>
                </c:pt>
                <c:pt idx="152">
                  <c:v>15.532435836325146</c:v>
                </c:pt>
                <c:pt idx="153">
                  <c:v>15.262960336845907</c:v>
                </c:pt>
                <c:pt idx="154">
                  <c:v>14.896333064048545</c:v>
                </c:pt>
                <c:pt idx="155">
                  <c:v>14.445769489507333</c:v>
                </c:pt>
                <c:pt idx="156">
                  <c:v>13.894938086420741</c:v>
                </c:pt>
                <c:pt idx="157">
                  <c:v>13.410678828340819</c:v>
                </c:pt>
                <c:pt idx="158">
                  <c:v>12.790404401209251</c:v>
                </c:pt>
                <c:pt idx="159">
                  <c:v>12.112074649422775</c:v>
                </c:pt>
                <c:pt idx="160">
                  <c:v>11.210655171020983</c:v>
                </c:pt>
                <c:pt idx="161">
                  <c:v>11.16644011428493</c:v>
                </c:pt>
                <c:pt idx="162">
                  <c:v>11.184721735315176</c:v>
                </c:pt>
                <c:pt idx="163">
                  <c:v>11.203494693940335</c:v>
                </c:pt>
                <c:pt idx="164">
                  <c:v>11.2536553465963</c:v>
                </c:pt>
                <c:pt idx="165">
                  <c:v>11.286355007244229</c:v>
                </c:pt>
                <c:pt idx="166">
                  <c:v>11.343698753909642</c:v>
                </c:pt>
                <c:pt idx="167">
                  <c:v>11.42464853320096</c:v>
                </c:pt>
                <c:pt idx="168">
                  <c:v>11.43177665925348</c:v>
                </c:pt>
                <c:pt idx="169">
                  <c:v>11.425122968950411</c:v>
                </c:pt>
                <c:pt idx="170">
                  <c:v>11.380402971820944</c:v>
                </c:pt>
                <c:pt idx="171">
                  <c:v>11.362264229765517</c:v>
                </c:pt>
                <c:pt idx="172">
                  <c:v>11.336646242029511</c:v>
                </c:pt>
                <c:pt idx="173">
                  <c:v>11.269240720964701</c:v>
                </c:pt>
                <c:pt idx="174">
                  <c:v>11.235646989782154</c:v>
                </c:pt>
                <c:pt idx="175">
                  <c:v>11.194643063689739</c:v>
                </c:pt>
                <c:pt idx="176">
                  <c:v>11.184425212075114</c:v>
                </c:pt>
                <c:pt idx="177">
                  <c:v>11.178091901070605</c:v>
                </c:pt>
                <c:pt idx="178">
                  <c:v>11.184267507808583</c:v>
                </c:pt>
                <c:pt idx="179">
                  <c:v>11.195500665005039</c:v>
                </c:pt>
                <c:pt idx="180">
                  <c:v>11.19941725909116</c:v>
                </c:pt>
                <c:pt idx="181">
                  <c:v>11.196948666607009</c:v>
                </c:pt>
                <c:pt idx="182">
                  <c:v>11.144150099432769</c:v>
                </c:pt>
                <c:pt idx="183">
                  <c:v>11.116743137308154</c:v>
                </c:pt>
                <c:pt idx="184">
                  <c:v>11.094160525377772</c:v>
                </c:pt>
                <c:pt idx="185">
                  <c:v>11.065706031667835</c:v>
                </c:pt>
                <c:pt idx="186">
                  <c:v>11.023554393169416</c:v>
                </c:pt>
                <c:pt idx="187">
                  <c:v>10.953638348233047</c:v>
                </c:pt>
                <c:pt idx="188">
                  <c:v>10.925648428900077</c:v>
                </c:pt>
                <c:pt idx="189">
                  <c:v>10.90193228424577</c:v>
                </c:pt>
                <c:pt idx="190">
                  <c:v>10.900535716451531</c:v>
                </c:pt>
                <c:pt idx="191">
                  <c:v>10.900624755499928</c:v>
                </c:pt>
                <c:pt idx="192">
                  <c:v>10.901619064978586</c:v>
                </c:pt>
                <c:pt idx="193">
                  <c:v>10.885005575508792</c:v>
                </c:pt>
                <c:pt idx="194">
                  <c:v>10.878657454583655</c:v>
                </c:pt>
                <c:pt idx="195">
                  <c:v>10.880070693488046</c:v>
                </c:pt>
                <c:pt idx="196">
                  <c:v>10.881688626464415</c:v>
                </c:pt>
                <c:pt idx="197">
                  <c:v>10.898466877002864</c:v>
                </c:pt>
                <c:pt idx="198">
                  <c:v>10.889819641289739</c:v>
                </c:pt>
                <c:pt idx="199">
                  <c:v>10.900799034179114</c:v>
                </c:pt>
                <c:pt idx="200">
                  <c:v>10.931472958233488</c:v>
                </c:pt>
                <c:pt idx="201">
                  <c:v>10.97260559200946</c:v>
                </c:pt>
                <c:pt idx="202">
                  <c:v>10.968591182670268</c:v>
                </c:pt>
                <c:pt idx="203">
                  <c:v>11.010229153255985</c:v>
                </c:pt>
                <c:pt idx="204">
                  <c:v>11.039388434954992</c:v>
                </c:pt>
                <c:pt idx="205">
                  <c:v>11.111371318826757</c:v>
                </c:pt>
                <c:pt idx="206">
                  <c:v>11.14059094306581</c:v>
                </c:pt>
                <c:pt idx="207">
                  <c:v>11.223796940337669</c:v>
                </c:pt>
                <c:pt idx="208">
                  <c:v>11.238827766662094</c:v>
                </c:pt>
                <c:pt idx="209">
                  <c:v>11.239577943023248</c:v>
                </c:pt>
                <c:pt idx="210">
                  <c:v>11.256729995778823</c:v>
                </c:pt>
                <c:pt idx="211">
                  <c:v>11.286827795485372</c:v>
                </c:pt>
                <c:pt idx="212">
                  <c:v>11.295491245317054</c:v>
                </c:pt>
                <c:pt idx="213">
                  <c:v>11.292286158728601</c:v>
                </c:pt>
                <c:pt idx="214">
                  <c:v>11.33561317808762</c:v>
                </c:pt>
                <c:pt idx="215">
                  <c:v>11.347825458307648</c:v>
                </c:pt>
                <c:pt idx="216">
                  <c:v>11.359621121399426</c:v>
                </c:pt>
                <c:pt idx="217">
                  <c:v>11.394237229748216</c:v>
                </c:pt>
                <c:pt idx="218">
                  <c:v>11.413886344360494</c:v>
                </c:pt>
                <c:pt idx="219">
                  <c:v>11.420928707807889</c:v>
                </c:pt>
                <c:pt idx="220">
                  <c:v>11.420928707807892</c:v>
                </c:pt>
                <c:pt idx="221">
                  <c:v>11.412119182953436</c:v>
                </c:pt>
                <c:pt idx="222">
                  <c:v>11.442778981699055</c:v>
                </c:pt>
                <c:pt idx="223">
                  <c:v>11.436746090580598</c:v>
                </c:pt>
                <c:pt idx="224">
                  <c:v>11.420107903258621</c:v>
                </c:pt>
                <c:pt idx="225">
                  <c:v>11.379425089444192</c:v>
                </c:pt>
                <c:pt idx="226">
                  <c:v>11.3932787362779</c:v>
                </c:pt>
                <c:pt idx="227">
                  <c:v>11.399290070681776</c:v>
                </c:pt>
                <c:pt idx="228">
                  <c:v>11.40680273458935</c:v>
                </c:pt>
                <c:pt idx="229">
                  <c:v>11.412139921550992</c:v>
                </c:pt>
                <c:pt idx="230">
                  <c:v>11.385669313390988</c:v>
                </c:pt>
                <c:pt idx="231">
                  <c:v>11.306749436530579</c:v>
                </c:pt>
                <c:pt idx="232">
                  <c:v>11.231944875376183</c:v>
                </c:pt>
                <c:pt idx="233">
                  <c:v>11.209090670046844</c:v>
                </c:pt>
                <c:pt idx="234">
                  <c:v>11.256110224565788</c:v>
                </c:pt>
                <c:pt idx="235">
                  <c:v>11.286860593384501</c:v>
                </c:pt>
                <c:pt idx="236">
                  <c:v>11.297694704211459</c:v>
                </c:pt>
                <c:pt idx="237">
                  <c:v>11.278909544056685</c:v>
                </c:pt>
                <c:pt idx="238">
                  <c:v>11.286369402668292</c:v>
                </c:pt>
                <c:pt idx="239">
                  <c:v>11.285028362820952</c:v>
                </c:pt>
                <c:pt idx="240">
                  <c:v>11.277660093989189</c:v>
                </c:pt>
                <c:pt idx="241">
                  <c:v>11.321430941676626</c:v>
                </c:pt>
                <c:pt idx="242">
                  <c:v>11.313395216289589</c:v>
                </c:pt>
                <c:pt idx="243">
                  <c:v>11.351371144608247</c:v>
                </c:pt>
                <c:pt idx="244">
                  <c:v>11.387893818678252</c:v>
                </c:pt>
                <c:pt idx="245">
                  <c:v>11.387376977682218</c:v>
                </c:pt>
                <c:pt idx="246">
                  <c:v>11.318914040811331</c:v>
                </c:pt>
                <c:pt idx="247">
                  <c:v>11.175515542550883</c:v>
                </c:pt>
                <c:pt idx="248">
                  <c:v>11.079837330054389</c:v>
                </c:pt>
                <c:pt idx="249">
                  <c:v>10.96925028191332</c:v>
                </c:pt>
                <c:pt idx="250">
                  <c:v>10.835073239463346</c:v>
                </c:pt>
                <c:pt idx="251">
                  <c:v>10.715081110562412</c:v>
                </c:pt>
                <c:pt idx="252">
                  <c:v>10.63331022322464</c:v>
                </c:pt>
                <c:pt idx="253">
                  <c:v>10.537012869941409</c:v>
                </c:pt>
                <c:pt idx="254">
                  <c:v>10.493904852159478</c:v>
                </c:pt>
                <c:pt idx="255">
                  <c:v>10.434379273121792</c:v>
                </c:pt>
                <c:pt idx="256">
                  <c:v>10.339651730310482</c:v>
                </c:pt>
                <c:pt idx="257">
                  <c:v>10.24132056697721</c:v>
                </c:pt>
                <c:pt idx="258">
                  <c:v>10.162586637105889</c:v>
                </c:pt>
                <c:pt idx="259">
                  <c:v>10.069623825837631</c:v>
                </c:pt>
                <c:pt idx="260">
                  <c:v>9.9582718480804484</c:v>
                </c:pt>
                <c:pt idx="261">
                  <c:v>9.9615026761325289</c:v>
                </c:pt>
                <c:pt idx="262">
                  <c:v>10.004767004671365</c:v>
                </c:pt>
                <c:pt idx="263">
                  <c:v>10.120172027090188</c:v>
                </c:pt>
                <c:pt idx="264">
                  <c:v>10.130252012660574</c:v>
                </c:pt>
                <c:pt idx="265">
                  <c:v>10.158392083189108</c:v>
                </c:pt>
                <c:pt idx="266">
                  <c:v>10.177559342161866</c:v>
                </c:pt>
                <c:pt idx="267">
                  <c:v>10.239232486149483</c:v>
                </c:pt>
                <c:pt idx="268">
                  <c:v>10.24025034611725</c:v>
                </c:pt>
                <c:pt idx="269">
                  <c:v>10.261854400791018</c:v>
                </c:pt>
                <c:pt idx="270">
                  <c:v>10.280951089833334</c:v>
                </c:pt>
                <c:pt idx="271">
                  <c:v>10.289845720603948</c:v>
                </c:pt>
                <c:pt idx="272">
                  <c:v>10.276138403164797</c:v>
                </c:pt>
                <c:pt idx="273">
                  <c:v>10.290852501895767</c:v>
                </c:pt>
                <c:pt idx="274">
                  <c:v>10.292825408359475</c:v>
                </c:pt>
                <c:pt idx="275">
                  <c:v>10.374808027071765</c:v>
                </c:pt>
                <c:pt idx="276">
                  <c:v>10.437971179031134</c:v>
                </c:pt>
                <c:pt idx="277">
                  <c:v>10.484132960135792</c:v>
                </c:pt>
                <c:pt idx="278">
                  <c:v>10.527559523081013</c:v>
                </c:pt>
                <c:pt idx="279">
                  <c:v>10.559108793294655</c:v>
                </c:pt>
                <c:pt idx="280">
                  <c:v>10.564374389391917</c:v>
                </c:pt>
                <c:pt idx="281">
                  <c:v>10.552593457909881</c:v>
                </c:pt>
                <c:pt idx="282">
                  <c:v>10.519076071226113</c:v>
                </c:pt>
                <c:pt idx="283">
                  <c:v>10.43306282029093</c:v>
                </c:pt>
                <c:pt idx="284">
                  <c:v>10.404556223127742</c:v>
                </c:pt>
                <c:pt idx="285">
                  <c:v>10.354629947183454</c:v>
                </c:pt>
                <c:pt idx="286">
                  <c:v>10.304238996790749</c:v>
                </c:pt>
                <c:pt idx="287">
                  <c:v>10.192799473978736</c:v>
                </c:pt>
                <c:pt idx="288">
                  <c:v>10.139118374313409</c:v>
                </c:pt>
                <c:pt idx="289">
                  <c:v>10.044189285807354</c:v>
                </c:pt>
                <c:pt idx="290">
                  <c:v>9.9633000794302973</c:v>
                </c:pt>
                <c:pt idx="291">
                  <c:v>9.8800278679428484</c:v>
                </c:pt>
                <c:pt idx="292">
                  <c:v>9.8300417905275026</c:v>
                </c:pt>
                <c:pt idx="293">
                  <c:v>9.7319642150716668</c:v>
                </c:pt>
                <c:pt idx="294">
                  <c:v>9.66474268125382</c:v>
                </c:pt>
                <c:pt idx="295">
                  <c:v>9.7795614201983163</c:v>
                </c:pt>
                <c:pt idx="296">
                  <c:v>9.8853731433733323</c:v>
                </c:pt>
                <c:pt idx="297">
                  <c:v>9.9120833976531451</c:v>
                </c:pt>
                <c:pt idx="298">
                  <c:v>9.9142050677958462</c:v>
                </c:pt>
                <c:pt idx="299">
                  <c:v>9.9055561363034403</c:v>
                </c:pt>
                <c:pt idx="300">
                  <c:v>9.9281913233393304</c:v>
                </c:pt>
                <c:pt idx="301">
                  <c:v>9.9897628578726589</c:v>
                </c:pt>
                <c:pt idx="302">
                  <c:v>10.04602286114026</c:v>
                </c:pt>
                <c:pt idx="303">
                  <c:v>10.147319195866453</c:v>
                </c:pt>
                <c:pt idx="304">
                  <c:v>10.198502090934657</c:v>
                </c:pt>
                <c:pt idx="305">
                  <c:v>10.232635909994944</c:v>
                </c:pt>
                <c:pt idx="306">
                  <c:v>10.314021609930601</c:v>
                </c:pt>
                <c:pt idx="307">
                  <c:v>10.39380502599604</c:v>
                </c:pt>
                <c:pt idx="308">
                  <c:v>10.464846801024013</c:v>
                </c:pt>
                <c:pt idx="309">
                  <c:v>10.45272362334674</c:v>
                </c:pt>
                <c:pt idx="310">
                  <c:v>10.450010936334909</c:v>
                </c:pt>
                <c:pt idx="311">
                  <c:v>10.450588024077417</c:v>
                </c:pt>
                <c:pt idx="312">
                  <c:v>10.374607572762956</c:v>
                </c:pt>
                <c:pt idx="313">
                  <c:v>10.395197127524954</c:v>
                </c:pt>
                <c:pt idx="314">
                  <c:v>10.402864949446267</c:v>
                </c:pt>
                <c:pt idx="315">
                  <c:v>10.411841671867229</c:v>
                </c:pt>
                <c:pt idx="316">
                  <c:v>10.458412454981984</c:v>
                </c:pt>
                <c:pt idx="317">
                  <c:v>10.612087946096828</c:v>
                </c:pt>
                <c:pt idx="318">
                  <c:v>10.614294469446675</c:v>
                </c:pt>
                <c:pt idx="319">
                  <c:v>10.642797566341828</c:v>
                </c:pt>
                <c:pt idx="320">
                  <c:v>10.648704667682985</c:v>
                </c:pt>
                <c:pt idx="321">
                  <c:v>10.636275784445539</c:v>
                </c:pt>
                <c:pt idx="322">
                  <c:v>10.618492367934698</c:v>
                </c:pt>
                <c:pt idx="323">
                  <c:v>10.569277494325242</c:v>
                </c:pt>
                <c:pt idx="324">
                  <c:v>10.538957411961801</c:v>
                </c:pt>
                <c:pt idx="325">
                  <c:v>10.504705036471242</c:v>
                </c:pt>
                <c:pt idx="326">
                  <c:v>10.428092844628189</c:v>
                </c:pt>
                <c:pt idx="327">
                  <c:v>10.344460328861592</c:v>
                </c:pt>
                <c:pt idx="328">
                  <c:v>10.291669217178818</c:v>
                </c:pt>
                <c:pt idx="329">
                  <c:v>10.314202924422528</c:v>
                </c:pt>
                <c:pt idx="330">
                  <c:v>10.351913478835144</c:v>
                </c:pt>
                <c:pt idx="331">
                  <c:v>10.373890074000114</c:v>
                </c:pt>
                <c:pt idx="332">
                  <c:v>10.384227630379746</c:v>
                </c:pt>
                <c:pt idx="333">
                  <c:v>10.390195477208575</c:v>
                </c:pt>
                <c:pt idx="334">
                  <c:v>10.479210798231101</c:v>
                </c:pt>
                <c:pt idx="335">
                  <c:v>10.537914742520201</c:v>
                </c:pt>
                <c:pt idx="336">
                  <c:v>10.631704355136774</c:v>
                </c:pt>
                <c:pt idx="337">
                  <c:v>10.583660231613756</c:v>
                </c:pt>
                <c:pt idx="338">
                  <c:v>10.630510046516104</c:v>
                </c:pt>
                <c:pt idx="339">
                  <c:v>10.650374827416607</c:v>
                </c:pt>
                <c:pt idx="340">
                  <c:v>10.701024141135361</c:v>
                </c:pt>
                <c:pt idx="341">
                  <c:v>10.780357481042582</c:v>
                </c:pt>
                <c:pt idx="342">
                  <c:v>10.832255969552151</c:v>
                </c:pt>
                <c:pt idx="343">
                  <c:v>10.875060404107192</c:v>
                </c:pt>
                <c:pt idx="344">
                  <c:v>10.938701923588095</c:v>
                </c:pt>
                <c:pt idx="345">
                  <c:v>10.942589240478737</c:v>
                </c:pt>
                <c:pt idx="346">
                  <c:v>10.947319213331323</c:v>
                </c:pt>
                <c:pt idx="347">
                  <c:v>10.921691919914551</c:v>
                </c:pt>
                <c:pt idx="348">
                  <c:v>10.919292743940192</c:v>
                </c:pt>
                <c:pt idx="349">
                  <c:v>10.907374722453199</c:v>
                </c:pt>
                <c:pt idx="350">
                  <c:v>10.888459056095147</c:v>
                </c:pt>
                <c:pt idx="351">
                  <c:v>10.886945874259606</c:v>
                </c:pt>
                <c:pt idx="352">
                  <c:v>10.86488050191344</c:v>
                </c:pt>
                <c:pt idx="353">
                  <c:v>10.857766339353564</c:v>
                </c:pt>
                <c:pt idx="354">
                  <c:v>10.889318536127901</c:v>
                </c:pt>
                <c:pt idx="355">
                  <c:v>10.887900410945868</c:v>
                </c:pt>
                <c:pt idx="356">
                  <c:v>10.886632350715125</c:v>
                </c:pt>
                <c:pt idx="357">
                  <c:v>10.896655011512518</c:v>
                </c:pt>
                <c:pt idx="358">
                  <c:v>10.896973793600047</c:v>
                </c:pt>
                <c:pt idx="359">
                  <c:v>10.893730743236656</c:v>
                </c:pt>
                <c:pt idx="360">
                  <c:v>10.899716000192766</c:v>
                </c:pt>
                <c:pt idx="361">
                  <c:v>10.908219105255869</c:v>
                </c:pt>
                <c:pt idx="362">
                  <c:v>10.893183516103447</c:v>
                </c:pt>
                <c:pt idx="363">
                  <c:v>10.85057625120845</c:v>
                </c:pt>
                <c:pt idx="364">
                  <c:v>10.814250390636907</c:v>
                </c:pt>
                <c:pt idx="365">
                  <c:v>10.762958569808426</c:v>
                </c:pt>
                <c:pt idx="366">
                  <c:v>10.714154904205282</c:v>
                </c:pt>
                <c:pt idx="367">
                  <c:v>10.730810280424144</c:v>
                </c:pt>
                <c:pt idx="368">
                  <c:v>10.784119865303047</c:v>
                </c:pt>
                <c:pt idx="369">
                  <c:v>10.831714354050114</c:v>
                </c:pt>
                <c:pt idx="370">
                  <c:v>10.839657638429696</c:v>
                </c:pt>
                <c:pt idx="371">
                  <c:v>10.858731862542458</c:v>
                </c:pt>
                <c:pt idx="372">
                  <c:v>10.906229264645013</c:v>
                </c:pt>
                <c:pt idx="373">
                  <c:v>10.960721957145669</c:v>
                </c:pt>
                <c:pt idx="374">
                  <c:v>11.111914022267687</c:v>
                </c:pt>
                <c:pt idx="375">
                  <c:v>11.387638669973359</c:v>
                </c:pt>
                <c:pt idx="376">
                  <c:v>11.608256991588039</c:v>
                </c:pt>
                <c:pt idx="377">
                  <c:v>11.717017027708728</c:v>
                </c:pt>
                <c:pt idx="378">
                  <c:v>11.835565921184775</c:v>
                </c:pt>
                <c:pt idx="379">
                  <c:v>11.97038819605636</c:v>
                </c:pt>
                <c:pt idx="380">
                  <c:v>12.11112060360702</c:v>
                </c:pt>
                <c:pt idx="381">
                  <c:v>12.208326483237938</c:v>
                </c:pt>
                <c:pt idx="382">
                  <c:v>12.30541857097997</c:v>
                </c:pt>
                <c:pt idx="383">
                  <c:v>12.332778813927458</c:v>
                </c:pt>
                <c:pt idx="384">
                  <c:v>12.334241004320063</c:v>
                </c:pt>
                <c:pt idx="385">
                  <c:v>12.309533673089584</c:v>
                </c:pt>
                <c:pt idx="386">
                  <c:v>12.27703410199584</c:v>
                </c:pt>
                <c:pt idx="387">
                  <c:v>12.259188832767446</c:v>
                </c:pt>
                <c:pt idx="388">
                  <c:v>12.245803014906228</c:v>
                </c:pt>
                <c:pt idx="389">
                  <c:v>12.232543688585881</c:v>
                </c:pt>
                <c:pt idx="390">
                  <c:v>12.16691966334399</c:v>
                </c:pt>
                <c:pt idx="391">
                  <c:v>12.115172097252575</c:v>
                </c:pt>
                <c:pt idx="392">
                  <c:v>12.071914808105813</c:v>
                </c:pt>
                <c:pt idx="393">
                  <c:v>12.040329394499315</c:v>
                </c:pt>
                <c:pt idx="394">
                  <c:v>12.078730922620514</c:v>
                </c:pt>
                <c:pt idx="395">
                  <c:v>12.049189362625842</c:v>
                </c:pt>
                <c:pt idx="396">
                  <c:v>12.027715146040775</c:v>
                </c:pt>
                <c:pt idx="397">
                  <c:v>12.014063626201194</c:v>
                </c:pt>
                <c:pt idx="398">
                  <c:v>11.97493019189894</c:v>
                </c:pt>
                <c:pt idx="399">
                  <c:v>11.898496040880275</c:v>
                </c:pt>
                <c:pt idx="400">
                  <c:v>11.791667354210468</c:v>
                </c:pt>
                <c:pt idx="401">
                  <c:v>11.709813503635834</c:v>
                </c:pt>
                <c:pt idx="402">
                  <c:v>11.563113811648977</c:v>
                </c:pt>
                <c:pt idx="403">
                  <c:v>11.503420083078902</c:v>
                </c:pt>
                <c:pt idx="404">
                  <c:v>11.533361305573312</c:v>
                </c:pt>
                <c:pt idx="405">
                  <c:v>11.565485441658147</c:v>
                </c:pt>
                <c:pt idx="406">
                  <c:v>11.594305237586013</c:v>
                </c:pt>
                <c:pt idx="407">
                  <c:v>11.615493670835368</c:v>
                </c:pt>
                <c:pt idx="408">
                  <c:v>11.66594785942339</c:v>
                </c:pt>
                <c:pt idx="409">
                  <c:v>11.681774901264886</c:v>
                </c:pt>
                <c:pt idx="410">
                  <c:v>11.686884868309855</c:v>
                </c:pt>
                <c:pt idx="411">
                  <c:v>11.743589771686173</c:v>
                </c:pt>
                <c:pt idx="412">
                  <c:v>11.831483685907127</c:v>
                </c:pt>
                <c:pt idx="413">
                  <c:v>11.91250112460531</c:v>
                </c:pt>
                <c:pt idx="414">
                  <c:v>11.978006034793481</c:v>
                </c:pt>
                <c:pt idx="415">
                  <c:v>12.008766580699987</c:v>
                </c:pt>
                <c:pt idx="416">
                  <c:v>12.007294964796372</c:v>
                </c:pt>
                <c:pt idx="417">
                  <c:v>12.001666847904854</c:v>
                </c:pt>
                <c:pt idx="418">
                  <c:v>11.987827065819722</c:v>
                </c:pt>
                <c:pt idx="419">
                  <c:v>11.991143106149798</c:v>
                </c:pt>
                <c:pt idx="420">
                  <c:v>12.002940220545973</c:v>
                </c:pt>
                <c:pt idx="421">
                  <c:v>12.00742988177365</c:v>
                </c:pt>
                <c:pt idx="422">
                  <c:v>11.97123690978696</c:v>
                </c:pt>
                <c:pt idx="423">
                  <c:v>11.951307092926188</c:v>
                </c:pt>
                <c:pt idx="424">
                  <c:v>11.962340471807368</c:v>
                </c:pt>
                <c:pt idx="425">
                  <c:v>11.962087948863237</c:v>
                </c:pt>
                <c:pt idx="426">
                  <c:v>11.959347886083531</c:v>
                </c:pt>
                <c:pt idx="427">
                  <c:v>11.953493205083422</c:v>
                </c:pt>
                <c:pt idx="428">
                  <c:v>11.954804536409839</c:v>
                </c:pt>
                <c:pt idx="429">
                  <c:v>11.956217246468187</c:v>
                </c:pt>
                <c:pt idx="430">
                  <c:v>11.918700928167851</c:v>
                </c:pt>
                <c:pt idx="431">
                  <c:v>11.91417328646026</c:v>
                </c:pt>
                <c:pt idx="432">
                  <c:v>11.902226434951402</c:v>
                </c:pt>
                <c:pt idx="433">
                  <c:v>11.880414439700074</c:v>
                </c:pt>
                <c:pt idx="434">
                  <c:v>11.834799254409671</c:v>
                </c:pt>
                <c:pt idx="435">
                  <c:v>11.909220749759065</c:v>
                </c:pt>
                <c:pt idx="436">
                  <c:v>11.987858836172652</c:v>
                </c:pt>
                <c:pt idx="437">
                  <c:v>12.023146809922341</c:v>
                </c:pt>
                <c:pt idx="438">
                  <c:v>12.140620457464944</c:v>
                </c:pt>
                <c:pt idx="439">
                  <c:v>12.220365504485397</c:v>
                </c:pt>
                <c:pt idx="440">
                  <c:v>12.420296342189232</c:v>
                </c:pt>
                <c:pt idx="441">
                  <c:v>12.585311651446428</c:v>
                </c:pt>
                <c:pt idx="442">
                  <c:v>12.585662031188589</c:v>
                </c:pt>
                <c:pt idx="443">
                  <c:v>12.57125630999016</c:v>
                </c:pt>
                <c:pt idx="444">
                  <c:v>12.579245744415585</c:v>
                </c:pt>
                <c:pt idx="445">
                  <c:v>12.592572871511198</c:v>
                </c:pt>
                <c:pt idx="446">
                  <c:v>12.596069872101658</c:v>
                </c:pt>
                <c:pt idx="447">
                  <c:v>12.595346360636634</c:v>
                </c:pt>
                <c:pt idx="448">
                  <c:v>12.595721377036043</c:v>
                </c:pt>
                <c:pt idx="449">
                  <c:v>12.595721377036044</c:v>
                </c:pt>
                <c:pt idx="450">
                  <c:v>12.601101570248641</c:v>
                </c:pt>
                <c:pt idx="451">
                  <c:v>12.610734048954091</c:v>
                </c:pt>
                <c:pt idx="452">
                  <c:v>12.70481992326437</c:v>
                </c:pt>
                <c:pt idx="453">
                  <c:v>12.759093697579033</c:v>
                </c:pt>
                <c:pt idx="454">
                  <c:v>12.790576780479137</c:v>
                </c:pt>
                <c:pt idx="455">
                  <c:v>13.232121646619495</c:v>
                </c:pt>
                <c:pt idx="456">
                  <c:v>13.402360394463226</c:v>
                </c:pt>
                <c:pt idx="457">
                  <c:v>13.527992648379165</c:v>
                </c:pt>
                <c:pt idx="458">
                  <c:v>13.653065165919898</c:v>
                </c:pt>
                <c:pt idx="459">
                  <c:v>13.73824205491016</c:v>
                </c:pt>
                <c:pt idx="460">
                  <c:v>13.799543854471949</c:v>
                </c:pt>
                <c:pt idx="461">
                  <c:v>13.837465143178447</c:v>
                </c:pt>
                <c:pt idx="462">
                  <c:v>13.877834821737389</c:v>
                </c:pt>
                <c:pt idx="463">
                  <c:v>13.944134604428253</c:v>
                </c:pt>
                <c:pt idx="464">
                  <c:v>13.977857525122534</c:v>
                </c:pt>
                <c:pt idx="465">
                  <c:v>13.989594561730899</c:v>
                </c:pt>
                <c:pt idx="466">
                  <c:v>13.983808844018785</c:v>
                </c:pt>
                <c:pt idx="467">
                  <c:v>13.984107601893106</c:v>
                </c:pt>
                <c:pt idx="468">
                  <c:v>13.993091743735926</c:v>
                </c:pt>
                <c:pt idx="469">
                  <c:v>13.939574887581683</c:v>
                </c:pt>
                <c:pt idx="470">
                  <c:v>13.872527525709961</c:v>
                </c:pt>
                <c:pt idx="471">
                  <c:v>13.766270421302815</c:v>
                </c:pt>
                <c:pt idx="472">
                  <c:v>13.746511393947506</c:v>
                </c:pt>
                <c:pt idx="473">
                  <c:v>13.698322312604995</c:v>
                </c:pt>
                <c:pt idx="474">
                  <c:v>13.682408689001308</c:v>
                </c:pt>
                <c:pt idx="475">
                  <c:v>13.533354237805067</c:v>
                </c:pt>
                <c:pt idx="476">
                  <c:v>13.512333849328913</c:v>
                </c:pt>
                <c:pt idx="477">
                  <c:v>13.516002602653055</c:v>
                </c:pt>
                <c:pt idx="478">
                  <c:v>13.509896663000982</c:v>
                </c:pt>
                <c:pt idx="479">
                  <c:v>13.531644885005603</c:v>
                </c:pt>
                <c:pt idx="480">
                  <c:v>13.534165310945411</c:v>
                </c:pt>
                <c:pt idx="481">
                  <c:v>13.533587428113762</c:v>
                </c:pt>
                <c:pt idx="482">
                  <c:v>13.529736897198173</c:v>
                </c:pt>
                <c:pt idx="483">
                  <c:v>13.531813277850107</c:v>
                </c:pt>
                <c:pt idx="484">
                  <c:v>13.527641800186121</c:v>
                </c:pt>
                <c:pt idx="485">
                  <c:v>13.520958272102709</c:v>
                </c:pt>
                <c:pt idx="486">
                  <c:v>13.515247846681852</c:v>
                </c:pt>
                <c:pt idx="487">
                  <c:v>13.535136444127341</c:v>
                </c:pt>
                <c:pt idx="488">
                  <c:v>13.580605091820141</c:v>
                </c:pt>
                <c:pt idx="489">
                  <c:v>13.684333217207978</c:v>
                </c:pt>
                <c:pt idx="490">
                  <c:v>13.755516992733014</c:v>
                </c:pt>
                <c:pt idx="491">
                  <c:v>13.826554494598769</c:v>
                </c:pt>
                <c:pt idx="492">
                  <c:v>13.839532378530237</c:v>
                </c:pt>
                <c:pt idx="493">
                  <c:v>13.848330345652363</c:v>
                </c:pt>
                <c:pt idx="494">
                  <c:v>13.787852012313747</c:v>
                </c:pt>
                <c:pt idx="495">
                  <c:v>13.784559294125218</c:v>
                </c:pt>
                <c:pt idx="496">
                  <c:v>13.775279517620989</c:v>
                </c:pt>
                <c:pt idx="497">
                  <c:v>13.780434577328853</c:v>
                </c:pt>
                <c:pt idx="498">
                  <c:v>13.782411633229662</c:v>
                </c:pt>
                <c:pt idx="499">
                  <c:v>13.78241163322966</c:v>
                </c:pt>
                <c:pt idx="500">
                  <c:v>13.781605018074806</c:v>
                </c:pt>
                <c:pt idx="501">
                  <c:v>13.767181644696947</c:v>
                </c:pt>
                <c:pt idx="502">
                  <c:v>13.763610546541701</c:v>
                </c:pt>
                <c:pt idx="503">
                  <c:v>13.771067345249348</c:v>
                </c:pt>
                <c:pt idx="504">
                  <c:v>13.821122451613517</c:v>
                </c:pt>
                <c:pt idx="505">
                  <c:v>13.857149886078146</c:v>
                </c:pt>
                <c:pt idx="506">
                  <c:v>14.074920955496395</c:v>
                </c:pt>
                <c:pt idx="507">
                  <c:v>14.191603516711194</c:v>
                </c:pt>
                <c:pt idx="508">
                  <c:v>14.246801299491855</c:v>
                </c:pt>
                <c:pt idx="509">
                  <c:v>14.278019266322024</c:v>
                </c:pt>
                <c:pt idx="510">
                  <c:v>14.297009408935532</c:v>
                </c:pt>
                <c:pt idx="511">
                  <c:v>14.310382024605875</c:v>
                </c:pt>
                <c:pt idx="512">
                  <c:v>14.312929818008641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Data!$L$1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10.727079960160415</c:v>
                </c:pt>
                <c:pt idx="20">
                  <c:v>10.767061237870214</c:v>
                </c:pt>
                <c:pt idx="21">
                  <c:v>10.735630943973998</c:v>
                </c:pt>
                <c:pt idx="22">
                  <c:v>10.705708057326312</c:v>
                </c:pt>
                <c:pt idx="23">
                  <c:v>10.706191274828736</c:v>
                </c:pt>
                <c:pt idx="24">
                  <c:v>10.69668330204582</c:v>
                </c:pt>
                <c:pt idx="25">
                  <c:v>10.554140636041822</c:v>
                </c:pt>
                <c:pt idx="26">
                  <c:v>10.450234576166737</c:v>
                </c:pt>
                <c:pt idx="27">
                  <c:v>10.401146306684319</c:v>
                </c:pt>
                <c:pt idx="28">
                  <c:v>10.348499436239551</c:v>
                </c:pt>
                <c:pt idx="29">
                  <c:v>10.356448940782293</c:v>
                </c:pt>
                <c:pt idx="30">
                  <c:v>10.410342284847255</c:v>
                </c:pt>
                <c:pt idx="31">
                  <c:v>10.530339565382828</c:v>
                </c:pt>
                <c:pt idx="32">
                  <c:v>10.630657191180051</c:v>
                </c:pt>
                <c:pt idx="33">
                  <c:v>10.74269071424761</c:v>
                </c:pt>
                <c:pt idx="34">
                  <c:v>10.829152478612167</c:v>
                </c:pt>
                <c:pt idx="35">
                  <c:v>11.005611069239762</c:v>
                </c:pt>
                <c:pt idx="36">
                  <c:v>11.124366069084795</c:v>
                </c:pt>
                <c:pt idx="37">
                  <c:v>11.226232243551289</c:v>
                </c:pt>
                <c:pt idx="38">
                  <c:v>11.30375987015114</c:v>
                </c:pt>
                <c:pt idx="39">
                  <c:v>11.36323480320207</c:v>
                </c:pt>
                <c:pt idx="40">
                  <c:v>11.446406033921694</c:v>
                </c:pt>
                <c:pt idx="41">
                  <c:v>11.470218018550733</c:v>
                </c:pt>
                <c:pt idx="42">
                  <c:v>11.485881640957363</c:v>
                </c:pt>
                <c:pt idx="43">
                  <c:v>11.63363000535222</c:v>
                </c:pt>
                <c:pt idx="44">
                  <c:v>11.671484981816382</c:v>
                </c:pt>
                <c:pt idx="45">
                  <c:v>11.676764734925541</c:v>
                </c:pt>
                <c:pt idx="46">
                  <c:v>11.669147066502648</c:v>
                </c:pt>
                <c:pt idx="47">
                  <c:v>11.645375442498899</c:v>
                </c:pt>
                <c:pt idx="48">
                  <c:v>11.677983920648389</c:v>
                </c:pt>
                <c:pt idx="49">
                  <c:v>11.694349056216774</c:v>
                </c:pt>
                <c:pt idx="50">
                  <c:v>11.677773233006773</c:v>
                </c:pt>
                <c:pt idx="51">
                  <c:v>11.660476335039471</c:v>
                </c:pt>
                <c:pt idx="52">
                  <c:v>11.653808912928225</c:v>
                </c:pt>
                <c:pt idx="53">
                  <c:v>11.655654456789163</c:v>
                </c:pt>
                <c:pt idx="54">
                  <c:v>11.6064991296647</c:v>
                </c:pt>
                <c:pt idx="55">
                  <c:v>11.580219352502159</c:v>
                </c:pt>
                <c:pt idx="56">
                  <c:v>11.570413109553911</c:v>
                </c:pt>
                <c:pt idx="57">
                  <c:v>11.606712793884947</c:v>
                </c:pt>
                <c:pt idx="58">
                  <c:v>11.659449822316713</c:v>
                </c:pt>
                <c:pt idx="59">
                  <c:v>11.640200822001837</c:v>
                </c:pt>
                <c:pt idx="60">
                  <c:v>11.590617058788709</c:v>
                </c:pt>
                <c:pt idx="61">
                  <c:v>11.557963062103157</c:v>
                </c:pt>
                <c:pt idx="62">
                  <c:v>11.526780305790572</c:v>
                </c:pt>
                <c:pt idx="63">
                  <c:v>11.460610129637326</c:v>
                </c:pt>
                <c:pt idx="64">
                  <c:v>11.478624333342696</c:v>
                </c:pt>
                <c:pt idx="65">
                  <c:v>11.496747220587871</c:v>
                </c:pt>
                <c:pt idx="66">
                  <c:v>11.547855755764351</c:v>
                </c:pt>
                <c:pt idx="67">
                  <c:v>11.617595839359966</c:v>
                </c:pt>
                <c:pt idx="68">
                  <c:v>11.721422381012658</c:v>
                </c:pt>
                <c:pt idx="69">
                  <c:v>11.785223130242235</c:v>
                </c:pt>
                <c:pt idx="70">
                  <c:v>11.883194352881455</c:v>
                </c:pt>
                <c:pt idx="71">
                  <c:v>11.924781775971361</c:v>
                </c:pt>
                <c:pt idx="72">
                  <c:v>11.902342511895686</c:v>
                </c:pt>
                <c:pt idx="73">
                  <c:v>11.842071657683684</c:v>
                </c:pt>
                <c:pt idx="74">
                  <c:v>11.718602821156459</c:v>
                </c:pt>
                <c:pt idx="75">
                  <c:v>11.623247583468023</c:v>
                </c:pt>
                <c:pt idx="76">
                  <c:v>11.621883067271389</c:v>
                </c:pt>
                <c:pt idx="77">
                  <c:v>11.623506804269645</c:v>
                </c:pt>
                <c:pt idx="78">
                  <c:v>11.668034391978573</c:v>
                </c:pt>
                <c:pt idx="79">
                  <c:v>11.667638159241244</c:v>
                </c:pt>
                <c:pt idx="80">
                  <c:v>11.657825702157592</c:v>
                </c:pt>
                <c:pt idx="81">
                  <c:v>11.6484342514332</c:v>
                </c:pt>
                <c:pt idx="82">
                  <c:v>11.568588430755986</c:v>
                </c:pt>
                <c:pt idx="83">
                  <c:v>11.547138161722236</c:v>
                </c:pt>
                <c:pt idx="84">
                  <c:v>11.534245348120731</c:v>
                </c:pt>
                <c:pt idx="85">
                  <c:v>11.528092903489293</c:v>
                </c:pt>
                <c:pt idx="86">
                  <c:v>11.554248979457963</c:v>
                </c:pt>
                <c:pt idx="87">
                  <c:v>11.590194990460832</c:v>
                </c:pt>
                <c:pt idx="88">
                  <c:v>11.570883613806984</c:v>
                </c:pt>
                <c:pt idx="89">
                  <c:v>11.559425393395692</c:v>
                </c:pt>
                <c:pt idx="90">
                  <c:v>11.506712130640754</c:v>
                </c:pt>
                <c:pt idx="91">
                  <c:v>11.515369459420787</c:v>
                </c:pt>
                <c:pt idx="92">
                  <c:v>11.54857464142842</c:v>
                </c:pt>
                <c:pt idx="93">
                  <c:v>11.583171675626224</c:v>
                </c:pt>
                <c:pt idx="94">
                  <c:v>11.621990498159107</c:v>
                </c:pt>
                <c:pt idx="95">
                  <c:v>11.640221677035504</c:v>
                </c:pt>
                <c:pt idx="96">
                  <c:v>11.620699676137209</c:v>
                </c:pt>
                <c:pt idx="97">
                  <c:v>11.61886143349386</c:v>
                </c:pt>
                <c:pt idx="98">
                  <c:v>11.6156421918165</c:v>
                </c:pt>
                <c:pt idx="99">
                  <c:v>11.670325683881853</c:v>
                </c:pt>
                <c:pt idx="100">
                  <c:v>11.701638586425915</c:v>
                </c:pt>
                <c:pt idx="101">
                  <c:v>11.635488056687075</c:v>
                </c:pt>
                <c:pt idx="102">
                  <c:v>11.510954585113529</c:v>
                </c:pt>
                <c:pt idx="103">
                  <c:v>11.456791012896169</c:v>
                </c:pt>
                <c:pt idx="104">
                  <c:v>11.462360655703296</c:v>
                </c:pt>
                <c:pt idx="105">
                  <c:v>11.468275138069508</c:v>
                </c:pt>
                <c:pt idx="106">
                  <c:v>11.475967050660435</c:v>
                </c:pt>
                <c:pt idx="107">
                  <c:v>11.471768574614948</c:v>
                </c:pt>
                <c:pt idx="108">
                  <c:v>11.468206523736409</c:v>
                </c:pt>
                <c:pt idx="109">
                  <c:v>11.468805269875013</c:v>
                </c:pt>
                <c:pt idx="110">
                  <c:v>11.474393528746221</c:v>
                </c:pt>
                <c:pt idx="111">
                  <c:v>11.474302702992466</c:v>
                </c:pt>
                <c:pt idx="112">
                  <c:v>11.484301106140991</c:v>
                </c:pt>
                <c:pt idx="113">
                  <c:v>11.47433429478675</c:v>
                </c:pt>
                <c:pt idx="114">
                  <c:v>11.438245372934855</c:v>
                </c:pt>
                <c:pt idx="115">
                  <c:v>11.425366749116201</c:v>
                </c:pt>
                <c:pt idx="116">
                  <c:v>11.39936490404434</c:v>
                </c:pt>
                <c:pt idx="117">
                  <c:v>11.39460130039779</c:v>
                </c:pt>
                <c:pt idx="118">
                  <c:v>11.380732880325292</c:v>
                </c:pt>
                <c:pt idx="119">
                  <c:v>11.375408143991265</c:v>
                </c:pt>
                <c:pt idx="120">
                  <c:v>11.376877522719335</c:v>
                </c:pt>
                <c:pt idx="121">
                  <c:v>11.418864956534543</c:v>
                </c:pt>
                <c:pt idx="122">
                  <c:v>11.497350482551203</c:v>
                </c:pt>
                <c:pt idx="123">
                  <c:v>11.492336211698111</c:v>
                </c:pt>
                <c:pt idx="124">
                  <c:v>11.41991415439122</c:v>
                </c:pt>
                <c:pt idx="125">
                  <c:v>11.349648001095979</c:v>
                </c:pt>
                <c:pt idx="126">
                  <c:v>11.31291530545057</c:v>
                </c:pt>
                <c:pt idx="127">
                  <c:v>11.293960323757256</c:v>
                </c:pt>
                <c:pt idx="128">
                  <c:v>11.270269671244556</c:v>
                </c:pt>
                <c:pt idx="129">
                  <c:v>11.262348837510267</c:v>
                </c:pt>
                <c:pt idx="130">
                  <c:v>11.218955943001253</c:v>
                </c:pt>
                <c:pt idx="131">
                  <c:v>11.169437012643337</c:v>
                </c:pt>
                <c:pt idx="132">
                  <c:v>11.058789373071175</c:v>
                </c:pt>
                <c:pt idx="133">
                  <c:v>10.990359476156094</c:v>
                </c:pt>
                <c:pt idx="134">
                  <c:v>10.990520018998344</c:v>
                </c:pt>
                <c:pt idx="135">
                  <c:v>11.006347515102394</c:v>
                </c:pt>
                <c:pt idx="136">
                  <c:v>11.073941045320002</c:v>
                </c:pt>
                <c:pt idx="137">
                  <c:v>11.202432406296834</c:v>
                </c:pt>
                <c:pt idx="138">
                  <c:v>11.371034885629182</c:v>
                </c:pt>
                <c:pt idx="139">
                  <c:v>11.500018044105067</c:v>
                </c:pt>
                <c:pt idx="140">
                  <c:v>11.677121427460845</c:v>
                </c:pt>
                <c:pt idx="141">
                  <c:v>11.421541652908267</c:v>
                </c:pt>
                <c:pt idx="142">
                  <c:v>11.181397752848781</c:v>
                </c:pt>
                <c:pt idx="143">
                  <c:v>10.8767349557155</c:v>
                </c:pt>
                <c:pt idx="144">
                  <c:v>10.54353432905017</c:v>
                </c:pt>
                <c:pt idx="145">
                  <c:v>10.234989486187297</c:v>
                </c:pt>
                <c:pt idx="146">
                  <c:v>9.9303012650313214</c:v>
                </c:pt>
                <c:pt idx="147">
                  <c:v>9.5150105318071603</c:v>
                </c:pt>
                <c:pt idx="148">
                  <c:v>9.0727817563156208</c:v>
                </c:pt>
                <c:pt idx="149">
                  <c:v>8.6988769157773334</c:v>
                </c:pt>
                <c:pt idx="150">
                  <c:v>8.3600034509926662</c:v>
                </c:pt>
                <c:pt idx="151">
                  <c:v>8.1226462796615309</c:v>
                </c:pt>
                <c:pt idx="152">
                  <c:v>7.9382641636748552</c:v>
                </c:pt>
                <c:pt idx="153">
                  <c:v>7.7776496631540901</c:v>
                </c:pt>
                <c:pt idx="154">
                  <c:v>7.7259969359514571</c:v>
                </c:pt>
                <c:pt idx="155">
                  <c:v>7.7533705104926671</c:v>
                </c:pt>
                <c:pt idx="156">
                  <c:v>7.9016719135792597</c:v>
                </c:pt>
                <c:pt idx="157">
                  <c:v>8.0444211716591827</c:v>
                </c:pt>
                <c:pt idx="158">
                  <c:v>8.3300755987907493</c:v>
                </c:pt>
                <c:pt idx="159">
                  <c:v>8.6983853505772242</c:v>
                </c:pt>
                <c:pt idx="160">
                  <c:v>9.3222748289790172</c:v>
                </c:pt>
                <c:pt idx="161">
                  <c:v>9.3428698857150732</c:v>
                </c:pt>
                <c:pt idx="162">
                  <c:v>9.3324582646848278</c:v>
                </c:pt>
                <c:pt idx="163">
                  <c:v>9.3235253060596648</c:v>
                </c:pt>
                <c:pt idx="164">
                  <c:v>9.3028946534037011</c:v>
                </c:pt>
                <c:pt idx="165">
                  <c:v>9.2918449927557738</c:v>
                </c:pt>
                <c:pt idx="166">
                  <c:v>9.2758312460903589</c:v>
                </c:pt>
                <c:pt idx="167">
                  <c:v>9.3090514667990387</c:v>
                </c:pt>
                <c:pt idx="168">
                  <c:v>9.4269133407465198</c:v>
                </c:pt>
                <c:pt idx="169">
                  <c:v>9.5487170310495877</c:v>
                </c:pt>
                <c:pt idx="170">
                  <c:v>9.6918570281790561</c:v>
                </c:pt>
                <c:pt idx="171">
                  <c:v>9.7542857702344836</c:v>
                </c:pt>
                <c:pt idx="172">
                  <c:v>9.8350237579704913</c:v>
                </c:pt>
                <c:pt idx="173">
                  <c:v>9.9476992790352998</c:v>
                </c:pt>
                <c:pt idx="174">
                  <c:v>10.01180301021785</c:v>
                </c:pt>
                <c:pt idx="175">
                  <c:v>10.096106936310264</c:v>
                </c:pt>
                <c:pt idx="176">
                  <c:v>10.128964787924891</c:v>
                </c:pt>
                <c:pt idx="177">
                  <c:v>10.1638380989294</c:v>
                </c:pt>
                <c:pt idx="178">
                  <c:v>10.175382492191419</c:v>
                </c:pt>
                <c:pt idx="179">
                  <c:v>10.193679334994961</c:v>
                </c:pt>
                <c:pt idx="180">
                  <c:v>10.196642740908839</c:v>
                </c:pt>
                <c:pt idx="181">
                  <c:v>10.195181333392986</c:v>
                </c:pt>
                <c:pt idx="182">
                  <c:v>10.212549900567227</c:v>
                </c:pt>
                <c:pt idx="183">
                  <c:v>10.216336862691845</c:v>
                </c:pt>
                <c:pt idx="184">
                  <c:v>10.168059474622227</c:v>
                </c:pt>
                <c:pt idx="185">
                  <c:v>10.161083968332166</c:v>
                </c:pt>
                <c:pt idx="186">
                  <c:v>10.170765606830582</c:v>
                </c:pt>
                <c:pt idx="187">
                  <c:v>10.178671651766949</c:v>
                </c:pt>
                <c:pt idx="188">
                  <c:v>10.184021571099924</c:v>
                </c:pt>
                <c:pt idx="189">
                  <c:v>10.161477715754227</c:v>
                </c:pt>
                <c:pt idx="190">
                  <c:v>10.131384283548465</c:v>
                </c:pt>
                <c:pt idx="191">
                  <c:v>10.130315244500069</c:v>
                </c:pt>
                <c:pt idx="192">
                  <c:v>10.112580935021413</c:v>
                </c:pt>
                <c:pt idx="193">
                  <c:v>10.145924424491209</c:v>
                </c:pt>
                <c:pt idx="194">
                  <c:v>10.169002545416346</c:v>
                </c:pt>
                <c:pt idx="195">
                  <c:v>10.173489306511955</c:v>
                </c:pt>
                <c:pt idx="196">
                  <c:v>10.174821373535581</c:v>
                </c:pt>
                <c:pt idx="197">
                  <c:v>10.169853122997139</c:v>
                </c:pt>
                <c:pt idx="198">
                  <c:v>10.172590358710261</c:v>
                </c:pt>
                <c:pt idx="199">
                  <c:v>10.166530965820884</c:v>
                </c:pt>
                <c:pt idx="200">
                  <c:v>10.150627041766509</c:v>
                </c:pt>
                <c:pt idx="201">
                  <c:v>10.131144407990538</c:v>
                </c:pt>
                <c:pt idx="202">
                  <c:v>10.132208817329731</c:v>
                </c:pt>
                <c:pt idx="203">
                  <c:v>10.114190846744012</c:v>
                </c:pt>
                <c:pt idx="204">
                  <c:v>10.148011565045005</c:v>
                </c:pt>
                <c:pt idx="205">
                  <c:v>10.131148681173238</c:v>
                </c:pt>
                <c:pt idx="206">
                  <c:v>10.130469056934189</c:v>
                </c:pt>
                <c:pt idx="207">
                  <c:v>10.126983059662328</c:v>
                </c:pt>
                <c:pt idx="208">
                  <c:v>10.078492233337901</c:v>
                </c:pt>
                <c:pt idx="209">
                  <c:v>10.076762056976749</c:v>
                </c:pt>
                <c:pt idx="210">
                  <c:v>10.043860004221173</c:v>
                </c:pt>
                <c:pt idx="211">
                  <c:v>9.9793122045146276</c:v>
                </c:pt>
                <c:pt idx="212">
                  <c:v>9.9578587546829471</c:v>
                </c:pt>
                <c:pt idx="213">
                  <c:v>9.9718938412713989</c:v>
                </c:pt>
                <c:pt idx="214">
                  <c:v>9.9846668219123806</c:v>
                </c:pt>
                <c:pt idx="215">
                  <c:v>10.00001454169235</c:v>
                </c:pt>
                <c:pt idx="216">
                  <c:v>10.012828878600574</c:v>
                </c:pt>
                <c:pt idx="217">
                  <c:v>10.008722770251785</c:v>
                </c:pt>
                <c:pt idx="218">
                  <c:v>10.014663655639508</c:v>
                </c:pt>
                <c:pt idx="219">
                  <c:v>10.014511292192108</c:v>
                </c:pt>
                <c:pt idx="220">
                  <c:v>10.014511292192111</c:v>
                </c:pt>
                <c:pt idx="221">
                  <c:v>10.014460817046562</c:v>
                </c:pt>
                <c:pt idx="222">
                  <c:v>10.016281018300946</c:v>
                </c:pt>
                <c:pt idx="223">
                  <c:v>10.016413909419406</c:v>
                </c:pt>
                <c:pt idx="224">
                  <c:v>10.000582096741379</c:v>
                </c:pt>
                <c:pt idx="225">
                  <c:v>9.9979549105558103</c:v>
                </c:pt>
                <c:pt idx="226">
                  <c:v>9.9949212637221052</c:v>
                </c:pt>
                <c:pt idx="227">
                  <c:v>9.9918699293182272</c:v>
                </c:pt>
                <c:pt idx="228">
                  <c:v>10.05226726541065</c:v>
                </c:pt>
                <c:pt idx="229">
                  <c:v>10.10893007844901</c:v>
                </c:pt>
                <c:pt idx="230">
                  <c:v>10.218070686609011</c:v>
                </c:pt>
                <c:pt idx="231">
                  <c:v>10.371790563469419</c:v>
                </c:pt>
                <c:pt idx="232">
                  <c:v>10.491865124623814</c:v>
                </c:pt>
                <c:pt idx="233">
                  <c:v>10.528499329953153</c:v>
                </c:pt>
                <c:pt idx="234">
                  <c:v>10.407659775434208</c:v>
                </c:pt>
                <c:pt idx="235">
                  <c:v>10.332619406615498</c:v>
                </c:pt>
                <c:pt idx="236">
                  <c:v>10.285365295788541</c:v>
                </c:pt>
                <c:pt idx="237">
                  <c:v>10.238210455943314</c:v>
                </c:pt>
                <c:pt idx="238">
                  <c:v>10.162840597331709</c:v>
                </c:pt>
                <c:pt idx="239">
                  <c:v>10.094301637179047</c:v>
                </c:pt>
                <c:pt idx="240">
                  <c:v>10.034739906010808</c:v>
                </c:pt>
                <c:pt idx="241">
                  <c:v>9.8905890583233695</c:v>
                </c:pt>
                <c:pt idx="242">
                  <c:v>9.7765847837104083</c:v>
                </c:pt>
                <c:pt idx="243">
                  <c:v>9.6047588553917471</c:v>
                </c:pt>
                <c:pt idx="244">
                  <c:v>9.4707961813217469</c:v>
                </c:pt>
                <c:pt idx="245">
                  <c:v>9.3807730223177774</c:v>
                </c:pt>
                <c:pt idx="246">
                  <c:v>9.3232659591886691</c:v>
                </c:pt>
                <c:pt idx="247">
                  <c:v>9.3308444574491176</c:v>
                </c:pt>
                <c:pt idx="248">
                  <c:v>9.3251526699456129</c:v>
                </c:pt>
                <c:pt idx="249">
                  <c:v>9.3304297180866822</c:v>
                </c:pt>
                <c:pt idx="250">
                  <c:v>9.3415867605366554</c:v>
                </c:pt>
                <c:pt idx="251">
                  <c:v>9.3552888894375883</c:v>
                </c:pt>
                <c:pt idx="252">
                  <c:v>9.3219097767753603</c:v>
                </c:pt>
                <c:pt idx="253">
                  <c:v>9.3335671300585883</c:v>
                </c:pt>
                <c:pt idx="254">
                  <c:v>9.32550514784052</c:v>
                </c:pt>
                <c:pt idx="255">
                  <c:v>9.3112207268782079</c:v>
                </c:pt>
                <c:pt idx="256">
                  <c:v>9.3213082696895206</c:v>
                </c:pt>
                <c:pt idx="257">
                  <c:v>9.3300794330227941</c:v>
                </c:pt>
                <c:pt idx="258">
                  <c:v>9.3399233628941118</c:v>
                </c:pt>
                <c:pt idx="259">
                  <c:v>9.3728561741623722</c:v>
                </c:pt>
                <c:pt idx="260">
                  <c:v>9.4409081519195528</c:v>
                </c:pt>
                <c:pt idx="261">
                  <c:v>9.4396373238674691</c:v>
                </c:pt>
                <c:pt idx="262">
                  <c:v>9.4170429953286323</c:v>
                </c:pt>
                <c:pt idx="263">
                  <c:v>9.3744679729098088</c:v>
                </c:pt>
                <c:pt idx="264">
                  <c:v>9.3929279873394194</c:v>
                </c:pt>
                <c:pt idx="265">
                  <c:v>9.3923479168108859</c:v>
                </c:pt>
                <c:pt idx="266">
                  <c:v>9.3948306578381331</c:v>
                </c:pt>
                <c:pt idx="267">
                  <c:v>9.3685875138505139</c:v>
                </c:pt>
                <c:pt idx="268">
                  <c:v>9.3685496538827486</c:v>
                </c:pt>
                <c:pt idx="269">
                  <c:v>9.3646655992089816</c:v>
                </c:pt>
                <c:pt idx="270">
                  <c:v>9.3731289101666668</c:v>
                </c:pt>
                <c:pt idx="271">
                  <c:v>9.3819442793960537</c:v>
                </c:pt>
                <c:pt idx="272">
                  <c:v>9.4192715968352054</c:v>
                </c:pt>
                <c:pt idx="273">
                  <c:v>9.4321174981042333</c:v>
                </c:pt>
                <c:pt idx="274">
                  <c:v>9.4389945916405242</c:v>
                </c:pt>
                <c:pt idx="275">
                  <c:v>9.3078019729282353</c:v>
                </c:pt>
                <c:pt idx="276">
                  <c:v>9.1954288209688642</c:v>
                </c:pt>
                <c:pt idx="277">
                  <c:v>9.1089170398642061</c:v>
                </c:pt>
                <c:pt idx="278">
                  <c:v>9.0162804769189826</c:v>
                </c:pt>
                <c:pt idx="279">
                  <c:v>8.9306012067053402</c:v>
                </c:pt>
                <c:pt idx="280">
                  <c:v>8.8662856106080792</c:v>
                </c:pt>
                <c:pt idx="281">
                  <c:v>8.8259065420901184</c:v>
                </c:pt>
                <c:pt idx="282">
                  <c:v>8.7865239287738888</c:v>
                </c:pt>
                <c:pt idx="283">
                  <c:v>8.7800371797090744</c:v>
                </c:pt>
                <c:pt idx="284">
                  <c:v>8.7604137768722623</c:v>
                </c:pt>
                <c:pt idx="285">
                  <c:v>8.7384100528165511</c:v>
                </c:pt>
                <c:pt idx="286">
                  <c:v>8.727811003209256</c:v>
                </c:pt>
                <c:pt idx="287">
                  <c:v>8.7596705260212655</c:v>
                </c:pt>
                <c:pt idx="288">
                  <c:v>8.7683016256865933</c:v>
                </c:pt>
                <c:pt idx="289">
                  <c:v>8.7873807141926417</c:v>
                </c:pt>
                <c:pt idx="290">
                  <c:v>8.8233399205697012</c:v>
                </c:pt>
                <c:pt idx="291">
                  <c:v>8.8535621320571511</c:v>
                </c:pt>
                <c:pt idx="292">
                  <c:v>8.842198209472496</c:v>
                </c:pt>
                <c:pt idx="293">
                  <c:v>8.9053457849283326</c:v>
                </c:pt>
                <c:pt idx="294">
                  <c:v>8.948407318746181</c:v>
                </c:pt>
                <c:pt idx="295">
                  <c:v>8.9122385798016808</c:v>
                </c:pt>
                <c:pt idx="296">
                  <c:v>8.8930468566266683</c:v>
                </c:pt>
                <c:pt idx="297">
                  <c:v>8.9259566023468544</c:v>
                </c:pt>
                <c:pt idx="298">
                  <c:v>8.9764049322041561</c:v>
                </c:pt>
                <c:pt idx="299">
                  <c:v>9.0296538636965611</c:v>
                </c:pt>
                <c:pt idx="300">
                  <c:v>9.0598086766606727</c:v>
                </c:pt>
                <c:pt idx="301">
                  <c:v>9.0572371421273417</c:v>
                </c:pt>
                <c:pt idx="302">
                  <c:v>9.0669771388597358</c:v>
                </c:pt>
                <c:pt idx="303">
                  <c:v>9.0486808041335447</c:v>
                </c:pt>
                <c:pt idx="304">
                  <c:v>9.0594979090653389</c:v>
                </c:pt>
                <c:pt idx="305">
                  <c:v>9.0973640900050512</c:v>
                </c:pt>
                <c:pt idx="306">
                  <c:v>9.105978390069394</c:v>
                </c:pt>
                <c:pt idx="307">
                  <c:v>9.1131949740039584</c:v>
                </c:pt>
                <c:pt idx="308">
                  <c:v>9.1251531989759833</c:v>
                </c:pt>
                <c:pt idx="309">
                  <c:v>9.1982763766532631</c:v>
                </c:pt>
                <c:pt idx="310">
                  <c:v>9.2179890636650903</c:v>
                </c:pt>
                <c:pt idx="311">
                  <c:v>9.2814119759225857</c:v>
                </c:pt>
                <c:pt idx="312">
                  <c:v>9.4393924272370437</c:v>
                </c:pt>
                <c:pt idx="313">
                  <c:v>9.468802872475047</c:v>
                </c:pt>
                <c:pt idx="314">
                  <c:v>9.4541350505537363</c:v>
                </c:pt>
                <c:pt idx="315">
                  <c:v>9.4131583281327735</c:v>
                </c:pt>
                <c:pt idx="316">
                  <c:v>9.29458754501802</c:v>
                </c:pt>
                <c:pt idx="317">
                  <c:v>9.040912053903174</c:v>
                </c:pt>
                <c:pt idx="318">
                  <c:v>9.0297055305533238</c:v>
                </c:pt>
                <c:pt idx="319">
                  <c:v>8.962202433658172</c:v>
                </c:pt>
                <c:pt idx="320">
                  <c:v>8.9162953323170164</c:v>
                </c:pt>
                <c:pt idx="321">
                  <c:v>8.9077242155544649</c:v>
                </c:pt>
                <c:pt idx="322">
                  <c:v>8.8755076320653092</c:v>
                </c:pt>
                <c:pt idx="323">
                  <c:v>8.8477225056747564</c:v>
                </c:pt>
                <c:pt idx="324">
                  <c:v>8.8400425880381963</c:v>
                </c:pt>
                <c:pt idx="325">
                  <c:v>8.821294963528759</c:v>
                </c:pt>
                <c:pt idx="326">
                  <c:v>8.8379071553718092</c:v>
                </c:pt>
                <c:pt idx="327">
                  <c:v>8.8705396711384044</c:v>
                </c:pt>
                <c:pt idx="328">
                  <c:v>8.8993307828211812</c:v>
                </c:pt>
                <c:pt idx="329">
                  <c:v>8.8907970755774706</c:v>
                </c:pt>
                <c:pt idx="330">
                  <c:v>8.8830865211648593</c:v>
                </c:pt>
                <c:pt idx="331">
                  <c:v>8.8731099259998896</c:v>
                </c:pt>
                <c:pt idx="332">
                  <c:v>8.869772369620252</c:v>
                </c:pt>
                <c:pt idx="333">
                  <c:v>8.8668045227914227</c:v>
                </c:pt>
                <c:pt idx="334">
                  <c:v>8.8517892017688986</c:v>
                </c:pt>
                <c:pt idx="335">
                  <c:v>8.8520852574797999</c:v>
                </c:pt>
                <c:pt idx="336">
                  <c:v>8.8782956448632238</c:v>
                </c:pt>
                <c:pt idx="337">
                  <c:v>9.0853397683862411</c:v>
                </c:pt>
                <c:pt idx="338">
                  <c:v>9.1164899534838959</c:v>
                </c:pt>
                <c:pt idx="339">
                  <c:v>9.2256251725833938</c:v>
                </c:pt>
                <c:pt idx="340">
                  <c:v>9.2969758588646396</c:v>
                </c:pt>
                <c:pt idx="341">
                  <c:v>9.3066425189574176</c:v>
                </c:pt>
                <c:pt idx="342">
                  <c:v>9.3747440304478502</c:v>
                </c:pt>
                <c:pt idx="343">
                  <c:v>9.4669395958928142</c:v>
                </c:pt>
                <c:pt idx="344">
                  <c:v>9.5202980764119083</c:v>
                </c:pt>
                <c:pt idx="345">
                  <c:v>9.6444107595212625</c:v>
                </c:pt>
                <c:pt idx="346">
                  <c:v>9.74668078666868</c:v>
                </c:pt>
                <c:pt idx="347">
                  <c:v>9.8423080800854521</c:v>
                </c:pt>
                <c:pt idx="348">
                  <c:v>9.8827072560598079</c:v>
                </c:pt>
                <c:pt idx="349">
                  <c:v>9.9266252775467976</c:v>
                </c:pt>
                <c:pt idx="350">
                  <c:v>9.9745409439048522</c:v>
                </c:pt>
                <c:pt idx="351">
                  <c:v>9.978054125740389</c:v>
                </c:pt>
                <c:pt idx="352">
                  <c:v>10.021119498086556</c:v>
                </c:pt>
                <c:pt idx="353">
                  <c:v>10.048233660646435</c:v>
                </c:pt>
                <c:pt idx="354">
                  <c:v>9.9866814638720971</c:v>
                </c:pt>
                <c:pt idx="355">
                  <c:v>9.9900995890541324</c:v>
                </c:pt>
                <c:pt idx="356">
                  <c:v>9.971367649284872</c:v>
                </c:pt>
                <c:pt idx="357">
                  <c:v>9.9433449884874783</c:v>
                </c:pt>
                <c:pt idx="358">
                  <c:v>9.9410262063999504</c:v>
                </c:pt>
                <c:pt idx="359">
                  <c:v>9.9352692567633447</c:v>
                </c:pt>
                <c:pt idx="360">
                  <c:v>9.9342839998072296</c:v>
                </c:pt>
                <c:pt idx="361">
                  <c:v>9.9317808947441275</c:v>
                </c:pt>
                <c:pt idx="362">
                  <c:v>9.9348164838965527</c:v>
                </c:pt>
                <c:pt idx="363">
                  <c:v>9.9454237487915496</c:v>
                </c:pt>
                <c:pt idx="364">
                  <c:v>9.9637496093630915</c:v>
                </c:pt>
                <c:pt idx="365">
                  <c:v>9.9820414301915719</c:v>
                </c:pt>
                <c:pt idx="366">
                  <c:v>10.001845095794719</c:v>
                </c:pt>
                <c:pt idx="367">
                  <c:v>9.996189719575856</c:v>
                </c:pt>
                <c:pt idx="368">
                  <c:v>9.9738801346969552</c:v>
                </c:pt>
                <c:pt idx="369">
                  <c:v>9.9632856459498846</c:v>
                </c:pt>
                <c:pt idx="370">
                  <c:v>9.972342361570302</c:v>
                </c:pt>
                <c:pt idx="371">
                  <c:v>9.9992681374575394</c:v>
                </c:pt>
                <c:pt idx="372">
                  <c:v>10.009770735354984</c:v>
                </c:pt>
                <c:pt idx="373">
                  <c:v>10.002278042854329</c:v>
                </c:pt>
                <c:pt idx="374">
                  <c:v>9.988085977732311</c:v>
                </c:pt>
                <c:pt idx="375">
                  <c:v>9.8703613300266397</c:v>
                </c:pt>
                <c:pt idx="376">
                  <c:v>9.80674300841196</c:v>
                </c:pt>
                <c:pt idx="377">
                  <c:v>9.8469829722912721</c:v>
                </c:pt>
                <c:pt idx="378">
                  <c:v>9.8704340788152276</c:v>
                </c:pt>
                <c:pt idx="379">
                  <c:v>9.8846118039436437</c:v>
                </c:pt>
                <c:pt idx="380">
                  <c:v>9.8748793963929806</c:v>
                </c:pt>
                <c:pt idx="381">
                  <c:v>9.8896735167620644</c:v>
                </c:pt>
                <c:pt idx="382">
                  <c:v>9.9275814290200302</c:v>
                </c:pt>
                <c:pt idx="383">
                  <c:v>10.014221186072543</c:v>
                </c:pt>
                <c:pt idx="384">
                  <c:v>10.074758995679936</c:v>
                </c:pt>
                <c:pt idx="385">
                  <c:v>10.172466326910419</c:v>
                </c:pt>
                <c:pt idx="386">
                  <c:v>10.27796589800416</c:v>
                </c:pt>
                <c:pt idx="387">
                  <c:v>10.367811167232556</c:v>
                </c:pt>
                <c:pt idx="388">
                  <c:v>10.425196985093772</c:v>
                </c:pt>
                <c:pt idx="389">
                  <c:v>10.503456311414116</c:v>
                </c:pt>
                <c:pt idx="390">
                  <c:v>10.647080336656011</c:v>
                </c:pt>
                <c:pt idx="391">
                  <c:v>10.782827902747425</c:v>
                </c:pt>
                <c:pt idx="392">
                  <c:v>10.874085191894189</c:v>
                </c:pt>
                <c:pt idx="393">
                  <c:v>10.928670605500686</c:v>
                </c:pt>
                <c:pt idx="394">
                  <c:v>10.842269077379486</c:v>
                </c:pt>
                <c:pt idx="395">
                  <c:v>10.801810637374153</c:v>
                </c:pt>
                <c:pt idx="396">
                  <c:v>10.724284853959228</c:v>
                </c:pt>
                <c:pt idx="397">
                  <c:v>10.673936373798805</c:v>
                </c:pt>
                <c:pt idx="398">
                  <c:v>10.651069808101058</c:v>
                </c:pt>
                <c:pt idx="399">
                  <c:v>10.665503959119725</c:v>
                </c:pt>
                <c:pt idx="400">
                  <c:v>10.70933264578953</c:v>
                </c:pt>
                <c:pt idx="401">
                  <c:v>10.745186496364164</c:v>
                </c:pt>
                <c:pt idx="402">
                  <c:v>10.817886188351023</c:v>
                </c:pt>
                <c:pt idx="403">
                  <c:v>10.845579916921098</c:v>
                </c:pt>
                <c:pt idx="404">
                  <c:v>10.835638694426688</c:v>
                </c:pt>
                <c:pt idx="405">
                  <c:v>10.832514558341849</c:v>
                </c:pt>
                <c:pt idx="406">
                  <c:v>10.831694762413985</c:v>
                </c:pt>
                <c:pt idx="407">
                  <c:v>10.825506329164631</c:v>
                </c:pt>
                <c:pt idx="408">
                  <c:v>10.81405214057661</c:v>
                </c:pt>
                <c:pt idx="409">
                  <c:v>10.809225098735117</c:v>
                </c:pt>
                <c:pt idx="410">
                  <c:v>10.811115131690149</c:v>
                </c:pt>
                <c:pt idx="411">
                  <c:v>10.781410228313829</c:v>
                </c:pt>
                <c:pt idx="412">
                  <c:v>10.747516314092877</c:v>
                </c:pt>
                <c:pt idx="413">
                  <c:v>10.742498875394695</c:v>
                </c:pt>
                <c:pt idx="414">
                  <c:v>10.780993965206527</c:v>
                </c:pt>
                <c:pt idx="415">
                  <c:v>10.814233419300017</c:v>
                </c:pt>
                <c:pt idx="416">
                  <c:v>10.910705035203634</c:v>
                </c:pt>
                <c:pt idx="417">
                  <c:v>10.993333152095147</c:v>
                </c:pt>
                <c:pt idx="418">
                  <c:v>11.06317293418028</c:v>
                </c:pt>
                <c:pt idx="419">
                  <c:v>11.106856893850205</c:v>
                </c:pt>
                <c:pt idx="420">
                  <c:v>11.141059779454029</c:v>
                </c:pt>
                <c:pt idx="421">
                  <c:v>11.173570118226351</c:v>
                </c:pt>
                <c:pt idx="422">
                  <c:v>11.244763090213041</c:v>
                </c:pt>
                <c:pt idx="423">
                  <c:v>11.281692907073813</c:v>
                </c:pt>
                <c:pt idx="424">
                  <c:v>11.302659528192637</c:v>
                </c:pt>
                <c:pt idx="425">
                  <c:v>11.326912051136764</c:v>
                </c:pt>
                <c:pt idx="426">
                  <c:v>11.353652113916471</c:v>
                </c:pt>
                <c:pt idx="427">
                  <c:v>11.374506794916574</c:v>
                </c:pt>
                <c:pt idx="428">
                  <c:v>11.38119546359016</c:v>
                </c:pt>
                <c:pt idx="429">
                  <c:v>11.40478275353181</c:v>
                </c:pt>
                <c:pt idx="430">
                  <c:v>11.471299071832149</c:v>
                </c:pt>
                <c:pt idx="431">
                  <c:v>11.467826713539738</c:v>
                </c:pt>
                <c:pt idx="432">
                  <c:v>11.470773565048596</c:v>
                </c:pt>
                <c:pt idx="433">
                  <c:v>11.471585560299927</c:v>
                </c:pt>
                <c:pt idx="434">
                  <c:v>11.48820074559033</c:v>
                </c:pt>
                <c:pt idx="435">
                  <c:v>11.443779250240937</c:v>
                </c:pt>
                <c:pt idx="436">
                  <c:v>11.397141163827349</c:v>
                </c:pt>
                <c:pt idx="437">
                  <c:v>11.385853190077661</c:v>
                </c:pt>
                <c:pt idx="438">
                  <c:v>11.333379542535056</c:v>
                </c:pt>
                <c:pt idx="439">
                  <c:v>11.307634495514602</c:v>
                </c:pt>
                <c:pt idx="440">
                  <c:v>11.200703657810767</c:v>
                </c:pt>
                <c:pt idx="441">
                  <c:v>11.136688348553569</c:v>
                </c:pt>
                <c:pt idx="442">
                  <c:v>11.179337968811408</c:v>
                </c:pt>
                <c:pt idx="443">
                  <c:v>11.225743690009837</c:v>
                </c:pt>
                <c:pt idx="444">
                  <c:v>11.191754255584412</c:v>
                </c:pt>
                <c:pt idx="445">
                  <c:v>11.151427128488802</c:v>
                </c:pt>
                <c:pt idx="446">
                  <c:v>11.133930127898338</c:v>
                </c:pt>
                <c:pt idx="447">
                  <c:v>11.138653639363364</c:v>
                </c:pt>
                <c:pt idx="448">
                  <c:v>11.148278622963954</c:v>
                </c:pt>
                <c:pt idx="449">
                  <c:v>11.148278622963955</c:v>
                </c:pt>
                <c:pt idx="450">
                  <c:v>11.172898429751353</c:v>
                </c:pt>
                <c:pt idx="451">
                  <c:v>11.196265951045907</c:v>
                </c:pt>
                <c:pt idx="452">
                  <c:v>11.18518007673563</c:v>
                </c:pt>
                <c:pt idx="453">
                  <c:v>11.210906302420966</c:v>
                </c:pt>
                <c:pt idx="454">
                  <c:v>11.251423219520865</c:v>
                </c:pt>
                <c:pt idx="455">
                  <c:v>10.992878353380506</c:v>
                </c:pt>
                <c:pt idx="456">
                  <c:v>10.939639605536776</c:v>
                </c:pt>
                <c:pt idx="457">
                  <c:v>10.931007351620835</c:v>
                </c:pt>
                <c:pt idx="458">
                  <c:v>10.902934834080103</c:v>
                </c:pt>
                <c:pt idx="459">
                  <c:v>10.901757945089841</c:v>
                </c:pt>
                <c:pt idx="460">
                  <c:v>10.886456145528051</c:v>
                </c:pt>
                <c:pt idx="461">
                  <c:v>10.879534856821552</c:v>
                </c:pt>
                <c:pt idx="462">
                  <c:v>10.926165178262609</c:v>
                </c:pt>
                <c:pt idx="463">
                  <c:v>10.996865395571742</c:v>
                </c:pt>
                <c:pt idx="464">
                  <c:v>11.125142474877464</c:v>
                </c:pt>
                <c:pt idx="465">
                  <c:v>11.293405438269103</c:v>
                </c:pt>
                <c:pt idx="466">
                  <c:v>11.461191155981219</c:v>
                </c:pt>
                <c:pt idx="467">
                  <c:v>11.625892398106897</c:v>
                </c:pt>
                <c:pt idx="468">
                  <c:v>11.78590825626407</c:v>
                </c:pt>
                <c:pt idx="469">
                  <c:v>11.993425112418317</c:v>
                </c:pt>
                <c:pt idx="470">
                  <c:v>12.187472474290042</c:v>
                </c:pt>
                <c:pt idx="471">
                  <c:v>12.382729578697186</c:v>
                </c:pt>
                <c:pt idx="472">
                  <c:v>12.448488606052495</c:v>
                </c:pt>
                <c:pt idx="473">
                  <c:v>12.543677687395006</c:v>
                </c:pt>
                <c:pt idx="474">
                  <c:v>12.566591310998694</c:v>
                </c:pt>
                <c:pt idx="475">
                  <c:v>12.614645762194936</c:v>
                </c:pt>
                <c:pt idx="476">
                  <c:v>12.605666150671089</c:v>
                </c:pt>
                <c:pt idx="477">
                  <c:v>12.605997397346949</c:v>
                </c:pt>
                <c:pt idx="478">
                  <c:v>12.607103336999019</c:v>
                </c:pt>
                <c:pt idx="479">
                  <c:v>12.607355114994396</c:v>
                </c:pt>
                <c:pt idx="480">
                  <c:v>12.607834689054592</c:v>
                </c:pt>
                <c:pt idx="481">
                  <c:v>12.603412571886238</c:v>
                </c:pt>
                <c:pt idx="482">
                  <c:v>12.637263102801828</c:v>
                </c:pt>
                <c:pt idx="483">
                  <c:v>12.638186722149891</c:v>
                </c:pt>
                <c:pt idx="484">
                  <c:v>12.63335819981388</c:v>
                </c:pt>
                <c:pt idx="485">
                  <c:v>12.633041727897295</c:v>
                </c:pt>
                <c:pt idx="486">
                  <c:v>12.630752153318145</c:v>
                </c:pt>
                <c:pt idx="487">
                  <c:v>12.621863555872659</c:v>
                </c:pt>
                <c:pt idx="488">
                  <c:v>12.594394908179863</c:v>
                </c:pt>
                <c:pt idx="489">
                  <c:v>12.538666782792024</c:v>
                </c:pt>
                <c:pt idx="490">
                  <c:v>12.513483007266984</c:v>
                </c:pt>
                <c:pt idx="491">
                  <c:v>12.521445505401234</c:v>
                </c:pt>
                <c:pt idx="492">
                  <c:v>12.537467621469762</c:v>
                </c:pt>
                <c:pt idx="493">
                  <c:v>12.570669654347638</c:v>
                </c:pt>
                <c:pt idx="494">
                  <c:v>12.737147987686251</c:v>
                </c:pt>
                <c:pt idx="495">
                  <c:v>12.803440705874783</c:v>
                </c:pt>
                <c:pt idx="496">
                  <c:v>12.84572048237901</c:v>
                </c:pt>
                <c:pt idx="497">
                  <c:v>12.859565422671144</c:v>
                </c:pt>
                <c:pt idx="498">
                  <c:v>12.869588366770335</c:v>
                </c:pt>
                <c:pt idx="499">
                  <c:v>12.869588366770333</c:v>
                </c:pt>
                <c:pt idx="500">
                  <c:v>12.877394981925192</c:v>
                </c:pt>
                <c:pt idx="501">
                  <c:v>12.907818355303053</c:v>
                </c:pt>
                <c:pt idx="502">
                  <c:v>12.936389453458295</c:v>
                </c:pt>
                <c:pt idx="503">
                  <c:v>12.961932654750649</c:v>
                </c:pt>
                <c:pt idx="504">
                  <c:v>12.988877548386485</c:v>
                </c:pt>
                <c:pt idx="505">
                  <c:v>13.012850113921859</c:v>
                </c:pt>
                <c:pt idx="506">
                  <c:v>12.927079044503603</c:v>
                </c:pt>
                <c:pt idx="507">
                  <c:v>12.889396483288806</c:v>
                </c:pt>
                <c:pt idx="508">
                  <c:v>12.874198700508144</c:v>
                </c:pt>
                <c:pt idx="509">
                  <c:v>12.864980733677976</c:v>
                </c:pt>
                <c:pt idx="510">
                  <c:v>12.864990591064467</c:v>
                </c:pt>
                <c:pt idx="511">
                  <c:v>12.865617975394123</c:v>
                </c:pt>
                <c:pt idx="512">
                  <c:v>12.892070181991361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ax val="15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Data!$Z$1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5">
                  <c:v>-0.10439615735259999</c:v>
                </c:pt>
                <c:pt idx="36">
                  <c:v>-0.11416090896177472</c:v>
                </c:pt>
                <c:pt idx="37">
                  <c:v>-0.1134758754867615</c:v>
                </c:pt>
                <c:pt idx="38">
                  <c:v>-9.0319249980490207E-2</c:v>
                </c:pt>
                <c:pt idx="39">
                  <c:v>-6.4130818954147351E-2</c:v>
                </c:pt>
                <c:pt idx="40">
                  <c:v>-4.5437445652323799E-2</c:v>
                </c:pt>
                <c:pt idx="41">
                  <c:v>-1.4723675802423619E-2</c:v>
                </c:pt>
                <c:pt idx="42">
                  <c:v>-6.3234876733757051E-3</c:v>
                </c:pt>
                <c:pt idx="43">
                  <c:v>-1.4849375470321169E-2</c:v>
                </c:pt>
                <c:pt idx="44">
                  <c:v>-1.904871303330094E-2</c:v>
                </c:pt>
                <c:pt idx="45">
                  <c:v>-3.6610022581872265E-2</c:v>
                </c:pt>
                <c:pt idx="46">
                  <c:v>-5.149104074318156E-2</c:v>
                </c:pt>
                <c:pt idx="47">
                  <c:v>-5.9397621092637021E-2</c:v>
                </c:pt>
                <c:pt idx="48">
                  <c:v>-4.6051963567699875E-2</c:v>
                </c:pt>
                <c:pt idx="49">
                  <c:v>-5.4524956171648292E-2</c:v>
                </c:pt>
                <c:pt idx="50">
                  <c:v>-5.914866102489566E-2</c:v>
                </c:pt>
                <c:pt idx="51">
                  <c:v>-5.218843880329016E-2</c:v>
                </c:pt>
                <c:pt idx="52">
                  <c:v>-3.8213553850536916E-2</c:v>
                </c:pt>
                <c:pt idx="53">
                  <c:v>9.6599600503700506E-3</c:v>
                </c:pt>
                <c:pt idx="54">
                  <c:v>3.9821729634403696E-2</c:v>
                </c:pt>
                <c:pt idx="55">
                  <c:v>5.5327608353005986E-2</c:v>
                </c:pt>
                <c:pt idx="56">
                  <c:v>6.0702130246823055E-2</c:v>
                </c:pt>
                <c:pt idx="57">
                  <c:v>3.104795866914066E-2</c:v>
                </c:pt>
                <c:pt idx="58">
                  <c:v>4.8754031611014964E-2</c:v>
                </c:pt>
                <c:pt idx="59">
                  <c:v>6.9980272150847678E-2</c:v>
                </c:pt>
                <c:pt idx="60">
                  <c:v>7.8955942399787815E-2</c:v>
                </c:pt>
                <c:pt idx="61">
                  <c:v>7.8339126749877641E-2</c:v>
                </c:pt>
                <c:pt idx="62">
                  <c:v>9.5437898589456255E-2</c:v>
                </c:pt>
                <c:pt idx="63">
                  <c:v>7.1644765947465716E-2</c:v>
                </c:pt>
                <c:pt idx="64">
                  <c:v>5.5341829436266615E-2</c:v>
                </c:pt>
                <c:pt idx="65">
                  <c:v>4.8233718329718261E-2</c:v>
                </c:pt>
                <c:pt idx="66">
                  <c:v>4.7145048416103341E-2</c:v>
                </c:pt>
                <c:pt idx="67">
                  <c:v>1.1469120810529698E-2</c:v>
                </c:pt>
                <c:pt idx="68">
                  <c:v>-1.5151122809106576E-2</c:v>
                </c:pt>
                <c:pt idx="69">
                  <c:v>-6.0415856862492678E-2</c:v>
                </c:pt>
                <c:pt idx="70">
                  <c:v>-0.11171621514195337</c:v>
                </c:pt>
                <c:pt idx="71">
                  <c:v>-0.14878198016010477</c:v>
                </c:pt>
                <c:pt idx="72">
                  <c:v>-0.16898937999891153</c:v>
                </c:pt>
                <c:pt idx="73">
                  <c:v>-0.17278877983632504</c:v>
                </c:pt>
                <c:pt idx="74">
                  <c:v>-0.16194572958489675</c:v>
                </c:pt>
                <c:pt idx="75">
                  <c:v>-0.10066842440871826</c:v>
                </c:pt>
                <c:pt idx="76">
                  <c:v>-5.3469499837298172E-2</c:v>
                </c:pt>
                <c:pt idx="77">
                  <c:v>-2.0593220124253058E-2</c:v>
                </c:pt>
                <c:pt idx="78">
                  <c:v>6.6582423823403989E-3</c:v>
                </c:pt>
                <c:pt idx="79">
                  <c:v>7.587045944641109E-3</c:v>
                </c:pt>
                <c:pt idx="80">
                  <c:v>5.1360643501170457E-3</c:v>
                </c:pt>
                <c:pt idx="81">
                  <c:v>-3.4486437257634957E-2</c:v>
                </c:pt>
                <c:pt idx="82">
                  <c:v>-5.4427489359749753E-2</c:v>
                </c:pt>
                <c:pt idx="83">
                  <c:v>-4.5789463851018411E-2</c:v>
                </c:pt>
                <c:pt idx="84">
                  <c:v>-4.1565885703806288E-2</c:v>
                </c:pt>
                <c:pt idx="85">
                  <c:v>-3.2073588322635273E-2</c:v>
                </c:pt>
                <c:pt idx="86">
                  <c:v>-4.482847376107893E-2</c:v>
                </c:pt>
                <c:pt idx="87">
                  <c:v>-5.1285887829830137E-2</c:v>
                </c:pt>
                <c:pt idx="88">
                  <c:v>-5.3340769618068162E-2</c:v>
                </c:pt>
                <c:pt idx="89">
                  <c:v>-5.9943800858410723E-2</c:v>
                </c:pt>
                <c:pt idx="90">
                  <c:v>-3.8767293819419596E-2</c:v>
                </c:pt>
                <c:pt idx="91">
                  <c:v>-1.5642796675037929E-2</c:v>
                </c:pt>
                <c:pt idx="92">
                  <c:v>-7.5476405190637169E-3</c:v>
                </c:pt>
                <c:pt idx="93">
                  <c:v>3.273191482195556E-3</c:v>
                </c:pt>
                <c:pt idx="94">
                  <c:v>4.5574047482830615E-3</c:v>
                </c:pt>
                <c:pt idx="95">
                  <c:v>-2.0960787652114371E-3</c:v>
                </c:pt>
                <c:pt idx="96">
                  <c:v>-5.2089136514896633E-3</c:v>
                </c:pt>
                <c:pt idx="97">
                  <c:v>-1.3464352552537293E-2</c:v>
                </c:pt>
                <c:pt idx="98">
                  <c:v>-1.1920308050243009E-2</c:v>
                </c:pt>
                <c:pt idx="99">
                  <c:v>-6.170530851846906E-3</c:v>
                </c:pt>
                <c:pt idx="100">
                  <c:v>-3.1359324259221888E-2</c:v>
                </c:pt>
                <c:pt idx="101">
                  <c:v>-5.1937303635731902E-2</c:v>
                </c:pt>
                <c:pt idx="102">
                  <c:v>-4.7700229592794297E-2</c:v>
                </c:pt>
                <c:pt idx="103">
                  <c:v>-1.8603469585291688E-2</c:v>
                </c:pt>
                <c:pt idx="104">
                  <c:v>5.7529864442475709E-3</c:v>
                </c:pt>
                <c:pt idx="105">
                  <c:v>1.2025487900423015E-2</c:v>
                </c:pt>
                <c:pt idx="106">
                  <c:v>1.9172791569549041E-2</c:v>
                </c:pt>
                <c:pt idx="107">
                  <c:v>2.3935616224663864E-2</c:v>
                </c:pt>
                <c:pt idx="108">
                  <c:v>3.1922116521613364E-2</c:v>
                </c:pt>
                <c:pt idx="109">
                  <c:v>5.0857218934009921E-2</c:v>
                </c:pt>
                <c:pt idx="110">
                  <c:v>4.4147879197868695E-2</c:v>
                </c:pt>
                <c:pt idx="111">
                  <c:v>3.6689924860894368E-2</c:v>
                </c:pt>
                <c:pt idx="112">
                  <c:v>2.2158634933403115E-2</c:v>
                </c:pt>
                <c:pt idx="113">
                  <c:v>-1.74907950461127E-3</c:v>
                </c:pt>
                <c:pt idx="114">
                  <c:v>-7.0340936094411832E-3</c:v>
                </c:pt>
                <c:pt idx="115">
                  <c:v>-1.3544789743569735E-2</c:v>
                </c:pt>
                <c:pt idx="116">
                  <c:v>-6.0032277745123153E-3</c:v>
                </c:pt>
                <c:pt idx="117">
                  <c:v>-6.3665814046320046E-3</c:v>
                </c:pt>
                <c:pt idx="118">
                  <c:v>1.9121852828779748E-2</c:v>
                </c:pt>
                <c:pt idx="119">
                  <c:v>2.614666500469659E-2</c:v>
                </c:pt>
                <c:pt idx="120">
                  <c:v>3.1222272825372377E-2</c:v>
                </c:pt>
                <c:pt idx="121">
                  <c:v>4.1018581613813693E-2</c:v>
                </c:pt>
                <c:pt idx="122">
                  <c:v>6.5100609108553031E-2</c:v>
                </c:pt>
                <c:pt idx="123">
                  <c:v>9.1071606182197187E-2</c:v>
                </c:pt>
                <c:pt idx="124">
                  <c:v>0.10975248837338394</c:v>
                </c:pt>
                <c:pt idx="125">
                  <c:v>0.11572318396298524</c:v>
                </c:pt>
                <c:pt idx="126">
                  <c:v>0.11126800947176528</c:v>
                </c:pt>
                <c:pt idx="127">
                  <c:v>0.11093474206111772</c:v>
                </c:pt>
                <c:pt idx="128">
                  <c:v>9.9126727882472898E-2</c:v>
                </c:pt>
                <c:pt idx="129">
                  <c:v>0.10251119743494169</c:v>
                </c:pt>
                <c:pt idx="130">
                  <c:v>0.11688319753764537</c:v>
                </c:pt>
                <c:pt idx="131">
                  <c:v>0.15345310465211875</c:v>
                </c:pt>
                <c:pt idx="132">
                  <c:v>0.1790652076867118</c:v>
                </c:pt>
                <c:pt idx="133">
                  <c:v>0.19354400086500756</c:v>
                </c:pt>
                <c:pt idx="134">
                  <c:v>0.19544110411863808</c:v>
                </c:pt>
                <c:pt idx="135">
                  <c:v>0.18765652256717413</c:v>
                </c:pt>
                <c:pt idx="136">
                  <c:v>0.13358527556093103</c:v>
                </c:pt>
                <c:pt idx="137">
                  <c:v>9.7628263097178425E-2</c:v>
                </c:pt>
                <c:pt idx="138">
                  <c:v>4.7679678035716488E-2</c:v>
                </c:pt>
                <c:pt idx="139">
                  <c:v>-3.6655873171337339E-4</c:v>
                </c:pt>
                <c:pt idx="140">
                  <c:v>-0.1922984347350567</c:v>
                </c:pt>
                <c:pt idx="141">
                  <c:v>-0.30437759098242251</c:v>
                </c:pt>
                <c:pt idx="142">
                  <c:v>-0.37303498969687454</c:v>
                </c:pt>
                <c:pt idx="143">
                  <c:v>-0.40939532064681305</c:v>
                </c:pt>
                <c:pt idx="144">
                  <c:v>-0.41325382466174221</c:v>
                </c:pt>
                <c:pt idx="145">
                  <c:v>-0.40250172622850161</c:v>
                </c:pt>
                <c:pt idx="146">
                  <c:v>-0.41553192036389908</c:v>
                </c:pt>
                <c:pt idx="147">
                  <c:v>-0.42047847705404895</c:v>
                </c:pt>
                <c:pt idx="148">
                  <c:v>-0.39464748484762713</c:v>
                </c:pt>
                <c:pt idx="149">
                  <c:v>-0.35500917501007712</c:v>
                </c:pt>
                <c:pt idx="150">
                  <c:v>-0.2847430807912037</c:v>
                </c:pt>
                <c:pt idx="151">
                  <c:v>-0.22280778174356319</c:v>
                </c:pt>
                <c:pt idx="152">
                  <c:v>-0.18202410154137239</c:v>
                </c:pt>
                <c:pt idx="153">
                  <c:v>-0.12355904407561091</c:v>
                </c:pt>
                <c:pt idx="154">
                  <c:v>-7.1868592946383147E-2</c:v>
                </c:pt>
                <c:pt idx="155">
                  <c:v>-1.1902879197378424E-2</c:v>
                </c:pt>
                <c:pt idx="156">
                  <c:v>3.5691298787316361E-2</c:v>
                </c:pt>
                <c:pt idx="157">
                  <c:v>8.3006206737547883E-2</c:v>
                </c:pt>
                <c:pt idx="158">
                  <c:v>0.11177103298049551</c:v>
                </c:pt>
                <c:pt idx="159">
                  <c:v>0.14034387174522167</c:v>
                </c:pt>
                <c:pt idx="160">
                  <c:v>0.16068624733081005</c:v>
                </c:pt>
                <c:pt idx="161">
                  <c:v>0.19203184055728562</c:v>
                </c:pt>
                <c:pt idx="162">
                  <c:v>0.19615670299510524</c:v>
                </c:pt>
                <c:pt idx="163">
                  <c:v>0.19449711071851916</c:v>
                </c:pt>
                <c:pt idx="164">
                  <c:v>0.18068059186684754</c:v>
                </c:pt>
                <c:pt idx="165">
                  <c:v>0.17023990101192354</c:v>
                </c:pt>
                <c:pt idx="166">
                  <c:v>0.16270621571314214</c:v>
                </c:pt>
                <c:pt idx="167">
                  <c:v>0.13879873001344312</c:v>
                </c:pt>
                <c:pt idx="168">
                  <c:v>0.1168738729879949</c:v>
                </c:pt>
                <c:pt idx="169">
                  <c:v>8.7648778296488761E-2</c:v>
                </c:pt>
                <c:pt idx="170">
                  <c:v>5.4554881420233792E-2</c:v>
                </c:pt>
                <c:pt idx="171">
                  <c:v>3.7609324477716394E-2</c:v>
                </c:pt>
                <c:pt idx="172">
                  <c:v>5.1992250097945836E-3</c:v>
                </c:pt>
                <c:pt idx="173">
                  <c:v>-5.6881761828765365E-3</c:v>
                </c:pt>
                <c:pt idx="174">
                  <c:v>6.1671926736006633E-6</c:v>
                </c:pt>
                <c:pt idx="175">
                  <c:v>9.5154477566699591E-3</c:v>
                </c:pt>
                <c:pt idx="176">
                  <c:v>2.3403711400085986E-2</c:v>
                </c:pt>
                <c:pt idx="177">
                  <c:v>3.863621794182881E-2</c:v>
                </c:pt>
                <c:pt idx="178">
                  <c:v>5.256110722690463E-2</c:v>
                </c:pt>
                <c:pt idx="179">
                  <c:v>5.6022570172684361E-2</c:v>
                </c:pt>
                <c:pt idx="180">
                  <c:v>5.388020756579813E-2</c:v>
                </c:pt>
                <c:pt idx="181">
                  <c:v>5.2605633233349186E-2</c:v>
                </c:pt>
                <c:pt idx="182">
                  <c:v>4.7424851155906195E-2</c:v>
                </c:pt>
                <c:pt idx="183">
                  <c:v>1.4215182484163397E-2</c:v>
                </c:pt>
                <c:pt idx="184">
                  <c:v>9.7290770797318349E-3</c:v>
                </c:pt>
                <c:pt idx="185">
                  <c:v>1.3420820668426911E-2</c:v>
                </c:pt>
                <c:pt idx="186">
                  <c:v>1.9052196415127454E-3</c:v>
                </c:pt>
                <c:pt idx="187">
                  <c:v>7.2140831950747164E-3</c:v>
                </c:pt>
                <c:pt idx="188">
                  <c:v>-6.1168029614381975E-3</c:v>
                </c:pt>
                <c:pt idx="189">
                  <c:v>-1.5344222418713083E-2</c:v>
                </c:pt>
                <c:pt idx="190">
                  <c:v>-1.2061492104534152E-2</c:v>
                </c:pt>
                <c:pt idx="191">
                  <c:v>-1.3647935848408135E-2</c:v>
                </c:pt>
                <c:pt idx="192">
                  <c:v>-1.3143181242441543E-2</c:v>
                </c:pt>
                <c:pt idx="193">
                  <c:v>-3.1555471572450589E-3</c:v>
                </c:pt>
                <c:pt idx="194">
                  <c:v>7.8559771159520814E-3</c:v>
                </c:pt>
                <c:pt idx="195">
                  <c:v>1.7663282053081444E-2</c:v>
                </c:pt>
                <c:pt idx="196">
                  <c:v>3.6206332601549748E-2</c:v>
                </c:pt>
                <c:pt idx="197">
                  <c:v>4.1588433971448013E-2</c:v>
                </c:pt>
                <c:pt idx="198">
                  <c:v>5.5300933541718632E-2</c:v>
                </c:pt>
                <c:pt idx="199">
                  <c:v>6.397040423778802E-2</c:v>
                </c:pt>
                <c:pt idx="200">
                  <c:v>6.8246937792770634E-2</c:v>
                </c:pt>
                <c:pt idx="201">
                  <c:v>5.3691186622152158E-2</c:v>
                </c:pt>
                <c:pt idx="202">
                  <c:v>5.6230849219654329E-2</c:v>
                </c:pt>
                <c:pt idx="203">
                  <c:v>5.1642524802389608E-2</c:v>
                </c:pt>
                <c:pt idx="204">
                  <c:v>5.7157659092209448E-2</c:v>
                </c:pt>
                <c:pt idx="205">
                  <c:v>4.6600874058244604E-2</c:v>
                </c:pt>
                <c:pt idx="206">
                  <c:v>5.5933382169995438E-2</c:v>
                </c:pt>
                <c:pt idx="207">
                  <c:v>-2.0184982166421561E-3</c:v>
                </c:pt>
                <c:pt idx="208">
                  <c:v>-3.5033843195754893E-2</c:v>
                </c:pt>
                <c:pt idx="209">
                  <c:v>-6.568899668817603E-2</c:v>
                </c:pt>
                <c:pt idx="210">
                  <c:v>-8.6196662577511657E-2</c:v>
                </c:pt>
                <c:pt idx="211">
                  <c:v>-8.5881463352593432E-2</c:v>
                </c:pt>
                <c:pt idx="212">
                  <c:v>-6.6056019597530144E-2</c:v>
                </c:pt>
                <c:pt idx="213">
                  <c:v>-1.290547485324519E-2</c:v>
                </c:pt>
                <c:pt idx="214">
                  <c:v>6.8685359144477452E-3</c:v>
                </c:pt>
                <c:pt idx="215">
                  <c:v>1.9750654654481489E-2</c:v>
                </c:pt>
                <c:pt idx="216">
                  <c:v>4.3285514834334682E-2</c:v>
                </c:pt>
                <c:pt idx="217">
                  <c:v>4.7678076659721881E-2</c:v>
                </c:pt>
                <c:pt idx="218">
                  <c:v>4.7895962596512014E-2</c:v>
                </c:pt>
                <c:pt idx="219">
                  <c:v>4.3494034952660368E-2</c:v>
                </c:pt>
                <c:pt idx="220">
                  <c:v>3.4439119425458485E-2</c:v>
                </c:pt>
                <c:pt idx="221">
                  <c:v>3.9201303088634426E-2</c:v>
                </c:pt>
                <c:pt idx="222">
                  <c:v>2.9667807549559888E-2</c:v>
                </c:pt>
                <c:pt idx="223">
                  <c:v>1.5612996098684356E-3</c:v>
                </c:pt>
                <c:pt idx="224">
                  <c:v>-1.2229744004274117E-2</c:v>
                </c:pt>
                <c:pt idx="225">
                  <c:v>3.1798424366376102E-3</c:v>
                </c:pt>
                <c:pt idx="226">
                  <c:v>2.603187431244898E-2</c:v>
                </c:pt>
                <c:pt idx="227">
                  <c:v>1.9623151515076528E-2</c:v>
                </c:pt>
                <c:pt idx="228">
                  <c:v>1.4010941396223123E-2</c:v>
                </c:pt>
                <c:pt idx="229">
                  <c:v>1.1042858634473213E-2</c:v>
                </c:pt>
                <c:pt idx="230">
                  <c:v>-1.4396216928846822E-3</c:v>
                </c:pt>
                <c:pt idx="231">
                  <c:v>-1.9859703527523809E-2</c:v>
                </c:pt>
                <c:pt idx="232">
                  <c:v>-3.5961651638580741E-2</c:v>
                </c:pt>
                <c:pt idx="233">
                  <c:v>-6.3507489818748986E-2</c:v>
                </c:pt>
                <c:pt idx="234">
                  <c:v>-7.3394998656563626E-2</c:v>
                </c:pt>
                <c:pt idx="235">
                  <c:v>-7.0271799184240175E-2</c:v>
                </c:pt>
                <c:pt idx="236">
                  <c:v>-6.7165960403405903E-2</c:v>
                </c:pt>
                <c:pt idx="237">
                  <c:v>-7.0985802583746302E-2</c:v>
                </c:pt>
                <c:pt idx="238">
                  <c:v>-7.0622214773410158E-2</c:v>
                </c:pt>
                <c:pt idx="239">
                  <c:v>-6.6237423675163332E-2</c:v>
                </c:pt>
                <c:pt idx="240">
                  <c:v>-8.4529742246225087E-2</c:v>
                </c:pt>
                <c:pt idx="241">
                  <c:v>-9.2022635380656817E-2</c:v>
                </c:pt>
                <c:pt idx="242">
                  <c:v>-0.108475070002166</c:v>
                </c:pt>
                <c:pt idx="243">
                  <c:v>-0.10870549400863028</c:v>
                </c:pt>
                <c:pt idx="244">
                  <c:v>-9.2854190003026998E-2</c:v>
                </c:pt>
                <c:pt idx="245">
                  <c:v>-7.5079354598690445E-2</c:v>
                </c:pt>
                <c:pt idx="246">
                  <c:v>-5.0579894066265674E-2</c:v>
                </c:pt>
                <c:pt idx="247">
                  <c:v>-2.7431626212940541E-2</c:v>
                </c:pt>
                <c:pt idx="248">
                  <c:v>-1.1935452994749629E-2</c:v>
                </c:pt>
                <c:pt idx="249">
                  <c:v>-8.9256673678669851E-3</c:v>
                </c:pt>
                <c:pt idx="250">
                  <c:v>-3.2028469595798414E-3</c:v>
                </c:pt>
                <c:pt idx="251">
                  <c:v>-1.3034983719489968E-2</c:v>
                </c:pt>
                <c:pt idx="252">
                  <c:v>-1.9176939085872868E-3</c:v>
                </c:pt>
                <c:pt idx="253">
                  <c:v>9.8179715951509094E-3</c:v>
                </c:pt>
                <c:pt idx="254">
                  <c:v>8.7379448763200973E-3</c:v>
                </c:pt>
                <c:pt idx="255">
                  <c:v>8.4560658690611412E-3</c:v>
                </c:pt>
                <c:pt idx="256">
                  <c:v>4.272916826423806E-3</c:v>
                </c:pt>
                <c:pt idx="257">
                  <c:v>7.2799449950159412E-3</c:v>
                </c:pt>
                <c:pt idx="258">
                  <c:v>1.5244824195435935E-2</c:v>
                </c:pt>
                <c:pt idx="259">
                  <c:v>3.2144568325650991E-2</c:v>
                </c:pt>
                <c:pt idx="260">
                  <c:v>4.6773883219110829E-2</c:v>
                </c:pt>
                <c:pt idx="261">
                  <c:v>6.6024471808578289E-2</c:v>
                </c:pt>
                <c:pt idx="262">
                  <c:v>9.2028022807242676E-2</c:v>
                </c:pt>
                <c:pt idx="263">
                  <c:v>7.9867140681698895E-2</c:v>
                </c:pt>
                <c:pt idx="264">
                  <c:v>7.7534666622362303E-2</c:v>
                </c:pt>
                <c:pt idx="265">
                  <c:v>7.0624926363478585E-2</c:v>
                </c:pt>
                <c:pt idx="266">
                  <c:v>7.9892851961497313E-2</c:v>
                </c:pt>
                <c:pt idx="267">
                  <c:v>6.3456396864203679E-2</c:v>
                </c:pt>
                <c:pt idx="268">
                  <c:v>5.863994718950459E-2</c:v>
                </c:pt>
                <c:pt idx="269">
                  <c:v>4.9917035717748783E-2</c:v>
                </c:pt>
                <c:pt idx="270">
                  <c:v>3.7200125235035339E-2</c:v>
                </c:pt>
                <c:pt idx="271">
                  <c:v>1.5656637174781621E-2</c:v>
                </c:pt>
                <c:pt idx="272">
                  <c:v>1.8571120064700176E-2</c:v>
                </c:pt>
                <c:pt idx="273">
                  <c:v>1.0231671979719519E-2</c:v>
                </c:pt>
                <c:pt idx="274">
                  <c:v>-4.2425623134597509E-2</c:v>
                </c:pt>
                <c:pt idx="275">
                  <c:v>-7.415679750202997E-2</c:v>
                </c:pt>
                <c:pt idx="276">
                  <c:v>-8.9682257878927543E-2</c:v>
                </c:pt>
                <c:pt idx="277">
                  <c:v>-9.5914637471907371E-2</c:v>
                </c:pt>
                <c:pt idx="278">
                  <c:v>-9.2637144509472025E-2</c:v>
                </c:pt>
                <c:pt idx="279">
                  <c:v>-7.7080062352478662E-2</c:v>
                </c:pt>
                <c:pt idx="280">
                  <c:v>-5.3840805377832174E-2</c:v>
                </c:pt>
                <c:pt idx="281">
                  <c:v>-3.7597021976257194E-2</c:v>
                </c:pt>
                <c:pt idx="282">
                  <c:v>-2.0760110891157563E-2</c:v>
                </c:pt>
                <c:pt idx="283">
                  <c:v>-4.386741073516609E-3</c:v>
                </c:pt>
                <c:pt idx="284">
                  <c:v>6.3694301584360513E-4</c:v>
                </c:pt>
                <c:pt idx="285">
                  <c:v>9.7692419146656329E-3</c:v>
                </c:pt>
                <c:pt idx="286">
                  <c:v>2.0975744701839771E-2</c:v>
                </c:pt>
                <c:pt idx="287">
                  <c:v>3.1570693666769539E-2</c:v>
                </c:pt>
                <c:pt idx="288">
                  <c:v>2.6476909136592647E-2</c:v>
                </c:pt>
                <c:pt idx="289">
                  <c:v>3.9836180843232871E-2</c:v>
                </c:pt>
                <c:pt idx="290">
                  <c:v>3.7166942088401683E-2</c:v>
                </c:pt>
                <c:pt idx="291">
                  <c:v>1.7486615407344655E-2</c:v>
                </c:pt>
                <c:pt idx="292">
                  <c:v>3.9190019138919854E-2</c:v>
                </c:pt>
                <c:pt idx="293">
                  <c:v>4.922882471325532E-2</c:v>
                </c:pt>
                <c:pt idx="294">
                  <c:v>7.2377861977244634E-2</c:v>
                </c:pt>
                <c:pt idx="295">
                  <c:v>8.7687601225520967E-2</c:v>
                </c:pt>
                <c:pt idx="296">
                  <c:v>7.602157168004825E-2</c:v>
                </c:pt>
                <c:pt idx="297">
                  <c:v>5.8734939717673879E-2</c:v>
                </c:pt>
                <c:pt idx="298">
                  <c:v>4.125045460605474E-2</c:v>
                </c:pt>
                <c:pt idx="299">
                  <c:v>4.1057099037272539E-2</c:v>
                </c:pt>
                <c:pt idx="300">
                  <c:v>5.0979870427636013E-2</c:v>
                </c:pt>
                <c:pt idx="301">
                  <c:v>5.6396046493459855E-2</c:v>
                </c:pt>
                <c:pt idx="302">
                  <c:v>7.070046914559551E-2</c:v>
                </c:pt>
                <c:pt idx="303">
                  <c:v>6.5414158170591319E-2</c:v>
                </c:pt>
                <c:pt idx="304">
                  <c:v>5.7549429524452078E-2</c:v>
                </c:pt>
                <c:pt idx="305">
                  <c:v>6.4942306507427883E-2</c:v>
                </c:pt>
                <c:pt idx="306">
                  <c:v>6.7961082227479735E-2</c:v>
                </c:pt>
                <c:pt idx="307">
                  <c:v>6.6010579836777578E-2</c:v>
                </c:pt>
                <c:pt idx="308">
                  <c:v>3.4731985126286335E-2</c:v>
                </c:pt>
                <c:pt idx="309">
                  <c:v>6.715107696899647E-4</c:v>
                </c:pt>
                <c:pt idx="310">
                  <c:v>-2.0779607452995619E-3</c:v>
                </c:pt>
                <c:pt idx="311">
                  <c:v>-1.0580499868195689E-2</c:v>
                </c:pt>
                <c:pt idx="312">
                  <c:v>-3.0738189169710051E-3</c:v>
                </c:pt>
                <c:pt idx="313">
                  <c:v>-3.824986006848885E-2</c:v>
                </c:pt>
                <c:pt idx="314">
                  <c:v>-5.6765957679721882E-2</c:v>
                </c:pt>
                <c:pt idx="315">
                  <c:v>-8.7990612154052322E-2</c:v>
                </c:pt>
                <c:pt idx="316">
                  <c:v>-0.13874505687861144</c:v>
                </c:pt>
                <c:pt idx="317">
                  <c:v>-0.11197151307500887</c:v>
                </c:pt>
                <c:pt idx="318">
                  <c:v>-0.11241990237491431</c:v>
                </c:pt>
                <c:pt idx="319">
                  <c:v>-9.4551023862150113E-2</c:v>
                </c:pt>
                <c:pt idx="320">
                  <c:v>-5.3797095852972293E-2</c:v>
                </c:pt>
                <c:pt idx="321">
                  <c:v>-4.1556340805261424E-2</c:v>
                </c:pt>
                <c:pt idx="322">
                  <c:v>-3.4332346075945111E-2</c:v>
                </c:pt>
                <c:pt idx="323">
                  <c:v>-1.2684257033823573E-2</c:v>
                </c:pt>
                <c:pt idx="324">
                  <c:v>-7.9902326182845623E-3</c:v>
                </c:pt>
                <c:pt idx="325">
                  <c:v>7.5474610821548022E-3</c:v>
                </c:pt>
                <c:pt idx="326">
                  <c:v>2.5859159653603872E-2</c:v>
                </c:pt>
                <c:pt idx="327">
                  <c:v>5.4463332556063296E-2</c:v>
                </c:pt>
                <c:pt idx="328">
                  <c:v>6.8749718864140524E-2</c:v>
                </c:pt>
                <c:pt idx="329">
                  <c:v>7.3156383423146856E-2</c:v>
                </c:pt>
                <c:pt idx="330">
                  <c:v>8.0545536530816503E-2</c:v>
                </c:pt>
                <c:pt idx="331">
                  <c:v>7.2002355263272089E-2</c:v>
                </c:pt>
                <c:pt idx="332">
                  <c:v>7.3540311000183725E-2</c:v>
                </c:pt>
                <c:pt idx="333">
                  <c:v>7.6681456214649626E-2</c:v>
                </c:pt>
                <c:pt idx="334">
                  <c:v>6.7086303560582483E-2</c:v>
                </c:pt>
                <c:pt idx="335">
                  <c:v>7.4109088897708231E-2</c:v>
                </c:pt>
                <c:pt idx="336">
                  <c:v>6.3569024766857357E-2</c:v>
                </c:pt>
                <c:pt idx="337">
                  <c:v>5.2639373961476915E-2</c:v>
                </c:pt>
                <c:pt idx="338">
                  <c:v>5.1491161923200135E-2</c:v>
                </c:pt>
                <c:pt idx="339">
                  <c:v>5.450206869041771E-2</c:v>
                </c:pt>
                <c:pt idx="340">
                  <c:v>5.5370536134956849E-2</c:v>
                </c:pt>
                <c:pt idx="341">
                  <c:v>5.4724436967309525E-2</c:v>
                </c:pt>
                <c:pt idx="342">
                  <c:v>5.6229061504591588E-2</c:v>
                </c:pt>
                <c:pt idx="343">
                  <c:v>5.5683802493140755E-2</c:v>
                </c:pt>
                <c:pt idx="344">
                  <c:v>4.7373618533241485E-2</c:v>
                </c:pt>
                <c:pt idx="345">
                  <c:v>3.5800542839375699E-2</c:v>
                </c:pt>
                <c:pt idx="346">
                  <c:v>9.3057234903031749E-3</c:v>
                </c:pt>
                <c:pt idx="347">
                  <c:v>-1.2410530351404547E-2</c:v>
                </c:pt>
                <c:pt idx="348">
                  <c:v>-3.2517690442145392E-2</c:v>
                </c:pt>
                <c:pt idx="349">
                  <c:v>-4.8573606876941844E-2</c:v>
                </c:pt>
                <c:pt idx="350">
                  <c:v>-6.6881485271259394E-2</c:v>
                </c:pt>
                <c:pt idx="351">
                  <c:v>-7.3363327997261724E-2</c:v>
                </c:pt>
                <c:pt idx="352">
                  <c:v>-6.4905898883989621E-2</c:v>
                </c:pt>
                <c:pt idx="353">
                  <c:v>-8.3118134078228462E-2</c:v>
                </c:pt>
                <c:pt idx="354">
                  <c:v>-7.7973464750574928E-2</c:v>
                </c:pt>
                <c:pt idx="355">
                  <c:v>-6.8491941146603313E-2</c:v>
                </c:pt>
                <c:pt idx="356">
                  <c:v>-6.8758447572847936E-2</c:v>
                </c:pt>
                <c:pt idx="357">
                  <c:v>-5.5818846108339634E-2</c:v>
                </c:pt>
                <c:pt idx="358">
                  <c:v>-4.0258418017320968E-2</c:v>
                </c:pt>
                <c:pt idx="359">
                  <c:v>-1.2292073358295207E-2</c:v>
                </c:pt>
                <c:pt idx="360">
                  <c:v>9.2485008218792519E-3</c:v>
                </c:pt>
                <c:pt idx="361">
                  <c:v>1.3485898731624799E-2</c:v>
                </c:pt>
                <c:pt idx="362">
                  <c:v>8.5396623963016963E-3</c:v>
                </c:pt>
                <c:pt idx="363">
                  <c:v>1.6584250803822115E-2</c:v>
                </c:pt>
                <c:pt idx="364">
                  <c:v>7.4228381175672348E-3</c:v>
                </c:pt>
                <c:pt idx="365">
                  <c:v>1.3420849250471295E-3</c:v>
                </c:pt>
                <c:pt idx="366">
                  <c:v>7.080583240860569E-3</c:v>
                </c:pt>
                <c:pt idx="367">
                  <c:v>1.9910199779551163E-2</c:v>
                </c:pt>
                <c:pt idx="368">
                  <c:v>2.4979283283760395E-2</c:v>
                </c:pt>
                <c:pt idx="369">
                  <c:v>1.0183489777453286E-2</c:v>
                </c:pt>
                <c:pt idx="370">
                  <c:v>9.2162514460237821E-3</c:v>
                </c:pt>
                <c:pt idx="371">
                  <c:v>1.8222535401241913E-2</c:v>
                </c:pt>
                <c:pt idx="372">
                  <c:v>2.5308253117046806E-2</c:v>
                </c:pt>
                <c:pt idx="373">
                  <c:v>5.9479018180045196E-2</c:v>
                </c:pt>
                <c:pt idx="374">
                  <c:v>0.10359390040737082</c:v>
                </c:pt>
                <c:pt idx="375">
                  <c:v>0.12714216389635941</c:v>
                </c:pt>
                <c:pt idx="376">
                  <c:v>0.11968285501569415</c:v>
                </c:pt>
                <c:pt idx="377">
                  <c:v>0.1126903241352219</c:v>
                </c:pt>
                <c:pt idx="378">
                  <c:v>0.10992913647108893</c:v>
                </c:pt>
                <c:pt idx="379">
                  <c:v>0.10524703157458298</c:v>
                </c:pt>
                <c:pt idx="380">
                  <c:v>8.5964787970710943E-2</c:v>
                </c:pt>
                <c:pt idx="381">
                  <c:v>7.3024398886252118E-2</c:v>
                </c:pt>
                <c:pt idx="382">
                  <c:v>3.8405638389588048E-2</c:v>
                </c:pt>
                <c:pt idx="383">
                  <c:v>-9.3498201932798453E-3</c:v>
                </c:pt>
                <c:pt idx="384">
                  <c:v>-4.7498137137646612E-2</c:v>
                </c:pt>
                <c:pt idx="385">
                  <c:v>-7.1135061768746177E-2</c:v>
                </c:pt>
                <c:pt idx="386">
                  <c:v>-7.5340836053561344E-2</c:v>
                </c:pt>
                <c:pt idx="387">
                  <c:v>-8.4206120333060241E-2</c:v>
                </c:pt>
                <c:pt idx="388">
                  <c:v>-7.5551763791535609E-2</c:v>
                </c:pt>
                <c:pt idx="389">
                  <c:v>-7.5981389497037755E-2</c:v>
                </c:pt>
                <c:pt idx="390">
                  <c:v>-6.0849151583639099E-2</c:v>
                </c:pt>
                <c:pt idx="391">
                  <c:v>-6.2144673955660312E-2</c:v>
                </c:pt>
                <c:pt idx="392">
                  <c:v>-7.4165421148145477E-2</c:v>
                </c:pt>
                <c:pt idx="393">
                  <c:v>-9.2747522686047273E-2</c:v>
                </c:pt>
                <c:pt idx="394">
                  <c:v>-8.8091417014678652E-2</c:v>
                </c:pt>
                <c:pt idx="395">
                  <c:v>-9.7631304576077188E-2</c:v>
                </c:pt>
                <c:pt idx="396">
                  <c:v>-9.1095635261175673E-2</c:v>
                </c:pt>
                <c:pt idx="397">
                  <c:v>-7.5895456813507678E-2</c:v>
                </c:pt>
                <c:pt idx="398">
                  <c:v>-5.333566272133132E-2</c:v>
                </c:pt>
                <c:pt idx="399">
                  <c:v>-3.2329476148604319E-2</c:v>
                </c:pt>
                <c:pt idx="400">
                  <c:v>-1.5239084180719287E-2</c:v>
                </c:pt>
                <c:pt idx="401">
                  <c:v>-1.5504096081575904E-2</c:v>
                </c:pt>
                <c:pt idx="402">
                  <c:v>-8.0907870573123861E-3</c:v>
                </c:pt>
                <c:pt idx="403">
                  <c:v>8.8703805057708078E-3</c:v>
                </c:pt>
                <c:pt idx="404">
                  <c:v>1.8781254880748562E-2</c:v>
                </c:pt>
                <c:pt idx="405">
                  <c:v>2.3710791381690216E-2</c:v>
                </c:pt>
                <c:pt idx="406">
                  <c:v>2.648201894527908E-2</c:v>
                </c:pt>
                <c:pt idx="407">
                  <c:v>3.4076596456036383E-2</c:v>
                </c:pt>
                <c:pt idx="408">
                  <c:v>3.0816859109281614E-2</c:v>
                </c:pt>
                <c:pt idx="409">
                  <c:v>1.6387253988284861E-2</c:v>
                </c:pt>
                <c:pt idx="410">
                  <c:v>3.2051734396354697E-2</c:v>
                </c:pt>
                <c:pt idx="411">
                  <c:v>4.4624565201488248E-2</c:v>
                </c:pt>
                <c:pt idx="412">
                  <c:v>5.0669753124508221E-2</c:v>
                </c:pt>
                <c:pt idx="413">
                  <c:v>5.5382038784428683E-2</c:v>
                </c:pt>
                <c:pt idx="414">
                  <c:v>4.1654865227675114E-2</c:v>
                </c:pt>
                <c:pt idx="415">
                  <c:v>3.3587449715349355E-2</c:v>
                </c:pt>
                <c:pt idx="416">
                  <c:v>2.2393872537578241E-2</c:v>
                </c:pt>
                <c:pt idx="417">
                  <c:v>6.585740247678662E-3</c:v>
                </c:pt>
                <c:pt idx="418">
                  <c:v>-1.0902013947336475E-3</c:v>
                </c:pt>
                <c:pt idx="419">
                  <c:v>-3.2641731517247252E-3</c:v>
                </c:pt>
                <c:pt idx="420">
                  <c:v>-8.8881568926375554E-3</c:v>
                </c:pt>
                <c:pt idx="421">
                  <c:v>-2.5932114451546279E-2</c:v>
                </c:pt>
                <c:pt idx="422">
                  <c:v>-4.0885017108216626E-2</c:v>
                </c:pt>
                <c:pt idx="423">
                  <c:v>-2.7485003807443453E-2</c:v>
                </c:pt>
                <c:pt idx="424">
                  <c:v>-2.375715783160201E-2</c:v>
                </c:pt>
                <c:pt idx="425">
                  <c:v>-2.1127498326343808E-2</c:v>
                </c:pt>
                <c:pt idx="426">
                  <c:v>-2.3743094546911578E-2</c:v>
                </c:pt>
                <c:pt idx="427">
                  <c:v>-2.1796966589659933E-2</c:v>
                </c:pt>
                <c:pt idx="428">
                  <c:v>-1.5129447925917749E-2</c:v>
                </c:pt>
                <c:pt idx="429">
                  <c:v>-1.8581225073123972E-2</c:v>
                </c:pt>
                <c:pt idx="430">
                  <c:v>-1.794145634808765E-2</c:v>
                </c:pt>
                <c:pt idx="431">
                  <c:v>-1.281530154774721E-2</c:v>
                </c:pt>
                <c:pt idx="432">
                  <c:v>-1.5965682560856981E-2</c:v>
                </c:pt>
                <c:pt idx="433">
                  <c:v>-1.835850893655773E-2</c:v>
                </c:pt>
                <c:pt idx="434">
                  <c:v>5.4178294532463839E-3</c:v>
                </c:pt>
                <c:pt idx="435">
                  <c:v>2.4554274277454144E-2</c:v>
                </c:pt>
                <c:pt idx="436">
                  <c:v>2.6321686085654397E-2</c:v>
                </c:pt>
                <c:pt idx="437">
                  <c:v>4.512965347886895E-2</c:v>
                </c:pt>
                <c:pt idx="438">
                  <c:v>5.0555147669473707E-2</c:v>
                </c:pt>
                <c:pt idx="439">
                  <c:v>7.9101960048636163E-2</c:v>
                </c:pt>
                <c:pt idx="440">
                  <c:v>9.366058748667741E-2</c:v>
                </c:pt>
                <c:pt idx="441">
                  <c:v>4.6782725175728151E-2</c:v>
                </c:pt>
                <c:pt idx="442">
                  <c:v>2.039047313789677E-3</c:v>
                </c:pt>
                <c:pt idx="443">
                  <c:v>-4.2855134782928767E-2</c:v>
                </c:pt>
                <c:pt idx="444">
                  <c:v>-7.5819897715107915E-2</c:v>
                </c:pt>
                <c:pt idx="445">
                  <c:v>-8.5366769558047853E-2</c:v>
                </c:pt>
                <c:pt idx="446">
                  <c:v>-8.0817083289338024E-2</c:v>
                </c:pt>
                <c:pt idx="447">
                  <c:v>-6.7486251083733087E-2</c:v>
                </c:pt>
                <c:pt idx="448">
                  <c:v>-5.749287245533382E-2</c:v>
                </c:pt>
                <c:pt idx="449">
                  <c:v>-3.7220643843412816E-2</c:v>
                </c:pt>
                <c:pt idx="450">
                  <c:v>-1.850364456200209E-2</c:v>
                </c:pt>
                <c:pt idx="451">
                  <c:v>3.0208396531826637E-2</c:v>
                </c:pt>
                <c:pt idx="452">
                  <c:v>5.0425967327595807E-2</c:v>
                </c:pt>
                <c:pt idx="453">
                  <c:v>5.416169327413721E-2</c:v>
                </c:pt>
                <c:pt idx="454">
                  <c:v>0.14871772526379903</c:v>
                </c:pt>
                <c:pt idx="455">
                  <c:v>0.16216168363712474</c:v>
                </c:pt>
                <c:pt idx="456">
                  <c:v>0.15240976059571082</c:v>
                </c:pt>
                <c:pt idx="457">
                  <c:v>0.14359918702507557</c:v>
                </c:pt>
                <c:pt idx="458">
                  <c:v>0.11700608378962662</c:v>
                </c:pt>
                <c:pt idx="459">
                  <c:v>9.6349025301305513E-2</c:v>
                </c:pt>
                <c:pt idx="460">
                  <c:v>6.8150486756894335E-2</c:v>
                </c:pt>
                <c:pt idx="461">
                  <c:v>3.0166213475931736E-2</c:v>
                </c:pt>
                <c:pt idx="462">
                  <c:v>2.2432413173742005E-2</c:v>
                </c:pt>
                <c:pt idx="463">
                  <c:v>1.4229838086226687E-2</c:v>
                </c:pt>
                <c:pt idx="464">
                  <c:v>1.1236417011160627E-2</c:v>
                </c:pt>
                <c:pt idx="465">
                  <c:v>2.7048298304284124E-3</c:v>
                </c:pt>
                <c:pt idx="466">
                  <c:v>3.2684585956051504E-3</c:v>
                </c:pt>
                <c:pt idx="467">
                  <c:v>1.0133973320740175E-2</c:v>
                </c:pt>
                <c:pt idx="468">
                  <c:v>1.4473665439779237E-4</c:v>
                </c:pt>
                <c:pt idx="469">
                  <c:v>-1.4779996139546947E-2</c:v>
                </c:pt>
                <c:pt idx="470">
                  <c:v>-4.6022022573809995E-2</c:v>
                </c:pt>
                <c:pt idx="471">
                  <c:v>-5.7030811675939097E-2</c:v>
                </c:pt>
                <c:pt idx="472">
                  <c:v>-7.1243308521973692E-2</c:v>
                </c:pt>
                <c:pt idx="473">
                  <c:v>-0.11016894244742198</c:v>
                </c:pt>
                <c:pt idx="474">
                  <c:v>-0.10421857449048905</c:v>
                </c:pt>
                <c:pt idx="475">
                  <c:v>-8.872231336174019E-2</c:v>
                </c:pt>
                <c:pt idx="476">
                  <c:v>-6.2747581738059499E-2</c:v>
                </c:pt>
                <c:pt idx="477">
                  <c:v>-4.3549127856831515E-2</c:v>
                </c:pt>
                <c:pt idx="478">
                  <c:v>-2.5037834523948366E-2</c:v>
                </c:pt>
                <c:pt idx="479">
                  <c:v>-2.1272275807422497E-2</c:v>
                </c:pt>
                <c:pt idx="480">
                  <c:v>-3.2003383972196958E-2</c:v>
                </c:pt>
                <c:pt idx="481">
                  <c:v>-3.0125408423229277E-2</c:v>
                </c:pt>
                <c:pt idx="482">
                  <c:v>-2.5479501268388466E-2</c:v>
                </c:pt>
                <c:pt idx="483">
                  <c:v>-2.9495007610254559E-2</c:v>
                </c:pt>
                <c:pt idx="484">
                  <c:v>-2.4621709526181298E-2</c:v>
                </c:pt>
                <c:pt idx="485">
                  <c:v>-2.5225432363533917E-2</c:v>
                </c:pt>
                <c:pt idx="486">
                  <c:v>-4.2840149063435445E-3</c:v>
                </c:pt>
                <c:pt idx="487">
                  <c:v>2.2053516498176426E-2</c:v>
                </c:pt>
                <c:pt idx="488">
                  <c:v>4.4598716499195556E-2</c:v>
                </c:pt>
                <c:pt idx="489">
                  <c:v>4.8167211195401821E-2</c:v>
                </c:pt>
                <c:pt idx="490">
                  <c:v>4.7840921736550912E-2</c:v>
                </c:pt>
                <c:pt idx="491">
                  <c:v>2.0730810267846733E-2</c:v>
                </c:pt>
                <c:pt idx="492">
                  <c:v>1.8195607952739279E-3</c:v>
                </c:pt>
                <c:pt idx="493">
                  <c:v>-2.0311160824040553E-3</c:v>
                </c:pt>
                <c:pt idx="494">
                  <c:v>-6.4464558709312891E-3</c:v>
                </c:pt>
                <c:pt idx="495">
                  <c:v>-2.1180389458834714E-2</c:v>
                </c:pt>
                <c:pt idx="496">
                  <c:v>-2.6244926882290909E-2</c:v>
                </c:pt>
                <c:pt idx="497">
                  <c:v>-3.2581684857665633E-2</c:v>
                </c:pt>
                <c:pt idx="498">
                  <c:v>-3.803304917717118E-2</c:v>
                </c:pt>
                <c:pt idx="499">
                  <c:v>-4.3833364644504505E-2</c:v>
                </c:pt>
                <c:pt idx="500">
                  <c:v>-5.327748853408025E-2</c:v>
                </c:pt>
                <c:pt idx="501">
                  <c:v>-4.3329145137326414E-2</c:v>
                </c:pt>
                <c:pt idx="502">
                  <c:v>-2.7392321396976879E-2</c:v>
                </c:pt>
                <c:pt idx="503">
                  <c:v>4.2884965766663979E-3</c:v>
                </c:pt>
                <c:pt idx="504">
                  <c:v>1.9277921055575298E-2</c:v>
                </c:pt>
                <c:pt idx="505">
                  <c:v>6.8924512725088274E-2</c:v>
                </c:pt>
                <c:pt idx="506">
                  <c:v>8.2650705206663233E-2</c:v>
                </c:pt>
                <c:pt idx="507">
                  <c:v>7.4869289918515353E-2</c:v>
                </c:pt>
                <c:pt idx="508">
                  <c:v>6.1502714801387859E-2</c:v>
                </c:pt>
                <c:pt idx="509">
                  <c:v>3.9452400789499409E-2</c:v>
                </c:pt>
                <c:pt idx="510">
                  <c:v>2.0045224385416727E-2</c:v>
                </c:pt>
                <c:pt idx="511">
                  <c:v>-8.2207949245257372E-3</c:v>
                </c:pt>
                <c:pt idx="512">
                  <c:v>-0.14309630106496191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Data!$X$1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Data!$X$2:$X$514</c:f>
              <c:numCache>
                <c:formatCode>General</c:formatCode>
                <c:ptCount val="513"/>
                <c:pt idx="25">
                  <c:v>0.29104925200974741</c:v>
                </c:pt>
                <c:pt idx="26">
                  <c:v>0.31940989581464407</c:v>
                </c:pt>
                <c:pt idx="27">
                  <c:v>0.36154646978355665</c:v>
                </c:pt>
                <c:pt idx="28">
                  <c:v>0.36688257224029996</c:v>
                </c:pt>
                <c:pt idx="29">
                  <c:v>0.35746119869797077</c:v>
                </c:pt>
                <c:pt idx="30">
                  <c:v>0.34286312884346337</c:v>
                </c:pt>
                <c:pt idx="31">
                  <c:v>0.31024796723274228</c:v>
                </c:pt>
                <c:pt idx="32">
                  <c:v>0.27723440224163554</c:v>
                </c:pt>
                <c:pt idx="33">
                  <c:v>0.23957039089826893</c:v>
                </c:pt>
                <c:pt idx="34">
                  <c:v>0.20576787043382794</c:v>
                </c:pt>
                <c:pt idx="35">
                  <c:v>0.17850301399662882</c:v>
                </c:pt>
                <c:pt idx="36">
                  <c:v>0.14019803514701046</c:v>
                </c:pt>
                <c:pt idx="37">
                  <c:v>0.11251409975033333</c:v>
                </c:pt>
                <c:pt idx="38">
                  <c:v>0.11309091276148209</c:v>
                </c:pt>
                <c:pt idx="39">
                  <c:v>0.12324663904928812</c:v>
                </c:pt>
                <c:pt idx="40">
                  <c:v>0.13058065093803073</c:v>
                </c:pt>
                <c:pt idx="41">
                  <c:v>0.15761350183732503</c:v>
                </c:pt>
                <c:pt idx="42">
                  <c:v>0.16443281804802901</c:v>
                </c:pt>
                <c:pt idx="43">
                  <c:v>0.15219458638350325</c:v>
                </c:pt>
                <c:pt idx="44">
                  <c:v>0.14323307056219825</c:v>
                </c:pt>
                <c:pt idx="45">
                  <c:v>0.11651925536815888</c:v>
                </c:pt>
                <c:pt idx="46">
                  <c:v>8.8765477021054195E-2</c:v>
                </c:pt>
                <c:pt idx="47">
                  <c:v>6.6009491398439479E-2</c:v>
                </c:pt>
                <c:pt idx="48">
                  <c:v>6.784215803145166E-2</c:v>
                </c:pt>
                <c:pt idx="49">
                  <c:v>4.5737926384591177E-2</c:v>
                </c:pt>
                <c:pt idx="50">
                  <c:v>2.6327056275119887E-2</c:v>
                </c:pt>
                <c:pt idx="51">
                  <c:v>2.0240168795902846E-2</c:v>
                </c:pt>
                <c:pt idx="52">
                  <c:v>2.4661665286021872E-2</c:v>
                </c:pt>
                <c:pt idx="53">
                  <c:v>7.4950169199521355E-2</c:v>
                </c:pt>
                <c:pt idx="54">
                  <c:v>0.11506737119215593</c:v>
                </c:pt>
                <c:pt idx="55">
                  <c:v>0.14440515199900972</c:v>
                </c:pt>
                <c:pt idx="56">
                  <c:v>0.16495520645453254</c:v>
                </c:pt>
                <c:pt idx="57">
                  <c:v>0.14306302454413533</c:v>
                </c:pt>
                <c:pt idx="58">
                  <c:v>0.17295760538876337</c:v>
                </c:pt>
                <c:pt idx="59">
                  <c:v>0.211678913966308</c:v>
                </c:pt>
                <c:pt idx="60">
                  <c:v>0.24039356981519511</c:v>
                </c:pt>
                <c:pt idx="61">
                  <c:v>0.25936153585275434</c:v>
                </c:pt>
                <c:pt idx="62">
                  <c:v>0.30031978233969703</c:v>
                </c:pt>
                <c:pt idx="63">
                  <c:v>0.29443784118457295</c:v>
                </c:pt>
                <c:pt idx="64">
                  <c:v>0.29197036203244053</c:v>
                </c:pt>
                <c:pt idx="65">
                  <c:v>0.29692068050832177</c:v>
                </c:pt>
                <c:pt idx="66">
                  <c:v>0.30761827269873265</c:v>
                </c:pt>
                <c:pt idx="67">
                  <c:v>0.27480962529579145</c:v>
                </c:pt>
                <c:pt idx="68">
                  <c:v>0.24440160097387853</c:v>
                </c:pt>
                <c:pt idx="69">
                  <c:v>0.18403290270486927</c:v>
                </c:pt>
                <c:pt idx="70">
                  <c:v>0.10480349063992023</c:v>
                </c:pt>
                <c:pt idx="71">
                  <c:v>3.0542230581742658E-2</c:v>
                </c:pt>
                <c:pt idx="72">
                  <c:v>-3.191251425679198E-2</c:v>
                </c:pt>
                <c:pt idx="73">
                  <c:v>-7.8909109053286741E-2</c:v>
                </c:pt>
                <c:pt idx="74">
                  <c:v>-0.10855249119808263</c:v>
                </c:pt>
                <c:pt idx="75">
                  <c:v>-7.2442292124083707E-2</c:v>
                </c:pt>
                <c:pt idx="76">
                  <c:v>-3.861074251198815E-2</c:v>
                </c:pt>
                <c:pt idx="77">
                  <c:v>-1.0882767830006301E-2</c:v>
                </c:pt>
                <c:pt idx="78">
                  <c:v>1.8033255272172255E-2</c:v>
                </c:pt>
                <c:pt idx="79">
                  <c:v>2.0858820320633242E-2</c:v>
                </c:pt>
                <c:pt idx="80">
                  <c:v>1.9691854813638443E-2</c:v>
                </c:pt>
                <c:pt idx="81">
                  <c:v>-2.85522561085223E-2</c:v>
                </c:pt>
                <c:pt idx="82">
                  <c:v>-6.2100180550574535E-2</c:v>
                </c:pt>
                <c:pt idx="83">
                  <c:v>-6.4909521004597792E-2</c:v>
                </c:pt>
                <c:pt idx="84">
                  <c:v>-7.1077414283337248E-2</c:v>
                </c:pt>
                <c:pt idx="85">
                  <c:v>-6.9603513982825049E-2</c:v>
                </c:pt>
                <c:pt idx="86">
                  <c:v>-9.3565517861538439E-2</c:v>
                </c:pt>
                <c:pt idx="87">
                  <c:v>-0.11284440388774719</c:v>
                </c:pt>
                <c:pt idx="88">
                  <c:v>-0.12823447808050226</c:v>
                </c:pt>
                <c:pt idx="89">
                  <c:v>-0.14982345953544751</c:v>
                </c:pt>
                <c:pt idx="90">
                  <c:v>-0.13833877595131128</c:v>
                </c:pt>
                <c:pt idx="91">
                  <c:v>-0.11912497797568911</c:v>
                </c:pt>
                <c:pt idx="92">
                  <c:v>-0.11291673194948082</c:v>
                </c:pt>
                <c:pt idx="93">
                  <c:v>-0.10127760207767267</c:v>
                </c:pt>
                <c:pt idx="94">
                  <c:v>-9.885403762451439E-2</c:v>
                </c:pt>
                <c:pt idx="95">
                  <c:v>-0.10603154082931177</c:v>
                </c:pt>
                <c:pt idx="96">
                  <c:v>-0.11044660412846241</c:v>
                </c:pt>
                <c:pt idx="97">
                  <c:v>-0.12206813116764437</c:v>
                </c:pt>
                <c:pt idx="98">
                  <c:v>-0.12350416367791084</c:v>
                </c:pt>
                <c:pt idx="99">
                  <c:v>-0.11929701919247648</c:v>
                </c:pt>
                <c:pt idx="100">
                  <c:v>-0.15232564366465695</c:v>
                </c:pt>
                <c:pt idx="101">
                  <c:v>-0.18588794895009997</c:v>
                </c:pt>
                <c:pt idx="102">
                  <c:v>-0.19357593230536096</c:v>
                </c:pt>
                <c:pt idx="103">
                  <c:v>-0.16913003969418128</c:v>
                </c:pt>
                <c:pt idx="104">
                  <c:v>-0.14333533705358015</c:v>
                </c:pt>
                <c:pt idx="105">
                  <c:v>-0.13405646362229895</c:v>
                </c:pt>
                <c:pt idx="106">
                  <c:v>-0.12211596206078568</c:v>
                </c:pt>
                <c:pt idx="107">
                  <c:v>-0.11136923334950488</c:v>
                </c:pt>
                <c:pt idx="108">
                  <c:v>-9.540220392215204E-2</c:v>
                </c:pt>
                <c:pt idx="109">
                  <c:v>-6.3752796776253007E-2</c:v>
                </c:pt>
                <c:pt idx="110">
                  <c:v>-5.942516671292708E-2</c:v>
                </c:pt>
                <c:pt idx="111">
                  <c:v>-5.7710639834677835E-2</c:v>
                </c:pt>
                <c:pt idx="112">
                  <c:v>-6.6702271028818316E-2</c:v>
                </c:pt>
                <c:pt idx="113">
                  <c:v>-9.1047255342985522E-2</c:v>
                </c:pt>
                <c:pt idx="114">
                  <c:v>-9.8090792850175745E-2</c:v>
                </c:pt>
                <c:pt idx="115">
                  <c:v>-0.10798768642019674</c:v>
                </c:pt>
                <c:pt idx="116">
                  <c:v>-0.1019469313947674</c:v>
                </c:pt>
                <c:pt idx="117">
                  <c:v>-0.10390193037604512</c:v>
                </c:pt>
                <c:pt idx="118">
                  <c:v>-7.3633032935438436E-2</c:v>
                </c:pt>
                <c:pt idx="119">
                  <c:v>-6.0071554508347447E-2</c:v>
                </c:pt>
                <c:pt idx="120">
                  <c:v>-4.7190378481328565E-2</c:v>
                </c:pt>
                <c:pt idx="121">
                  <c:v>-2.7139424289433833E-2</c:v>
                </c:pt>
                <c:pt idx="122">
                  <c:v>1.3217755482443749E-2</c:v>
                </c:pt>
                <c:pt idx="123">
                  <c:v>6.1956654101637199E-2</c:v>
                </c:pt>
                <c:pt idx="124">
                  <c:v>0.10807565838616995</c:v>
                </c:pt>
                <c:pt idx="125">
                  <c:v>0.14297714996651756</c:v>
                </c:pt>
                <c:pt idx="126">
                  <c:v>0.16633897784323892</c:v>
                </c:pt>
                <c:pt idx="127">
                  <c:v>0.19373939594787082</c:v>
                </c:pt>
                <c:pt idx="128">
                  <c:v>0.20671306373984422</c:v>
                </c:pt>
                <c:pt idx="129">
                  <c:v>0.23572533265104845</c:v>
                </c:pt>
                <c:pt idx="130">
                  <c:v>0.27931813213816348</c:v>
                </c:pt>
                <c:pt idx="131">
                  <c:v>0.35425131541566657</c:v>
                </c:pt>
                <c:pt idx="132">
                  <c:v>0.42462972037193758</c:v>
                </c:pt>
                <c:pt idx="133">
                  <c:v>0.48749451376648523</c:v>
                </c:pt>
                <c:pt idx="134">
                  <c:v>0.53825189304977528</c:v>
                </c:pt>
                <c:pt idx="135">
                  <c:v>0.57738144214010489</c:v>
                </c:pt>
                <c:pt idx="136">
                  <c:v>0.55670651402409455</c:v>
                </c:pt>
                <c:pt idx="137">
                  <c:v>0.54515656733463658</c:v>
                </c:pt>
                <c:pt idx="138">
                  <c:v>0.50712790178210376</c:v>
                </c:pt>
                <c:pt idx="139">
                  <c:v>0.4589900253317456</c:v>
                </c:pt>
                <c:pt idx="140">
                  <c:v>0.2189835406446381</c:v>
                </c:pt>
                <c:pt idx="141">
                  <c:v>3.0809986651666676E-2</c:v>
                </c:pt>
                <c:pt idx="142">
                  <c:v>-0.13110615948700399</c:v>
                </c:pt>
                <c:pt idx="143">
                  <c:v>-0.26981532059864577</c:v>
                </c:pt>
                <c:pt idx="144">
                  <c:v>-0.37698728077901045</c:v>
                </c:pt>
                <c:pt idx="145">
                  <c:v>-0.46686061390289524</c:v>
                </c:pt>
                <c:pt idx="146">
                  <c:v>-0.5837737881292675</c:v>
                </c:pt>
                <c:pt idx="147">
                  <c:v>-0.69383996408292958</c:v>
                </c:pt>
                <c:pt idx="148">
                  <c:v>-0.7666708430884146</c:v>
                </c:pt>
                <c:pt idx="149">
                  <c:v>-0.81578482700338384</c:v>
                </c:pt>
                <c:pt idx="150">
                  <c:v>-0.81670450298231145</c:v>
                </c:pt>
                <c:pt idx="151">
                  <c:v>-0.81047114937056186</c:v>
                </c:pt>
                <c:pt idx="152">
                  <c:v>-0.81519349455371426</c:v>
                </c:pt>
                <c:pt idx="153">
                  <c:v>-0.78761819810685552</c:v>
                </c:pt>
                <c:pt idx="154">
                  <c:v>-0.75389489521422348</c:v>
                </c:pt>
                <c:pt idx="155">
                  <c:v>-0.69690490126456339</c:v>
                </c:pt>
                <c:pt idx="156">
                  <c:v>-0.64038789858303957</c:v>
                </c:pt>
                <c:pt idx="157">
                  <c:v>-0.57232143894842125</c:v>
                </c:pt>
                <c:pt idx="158">
                  <c:v>-0.51561385446034969</c:v>
                </c:pt>
                <c:pt idx="159">
                  <c:v>-0.45195504775931816</c:v>
                </c:pt>
                <c:pt idx="160">
                  <c:v>-0.39144111034102735</c:v>
                </c:pt>
                <c:pt idx="161">
                  <c:v>-0.31208755697523038</c:v>
                </c:pt>
                <c:pt idx="162">
                  <c:v>-0.25892351878863451</c:v>
                </c:pt>
                <c:pt idx="163">
                  <c:v>-0.21195883338559085</c:v>
                </c:pt>
                <c:pt idx="164">
                  <c:v>-0.1806052042705506</c:v>
                </c:pt>
                <c:pt idx="165">
                  <c:v>-0.14848591987249371</c:v>
                </c:pt>
                <c:pt idx="166">
                  <c:v>-0.1153430512429896</c:v>
                </c:pt>
                <c:pt idx="167">
                  <c:v>-0.10455085443932788</c:v>
                </c:pt>
                <c:pt idx="168">
                  <c:v>-9.72572432177774E-2</c:v>
                </c:pt>
                <c:pt idx="169">
                  <c:v>-0.10457014333516135</c:v>
                </c:pt>
                <c:pt idx="170">
                  <c:v>-0.1240253198563579</c:v>
                </c:pt>
                <c:pt idx="171">
                  <c:v>-0.1315685456794462</c:v>
                </c:pt>
                <c:pt idx="172">
                  <c:v>-0.16267883889491941</c:v>
                </c:pt>
                <c:pt idx="173">
                  <c:v>-0.17498828413330969</c:v>
                </c:pt>
                <c:pt idx="174">
                  <c:v>-0.16929239895959114</c:v>
                </c:pt>
                <c:pt idx="175">
                  <c:v>-0.15740425645642731</c:v>
                </c:pt>
                <c:pt idx="176">
                  <c:v>-0.1376650649629898</c:v>
                </c:pt>
                <c:pt idx="177">
                  <c:v>-0.11277350393578978</c:v>
                </c:pt>
                <c:pt idx="178">
                  <c:v>-8.5708337843987792E-2</c:v>
                </c:pt>
                <c:pt idx="179">
                  <c:v>-6.8241232355036985E-2</c:v>
                </c:pt>
                <c:pt idx="180">
                  <c:v>-5.6913543070473693E-2</c:v>
                </c:pt>
                <c:pt idx="181">
                  <c:v>-4.5036709094585348E-2</c:v>
                </c:pt>
                <c:pt idx="182">
                  <c:v>-3.8361278383051811E-2</c:v>
                </c:pt>
                <c:pt idx="183">
                  <c:v>-6.8017151433753753E-2</c:v>
                </c:pt>
                <c:pt idx="184">
                  <c:v>-7.0070987568252363E-2</c:v>
                </c:pt>
                <c:pt idx="185">
                  <c:v>-6.3024038812450556E-2</c:v>
                </c:pt>
                <c:pt idx="186">
                  <c:v>-7.4063334928986535E-2</c:v>
                </c:pt>
                <c:pt idx="187">
                  <c:v>-6.6950950576655899E-2</c:v>
                </c:pt>
                <c:pt idx="188">
                  <c:v>-8.1811037473528359E-2</c:v>
                </c:pt>
                <c:pt idx="189">
                  <c:v>-9.4874512535481514E-2</c:v>
                </c:pt>
                <c:pt idx="190">
                  <c:v>-9.4607155247436125E-2</c:v>
                </c:pt>
                <c:pt idx="191">
                  <c:v>-9.9605582953412153E-2</c:v>
                </c:pt>
                <c:pt idx="192">
                  <c:v>-0.10238662365805595</c:v>
                </c:pt>
                <c:pt idx="193">
                  <c:v>-9.3187876362170741E-2</c:v>
                </c:pt>
                <c:pt idx="194">
                  <c:v>-8.0212357809985591E-2</c:v>
                </c:pt>
                <c:pt idx="195">
                  <c:v>-6.598923235958587E-2</c:v>
                </c:pt>
                <c:pt idx="196">
                  <c:v>-3.8394598660730139E-2</c:v>
                </c:pt>
                <c:pt idx="197">
                  <c:v>-2.2615388797969871E-2</c:v>
                </c:pt>
                <c:pt idx="198">
                  <c:v>4.9223441577304072E-3</c:v>
                </c:pt>
                <c:pt idx="199">
                  <c:v>2.9584415913246787E-2</c:v>
                </c:pt>
                <c:pt idx="200">
                  <c:v>5.0922683916422073E-2</c:v>
                </c:pt>
                <c:pt idx="201">
                  <c:v>4.9789729401341631E-2</c:v>
                </c:pt>
                <c:pt idx="202">
                  <c:v>6.6387104303757383E-2</c:v>
                </c:pt>
                <c:pt idx="203">
                  <c:v>7.4709411087090061E-2</c:v>
                </c:pt>
                <c:pt idx="204">
                  <c:v>9.4513960149962273E-2</c:v>
                </c:pt>
                <c:pt idx="205">
                  <c:v>9.560739363055859E-2</c:v>
                </c:pt>
                <c:pt idx="206">
                  <c:v>0.1189232472848083</c:v>
                </c:pt>
                <c:pt idx="207">
                  <c:v>6.0466742344010171E-2</c:v>
                </c:pt>
                <c:pt idx="208">
                  <c:v>1.8692936565958718E-2</c:v>
                </c:pt>
                <c:pt idx="209">
                  <c:v>-2.8384466098506422E-2</c:v>
                </c:pt>
                <c:pt idx="210">
                  <c:v>-7.0441297632219957E-2</c:v>
                </c:pt>
                <c:pt idx="211">
                  <c:v>-9.1596464245450093E-2</c:v>
                </c:pt>
                <c:pt idx="212">
                  <c:v>-8.8285025389769345E-2</c:v>
                </c:pt>
                <c:pt idx="213">
                  <c:v>-3.836084935879569E-2</c:v>
                </c:pt>
                <c:pt idx="214">
                  <c:v>-1.6869704612490821E-2</c:v>
                </c:pt>
                <c:pt idx="215">
                  <c:v>9.5007779116329516E-4</c:v>
                </c:pt>
                <c:pt idx="216">
                  <c:v>3.5306316679600158E-2</c:v>
                </c:pt>
                <c:pt idx="217">
                  <c:v>5.1618397669917826E-2</c:v>
                </c:pt>
                <c:pt idx="218">
                  <c:v>6.3810274255835964E-2</c:v>
                </c:pt>
                <c:pt idx="219">
                  <c:v>7.0281855350149414E-2</c:v>
                </c:pt>
                <c:pt idx="220">
                  <c:v>6.9836719679312154E-2</c:v>
                </c:pt>
                <c:pt idx="221">
                  <c:v>8.4399229114646701E-2</c:v>
                </c:pt>
                <c:pt idx="222">
                  <c:v>8.2282685462962135E-2</c:v>
                </c:pt>
                <c:pt idx="223">
                  <c:v>5.4566502425737795E-2</c:v>
                </c:pt>
                <c:pt idx="224">
                  <c:v>3.7718022810526719E-2</c:v>
                </c:pt>
                <c:pt idx="225">
                  <c:v>5.3922569860597847E-2</c:v>
                </c:pt>
                <c:pt idx="226">
                  <c:v>8.3282570314521465E-2</c:v>
                </c:pt>
                <c:pt idx="227">
                  <c:v>8.1779635395918149E-2</c:v>
                </c:pt>
                <c:pt idx="228">
                  <c:v>7.9670160626120534E-2</c:v>
                </c:pt>
                <c:pt idx="229">
                  <c:v>7.9462792522988934E-2</c:v>
                </c:pt>
                <c:pt idx="230">
                  <c:v>6.6620406772409879E-2</c:v>
                </c:pt>
                <c:pt idx="231">
                  <c:v>4.32353990558898E-2</c:v>
                </c:pt>
                <c:pt idx="232">
                  <c:v>1.8143038035187686E-2</c:v>
                </c:pt>
                <c:pt idx="233">
                  <c:v>-2.5279672599667791E-2</c:v>
                </c:pt>
                <c:pt idx="234">
                  <c:v>-5.3515931101623337E-2</c:v>
                </c:pt>
                <c:pt idx="235">
                  <c:v>-6.7960681425359937E-2</c:v>
                </c:pt>
                <c:pt idx="236">
                  <c:v>-8.1646332745377137E-2</c:v>
                </c:pt>
                <c:pt idx="237">
                  <c:v>-0.10321262557165412</c:v>
                </c:pt>
                <c:pt idx="238">
                  <c:v>-0.12050459145467052</c:v>
                </c:pt>
                <c:pt idx="239">
                  <c:v>-0.13267915627521454</c:v>
                </c:pt>
                <c:pt idx="240">
                  <c:v>-0.17210391040783257</c:v>
                </c:pt>
                <c:pt idx="241">
                  <c:v>-0.20260246238742852</c:v>
                </c:pt>
                <c:pt idx="242">
                  <c:v>-0.2461736645094792</c:v>
                </c:pt>
                <c:pt idx="243">
                  <c:v>-0.27358046201810104</c:v>
                </c:pt>
                <c:pt idx="244">
                  <c:v>-0.28094270551325451</c:v>
                </c:pt>
                <c:pt idx="245">
                  <c:v>-0.28193770875859059</c:v>
                </c:pt>
                <c:pt idx="246">
                  <c:v>-0.27008322174273225</c:v>
                </c:pt>
                <c:pt idx="247">
                  <c:v>-0.25379286044264227</c:v>
                </c:pt>
                <c:pt idx="248">
                  <c:v>-0.24128055047313879</c:v>
                </c:pt>
                <c:pt idx="249">
                  <c:v>-0.2405021816882229</c:v>
                </c:pt>
                <c:pt idx="250">
                  <c:v>-0.23558007301983075</c:v>
                </c:pt>
                <c:pt idx="251">
                  <c:v>-0.24867095570961339</c:v>
                </c:pt>
                <c:pt idx="252">
                  <c:v>-0.23803308937585754</c:v>
                </c:pt>
                <c:pt idx="253">
                  <c:v>-0.22384293097333163</c:v>
                </c:pt>
                <c:pt idx="254">
                  <c:v>-0.22273847147308246</c:v>
                </c:pt>
                <c:pt idx="255">
                  <c:v>-0.22090633401307613</c:v>
                </c:pt>
                <c:pt idx="256">
                  <c:v>-0.22402125384910754</c:v>
                </c:pt>
                <c:pt idx="257">
                  <c:v>-0.21919423943176142</c:v>
                </c:pt>
                <c:pt idx="258">
                  <c:v>-0.20741815418248244</c:v>
                </c:pt>
                <c:pt idx="259">
                  <c:v>-0.18248226797085465</c:v>
                </c:pt>
                <c:pt idx="260">
                  <c:v>-0.15615948227261711</c:v>
                </c:pt>
                <c:pt idx="261">
                  <c:v>-0.12040277573100511</c:v>
                </c:pt>
                <c:pt idx="262">
                  <c:v>-7.1392219030530057E-2</c:v>
                </c:pt>
                <c:pt idx="263">
                  <c:v>-6.3586315985649122E-2</c:v>
                </c:pt>
                <c:pt idx="264">
                  <c:v>-4.6535123389395139E-2</c:v>
                </c:pt>
                <c:pt idx="265">
                  <c:v>-3.5788632057409231E-2</c:v>
                </c:pt>
                <c:pt idx="266">
                  <c:v>-6.5474934690161746E-3</c:v>
                </c:pt>
                <c:pt idx="267">
                  <c:v>-7.1198493502588889E-3</c:v>
                </c:pt>
                <c:pt idx="268">
                  <c:v>2.7236877724181596E-3</c:v>
                </c:pt>
                <c:pt idx="269">
                  <c:v>6.4800352300995456E-3</c:v>
                </c:pt>
                <c:pt idx="270">
                  <c:v>3.0631560561449334E-3</c:v>
                </c:pt>
                <c:pt idx="271">
                  <c:v>-1.4566172710413383E-2</c:v>
                </c:pt>
                <c:pt idx="272">
                  <c:v>-7.0089098043197851E-3</c:v>
                </c:pt>
                <c:pt idx="273">
                  <c:v>-1.2790439894370564E-2</c:v>
                </c:pt>
                <c:pt idx="274">
                  <c:v>-7.6054140792336966E-2</c:v>
                </c:pt>
                <c:pt idx="275">
                  <c:v>-0.12632451453527693</c:v>
                </c:pt>
                <c:pt idx="276">
                  <c:v>-0.16427053938190639</c:v>
                </c:pt>
                <c:pt idx="277">
                  <c:v>-0.19448157834286306</c:v>
                </c:pt>
                <c:pt idx="278">
                  <c:v>-0.21436337150779572</c:v>
                </c:pt>
                <c:pt idx="279">
                  <c:v>-0.21807630493892205</c:v>
                </c:pt>
                <c:pt idx="280">
                  <c:v>-0.20829724930873361</c:v>
                </c:pt>
                <c:pt idx="281">
                  <c:v>-0.20145272140122295</c:v>
                </c:pt>
                <c:pt idx="282">
                  <c:v>-0.18980583803891271</c:v>
                </c:pt>
                <c:pt idx="283">
                  <c:v>-0.17452915348965092</c:v>
                </c:pt>
                <c:pt idx="284">
                  <c:v>-0.16934623364632984</c:v>
                </c:pt>
                <c:pt idx="285">
                  <c:v>-0.15777162426884139</c:v>
                </c:pt>
                <c:pt idx="286">
                  <c:v>-0.1413211853062073</c:v>
                </c:pt>
                <c:pt idx="287">
                  <c:v>-0.12283356292458514</c:v>
                </c:pt>
                <c:pt idx="288">
                  <c:v>-0.12130812017061388</c:v>
                </c:pt>
                <c:pt idx="289">
                  <c:v>-9.798980325316542E-2</c:v>
                </c:pt>
                <c:pt idx="290">
                  <c:v>-9.1367306485896194E-2</c:v>
                </c:pt>
                <c:pt idx="291">
                  <c:v>-0.10667597931511708</c:v>
                </c:pt>
                <c:pt idx="292">
                  <c:v>-7.5175070798811916E-2</c:v>
                </c:pt>
                <c:pt idx="293">
                  <c:v>-5.2829059046162641E-2</c:v>
                </c:pt>
                <c:pt idx="294">
                  <c:v>-1.1585556287862175E-2</c:v>
                </c:pt>
                <c:pt idx="295">
                  <c:v>2.5646083266794406E-2</c:v>
                </c:pt>
                <c:pt idx="296">
                  <c:v>3.2985446641333738E-2</c:v>
                </c:pt>
                <c:pt idx="297">
                  <c:v>3.0382549608377829E-2</c:v>
                </c:pt>
                <c:pt idx="298">
                  <c:v>2.3210678148272379E-2</c:v>
                </c:pt>
                <c:pt idx="299">
                  <c:v>3.3281597338808311E-2</c:v>
                </c:pt>
                <c:pt idx="300">
                  <c:v>5.594933633608079E-2</c:v>
                </c:pt>
                <c:pt idx="301">
                  <c:v>7.5464524025269597E-2</c:v>
                </c:pt>
                <c:pt idx="302">
                  <c:v>0.10744406396380413</c:v>
                </c:pt>
                <c:pt idx="303">
                  <c:v>0.11851129253144776</c:v>
                </c:pt>
                <c:pt idx="304">
                  <c:v>0.12503392126642154</c:v>
                </c:pt>
                <c:pt idx="305">
                  <c:v>0.14866237487625433</c:v>
                </c:pt>
                <c:pt idx="306">
                  <c:v>0.16867142115317613</c:v>
                </c:pt>
                <c:pt idx="307">
                  <c:v>0.18322356372166837</c:v>
                </c:pt>
                <c:pt idx="308">
                  <c:v>0.1606279652927487</c:v>
                </c:pt>
                <c:pt idx="309">
                  <c:v>0.12673536862857482</c:v>
                </c:pt>
                <c:pt idx="310">
                  <c:v>0.12346640692726041</c:v>
                </c:pt>
                <c:pt idx="311">
                  <c:v>0.11231874283731536</c:v>
                </c:pt>
                <c:pt idx="312">
                  <c:v>0.1190569690592973</c:v>
                </c:pt>
                <c:pt idx="313">
                  <c:v>7.4318462890657244E-2</c:v>
                </c:pt>
                <c:pt idx="314">
                  <c:v>4.1610875859493746E-2</c:v>
                </c:pt>
                <c:pt idx="315">
                  <c:v>-1.1611431653349769E-2</c:v>
                </c:pt>
                <c:pt idx="316">
                  <c:v>-9.7052140597561731E-2</c:v>
                </c:pt>
                <c:pt idx="317">
                  <c:v>-9.8271475062711389E-2</c:v>
                </c:pt>
                <c:pt idx="318">
                  <c:v>-0.12682483995634541</c:v>
                </c:pt>
                <c:pt idx="319">
                  <c:v>-0.13259371740911874</c:v>
                </c:pt>
                <c:pt idx="320">
                  <c:v>-0.105289063363184</c:v>
                </c:pt>
                <c:pt idx="321">
                  <c:v>-0.10343739351678849</c:v>
                </c:pt>
                <c:pt idx="322">
                  <c:v>-0.10479648530645846</c:v>
                </c:pt>
                <c:pt idx="323">
                  <c:v>-8.6319460522792824E-2</c:v>
                </c:pt>
                <c:pt idx="324">
                  <c:v>-8.3622994261824957E-2</c:v>
                </c:pt>
                <c:pt idx="325">
                  <c:v>-6.6198435290846902E-2</c:v>
                </c:pt>
                <c:pt idx="326">
                  <c:v>-4.1421946805996868E-2</c:v>
                </c:pt>
                <c:pt idx="327">
                  <c:v>7.9805923547837665E-4</c:v>
                </c:pt>
                <c:pt idx="328">
                  <c:v>3.2271875259590743E-2</c:v>
                </c:pt>
                <c:pt idx="329">
                  <c:v>5.4967635674383786E-2</c:v>
                </c:pt>
                <c:pt idx="330">
                  <c:v>8.2493172914757551E-2</c:v>
                </c:pt>
                <c:pt idx="331">
                  <c:v>9.1950580463031173E-2</c:v>
                </c:pt>
                <c:pt idx="332">
                  <c:v>0.11187361394998874</c:v>
                </c:pt>
                <c:pt idx="333">
                  <c:v>0.13418512321811704</c:v>
                </c:pt>
                <c:pt idx="334">
                  <c:v>0.14136154645419552</c:v>
                </c:pt>
                <c:pt idx="335">
                  <c:v>0.16691160401574834</c:v>
                </c:pt>
                <c:pt idx="336">
                  <c:v>0.1722637960766118</c:v>
                </c:pt>
                <c:pt idx="337">
                  <c:v>0.1744939887616006</c:v>
                </c:pt>
                <c:pt idx="338">
                  <c:v>0.18621856720412389</c:v>
                </c:pt>
                <c:pt idx="339">
                  <c:v>0.2028549911439459</c:v>
                </c:pt>
                <c:pt idx="340">
                  <c:v>0.21756609262222426</c:v>
                </c:pt>
                <c:pt idx="341">
                  <c:v>0.23060110269640433</c:v>
                </c:pt>
                <c:pt idx="342">
                  <c:v>0.24616299260983432</c:v>
                </c:pt>
                <c:pt idx="343">
                  <c:v>0.2595386842216687</c:v>
                </c:pt>
                <c:pt idx="344">
                  <c:v>0.26307190489507981</c:v>
                </c:pt>
                <c:pt idx="345">
                  <c:v>0.26044896491105796</c:v>
                </c:pt>
                <c:pt idx="346">
                  <c:v>0.23628057643456124</c:v>
                </c:pt>
                <c:pt idx="347">
                  <c:v>0.21146169000500237</c:v>
                </c:pt>
                <c:pt idx="348">
                  <c:v>0.18322510730372521</c:v>
                </c:pt>
                <c:pt idx="349">
                  <c:v>0.15502578914969334</c:v>
                </c:pt>
                <c:pt idx="350">
                  <c:v>0.11999753943756097</c:v>
                </c:pt>
                <c:pt idx="351">
                  <c:v>9.5174864712243235E-2</c:v>
                </c:pt>
                <c:pt idx="352">
                  <c:v>8.7405819104517946E-2</c:v>
                </c:pt>
                <c:pt idx="353">
                  <c:v>4.8414050390721997E-2</c:v>
                </c:pt>
                <c:pt idx="354">
                  <c:v>3.4065353530731812E-2</c:v>
                </c:pt>
                <c:pt idx="355">
                  <c:v>2.6423891848052605E-2</c:v>
                </c:pt>
                <c:pt idx="356">
                  <c:v>8.9677735285960125E-3</c:v>
                </c:pt>
                <c:pt idx="357">
                  <c:v>7.9526634660194162E-3</c:v>
                </c:pt>
                <c:pt idx="358">
                  <c:v>1.3448487052707847E-2</c:v>
                </c:pt>
                <c:pt idx="359">
                  <c:v>3.8341813372159805E-2</c:v>
                </c:pt>
                <c:pt idx="360">
                  <c:v>6.2194512757804077E-2</c:v>
                </c:pt>
                <c:pt idx="361">
                  <c:v>6.9803385350455827E-2</c:v>
                </c:pt>
                <c:pt idx="362">
                  <c:v>6.6992064614208147E-2</c:v>
                </c:pt>
                <c:pt idx="363">
                  <c:v>7.9182715722684094E-2</c:v>
                </c:pt>
                <c:pt idx="364">
                  <c:v>7.1877012565821019E-2</c:v>
                </c:pt>
                <c:pt idx="365">
                  <c:v>6.6131780604562707E-2</c:v>
                </c:pt>
                <c:pt idx="366">
                  <c:v>7.3640424730591292E-2</c:v>
                </c:pt>
                <c:pt idx="367">
                  <c:v>9.1447591214169677E-2</c:v>
                </c:pt>
                <c:pt idx="368">
                  <c:v>0.10276149553931901</c:v>
                </c:pt>
                <c:pt idx="369">
                  <c:v>9.0511574477375234E-2</c:v>
                </c:pt>
                <c:pt idx="370">
                  <c:v>9.1848399007451675E-2</c:v>
                </c:pt>
                <c:pt idx="371">
                  <c:v>0.1054103168129803</c:v>
                </c:pt>
                <c:pt idx="372">
                  <c:v>0.1188230978080469</c:v>
                </c:pt>
                <c:pt idx="373">
                  <c:v>0.1678636174160566</c:v>
                </c:pt>
                <c:pt idx="374">
                  <c:v>0.23787697474522496</c:v>
                </c:pt>
                <c:pt idx="375">
                  <c:v>0.29321077920830341</c:v>
                </c:pt>
                <c:pt idx="376">
                  <c:v>0.31567218408156172</c:v>
                </c:pt>
                <c:pt idx="377">
                  <c:v>0.33685223423489496</c:v>
                </c:pt>
                <c:pt idx="378">
                  <c:v>0.36157333068853426</c:v>
                </c:pt>
                <c:pt idx="379">
                  <c:v>0.38320298368567407</c:v>
                </c:pt>
                <c:pt idx="380">
                  <c:v>0.38541193707447974</c:v>
                </c:pt>
                <c:pt idx="381">
                  <c:v>0.39072764771158397</c:v>
                </c:pt>
                <c:pt idx="382">
                  <c:v>0.36571029681231693</c:v>
                </c:pt>
                <c:pt idx="383">
                  <c:v>0.31561738318112909</c:v>
                </c:pt>
                <c:pt idx="384">
                  <c:v>0.26559453195235072</c:v>
                </c:pt>
                <c:pt idx="385">
                  <c:v>0.22417384187906464</c:v>
                </c:pt>
                <c:pt idx="386">
                  <c:v>0.20113285858085916</c:v>
                </c:pt>
                <c:pt idx="387">
                  <c:v>0.17121604421809522</c:v>
                </c:pt>
                <c:pt idx="388">
                  <c:v>0.16098245981173598</c:v>
                </c:pt>
                <c:pt idx="389">
                  <c:v>0.14155748673197444</c:v>
                </c:pt>
                <c:pt idx="390">
                  <c:v>0.14147743674946334</c:v>
                </c:pt>
                <c:pt idx="391">
                  <c:v>0.12464574588852706</c:v>
                </c:pt>
                <c:pt idx="392">
                  <c:v>9.4083643409005546E-2</c:v>
                </c:pt>
                <c:pt idx="393">
                  <c:v>5.2314661199591939E-2</c:v>
                </c:pt>
                <c:pt idx="394">
                  <c:v>3.494791261729091E-2</c:v>
                </c:pt>
                <c:pt idx="395">
                  <c:v>1.0001989118730847E-3</c:v>
                </c:pt>
                <c:pt idx="396">
                  <c:v>-1.5238040588519297E-2</c:v>
                </c:pt>
                <c:pt idx="397">
                  <c:v>-1.9011726344228208E-2</c:v>
                </c:pt>
                <c:pt idx="398">
                  <c:v>-9.7858479323846836E-3</c:v>
                </c:pt>
                <c:pt idx="399">
                  <c:v>3.1379696031912374E-3</c:v>
                </c:pt>
                <c:pt idx="400">
                  <c:v>1.6418590525896448E-2</c:v>
                </c:pt>
                <c:pt idx="401">
                  <c:v>1.2277554604645857E-2</c:v>
                </c:pt>
                <c:pt idx="402">
                  <c:v>1.7668166864581281E-2</c:v>
                </c:pt>
                <c:pt idx="403">
                  <c:v>3.6846929554107177E-2</c:v>
                </c:pt>
                <c:pt idx="404">
                  <c:v>5.1453117649272073E-2</c:v>
                </c:pt>
                <c:pt idx="405">
                  <c:v>6.2310351995636282E-2</c:v>
                </c:pt>
                <c:pt idx="406">
                  <c:v>7.1702084295544921E-2</c:v>
                </c:pt>
                <c:pt idx="407">
                  <c:v>8.7815810920311321E-2</c:v>
                </c:pt>
                <c:pt idx="408">
                  <c:v>9.2260288350876962E-2</c:v>
                </c:pt>
                <c:pt idx="409">
                  <c:v>8.1927496726951432E-2</c:v>
                </c:pt>
                <c:pt idx="410">
                  <c:v>0.10560491073410994</c:v>
                </c:pt>
                <c:pt idx="411">
                  <c:v>0.12933388283961555</c:v>
                </c:pt>
                <c:pt idx="412">
                  <c:v>0.1480465090437626</c:v>
                </c:pt>
                <c:pt idx="413">
                  <c:v>0.16660430439979024</c:v>
                </c:pt>
                <c:pt idx="414">
                  <c:v>0.16329084714995545</c:v>
                </c:pt>
                <c:pt idx="415">
                  <c:v>0.16362029406646705</c:v>
                </c:pt>
                <c:pt idx="416">
                  <c:v>0.15802518502309049</c:v>
                </c:pt>
                <c:pt idx="417">
                  <c:v>0.1438634877951106</c:v>
                </c:pt>
                <c:pt idx="418">
                  <c:v>0.13591499580401489</c:v>
                </c:pt>
                <c:pt idx="419">
                  <c:v>0.13292498075909265</c:v>
                </c:pt>
                <c:pt idx="420">
                  <c:v>0.12507895779502043</c:v>
                </c:pt>
                <c:pt idx="421">
                  <c:v>0.10155197162322516</c:v>
                </c:pt>
                <c:pt idx="422">
                  <c:v>7.6377814689500667E-2</c:v>
                </c:pt>
                <c:pt idx="423">
                  <c:v>8.2906577038412976E-2</c:v>
                </c:pt>
                <c:pt idx="424">
                  <c:v>8.0695133556353937E-2</c:v>
                </c:pt>
                <c:pt idx="425">
                  <c:v>7.8042918480026202E-2</c:v>
                </c:pt>
                <c:pt idx="426">
                  <c:v>6.9491548622730548E-2</c:v>
                </c:pt>
                <c:pt idx="427">
                  <c:v>6.598843493256723E-2</c:v>
                </c:pt>
                <c:pt idx="428">
                  <c:v>6.8873591614829976E-2</c:v>
                </c:pt>
                <c:pt idx="429">
                  <c:v>6.0776508199342771E-2</c:v>
                </c:pt>
                <c:pt idx="430">
                  <c:v>5.6930912837357184E-2</c:v>
                </c:pt>
                <c:pt idx="431">
                  <c:v>5.8853242250760829E-2</c:v>
                </c:pt>
                <c:pt idx="432">
                  <c:v>5.171144059743682E-2</c:v>
                </c:pt>
                <c:pt idx="433">
                  <c:v>4.4728986987596642E-2</c:v>
                </c:pt>
                <c:pt idx="434">
                  <c:v>6.9859782740712362E-2</c:v>
                </c:pt>
                <c:pt idx="435">
                  <c:v>9.5134796134283661E-2</c:v>
                </c:pt>
                <c:pt idx="436">
                  <c:v>0.10348262946389752</c:v>
                </c:pt>
                <c:pt idx="437">
                  <c:v>0.13357301022682933</c:v>
                </c:pt>
                <c:pt idx="438">
                  <c:v>0.15163729133480253</c:v>
                </c:pt>
                <c:pt idx="439">
                  <c:v>0.19995959372612404</c:v>
                </c:pt>
                <c:pt idx="440">
                  <c:v>0.23793336803583465</c:v>
                </c:pt>
                <c:pt idx="441">
                  <c:v>0.20275118701881745</c:v>
                </c:pt>
                <c:pt idx="442">
                  <c:v>0.15851727098532642</c:v>
                </c:pt>
                <c:pt idx="443">
                  <c:v>0.10290930519287578</c:v>
                </c:pt>
                <c:pt idx="444">
                  <c:v>5.0989567831919658E-2</c:v>
                </c:pt>
                <c:pt idx="445">
                  <c:v>2.0101003599467759E-2</c:v>
                </c:pt>
                <c:pt idx="446">
                  <c:v>4.4464190458430863E-3</c:v>
                </c:pt>
                <c:pt idx="447">
                  <c:v>9.056884805147547E-4</c:v>
                </c:pt>
                <c:pt idx="448">
                  <c:v>-3.4741510049194346E-3</c:v>
                </c:pt>
                <c:pt idx="449">
                  <c:v>7.4929166461483732E-3</c:v>
                </c:pt>
                <c:pt idx="450">
                  <c:v>2.1584004787058575E-2</c:v>
                </c:pt>
                <c:pt idx="451">
                  <c:v>7.7848145013843961E-2</c:v>
                </c:pt>
                <c:pt idx="452">
                  <c:v>0.11067220764151209</c:v>
                </c:pt>
                <c:pt idx="453">
                  <c:v>0.12794835690658779</c:v>
                </c:pt>
                <c:pt idx="454">
                  <c:v>0.25968382021219938</c:v>
                </c:pt>
                <c:pt idx="455">
                  <c:v>0.31366819949480629</c:v>
                </c:pt>
                <c:pt idx="456">
                  <c:v>0.34201871660232008</c:v>
                </c:pt>
                <c:pt idx="457">
                  <c:v>0.36910793978795375</c:v>
                </c:pt>
                <c:pt idx="458">
                  <c:v>0.37176635749991149</c:v>
                </c:pt>
                <c:pt idx="459">
                  <c:v>0.37519655533691676</c:v>
                </c:pt>
                <c:pt idx="460">
                  <c:v>0.36403563848172915</c:v>
                </c:pt>
                <c:pt idx="461">
                  <c:v>0.33359291856974949</c:v>
                </c:pt>
                <c:pt idx="462">
                  <c:v>0.33146722156099528</c:v>
                </c:pt>
                <c:pt idx="463">
                  <c:v>0.32682210599503669</c:v>
                </c:pt>
                <c:pt idx="464">
                  <c:v>0.32663778917276076</c:v>
                </c:pt>
                <c:pt idx="465">
                  <c:v>0.31878240944963565</c:v>
                </c:pt>
                <c:pt idx="466">
                  <c:v>0.32016315286371366</c:v>
                </c:pt>
                <c:pt idx="467">
                  <c:v>0.32956216091903379</c:v>
                </c:pt>
                <c:pt idx="468">
                  <c:v>0.31960910841629087</c:v>
                </c:pt>
                <c:pt idx="469">
                  <c:v>0.30098937658745939</c:v>
                </c:pt>
                <c:pt idx="470">
                  <c:v>0.25824184450974386</c:v>
                </c:pt>
                <c:pt idx="471">
                  <c:v>0.23297535248862999</c:v>
                </c:pt>
                <c:pt idx="472">
                  <c:v>0.20095202851210203</c:v>
                </c:pt>
                <c:pt idx="473">
                  <c:v>0.13448415897479826</c:v>
                </c:pt>
                <c:pt idx="474">
                  <c:v>0.11437988330910898</c:v>
                </c:pt>
                <c:pt idx="475">
                  <c:v>0.10769556609742281</c:v>
                </c:pt>
                <c:pt idx="476">
                  <c:v>0.11798340228658866</c:v>
                </c:pt>
                <c:pt idx="477">
                  <c:v>0.12629457420360879</c:v>
                </c:pt>
                <c:pt idx="478">
                  <c:v>0.13854640890550485</c:v>
                </c:pt>
                <c:pt idx="479">
                  <c:v>0.13699389867017508</c:v>
                </c:pt>
                <c:pt idx="480">
                  <c:v>0.11826194451235139</c:v>
                </c:pt>
                <c:pt idx="481">
                  <c:v>0.11260856795551177</c:v>
                </c:pt>
                <c:pt idx="482">
                  <c:v>0.11088459979325549</c:v>
                </c:pt>
                <c:pt idx="483">
                  <c:v>9.9495341548825778E-2</c:v>
                </c:pt>
                <c:pt idx="484">
                  <c:v>9.821321225135371E-2</c:v>
                </c:pt>
                <c:pt idx="485">
                  <c:v>9.1303131323117626E-2</c:v>
                </c:pt>
                <c:pt idx="486">
                  <c:v>0.11117354505372212</c:v>
                </c:pt>
                <c:pt idx="487">
                  <c:v>0.1430244555827862</c:v>
                </c:pt>
                <c:pt idx="488">
                  <c:v>0.17671933470860424</c:v>
                </c:pt>
                <c:pt idx="489">
                  <c:v>0.19232963220366095</c:v>
                </c:pt>
                <c:pt idx="490">
                  <c:v>0.20396357317894775</c:v>
                </c:pt>
                <c:pt idx="491">
                  <c:v>0.18203616427720526</c:v>
                </c:pt>
                <c:pt idx="492">
                  <c:v>0.16357980500345093</c:v>
                </c:pt>
                <c:pt idx="493">
                  <c:v>0.15922134910517194</c:v>
                </c:pt>
                <c:pt idx="494">
                  <c:v>0.15319439534891188</c:v>
                </c:pt>
                <c:pt idx="495">
                  <c:v>0.13316536439629978</c:v>
                </c:pt>
                <c:pt idx="496">
                  <c:v>0.12153959525227087</c:v>
                </c:pt>
                <c:pt idx="497">
                  <c:v>0.10705741606247976</c:v>
                </c:pt>
                <c:pt idx="498">
                  <c:v>9.2097789448681411E-2</c:v>
                </c:pt>
                <c:pt idx="499">
                  <c:v>7.5339132820221977E-2</c:v>
                </c:pt>
                <c:pt idx="500">
                  <c:v>5.257563679712618E-2</c:v>
                </c:pt>
                <c:pt idx="501">
                  <c:v>5.169169390954842E-2</c:v>
                </c:pt>
                <c:pt idx="502">
                  <c:v>6.0780437300653745E-2</c:v>
                </c:pt>
                <c:pt idx="503">
                  <c:v>9.3533379418463625E-2</c:v>
                </c:pt>
                <c:pt idx="504">
                  <c:v>0.11334228416126635</c:v>
                </c:pt>
                <c:pt idx="505">
                  <c:v>0.1802200040120514</c:v>
                </c:pt>
                <c:pt idx="506">
                  <c:v>0.21460887279529217</c:v>
                </c:pt>
                <c:pt idx="507">
                  <c:v>0.22554477998677314</c:v>
                </c:pt>
                <c:pt idx="508">
                  <c:v>0.22755388356999262</c:v>
                </c:pt>
                <c:pt idx="509">
                  <c:v>0.21536666975547902</c:v>
                </c:pt>
                <c:pt idx="510">
                  <c:v>0.20097079944775054</c:v>
                </c:pt>
                <c:pt idx="511">
                  <c:v>0.17064958140667663</c:v>
                </c:pt>
                <c:pt idx="5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Data!$Y$1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34">
                  <c:v>0.30899821068737882</c:v>
                </c:pt>
                <c:pt idx="35">
                  <c:v>0.28289917134922882</c:v>
                </c:pt>
                <c:pt idx="36">
                  <c:v>0.25435894410878518</c:v>
                </c:pt>
                <c:pt idx="37">
                  <c:v>0.22598997523709483</c:v>
                </c:pt>
                <c:pt idx="38">
                  <c:v>0.20341016274197229</c:v>
                </c:pt>
                <c:pt idx="39">
                  <c:v>0.18737745800343547</c:v>
                </c:pt>
                <c:pt idx="40">
                  <c:v>0.17601809659035453</c:v>
                </c:pt>
                <c:pt idx="41">
                  <c:v>0.17233717763974865</c:v>
                </c:pt>
                <c:pt idx="42">
                  <c:v>0.17075630572140471</c:v>
                </c:pt>
                <c:pt idx="43">
                  <c:v>0.16704396185382442</c:v>
                </c:pt>
                <c:pt idx="44">
                  <c:v>0.16228178359549919</c:v>
                </c:pt>
                <c:pt idx="45">
                  <c:v>0.15312927795003115</c:v>
                </c:pt>
                <c:pt idx="46">
                  <c:v>0.14025651776423576</c:v>
                </c:pt>
                <c:pt idx="47">
                  <c:v>0.1254071124910765</c:v>
                </c:pt>
                <c:pt idx="48">
                  <c:v>0.11389412159915153</c:v>
                </c:pt>
                <c:pt idx="49">
                  <c:v>0.10026288255623947</c:v>
                </c:pt>
                <c:pt idx="50">
                  <c:v>8.5475717300015547E-2</c:v>
                </c:pt>
                <c:pt idx="51">
                  <c:v>7.2428607599193007E-2</c:v>
                </c:pt>
                <c:pt idx="52">
                  <c:v>6.2875219136558788E-2</c:v>
                </c:pt>
                <c:pt idx="53">
                  <c:v>6.5290209149151304E-2</c:v>
                </c:pt>
                <c:pt idx="54">
                  <c:v>7.5245641557752235E-2</c:v>
                </c:pt>
                <c:pt idx="55">
                  <c:v>8.9077543646003732E-2</c:v>
                </c:pt>
                <c:pt idx="56">
                  <c:v>0.10425307620770949</c:v>
                </c:pt>
                <c:pt idx="57">
                  <c:v>0.11201506587499467</c:v>
                </c:pt>
                <c:pt idx="58">
                  <c:v>0.12420357377774841</c:v>
                </c:pt>
                <c:pt idx="59">
                  <c:v>0.14169864181546032</c:v>
                </c:pt>
                <c:pt idx="60">
                  <c:v>0.16143762741540729</c:v>
                </c:pt>
                <c:pt idx="61">
                  <c:v>0.1810224091028767</c:v>
                </c:pt>
                <c:pt idx="62">
                  <c:v>0.20488188375024077</c:v>
                </c:pt>
                <c:pt idx="63">
                  <c:v>0.22279307523710723</c:v>
                </c:pt>
                <c:pt idx="64">
                  <c:v>0.23662853259617392</c:v>
                </c:pt>
                <c:pt idx="65">
                  <c:v>0.2486869621786035</c:v>
                </c:pt>
                <c:pt idx="66">
                  <c:v>0.26047322428262931</c:v>
                </c:pt>
                <c:pt idx="67">
                  <c:v>0.26334050448526175</c:v>
                </c:pt>
                <c:pt idx="68">
                  <c:v>0.25955272378298511</c:v>
                </c:pt>
                <c:pt idx="69">
                  <c:v>0.24444875956736195</c:v>
                </c:pt>
                <c:pt idx="70">
                  <c:v>0.2165197057818736</c:v>
                </c:pt>
                <c:pt idx="71">
                  <c:v>0.17932421074184743</c:v>
                </c:pt>
                <c:pt idx="72">
                  <c:v>0.13707686574211955</c:v>
                </c:pt>
                <c:pt idx="73">
                  <c:v>9.3879670783038299E-2</c:v>
                </c:pt>
                <c:pt idx="74">
                  <c:v>5.3393238386814118E-2</c:v>
                </c:pt>
                <c:pt idx="75">
                  <c:v>2.822613228463456E-2</c:v>
                </c:pt>
                <c:pt idx="76">
                  <c:v>1.485875732531002E-2</c:v>
                </c:pt>
                <c:pt idx="77">
                  <c:v>9.7104522942467568E-3</c:v>
                </c:pt>
                <c:pt idx="78">
                  <c:v>1.1375012889831856E-2</c:v>
                </c:pt>
                <c:pt idx="79">
                  <c:v>1.3271774375992133E-2</c:v>
                </c:pt>
                <c:pt idx="80">
                  <c:v>1.4555790463521397E-2</c:v>
                </c:pt>
                <c:pt idx="81">
                  <c:v>5.9341811491126582E-3</c:v>
                </c:pt>
                <c:pt idx="82">
                  <c:v>-7.6726911908247802E-3</c:v>
                </c:pt>
                <c:pt idx="83">
                  <c:v>-1.9120057153579385E-2</c:v>
                </c:pt>
                <c:pt idx="84">
                  <c:v>-2.951152857953096E-2</c:v>
                </c:pt>
                <c:pt idx="85">
                  <c:v>-3.7529925660189777E-2</c:v>
                </c:pt>
                <c:pt idx="86">
                  <c:v>-4.8737044100459509E-2</c:v>
                </c:pt>
                <c:pt idx="87">
                  <c:v>-6.1558516057917054E-2</c:v>
                </c:pt>
                <c:pt idx="88">
                  <c:v>-7.4893708462434094E-2</c:v>
                </c:pt>
                <c:pt idx="89">
                  <c:v>-8.9879658677036789E-2</c:v>
                </c:pt>
                <c:pt idx="90">
                  <c:v>-9.9571482131891681E-2</c:v>
                </c:pt>
                <c:pt idx="91">
                  <c:v>-0.10348218130065118</c:v>
                </c:pt>
                <c:pt idx="92">
                  <c:v>-0.1053690914304171</c:v>
                </c:pt>
                <c:pt idx="93">
                  <c:v>-0.10455079355986822</c:v>
                </c:pt>
                <c:pt idx="94">
                  <c:v>-0.10341144237279745</c:v>
                </c:pt>
                <c:pt idx="95">
                  <c:v>-0.10393546206410033</c:v>
                </c:pt>
                <c:pt idx="96">
                  <c:v>-0.10523769047697275</c:v>
                </c:pt>
                <c:pt idx="97">
                  <c:v>-0.10860377861510707</c:v>
                </c:pt>
                <c:pt idx="98">
                  <c:v>-0.11158385562766783</c:v>
                </c:pt>
                <c:pt idx="99">
                  <c:v>-0.11312648834062958</c:v>
                </c:pt>
                <c:pt idx="100">
                  <c:v>-0.12096631940543506</c:v>
                </c:pt>
                <c:pt idx="101">
                  <c:v>-0.13395064531436807</c:v>
                </c:pt>
                <c:pt idx="102">
                  <c:v>-0.14587570271256667</c:v>
                </c:pt>
                <c:pt idx="103">
                  <c:v>-0.15052657010888959</c:v>
                </c:pt>
                <c:pt idx="104">
                  <c:v>-0.14908832349782772</c:v>
                </c:pt>
                <c:pt idx="105">
                  <c:v>-0.14608195152272196</c:v>
                </c:pt>
                <c:pt idx="106">
                  <c:v>-0.14128875363033472</c:v>
                </c:pt>
                <c:pt idx="107">
                  <c:v>-0.13530484957416875</c:v>
                </c:pt>
                <c:pt idx="108">
                  <c:v>-0.1273243204437654</c:v>
                </c:pt>
                <c:pt idx="109">
                  <c:v>-0.11461001571026293</c:v>
                </c:pt>
                <c:pt idx="110">
                  <c:v>-0.10357304591079577</c:v>
                </c:pt>
                <c:pt idx="111">
                  <c:v>-9.4400564695572203E-2</c:v>
                </c:pt>
                <c:pt idx="112">
                  <c:v>-8.8860905962221431E-2</c:v>
                </c:pt>
                <c:pt idx="113">
                  <c:v>-8.9298175838374252E-2</c:v>
                </c:pt>
                <c:pt idx="114">
                  <c:v>-9.1056699240734562E-2</c:v>
                </c:pt>
                <c:pt idx="115">
                  <c:v>-9.4442896676627003E-2</c:v>
                </c:pt>
                <c:pt idx="116">
                  <c:v>-9.5943703620255089E-2</c:v>
                </c:pt>
                <c:pt idx="117">
                  <c:v>-9.7535348971413111E-2</c:v>
                </c:pt>
                <c:pt idx="118">
                  <c:v>-9.2754885764218184E-2</c:v>
                </c:pt>
                <c:pt idx="119">
                  <c:v>-8.6218219513044037E-2</c:v>
                </c:pt>
                <c:pt idx="120">
                  <c:v>-7.8412651306700942E-2</c:v>
                </c:pt>
                <c:pt idx="121">
                  <c:v>-6.8158005903247526E-2</c:v>
                </c:pt>
                <c:pt idx="122">
                  <c:v>-5.1882853626109275E-2</c:v>
                </c:pt>
                <c:pt idx="123">
                  <c:v>-2.9114952080559985E-2</c:v>
                </c:pt>
                <c:pt idx="124">
                  <c:v>-1.6768299872139993E-3</c:v>
                </c:pt>
                <c:pt idx="125">
                  <c:v>2.7253966003532314E-2</c:v>
                </c:pt>
                <c:pt idx="126">
                  <c:v>5.5070968371473641E-2</c:v>
                </c:pt>
                <c:pt idx="127">
                  <c:v>8.2804653886753093E-2</c:v>
                </c:pt>
                <c:pt idx="128">
                  <c:v>0.10758633585737132</c:v>
                </c:pt>
                <c:pt idx="129">
                  <c:v>0.13321413521610675</c:v>
                </c:pt>
                <c:pt idx="130">
                  <c:v>0.16243493460051811</c:v>
                </c:pt>
                <c:pt idx="131">
                  <c:v>0.20079821076354781</c:v>
                </c:pt>
                <c:pt idx="132">
                  <c:v>0.24556451268522578</c:v>
                </c:pt>
                <c:pt idx="133">
                  <c:v>0.29395051290147767</c:v>
                </c:pt>
                <c:pt idx="134">
                  <c:v>0.3428107889311372</c:v>
                </c:pt>
                <c:pt idx="135">
                  <c:v>0.38972491957293076</c:v>
                </c:pt>
                <c:pt idx="136">
                  <c:v>0.42312123846316352</c:v>
                </c:pt>
                <c:pt idx="137">
                  <c:v>0.44752830423745815</c:v>
                </c:pt>
                <c:pt idx="138">
                  <c:v>0.45944822374638727</c:v>
                </c:pt>
                <c:pt idx="139">
                  <c:v>0.45935658406345897</c:v>
                </c:pt>
                <c:pt idx="140">
                  <c:v>0.4112819753796948</c:v>
                </c:pt>
                <c:pt idx="141">
                  <c:v>0.33518757763408918</c:v>
                </c:pt>
                <c:pt idx="142">
                  <c:v>0.24192883020987058</c:v>
                </c:pt>
                <c:pt idx="143">
                  <c:v>0.13958000004816731</c:v>
                </c:pt>
                <c:pt idx="144">
                  <c:v>3.6266543882731761E-2</c:v>
                </c:pt>
                <c:pt idx="145">
                  <c:v>-6.4358887674393642E-2</c:v>
                </c:pt>
                <c:pt idx="146">
                  <c:v>-0.16824186776536842</c:v>
                </c:pt>
                <c:pt idx="147">
                  <c:v>-0.27336148702888063</c:v>
                </c:pt>
                <c:pt idx="148">
                  <c:v>-0.37202335824078747</c:v>
                </c:pt>
                <c:pt idx="149">
                  <c:v>-0.46077565199330672</c:v>
                </c:pt>
                <c:pt idx="150">
                  <c:v>-0.53196142219110776</c:v>
                </c:pt>
                <c:pt idx="151">
                  <c:v>-0.58766336762699867</c:v>
                </c:pt>
                <c:pt idx="152">
                  <c:v>-0.63316939301234187</c:v>
                </c:pt>
                <c:pt idx="153">
                  <c:v>-0.6640591540312446</c:v>
                </c:pt>
                <c:pt idx="154">
                  <c:v>-0.68202630226784033</c:v>
                </c:pt>
                <c:pt idx="155">
                  <c:v>-0.68500202206718497</c:v>
                </c:pt>
                <c:pt idx="156">
                  <c:v>-0.67607919737035593</c:v>
                </c:pt>
                <c:pt idx="157">
                  <c:v>-0.65532764568596913</c:v>
                </c:pt>
                <c:pt idx="158">
                  <c:v>-0.6273848874408452</c:v>
                </c:pt>
                <c:pt idx="159">
                  <c:v>-0.59229891950453983</c:v>
                </c:pt>
                <c:pt idx="160">
                  <c:v>-0.5521273576718374</c:v>
                </c:pt>
                <c:pt idx="161">
                  <c:v>-0.504119397532516</c:v>
                </c:pt>
                <c:pt idx="162">
                  <c:v>-0.45508022178373975</c:v>
                </c:pt>
                <c:pt idx="163">
                  <c:v>-0.40645594410411001</c:v>
                </c:pt>
                <c:pt idx="164">
                  <c:v>-0.36128579613739814</c:v>
                </c:pt>
                <c:pt idx="165">
                  <c:v>-0.31872582088441725</c:v>
                </c:pt>
                <c:pt idx="166">
                  <c:v>-0.27804926695613175</c:v>
                </c:pt>
                <c:pt idx="167">
                  <c:v>-0.243349584452771</c:v>
                </c:pt>
                <c:pt idx="168">
                  <c:v>-0.2141311162057723</c:v>
                </c:pt>
                <c:pt idx="169">
                  <c:v>-0.19221892163165011</c:v>
                </c:pt>
                <c:pt idx="170">
                  <c:v>-0.17858020127659169</c:v>
                </c:pt>
                <c:pt idx="171">
                  <c:v>-0.1691778701571626</c:v>
                </c:pt>
                <c:pt idx="172">
                  <c:v>-0.16787806390471399</c:v>
                </c:pt>
                <c:pt idx="173">
                  <c:v>-0.16930010795043315</c:v>
                </c:pt>
                <c:pt idx="174">
                  <c:v>-0.16929856615226474</c:v>
                </c:pt>
                <c:pt idx="175">
                  <c:v>-0.16691970421309726</c:v>
                </c:pt>
                <c:pt idx="176">
                  <c:v>-0.16106877636307579</c:v>
                </c:pt>
                <c:pt idx="177">
                  <c:v>-0.15140972187761859</c:v>
                </c:pt>
                <c:pt idx="178">
                  <c:v>-0.13826944507089242</c:v>
                </c:pt>
                <c:pt idx="179">
                  <c:v>-0.12426380252772135</c:v>
                </c:pt>
                <c:pt idx="180">
                  <c:v>-0.11079375063627182</c:v>
                </c:pt>
                <c:pt idx="181">
                  <c:v>-9.7642342327934534E-2</c:v>
                </c:pt>
                <c:pt idx="182">
                  <c:v>-8.5786129538958006E-2</c:v>
                </c:pt>
                <c:pt idx="183">
                  <c:v>-8.223233391791715E-2</c:v>
                </c:pt>
                <c:pt idx="184">
                  <c:v>-7.9800064647984198E-2</c:v>
                </c:pt>
                <c:pt idx="185">
                  <c:v>-7.6444859480877467E-2</c:v>
                </c:pt>
                <c:pt idx="186">
                  <c:v>-7.596855457049928E-2</c:v>
                </c:pt>
                <c:pt idx="187">
                  <c:v>-7.4165033771730615E-2</c:v>
                </c:pt>
                <c:pt idx="188">
                  <c:v>-7.5694234512090161E-2</c:v>
                </c:pt>
                <c:pt idx="189">
                  <c:v>-7.9530290116768432E-2</c:v>
                </c:pt>
                <c:pt idx="190">
                  <c:v>-8.2545663142901973E-2</c:v>
                </c:pt>
                <c:pt idx="191">
                  <c:v>-8.5957647105004018E-2</c:v>
                </c:pt>
                <c:pt idx="192">
                  <c:v>-8.924344241561441E-2</c:v>
                </c:pt>
                <c:pt idx="193">
                  <c:v>-9.0032329204925682E-2</c:v>
                </c:pt>
                <c:pt idx="194">
                  <c:v>-8.8068334925937672E-2</c:v>
                </c:pt>
                <c:pt idx="195">
                  <c:v>-8.3652514412667314E-2</c:v>
                </c:pt>
                <c:pt idx="196">
                  <c:v>-7.4600931262279888E-2</c:v>
                </c:pt>
                <c:pt idx="197">
                  <c:v>-6.4203822769417884E-2</c:v>
                </c:pt>
                <c:pt idx="198">
                  <c:v>-5.0378589383988225E-2</c:v>
                </c:pt>
                <c:pt idx="199">
                  <c:v>-3.4385988324541227E-2</c:v>
                </c:pt>
                <c:pt idx="200">
                  <c:v>-1.7324253876348568E-2</c:v>
                </c:pt>
                <c:pt idx="201">
                  <c:v>-3.9014572208105284E-3</c:v>
                </c:pt>
                <c:pt idx="202">
                  <c:v>1.0156255084103054E-2</c:v>
                </c:pt>
                <c:pt idx="203">
                  <c:v>2.3066886284700456E-2</c:v>
                </c:pt>
                <c:pt idx="204">
                  <c:v>3.7356301057752825E-2</c:v>
                </c:pt>
                <c:pt idx="205">
                  <c:v>4.9006519572313986E-2</c:v>
                </c:pt>
                <c:pt idx="206">
                  <c:v>6.298986511481286E-2</c:v>
                </c:pt>
                <c:pt idx="207">
                  <c:v>6.2485240560652328E-2</c:v>
                </c:pt>
                <c:pt idx="208">
                  <c:v>5.3726779761713611E-2</c:v>
                </c:pt>
                <c:pt idx="209">
                  <c:v>3.7304530589669607E-2</c:v>
                </c:pt>
                <c:pt idx="210">
                  <c:v>1.5755364945291696E-2</c:v>
                </c:pt>
                <c:pt idx="211">
                  <c:v>-5.7150008928566597E-3</c:v>
                </c:pt>
                <c:pt idx="212">
                  <c:v>-2.2229005792239197E-2</c:v>
                </c:pt>
                <c:pt idx="213">
                  <c:v>-2.54553745055505E-2</c:v>
                </c:pt>
                <c:pt idx="214">
                  <c:v>-2.3738240526938566E-2</c:v>
                </c:pt>
                <c:pt idx="215">
                  <c:v>-1.8800576863318194E-2</c:v>
                </c:pt>
                <c:pt idx="216">
                  <c:v>-7.9791981547345237E-3</c:v>
                </c:pt>
                <c:pt idx="217">
                  <c:v>3.9403210101959466E-3</c:v>
                </c:pt>
                <c:pt idx="218">
                  <c:v>1.591431165932395E-2</c:v>
                </c:pt>
                <c:pt idx="219">
                  <c:v>2.6787820397489046E-2</c:v>
                </c:pt>
                <c:pt idx="220">
                  <c:v>3.5397600253853669E-2</c:v>
                </c:pt>
                <c:pt idx="221">
                  <c:v>4.5197926026012275E-2</c:v>
                </c:pt>
                <c:pt idx="222">
                  <c:v>5.2614877913402247E-2</c:v>
                </c:pt>
                <c:pt idx="223">
                  <c:v>5.3005202815869359E-2</c:v>
                </c:pt>
                <c:pt idx="224">
                  <c:v>4.9947766814800836E-2</c:v>
                </c:pt>
                <c:pt idx="225">
                  <c:v>5.0742727423960236E-2</c:v>
                </c:pt>
                <c:pt idx="226">
                  <c:v>5.7250696002072485E-2</c:v>
                </c:pt>
                <c:pt idx="227">
                  <c:v>6.215648388084162E-2</c:v>
                </c:pt>
                <c:pt idx="228">
                  <c:v>6.5659219229897411E-2</c:v>
                </c:pt>
                <c:pt idx="229">
                  <c:v>6.8419933888515722E-2</c:v>
                </c:pt>
                <c:pt idx="230">
                  <c:v>6.8060028465294561E-2</c:v>
                </c:pt>
                <c:pt idx="231">
                  <c:v>6.3095102583413609E-2</c:v>
                </c:pt>
                <c:pt idx="232">
                  <c:v>5.4104689673768427E-2</c:v>
                </c:pt>
                <c:pt idx="233">
                  <c:v>3.8227817219081188E-2</c:v>
                </c:pt>
                <c:pt idx="234">
                  <c:v>1.9879067554940285E-2</c:v>
                </c:pt>
                <c:pt idx="235">
                  <c:v>2.3111177588802413E-3</c:v>
                </c:pt>
                <c:pt idx="236">
                  <c:v>-1.4480372341971236E-2</c:v>
                </c:pt>
                <c:pt idx="237">
                  <c:v>-3.2226822987907813E-2</c:v>
                </c:pt>
                <c:pt idx="238">
                  <c:v>-4.988237668126036E-2</c:v>
                </c:pt>
                <c:pt idx="239">
                  <c:v>-6.6441732600051207E-2</c:v>
                </c:pt>
                <c:pt idx="240">
                  <c:v>-8.7574168161607485E-2</c:v>
                </c:pt>
                <c:pt idx="241">
                  <c:v>-0.1105798270067717</c:v>
                </c:pt>
                <c:pt idx="242">
                  <c:v>-0.1376985945073132</c:v>
                </c:pt>
                <c:pt idx="243">
                  <c:v>-0.16487496800947077</c:v>
                </c:pt>
                <c:pt idx="244">
                  <c:v>-0.18808851551022751</c:v>
                </c:pt>
                <c:pt idx="245">
                  <c:v>-0.20685835415990014</c:v>
                </c:pt>
                <c:pt idx="246">
                  <c:v>-0.21950332767646658</c:v>
                </c:pt>
                <c:pt idx="247">
                  <c:v>-0.22636123422970172</c:v>
                </c:pt>
                <c:pt idx="248">
                  <c:v>-0.22934509747838916</c:v>
                </c:pt>
                <c:pt idx="249">
                  <c:v>-0.23157651432035592</c:v>
                </c:pt>
                <c:pt idx="250">
                  <c:v>-0.23237722606025091</c:v>
                </c:pt>
                <c:pt idx="251">
                  <c:v>-0.23563597199012343</c:v>
                </c:pt>
                <c:pt idx="252">
                  <c:v>-0.23611539546727026</c:v>
                </c:pt>
                <c:pt idx="253">
                  <c:v>-0.23366090256848254</c:v>
                </c:pt>
                <c:pt idx="254">
                  <c:v>-0.23147641634940255</c:v>
                </c:pt>
                <c:pt idx="255">
                  <c:v>-0.22936239988213727</c:v>
                </c:pt>
                <c:pt idx="256">
                  <c:v>-0.22829417067553134</c:v>
                </c:pt>
                <c:pt idx="257">
                  <c:v>-0.22647418442677736</c:v>
                </c:pt>
                <c:pt idx="258">
                  <c:v>-0.22266297837791837</c:v>
                </c:pt>
                <c:pt idx="259">
                  <c:v>-0.21462683629650564</c:v>
                </c:pt>
                <c:pt idx="260">
                  <c:v>-0.20293336549172794</c:v>
                </c:pt>
                <c:pt idx="261">
                  <c:v>-0.1864272475395834</c:v>
                </c:pt>
                <c:pt idx="262">
                  <c:v>-0.16342024183777273</c:v>
                </c:pt>
                <c:pt idx="263">
                  <c:v>-0.14345345666734802</c:v>
                </c:pt>
                <c:pt idx="264">
                  <c:v>-0.12406979001175744</c:v>
                </c:pt>
                <c:pt idx="265">
                  <c:v>-0.10641355842088782</c:v>
                </c:pt>
                <c:pt idx="266">
                  <c:v>-8.6440345430513488E-2</c:v>
                </c:pt>
                <c:pt idx="267">
                  <c:v>-7.0576246214462568E-2</c:v>
                </c:pt>
                <c:pt idx="268">
                  <c:v>-5.5916259417086431E-2</c:v>
                </c:pt>
                <c:pt idx="269">
                  <c:v>-4.3437000487649237E-2</c:v>
                </c:pt>
                <c:pt idx="270">
                  <c:v>-3.4136969178890406E-2</c:v>
                </c:pt>
                <c:pt idx="271">
                  <c:v>-3.0222809885195004E-2</c:v>
                </c:pt>
                <c:pt idx="272">
                  <c:v>-2.5580029869019961E-2</c:v>
                </c:pt>
                <c:pt idx="273">
                  <c:v>-2.3022111874090083E-2</c:v>
                </c:pt>
                <c:pt idx="274">
                  <c:v>-3.3628517657739457E-2</c:v>
                </c:pt>
                <c:pt idx="275">
                  <c:v>-5.2167717033246956E-2</c:v>
                </c:pt>
                <c:pt idx="276">
                  <c:v>-7.4588281502978845E-2</c:v>
                </c:pt>
                <c:pt idx="277">
                  <c:v>-9.8566940870955688E-2</c:v>
                </c:pt>
                <c:pt idx="278">
                  <c:v>-0.12172622699832369</c:v>
                </c:pt>
                <c:pt idx="279">
                  <c:v>-0.14099624258644339</c:v>
                </c:pt>
                <c:pt idx="280">
                  <c:v>-0.15445644393090144</c:v>
                </c:pt>
                <c:pt idx="281">
                  <c:v>-0.16385569942496575</c:v>
                </c:pt>
                <c:pt idx="282">
                  <c:v>-0.16904572714775515</c:v>
                </c:pt>
                <c:pt idx="283">
                  <c:v>-0.17014241241613431</c:v>
                </c:pt>
                <c:pt idx="284">
                  <c:v>-0.16998317666217344</c:v>
                </c:pt>
                <c:pt idx="285">
                  <c:v>-0.16754086618350703</c:v>
                </c:pt>
                <c:pt idx="286">
                  <c:v>-0.16229693000804707</c:v>
                </c:pt>
                <c:pt idx="287">
                  <c:v>-0.15440425659135468</c:v>
                </c:pt>
                <c:pt idx="288">
                  <c:v>-0.14778502930720652</c:v>
                </c:pt>
                <c:pt idx="289">
                  <c:v>-0.13782598409639829</c:v>
                </c:pt>
                <c:pt idx="290">
                  <c:v>-0.12853424857429788</c:v>
                </c:pt>
                <c:pt idx="291">
                  <c:v>-0.12416259472246173</c:v>
                </c:pt>
                <c:pt idx="292">
                  <c:v>-0.11436508993773177</c:v>
                </c:pt>
                <c:pt idx="293">
                  <c:v>-0.10205788375941796</c:v>
                </c:pt>
                <c:pt idx="294">
                  <c:v>-8.396341826510681E-2</c:v>
                </c:pt>
                <c:pt idx="295">
                  <c:v>-6.2041517958726568E-2</c:v>
                </c:pt>
                <c:pt idx="296">
                  <c:v>-4.3036125038714512E-2</c:v>
                </c:pt>
                <c:pt idx="297">
                  <c:v>-2.8352390109296046E-2</c:v>
                </c:pt>
                <c:pt idx="298">
                  <c:v>-1.8039776457782361E-2</c:v>
                </c:pt>
                <c:pt idx="299">
                  <c:v>-7.7755016984642272E-3</c:v>
                </c:pt>
                <c:pt idx="300">
                  <c:v>4.9694659084447762E-3</c:v>
                </c:pt>
                <c:pt idx="301">
                  <c:v>1.9068477531809742E-2</c:v>
                </c:pt>
                <c:pt idx="302">
                  <c:v>3.6743594818208616E-2</c:v>
                </c:pt>
                <c:pt idx="303">
                  <c:v>5.3097134360856446E-2</c:v>
                </c:pt>
                <c:pt idx="304">
                  <c:v>6.7484491741969466E-2</c:v>
                </c:pt>
                <c:pt idx="305">
                  <c:v>8.372006836882645E-2</c:v>
                </c:pt>
                <c:pt idx="306">
                  <c:v>0.10071033892569639</c:v>
                </c:pt>
                <c:pt idx="307">
                  <c:v>0.11721298388489079</c:v>
                </c:pt>
                <c:pt idx="308">
                  <c:v>0.12589598016646236</c:v>
                </c:pt>
                <c:pt idx="309">
                  <c:v>0.12606385785888485</c:v>
                </c:pt>
                <c:pt idx="310">
                  <c:v>0.12554436767255997</c:v>
                </c:pt>
                <c:pt idx="311">
                  <c:v>0.12289924270551104</c:v>
                </c:pt>
                <c:pt idx="312">
                  <c:v>0.12213078797626831</c:v>
                </c:pt>
                <c:pt idx="313">
                  <c:v>0.11256832295914609</c:v>
                </c:pt>
                <c:pt idx="314">
                  <c:v>9.8376833539215627E-2</c:v>
                </c:pt>
                <c:pt idx="315">
                  <c:v>7.6379180500702554E-2</c:v>
                </c:pt>
                <c:pt idx="316">
                  <c:v>4.1692916281049694E-2</c:v>
                </c:pt>
                <c:pt idx="317">
                  <c:v>1.3700038012297477E-2</c:v>
                </c:pt>
                <c:pt idx="318">
                  <c:v>-1.4404937581431101E-2</c:v>
                </c:pt>
                <c:pt idx="319">
                  <c:v>-3.8042693546968626E-2</c:v>
                </c:pt>
                <c:pt idx="320">
                  <c:v>-5.1491967510211706E-2</c:v>
                </c:pt>
                <c:pt idx="321">
                  <c:v>-6.1881052711527065E-2</c:v>
                </c:pt>
                <c:pt idx="322">
                  <c:v>-7.0464139230513353E-2</c:v>
                </c:pt>
                <c:pt idx="323">
                  <c:v>-7.363520348896925E-2</c:v>
                </c:pt>
                <c:pt idx="324">
                  <c:v>-7.5632761643540394E-2</c:v>
                </c:pt>
                <c:pt idx="325">
                  <c:v>-7.3745896373001704E-2</c:v>
                </c:pt>
                <c:pt idx="326">
                  <c:v>-6.728110645960074E-2</c:v>
                </c:pt>
                <c:pt idx="327">
                  <c:v>-5.3665273320584919E-2</c:v>
                </c:pt>
                <c:pt idx="328">
                  <c:v>-3.6477843604549788E-2</c:v>
                </c:pt>
                <c:pt idx="329">
                  <c:v>-1.8188747748763074E-2</c:v>
                </c:pt>
                <c:pt idx="330">
                  <c:v>1.9476363839410517E-3</c:v>
                </c:pt>
                <c:pt idx="331">
                  <c:v>1.9948225199759077E-2</c:v>
                </c:pt>
                <c:pt idx="332">
                  <c:v>3.8333302949805012E-2</c:v>
                </c:pt>
                <c:pt idx="333">
                  <c:v>5.7503667003467415E-2</c:v>
                </c:pt>
                <c:pt idx="334">
                  <c:v>7.4275242893613036E-2</c:v>
                </c:pt>
                <c:pt idx="335">
                  <c:v>9.2802515118040108E-2</c:v>
                </c:pt>
                <c:pt idx="336">
                  <c:v>0.10869477130975444</c:v>
                </c:pt>
                <c:pt idx="337">
                  <c:v>0.12185461480012369</c:v>
                </c:pt>
                <c:pt idx="338">
                  <c:v>0.13472740528092375</c:v>
                </c:pt>
                <c:pt idx="339">
                  <c:v>0.14835292245352819</c:v>
                </c:pt>
                <c:pt idx="340">
                  <c:v>0.16219555648726741</c:v>
                </c:pt>
                <c:pt idx="341">
                  <c:v>0.1758766657290948</c:v>
                </c:pt>
                <c:pt idx="342">
                  <c:v>0.18993393110524273</c:v>
                </c:pt>
                <c:pt idx="343">
                  <c:v>0.20385488172852795</c:v>
                </c:pt>
                <c:pt idx="344">
                  <c:v>0.21569828636183833</c:v>
                </c:pt>
                <c:pt idx="345">
                  <c:v>0.22464842207168226</c:v>
                </c:pt>
                <c:pt idx="346">
                  <c:v>0.22697485294425807</c:v>
                </c:pt>
                <c:pt idx="347">
                  <c:v>0.22387222035640691</c:v>
                </c:pt>
                <c:pt idx="348">
                  <c:v>0.2157427977458706</c:v>
                </c:pt>
                <c:pt idx="349">
                  <c:v>0.20359939602663518</c:v>
                </c:pt>
                <c:pt idx="350">
                  <c:v>0.18687902470882037</c:v>
                </c:pt>
                <c:pt idx="351">
                  <c:v>0.16853819270950496</c:v>
                </c:pt>
                <c:pt idx="352">
                  <c:v>0.15231171798850757</c:v>
                </c:pt>
                <c:pt idx="353">
                  <c:v>0.13153218446895046</c:v>
                </c:pt>
                <c:pt idx="354">
                  <c:v>0.11203881828130674</c:v>
                </c:pt>
                <c:pt idx="355">
                  <c:v>9.4915832994655919E-2</c:v>
                </c:pt>
                <c:pt idx="356">
                  <c:v>7.7726221101443949E-2</c:v>
                </c:pt>
                <c:pt idx="357">
                  <c:v>6.377150957435905E-2</c:v>
                </c:pt>
                <c:pt idx="358">
                  <c:v>5.3706905070028815E-2</c:v>
                </c:pt>
                <c:pt idx="359">
                  <c:v>5.0633886730455012E-2</c:v>
                </c:pt>
                <c:pt idx="360">
                  <c:v>5.2946011935924825E-2</c:v>
                </c:pt>
                <c:pt idx="361">
                  <c:v>5.6317486618831028E-2</c:v>
                </c:pt>
                <c:pt idx="362">
                  <c:v>5.845240221790645E-2</c:v>
                </c:pt>
                <c:pt idx="363">
                  <c:v>6.2598464918861979E-2</c:v>
                </c:pt>
                <c:pt idx="364">
                  <c:v>6.4454174448253784E-2</c:v>
                </c:pt>
                <c:pt idx="365">
                  <c:v>6.4789695679515577E-2</c:v>
                </c:pt>
                <c:pt idx="366">
                  <c:v>6.6559841489730723E-2</c:v>
                </c:pt>
                <c:pt idx="367">
                  <c:v>7.1537391434618514E-2</c:v>
                </c:pt>
                <c:pt idx="368">
                  <c:v>7.7782212255558619E-2</c:v>
                </c:pt>
                <c:pt idx="369">
                  <c:v>8.0328084699921948E-2</c:v>
                </c:pt>
                <c:pt idx="370">
                  <c:v>8.2632147561427893E-2</c:v>
                </c:pt>
                <c:pt idx="371">
                  <c:v>8.7187781411738385E-2</c:v>
                </c:pt>
                <c:pt idx="372">
                  <c:v>9.351484469100009E-2</c:v>
                </c:pt>
                <c:pt idx="373">
                  <c:v>0.1083845992360114</c:v>
                </c:pt>
                <c:pt idx="374">
                  <c:v>0.13428307433785414</c:v>
                </c:pt>
                <c:pt idx="375">
                  <c:v>0.166068615311944</c:v>
                </c:pt>
                <c:pt idx="376">
                  <c:v>0.19598932906586758</c:v>
                </c:pt>
                <c:pt idx="377">
                  <c:v>0.22416191009967307</c:v>
                </c:pt>
                <c:pt idx="378">
                  <c:v>0.25164419421744533</c:v>
                </c:pt>
                <c:pt idx="379">
                  <c:v>0.27795595211109109</c:v>
                </c:pt>
                <c:pt idx="380">
                  <c:v>0.29944714910376879</c:v>
                </c:pt>
                <c:pt idx="381">
                  <c:v>0.31770324882533185</c:v>
                </c:pt>
                <c:pt idx="382">
                  <c:v>0.32730465842272888</c:v>
                </c:pt>
                <c:pt idx="383">
                  <c:v>0.32496720337440893</c:v>
                </c:pt>
                <c:pt idx="384">
                  <c:v>0.31309266908999733</c:v>
                </c:pt>
                <c:pt idx="385">
                  <c:v>0.29530890364781082</c:v>
                </c:pt>
                <c:pt idx="386">
                  <c:v>0.27647369463442051</c:v>
                </c:pt>
                <c:pt idx="387">
                  <c:v>0.25542216455115546</c:v>
                </c:pt>
                <c:pt idx="388">
                  <c:v>0.23653422360327159</c:v>
                </c:pt>
                <c:pt idx="389">
                  <c:v>0.21753887622901219</c:v>
                </c:pt>
                <c:pt idx="390">
                  <c:v>0.20232658833310244</c:v>
                </c:pt>
                <c:pt idx="391">
                  <c:v>0.18679041984418737</c:v>
                </c:pt>
                <c:pt idx="392">
                  <c:v>0.16824906455715102</c:v>
                </c:pt>
                <c:pt idx="393">
                  <c:v>0.14506218388563921</c:v>
                </c:pt>
                <c:pt idx="394">
                  <c:v>0.12303932963196956</c:v>
                </c:pt>
                <c:pt idx="395">
                  <c:v>9.8631503487950273E-2</c:v>
                </c:pt>
                <c:pt idx="396">
                  <c:v>7.5857594672656375E-2</c:v>
                </c:pt>
                <c:pt idx="397">
                  <c:v>5.6883730469279463E-2</c:v>
                </c:pt>
                <c:pt idx="398">
                  <c:v>4.3549814788946636E-2</c:v>
                </c:pt>
                <c:pt idx="399">
                  <c:v>3.5467445751795557E-2</c:v>
                </c:pt>
                <c:pt idx="400">
                  <c:v>3.1657674706615735E-2</c:v>
                </c:pt>
                <c:pt idx="401">
                  <c:v>2.7781650686221761E-2</c:v>
                </c:pt>
                <c:pt idx="402">
                  <c:v>2.5758953921893667E-2</c:v>
                </c:pt>
                <c:pt idx="403">
                  <c:v>2.7976549048336369E-2</c:v>
                </c:pt>
                <c:pt idx="404">
                  <c:v>3.2671862768523512E-2</c:v>
                </c:pt>
                <c:pt idx="405">
                  <c:v>3.8599560613946066E-2</c:v>
                </c:pt>
                <c:pt idx="406">
                  <c:v>4.5220065350265841E-2</c:v>
                </c:pt>
                <c:pt idx="407">
                  <c:v>5.3739214464274938E-2</c:v>
                </c:pt>
                <c:pt idx="408">
                  <c:v>6.1443429241595349E-2</c:v>
                </c:pt>
                <c:pt idx="409">
                  <c:v>6.5540242738666571E-2</c:v>
                </c:pt>
                <c:pt idx="410">
                  <c:v>7.3553176337755238E-2</c:v>
                </c:pt>
                <c:pt idx="411">
                  <c:v>8.4709317638127307E-2</c:v>
                </c:pt>
                <c:pt idx="412">
                  <c:v>9.7376755919254376E-2</c:v>
                </c:pt>
                <c:pt idx="413">
                  <c:v>0.11122226561536155</c:v>
                </c:pt>
                <c:pt idx="414">
                  <c:v>0.12163598192228034</c:v>
                </c:pt>
                <c:pt idx="415">
                  <c:v>0.1300328443511177</c:v>
                </c:pt>
                <c:pt idx="416">
                  <c:v>0.13563131248551225</c:v>
                </c:pt>
                <c:pt idx="417">
                  <c:v>0.13727774754743194</c:v>
                </c:pt>
                <c:pt idx="418">
                  <c:v>0.13700519719874854</c:v>
                </c:pt>
                <c:pt idx="419">
                  <c:v>0.13618915391081737</c:v>
                </c:pt>
                <c:pt idx="420">
                  <c:v>0.13396711468765798</c:v>
                </c:pt>
                <c:pt idx="421">
                  <c:v>0.12748408607477144</c:v>
                </c:pt>
                <c:pt idx="422">
                  <c:v>0.11726283179771729</c:v>
                </c:pt>
                <c:pt idx="423">
                  <c:v>0.11039158084585643</c:v>
                </c:pt>
                <c:pt idx="424">
                  <c:v>0.10445229138795595</c:v>
                </c:pt>
                <c:pt idx="425">
                  <c:v>9.917041680637001E-2</c:v>
                </c:pt>
                <c:pt idx="426">
                  <c:v>9.3234643169642126E-2</c:v>
                </c:pt>
                <c:pt idx="427">
                  <c:v>8.7785401522227163E-2</c:v>
                </c:pt>
                <c:pt idx="428">
                  <c:v>8.4003039540747726E-2</c:v>
                </c:pt>
                <c:pt idx="429">
                  <c:v>7.9357733272466743E-2</c:v>
                </c:pt>
                <c:pt idx="430">
                  <c:v>7.4872369185444834E-2</c:v>
                </c:pt>
                <c:pt idx="431">
                  <c:v>7.1668543798508039E-2</c:v>
                </c:pt>
                <c:pt idx="432">
                  <c:v>6.76771231582938E-2</c:v>
                </c:pt>
                <c:pt idx="433">
                  <c:v>6.3087495924154371E-2</c:v>
                </c:pt>
                <c:pt idx="434">
                  <c:v>6.4441953287465978E-2</c:v>
                </c:pt>
                <c:pt idx="435">
                  <c:v>7.0580521856829517E-2</c:v>
                </c:pt>
                <c:pt idx="436">
                  <c:v>7.7160943378243127E-2</c:v>
                </c:pt>
                <c:pt idx="437">
                  <c:v>8.8443356747960375E-2</c:v>
                </c:pt>
                <c:pt idx="438">
                  <c:v>0.10108214366532882</c:v>
                </c:pt>
                <c:pt idx="439">
                  <c:v>0.12085763367748788</c:v>
                </c:pt>
                <c:pt idx="440">
                  <c:v>0.14427278054915724</c:v>
                </c:pt>
                <c:pt idx="441">
                  <c:v>0.1559684618430893</c:v>
                </c:pt>
                <c:pt idx="442">
                  <c:v>0.15647822367153674</c:v>
                </c:pt>
                <c:pt idx="443">
                  <c:v>0.14576443997580454</c:v>
                </c:pt>
                <c:pt idx="444">
                  <c:v>0.12680946554702757</c:v>
                </c:pt>
                <c:pt idx="445">
                  <c:v>0.10546777315751561</c:v>
                </c:pt>
                <c:pt idx="446">
                  <c:v>8.526350233518111E-2</c:v>
                </c:pt>
                <c:pt idx="447">
                  <c:v>6.8391939564247842E-2</c:v>
                </c:pt>
                <c:pt idx="448">
                  <c:v>5.4018721450414385E-2</c:v>
                </c:pt>
                <c:pt idx="449">
                  <c:v>4.471356048956119E-2</c:v>
                </c:pt>
                <c:pt idx="450">
                  <c:v>4.0087649349060665E-2</c:v>
                </c:pt>
                <c:pt idx="451">
                  <c:v>4.7639748482017324E-2</c:v>
                </c:pt>
                <c:pt idx="452">
                  <c:v>6.0246240313916281E-2</c:v>
                </c:pt>
                <c:pt idx="453">
                  <c:v>7.378666363245058E-2</c:v>
                </c:pt>
                <c:pt idx="454">
                  <c:v>0.11096609494840035</c:v>
                </c:pt>
                <c:pt idx="455">
                  <c:v>0.15150651585768155</c:v>
                </c:pt>
                <c:pt idx="456">
                  <c:v>0.18960895600660926</c:v>
                </c:pt>
                <c:pt idx="457">
                  <c:v>0.22550875276287818</c:v>
                </c:pt>
                <c:pt idx="458">
                  <c:v>0.25476027371028487</c:v>
                </c:pt>
                <c:pt idx="459">
                  <c:v>0.27884753003561125</c:v>
                </c:pt>
                <c:pt idx="460">
                  <c:v>0.29588515172483482</c:v>
                </c:pt>
                <c:pt idx="461">
                  <c:v>0.30342670509381775</c:v>
                </c:pt>
                <c:pt idx="462">
                  <c:v>0.30903480838725328</c:v>
                </c:pt>
                <c:pt idx="463">
                  <c:v>0.31259226790881001</c:v>
                </c:pt>
                <c:pt idx="464">
                  <c:v>0.31540137216160014</c:v>
                </c:pt>
                <c:pt idx="465">
                  <c:v>0.31607757961920724</c:v>
                </c:pt>
                <c:pt idx="466">
                  <c:v>0.31689469426810851</c:v>
                </c:pt>
                <c:pt idx="467">
                  <c:v>0.31942818759829361</c:v>
                </c:pt>
                <c:pt idx="468">
                  <c:v>0.31946437176189307</c:v>
                </c:pt>
                <c:pt idx="469">
                  <c:v>0.31576937272700634</c:v>
                </c:pt>
                <c:pt idx="470">
                  <c:v>0.30426386708355385</c:v>
                </c:pt>
                <c:pt idx="471">
                  <c:v>0.29000616416456909</c:v>
                </c:pt>
                <c:pt idx="472">
                  <c:v>0.27219533703407572</c:v>
                </c:pt>
                <c:pt idx="473">
                  <c:v>0.24465310142222024</c:v>
                </c:pt>
                <c:pt idx="474">
                  <c:v>0.21859845779959802</c:v>
                </c:pt>
                <c:pt idx="475">
                  <c:v>0.196417879459163</c:v>
                </c:pt>
                <c:pt idx="476">
                  <c:v>0.18073098402464816</c:v>
                </c:pt>
                <c:pt idx="477">
                  <c:v>0.1698437020604403</c:v>
                </c:pt>
                <c:pt idx="478">
                  <c:v>0.16358424342945321</c:v>
                </c:pt>
                <c:pt idx="479">
                  <c:v>0.15826617447759758</c:v>
                </c:pt>
                <c:pt idx="480">
                  <c:v>0.15026532848454835</c:v>
                </c:pt>
                <c:pt idx="481">
                  <c:v>0.14273397637874105</c:v>
                </c:pt>
                <c:pt idx="482">
                  <c:v>0.13636410106164396</c:v>
                </c:pt>
                <c:pt idx="483">
                  <c:v>0.12899034915908034</c:v>
                </c:pt>
                <c:pt idx="484">
                  <c:v>0.12283492177753501</c:v>
                </c:pt>
                <c:pt idx="485">
                  <c:v>0.11652856368665154</c:v>
                </c:pt>
                <c:pt idx="486">
                  <c:v>0.11545755996006567</c:v>
                </c:pt>
                <c:pt idx="487">
                  <c:v>0.12097093908460978</c:v>
                </c:pt>
                <c:pt idx="488">
                  <c:v>0.13212061820940868</c:v>
                </c:pt>
                <c:pt idx="489">
                  <c:v>0.14416242100825913</c:v>
                </c:pt>
                <c:pt idx="490">
                  <c:v>0.15612265144239684</c:v>
                </c:pt>
                <c:pt idx="491">
                  <c:v>0.16130535400935853</c:v>
                </c:pt>
                <c:pt idx="492">
                  <c:v>0.161760244208177</c:v>
                </c:pt>
                <c:pt idx="493">
                  <c:v>0.16125246518757599</c:v>
                </c:pt>
                <c:pt idx="494">
                  <c:v>0.15964085121984317</c:v>
                </c:pt>
                <c:pt idx="495">
                  <c:v>0.15434575385513449</c:v>
                </c:pt>
                <c:pt idx="496">
                  <c:v>0.14778452213456178</c:v>
                </c:pt>
                <c:pt idx="497">
                  <c:v>0.13963910092014539</c:v>
                </c:pt>
                <c:pt idx="498">
                  <c:v>0.13013083862585259</c:v>
                </c:pt>
                <c:pt idx="499">
                  <c:v>0.11917249746472648</c:v>
                </c:pt>
                <c:pt idx="500">
                  <c:v>0.10585312533120643</c:v>
                </c:pt>
                <c:pt idx="501">
                  <c:v>9.5020839046874833E-2</c:v>
                </c:pt>
                <c:pt idx="502">
                  <c:v>8.8172758697630624E-2</c:v>
                </c:pt>
                <c:pt idx="503">
                  <c:v>8.9244882841797227E-2</c:v>
                </c:pt>
                <c:pt idx="504">
                  <c:v>9.4064363105691051E-2</c:v>
                </c:pt>
                <c:pt idx="505">
                  <c:v>0.11129549128696313</c:v>
                </c:pt>
                <c:pt idx="506">
                  <c:v>0.13195816758862894</c:v>
                </c:pt>
                <c:pt idx="507">
                  <c:v>0.15067549006825778</c:v>
                </c:pt>
                <c:pt idx="508">
                  <c:v>0.16605116876860476</c:v>
                </c:pt>
                <c:pt idx="509">
                  <c:v>0.17591426896597961</c:v>
                </c:pt>
                <c:pt idx="510">
                  <c:v>0.18092557506233381</c:v>
                </c:pt>
                <c:pt idx="511">
                  <c:v>0.17887037633120237</c:v>
                </c:pt>
                <c:pt idx="512">
                  <c:v>0.14309630106496191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  <c:max val="0.5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11.967599999999999</c:v>
                </c:pt>
                <c:pt idx="1">
                  <c:v>11.524699999999999</c:v>
                </c:pt>
                <c:pt idx="2">
                  <c:v>11.495200000000001</c:v>
                </c:pt>
                <c:pt idx="3">
                  <c:v>11.6625</c:v>
                </c:pt>
                <c:pt idx="4">
                  <c:v>11.7806</c:v>
                </c:pt>
                <c:pt idx="5">
                  <c:v>11.652699999999999</c:v>
                </c:pt>
                <c:pt idx="6">
                  <c:v>11.642799999999999</c:v>
                </c:pt>
                <c:pt idx="7">
                  <c:v>11.524699999999999</c:v>
                </c:pt>
                <c:pt idx="8">
                  <c:v>11.278700000000001</c:v>
                </c:pt>
                <c:pt idx="9">
                  <c:v>11.278700000000001</c:v>
                </c:pt>
                <c:pt idx="10">
                  <c:v>11.091699999999999</c:v>
                </c:pt>
                <c:pt idx="11">
                  <c:v>10.8161</c:v>
                </c:pt>
                <c:pt idx="12">
                  <c:v>11.0228</c:v>
                </c:pt>
                <c:pt idx="13">
                  <c:v>11.0228</c:v>
                </c:pt>
                <c:pt idx="14">
                  <c:v>11.190099999999999</c:v>
                </c:pt>
                <c:pt idx="15">
                  <c:v>10.855499999999999</c:v>
                </c:pt>
                <c:pt idx="16">
                  <c:v>11.160600000000001</c:v>
                </c:pt>
                <c:pt idx="17">
                  <c:v>11.2098</c:v>
                </c:pt>
                <c:pt idx="18">
                  <c:v>11.3673</c:v>
                </c:pt>
                <c:pt idx="19">
                  <c:v>11.5936</c:v>
                </c:pt>
                <c:pt idx="20">
                  <c:v>11.534599999999999</c:v>
                </c:pt>
                <c:pt idx="21">
                  <c:v>11.9086</c:v>
                </c:pt>
                <c:pt idx="22">
                  <c:v>11.947900000000001</c:v>
                </c:pt>
                <c:pt idx="23">
                  <c:v>11.406599999999999</c:v>
                </c:pt>
                <c:pt idx="24">
                  <c:v>11.879099999999999</c:v>
                </c:pt>
                <c:pt idx="25">
                  <c:v>12.5975</c:v>
                </c:pt>
                <c:pt idx="26">
                  <c:v>12.627000000000001</c:v>
                </c:pt>
                <c:pt idx="27">
                  <c:v>12.4794</c:v>
                </c:pt>
                <c:pt idx="28">
                  <c:v>12.774699999999999</c:v>
                </c:pt>
                <c:pt idx="29">
                  <c:v>12.4794</c:v>
                </c:pt>
                <c:pt idx="30">
                  <c:v>12.3613</c:v>
                </c:pt>
                <c:pt idx="31">
                  <c:v>12.321899999999999</c:v>
                </c:pt>
                <c:pt idx="32">
                  <c:v>12.105399999999999</c:v>
                </c:pt>
                <c:pt idx="33">
                  <c:v>12.0562</c:v>
                </c:pt>
                <c:pt idx="34">
                  <c:v>11.947900000000001</c:v>
                </c:pt>
                <c:pt idx="35">
                  <c:v>11.9283</c:v>
                </c:pt>
                <c:pt idx="36">
                  <c:v>11.947900000000001</c:v>
                </c:pt>
                <c:pt idx="37">
                  <c:v>11.760999999999999</c:v>
                </c:pt>
                <c:pt idx="38">
                  <c:v>11.8102</c:v>
                </c:pt>
                <c:pt idx="39">
                  <c:v>12.105399999999999</c:v>
                </c:pt>
                <c:pt idx="40">
                  <c:v>12.2432</c:v>
                </c:pt>
                <c:pt idx="41">
                  <c:v>12.253</c:v>
                </c:pt>
                <c:pt idx="42">
                  <c:v>12.538500000000001</c:v>
                </c:pt>
                <c:pt idx="43">
                  <c:v>12.381</c:v>
                </c:pt>
                <c:pt idx="44">
                  <c:v>12.184100000000001</c:v>
                </c:pt>
                <c:pt idx="45">
                  <c:v>12.213699999999999</c:v>
                </c:pt>
                <c:pt idx="46">
                  <c:v>11.987299999999999</c:v>
                </c:pt>
                <c:pt idx="47">
                  <c:v>11.9184</c:v>
                </c:pt>
                <c:pt idx="48">
                  <c:v>11.9184</c:v>
                </c:pt>
                <c:pt idx="49">
                  <c:v>12.174300000000001</c:v>
                </c:pt>
                <c:pt idx="50">
                  <c:v>11.8889</c:v>
                </c:pt>
                <c:pt idx="51">
                  <c:v>11.869199999999999</c:v>
                </c:pt>
                <c:pt idx="52">
                  <c:v>11.987299999999999</c:v>
                </c:pt>
                <c:pt idx="53">
                  <c:v>12.105399999999999</c:v>
                </c:pt>
                <c:pt idx="54">
                  <c:v>12.6959</c:v>
                </c:pt>
                <c:pt idx="55">
                  <c:v>12.7156</c:v>
                </c:pt>
                <c:pt idx="56">
                  <c:v>12.7058</c:v>
                </c:pt>
                <c:pt idx="57">
                  <c:v>12.6959</c:v>
                </c:pt>
                <c:pt idx="58">
                  <c:v>12.2432</c:v>
                </c:pt>
                <c:pt idx="59">
                  <c:v>12.853400000000001</c:v>
                </c:pt>
                <c:pt idx="60">
                  <c:v>13.069900000000001</c:v>
                </c:pt>
                <c:pt idx="61">
                  <c:v>13.079800000000001</c:v>
                </c:pt>
                <c:pt idx="62">
                  <c:v>13.069900000000001</c:v>
                </c:pt>
                <c:pt idx="63">
                  <c:v>13.434100000000001</c:v>
                </c:pt>
                <c:pt idx="64">
                  <c:v>13.000999999999999</c:v>
                </c:pt>
                <c:pt idx="65">
                  <c:v>13.069900000000001</c:v>
                </c:pt>
                <c:pt idx="66">
                  <c:v>13.197900000000001</c:v>
                </c:pt>
                <c:pt idx="67">
                  <c:v>13.325799999999999</c:v>
                </c:pt>
                <c:pt idx="68">
                  <c:v>12.853400000000001</c:v>
                </c:pt>
                <c:pt idx="69">
                  <c:v>12.8337</c:v>
                </c:pt>
                <c:pt idx="70">
                  <c:v>12.410500000000001</c:v>
                </c:pt>
                <c:pt idx="71">
                  <c:v>12.0365</c:v>
                </c:pt>
                <c:pt idx="72">
                  <c:v>11.8987</c:v>
                </c:pt>
                <c:pt idx="73">
                  <c:v>11.849500000000001</c:v>
                </c:pt>
                <c:pt idx="74">
                  <c:v>11.869199999999999</c:v>
                </c:pt>
                <c:pt idx="75">
                  <c:v>11.947900000000001</c:v>
                </c:pt>
                <c:pt idx="76">
                  <c:v>12.6762</c:v>
                </c:pt>
                <c:pt idx="77">
                  <c:v>12.735300000000001</c:v>
                </c:pt>
                <c:pt idx="78">
                  <c:v>12.745100000000001</c:v>
                </c:pt>
                <c:pt idx="79">
                  <c:v>12.8337</c:v>
                </c:pt>
                <c:pt idx="80">
                  <c:v>12.5877</c:v>
                </c:pt>
                <c:pt idx="81">
                  <c:v>12.548299999999999</c:v>
                </c:pt>
                <c:pt idx="82">
                  <c:v>11.957800000000001</c:v>
                </c:pt>
                <c:pt idx="83">
                  <c:v>12.007</c:v>
                </c:pt>
                <c:pt idx="84">
                  <c:v>12.292400000000001</c:v>
                </c:pt>
                <c:pt idx="85">
                  <c:v>12.2334</c:v>
                </c:pt>
                <c:pt idx="86">
                  <c:v>12.302300000000001</c:v>
                </c:pt>
                <c:pt idx="87">
                  <c:v>11.977499999999999</c:v>
                </c:pt>
                <c:pt idx="88">
                  <c:v>11.957800000000001</c:v>
                </c:pt>
                <c:pt idx="89">
                  <c:v>11.9381</c:v>
                </c:pt>
                <c:pt idx="90">
                  <c:v>11.8003</c:v>
                </c:pt>
                <c:pt idx="91">
                  <c:v>12.1349</c:v>
                </c:pt>
                <c:pt idx="92">
                  <c:v>12.2432</c:v>
                </c:pt>
                <c:pt idx="93">
                  <c:v>12.1153</c:v>
                </c:pt>
                <c:pt idx="94">
                  <c:v>12.184100000000001</c:v>
                </c:pt>
                <c:pt idx="95">
                  <c:v>12.085699999999999</c:v>
                </c:pt>
                <c:pt idx="96">
                  <c:v>11.957800000000001</c:v>
                </c:pt>
                <c:pt idx="97">
                  <c:v>11.957800000000001</c:v>
                </c:pt>
                <c:pt idx="98">
                  <c:v>11.839700000000001</c:v>
                </c:pt>
                <c:pt idx="99">
                  <c:v>11.9184</c:v>
                </c:pt>
                <c:pt idx="100">
                  <c:v>11.967599999999999</c:v>
                </c:pt>
                <c:pt idx="101">
                  <c:v>11.495200000000001</c:v>
                </c:pt>
                <c:pt idx="102">
                  <c:v>11.3771</c:v>
                </c:pt>
                <c:pt idx="103">
                  <c:v>11.5838</c:v>
                </c:pt>
                <c:pt idx="104">
                  <c:v>11.9381</c:v>
                </c:pt>
                <c:pt idx="105">
                  <c:v>11.997199999999999</c:v>
                </c:pt>
                <c:pt idx="106">
                  <c:v>11.839700000000001</c:v>
                </c:pt>
                <c:pt idx="107">
                  <c:v>11.879099999999999</c:v>
                </c:pt>
                <c:pt idx="108">
                  <c:v>11.879099999999999</c:v>
                </c:pt>
                <c:pt idx="109">
                  <c:v>11.957800000000001</c:v>
                </c:pt>
                <c:pt idx="110">
                  <c:v>12.184100000000001</c:v>
                </c:pt>
                <c:pt idx="111">
                  <c:v>11.9184</c:v>
                </c:pt>
                <c:pt idx="112">
                  <c:v>11.8889</c:v>
                </c:pt>
                <c:pt idx="113">
                  <c:v>11.751099999999999</c:v>
                </c:pt>
                <c:pt idx="114">
                  <c:v>11.524699999999999</c:v>
                </c:pt>
                <c:pt idx="115">
                  <c:v>11.6625</c:v>
                </c:pt>
                <c:pt idx="116">
                  <c:v>11.5936</c:v>
                </c:pt>
                <c:pt idx="117">
                  <c:v>11.751099999999999</c:v>
                </c:pt>
                <c:pt idx="118">
                  <c:v>11.652699999999999</c:v>
                </c:pt>
                <c:pt idx="119">
                  <c:v>12.0365</c:v>
                </c:pt>
                <c:pt idx="120">
                  <c:v>11.8987</c:v>
                </c:pt>
                <c:pt idx="121">
                  <c:v>11.9184</c:v>
                </c:pt>
                <c:pt idx="122">
                  <c:v>12.0365</c:v>
                </c:pt>
                <c:pt idx="123">
                  <c:v>12.3416</c:v>
                </c:pt>
                <c:pt idx="124">
                  <c:v>12.5581</c:v>
                </c:pt>
                <c:pt idx="125">
                  <c:v>12.666399999999999</c:v>
                </c:pt>
                <c:pt idx="126">
                  <c:v>12.666399999999999</c:v>
                </c:pt>
                <c:pt idx="127">
                  <c:v>12.636900000000001</c:v>
                </c:pt>
                <c:pt idx="128">
                  <c:v>12.774699999999999</c:v>
                </c:pt>
                <c:pt idx="129">
                  <c:v>12.6959</c:v>
                </c:pt>
                <c:pt idx="130">
                  <c:v>12.9617</c:v>
                </c:pt>
                <c:pt idx="131">
                  <c:v>13.2569</c:v>
                </c:pt>
                <c:pt idx="132">
                  <c:v>13.808</c:v>
                </c:pt>
                <c:pt idx="133">
                  <c:v>14.004899999999999</c:v>
                </c:pt>
                <c:pt idx="134">
                  <c:v>14.1624</c:v>
                </c:pt>
                <c:pt idx="135">
                  <c:v>14.2509</c:v>
                </c:pt>
                <c:pt idx="136">
                  <c:v>14.319800000000001</c:v>
                </c:pt>
                <c:pt idx="137">
                  <c:v>13.758800000000001</c:v>
                </c:pt>
                <c:pt idx="138">
                  <c:v>13.896599999999999</c:v>
                </c:pt>
                <c:pt idx="139">
                  <c:v>13.6112</c:v>
                </c:pt>
                <c:pt idx="140">
                  <c:v>13.4537</c:v>
                </c:pt>
                <c:pt idx="141">
                  <c:v>10.9834</c:v>
                </c:pt>
                <c:pt idx="142">
                  <c:v>11.013</c:v>
                </c:pt>
                <c:pt idx="143">
                  <c:v>10.835800000000001</c:v>
                </c:pt>
                <c:pt idx="144">
                  <c:v>10.6685</c:v>
                </c:pt>
                <c:pt idx="145">
                  <c:v>10.6488</c:v>
                </c:pt>
                <c:pt idx="146">
                  <c:v>10.520899999999999</c:v>
                </c:pt>
                <c:pt idx="147">
                  <c:v>9.8712999999999997</c:v>
                </c:pt>
                <c:pt idx="148">
                  <c:v>9.5564</c:v>
                </c:pt>
                <c:pt idx="149">
                  <c:v>9.6252999999999993</c:v>
                </c:pt>
                <c:pt idx="150">
                  <c:v>9.6153999999999993</c:v>
                </c:pt>
                <c:pt idx="151">
                  <c:v>9.9696999999999996</c:v>
                </c:pt>
                <c:pt idx="152">
                  <c:v>9.9402000000000008</c:v>
                </c:pt>
                <c:pt idx="153">
                  <c:v>9.7040000000000006</c:v>
                </c:pt>
                <c:pt idx="154">
                  <c:v>9.9795999999999996</c:v>
                </c:pt>
                <c:pt idx="155">
                  <c:v>10.019</c:v>
                </c:pt>
                <c:pt idx="156">
                  <c:v>10.294499999999999</c:v>
                </c:pt>
                <c:pt idx="157">
                  <c:v>10.3437</c:v>
                </c:pt>
                <c:pt idx="158">
                  <c:v>10.5504</c:v>
                </c:pt>
                <c:pt idx="159">
                  <c:v>10.510999999999999</c:v>
                </c:pt>
                <c:pt idx="160">
                  <c:v>10.6784</c:v>
                </c:pt>
                <c:pt idx="161">
                  <c:v>10.747199999999999</c:v>
                </c:pt>
                <c:pt idx="162">
                  <c:v>11.091699999999999</c:v>
                </c:pt>
                <c:pt idx="163">
                  <c:v>10.934200000000001</c:v>
                </c:pt>
                <c:pt idx="164">
                  <c:v>10.963800000000001</c:v>
                </c:pt>
                <c:pt idx="165">
                  <c:v>10.8653</c:v>
                </c:pt>
                <c:pt idx="166">
                  <c:v>10.934200000000001</c:v>
                </c:pt>
                <c:pt idx="167">
                  <c:v>11.013</c:v>
                </c:pt>
                <c:pt idx="168">
                  <c:v>10.8063</c:v>
                </c:pt>
                <c:pt idx="169">
                  <c:v>10.7768</c:v>
                </c:pt>
                <c:pt idx="170">
                  <c:v>10.599600000000001</c:v>
                </c:pt>
                <c:pt idx="171">
                  <c:v>10.412599999999999</c:v>
                </c:pt>
                <c:pt idx="172">
                  <c:v>10.491400000000001</c:v>
                </c:pt>
                <c:pt idx="173">
                  <c:v>10.156700000000001</c:v>
                </c:pt>
                <c:pt idx="174">
                  <c:v>10.284700000000001</c:v>
                </c:pt>
                <c:pt idx="175">
                  <c:v>10.452</c:v>
                </c:pt>
                <c:pt idx="176">
                  <c:v>10.520899999999999</c:v>
                </c:pt>
                <c:pt idx="177">
                  <c:v>10.629099999999999</c:v>
                </c:pt>
                <c:pt idx="178">
                  <c:v>10.727600000000001</c:v>
                </c:pt>
                <c:pt idx="179">
                  <c:v>10.8063</c:v>
                </c:pt>
                <c:pt idx="180">
                  <c:v>10.747199999999999</c:v>
                </c:pt>
                <c:pt idx="181">
                  <c:v>10.7079</c:v>
                </c:pt>
                <c:pt idx="182">
                  <c:v>10.737399999999999</c:v>
                </c:pt>
                <c:pt idx="183">
                  <c:v>10.698</c:v>
                </c:pt>
                <c:pt idx="184">
                  <c:v>10.2552</c:v>
                </c:pt>
                <c:pt idx="185">
                  <c:v>10.510999999999999</c:v>
                </c:pt>
                <c:pt idx="186">
                  <c:v>10.609500000000001</c:v>
                </c:pt>
                <c:pt idx="187">
                  <c:v>10.392899999999999</c:v>
                </c:pt>
                <c:pt idx="188">
                  <c:v>10.5799</c:v>
                </c:pt>
                <c:pt idx="189">
                  <c:v>10.3142</c:v>
                </c:pt>
                <c:pt idx="190">
                  <c:v>10.284700000000001</c:v>
                </c:pt>
                <c:pt idx="191">
                  <c:v>10.402799999999999</c:v>
                </c:pt>
                <c:pt idx="192">
                  <c:v>10.324</c:v>
                </c:pt>
                <c:pt idx="193">
                  <c:v>10.324</c:v>
                </c:pt>
                <c:pt idx="194">
                  <c:v>10.452</c:v>
                </c:pt>
                <c:pt idx="195">
                  <c:v>10.510999999999999</c:v>
                </c:pt>
                <c:pt idx="196">
                  <c:v>10.5504</c:v>
                </c:pt>
                <c:pt idx="197">
                  <c:v>10.747199999999999</c:v>
                </c:pt>
                <c:pt idx="198">
                  <c:v>10.6685</c:v>
                </c:pt>
                <c:pt idx="199">
                  <c:v>10.855499999999999</c:v>
                </c:pt>
                <c:pt idx="200">
                  <c:v>10.8949</c:v>
                </c:pt>
                <c:pt idx="201">
                  <c:v>10.9244</c:v>
                </c:pt>
                <c:pt idx="202">
                  <c:v>10.7079</c:v>
                </c:pt>
                <c:pt idx="203">
                  <c:v>10.934200000000001</c:v>
                </c:pt>
                <c:pt idx="204">
                  <c:v>10.885</c:v>
                </c:pt>
                <c:pt idx="205">
                  <c:v>11.062200000000001</c:v>
                </c:pt>
                <c:pt idx="206">
                  <c:v>10.8949</c:v>
                </c:pt>
                <c:pt idx="207">
                  <c:v>11.190099999999999</c:v>
                </c:pt>
                <c:pt idx="208">
                  <c:v>10.2453</c:v>
                </c:pt>
                <c:pt idx="209">
                  <c:v>10.304399999999999</c:v>
                </c:pt>
                <c:pt idx="210">
                  <c:v>10.1272</c:v>
                </c:pt>
                <c:pt idx="211">
                  <c:v>10.058299999999999</c:v>
                </c:pt>
                <c:pt idx="212">
                  <c:v>10.196099999999999</c:v>
                </c:pt>
                <c:pt idx="213">
                  <c:v>10.4323</c:v>
                </c:pt>
                <c:pt idx="214">
                  <c:v>11.013</c:v>
                </c:pt>
                <c:pt idx="215">
                  <c:v>10.7866</c:v>
                </c:pt>
                <c:pt idx="216">
                  <c:v>10.7965</c:v>
                </c:pt>
                <c:pt idx="217">
                  <c:v>11.052300000000001</c:v>
                </c:pt>
                <c:pt idx="218">
                  <c:v>10.9244</c:v>
                </c:pt>
                <c:pt idx="219">
                  <c:v>10.9244</c:v>
                </c:pt>
                <c:pt idx="220">
                  <c:v>10.8949</c:v>
                </c:pt>
                <c:pt idx="221">
                  <c:v>10.835800000000001</c:v>
                </c:pt>
                <c:pt idx="222">
                  <c:v>11.0327</c:v>
                </c:pt>
                <c:pt idx="223">
                  <c:v>10.8752</c:v>
                </c:pt>
                <c:pt idx="224">
                  <c:v>10.5603</c:v>
                </c:pt>
                <c:pt idx="225">
                  <c:v>10.629099999999999</c:v>
                </c:pt>
                <c:pt idx="226">
                  <c:v>11.0031</c:v>
                </c:pt>
                <c:pt idx="227">
                  <c:v>11.2197</c:v>
                </c:pt>
                <c:pt idx="228">
                  <c:v>10.9244</c:v>
                </c:pt>
                <c:pt idx="229">
                  <c:v>10.9244</c:v>
                </c:pt>
                <c:pt idx="230">
                  <c:v>10.953900000000001</c:v>
                </c:pt>
                <c:pt idx="231">
                  <c:v>10.8063</c:v>
                </c:pt>
                <c:pt idx="232">
                  <c:v>10.6488</c:v>
                </c:pt>
                <c:pt idx="233">
                  <c:v>10.5701</c:v>
                </c:pt>
                <c:pt idx="234">
                  <c:v>10.274800000000001</c:v>
                </c:pt>
                <c:pt idx="235">
                  <c:v>10.3437</c:v>
                </c:pt>
                <c:pt idx="236">
                  <c:v>10.4323</c:v>
                </c:pt>
                <c:pt idx="237">
                  <c:v>10.392899999999999</c:v>
                </c:pt>
                <c:pt idx="238">
                  <c:v>10.2453</c:v>
                </c:pt>
                <c:pt idx="239">
                  <c:v>10.2256</c:v>
                </c:pt>
                <c:pt idx="240">
                  <c:v>10.2256</c:v>
                </c:pt>
                <c:pt idx="241">
                  <c:v>9.8320000000000007</c:v>
                </c:pt>
                <c:pt idx="242">
                  <c:v>9.8123000000000005</c:v>
                </c:pt>
                <c:pt idx="243">
                  <c:v>9.5366999999999997</c:v>
                </c:pt>
                <c:pt idx="244">
                  <c:v>9.5859000000000005</c:v>
                </c:pt>
                <c:pt idx="245">
                  <c:v>9.7236999999999991</c:v>
                </c:pt>
                <c:pt idx="246">
                  <c:v>9.7433999999999994</c:v>
                </c:pt>
                <c:pt idx="247">
                  <c:v>9.8614999999999995</c:v>
                </c:pt>
                <c:pt idx="248">
                  <c:v>9.9107000000000003</c:v>
                </c:pt>
                <c:pt idx="249">
                  <c:v>9.8712999999999997</c:v>
                </c:pt>
                <c:pt idx="250">
                  <c:v>9.7236999999999991</c:v>
                </c:pt>
                <c:pt idx="251">
                  <c:v>9.7433999999999994</c:v>
                </c:pt>
                <c:pt idx="252">
                  <c:v>9.4972999999999992</c:v>
                </c:pt>
                <c:pt idx="253">
                  <c:v>9.7236999999999991</c:v>
                </c:pt>
                <c:pt idx="254">
                  <c:v>9.7630999999999997</c:v>
                </c:pt>
                <c:pt idx="255">
                  <c:v>9.6056000000000008</c:v>
                </c:pt>
                <c:pt idx="256">
                  <c:v>9.5859000000000005</c:v>
                </c:pt>
                <c:pt idx="257">
                  <c:v>9.4972999999999992</c:v>
                </c:pt>
                <c:pt idx="258">
                  <c:v>9.5564</c:v>
                </c:pt>
                <c:pt idx="259">
                  <c:v>9.6252999999999993</c:v>
                </c:pt>
                <c:pt idx="260">
                  <c:v>9.7926000000000002</c:v>
                </c:pt>
                <c:pt idx="261">
                  <c:v>9.8515999999999995</c:v>
                </c:pt>
                <c:pt idx="262">
                  <c:v>10.019</c:v>
                </c:pt>
                <c:pt idx="263">
                  <c:v>10.265000000000001</c:v>
                </c:pt>
                <c:pt idx="264">
                  <c:v>9.8712999999999997</c:v>
                </c:pt>
                <c:pt idx="265">
                  <c:v>9.9992999999999999</c:v>
                </c:pt>
                <c:pt idx="266">
                  <c:v>9.9598999999999993</c:v>
                </c:pt>
                <c:pt idx="267">
                  <c:v>10.2158</c:v>
                </c:pt>
                <c:pt idx="268">
                  <c:v>9.9205000000000005</c:v>
                </c:pt>
                <c:pt idx="269">
                  <c:v>10.048500000000001</c:v>
                </c:pt>
                <c:pt idx="270">
                  <c:v>9.9992999999999999</c:v>
                </c:pt>
                <c:pt idx="271">
                  <c:v>9.9205000000000005</c:v>
                </c:pt>
                <c:pt idx="272">
                  <c:v>9.7334999999999994</c:v>
                </c:pt>
                <c:pt idx="273">
                  <c:v>9.9992999999999999</c:v>
                </c:pt>
                <c:pt idx="274">
                  <c:v>9.8515999999999995</c:v>
                </c:pt>
                <c:pt idx="275">
                  <c:v>9.1135000000000002</c:v>
                </c:pt>
                <c:pt idx="276">
                  <c:v>9.0937999999999999</c:v>
                </c:pt>
                <c:pt idx="277">
                  <c:v>9.0937999999999999</c:v>
                </c:pt>
                <c:pt idx="278">
                  <c:v>9.0642999999999994</c:v>
                </c:pt>
                <c:pt idx="279">
                  <c:v>9.0839999999999996</c:v>
                </c:pt>
                <c:pt idx="280">
                  <c:v>9.2020999999999997</c:v>
                </c:pt>
                <c:pt idx="281">
                  <c:v>9.33</c:v>
                </c:pt>
                <c:pt idx="282">
                  <c:v>9.2899999999999991</c:v>
                </c:pt>
                <c:pt idx="283">
                  <c:v>9.34</c:v>
                </c:pt>
                <c:pt idx="284">
                  <c:v>9.39</c:v>
                </c:pt>
                <c:pt idx="285">
                  <c:v>9.2799999999999994</c:v>
                </c:pt>
                <c:pt idx="286">
                  <c:v>9.35</c:v>
                </c:pt>
                <c:pt idx="287">
                  <c:v>9.42</c:v>
                </c:pt>
                <c:pt idx="288">
                  <c:v>9.4700000000000006</c:v>
                </c:pt>
                <c:pt idx="289">
                  <c:v>9.2899999999999991</c:v>
                </c:pt>
                <c:pt idx="290">
                  <c:v>9.5500000000000007</c:v>
                </c:pt>
                <c:pt idx="291">
                  <c:v>9.39</c:v>
                </c:pt>
                <c:pt idx="292">
                  <c:v>9.1199999999999992</c:v>
                </c:pt>
                <c:pt idx="293">
                  <c:v>9.65</c:v>
                </c:pt>
                <c:pt idx="294">
                  <c:v>9.61</c:v>
                </c:pt>
                <c:pt idx="295">
                  <c:v>9.9</c:v>
                </c:pt>
                <c:pt idx="296">
                  <c:v>9.9600000000000009</c:v>
                </c:pt>
                <c:pt idx="297">
                  <c:v>9.69</c:v>
                </c:pt>
                <c:pt idx="298">
                  <c:v>9.59</c:v>
                </c:pt>
                <c:pt idx="299">
                  <c:v>9.5299999999999994</c:v>
                </c:pt>
                <c:pt idx="300">
                  <c:v>9.73</c:v>
                </c:pt>
                <c:pt idx="301">
                  <c:v>9.92</c:v>
                </c:pt>
                <c:pt idx="302">
                  <c:v>9.9499999999999993</c:v>
                </c:pt>
                <c:pt idx="303">
                  <c:v>10.17</c:v>
                </c:pt>
                <c:pt idx="304">
                  <c:v>10.01</c:v>
                </c:pt>
                <c:pt idx="305">
                  <c:v>10</c:v>
                </c:pt>
                <c:pt idx="306">
                  <c:v>10.25</c:v>
                </c:pt>
                <c:pt idx="307">
                  <c:v>10.29</c:v>
                </c:pt>
                <c:pt idx="308">
                  <c:v>10.3</c:v>
                </c:pt>
                <c:pt idx="309">
                  <c:v>9.9</c:v>
                </c:pt>
                <c:pt idx="310">
                  <c:v>9.7200000000000006</c:v>
                </c:pt>
                <c:pt idx="311">
                  <c:v>10.029999999999999</c:v>
                </c:pt>
                <c:pt idx="312">
                  <c:v>9.94</c:v>
                </c:pt>
                <c:pt idx="313">
                  <c:v>10.15</c:v>
                </c:pt>
                <c:pt idx="314">
                  <c:v>9.5399999999999991</c:v>
                </c:pt>
                <c:pt idx="315">
                  <c:v>9.58</c:v>
                </c:pt>
                <c:pt idx="316">
                  <c:v>9.24</c:v>
                </c:pt>
                <c:pt idx="317">
                  <c:v>8.69</c:v>
                </c:pt>
                <c:pt idx="318">
                  <c:v>9.5</c:v>
                </c:pt>
                <c:pt idx="319">
                  <c:v>9.14</c:v>
                </c:pt>
                <c:pt idx="320">
                  <c:v>9.33</c:v>
                </c:pt>
                <c:pt idx="321">
                  <c:v>9.7100000000000009</c:v>
                </c:pt>
                <c:pt idx="322">
                  <c:v>9.4499999999999993</c:v>
                </c:pt>
                <c:pt idx="323">
                  <c:v>9.4</c:v>
                </c:pt>
                <c:pt idx="324">
                  <c:v>9.6300000000000008</c:v>
                </c:pt>
                <c:pt idx="325">
                  <c:v>9.4700000000000006</c:v>
                </c:pt>
                <c:pt idx="326">
                  <c:v>9.65</c:v>
                </c:pt>
                <c:pt idx="327">
                  <c:v>9.7799999999999994</c:v>
                </c:pt>
                <c:pt idx="328">
                  <c:v>10.06</c:v>
                </c:pt>
                <c:pt idx="329">
                  <c:v>10.039999999999999</c:v>
                </c:pt>
                <c:pt idx="330">
                  <c:v>10.02</c:v>
                </c:pt>
                <c:pt idx="331">
                  <c:v>10.15</c:v>
                </c:pt>
                <c:pt idx="332">
                  <c:v>10.01</c:v>
                </c:pt>
                <c:pt idx="333">
                  <c:v>10.18</c:v>
                </c:pt>
                <c:pt idx="334">
                  <c:v>10.28</c:v>
                </c:pt>
                <c:pt idx="335">
                  <c:v>10.17</c:v>
                </c:pt>
                <c:pt idx="336">
                  <c:v>10.44</c:v>
                </c:pt>
                <c:pt idx="337">
                  <c:v>10.28</c:v>
                </c:pt>
                <c:pt idx="338">
                  <c:v>10.28</c:v>
                </c:pt>
                <c:pt idx="339">
                  <c:v>10.43</c:v>
                </c:pt>
                <c:pt idx="340">
                  <c:v>10.55</c:v>
                </c:pt>
                <c:pt idx="341">
                  <c:v>10.6</c:v>
                </c:pt>
                <c:pt idx="342">
                  <c:v>10.65</c:v>
                </c:pt>
                <c:pt idx="343">
                  <c:v>10.75</c:v>
                </c:pt>
                <c:pt idx="344">
                  <c:v>10.8</c:v>
                </c:pt>
                <c:pt idx="345">
                  <c:v>10.75</c:v>
                </c:pt>
                <c:pt idx="346">
                  <c:v>10.72</c:v>
                </c:pt>
                <c:pt idx="347">
                  <c:v>10.48</c:v>
                </c:pt>
                <c:pt idx="348">
                  <c:v>10.44</c:v>
                </c:pt>
                <c:pt idx="349">
                  <c:v>10.36</c:v>
                </c:pt>
                <c:pt idx="350">
                  <c:v>10.31</c:v>
                </c:pt>
                <c:pt idx="351">
                  <c:v>10.17</c:v>
                </c:pt>
                <c:pt idx="352">
                  <c:v>10.220000000000001</c:v>
                </c:pt>
                <c:pt idx="353">
                  <c:v>10.38</c:v>
                </c:pt>
                <c:pt idx="354">
                  <c:v>9.98</c:v>
                </c:pt>
                <c:pt idx="355">
                  <c:v>10.19</c:v>
                </c:pt>
                <c:pt idx="356">
                  <c:v>10.24</c:v>
                </c:pt>
                <c:pt idx="357">
                  <c:v>10.1</c:v>
                </c:pt>
                <c:pt idx="358">
                  <c:v>10.26</c:v>
                </c:pt>
                <c:pt idx="359">
                  <c:v>10.34</c:v>
                </c:pt>
                <c:pt idx="360">
                  <c:v>10.6</c:v>
                </c:pt>
                <c:pt idx="361">
                  <c:v>10.66</c:v>
                </c:pt>
                <c:pt idx="362">
                  <c:v>10.53</c:v>
                </c:pt>
                <c:pt idx="363">
                  <c:v>10.43</c:v>
                </c:pt>
                <c:pt idx="364">
                  <c:v>10.62</c:v>
                </c:pt>
                <c:pt idx="365">
                  <c:v>10.42</c:v>
                </c:pt>
                <c:pt idx="366">
                  <c:v>10.43</c:v>
                </c:pt>
                <c:pt idx="367">
                  <c:v>10.59</c:v>
                </c:pt>
                <c:pt idx="368">
                  <c:v>10.75</c:v>
                </c:pt>
                <c:pt idx="369">
                  <c:v>10.73</c:v>
                </c:pt>
                <c:pt idx="370">
                  <c:v>10.48</c:v>
                </c:pt>
                <c:pt idx="371">
                  <c:v>10.63</c:v>
                </c:pt>
                <c:pt idx="372">
                  <c:v>10.8</c:v>
                </c:pt>
                <c:pt idx="373">
                  <c:v>10.85</c:v>
                </c:pt>
                <c:pt idx="374">
                  <c:v>11.35</c:v>
                </c:pt>
                <c:pt idx="375">
                  <c:v>11.77</c:v>
                </c:pt>
                <c:pt idx="376">
                  <c:v>11.81</c:v>
                </c:pt>
                <c:pt idx="377">
                  <c:v>11.59</c:v>
                </c:pt>
                <c:pt idx="378">
                  <c:v>11.68</c:v>
                </c:pt>
                <c:pt idx="379">
                  <c:v>11.83</c:v>
                </c:pt>
                <c:pt idx="380">
                  <c:v>11.91</c:v>
                </c:pt>
                <c:pt idx="381">
                  <c:v>11.78</c:v>
                </c:pt>
                <c:pt idx="382">
                  <c:v>11.88</c:v>
                </c:pt>
                <c:pt idx="383">
                  <c:v>11.57</c:v>
                </c:pt>
                <c:pt idx="384">
                  <c:v>11.24</c:v>
                </c:pt>
                <c:pt idx="385">
                  <c:v>11.15</c:v>
                </c:pt>
                <c:pt idx="386">
                  <c:v>11.16</c:v>
                </c:pt>
                <c:pt idx="387">
                  <c:v>11.31</c:v>
                </c:pt>
                <c:pt idx="388">
                  <c:v>11.19</c:v>
                </c:pt>
                <c:pt idx="389">
                  <c:v>11.38</c:v>
                </c:pt>
                <c:pt idx="390">
                  <c:v>11.26</c:v>
                </c:pt>
                <c:pt idx="391">
                  <c:v>11.47</c:v>
                </c:pt>
                <c:pt idx="392">
                  <c:v>11.28</c:v>
                </c:pt>
                <c:pt idx="393">
                  <c:v>11.08</c:v>
                </c:pt>
                <c:pt idx="394">
                  <c:v>10.87</c:v>
                </c:pt>
                <c:pt idx="395">
                  <c:v>11.07</c:v>
                </c:pt>
                <c:pt idx="396">
                  <c:v>10.82</c:v>
                </c:pt>
                <c:pt idx="397">
                  <c:v>10.95</c:v>
                </c:pt>
                <c:pt idx="398">
                  <c:v>11.06</c:v>
                </c:pt>
                <c:pt idx="399">
                  <c:v>11.21</c:v>
                </c:pt>
                <c:pt idx="400">
                  <c:v>11.28</c:v>
                </c:pt>
                <c:pt idx="401">
                  <c:v>11.32</c:v>
                </c:pt>
                <c:pt idx="402">
                  <c:v>11.14</c:v>
                </c:pt>
                <c:pt idx="403">
                  <c:v>11.25</c:v>
                </c:pt>
                <c:pt idx="404">
                  <c:v>11.44</c:v>
                </c:pt>
                <c:pt idx="405">
                  <c:v>11.44</c:v>
                </c:pt>
                <c:pt idx="406">
                  <c:v>11.44</c:v>
                </c:pt>
                <c:pt idx="407">
                  <c:v>11.46</c:v>
                </c:pt>
                <c:pt idx="408">
                  <c:v>11.58</c:v>
                </c:pt>
                <c:pt idx="409">
                  <c:v>11.49</c:v>
                </c:pt>
                <c:pt idx="410">
                  <c:v>11.33</c:v>
                </c:pt>
                <c:pt idx="411">
                  <c:v>11.74</c:v>
                </c:pt>
                <c:pt idx="412">
                  <c:v>11.82</c:v>
                </c:pt>
                <c:pt idx="413">
                  <c:v>11.84</c:v>
                </c:pt>
                <c:pt idx="414">
                  <c:v>11.91</c:v>
                </c:pt>
                <c:pt idx="415">
                  <c:v>11.71</c:v>
                </c:pt>
                <c:pt idx="416">
                  <c:v>11.77</c:v>
                </c:pt>
                <c:pt idx="417">
                  <c:v>11.72</c:v>
                </c:pt>
                <c:pt idx="418">
                  <c:v>11.62</c:v>
                </c:pt>
                <c:pt idx="419">
                  <c:v>11.68</c:v>
                </c:pt>
                <c:pt idx="420">
                  <c:v>11.74</c:v>
                </c:pt>
                <c:pt idx="421">
                  <c:v>11.69</c:v>
                </c:pt>
                <c:pt idx="422">
                  <c:v>11.49</c:v>
                </c:pt>
                <c:pt idx="423">
                  <c:v>11.42</c:v>
                </c:pt>
                <c:pt idx="424">
                  <c:v>11.76</c:v>
                </c:pt>
                <c:pt idx="425">
                  <c:v>11.68</c:v>
                </c:pt>
                <c:pt idx="426">
                  <c:v>11.68</c:v>
                </c:pt>
                <c:pt idx="427">
                  <c:v>11.61</c:v>
                </c:pt>
                <c:pt idx="428">
                  <c:v>11.66</c:v>
                </c:pt>
                <c:pt idx="429">
                  <c:v>11.74</c:v>
                </c:pt>
                <c:pt idx="430">
                  <c:v>11.62</c:v>
                </c:pt>
                <c:pt idx="431">
                  <c:v>11.66</c:v>
                </c:pt>
                <c:pt idx="432">
                  <c:v>11.73</c:v>
                </c:pt>
                <c:pt idx="433">
                  <c:v>11.63</c:v>
                </c:pt>
                <c:pt idx="434">
                  <c:v>11.62</c:v>
                </c:pt>
                <c:pt idx="435">
                  <c:v>12.01</c:v>
                </c:pt>
                <c:pt idx="436">
                  <c:v>12.09</c:v>
                </c:pt>
                <c:pt idx="437">
                  <c:v>11.96</c:v>
                </c:pt>
                <c:pt idx="438">
                  <c:v>12.27</c:v>
                </c:pt>
                <c:pt idx="439">
                  <c:v>12.22</c:v>
                </c:pt>
                <c:pt idx="440">
                  <c:v>12.67</c:v>
                </c:pt>
                <c:pt idx="441">
                  <c:v>12.7</c:v>
                </c:pt>
                <c:pt idx="442">
                  <c:v>11.92</c:v>
                </c:pt>
                <c:pt idx="443">
                  <c:v>11.74</c:v>
                </c:pt>
                <c:pt idx="444">
                  <c:v>11.5</c:v>
                </c:pt>
                <c:pt idx="445">
                  <c:v>11.41</c:v>
                </c:pt>
                <c:pt idx="446">
                  <c:v>11.54</c:v>
                </c:pt>
                <c:pt idx="447">
                  <c:v>11.65</c:v>
                </c:pt>
                <c:pt idx="448">
                  <c:v>11.76</c:v>
                </c:pt>
                <c:pt idx="449">
                  <c:v>11.74</c:v>
                </c:pt>
                <c:pt idx="450">
                  <c:v>11.92</c:v>
                </c:pt>
                <c:pt idx="451">
                  <c:v>11.99</c:v>
                </c:pt>
                <c:pt idx="452">
                  <c:v>12.56</c:v>
                </c:pt>
                <c:pt idx="453">
                  <c:v>12.43</c:v>
                </c:pt>
                <c:pt idx="454">
                  <c:v>12.34</c:v>
                </c:pt>
                <c:pt idx="455">
                  <c:v>13.84</c:v>
                </c:pt>
                <c:pt idx="456">
                  <c:v>13.26</c:v>
                </c:pt>
                <c:pt idx="457">
                  <c:v>13.13</c:v>
                </c:pt>
                <c:pt idx="458">
                  <c:v>13.24</c:v>
                </c:pt>
                <c:pt idx="459">
                  <c:v>13.06</c:v>
                </c:pt>
                <c:pt idx="460">
                  <c:v>13.13</c:v>
                </c:pt>
                <c:pt idx="461">
                  <c:v>13.01</c:v>
                </c:pt>
                <c:pt idx="462">
                  <c:v>12.79</c:v>
                </c:pt>
                <c:pt idx="463">
                  <c:v>13.11</c:v>
                </c:pt>
                <c:pt idx="464">
                  <c:v>13.12</c:v>
                </c:pt>
                <c:pt idx="465">
                  <c:v>13.21</c:v>
                </c:pt>
                <c:pt idx="466">
                  <c:v>13.16</c:v>
                </c:pt>
                <c:pt idx="467">
                  <c:v>13.3</c:v>
                </c:pt>
                <c:pt idx="468">
                  <c:v>13.45</c:v>
                </c:pt>
                <c:pt idx="469">
                  <c:v>13.28</c:v>
                </c:pt>
                <c:pt idx="470">
                  <c:v>13.19</c:v>
                </c:pt>
                <c:pt idx="471">
                  <c:v>12.88</c:v>
                </c:pt>
                <c:pt idx="472">
                  <c:v>13.02</c:v>
                </c:pt>
                <c:pt idx="473">
                  <c:v>12.9</c:v>
                </c:pt>
                <c:pt idx="474">
                  <c:v>12.41</c:v>
                </c:pt>
                <c:pt idx="475">
                  <c:v>12.83</c:v>
                </c:pt>
                <c:pt idx="476">
                  <c:v>12.96</c:v>
                </c:pt>
                <c:pt idx="477">
                  <c:v>13.17</c:v>
                </c:pt>
                <c:pt idx="478">
                  <c:v>13.19</c:v>
                </c:pt>
                <c:pt idx="479">
                  <c:v>13.28</c:v>
                </c:pt>
                <c:pt idx="480">
                  <c:v>13.16</c:v>
                </c:pt>
                <c:pt idx="481">
                  <c:v>12.96</c:v>
                </c:pt>
                <c:pt idx="482">
                  <c:v>13.09</c:v>
                </c:pt>
                <c:pt idx="483">
                  <c:v>13.14</c:v>
                </c:pt>
                <c:pt idx="484">
                  <c:v>13.03</c:v>
                </c:pt>
                <c:pt idx="485">
                  <c:v>13.14</c:v>
                </c:pt>
                <c:pt idx="486">
                  <c:v>13.08</c:v>
                </c:pt>
                <c:pt idx="487">
                  <c:v>13.41</c:v>
                </c:pt>
                <c:pt idx="488">
                  <c:v>13.63</c:v>
                </c:pt>
                <c:pt idx="489">
                  <c:v>13.76</c:v>
                </c:pt>
                <c:pt idx="490">
                  <c:v>13.65</c:v>
                </c:pt>
                <c:pt idx="491">
                  <c:v>13.67</c:v>
                </c:pt>
                <c:pt idx="492">
                  <c:v>13.31</c:v>
                </c:pt>
                <c:pt idx="493">
                  <c:v>13.32</c:v>
                </c:pt>
                <c:pt idx="494">
                  <c:v>13.47</c:v>
                </c:pt>
                <c:pt idx="495">
                  <c:v>13.46</c:v>
                </c:pt>
                <c:pt idx="496">
                  <c:v>13.29</c:v>
                </c:pt>
                <c:pt idx="497">
                  <c:v>13.36</c:v>
                </c:pt>
                <c:pt idx="498">
                  <c:v>13.31</c:v>
                </c:pt>
                <c:pt idx="499">
                  <c:v>13.28</c:v>
                </c:pt>
                <c:pt idx="500">
                  <c:v>13.23</c:v>
                </c:pt>
                <c:pt idx="501">
                  <c:v>13.12</c:v>
                </c:pt>
                <c:pt idx="502">
                  <c:v>13.34</c:v>
                </c:pt>
                <c:pt idx="503">
                  <c:v>13.47</c:v>
                </c:pt>
                <c:pt idx="504">
                  <c:v>13.8</c:v>
                </c:pt>
                <c:pt idx="505">
                  <c:v>13.74</c:v>
                </c:pt>
                <c:pt idx="506">
                  <c:v>14.4</c:v>
                </c:pt>
                <c:pt idx="507">
                  <c:v>14.2</c:v>
                </c:pt>
                <c:pt idx="508">
                  <c:v>14.03</c:v>
                </c:pt>
                <c:pt idx="509">
                  <c:v>13.98</c:v>
                </c:pt>
                <c:pt idx="510">
                  <c:v>13.84</c:v>
                </c:pt>
                <c:pt idx="511">
                  <c:v>13.81</c:v>
                </c:pt>
                <c:pt idx="512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6-4017-BAFC-6F2F7301FD18}"/>
            </c:ext>
          </c:extLst>
        </c:ser>
        <c:ser>
          <c:idx val="1"/>
          <c:order val="1"/>
          <c:tx>
            <c:strRef>
              <c:f>Data!$AA$1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99">
                  <c:v>12.106687999999998</c:v>
                </c:pt>
                <c:pt idx="100">
                  <c:v>12.106687999999998</c:v>
                </c:pt>
                <c:pt idx="101">
                  <c:v>12.106392999999999</c:v>
                </c:pt>
                <c:pt idx="102">
                  <c:v>12.105211999999996</c:v>
                </c:pt>
                <c:pt idx="103">
                  <c:v>12.104424999999997</c:v>
                </c:pt>
                <c:pt idx="104">
                  <c:v>12.106</c:v>
                </c:pt>
                <c:pt idx="105">
                  <c:v>12.109444999999999</c:v>
                </c:pt>
                <c:pt idx="106">
                  <c:v>12.111413999999995</c:v>
                </c:pt>
                <c:pt idx="107">
                  <c:v>12.114958</c:v>
                </c:pt>
                <c:pt idx="108">
                  <c:v>12.120961999999999</c:v>
                </c:pt>
                <c:pt idx="109">
                  <c:v>12.127753</c:v>
                </c:pt>
                <c:pt idx="110">
                  <c:v>12.138676999999999</c:v>
                </c:pt>
                <c:pt idx="111">
                  <c:v>12.149700000000001</c:v>
                </c:pt>
                <c:pt idx="112">
                  <c:v>12.158360999999998</c:v>
                </c:pt>
                <c:pt idx="113">
                  <c:v>12.165643999999997</c:v>
                </c:pt>
                <c:pt idx="114">
                  <c:v>12.168990000000001</c:v>
                </c:pt>
                <c:pt idx="115">
                  <c:v>12.177059999999997</c:v>
                </c:pt>
                <c:pt idx="116">
                  <c:v>12.181389999999999</c:v>
                </c:pt>
                <c:pt idx="117">
                  <c:v>12.186802999999998</c:v>
                </c:pt>
                <c:pt idx="118">
                  <c:v>12.189656999999997</c:v>
                </c:pt>
                <c:pt idx="119">
                  <c:v>12.194085999999997</c:v>
                </c:pt>
                <c:pt idx="120">
                  <c:v>12.197726999999997</c:v>
                </c:pt>
                <c:pt idx="121">
                  <c:v>12.197824999999996</c:v>
                </c:pt>
                <c:pt idx="122">
                  <c:v>12.198710999999996</c:v>
                </c:pt>
                <c:pt idx="123">
                  <c:v>12.208060999999995</c:v>
                </c:pt>
                <c:pt idx="124">
                  <c:v>12.214850999999994</c:v>
                </c:pt>
                <c:pt idx="125">
                  <c:v>12.215539999999994</c:v>
                </c:pt>
                <c:pt idx="126">
                  <c:v>12.215933999999995</c:v>
                </c:pt>
                <c:pt idx="127">
                  <c:v>12.217508999999996</c:v>
                </c:pt>
                <c:pt idx="128">
                  <c:v>12.217508999999996</c:v>
                </c:pt>
                <c:pt idx="129">
                  <c:v>12.219673999999998</c:v>
                </c:pt>
                <c:pt idx="130">
                  <c:v>12.225677999999998</c:v>
                </c:pt>
                <c:pt idx="131">
                  <c:v>12.235028</c:v>
                </c:pt>
                <c:pt idx="132">
                  <c:v>12.252054000000001</c:v>
                </c:pt>
                <c:pt idx="133">
                  <c:v>12.271540999999999</c:v>
                </c:pt>
                <c:pt idx="134">
                  <c:v>12.293686000000001</c:v>
                </c:pt>
                <c:pt idx="135">
                  <c:v>12.316912</c:v>
                </c:pt>
                <c:pt idx="136">
                  <c:v>12.340630999999998</c:v>
                </c:pt>
                <c:pt idx="137">
                  <c:v>12.360609</c:v>
                </c:pt>
                <c:pt idx="138">
                  <c:v>12.381472999999998</c:v>
                </c:pt>
                <c:pt idx="139">
                  <c:v>12.396531000000003</c:v>
                </c:pt>
                <c:pt idx="140">
                  <c:v>12.408636000000001</c:v>
                </c:pt>
                <c:pt idx="141">
                  <c:v>12.395940000000001</c:v>
                </c:pt>
                <c:pt idx="142">
                  <c:v>12.380684999999998</c:v>
                </c:pt>
                <c:pt idx="143">
                  <c:v>12.365233</c:v>
                </c:pt>
                <c:pt idx="144">
                  <c:v>12.350077000000001</c:v>
                </c:pt>
                <c:pt idx="145">
                  <c:v>12.334428000000001</c:v>
                </c:pt>
                <c:pt idx="146">
                  <c:v>12.319763999999999</c:v>
                </c:pt>
                <c:pt idx="147">
                  <c:v>12.299293</c:v>
                </c:pt>
                <c:pt idx="148">
                  <c:v>12.275672999999999</c:v>
                </c:pt>
                <c:pt idx="149">
                  <c:v>12.250182999999998</c:v>
                </c:pt>
                <c:pt idx="150">
                  <c:v>12.227447999999997</c:v>
                </c:pt>
                <c:pt idx="151">
                  <c:v>12.208452999999999</c:v>
                </c:pt>
                <c:pt idx="152">
                  <c:v>12.187982</c:v>
                </c:pt>
                <c:pt idx="153">
                  <c:v>12.163968000000002</c:v>
                </c:pt>
                <c:pt idx="154">
                  <c:v>12.136804999999997</c:v>
                </c:pt>
                <c:pt idx="155">
                  <c:v>12.109838999999997</c:v>
                </c:pt>
                <c:pt idx="156">
                  <c:v>12.085725999999998</c:v>
                </c:pt>
                <c:pt idx="157">
                  <c:v>12.062203999999998</c:v>
                </c:pt>
                <c:pt idx="158">
                  <c:v>12.045275999999999</c:v>
                </c:pt>
                <c:pt idx="159">
                  <c:v>12.021851999999999</c:v>
                </c:pt>
                <c:pt idx="160">
                  <c:v>11.997937</c:v>
                </c:pt>
                <c:pt idx="161">
                  <c:v>11.974610999999999</c:v>
                </c:pt>
                <c:pt idx="162">
                  <c:v>11.954828999999997</c:v>
                </c:pt>
                <c:pt idx="163">
                  <c:v>11.929829999999997</c:v>
                </c:pt>
                <c:pt idx="164">
                  <c:v>11.909457999999997</c:v>
                </c:pt>
                <c:pt idx="165">
                  <c:v>11.887411999999999</c:v>
                </c:pt>
                <c:pt idx="166">
                  <c:v>11.864774999999998</c:v>
                </c:pt>
                <c:pt idx="167">
                  <c:v>11.841646999999996</c:v>
                </c:pt>
                <c:pt idx="168">
                  <c:v>11.821175999999996</c:v>
                </c:pt>
                <c:pt idx="169">
                  <c:v>11.800606999999998</c:v>
                </c:pt>
                <c:pt idx="170">
                  <c:v>11.782497999999999</c:v>
                </c:pt>
                <c:pt idx="171">
                  <c:v>11.766259</c:v>
                </c:pt>
                <c:pt idx="172">
                  <c:v>11.752186</c:v>
                </c:pt>
                <c:pt idx="173">
                  <c:v>11.735257999999998</c:v>
                </c:pt>
                <c:pt idx="174">
                  <c:v>11.719412999999999</c:v>
                </c:pt>
                <c:pt idx="175">
                  <c:v>11.704454</c:v>
                </c:pt>
                <c:pt idx="176">
                  <c:v>11.682900999999999</c:v>
                </c:pt>
                <c:pt idx="177">
                  <c:v>11.661839000000001</c:v>
                </c:pt>
                <c:pt idx="178">
                  <c:v>11.641664</c:v>
                </c:pt>
                <c:pt idx="179">
                  <c:v>11.621390000000002</c:v>
                </c:pt>
                <c:pt idx="180">
                  <c:v>11.602985000000004</c:v>
                </c:pt>
                <c:pt idx="181">
                  <c:v>11.584581000000005</c:v>
                </c:pt>
                <c:pt idx="182">
                  <c:v>11.572377000000003</c:v>
                </c:pt>
                <c:pt idx="183">
                  <c:v>11.559287000000005</c:v>
                </c:pt>
                <c:pt idx="184">
                  <c:v>11.538915000000005</c:v>
                </c:pt>
                <c:pt idx="185">
                  <c:v>11.521691000000002</c:v>
                </c:pt>
                <c:pt idx="186">
                  <c:v>11.504763000000004</c:v>
                </c:pt>
                <c:pt idx="187">
                  <c:v>11.488917000000006</c:v>
                </c:pt>
                <c:pt idx="188">
                  <c:v>11.475138000000005</c:v>
                </c:pt>
                <c:pt idx="189">
                  <c:v>11.458899000000006</c:v>
                </c:pt>
                <c:pt idx="190">
                  <c:v>11.443743000000005</c:v>
                </c:pt>
                <c:pt idx="191">
                  <c:v>11.426422000000004</c:v>
                </c:pt>
                <c:pt idx="192">
                  <c:v>11.407230000000004</c:v>
                </c:pt>
                <c:pt idx="193">
                  <c:v>11.389317000000005</c:v>
                </c:pt>
                <c:pt idx="194">
                  <c:v>11.371996000000003</c:v>
                </c:pt>
                <c:pt idx="195">
                  <c:v>11.356249000000002</c:v>
                </c:pt>
                <c:pt idx="196">
                  <c:v>11.342175000000003</c:v>
                </c:pt>
                <c:pt idx="197">
                  <c:v>11.330069000000003</c:v>
                </c:pt>
                <c:pt idx="198">
                  <c:v>11.318357000000002</c:v>
                </c:pt>
                <c:pt idx="199">
                  <c:v>11.307728000000003</c:v>
                </c:pt>
                <c:pt idx="200">
                  <c:v>11.297001000000002</c:v>
                </c:pt>
                <c:pt idx="201">
                  <c:v>11.291293000000003</c:v>
                </c:pt>
                <c:pt idx="202">
                  <c:v>11.284601000000002</c:v>
                </c:pt>
                <c:pt idx="203">
                  <c:v>11.278105</c:v>
                </c:pt>
                <c:pt idx="204">
                  <c:v>11.267574000000002</c:v>
                </c:pt>
                <c:pt idx="205">
                  <c:v>11.258224</c:v>
                </c:pt>
                <c:pt idx="206">
                  <c:v>11.248775999999998</c:v>
                </c:pt>
                <c:pt idx="207">
                  <c:v>11.241885999999999</c:v>
                </c:pt>
                <c:pt idx="208">
                  <c:v>11.225547999999998</c:v>
                </c:pt>
                <c:pt idx="209">
                  <c:v>11.209014</c:v>
                </c:pt>
                <c:pt idx="210">
                  <c:v>11.188444999999996</c:v>
                </c:pt>
                <c:pt idx="211">
                  <c:v>11.169843999999998</c:v>
                </c:pt>
                <c:pt idx="212">
                  <c:v>11.152915999999998</c:v>
                </c:pt>
                <c:pt idx="213">
                  <c:v>11.139727999999996</c:v>
                </c:pt>
                <c:pt idx="214">
                  <c:v>11.134610999999992</c:v>
                </c:pt>
                <c:pt idx="215">
                  <c:v>11.125851999999995</c:v>
                </c:pt>
                <c:pt idx="216">
                  <c:v>11.117880999999993</c:v>
                </c:pt>
                <c:pt idx="217">
                  <c:v>11.110892999999994</c:v>
                </c:pt>
                <c:pt idx="218">
                  <c:v>11.103609999999996</c:v>
                </c:pt>
                <c:pt idx="219">
                  <c:v>11.092489</c:v>
                </c:pt>
                <c:pt idx="220">
                  <c:v>11.082451000000001</c:v>
                </c:pt>
                <c:pt idx="221">
                  <c:v>11.071625000000001</c:v>
                </c:pt>
                <c:pt idx="222">
                  <c:v>11.061587000000001</c:v>
                </c:pt>
                <c:pt idx="223">
                  <c:v>11.046923000000003</c:v>
                </c:pt>
                <c:pt idx="224">
                  <c:v>11.026945000000005</c:v>
                </c:pt>
                <c:pt idx="225">
                  <c:v>11.006572000000004</c:v>
                </c:pt>
                <c:pt idx="226">
                  <c:v>10.989939000000001</c:v>
                </c:pt>
                <c:pt idx="227">
                  <c:v>10.975767000000003</c:v>
                </c:pt>
                <c:pt idx="228">
                  <c:v>10.957264000000002</c:v>
                </c:pt>
                <c:pt idx="229">
                  <c:v>10.939549000000005</c:v>
                </c:pt>
                <c:pt idx="230">
                  <c:v>10.919471000000003</c:v>
                </c:pt>
                <c:pt idx="231">
                  <c:v>10.894965000000003</c:v>
                </c:pt>
                <c:pt idx="232">
                  <c:v>10.863372999999999</c:v>
                </c:pt>
                <c:pt idx="233">
                  <c:v>10.829024999999996</c:v>
                </c:pt>
                <c:pt idx="234">
                  <c:v>10.790148999999996</c:v>
                </c:pt>
                <c:pt idx="235">
                  <c:v>10.751076999999995</c:v>
                </c:pt>
                <c:pt idx="236">
                  <c:v>10.712201999999992</c:v>
                </c:pt>
                <c:pt idx="237">
                  <c:v>10.678542999999996</c:v>
                </c:pt>
                <c:pt idx="238">
                  <c:v>10.64203</c:v>
                </c:pt>
                <c:pt idx="239">
                  <c:v>10.608173999999998</c:v>
                </c:pt>
                <c:pt idx="240">
                  <c:v>10.575893000000001</c:v>
                </c:pt>
                <c:pt idx="241">
                  <c:v>10.564379000000001</c:v>
                </c:pt>
                <c:pt idx="242">
                  <c:v>10.552372000000002</c:v>
                </c:pt>
                <c:pt idx="243">
                  <c:v>10.539381000000002</c:v>
                </c:pt>
                <c:pt idx="244">
                  <c:v>10.528555000000004</c:v>
                </c:pt>
                <c:pt idx="245">
                  <c:v>10.519304000000004</c:v>
                </c:pt>
                <c:pt idx="246">
                  <c:v>10.511529000000005</c:v>
                </c:pt>
                <c:pt idx="247">
                  <c:v>10.511431000000005</c:v>
                </c:pt>
                <c:pt idx="248">
                  <c:v>10.514974000000002</c:v>
                </c:pt>
                <c:pt idx="249">
                  <c:v>10.517434000000003</c:v>
                </c:pt>
                <c:pt idx="250">
                  <c:v>10.518517000000005</c:v>
                </c:pt>
                <c:pt idx="251">
                  <c:v>10.516254000000004</c:v>
                </c:pt>
                <c:pt idx="252">
                  <c:v>10.511825000000005</c:v>
                </c:pt>
                <c:pt idx="253">
                  <c:v>10.512022000000004</c:v>
                </c:pt>
                <c:pt idx="254">
                  <c:v>10.509857000000004</c:v>
                </c:pt>
                <c:pt idx="255">
                  <c:v>10.505723000000003</c:v>
                </c:pt>
                <c:pt idx="256">
                  <c:v>10.498637000000006</c:v>
                </c:pt>
                <c:pt idx="257">
                  <c:v>10.490173000000004</c:v>
                </c:pt>
                <c:pt idx="258">
                  <c:v>10.480233000000004</c:v>
                </c:pt>
                <c:pt idx="259">
                  <c:v>10.471376000000003</c:v>
                </c:pt>
                <c:pt idx="260">
                  <c:v>10.462518000000003</c:v>
                </c:pt>
                <c:pt idx="261">
                  <c:v>10.453562000000002</c:v>
                </c:pt>
                <c:pt idx="262">
                  <c:v>10.442835000000002</c:v>
                </c:pt>
                <c:pt idx="263">
                  <c:v>10.436143000000001</c:v>
                </c:pt>
                <c:pt idx="264">
                  <c:v>10.425218000000003</c:v>
                </c:pt>
                <c:pt idx="265">
                  <c:v>10.416558</c:v>
                </c:pt>
                <c:pt idx="266">
                  <c:v>10.406815000000002</c:v>
                </c:pt>
                <c:pt idx="267">
                  <c:v>10.398842999999999</c:v>
                </c:pt>
                <c:pt idx="268">
                  <c:v>10.389984999999999</c:v>
                </c:pt>
                <c:pt idx="269">
                  <c:v>10.382702000000002</c:v>
                </c:pt>
                <c:pt idx="270">
                  <c:v>10.376698999999999</c:v>
                </c:pt>
                <c:pt idx="271">
                  <c:v>10.371777999999997</c:v>
                </c:pt>
                <c:pt idx="272">
                  <c:v>10.364198999999999</c:v>
                </c:pt>
                <c:pt idx="273">
                  <c:v>10.362624999999998</c:v>
                </c:pt>
                <c:pt idx="274">
                  <c:v>10.358293999999999</c:v>
                </c:pt>
                <c:pt idx="275">
                  <c:v>10.344908999999998</c:v>
                </c:pt>
                <c:pt idx="276">
                  <c:v>10.330637999999999</c:v>
                </c:pt>
                <c:pt idx="277">
                  <c:v>10.315284999999999</c:v>
                </c:pt>
                <c:pt idx="278">
                  <c:v>10.298651999999997</c:v>
                </c:pt>
                <c:pt idx="279">
                  <c:v>10.281428999999997</c:v>
                </c:pt>
                <c:pt idx="280">
                  <c:v>10.265977999999997</c:v>
                </c:pt>
                <c:pt idx="281">
                  <c:v>10.252198999999996</c:v>
                </c:pt>
                <c:pt idx="282">
                  <c:v>10.237724999999998</c:v>
                </c:pt>
                <c:pt idx="283">
                  <c:v>10.224144999999998</c:v>
                </c:pt>
                <c:pt idx="284">
                  <c:v>10.215492999999999</c:v>
                </c:pt>
                <c:pt idx="285">
                  <c:v>10.203182999999997</c:v>
                </c:pt>
                <c:pt idx="286">
                  <c:v>10.190587999999996</c:v>
                </c:pt>
                <c:pt idx="287">
                  <c:v>10.180858999999996</c:v>
                </c:pt>
                <c:pt idx="288">
                  <c:v>10.169759999999997</c:v>
                </c:pt>
                <c:pt idx="289">
                  <c:v>10.159517999999997</c:v>
                </c:pt>
                <c:pt idx="290">
                  <c:v>10.152170999999996</c:v>
                </c:pt>
                <c:pt idx="291">
                  <c:v>10.142042999999996</c:v>
                </c:pt>
                <c:pt idx="292">
                  <c:v>10.130002999999995</c:v>
                </c:pt>
                <c:pt idx="293">
                  <c:v>10.123262999999994</c:v>
                </c:pt>
                <c:pt idx="294">
                  <c:v>10.114842999999995</c:v>
                </c:pt>
                <c:pt idx="295">
                  <c:v>10.108732999999994</c:v>
                </c:pt>
                <c:pt idx="296">
                  <c:v>10.102828999999993</c:v>
                </c:pt>
                <c:pt idx="297">
                  <c:v>10.092256999999995</c:v>
                </c:pt>
                <c:pt idx="298">
                  <c:v>10.081471999999996</c:v>
                </c:pt>
                <c:pt idx="299">
                  <c:v>10.068216999999995</c:v>
                </c:pt>
                <c:pt idx="300">
                  <c:v>10.056567999999997</c:v>
                </c:pt>
                <c:pt idx="301">
                  <c:v>10.046523999999996</c:v>
                </c:pt>
                <c:pt idx="302">
                  <c:v>10.038944999999996</c:v>
                </c:pt>
                <c:pt idx="303">
                  <c:v>10.031302999999996</c:v>
                </c:pt>
                <c:pt idx="304">
                  <c:v>10.022552999999995</c:v>
                </c:pt>
                <c:pt idx="305">
                  <c:v>10.011930999999997</c:v>
                </c:pt>
                <c:pt idx="306">
                  <c:v>10.005481999999995</c:v>
                </c:pt>
                <c:pt idx="307">
                  <c:v>9.9964809999999957</c:v>
                </c:pt>
                <c:pt idx="308">
                  <c:v>9.9970279999999949</c:v>
                </c:pt>
                <c:pt idx="309">
                  <c:v>9.9929839999999928</c:v>
                </c:pt>
                <c:pt idx="310">
                  <c:v>9.9889119999999938</c:v>
                </c:pt>
                <c:pt idx="311">
                  <c:v>9.9886289999999924</c:v>
                </c:pt>
                <c:pt idx="312">
                  <c:v>9.9860679999999942</c:v>
                </c:pt>
                <c:pt idx="313">
                  <c:v>9.983244999999993</c:v>
                </c:pt>
                <c:pt idx="314">
                  <c:v>9.9685149999999929</c:v>
                </c:pt>
                <c:pt idx="315">
                  <c:v>9.9564489999999939</c:v>
                </c:pt>
                <c:pt idx="316">
                  <c:v>9.9408839999999952</c:v>
                </c:pt>
                <c:pt idx="317">
                  <c:v>9.9172609999999963</c:v>
                </c:pt>
                <c:pt idx="318">
                  <c:v>9.9030169999999984</c:v>
                </c:pt>
                <c:pt idx="319">
                  <c:v>9.8851729999999982</c:v>
                </c:pt>
                <c:pt idx="320">
                  <c:v>9.8695239999999984</c:v>
                </c:pt>
                <c:pt idx="321">
                  <c:v>9.8582659999999986</c:v>
                </c:pt>
                <c:pt idx="322">
                  <c:v>9.8424389999999988</c:v>
                </c:pt>
                <c:pt idx="323">
                  <c:v>9.8276869999999992</c:v>
                </c:pt>
                <c:pt idx="324">
                  <c:v>9.818384</c:v>
                </c:pt>
                <c:pt idx="325">
                  <c:v>9.806792999999999</c:v>
                </c:pt>
                <c:pt idx="326">
                  <c:v>9.7932619999999986</c:v>
                </c:pt>
                <c:pt idx="327">
                  <c:v>9.7788649999999997</c:v>
                </c:pt>
                <c:pt idx="328">
                  <c:v>9.7702209999999994</c:v>
                </c:pt>
                <c:pt idx="329">
                  <c:v>9.7613769999999995</c:v>
                </c:pt>
                <c:pt idx="330">
                  <c:v>9.7520379999999989</c:v>
                </c:pt>
                <c:pt idx="331">
                  <c:v>9.745474999999999</c:v>
                </c:pt>
                <c:pt idx="332">
                  <c:v>9.7390869999999978</c:v>
                </c:pt>
                <c:pt idx="333">
                  <c:v>9.735185999999997</c:v>
                </c:pt>
                <c:pt idx="334">
                  <c:v>9.7352379999999972</c:v>
                </c:pt>
                <c:pt idx="335">
                  <c:v>9.7335009999999968</c:v>
                </c:pt>
                <c:pt idx="336">
                  <c:v>9.7335779999999996</c:v>
                </c:pt>
                <c:pt idx="337">
                  <c:v>9.732448999999999</c:v>
                </c:pt>
                <c:pt idx="338">
                  <c:v>9.7327959999999969</c:v>
                </c:pt>
                <c:pt idx="339">
                  <c:v>9.7348399999999984</c:v>
                </c:pt>
                <c:pt idx="340">
                  <c:v>9.7380839999999971</c:v>
                </c:pt>
                <c:pt idx="341">
                  <c:v>9.7457639999999977</c:v>
                </c:pt>
                <c:pt idx="342">
                  <c:v>9.7541409999999971</c:v>
                </c:pt>
                <c:pt idx="343">
                  <c:v>9.7662739999999957</c:v>
                </c:pt>
                <c:pt idx="344">
                  <c:v>9.7784149999999936</c:v>
                </c:pt>
                <c:pt idx="345">
                  <c:v>9.7886779999999955</c:v>
                </c:pt>
                <c:pt idx="346">
                  <c:v>9.7984439999999946</c:v>
                </c:pt>
                <c:pt idx="347">
                  <c:v>9.8046289999999949</c:v>
                </c:pt>
                <c:pt idx="348">
                  <c:v>9.8099219999999949</c:v>
                </c:pt>
                <c:pt idx="349">
                  <c:v>9.8148089999999968</c:v>
                </c:pt>
                <c:pt idx="350">
                  <c:v>9.8206719999999965</c:v>
                </c:pt>
                <c:pt idx="351">
                  <c:v>9.824937999999996</c:v>
                </c:pt>
                <c:pt idx="352">
                  <c:v>9.8321649999999963</c:v>
                </c:pt>
                <c:pt idx="353">
                  <c:v>9.8387279999999961</c:v>
                </c:pt>
                <c:pt idx="354">
                  <c:v>9.8408969999999965</c:v>
                </c:pt>
                <c:pt idx="355">
                  <c:v>9.846740999999998</c:v>
                </c:pt>
                <c:pt idx="356">
                  <c:v>9.8532819999999983</c:v>
                </c:pt>
                <c:pt idx="357">
                  <c:v>9.8593089999999979</c:v>
                </c:pt>
                <c:pt idx="358">
                  <c:v>9.866344999999999</c:v>
                </c:pt>
                <c:pt idx="359">
                  <c:v>9.8734919999999988</c:v>
                </c:pt>
                <c:pt idx="360">
                  <c:v>9.8815659999999994</c:v>
                </c:pt>
                <c:pt idx="361">
                  <c:v>9.8896499999999978</c:v>
                </c:pt>
                <c:pt idx="362">
                  <c:v>9.894759999999998</c:v>
                </c:pt>
                <c:pt idx="363">
                  <c:v>9.8964099999999977</c:v>
                </c:pt>
                <c:pt idx="364">
                  <c:v>9.9038969999999971</c:v>
                </c:pt>
                <c:pt idx="365">
                  <c:v>9.908103999999998</c:v>
                </c:pt>
                <c:pt idx="366">
                  <c:v>9.912804999999997</c:v>
                </c:pt>
                <c:pt idx="367">
                  <c:v>9.916546999999996</c:v>
                </c:pt>
                <c:pt idx="368">
                  <c:v>9.9248419999999946</c:v>
                </c:pt>
                <c:pt idx="369">
                  <c:v>9.931656999999996</c:v>
                </c:pt>
                <c:pt idx="370">
                  <c:v>9.9364639999999955</c:v>
                </c:pt>
                <c:pt idx="371">
                  <c:v>9.9435589999999952</c:v>
                </c:pt>
                <c:pt idx="372">
                  <c:v>9.9542239999999964</c:v>
                </c:pt>
                <c:pt idx="373">
                  <c:v>9.9627309999999962</c:v>
                </c:pt>
                <c:pt idx="374">
                  <c:v>9.9777149999999963</c:v>
                </c:pt>
                <c:pt idx="375">
                  <c:v>10.004279999999996</c:v>
                </c:pt>
                <c:pt idx="376">
                  <c:v>10.031441999999997</c:v>
                </c:pt>
                <c:pt idx="377">
                  <c:v>10.056403999999997</c:v>
                </c:pt>
                <c:pt idx="378">
                  <c:v>10.082560999999997</c:v>
                </c:pt>
                <c:pt idx="379">
                  <c:v>10.110020999999996</c:v>
                </c:pt>
                <c:pt idx="380">
                  <c:v>10.137099999999997</c:v>
                </c:pt>
                <c:pt idx="381">
                  <c:v>10.161599999999995</c:v>
                </c:pt>
                <c:pt idx="382">
                  <c:v>10.187499999999995</c:v>
                </c:pt>
                <c:pt idx="383">
                  <c:v>10.209799999999996</c:v>
                </c:pt>
                <c:pt idx="384">
                  <c:v>10.228299999999996</c:v>
                </c:pt>
                <c:pt idx="385">
                  <c:v>10.246999999999996</c:v>
                </c:pt>
                <c:pt idx="386">
                  <c:v>10.265099999999997</c:v>
                </c:pt>
                <c:pt idx="387">
                  <c:v>10.283999999999997</c:v>
                </c:pt>
                <c:pt idx="388">
                  <c:v>10.301199999999996</c:v>
                </c:pt>
                <c:pt idx="389">
                  <c:v>10.322099999999999</c:v>
                </c:pt>
                <c:pt idx="390">
                  <c:v>10.339199999999998</c:v>
                </c:pt>
                <c:pt idx="391">
                  <c:v>10.359999999999998</c:v>
                </c:pt>
                <c:pt idx="392">
                  <c:v>10.381599999999997</c:v>
                </c:pt>
                <c:pt idx="393">
                  <c:v>10.395899999999997</c:v>
                </c:pt>
                <c:pt idx="394">
                  <c:v>10.408499999999997</c:v>
                </c:pt>
                <c:pt idx="395">
                  <c:v>10.420199999999998</c:v>
                </c:pt>
                <c:pt idx="396">
                  <c:v>10.428799999999999</c:v>
                </c:pt>
                <c:pt idx="397">
                  <c:v>10.441399999999998</c:v>
                </c:pt>
                <c:pt idx="398">
                  <c:v>10.456099999999999</c:v>
                </c:pt>
                <c:pt idx="399">
                  <c:v>10.472899999999999</c:v>
                </c:pt>
                <c:pt idx="400">
                  <c:v>10.488400000000002</c:v>
                </c:pt>
                <c:pt idx="401">
                  <c:v>10.5024</c:v>
                </c:pt>
                <c:pt idx="402">
                  <c:v>10.514300000000002</c:v>
                </c:pt>
                <c:pt idx="403">
                  <c:v>10.525100000000002</c:v>
                </c:pt>
                <c:pt idx="404">
                  <c:v>10.539400000000002</c:v>
                </c:pt>
                <c:pt idx="405">
                  <c:v>10.553800000000001</c:v>
                </c:pt>
                <c:pt idx="406">
                  <c:v>10.565700000000001</c:v>
                </c:pt>
                <c:pt idx="407">
                  <c:v>10.577400000000003</c:v>
                </c:pt>
                <c:pt idx="408">
                  <c:v>10.590200000000003</c:v>
                </c:pt>
                <c:pt idx="409">
                  <c:v>10.606100000000001</c:v>
                </c:pt>
                <c:pt idx="410">
                  <c:v>10.622199999999999</c:v>
                </c:pt>
                <c:pt idx="411">
                  <c:v>10.639300000000002</c:v>
                </c:pt>
                <c:pt idx="412">
                  <c:v>10.658100000000001</c:v>
                </c:pt>
                <c:pt idx="413">
                  <c:v>10.675000000000002</c:v>
                </c:pt>
                <c:pt idx="414">
                  <c:v>10.698700000000004</c:v>
                </c:pt>
                <c:pt idx="415">
                  <c:v>10.720000000000004</c:v>
                </c:pt>
                <c:pt idx="416">
                  <c:v>10.745300000000007</c:v>
                </c:pt>
                <c:pt idx="417">
                  <c:v>10.775600000000006</c:v>
                </c:pt>
                <c:pt idx="418">
                  <c:v>10.796800000000005</c:v>
                </c:pt>
                <c:pt idx="419">
                  <c:v>10.822200000000004</c:v>
                </c:pt>
                <c:pt idx="420">
                  <c:v>10.846300000000006</c:v>
                </c:pt>
                <c:pt idx="421">
                  <c:v>10.866100000000008</c:v>
                </c:pt>
                <c:pt idx="422">
                  <c:v>10.886500000000005</c:v>
                </c:pt>
                <c:pt idx="423">
                  <c:v>10.906700000000008</c:v>
                </c:pt>
                <c:pt idx="424">
                  <c:v>10.928000000000008</c:v>
                </c:pt>
                <c:pt idx="425">
                  <c:v>10.95010000000001</c:v>
                </c:pt>
                <c:pt idx="426">
                  <c:v>10.970400000000009</c:v>
                </c:pt>
                <c:pt idx="427">
                  <c:v>10.988700000000005</c:v>
                </c:pt>
                <c:pt idx="428">
                  <c:v>11.004700000000007</c:v>
                </c:pt>
                <c:pt idx="429">
                  <c:v>11.021700000000008</c:v>
                </c:pt>
                <c:pt idx="430">
                  <c:v>11.037700000000006</c:v>
                </c:pt>
                <c:pt idx="431">
                  <c:v>11.052800000000005</c:v>
                </c:pt>
                <c:pt idx="432">
                  <c:v>11.070000000000007</c:v>
                </c:pt>
                <c:pt idx="433">
                  <c:v>11.084500000000007</c:v>
                </c:pt>
                <c:pt idx="434">
                  <c:v>11.097900000000005</c:v>
                </c:pt>
                <c:pt idx="435">
                  <c:v>11.116300000000006</c:v>
                </c:pt>
                <c:pt idx="436">
                  <c:v>11.132800000000001</c:v>
                </c:pt>
                <c:pt idx="437">
                  <c:v>11.149600000000005</c:v>
                </c:pt>
                <c:pt idx="438">
                  <c:v>11.169500000000003</c:v>
                </c:pt>
                <c:pt idx="439">
                  <c:v>11.187400000000004</c:v>
                </c:pt>
                <c:pt idx="440">
                  <c:v>11.208600000000004</c:v>
                </c:pt>
                <c:pt idx="441">
                  <c:v>11.229600000000005</c:v>
                </c:pt>
                <c:pt idx="442">
                  <c:v>11.242300000000006</c:v>
                </c:pt>
                <c:pt idx="443">
                  <c:v>11.252200000000007</c:v>
                </c:pt>
                <c:pt idx="444">
                  <c:v>11.259200000000007</c:v>
                </c:pt>
                <c:pt idx="445">
                  <c:v>11.265800000000006</c:v>
                </c:pt>
                <c:pt idx="446">
                  <c:v>11.274000000000008</c:v>
                </c:pt>
                <c:pt idx="447">
                  <c:v>11.285700000000006</c:v>
                </c:pt>
                <c:pt idx="448">
                  <c:v>11.298900000000005</c:v>
                </c:pt>
                <c:pt idx="449">
                  <c:v>11.312700000000007</c:v>
                </c:pt>
                <c:pt idx="450">
                  <c:v>11.328800000000006</c:v>
                </c:pt>
                <c:pt idx="451">
                  <c:v>11.347000000000005</c:v>
                </c:pt>
                <c:pt idx="452">
                  <c:v>11.370400000000004</c:v>
                </c:pt>
                <c:pt idx="453">
                  <c:v>11.390900000000004</c:v>
                </c:pt>
                <c:pt idx="454">
                  <c:v>11.414500000000002</c:v>
                </c:pt>
                <c:pt idx="455">
                  <c:v>11.451000000000001</c:v>
                </c:pt>
                <c:pt idx="456">
                  <c:v>11.481200000000001</c:v>
                </c:pt>
                <c:pt idx="457">
                  <c:v>11.511500000000002</c:v>
                </c:pt>
                <c:pt idx="458">
                  <c:v>11.541300000000001</c:v>
                </c:pt>
                <c:pt idx="459">
                  <c:v>11.568499999999998</c:v>
                </c:pt>
                <c:pt idx="460">
                  <c:v>11.593799999999998</c:v>
                </c:pt>
                <c:pt idx="461">
                  <c:v>11.617299999999998</c:v>
                </c:pt>
                <c:pt idx="462">
                  <c:v>11.639899999999997</c:v>
                </c:pt>
                <c:pt idx="463">
                  <c:v>11.666699999999997</c:v>
                </c:pt>
                <c:pt idx="464">
                  <c:v>11.691699999999994</c:v>
                </c:pt>
                <c:pt idx="465">
                  <c:v>11.719599999999993</c:v>
                </c:pt>
                <c:pt idx="466">
                  <c:v>11.746899999999997</c:v>
                </c:pt>
                <c:pt idx="467">
                  <c:v>11.773999999999996</c:v>
                </c:pt>
                <c:pt idx="468">
                  <c:v>11.800999999999995</c:v>
                </c:pt>
                <c:pt idx="469">
                  <c:v>11.826499999999994</c:v>
                </c:pt>
                <c:pt idx="470">
                  <c:v>11.853599999999995</c:v>
                </c:pt>
                <c:pt idx="471">
                  <c:v>11.876099999999997</c:v>
                </c:pt>
                <c:pt idx="472">
                  <c:v>11.898299999999995</c:v>
                </c:pt>
                <c:pt idx="473">
                  <c:v>11.918799999999997</c:v>
                </c:pt>
                <c:pt idx="474">
                  <c:v>11.929399999999998</c:v>
                </c:pt>
                <c:pt idx="475">
                  <c:v>11.939999999999996</c:v>
                </c:pt>
                <c:pt idx="476">
                  <c:v>11.951499999999999</c:v>
                </c:pt>
                <c:pt idx="477">
                  <c:v>11.9673</c:v>
                </c:pt>
                <c:pt idx="478">
                  <c:v>11.9824</c:v>
                </c:pt>
                <c:pt idx="479">
                  <c:v>11.9969</c:v>
                </c:pt>
                <c:pt idx="480">
                  <c:v>12.009400000000001</c:v>
                </c:pt>
                <c:pt idx="481">
                  <c:v>12.0212</c:v>
                </c:pt>
                <c:pt idx="482">
                  <c:v>12.033300000000002</c:v>
                </c:pt>
                <c:pt idx="483">
                  <c:v>12.049000000000003</c:v>
                </c:pt>
                <c:pt idx="484">
                  <c:v>12.066900000000002</c:v>
                </c:pt>
                <c:pt idx="485">
                  <c:v>12.086800000000004</c:v>
                </c:pt>
                <c:pt idx="486">
                  <c:v>12.106000000000003</c:v>
                </c:pt>
                <c:pt idx="487">
                  <c:v>12.127000000000002</c:v>
                </c:pt>
                <c:pt idx="488">
                  <c:v>12.151400000000002</c:v>
                </c:pt>
                <c:pt idx="489">
                  <c:v>12.175200000000004</c:v>
                </c:pt>
                <c:pt idx="490">
                  <c:v>12.199100000000005</c:v>
                </c:pt>
                <c:pt idx="491">
                  <c:v>12.221100000000005</c:v>
                </c:pt>
                <c:pt idx="492">
                  <c:v>12.241400000000004</c:v>
                </c:pt>
                <c:pt idx="493">
                  <c:v>12.263800000000003</c:v>
                </c:pt>
                <c:pt idx="494">
                  <c:v>12.289800000000003</c:v>
                </c:pt>
                <c:pt idx="495">
                  <c:v>12.313700000000004</c:v>
                </c:pt>
                <c:pt idx="496">
                  <c:v>12.338400000000002</c:v>
                </c:pt>
                <c:pt idx="497">
                  <c:v>12.362500000000001</c:v>
                </c:pt>
                <c:pt idx="498">
                  <c:v>12.385</c:v>
                </c:pt>
                <c:pt idx="499">
                  <c:v>12.4057</c:v>
                </c:pt>
                <c:pt idx="500">
                  <c:v>12.4252</c:v>
                </c:pt>
                <c:pt idx="501">
                  <c:v>12.443199999999999</c:v>
                </c:pt>
                <c:pt idx="502">
                  <c:v>12.465199999999998</c:v>
                </c:pt>
                <c:pt idx="503">
                  <c:v>12.487399999999997</c:v>
                </c:pt>
                <c:pt idx="504">
                  <c:v>12.510999999999997</c:v>
                </c:pt>
                <c:pt idx="505">
                  <c:v>12.533999999999997</c:v>
                </c:pt>
                <c:pt idx="506">
                  <c:v>12.563599999999999</c:v>
                </c:pt>
                <c:pt idx="507">
                  <c:v>12.590999999999998</c:v>
                </c:pt>
                <c:pt idx="508">
                  <c:v>12.615499999999995</c:v>
                </c:pt>
                <c:pt idx="509">
                  <c:v>12.640399999999998</c:v>
                </c:pt>
                <c:pt idx="510">
                  <c:v>12.665499999999994</c:v>
                </c:pt>
                <c:pt idx="511">
                  <c:v>12.686199999999994</c:v>
                </c:pt>
                <c:pt idx="512">
                  <c:v>12.703999999999994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6-4017-BAFC-6F2F7301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307856"/>
        <c:axId val="281304496"/>
      </c:lineChart>
      <c:dateAx>
        <c:axId val="281307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4496"/>
        <c:crosses val="autoZero"/>
        <c:auto val="1"/>
        <c:lblOffset val="100"/>
        <c:baseTimeUnit val="days"/>
      </c:dateAx>
      <c:valAx>
        <c:axId val="281304496"/>
        <c:scaling>
          <c:orientation val="minMax"/>
          <c:max val="15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Plus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#,##0</c:formatCode>
                <c:ptCount val="513"/>
                <c:pt idx="0">
                  <c:v>48258287</c:v>
                </c:pt>
                <c:pt idx="1">
                  <c:v>71247271</c:v>
                </c:pt>
                <c:pt idx="2">
                  <c:v>55803125</c:v>
                </c:pt>
                <c:pt idx="3">
                  <c:v>45158186</c:v>
                </c:pt>
                <c:pt idx="4">
                  <c:v>42181681</c:v>
                </c:pt>
                <c:pt idx="5">
                  <c:v>50332939</c:v>
                </c:pt>
                <c:pt idx="6">
                  <c:v>38142654</c:v>
                </c:pt>
                <c:pt idx="7">
                  <c:v>49474644</c:v>
                </c:pt>
                <c:pt idx="8">
                  <c:v>55914653</c:v>
                </c:pt>
                <c:pt idx="9">
                  <c:v>45934394</c:v>
                </c:pt>
                <c:pt idx="10">
                  <c:v>53517972</c:v>
                </c:pt>
                <c:pt idx="11">
                  <c:v>72819169</c:v>
                </c:pt>
                <c:pt idx="12">
                  <c:v>62126183</c:v>
                </c:pt>
                <c:pt idx="13">
                  <c:v>46210666</c:v>
                </c:pt>
                <c:pt idx="14">
                  <c:v>46195994</c:v>
                </c:pt>
                <c:pt idx="15">
                  <c:v>60014041</c:v>
                </c:pt>
                <c:pt idx="16">
                  <c:v>50150102</c:v>
                </c:pt>
                <c:pt idx="17">
                  <c:v>36413091</c:v>
                </c:pt>
                <c:pt idx="18">
                  <c:v>59185894</c:v>
                </c:pt>
                <c:pt idx="19">
                  <c:v>71341973</c:v>
                </c:pt>
                <c:pt idx="20">
                  <c:v>75757334</c:v>
                </c:pt>
                <c:pt idx="21">
                  <c:v>82368886</c:v>
                </c:pt>
                <c:pt idx="22">
                  <c:v>74306461</c:v>
                </c:pt>
                <c:pt idx="23">
                  <c:v>82329199</c:v>
                </c:pt>
                <c:pt idx="24">
                  <c:v>100859525</c:v>
                </c:pt>
                <c:pt idx="25">
                  <c:v>139429779</c:v>
                </c:pt>
                <c:pt idx="26">
                  <c:v>69757508</c:v>
                </c:pt>
                <c:pt idx="27">
                  <c:v>48415582</c:v>
                </c:pt>
                <c:pt idx="28">
                  <c:v>54905099</c:v>
                </c:pt>
                <c:pt idx="29">
                  <c:v>68999272</c:v>
                </c:pt>
                <c:pt idx="30">
                  <c:v>53830351</c:v>
                </c:pt>
                <c:pt idx="31">
                  <c:v>58741057</c:v>
                </c:pt>
                <c:pt idx="32">
                  <c:v>43923435</c:v>
                </c:pt>
                <c:pt idx="33">
                  <c:v>45307818</c:v>
                </c:pt>
                <c:pt idx="34">
                  <c:v>42583940</c:v>
                </c:pt>
                <c:pt idx="35">
                  <c:v>37574904</c:v>
                </c:pt>
                <c:pt idx="36">
                  <c:v>32668885</c:v>
                </c:pt>
                <c:pt idx="37">
                  <c:v>40888150</c:v>
                </c:pt>
                <c:pt idx="38">
                  <c:v>37095660</c:v>
                </c:pt>
                <c:pt idx="39">
                  <c:v>52274888</c:v>
                </c:pt>
                <c:pt idx="40">
                  <c:v>43791267</c:v>
                </c:pt>
                <c:pt idx="41">
                  <c:v>49545241</c:v>
                </c:pt>
                <c:pt idx="42">
                  <c:v>83187760</c:v>
                </c:pt>
                <c:pt idx="43">
                  <c:v>48666110</c:v>
                </c:pt>
                <c:pt idx="44">
                  <c:v>49619440</c:v>
                </c:pt>
                <c:pt idx="45">
                  <c:v>39597447</c:v>
                </c:pt>
                <c:pt idx="46">
                  <c:v>55603423</c:v>
                </c:pt>
                <c:pt idx="47">
                  <c:v>35700139</c:v>
                </c:pt>
                <c:pt idx="48">
                  <c:v>31747487</c:v>
                </c:pt>
                <c:pt idx="49">
                  <c:v>51408559</c:v>
                </c:pt>
                <c:pt idx="50">
                  <c:v>53465690</c:v>
                </c:pt>
                <c:pt idx="51">
                  <c:v>89672657</c:v>
                </c:pt>
                <c:pt idx="52">
                  <c:v>37187525</c:v>
                </c:pt>
                <c:pt idx="53">
                  <c:v>33193783</c:v>
                </c:pt>
                <c:pt idx="54">
                  <c:v>68810086</c:v>
                </c:pt>
                <c:pt idx="55">
                  <c:v>56719828</c:v>
                </c:pt>
                <c:pt idx="56">
                  <c:v>33670128</c:v>
                </c:pt>
                <c:pt idx="57">
                  <c:v>39691432</c:v>
                </c:pt>
                <c:pt idx="58">
                  <c:v>68219459</c:v>
                </c:pt>
                <c:pt idx="59">
                  <c:v>54416665</c:v>
                </c:pt>
                <c:pt idx="60">
                  <c:v>62840502</c:v>
                </c:pt>
                <c:pt idx="61">
                  <c:v>36475374</c:v>
                </c:pt>
                <c:pt idx="62">
                  <c:v>43339026</c:v>
                </c:pt>
                <c:pt idx="63">
                  <c:v>58423124</c:v>
                </c:pt>
                <c:pt idx="64">
                  <c:v>68902415</c:v>
                </c:pt>
                <c:pt idx="65">
                  <c:v>47691847</c:v>
                </c:pt>
                <c:pt idx="66">
                  <c:v>30381177</c:v>
                </c:pt>
                <c:pt idx="67">
                  <c:v>36114022</c:v>
                </c:pt>
                <c:pt idx="68">
                  <c:v>52221117</c:v>
                </c:pt>
                <c:pt idx="69">
                  <c:v>39000098</c:v>
                </c:pt>
                <c:pt idx="70">
                  <c:v>53197923</c:v>
                </c:pt>
                <c:pt idx="71">
                  <c:v>60440565</c:v>
                </c:pt>
                <c:pt idx="72">
                  <c:v>57298622</c:v>
                </c:pt>
                <c:pt idx="73">
                  <c:v>44348170</c:v>
                </c:pt>
                <c:pt idx="74">
                  <c:v>40543496</c:v>
                </c:pt>
                <c:pt idx="75">
                  <c:v>40260763</c:v>
                </c:pt>
                <c:pt idx="76">
                  <c:v>87852513</c:v>
                </c:pt>
                <c:pt idx="77">
                  <c:v>63816643</c:v>
                </c:pt>
                <c:pt idx="78">
                  <c:v>75708121</c:v>
                </c:pt>
                <c:pt idx="79">
                  <c:v>88341687</c:v>
                </c:pt>
                <c:pt idx="80">
                  <c:v>58178174</c:v>
                </c:pt>
                <c:pt idx="81">
                  <c:v>51195392</c:v>
                </c:pt>
                <c:pt idx="82">
                  <c:v>77110381</c:v>
                </c:pt>
                <c:pt idx="83">
                  <c:v>49569150</c:v>
                </c:pt>
                <c:pt idx="84">
                  <c:v>47622016</c:v>
                </c:pt>
                <c:pt idx="85">
                  <c:v>48226256</c:v>
                </c:pt>
                <c:pt idx="86">
                  <c:v>30259005</c:v>
                </c:pt>
                <c:pt idx="87">
                  <c:v>48876141</c:v>
                </c:pt>
                <c:pt idx="88">
                  <c:v>38790820</c:v>
                </c:pt>
                <c:pt idx="89">
                  <c:v>29571666</c:v>
                </c:pt>
                <c:pt idx="90">
                  <c:v>52274798</c:v>
                </c:pt>
                <c:pt idx="91">
                  <c:v>61942205</c:v>
                </c:pt>
                <c:pt idx="92">
                  <c:v>40623062</c:v>
                </c:pt>
                <c:pt idx="93">
                  <c:v>51555472</c:v>
                </c:pt>
                <c:pt idx="94">
                  <c:v>42169353</c:v>
                </c:pt>
                <c:pt idx="95">
                  <c:v>24397249</c:v>
                </c:pt>
                <c:pt idx="96">
                  <c:v>27453391</c:v>
                </c:pt>
                <c:pt idx="97">
                  <c:v>33379033</c:v>
                </c:pt>
                <c:pt idx="98">
                  <c:v>35972078</c:v>
                </c:pt>
                <c:pt idx="99">
                  <c:v>44290739</c:v>
                </c:pt>
                <c:pt idx="100">
                  <c:v>41496929</c:v>
                </c:pt>
                <c:pt idx="101">
                  <c:v>58383693</c:v>
                </c:pt>
                <c:pt idx="102">
                  <c:v>46495023</c:v>
                </c:pt>
                <c:pt idx="103">
                  <c:v>42928643</c:v>
                </c:pt>
                <c:pt idx="104">
                  <c:v>58125292</c:v>
                </c:pt>
                <c:pt idx="105">
                  <c:v>54648611</c:v>
                </c:pt>
                <c:pt idx="106">
                  <c:v>42200709</c:v>
                </c:pt>
                <c:pt idx="107">
                  <c:v>46241341</c:v>
                </c:pt>
                <c:pt idx="108">
                  <c:v>28744611</c:v>
                </c:pt>
                <c:pt idx="109">
                  <c:v>32447312</c:v>
                </c:pt>
                <c:pt idx="110">
                  <c:v>69445791</c:v>
                </c:pt>
                <c:pt idx="111">
                  <c:v>48976579</c:v>
                </c:pt>
                <c:pt idx="112">
                  <c:v>58034334</c:v>
                </c:pt>
                <c:pt idx="113">
                  <c:v>42088131</c:v>
                </c:pt>
                <c:pt idx="114">
                  <c:v>50175869</c:v>
                </c:pt>
                <c:pt idx="115">
                  <c:v>32484032</c:v>
                </c:pt>
                <c:pt idx="116">
                  <c:v>29489885</c:v>
                </c:pt>
                <c:pt idx="117">
                  <c:v>54327431</c:v>
                </c:pt>
                <c:pt idx="118">
                  <c:v>51008883</c:v>
                </c:pt>
                <c:pt idx="119">
                  <c:v>59376244</c:v>
                </c:pt>
                <c:pt idx="120">
                  <c:v>39956038</c:v>
                </c:pt>
                <c:pt idx="121">
                  <c:v>42092512</c:v>
                </c:pt>
                <c:pt idx="122">
                  <c:v>48853093</c:v>
                </c:pt>
                <c:pt idx="123">
                  <c:v>66974226</c:v>
                </c:pt>
                <c:pt idx="124">
                  <c:v>57055266</c:v>
                </c:pt>
                <c:pt idx="125">
                  <c:v>47745717</c:v>
                </c:pt>
                <c:pt idx="126">
                  <c:v>27326624</c:v>
                </c:pt>
                <c:pt idx="127">
                  <c:v>32097060</c:v>
                </c:pt>
                <c:pt idx="128">
                  <c:v>45058985</c:v>
                </c:pt>
                <c:pt idx="129">
                  <c:v>41389664</c:v>
                </c:pt>
                <c:pt idx="130">
                  <c:v>36889110</c:v>
                </c:pt>
                <c:pt idx="131">
                  <c:v>52270356</c:v>
                </c:pt>
                <c:pt idx="132">
                  <c:v>86985811</c:v>
                </c:pt>
                <c:pt idx="133">
                  <c:v>66698457</c:v>
                </c:pt>
                <c:pt idx="134">
                  <c:v>52876644</c:v>
                </c:pt>
                <c:pt idx="135">
                  <c:v>59020806</c:v>
                </c:pt>
                <c:pt idx="136">
                  <c:v>59010550</c:v>
                </c:pt>
                <c:pt idx="137">
                  <c:v>77128729</c:v>
                </c:pt>
                <c:pt idx="138">
                  <c:v>60067060</c:v>
                </c:pt>
                <c:pt idx="139">
                  <c:v>87278412</c:v>
                </c:pt>
                <c:pt idx="140">
                  <c:v>83083058</c:v>
                </c:pt>
                <c:pt idx="141">
                  <c:v>263654976</c:v>
                </c:pt>
                <c:pt idx="142">
                  <c:v>80879390</c:v>
                </c:pt>
                <c:pt idx="143">
                  <c:v>93141028</c:v>
                </c:pt>
                <c:pt idx="144">
                  <c:v>70451576</c:v>
                </c:pt>
                <c:pt idx="145">
                  <c:v>76691231</c:v>
                </c:pt>
                <c:pt idx="146">
                  <c:v>61489217</c:v>
                </c:pt>
                <c:pt idx="147">
                  <c:v>112482477</c:v>
                </c:pt>
                <c:pt idx="148">
                  <c:v>117452283</c:v>
                </c:pt>
                <c:pt idx="149">
                  <c:v>113615036</c:v>
                </c:pt>
                <c:pt idx="150">
                  <c:v>70599311</c:v>
                </c:pt>
                <c:pt idx="151">
                  <c:v>74181170</c:v>
                </c:pt>
                <c:pt idx="152">
                  <c:v>49646248</c:v>
                </c:pt>
                <c:pt idx="153">
                  <c:v>57020785</c:v>
                </c:pt>
                <c:pt idx="154">
                  <c:v>45485671</c:v>
                </c:pt>
                <c:pt idx="155">
                  <c:v>37621598</c:v>
                </c:pt>
                <c:pt idx="156">
                  <c:v>42266565</c:v>
                </c:pt>
                <c:pt idx="157">
                  <c:v>34691448</c:v>
                </c:pt>
                <c:pt idx="158">
                  <c:v>41726416</c:v>
                </c:pt>
                <c:pt idx="159">
                  <c:v>32989900</c:v>
                </c:pt>
                <c:pt idx="160">
                  <c:v>49730626</c:v>
                </c:pt>
                <c:pt idx="161">
                  <c:v>51703344</c:v>
                </c:pt>
                <c:pt idx="162">
                  <c:v>65651268</c:v>
                </c:pt>
                <c:pt idx="163">
                  <c:v>53923399</c:v>
                </c:pt>
                <c:pt idx="164">
                  <c:v>45561783</c:v>
                </c:pt>
                <c:pt idx="165">
                  <c:v>36011867</c:v>
                </c:pt>
                <c:pt idx="166">
                  <c:v>45712339</c:v>
                </c:pt>
                <c:pt idx="167">
                  <c:v>45700029</c:v>
                </c:pt>
                <c:pt idx="168">
                  <c:v>50411047</c:v>
                </c:pt>
                <c:pt idx="169">
                  <c:v>48670623</c:v>
                </c:pt>
                <c:pt idx="170">
                  <c:v>51364527</c:v>
                </c:pt>
                <c:pt idx="171">
                  <c:v>48272554</c:v>
                </c:pt>
                <c:pt idx="172">
                  <c:v>39853827</c:v>
                </c:pt>
                <c:pt idx="173">
                  <c:v>64032208</c:v>
                </c:pt>
                <c:pt idx="174">
                  <c:v>56737819</c:v>
                </c:pt>
                <c:pt idx="175">
                  <c:v>44511518</c:v>
                </c:pt>
                <c:pt idx="176">
                  <c:v>35750388</c:v>
                </c:pt>
                <c:pt idx="177">
                  <c:v>35361785</c:v>
                </c:pt>
                <c:pt idx="178">
                  <c:v>52905572</c:v>
                </c:pt>
                <c:pt idx="179">
                  <c:v>55901684</c:v>
                </c:pt>
                <c:pt idx="180">
                  <c:v>53279309</c:v>
                </c:pt>
                <c:pt idx="181">
                  <c:v>69915206</c:v>
                </c:pt>
                <c:pt idx="182">
                  <c:v>41071014</c:v>
                </c:pt>
                <c:pt idx="183">
                  <c:v>38353024</c:v>
                </c:pt>
                <c:pt idx="184">
                  <c:v>75300877</c:v>
                </c:pt>
                <c:pt idx="185">
                  <c:v>52234838</c:v>
                </c:pt>
                <c:pt idx="186">
                  <c:v>46200502</c:v>
                </c:pt>
                <c:pt idx="187">
                  <c:v>60669503</c:v>
                </c:pt>
                <c:pt idx="188">
                  <c:v>64991124</c:v>
                </c:pt>
                <c:pt idx="189">
                  <c:v>52284590</c:v>
                </c:pt>
                <c:pt idx="190">
                  <c:v>45172948</c:v>
                </c:pt>
                <c:pt idx="191">
                  <c:v>46706702</c:v>
                </c:pt>
                <c:pt idx="192">
                  <c:v>38620085</c:v>
                </c:pt>
                <c:pt idx="193">
                  <c:v>47100861</c:v>
                </c:pt>
                <c:pt idx="194">
                  <c:v>41056505</c:v>
                </c:pt>
                <c:pt idx="195">
                  <c:v>40092602</c:v>
                </c:pt>
                <c:pt idx="196">
                  <c:v>32428740</c:v>
                </c:pt>
                <c:pt idx="197">
                  <c:v>42614309</c:v>
                </c:pt>
                <c:pt idx="198">
                  <c:v>53950571</c:v>
                </c:pt>
                <c:pt idx="199">
                  <c:v>47751843</c:v>
                </c:pt>
                <c:pt idx="200">
                  <c:v>38221854</c:v>
                </c:pt>
                <c:pt idx="201">
                  <c:v>26494019</c:v>
                </c:pt>
                <c:pt idx="202">
                  <c:v>41667733</c:v>
                </c:pt>
                <c:pt idx="203">
                  <c:v>52426994</c:v>
                </c:pt>
                <c:pt idx="204">
                  <c:v>37935574</c:v>
                </c:pt>
                <c:pt idx="205">
                  <c:v>45455550</c:v>
                </c:pt>
                <c:pt idx="206">
                  <c:v>39749580</c:v>
                </c:pt>
                <c:pt idx="207">
                  <c:v>99541758</c:v>
                </c:pt>
                <c:pt idx="208">
                  <c:v>158739237</c:v>
                </c:pt>
                <c:pt idx="209">
                  <c:v>49639031</c:v>
                </c:pt>
                <c:pt idx="210">
                  <c:v>73257640</c:v>
                </c:pt>
                <c:pt idx="211">
                  <c:v>44171064</c:v>
                </c:pt>
                <c:pt idx="212">
                  <c:v>56213140</c:v>
                </c:pt>
                <c:pt idx="213">
                  <c:v>50101574</c:v>
                </c:pt>
                <c:pt idx="214">
                  <c:v>102401767</c:v>
                </c:pt>
                <c:pt idx="215">
                  <c:v>56298581</c:v>
                </c:pt>
                <c:pt idx="216">
                  <c:v>46194234</c:v>
                </c:pt>
                <c:pt idx="217">
                  <c:v>57540749</c:v>
                </c:pt>
                <c:pt idx="218">
                  <c:v>45643469</c:v>
                </c:pt>
                <c:pt idx="219">
                  <c:v>56037372</c:v>
                </c:pt>
                <c:pt idx="220">
                  <c:v>57693602</c:v>
                </c:pt>
                <c:pt idx="221">
                  <c:v>59842137</c:v>
                </c:pt>
                <c:pt idx="222">
                  <c:v>48576111</c:v>
                </c:pt>
                <c:pt idx="223">
                  <c:v>54083318</c:v>
                </c:pt>
                <c:pt idx="224">
                  <c:v>69736527</c:v>
                </c:pt>
                <c:pt idx="225">
                  <c:v>54268047</c:v>
                </c:pt>
                <c:pt idx="226">
                  <c:v>83883698</c:v>
                </c:pt>
                <c:pt idx="227">
                  <c:v>64489537</c:v>
                </c:pt>
                <c:pt idx="228">
                  <c:v>48221639</c:v>
                </c:pt>
                <c:pt idx="229">
                  <c:v>28931888</c:v>
                </c:pt>
                <c:pt idx="230">
                  <c:v>29400275</c:v>
                </c:pt>
                <c:pt idx="231">
                  <c:v>50838648</c:v>
                </c:pt>
                <c:pt idx="232">
                  <c:v>44609982</c:v>
                </c:pt>
                <c:pt idx="233">
                  <c:v>67854157</c:v>
                </c:pt>
                <c:pt idx="234">
                  <c:v>69257705</c:v>
                </c:pt>
                <c:pt idx="235">
                  <c:v>57130816</c:v>
                </c:pt>
                <c:pt idx="236">
                  <c:v>54085688</c:v>
                </c:pt>
                <c:pt idx="237">
                  <c:v>45808999</c:v>
                </c:pt>
                <c:pt idx="238">
                  <c:v>61459387</c:v>
                </c:pt>
                <c:pt idx="239">
                  <c:v>39050396</c:v>
                </c:pt>
                <c:pt idx="240">
                  <c:v>41212663</c:v>
                </c:pt>
                <c:pt idx="241">
                  <c:v>97811802</c:v>
                </c:pt>
                <c:pt idx="242">
                  <c:v>77433549</c:v>
                </c:pt>
                <c:pt idx="243">
                  <c:v>85552952</c:v>
                </c:pt>
                <c:pt idx="244">
                  <c:v>82971642</c:v>
                </c:pt>
                <c:pt idx="245">
                  <c:v>89115347</c:v>
                </c:pt>
                <c:pt idx="246">
                  <c:v>51460734</c:v>
                </c:pt>
                <c:pt idx="247">
                  <c:v>29550633</c:v>
                </c:pt>
                <c:pt idx="248">
                  <c:v>36534079</c:v>
                </c:pt>
                <c:pt idx="249">
                  <c:v>53750246</c:v>
                </c:pt>
                <c:pt idx="250">
                  <c:v>47874103</c:v>
                </c:pt>
                <c:pt idx="251">
                  <c:v>54973840</c:v>
                </c:pt>
                <c:pt idx="252">
                  <c:v>68235708</c:v>
                </c:pt>
                <c:pt idx="253">
                  <c:v>78487552</c:v>
                </c:pt>
                <c:pt idx="254">
                  <c:v>64867023</c:v>
                </c:pt>
                <c:pt idx="255">
                  <c:v>63407119</c:v>
                </c:pt>
                <c:pt idx="256">
                  <c:v>62670278</c:v>
                </c:pt>
                <c:pt idx="257">
                  <c:v>74552875</c:v>
                </c:pt>
                <c:pt idx="258">
                  <c:v>67084313</c:v>
                </c:pt>
                <c:pt idx="259">
                  <c:v>46150035</c:v>
                </c:pt>
                <c:pt idx="260">
                  <c:v>69778271</c:v>
                </c:pt>
                <c:pt idx="261">
                  <c:v>46505753</c:v>
                </c:pt>
                <c:pt idx="262">
                  <c:v>61780110</c:v>
                </c:pt>
                <c:pt idx="263">
                  <c:v>66726387</c:v>
                </c:pt>
                <c:pt idx="264">
                  <c:v>65993172</c:v>
                </c:pt>
                <c:pt idx="265">
                  <c:v>57145140</c:v>
                </c:pt>
                <c:pt idx="266">
                  <c:v>43598838</c:v>
                </c:pt>
                <c:pt idx="267">
                  <c:v>74257329</c:v>
                </c:pt>
                <c:pt idx="268">
                  <c:v>93659287</c:v>
                </c:pt>
                <c:pt idx="269">
                  <c:v>71111881</c:v>
                </c:pt>
                <c:pt idx="270">
                  <c:v>70782906</c:v>
                </c:pt>
                <c:pt idx="271">
                  <c:v>105393560</c:v>
                </c:pt>
                <c:pt idx="272">
                  <c:v>133542924</c:v>
                </c:pt>
                <c:pt idx="273">
                  <c:v>69821048</c:v>
                </c:pt>
                <c:pt idx="274">
                  <c:v>126184045</c:v>
                </c:pt>
                <c:pt idx="275">
                  <c:v>226339032</c:v>
                </c:pt>
                <c:pt idx="276">
                  <c:v>143116839</c:v>
                </c:pt>
                <c:pt idx="277">
                  <c:v>73328062</c:v>
                </c:pt>
                <c:pt idx="278">
                  <c:v>55726170</c:v>
                </c:pt>
                <c:pt idx="279">
                  <c:v>68421994</c:v>
                </c:pt>
                <c:pt idx="280">
                  <c:v>73218126</c:v>
                </c:pt>
                <c:pt idx="281">
                  <c:v>54642783</c:v>
                </c:pt>
                <c:pt idx="282">
                  <c:v>62175764</c:v>
                </c:pt>
                <c:pt idx="283">
                  <c:v>50191726</c:v>
                </c:pt>
                <c:pt idx="284">
                  <c:v>39787792</c:v>
                </c:pt>
                <c:pt idx="285">
                  <c:v>58437662</c:v>
                </c:pt>
                <c:pt idx="286">
                  <c:v>72562637</c:v>
                </c:pt>
                <c:pt idx="287">
                  <c:v>88876827</c:v>
                </c:pt>
                <c:pt idx="288">
                  <c:v>87948083</c:v>
                </c:pt>
                <c:pt idx="289">
                  <c:v>70518755</c:v>
                </c:pt>
                <c:pt idx="290">
                  <c:v>137992574</c:v>
                </c:pt>
                <c:pt idx="291">
                  <c:v>154435905</c:v>
                </c:pt>
                <c:pt idx="292">
                  <c:v>167499954</c:v>
                </c:pt>
                <c:pt idx="293">
                  <c:v>157774904</c:v>
                </c:pt>
                <c:pt idx="294">
                  <c:v>136680746</c:v>
                </c:pt>
                <c:pt idx="295">
                  <c:v>150644884</c:v>
                </c:pt>
                <c:pt idx="296">
                  <c:v>167183809</c:v>
                </c:pt>
                <c:pt idx="297">
                  <c:v>210126974</c:v>
                </c:pt>
                <c:pt idx="298">
                  <c:v>129994592</c:v>
                </c:pt>
                <c:pt idx="299">
                  <c:v>137747632</c:v>
                </c:pt>
                <c:pt idx="300">
                  <c:v>91313759</c:v>
                </c:pt>
                <c:pt idx="301">
                  <c:v>98583068</c:v>
                </c:pt>
                <c:pt idx="302">
                  <c:v>102730930</c:v>
                </c:pt>
                <c:pt idx="303">
                  <c:v>124697379</c:v>
                </c:pt>
                <c:pt idx="304">
                  <c:v>109103733</c:v>
                </c:pt>
                <c:pt idx="305">
                  <c:v>240638631</c:v>
                </c:pt>
                <c:pt idx="306">
                  <c:v>102847191</c:v>
                </c:pt>
                <c:pt idx="307">
                  <c:v>83674856</c:v>
                </c:pt>
                <c:pt idx="308">
                  <c:v>140975582</c:v>
                </c:pt>
                <c:pt idx="309">
                  <c:v>229032469</c:v>
                </c:pt>
                <c:pt idx="310">
                  <c:v>136868327</c:v>
                </c:pt>
                <c:pt idx="311">
                  <c:v>139951868</c:v>
                </c:pt>
                <c:pt idx="312">
                  <c:v>135388684</c:v>
                </c:pt>
                <c:pt idx="313">
                  <c:v>136908485</c:v>
                </c:pt>
                <c:pt idx="314">
                  <c:v>220270980</c:v>
                </c:pt>
                <c:pt idx="315">
                  <c:v>177466228</c:v>
                </c:pt>
                <c:pt idx="316">
                  <c:v>274938497</c:v>
                </c:pt>
                <c:pt idx="317">
                  <c:v>199286778</c:v>
                </c:pt>
                <c:pt idx="318">
                  <c:v>199662988</c:v>
                </c:pt>
                <c:pt idx="319">
                  <c:v>163535434</c:v>
                </c:pt>
                <c:pt idx="320">
                  <c:v>146073701</c:v>
                </c:pt>
                <c:pt idx="321">
                  <c:v>189955001</c:v>
                </c:pt>
                <c:pt idx="322">
                  <c:v>125469023</c:v>
                </c:pt>
                <c:pt idx="323">
                  <c:v>133804943</c:v>
                </c:pt>
                <c:pt idx="324">
                  <c:v>129204565</c:v>
                </c:pt>
                <c:pt idx="325">
                  <c:v>94138882</c:v>
                </c:pt>
                <c:pt idx="326">
                  <c:v>121387081</c:v>
                </c:pt>
                <c:pt idx="327">
                  <c:v>158691527</c:v>
                </c:pt>
                <c:pt idx="328">
                  <c:v>87031042</c:v>
                </c:pt>
                <c:pt idx="329">
                  <c:v>88682432</c:v>
                </c:pt>
                <c:pt idx="330">
                  <c:v>77051524</c:v>
                </c:pt>
                <c:pt idx="331">
                  <c:v>141980313</c:v>
                </c:pt>
                <c:pt idx="332">
                  <c:v>136406235</c:v>
                </c:pt>
                <c:pt idx="333">
                  <c:v>126532486</c:v>
                </c:pt>
                <c:pt idx="334">
                  <c:v>82228655</c:v>
                </c:pt>
                <c:pt idx="335">
                  <c:v>105766259</c:v>
                </c:pt>
                <c:pt idx="336">
                  <c:v>131814035</c:v>
                </c:pt>
                <c:pt idx="337">
                  <c:v>116936644</c:v>
                </c:pt>
                <c:pt idx="338">
                  <c:v>107173416</c:v>
                </c:pt>
                <c:pt idx="339">
                  <c:v>76350701</c:v>
                </c:pt>
                <c:pt idx="340">
                  <c:v>102035764</c:v>
                </c:pt>
                <c:pt idx="341">
                  <c:v>83671012</c:v>
                </c:pt>
                <c:pt idx="342">
                  <c:v>84453089</c:v>
                </c:pt>
                <c:pt idx="343">
                  <c:v>71096528</c:v>
                </c:pt>
                <c:pt idx="344">
                  <c:v>64913005</c:v>
                </c:pt>
                <c:pt idx="345">
                  <c:v>60195734</c:v>
                </c:pt>
                <c:pt idx="346">
                  <c:v>61063828</c:v>
                </c:pt>
                <c:pt idx="347">
                  <c:v>89090498</c:v>
                </c:pt>
                <c:pt idx="348">
                  <c:v>94081143</c:v>
                </c:pt>
                <c:pt idx="349">
                  <c:v>80519024</c:v>
                </c:pt>
                <c:pt idx="350">
                  <c:v>89066847</c:v>
                </c:pt>
                <c:pt idx="351">
                  <c:v>102335584</c:v>
                </c:pt>
                <c:pt idx="352">
                  <c:v>101688883</c:v>
                </c:pt>
                <c:pt idx="353">
                  <c:v>152191621</c:v>
                </c:pt>
                <c:pt idx="354">
                  <c:v>170340783</c:v>
                </c:pt>
                <c:pt idx="355">
                  <c:v>121584328</c:v>
                </c:pt>
                <c:pt idx="356">
                  <c:v>123191229</c:v>
                </c:pt>
                <c:pt idx="357">
                  <c:v>133269444</c:v>
                </c:pt>
                <c:pt idx="358">
                  <c:v>105916694</c:v>
                </c:pt>
                <c:pt idx="359">
                  <c:v>63638928</c:v>
                </c:pt>
                <c:pt idx="360">
                  <c:v>87955501</c:v>
                </c:pt>
                <c:pt idx="361">
                  <c:v>93094876</c:v>
                </c:pt>
                <c:pt idx="362">
                  <c:v>76393291</c:v>
                </c:pt>
                <c:pt idx="363">
                  <c:v>90106172</c:v>
                </c:pt>
                <c:pt idx="364">
                  <c:v>75195179</c:v>
                </c:pt>
                <c:pt idx="365">
                  <c:v>100969375</c:v>
                </c:pt>
                <c:pt idx="366">
                  <c:v>82770168</c:v>
                </c:pt>
                <c:pt idx="367">
                  <c:v>116743402</c:v>
                </c:pt>
                <c:pt idx="368">
                  <c:v>77576511</c:v>
                </c:pt>
                <c:pt idx="369">
                  <c:v>77244413</c:v>
                </c:pt>
                <c:pt idx="370">
                  <c:v>91927326</c:v>
                </c:pt>
                <c:pt idx="371">
                  <c:v>88416356</c:v>
                </c:pt>
                <c:pt idx="372">
                  <c:v>182008244</c:v>
                </c:pt>
                <c:pt idx="373">
                  <c:v>88472231</c:v>
                </c:pt>
                <c:pt idx="374">
                  <c:v>140150738</c:v>
                </c:pt>
                <c:pt idx="375">
                  <c:v>122331588</c:v>
                </c:pt>
                <c:pt idx="376">
                  <c:v>60311463</c:v>
                </c:pt>
                <c:pt idx="377">
                  <c:v>73842100</c:v>
                </c:pt>
                <c:pt idx="378">
                  <c:v>74190215</c:v>
                </c:pt>
                <c:pt idx="379">
                  <c:v>63886882</c:v>
                </c:pt>
                <c:pt idx="380">
                  <c:v>67263023</c:v>
                </c:pt>
                <c:pt idx="381">
                  <c:v>65340737</c:v>
                </c:pt>
                <c:pt idx="382">
                  <c:v>62098074</c:v>
                </c:pt>
                <c:pt idx="383">
                  <c:v>65101902</c:v>
                </c:pt>
                <c:pt idx="384">
                  <c:v>107978145</c:v>
                </c:pt>
                <c:pt idx="385">
                  <c:v>70345257</c:v>
                </c:pt>
                <c:pt idx="386">
                  <c:v>68812553</c:v>
                </c:pt>
                <c:pt idx="387">
                  <c:v>65515630</c:v>
                </c:pt>
                <c:pt idx="388">
                  <c:v>79403755</c:v>
                </c:pt>
                <c:pt idx="389">
                  <c:v>76163207</c:v>
                </c:pt>
                <c:pt idx="390">
                  <c:v>63557796</c:v>
                </c:pt>
                <c:pt idx="391">
                  <c:v>52312257</c:v>
                </c:pt>
                <c:pt idx="392">
                  <c:v>54173647</c:v>
                </c:pt>
                <c:pt idx="393">
                  <c:v>58371483</c:v>
                </c:pt>
                <c:pt idx="394">
                  <c:v>79866858</c:v>
                </c:pt>
                <c:pt idx="395">
                  <c:v>101090884</c:v>
                </c:pt>
                <c:pt idx="396">
                  <c:v>73541489</c:v>
                </c:pt>
                <c:pt idx="397">
                  <c:v>56696828</c:v>
                </c:pt>
                <c:pt idx="398">
                  <c:v>58864252</c:v>
                </c:pt>
                <c:pt idx="399">
                  <c:v>59519843</c:v>
                </c:pt>
                <c:pt idx="400">
                  <c:v>71774972</c:v>
                </c:pt>
                <c:pt idx="401">
                  <c:v>48465317</c:v>
                </c:pt>
                <c:pt idx="402">
                  <c:v>84332966</c:v>
                </c:pt>
                <c:pt idx="403">
                  <c:v>64021039</c:v>
                </c:pt>
                <c:pt idx="404">
                  <c:v>63823345</c:v>
                </c:pt>
                <c:pt idx="405">
                  <c:v>52469244</c:v>
                </c:pt>
                <c:pt idx="406">
                  <c:v>46141355</c:v>
                </c:pt>
                <c:pt idx="407">
                  <c:v>37113805</c:v>
                </c:pt>
                <c:pt idx="408">
                  <c:v>58020177</c:v>
                </c:pt>
                <c:pt idx="409">
                  <c:v>46469853</c:v>
                </c:pt>
                <c:pt idx="410">
                  <c:v>51779301</c:v>
                </c:pt>
                <c:pt idx="411">
                  <c:v>58538704</c:v>
                </c:pt>
                <c:pt idx="412">
                  <c:v>45038754</c:v>
                </c:pt>
                <c:pt idx="413">
                  <c:v>48613273</c:v>
                </c:pt>
                <c:pt idx="414">
                  <c:v>40381477</c:v>
                </c:pt>
                <c:pt idx="415">
                  <c:v>47723668</c:v>
                </c:pt>
                <c:pt idx="416">
                  <c:v>44069734</c:v>
                </c:pt>
                <c:pt idx="417">
                  <c:v>57704182</c:v>
                </c:pt>
                <c:pt idx="418">
                  <c:v>47728660</c:v>
                </c:pt>
                <c:pt idx="419">
                  <c:v>33136650</c:v>
                </c:pt>
                <c:pt idx="420">
                  <c:v>47547831</c:v>
                </c:pt>
                <c:pt idx="421">
                  <c:v>39734522</c:v>
                </c:pt>
                <c:pt idx="422">
                  <c:v>41262743</c:v>
                </c:pt>
                <c:pt idx="423">
                  <c:v>47021328</c:v>
                </c:pt>
                <c:pt idx="424">
                  <c:v>64196118</c:v>
                </c:pt>
                <c:pt idx="425">
                  <c:v>50100809</c:v>
                </c:pt>
                <c:pt idx="426">
                  <c:v>47942431</c:v>
                </c:pt>
                <c:pt idx="427">
                  <c:v>58064970</c:v>
                </c:pt>
                <c:pt idx="428">
                  <c:v>68585945</c:v>
                </c:pt>
                <c:pt idx="429">
                  <c:v>55040063</c:v>
                </c:pt>
                <c:pt idx="430">
                  <c:v>71676341</c:v>
                </c:pt>
                <c:pt idx="431">
                  <c:v>58432710</c:v>
                </c:pt>
                <c:pt idx="432">
                  <c:v>55667552</c:v>
                </c:pt>
                <c:pt idx="433">
                  <c:v>60193780</c:v>
                </c:pt>
                <c:pt idx="434">
                  <c:v>67656337</c:v>
                </c:pt>
                <c:pt idx="435">
                  <c:v>117681848</c:v>
                </c:pt>
                <c:pt idx="436">
                  <c:v>83325012</c:v>
                </c:pt>
                <c:pt idx="437">
                  <c:v>70765048</c:v>
                </c:pt>
                <c:pt idx="438">
                  <c:v>73578427</c:v>
                </c:pt>
                <c:pt idx="439">
                  <c:v>74530532</c:v>
                </c:pt>
                <c:pt idx="440">
                  <c:v>100778558</c:v>
                </c:pt>
                <c:pt idx="441">
                  <c:v>90544937</c:v>
                </c:pt>
                <c:pt idx="442">
                  <c:v>154390154</c:v>
                </c:pt>
                <c:pt idx="443">
                  <c:v>78469653</c:v>
                </c:pt>
                <c:pt idx="444">
                  <c:v>70320483</c:v>
                </c:pt>
                <c:pt idx="445">
                  <c:v>84595402</c:v>
                </c:pt>
                <c:pt idx="446">
                  <c:v>73939384</c:v>
                </c:pt>
                <c:pt idx="447">
                  <c:v>89117946</c:v>
                </c:pt>
                <c:pt idx="448">
                  <c:v>88960726</c:v>
                </c:pt>
                <c:pt idx="449">
                  <c:v>108701202</c:v>
                </c:pt>
                <c:pt idx="450">
                  <c:v>107633522</c:v>
                </c:pt>
                <c:pt idx="451">
                  <c:v>77878936</c:v>
                </c:pt>
                <c:pt idx="452">
                  <c:v>297153158</c:v>
                </c:pt>
                <c:pt idx="453">
                  <c:v>415062173</c:v>
                </c:pt>
                <c:pt idx="454">
                  <c:v>479840312</c:v>
                </c:pt>
                <c:pt idx="455">
                  <c:v>298366862</c:v>
                </c:pt>
                <c:pt idx="456">
                  <c:v>140859004</c:v>
                </c:pt>
                <c:pt idx="457">
                  <c:v>96738451</c:v>
                </c:pt>
                <c:pt idx="458">
                  <c:v>127512240</c:v>
                </c:pt>
                <c:pt idx="459">
                  <c:v>80766301</c:v>
                </c:pt>
                <c:pt idx="460">
                  <c:v>68861988</c:v>
                </c:pt>
                <c:pt idx="461">
                  <c:v>80419403</c:v>
                </c:pt>
                <c:pt idx="462">
                  <c:v>70360611</c:v>
                </c:pt>
                <c:pt idx="463">
                  <c:v>79134307</c:v>
                </c:pt>
                <c:pt idx="464">
                  <c:v>82291049</c:v>
                </c:pt>
                <c:pt idx="465">
                  <c:v>80011318</c:v>
                </c:pt>
                <c:pt idx="466">
                  <c:v>62051157</c:v>
                </c:pt>
                <c:pt idx="467">
                  <c:v>79742405</c:v>
                </c:pt>
                <c:pt idx="468">
                  <c:v>61840461</c:v>
                </c:pt>
                <c:pt idx="469">
                  <c:v>71481613</c:v>
                </c:pt>
                <c:pt idx="470">
                  <c:v>67932422</c:v>
                </c:pt>
                <c:pt idx="471">
                  <c:v>73404381</c:v>
                </c:pt>
                <c:pt idx="472">
                  <c:v>70215400</c:v>
                </c:pt>
                <c:pt idx="473">
                  <c:v>49619260</c:v>
                </c:pt>
                <c:pt idx="474">
                  <c:v>95861863</c:v>
                </c:pt>
                <c:pt idx="475">
                  <c:v>74048860</c:v>
                </c:pt>
                <c:pt idx="476">
                  <c:v>52936240</c:v>
                </c:pt>
                <c:pt idx="477">
                  <c:v>52884970</c:v>
                </c:pt>
                <c:pt idx="478">
                  <c:v>44942203</c:v>
                </c:pt>
                <c:pt idx="479">
                  <c:v>29536180</c:v>
                </c:pt>
                <c:pt idx="480">
                  <c:v>51593955</c:v>
                </c:pt>
                <c:pt idx="481">
                  <c:v>57641703</c:v>
                </c:pt>
                <c:pt idx="482">
                  <c:v>45364666</c:v>
                </c:pt>
                <c:pt idx="483">
                  <c:v>47554803</c:v>
                </c:pt>
                <c:pt idx="484">
                  <c:v>54099362</c:v>
                </c:pt>
                <c:pt idx="485">
                  <c:v>45580830</c:v>
                </c:pt>
                <c:pt idx="486">
                  <c:v>33349986</c:v>
                </c:pt>
                <c:pt idx="487">
                  <c:v>72210701</c:v>
                </c:pt>
                <c:pt idx="488">
                  <c:v>59012304</c:v>
                </c:pt>
                <c:pt idx="489">
                  <c:v>48337280</c:v>
                </c:pt>
                <c:pt idx="490">
                  <c:v>53577255</c:v>
                </c:pt>
                <c:pt idx="491">
                  <c:v>69408875</c:v>
                </c:pt>
                <c:pt idx="492">
                  <c:v>58320635</c:v>
                </c:pt>
                <c:pt idx="493">
                  <c:v>52604828</c:v>
                </c:pt>
                <c:pt idx="494">
                  <c:v>61640571</c:v>
                </c:pt>
                <c:pt idx="495">
                  <c:v>31106109</c:v>
                </c:pt>
                <c:pt idx="496">
                  <c:v>25440833</c:v>
                </c:pt>
                <c:pt idx="497">
                  <c:v>14227582</c:v>
                </c:pt>
                <c:pt idx="498">
                  <c:v>22471423</c:v>
                </c:pt>
                <c:pt idx="499">
                  <c:v>24398306</c:v>
                </c:pt>
                <c:pt idx="500">
                  <c:v>23002807</c:v>
                </c:pt>
                <c:pt idx="501">
                  <c:v>26302260</c:v>
                </c:pt>
                <c:pt idx="502">
                  <c:v>46366861</c:v>
                </c:pt>
                <c:pt idx="503">
                  <c:v>50135246</c:v>
                </c:pt>
                <c:pt idx="504">
                  <c:v>84534703</c:v>
                </c:pt>
                <c:pt idx="505">
                  <c:v>50608950</c:v>
                </c:pt>
                <c:pt idx="506">
                  <c:v>154276839</c:v>
                </c:pt>
                <c:pt idx="507">
                  <c:v>68436178</c:v>
                </c:pt>
                <c:pt idx="508">
                  <c:v>53443964</c:v>
                </c:pt>
                <c:pt idx="509">
                  <c:v>58867535</c:v>
                </c:pt>
                <c:pt idx="510">
                  <c:v>65318552</c:v>
                </c:pt>
                <c:pt idx="511">
                  <c:v>44241477</c:v>
                </c:pt>
                <c:pt idx="512">
                  <c:v>60750836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0-44CF-BF3A-B5B3CD82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68479"/>
        <c:axId val="1062567519"/>
      </c:areaChar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11.967599999999999</c:v>
                </c:pt>
                <c:pt idx="1">
                  <c:v>11.524699999999999</c:v>
                </c:pt>
                <c:pt idx="2">
                  <c:v>11.495200000000001</c:v>
                </c:pt>
                <c:pt idx="3">
                  <c:v>11.6625</c:v>
                </c:pt>
                <c:pt idx="4">
                  <c:v>11.7806</c:v>
                </c:pt>
                <c:pt idx="5">
                  <c:v>11.652699999999999</c:v>
                </c:pt>
                <c:pt idx="6">
                  <c:v>11.642799999999999</c:v>
                </c:pt>
                <c:pt idx="7">
                  <c:v>11.524699999999999</c:v>
                </c:pt>
                <c:pt idx="8">
                  <c:v>11.278700000000001</c:v>
                </c:pt>
                <c:pt idx="9">
                  <c:v>11.278700000000001</c:v>
                </c:pt>
                <c:pt idx="10">
                  <c:v>11.091699999999999</c:v>
                </c:pt>
                <c:pt idx="11">
                  <c:v>10.8161</c:v>
                </c:pt>
                <c:pt idx="12">
                  <c:v>11.0228</c:v>
                </c:pt>
                <c:pt idx="13">
                  <c:v>11.0228</c:v>
                </c:pt>
                <c:pt idx="14">
                  <c:v>11.190099999999999</c:v>
                </c:pt>
                <c:pt idx="15">
                  <c:v>10.855499999999999</c:v>
                </c:pt>
                <c:pt idx="16">
                  <c:v>11.160600000000001</c:v>
                </c:pt>
                <c:pt idx="17">
                  <c:v>11.2098</c:v>
                </c:pt>
                <c:pt idx="18">
                  <c:v>11.3673</c:v>
                </c:pt>
                <c:pt idx="19">
                  <c:v>11.5936</c:v>
                </c:pt>
                <c:pt idx="20">
                  <c:v>11.534599999999999</c:v>
                </c:pt>
                <c:pt idx="21">
                  <c:v>11.9086</c:v>
                </c:pt>
                <c:pt idx="22">
                  <c:v>11.947900000000001</c:v>
                </c:pt>
                <c:pt idx="23">
                  <c:v>11.406599999999999</c:v>
                </c:pt>
                <c:pt idx="24">
                  <c:v>11.879099999999999</c:v>
                </c:pt>
                <c:pt idx="25">
                  <c:v>12.5975</c:v>
                </c:pt>
                <c:pt idx="26">
                  <c:v>12.627000000000001</c:v>
                </c:pt>
                <c:pt idx="27">
                  <c:v>12.4794</c:v>
                </c:pt>
                <c:pt idx="28">
                  <c:v>12.774699999999999</c:v>
                </c:pt>
                <c:pt idx="29">
                  <c:v>12.4794</c:v>
                </c:pt>
                <c:pt idx="30">
                  <c:v>12.3613</c:v>
                </c:pt>
                <c:pt idx="31">
                  <c:v>12.321899999999999</c:v>
                </c:pt>
                <c:pt idx="32">
                  <c:v>12.105399999999999</c:v>
                </c:pt>
                <c:pt idx="33">
                  <c:v>12.0562</c:v>
                </c:pt>
                <c:pt idx="34">
                  <c:v>11.947900000000001</c:v>
                </c:pt>
                <c:pt idx="35">
                  <c:v>11.9283</c:v>
                </c:pt>
                <c:pt idx="36">
                  <c:v>11.947900000000001</c:v>
                </c:pt>
                <c:pt idx="37">
                  <c:v>11.760999999999999</c:v>
                </c:pt>
                <c:pt idx="38">
                  <c:v>11.8102</c:v>
                </c:pt>
                <c:pt idx="39">
                  <c:v>12.105399999999999</c:v>
                </c:pt>
                <c:pt idx="40">
                  <c:v>12.2432</c:v>
                </c:pt>
                <c:pt idx="41">
                  <c:v>12.253</c:v>
                </c:pt>
                <c:pt idx="42">
                  <c:v>12.538500000000001</c:v>
                </c:pt>
                <c:pt idx="43">
                  <c:v>12.381</c:v>
                </c:pt>
                <c:pt idx="44">
                  <c:v>12.184100000000001</c:v>
                </c:pt>
                <c:pt idx="45">
                  <c:v>12.213699999999999</c:v>
                </c:pt>
                <c:pt idx="46">
                  <c:v>11.987299999999999</c:v>
                </c:pt>
                <c:pt idx="47">
                  <c:v>11.9184</c:v>
                </c:pt>
                <c:pt idx="48">
                  <c:v>11.9184</c:v>
                </c:pt>
                <c:pt idx="49">
                  <c:v>12.174300000000001</c:v>
                </c:pt>
                <c:pt idx="50">
                  <c:v>11.8889</c:v>
                </c:pt>
                <c:pt idx="51">
                  <c:v>11.869199999999999</c:v>
                </c:pt>
                <c:pt idx="52">
                  <c:v>11.987299999999999</c:v>
                </c:pt>
                <c:pt idx="53">
                  <c:v>12.105399999999999</c:v>
                </c:pt>
                <c:pt idx="54">
                  <c:v>12.6959</c:v>
                </c:pt>
                <c:pt idx="55">
                  <c:v>12.7156</c:v>
                </c:pt>
                <c:pt idx="56">
                  <c:v>12.7058</c:v>
                </c:pt>
                <c:pt idx="57">
                  <c:v>12.6959</c:v>
                </c:pt>
                <c:pt idx="58">
                  <c:v>12.2432</c:v>
                </c:pt>
                <c:pt idx="59">
                  <c:v>12.853400000000001</c:v>
                </c:pt>
                <c:pt idx="60">
                  <c:v>13.069900000000001</c:v>
                </c:pt>
                <c:pt idx="61">
                  <c:v>13.079800000000001</c:v>
                </c:pt>
                <c:pt idx="62">
                  <c:v>13.069900000000001</c:v>
                </c:pt>
                <c:pt idx="63">
                  <c:v>13.434100000000001</c:v>
                </c:pt>
                <c:pt idx="64">
                  <c:v>13.000999999999999</c:v>
                </c:pt>
                <c:pt idx="65">
                  <c:v>13.069900000000001</c:v>
                </c:pt>
                <c:pt idx="66">
                  <c:v>13.197900000000001</c:v>
                </c:pt>
                <c:pt idx="67">
                  <c:v>13.325799999999999</c:v>
                </c:pt>
                <c:pt idx="68">
                  <c:v>12.853400000000001</c:v>
                </c:pt>
                <c:pt idx="69">
                  <c:v>12.8337</c:v>
                </c:pt>
                <c:pt idx="70">
                  <c:v>12.410500000000001</c:v>
                </c:pt>
                <c:pt idx="71">
                  <c:v>12.0365</c:v>
                </c:pt>
                <c:pt idx="72">
                  <c:v>11.8987</c:v>
                </c:pt>
                <c:pt idx="73">
                  <c:v>11.849500000000001</c:v>
                </c:pt>
                <c:pt idx="74">
                  <c:v>11.869199999999999</c:v>
                </c:pt>
                <c:pt idx="75">
                  <c:v>11.947900000000001</c:v>
                </c:pt>
                <c:pt idx="76">
                  <c:v>12.6762</c:v>
                </c:pt>
                <c:pt idx="77">
                  <c:v>12.735300000000001</c:v>
                </c:pt>
                <c:pt idx="78">
                  <c:v>12.745100000000001</c:v>
                </c:pt>
                <c:pt idx="79">
                  <c:v>12.8337</c:v>
                </c:pt>
                <c:pt idx="80">
                  <c:v>12.5877</c:v>
                </c:pt>
                <c:pt idx="81">
                  <c:v>12.548299999999999</c:v>
                </c:pt>
                <c:pt idx="82">
                  <c:v>11.957800000000001</c:v>
                </c:pt>
                <c:pt idx="83">
                  <c:v>12.007</c:v>
                </c:pt>
                <c:pt idx="84">
                  <c:v>12.292400000000001</c:v>
                </c:pt>
                <c:pt idx="85">
                  <c:v>12.2334</c:v>
                </c:pt>
                <c:pt idx="86">
                  <c:v>12.302300000000001</c:v>
                </c:pt>
                <c:pt idx="87">
                  <c:v>11.977499999999999</c:v>
                </c:pt>
                <c:pt idx="88">
                  <c:v>11.957800000000001</c:v>
                </c:pt>
                <c:pt idx="89">
                  <c:v>11.9381</c:v>
                </c:pt>
                <c:pt idx="90">
                  <c:v>11.8003</c:v>
                </c:pt>
                <c:pt idx="91">
                  <c:v>12.1349</c:v>
                </c:pt>
                <c:pt idx="92">
                  <c:v>12.2432</c:v>
                </c:pt>
                <c:pt idx="93">
                  <c:v>12.1153</c:v>
                </c:pt>
                <c:pt idx="94">
                  <c:v>12.184100000000001</c:v>
                </c:pt>
                <c:pt idx="95">
                  <c:v>12.085699999999999</c:v>
                </c:pt>
                <c:pt idx="96">
                  <c:v>11.957800000000001</c:v>
                </c:pt>
                <c:pt idx="97">
                  <c:v>11.957800000000001</c:v>
                </c:pt>
                <c:pt idx="98">
                  <c:v>11.839700000000001</c:v>
                </c:pt>
                <c:pt idx="99">
                  <c:v>11.9184</c:v>
                </c:pt>
                <c:pt idx="100">
                  <c:v>11.967599999999999</c:v>
                </c:pt>
                <c:pt idx="101">
                  <c:v>11.495200000000001</c:v>
                </c:pt>
                <c:pt idx="102">
                  <c:v>11.3771</c:v>
                </c:pt>
                <c:pt idx="103">
                  <c:v>11.5838</c:v>
                </c:pt>
                <c:pt idx="104">
                  <c:v>11.9381</c:v>
                </c:pt>
                <c:pt idx="105">
                  <c:v>11.997199999999999</c:v>
                </c:pt>
                <c:pt idx="106">
                  <c:v>11.839700000000001</c:v>
                </c:pt>
                <c:pt idx="107">
                  <c:v>11.879099999999999</c:v>
                </c:pt>
                <c:pt idx="108">
                  <c:v>11.879099999999999</c:v>
                </c:pt>
                <c:pt idx="109">
                  <c:v>11.957800000000001</c:v>
                </c:pt>
                <c:pt idx="110">
                  <c:v>12.184100000000001</c:v>
                </c:pt>
                <c:pt idx="111">
                  <c:v>11.9184</c:v>
                </c:pt>
                <c:pt idx="112">
                  <c:v>11.8889</c:v>
                </c:pt>
                <c:pt idx="113">
                  <c:v>11.751099999999999</c:v>
                </c:pt>
                <c:pt idx="114">
                  <c:v>11.524699999999999</c:v>
                </c:pt>
                <c:pt idx="115">
                  <c:v>11.6625</c:v>
                </c:pt>
                <c:pt idx="116">
                  <c:v>11.5936</c:v>
                </c:pt>
                <c:pt idx="117">
                  <c:v>11.751099999999999</c:v>
                </c:pt>
                <c:pt idx="118">
                  <c:v>11.652699999999999</c:v>
                </c:pt>
                <c:pt idx="119">
                  <c:v>12.0365</c:v>
                </c:pt>
                <c:pt idx="120">
                  <c:v>11.8987</c:v>
                </c:pt>
                <c:pt idx="121">
                  <c:v>11.9184</c:v>
                </c:pt>
                <c:pt idx="122">
                  <c:v>12.0365</c:v>
                </c:pt>
                <c:pt idx="123">
                  <c:v>12.3416</c:v>
                </c:pt>
                <c:pt idx="124">
                  <c:v>12.5581</c:v>
                </c:pt>
                <c:pt idx="125">
                  <c:v>12.666399999999999</c:v>
                </c:pt>
                <c:pt idx="126">
                  <c:v>12.666399999999999</c:v>
                </c:pt>
                <c:pt idx="127">
                  <c:v>12.636900000000001</c:v>
                </c:pt>
                <c:pt idx="128">
                  <c:v>12.774699999999999</c:v>
                </c:pt>
                <c:pt idx="129">
                  <c:v>12.6959</c:v>
                </c:pt>
                <c:pt idx="130">
                  <c:v>12.9617</c:v>
                </c:pt>
                <c:pt idx="131">
                  <c:v>13.2569</c:v>
                </c:pt>
                <c:pt idx="132">
                  <c:v>13.808</c:v>
                </c:pt>
                <c:pt idx="133">
                  <c:v>14.004899999999999</c:v>
                </c:pt>
                <c:pt idx="134">
                  <c:v>14.1624</c:v>
                </c:pt>
                <c:pt idx="135">
                  <c:v>14.2509</c:v>
                </c:pt>
                <c:pt idx="136">
                  <c:v>14.319800000000001</c:v>
                </c:pt>
                <c:pt idx="137">
                  <c:v>13.758800000000001</c:v>
                </c:pt>
                <c:pt idx="138">
                  <c:v>13.896599999999999</c:v>
                </c:pt>
                <c:pt idx="139">
                  <c:v>13.6112</c:v>
                </c:pt>
                <c:pt idx="140">
                  <c:v>13.4537</c:v>
                </c:pt>
                <c:pt idx="141">
                  <c:v>10.9834</c:v>
                </c:pt>
                <c:pt idx="142">
                  <c:v>11.013</c:v>
                </c:pt>
                <c:pt idx="143">
                  <c:v>10.835800000000001</c:v>
                </c:pt>
                <c:pt idx="144">
                  <c:v>10.6685</c:v>
                </c:pt>
                <c:pt idx="145">
                  <c:v>10.6488</c:v>
                </c:pt>
                <c:pt idx="146">
                  <c:v>10.520899999999999</c:v>
                </c:pt>
                <c:pt idx="147">
                  <c:v>9.8712999999999997</c:v>
                </c:pt>
                <c:pt idx="148">
                  <c:v>9.5564</c:v>
                </c:pt>
                <c:pt idx="149">
                  <c:v>9.6252999999999993</c:v>
                </c:pt>
                <c:pt idx="150">
                  <c:v>9.6153999999999993</c:v>
                </c:pt>
                <c:pt idx="151">
                  <c:v>9.9696999999999996</c:v>
                </c:pt>
                <c:pt idx="152">
                  <c:v>9.9402000000000008</c:v>
                </c:pt>
                <c:pt idx="153">
                  <c:v>9.7040000000000006</c:v>
                </c:pt>
                <c:pt idx="154">
                  <c:v>9.9795999999999996</c:v>
                </c:pt>
                <c:pt idx="155">
                  <c:v>10.019</c:v>
                </c:pt>
                <c:pt idx="156">
                  <c:v>10.294499999999999</c:v>
                </c:pt>
                <c:pt idx="157">
                  <c:v>10.3437</c:v>
                </c:pt>
                <c:pt idx="158">
                  <c:v>10.5504</c:v>
                </c:pt>
                <c:pt idx="159">
                  <c:v>10.510999999999999</c:v>
                </c:pt>
                <c:pt idx="160">
                  <c:v>10.6784</c:v>
                </c:pt>
                <c:pt idx="161">
                  <c:v>10.747199999999999</c:v>
                </c:pt>
                <c:pt idx="162">
                  <c:v>11.091699999999999</c:v>
                </c:pt>
                <c:pt idx="163">
                  <c:v>10.934200000000001</c:v>
                </c:pt>
                <c:pt idx="164">
                  <c:v>10.963800000000001</c:v>
                </c:pt>
                <c:pt idx="165">
                  <c:v>10.8653</c:v>
                </c:pt>
                <c:pt idx="166">
                  <c:v>10.934200000000001</c:v>
                </c:pt>
                <c:pt idx="167">
                  <c:v>11.013</c:v>
                </c:pt>
                <c:pt idx="168">
                  <c:v>10.8063</c:v>
                </c:pt>
                <c:pt idx="169">
                  <c:v>10.7768</c:v>
                </c:pt>
                <c:pt idx="170">
                  <c:v>10.599600000000001</c:v>
                </c:pt>
                <c:pt idx="171">
                  <c:v>10.412599999999999</c:v>
                </c:pt>
                <c:pt idx="172">
                  <c:v>10.491400000000001</c:v>
                </c:pt>
                <c:pt idx="173">
                  <c:v>10.156700000000001</c:v>
                </c:pt>
                <c:pt idx="174">
                  <c:v>10.284700000000001</c:v>
                </c:pt>
                <c:pt idx="175">
                  <c:v>10.452</c:v>
                </c:pt>
                <c:pt idx="176">
                  <c:v>10.520899999999999</c:v>
                </c:pt>
                <c:pt idx="177">
                  <c:v>10.629099999999999</c:v>
                </c:pt>
                <c:pt idx="178">
                  <c:v>10.727600000000001</c:v>
                </c:pt>
                <c:pt idx="179">
                  <c:v>10.8063</c:v>
                </c:pt>
                <c:pt idx="180">
                  <c:v>10.747199999999999</c:v>
                </c:pt>
                <c:pt idx="181">
                  <c:v>10.7079</c:v>
                </c:pt>
                <c:pt idx="182">
                  <c:v>10.737399999999999</c:v>
                </c:pt>
                <c:pt idx="183">
                  <c:v>10.698</c:v>
                </c:pt>
                <c:pt idx="184">
                  <c:v>10.2552</c:v>
                </c:pt>
                <c:pt idx="185">
                  <c:v>10.510999999999999</c:v>
                </c:pt>
                <c:pt idx="186">
                  <c:v>10.609500000000001</c:v>
                </c:pt>
                <c:pt idx="187">
                  <c:v>10.392899999999999</c:v>
                </c:pt>
                <c:pt idx="188">
                  <c:v>10.5799</c:v>
                </c:pt>
                <c:pt idx="189">
                  <c:v>10.3142</c:v>
                </c:pt>
                <c:pt idx="190">
                  <c:v>10.284700000000001</c:v>
                </c:pt>
                <c:pt idx="191">
                  <c:v>10.402799999999999</c:v>
                </c:pt>
                <c:pt idx="192">
                  <c:v>10.324</c:v>
                </c:pt>
                <c:pt idx="193">
                  <c:v>10.324</c:v>
                </c:pt>
                <c:pt idx="194">
                  <c:v>10.452</c:v>
                </c:pt>
                <c:pt idx="195">
                  <c:v>10.510999999999999</c:v>
                </c:pt>
                <c:pt idx="196">
                  <c:v>10.5504</c:v>
                </c:pt>
                <c:pt idx="197">
                  <c:v>10.747199999999999</c:v>
                </c:pt>
                <c:pt idx="198">
                  <c:v>10.6685</c:v>
                </c:pt>
                <c:pt idx="199">
                  <c:v>10.855499999999999</c:v>
                </c:pt>
                <c:pt idx="200">
                  <c:v>10.8949</c:v>
                </c:pt>
                <c:pt idx="201">
                  <c:v>10.9244</c:v>
                </c:pt>
                <c:pt idx="202">
                  <c:v>10.7079</c:v>
                </c:pt>
                <c:pt idx="203">
                  <c:v>10.934200000000001</c:v>
                </c:pt>
                <c:pt idx="204">
                  <c:v>10.885</c:v>
                </c:pt>
                <c:pt idx="205">
                  <c:v>11.062200000000001</c:v>
                </c:pt>
                <c:pt idx="206">
                  <c:v>10.8949</c:v>
                </c:pt>
                <c:pt idx="207">
                  <c:v>11.190099999999999</c:v>
                </c:pt>
                <c:pt idx="208">
                  <c:v>10.2453</c:v>
                </c:pt>
                <c:pt idx="209">
                  <c:v>10.304399999999999</c:v>
                </c:pt>
                <c:pt idx="210">
                  <c:v>10.1272</c:v>
                </c:pt>
                <c:pt idx="211">
                  <c:v>10.058299999999999</c:v>
                </c:pt>
                <c:pt idx="212">
                  <c:v>10.196099999999999</c:v>
                </c:pt>
                <c:pt idx="213">
                  <c:v>10.4323</c:v>
                </c:pt>
                <c:pt idx="214">
                  <c:v>11.013</c:v>
                </c:pt>
                <c:pt idx="215">
                  <c:v>10.7866</c:v>
                </c:pt>
                <c:pt idx="216">
                  <c:v>10.7965</c:v>
                </c:pt>
                <c:pt idx="217">
                  <c:v>11.052300000000001</c:v>
                </c:pt>
                <c:pt idx="218">
                  <c:v>10.9244</c:v>
                </c:pt>
                <c:pt idx="219">
                  <c:v>10.9244</c:v>
                </c:pt>
                <c:pt idx="220">
                  <c:v>10.8949</c:v>
                </c:pt>
                <c:pt idx="221">
                  <c:v>10.835800000000001</c:v>
                </c:pt>
                <c:pt idx="222">
                  <c:v>11.0327</c:v>
                </c:pt>
                <c:pt idx="223">
                  <c:v>10.8752</c:v>
                </c:pt>
                <c:pt idx="224">
                  <c:v>10.5603</c:v>
                </c:pt>
                <c:pt idx="225">
                  <c:v>10.629099999999999</c:v>
                </c:pt>
                <c:pt idx="226">
                  <c:v>11.0031</c:v>
                </c:pt>
                <c:pt idx="227">
                  <c:v>11.2197</c:v>
                </c:pt>
                <c:pt idx="228">
                  <c:v>10.9244</c:v>
                </c:pt>
                <c:pt idx="229">
                  <c:v>10.9244</c:v>
                </c:pt>
                <c:pt idx="230">
                  <c:v>10.953900000000001</c:v>
                </c:pt>
                <c:pt idx="231">
                  <c:v>10.8063</c:v>
                </c:pt>
                <c:pt idx="232">
                  <c:v>10.6488</c:v>
                </c:pt>
                <c:pt idx="233">
                  <c:v>10.5701</c:v>
                </c:pt>
                <c:pt idx="234">
                  <c:v>10.274800000000001</c:v>
                </c:pt>
                <c:pt idx="235">
                  <c:v>10.3437</c:v>
                </c:pt>
                <c:pt idx="236">
                  <c:v>10.4323</c:v>
                </c:pt>
                <c:pt idx="237">
                  <c:v>10.392899999999999</c:v>
                </c:pt>
                <c:pt idx="238">
                  <c:v>10.2453</c:v>
                </c:pt>
                <c:pt idx="239">
                  <c:v>10.2256</c:v>
                </c:pt>
                <c:pt idx="240">
                  <c:v>10.2256</c:v>
                </c:pt>
                <c:pt idx="241">
                  <c:v>9.8320000000000007</c:v>
                </c:pt>
                <c:pt idx="242">
                  <c:v>9.8123000000000005</c:v>
                </c:pt>
                <c:pt idx="243">
                  <c:v>9.5366999999999997</c:v>
                </c:pt>
                <c:pt idx="244">
                  <c:v>9.5859000000000005</c:v>
                </c:pt>
                <c:pt idx="245">
                  <c:v>9.7236999999999991</c:v>
                </c:pt>
                <c:pt idx="246">
                  <c:v>9.7433999999999994</c:v>
                </c:pt>
                <c:pt idx="247">
                  <c:v>9.8614999999999995</c:v>
                </c:pt>
                <c:pt idx="248">
                  <c:v>9.9107000000000003</c:v>
                </c:pt>
                <c:pt idx="249">
                  <c:v>9.8712999999999997</c:v>
                </c:pt>
                <c:pt idx="250">
                  <c:v>9.7236999999999991</c:v>
                </c:pt>
                <c:pt idx="251">
                  <c:v>9.7433999999999994</c:v>
                </c:pt>
                <c:pt idx="252">
                  <c:v>9.4972999999999992</c:v>
                </c:pt>
                <c:pt idx="253">
                  <c:v>9.7236999999999991</c:v>
                </c:pt>
                <c:pt idx="254">
                  <c:v>9.7630999999999997</c:v>
                </c:pt>
                <c:pt idx="255">
                  <c:v>9.6056000000000008</c:v>
                </c:pt>
                <c:pt idx="256">
                  <c:v>9.5859000000000005</c:v>
                </c:pt>
                <c:pt idx="257">
                  <c:v>9.4972999999999992</c:v>
                </c:pt>
                <c:pt idx="258">
                  <c:v>9.5564</c:v>
                </c:pt>
                <c:pt idx="259">
                  <c:v>9.6252999999999993</c:v>
                </c:pt>
                <c:pt idx="260">
                  <c:v>9.7926000000000002</c:v>
                </c:pt>
                <c:pt idx="261">
                  <c:v>9.8515999999999995</c:v>
                </c:pt>
                <c:pt idx="262">
                  <c:v>10.019</c:v>
                </c:pt>
                <c:pt idx="263">
                  <c:v>10.265000000000001</c:v>
                </c:pt>
                <c:pt idx="264">
                  <c:v>9.8712999999999997</c:v>
                </c:pt>
                <c:pt idx="265">
                  <c:v>9.9992999999999999</c:v>
                </c:pt>
                <c:pt idx="266">
                  <c:v>9.9598999999999993</c:v>
                </c:pt>
                <c:pt idx="267">
                  <c:v>10.2158</c:v>
                </c:pt>
                <c:pt idx="268">
                  <c:v>9.9205000000000005</c:v>
                </c:pt>
                <c:pt idx="269">
                  <c:v>10.048500000000001</c:v>
                </c:pt>
                <c:pt idx="270">
                  <c:v>9.9992999999999999</c:v>
                </c:pt>
                <c:pt idx="271">
                  <c:v>9.9205000000000005</c:v>
                </c:pt>
                <c:pt idx="272">
                  <c:v>9.7334999999999994</c:v>
                </c:pt>
                <c:pt idx="273">
                  <c:v>9.9992999999999999</c:v>
                </c:pt>
                <c:pt idx="274">
                  <c:v>9.8515999999999995</c:v>
                </c:pt>
                <c:pt idx="275">
                  <c:v>9.1135000000000002</c:v>
                </c:pt>
                <c:pt idx="276">
                  <c:v>9.0937999999999999</c:v>
                </c:pt>
                <c:pt idx="277">
                  <c:v>9.0937999999999999</c:v>
                </c:pt>
                <c:pt idx="278">
                  <c:v>9.0642999999999994</c:v>
                </c:pt>
                <c:pt idx="279">
                  <c:v>9.0839999999999996</c:v>
                </c:pt>
                <c:pt idx="280">
                  <c:v>9.2020999999999997</c:v>
                </c:pt>
                <c:pt idx="281">
                  <c:v>9.33</c:v>
                </c:pt>
                <c:pt idx="282">
                  <c:v>9.2899999999999991</c:v>
                </c:pt>
                <c:pt idx="283">
                  <c:v>9.34</c:v>
                </c:pt>
                <c:pt idx="284">
                  <c:v>9.39</c:v>
                </c:pt>
                <c:pt idx="285">
                  <c:v>9.2799999999999994</c:v>
                </c:pt>
                <c:pt idx="286">
                  <c:v>9.35</c:v>
                </c:pt>
                <c:pt idx="287">
                  <c:v>9.42</c:v>
                </c:pt>
                <c:pt idx="288">
                  <c:v>9.4700000000000006</c:v>
                </c:pt>
                <c:pt idx="289">
                  <c:v>9.2899999999999991</c:v>
                </c:pt>
                <c:pt idx="290">
                  <c:v>9.5500000000000007</c:v>
                </c:pt>
                <c:pt idx="291">
                  <c:v>9.39</c:v>
                </c:pt>
                <c:pt idx="292">
                  <c:v>9.1199999999999992</c:v>
                </c:pt>
                <c:pt idx="293">
                  <c:v>9.65</c:v>
                </c:pt>
                <c:pt idx="294">
                  <c:v>9.61</c:v>
                </c:pt>
                <c:pt idx="295">
                  <c:v>9.9</c:v>
                </c:pt>
                <c:pt idx="296">
                  <c:v>9.9600000000000009</c:v>
                </c:pt>
                <c:pt idx="297">
                  <c:v>9.69</c:v>
                </c:pt>
                <c:pt idx="298">
                  <c:v>9.59</c:v>
                </c:pt>
                <c:pt idx="299">
                  <c:v>9.5299999999999994</c:v>
                </c:pt>
                <c:pt idx="300">
                  <c:v>9.73</c:v>
                </c:pt>
                <c:pt idx="301">
                  <c:v>9.92</c:v>
                </c:pt>
                <c:pt idx="302">
                  <c:v>9.9499999999999993</c:v>
                </c:pt>
                <c:pt idx="303">
                  <c:v>10.17</c:v>
                </c:pt>
                <c:pt idx="304">
                  <c:v>10.01</c:v>
                </c:pt>
                <c:pt idx="305">
                  <c:v>10</c:v>
                </c:pt>
                <c:pt idx="306">
                  <c:v>10.25</c:v>
                </c:pt>
                <c:pt idx="307">
                  <c:v>10.29</c:v>
                </c:pt>
                <c:pt idx="308">
                  <c:v>10.3</c:v>
                </c:pt>
                <c:pt idx="309">
                  <c:v>9.9</c:v>
                </c:pt>
                <c:pt idx="310">
                  <c:v>9.7200000000000006</c:v>
                </c:pt>
                <c:pt idx="311">
                  <c:v>10.029999999999999</c:v>
                </c:pt>
                <c:pt idx="312">
                  <c:v>9.94</c:v>
                </c:pt>
                <c:pt idx="313">
                  <c:v>10.15</c:v>
                </c:pt>
                <c:pt idx="314">
                  <c:v>9.5399999999999991</c:v>
                </c:pt>
                <c:pt idx="315">
                  <c:v>9.58</c:v>
                </c:pt>
                <c:pt idx="316">
                  <c:v>9.24</c:v>
                </c:pt>
                <c:pt idx="317">
                  <c:v>8.69</c:v>
                </c:pt>
                <c:pt idx="318">
                  <c:v>9.5</c:v>
                </c:pt>
                <c:pt idx="319">
                  <c:v>9.14</c:v>
                </c:pt>
                <c:pt idx="320">
                  <c:v>9.33</c:v>
                </c:pt>
                <c:pt idx="321">
                  <c:v>9.7100000000000009</c:v>
                </c:pt>
                <c:pt idx="322">
                  <c:v>9.4499999999999993</c:v>
                </c:pt>
                <c:pt idx="323">
                  <c:v>9.4</c:v>
                </c:pt>
                <c:pt idx="324">
                  <c:v>9.6300000000000008</c:v>
                </c:pt>
                <c:pt idx="325">
                  <c:v>9.4700000000000006</c:v>
                </c:pt>
                <c:pt idx="326">
                  <c:v>9.65</c:v>
                </c:pt>
                <c:pt idx="327">
                  <c:v>9.7799999999999994</c:v>
                </c:pt>
                <c:pt idx="328">
                  <c:v>10.06</c:v>
                </c:pt>
                <c:pt idx="329">
                  <c:v>10.039999999999999</c:v>
                </c:pt>
                <c:pt idx="330">
                  <c:v>10.02</c:v>
                </c:pt>
                <c:pt idx="331">
                  <c:v>10.15</c:v>
                </c:pt>
                <c:pt idx="332">
                  <c:v>10.01</c:v>
                </c:pt>
                <c:pt idx="333">
                  <c:v>10.18</c:v>
                </c:pt>
                <c:pt idx="334">
                  <c:v>10.28</c:v>
                </c:pt>
                <c:pt idx="335">
                  <c:v>10.17</c:v>
                </c:pt>
                <c:pt idx="336">
                  <c:v>10.44</c:v>
                </c:pt>
                <c:pt idx="337">
                  <c:v>10.28</c:v>
                </c:pt>
                <c:pt idx="338">
                  <c:v>10.28</c:v>
                </c:pt>
                <c:pt idx="339">
                  <c:v>10.43</c:v>
                </c:pt>
                <c:pt idx="340">
                  <c:v>10.55</c:v>
                </c:pt>
                <c:pt idx="341">
                  <c:v>10.6</c:v>
                </c:pt>
                <c:pt idx="342">
                  <c:v>10.65</c:v>
                </c:pt>
                <c:pt idx="343">
                  <c:v>10.75</c:v>
                </c:pt>
                <c:pt idx="344">
                  <c:v>10.8</c:v>
                </c:pt>
                <c:pt idx="345">
                  <c:v>10.75</c:v>
                </c:pt>
                <c:pt idx="346">
                  <c:v>10.72</c:v>
                </c:pt>
                <c:pt idx="347">
                  <c:v>10.48</c:v>
                </c:pt>
                <c:pt idx="348">
                  <c:v>10.44</c:v>
                </c:pt>
                <c:pt idx="349">
                  <c:v>10.36</c:v>
                </c:pt>
                <c:pt idx="350">
                  <c:v>10.31</c:v>
                </c:pt>
                <c:pt idx="351">
                  <c:v>10.17</c:v>
                </c:pt>
                <c:pt idx="352">
                  <c:v>10.220000000000001</c:v>
                </c:pt>
                <c:pt idx="353">
                  <c:v>10.38</c:v>
                </c:pt>
                <c:pt idx="354">
                  <c:v>9.98</c:v>
                </c:pt>
                <c:pt idx="355">
                  <c:v>10.19</c:v>
                </c:pt>
                <c:pt idx="356">
                  <c:v>10.24</c:v>
                </c:pt>
                <c:pt idx="357">
                  <c:v>10.1</c:v>
                </c:pt>
                <c:pt idx="358">
                  <c:v>10.26</c:v>
                </c:pt>
                <c:pt idx="359">
                  <c:v>10.34</c:v>
                </c:pt>
                <c:pt idx="360">
                  <c:v>10.6</c:v>
                </c:pt>
                <c:pt idx="361">
                  <c:v>10.66</c:v>
                </c:pt>
                <c:pt idx="362">
                  <c:v>10.53</c:v>
                </c:pt>
                <c:pt idx="363">
                  <c:v>10.43</c:v>
                </c:pt>
                <c:pt idx="364">
                  <c:v>10.62</c:v>
                </c:pt>
                <c:pt idx="365">
                  <c:v>10.42</c:v>
                </c:pt>
                <c:pt idx="366">
                  <c:v>10.43</c:v>
                </c:pt>
                <c:pt idx="367">
                  <c:v>10.59</c:v>
                </c:pt>
                <c:pt idx="368">
                  <c:v>10.75</c:v>
                </c:pt>
                <c:pt idx="369">
                  <c:v>10.73</c:v>
                </c:pt>
                <c:pt idx="370">
                  <c:v>10.48</c:v>
                </c:pt>
                <c:pt idx="371">
                  <c:v>10.63</c:v>
                </c:pt>
                <c:pt idx="372">
                  <c:v>10.8</c:v>
                </c:pt>
                <c:pt idx="373">
                  <c:v>10.85</c:v>
                </c:pt>
                <c:pt idx="374">
                  <c:v>11.35</c:v>
                </c:pt>
                <c:pt idx="375">
                  <c:v>11.77</c:v>
                </c:pt>
                <c:pt idx="376">
                  <c:v>11.81</c:v>
                </c:pt>
                <c:pt idx="377">
                  <c:v>11.59</c:v>
                </c:pt>
                <c:pt idx="378">
                  <c:v>11.68</c:v>
                </c:pt>
                <c:pt idx="379">
                  <c:v>11.83</c:v>
                </c:pt>
                <c:pt idx="380">
                  <c:v>11.91</c:v>
                </c:pt>
                <c:pt idx="381">
                  <c:v>11.78</c:v>
                </c:pt>
                <c:pt idx="382">
                  <c:v>11.88</c:v>
                </c:pt>
                <c:pt idx="383">
                  <c:v>11.57</c:v>
                </c:pt>
                <c:pt idx="384">
                  <c:v>11.24</c:v>
                </c:pt>
                <c:pt idx="385">
                  <c:v>11.15</c:v>
                </c:pt>
                <c:pt idx="386">
                  <c:v>11.16</c:v>
                </c:pt>
                <c:pt idx="387">
                  <c:v>11.31</c:v>
                </c:pt>
                <c:pt idx="388">
                  <c:v>11.19</c:v>
                </c:pt>
                <c:pt idx="389">
                  <c:v>11.38</c:v>
                </c:pt>
                <c:pt idx="390">
                  <c:v>11.26</c:v>
                </c:pt>
                <c:pt idx="391">
                  <c:v>11.47</c:v>
                </c:pt>
                <c:pt idx="392">
                  <c:v>11.28</c:v>
                </c:pt>
                <c:pt idx="393">
                  <c:v>11.08</c:v>
                </c:pt>
                <c:pt idx="394">
                  <c:v>10.87</c:v>
                </c:pt>
                <c:pt idx="395">
                  <c:v>11.07</c:v>
                </c:pt>
                <c:pt idx="396">
                  <c:v>10.82</c:v>
                </c:pt>
                <c:pt idx="397">
                  <c:v>10.95</c:v>
                </c:pt>
                <c:pt idx="398">
                  <c:v>11.06</c:v>
                </c:pt>
                <c:pt idx="399">
                  <c:v>11.21</c:v>
                </c:pt>
                <c:pt idx="400">
                  <c:v>11.28</c:v>
                </c:pt>
                <c:pt idx="401">
                  <c:v>11.32</c:v>
                </c:pt>
                <c:pt idx="402">
                  <c:v>11.14</c:v>
                </c:pt>
                <c:pt idx="403">
                  <c:v>11.25</c:v>
                </c:pt>
                <c:pt idx="404">
                  <c:v>11.44</c:v>
                </c:pt>
                <c:pt idx="405">
                  <c:v>11.44</c:v>
                </c:pt>
                <c:pt idx="406">
                  <c:v>11.44</c:v>
                </c:pt>
                <c:pt idx="407">
                  <c:v>11.46</c:v>
                </c:pt>
                <c:pt idx="408">
                  <c:v>11.58</c:v>
                </c:pt>
                <c:pt idx="409">
                  <c:v>11.49</c:v>
                </c:pt>
                <c:pt idx="410">
                  <c:v>11.33</c:v>
                </c:pt>
                <c:pt idx="411">
                  <c:v>11.74</c:v>
                </c:pt>
                <c:pt idx="412">
                  <c:v>11.82</c:v>
                </c:pt>
                <c:pt idx="413">
                  <c:v>11.84</c:v>
                </c:pt>
                <c:pt idx="414">
                  <c:v>11.91</c:v>
                </c:pt>
                <c:pt idx="415">
                  <c:v>11.71</c:v>
                </c:pt>
                <c:pt idx="416">
                  <c:v>11.77</c:v>
                </c:pt>
                <c:pt idx="417">
                  <c:v>11.72</c:v>
                </c:pt>
                <c:pt idx="418">
                  <c:v>11.62</c:v>
                </c:pt>
                <c:pt idx="419">
                  <c:v>11.68</c:v>
                </c:pt>
                <c:pt idx="420">
                  <c:v>11.74</c:v>
                </c:pt>
                <c:pt idx="421">
                  <c:v>11.69</c:v>
                </c:pt>
                <c:pt idx="422">
                  <c:v>11.49</c:v>
                </c:pt>
                <c:pt idx="423">
                  <c:v>11.42</c:v>
                </c:pt>
                <c:pt idx="424">
                  <c:v>11.76</c:v>
                </c:pt>
                <c:pt idx="425">
                  <c:v>11.68</c:v>
                </c:pt>
                <c:pt idx="426">
                  <c:v>11.68</c:v>
                </c:pt>
                <c:pt idx="427">
                  <c:v>11.61</c:v>
                </c:pt>
                <c:pt idx="428">
                  <c:v>11.66</c:v>
                </c:pt>
                <c:pt idx="429">
                  <c:v>11.74</c:v>
                </c:pt>
                <c:pt idx="430">
                  <c:v>11.62</c:v>
                </c:pt>
                <c:pt idx="431">
                  <c:v>11.66</c:v>
                </c:pt>
                <c:pt idx="432">
                  <c:v>11.73</c:v>
                </c:pt>
                <c:pt idx="433">
                  <c:v>11.63</c:v>
                </c:pt>
                <c:pt idx="434">
                  <c:v>11.62</c:v>
                </c:pt>
                <c:pt idx="435">
                  <c:v>12.01</c:v>
                </c:pt>
                <c:pt idx="436">
                  <c:v>12.09</c:v>
                </c:pt>
                <c:pt idx="437">
                  <c:v>11.96</c:v>
                </c:pt>
                <c:pt idx="438">
                  <c:v>12.27</c:v>
                </c:pt>
                <c:pt idx="439">
                  <c:v>12.22</c:v>
                </c:pt>
                <c:pt idx="440">
                  <c:v>12.67</c:v>
                </c:pt>
                <c:pt idx="441">
                  <c:v>12.7</c:v>
                </c:pt>
                <c:pt idx="442">
                  <c:v>11.92</c:v>
                </c:pt>
                <c:pt idx="443">
                  <c:v>11.74</c:v>
                </c:pt>
                <c:pt idx="444">
                  <c:v>11.5</c:v>
                </c:pt>
                <c:pt idx="445">
                  <c:v>11.41</c:v>
                </c:pt>
                <c:pt idx="446">
                  <c:v>11.54</c:v>
                </c:pt>
                <c:pt idx="447">
                  <c:v>11.65</c:v>
                </c:pt>
                <c:pt idx="448">
                  <c:v>11.76</c:v>
                </c:pt>
                <c:pt idx="449">
                  <c:v>11.74</c:v>
                </c:pt>
                <c:pt idx="450">
                  <c:v>11.92</c:v>
                </c:pt>
                <c:pt idx="451">
                  <c:v>11.99</c:v>
                </c:pt>
                <c:pt idx="452">
                  <c:v>12.56</c:v>
                </c:pt>
                <c:pt idx="453">
                  <c:v>12.43</c:v>
                </c:pt>
                <c:pt idx="454">
                  <c:v>12.34</c:v>
                </c:pt>
                <c:pt idx="455">
                  <c:v>13.84</c:v>
                </c:pt>
                <c:pt idx="456">
                  <c:v>13.26</c:v>
                </c:pt>
                <c:pt idx="457">
                  <c:v>13.13</c:v>
                </c:pt>
                <c:pt idx="458">
                  <c:v>13.24</c:v>
                </c:pt>
                <c:pt idx="459">
                  <c:v>13.06</c:v>
                </c:pt>
                <c:pt idx="460">
                  <c:v>13.13</c:v>
                </c:pt>
                <c:pt idx="461">
                  <c:v>13.01</c:v>
                </c:pt>
                <c:pt idx="462">
                  <c:v>12.79</c:v>
                </c:pt>
                <c:pt idx="463">
                  <c:v>13.11</c:v>
                </c:pt>
                <c:pt idx="464">
                  <c:v>13.12</c:v>
                </c:pt>
                <c:pt idx="465">
                  <c:v>13.21</c:v>
                </c:pt>
                <c:pt idx="466">
                  <c:v>13.16</c:v>
                </c:pt>
                <c:pt idx="467">
                  <c:v>13.3</c:v>
                </c:pt>
                <c:pt idx="468">
                  <c:v>13.45</c:v>
                </c:pt>
                <c:pt idx="469">
                  <c:v>13.28</c:v>
                </c:pt>
                <c:pt idx="470">
                  <c:v>13.19</c:v>
                </c:pt>
                <c:pt idx="471">
                  <c:v>12.88</c:v>
                </c:pt>
                <c:pt idx="472">
                  <c:v>13.02</c:v>
                </c:pt>
                <c:pt idx="473">
                  <c:v>12.9</c:v>
                </c:pt>
                <c:pt idx="474">
                  <c:v>12.41</c:v>
                </c:pt>
                <c:pt idx="475">
                  <c:v>12.83</c:v>
                </c:pt>
                <c:pt idx="476">
                  <c:v>12.96</c:v>
                </c:pt>
                <c:pt idx="477">
                  <c:v>13.17</c:v>
                </c:pt>
                <c:pt idx="478">
                  <c:v>13.19</c:v>
                </c:pt>
                <c:pt idx="479">
                  <c:v>13.28</c:v>
                </c:pt>
                <c:pt idx="480">
                  <c:v>13.16</c:v>
                </c:pt>
                <c:pt idx="481">
                  <c:v>12.96</c:v>
                </c:pt>
                <c:pt idx="482">
                  <c:v>13.09</c:v>
                </c:pt>
                <c:pt idx="483">
                  <c:v>13.14</c:v>
                </c:pt>
                <c:pt idx="484">
                  <c:v>13.03</c:v>
                </c:pt>
                <c:pt idx="485">
                  <c:v>13.14</c:v>
                </c:pt>
                <c:pt idx="486">
                  <c:v>13.08</c:v>
                </c:pt>
                <c:pt idx="487">
                  <c:v>13.41</c:v>
                </c:pt>
                <c:pt idx="488">
                  <c:v>13.63</c:v>
                </c:pt>
                <c:pt idx="489">
                  <c:v>13.76</c:v>
                </c:pt>
                <c:pt idx="490">
                  <c:v>13.65</c:v>
                </c:pt>
                <c:pt idx="491">
                  <c:v>13.67</c:v>
                </c:pt>
                <c:pt idx="492">
                  <c:v>13.31</c:v>
                </c:pt>
                <c:pt idx="493">
                  <c:v>13.32</c:v>
                </c:pt>
                <c:pt idx="494">
                  <c:v>13.47</c:v>
                </c:pt>
                <c:pt idx="495">
                  <c:v>13.46</c:v>
                </c:pt>
                <c:pt idx="496">
                  <c:v>13.29</c:v>
                </c:pt>
                <c:pt idx="497">
                  <c:v>13.36</c:v>
                </c:pt>
                <c:pt idx="498">
                  <c:v>13.31</c:v>
                </c:pt>
                <c:pt idx="499">
                  <c:v>13.28</c:v>
                </c:pt>
                <c:pt idx="500">
                  <c:v>13.23</c:v>
                </c:pt>
                <c:pt idx="501">
                  <c:v>13.12</c:v>
                </c:pt>
                <c:pt idx="502">
                  <c:v>13.34</c:v>
                </c:pt>
                <c:pt idx="503">
                  <c:v>13.47</c:v>
                </c:pt>
                <c:pt idx="504">
                  <c:v>13.8</c:v>
                </c:pt>
                <c:pt idx="505">
                  <c:v>13.74</c:v>
                </c:pt>
                <c:pt idx="506">
                  <c:v>14.4</c:v>
                </c:pt>
                <c:pt idx="507">
                  <c:v>14.2</c:v>
                </c:pt>
                <c:pt idx="508">
                  <c:v>14.03</c:v>
                </c:pt>
                <c:pt idx="509">
                  <c:v>13.98</c:v>
                </c:pt>
                <c:pt idx="510">
                  <c:v>13.84</c:v>
                </c:pt>
                <c:pt idx="511">
                  <c:v>13.81</c:v>
                </c:pt>
                <c:pt idx="512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0-44CF-BF3A-B5B3CD82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239023"/>
        <c:axId val="440222703"/>
      </c:lineChart>
      <c:dateAx>
        <c:axId val="440239023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22703"/>
        <c:crosses val="autoZero"/>
        <c:auto val="1"/>
        <c:lblOffset val="100"/>
        <c:baseTimeUnit val="days"/>
      </c:dateAx>
      <c:valAx>
        <c:axId val="440222703"/>
        <c:scaling>
          <c:orientation val="minMax"/>
          <c:max val="15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39023"/>
        <c:crosses val="autoZero"/>
        <c:crossBetween val="between"/>
      </c:valAx>
      <c:valAx>
        <c:axId val="1062567519"/>
        <c:scaling>
          <c:orientation val="minMax"/>
          <c:min val="1400000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68479"/>
        <c:crosses val="max"/>
        <c:crossBetween val="between"/>
      </c:valAx>
      <c:dateAx>
        <c:axId val="106256847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625675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Quarter Forecast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weekly_average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Weekly!$B$2:$B$120</c:f>
              <c:numCache>
                <c:formatCode>General</c:formatCode>
                <c:ptCount val="119"/>
                <c:pt idx="0">
                  <c:v>11.6625</c:v>
                </c:pt>
                <c:pt idx="1">
                  <c:v>11.575899999999999</c:v>
                </c:pt>
                <c:pt idx="2">
                  <c:v>11.052325</c:v>
                </c:pt>
                <c:pt idx="3">
                  <c:v>11.087759999999999</c:v>
                </c:pt>
                <c:pt idx="4">
                  <c:v>11.670400000000001</c:v>
                </c:pt>
                <c:pt idx="5">
                  <c:v>12.19792</c:v>
                </c:pt>
                <c:pt idx="6">
                  <c:v>12.40854</c:v>
                </c:pt>
                <c:pt idx="7">
                  <c:v>11.970075000000001</c:v>
                </c:pt>
                <c:pt idx="8">
                  <c:v>12.034559999999999</c:v>
                </c:pt>
                <c:pt idx="9">
                  <c:v>12.26092</c:v>
                </c:pt>
                <c:pt idx="10">
                  <c:v>11.95384</c:v>
                </c:pt>
                <c:pt idx="11">
                  <c:v>12.442</c:v>
                </c:pt>
                <c:pt idx="12">
                  <c:v>12.7156</c:v>
                </c:pt>
                <c:pt idx="13">
                  <c:v>13.130940000000001</c:v>
                </c:pt>
                <c:pt idx="14">
                  <c:v>12.92426</c:v>
                </c:pt>
                <c:pt idx="15">
                  <c:v>11.920360000000001</c:v>
                </c:pt>
                <c:pt idx="16">
                  <c:v>12.7156</c:v>
                </c:pt>
                <c:pt idx="17">
                  <c:v>12.20778</c:v>
                </c:pt>
                <c:pt idx="18">
                  <c:v>11.995200000000001</c:v>
                </c:pt>
                <c:pt idx="19">
                  <c:v>12.15264</c:v>
                </c:pt>
                <c:pt idx="20">
                  <c:v>11.92826</c:v>
                </c:pt>
                <c:pt idx="21">
                  <c:v>11.598549999999999</c:v>
                </c:pt>
                <c:pt idx="22">
                  <c:v>11.91058</c:v>
                </c:pt>
                <c:pt idx="23">
                  <c:v>11.853439999999999</c:v>
                </c:pt>
                <c:pt idx="24">
                  <c:v>11.664975</c:v>
                </c:pt>
                <c:pt idx="25">
                  <c:v>12.046340000000001</c:v>
                </c:pt>
                <c:pt idx="26">
                  <c:v>12.63195</c:v>
                </c:pt>
                <c:pt idx="27">
                  <c:v>13.09944</c:v>
                </c:pt>
                <c:pt idx="28">
                  <c:v>14.099360000000001</c:v>
                </c:pt>
                <c:pt idx="29">
                  <c:v>12.59158</c:v>
                </c:pt>
                <c:pt idx="30">
                  <c:v>10.50906</c:v>
                </c:pt>
                <c:pt idx="31">
                  <c:v>9.7414000000000005</c:v>
                </c:pt>
                <c:pt idx="32">
                  <c:v>10.068160000000001</c:v>
                </c:pt>
                <c:pt idx="33">
                  <c:v>10.71574</c:v>
                </c:pt>
                <c:pt idx="34">
                  <c:v>10.9421</c:v>
                </c:pt>
                <c:pt idx="35">
                  <c:v>10.648825</c:v>
                </c:pt>
                <c:pt idx="36">
                  <c:v>10.38114</c:v>
                </c:pt>
                <c:pt idx="37">
                  <c:v>10.72362</c:v>
                </c:pt>
                <c:pt idx="38">
                  <c:v>10.56222</c:v>
                </c:pt>
                <c:pt idx="39">
                  <c:v>10.3949</c:v>
                </c:pt>
                <c:pt idx="40">
                  <c:v>10.43228</c:v>
                </c:pt>
                <c:pt idx="41">
                  <c:v>10.818099999999999</c:v>
                </c:pt>
                <c:pt idx="42">
                  <c:v>10.896840000000001</c:v>
                </c:pt>
                <c:pt idx="43">
                  <c:v>10.385059999999999</c:v>
                </c:pt>
                <c:pt idx="44">
                  <c:v>10.6449</c:v>
                </c:pt>
                <c:pt idx="45">
                  <c:v>10.926360000000001</c:v>
                </c:pt>
                <c:pt idx="46">
                  <c:v>10.820079999999999</c:v>
                </c:pt>
                <c:pt idx="47">
                  <c:v>11.005600000000001</c:v>
                </c:pt>
                <c:pt idx="48">
                  <c:v>10.528740000000001</c:v>
                </c:pt>
                <c:pt idx="49">
                  <c:v>10.30434</c:v>
                </c:pt>
                <c:pt idx="50">
                  <c:v>9.6981199999999994</c:v>
                </c:pt>
                <c:pt idx="51">
                  <c:v>9.8467249999999993</c:v>
                </c:pt>
                <c:pt idx="52">
                  <c:v>9.6720249999999997</c:v>
                </c:pt>
                <c:pt idx="53">
                  <c:v>9.6129750000000005</c:v>
                </c:pt>
                <c:pt idx="54">
                  <c:v>9.7689799999999991</c:v>
                </c:pt>
                <c:pt idx="55">
                  <c:v>10.023875</c:v>
                </c:pt>
                <c:pt idx="56">
                  <c:v>10.02092</c:v>
                </c:pt>
                <c:pt idx="57">
                  <c:v>9.5583399999999994</c:v>
                </c:pt>
                <c:pt idx="58">
                  <c:v>9.1548400000000001</c:v>
                </c:pt>
                <c:pt idx="59">
                  <c:v>9.3249999999999993</c:v>
                </c:pt>
                <c:pt idx="60">
                  <c:v>9.4160000000000004</c:v>
                </c:pt>
                <c:pt idx="61">
                  <c:v>9.5340000000000007</c:v>
                </c:pt>
                <c:pt idx="62">
                  <c:v>9.6999999999999993</c:v>
                </c:pt>
                <c:pt idx="63">
                  <c:v>10.01</c:v>
                </c:pt>
                <c:pt idx="64">
                  <c:v>10.092000000000001</c:v>
                </c:pt>
                <c:pt idx="65">
                  <c:v>9.847999999999999</c:v>
                </c:pt>
                <c:pt idx="66">
                  <c:v>9.18</c:v>
                </c:pt>
                <c:pt idx="67">
                  <c:v>9.5474999999999994</c:v>
                </c:pt>
                <c:pt idx="68">
                  <c:v>9.8000000000000007</c:v>
                </c:pt>
                <c:pt idx="69">
                  <c:v>10.128</c:v>
                </c:pt>
                <c:pt idx="70">
                  <c:v>10.32</c:v>
                </c:pt>
                <c:pt idx="71">
                  <c:v>10.67</c:v>
                </c:pt>
                <c:pt idx="72">
                  <c:v>10.55</c:v>
                </c:pt>
                <c:pt idx="73">
                  <c:v>10.27</c:v>
                </c:pt>
                <c:pt idx="74">
                  <c:v>10.154</c:v>
                </c:pt>
                <c:pt idx="75">
                  <c:v>10.512</c:v>
                </c:pt>
                <c:pt idx="76">
                  <c:v>10.515000000000001</c:v>
                </c:pt>
                <c:pt idx="77">
                  <c:v>10.678000000000001</c:v>
                </c:pt>
                <c:pt idx="78">
                  <c:v>11.445</c:v>
                </c:pt>
                <c:pt idx="79">
                  <c:v>11.757999999999999</c:v>
                </c:pt>
                <c:pt idx="80">
                  <c:v>11.4</c:v>
                </c:pt>
                <c:pt idx="81">
                  <c:v>11.322000000000001</c:v>
                </c:pt>
                <c:pt idx="82">
                  <c:v>11.023999999999999</c:v>
                </c:pt>
                <c:pt idx="83">
                  <c:v>11.164</c:v>
                </c:pt>
                <c:pt idx="84">
                  <c:v>11.342000000000001</c:v>
                </c:pt>
                <c:pt idx="85">
                  <c:v>11.52</c:v>
                </c:pt>
                <c:pt idx="86">
                  <c:v>11.81</c:v>
                </c:pt>
                <c:pt idx="87">
                  <c:v>11.69</c:v>
                </c:pt>
                <c:pt idx="88">
                  <c:v>11.608000000000001</c:v>
                </c:pt>
                <c:pt idx="89">
                  <c:v>11.661999999999999</c:v>
                </c:pt>
                <c:pt idx="90">
                  <c:v>11.73</c:v>
                </c:pt>
                <c:pt idx="91">
                  <c:v>12.242000000000001</c:v>
                </c:pt>
                <c:pt idx="92">
                  <c:v>11.853999999999999</c:v>
                </c:pt>
                <c:pt idx="93">
                  <c:v>11.722</c:v>
                </c:pt>
                <c:pt idx="94">
                  <c:v>12.632</c:v>
                </c:pt>
                <c:pt idx="95">
                  <c:v>13.164</c:v>
                </c:pt>
                <c:pt idx="96">
                  <c:v>13.048</c:v>
                </c:pt>
                <c:pt idx="97">
                  <c:v>13.276</c:v>
                </c:pt>
                <c:pt idx="98">
                  <c:v>12.808</c:v>
                </c:pt>
                <c:pt idx="99">
                  <c:v>13.15</c:v>
                </c:pt>
                <c:pt idx="100">
                  <c:v>13.076000000000001</c:v>
                </c:pt>
                <c:pt idx="101">
                  <c:v>13.404</c:v>
                </c:pt>
                <c:pt idx="102">
                  <c:v>13.484</c:v>
                </c:pt>
                <c:pt idx="103">
                  <c:v>13.355</c:v>
                </c:pt>
                <c:pt idx="104">
                  <c:v>13.2425</c:v>
                </c:pt>
                <c:pt idx="105">
                  <c:v>13.922000000000001</c:v>
                </c:pt>
                <c:pt idx="106">
                  <c:v>13.852</c:v>
                </c:pt>
                <c:pt idx="107">
                  <c:v>13.524999999999999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11-4507-AC15-F68EE4433A29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Weekly!$C$2:$C$120</c:f>
              <c:numCache>
                <c:formatCode>General</c:formatCode>
                <c:ptCount val="119"/>
                <c:pt idx="107">
                  <c:v>13.852</c:v>
                </c:pt>
                <c:pt idx="108">
                  <c:v>13.524999999999999</c:v>
                </c:pt>
                <c:pt idx="109">
                  <c:v>13.529441017356474</c:v>
                </c:pt>
                <c:pt idx="110">
                  <c:v>13.533816808210656</c:v>
                </c:pt>
                <c:pt idx="111">
                  <c:v>13.538173754160887</c:v>
                </c:pt>
                <c:pt idx="112">
                  <c:v>13.543813276149889</c:v>
                </c:pt>
                <c:pt idx="113">
                  <c:v>13.551693006966314</c:v>
                </c:pt>
                <c:pt idx="114">
                  <c:v>13.561805964589398</c:v>
                </c:pt>
                <c:pt idx="115">
                  <c:v>13.571965151875183</c:v>
                </c:pt>
                <c:pt idx="116">
                  <c:v>13.583844608039579</c:v>
                </c:pt>
                <c:pt idx="117">
                  <c:v>14.116363755603908</c:v>
                </c:pt>
                <c:pt idx="118">
                  <c:v>14.181953244782992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11-4507-AC15-F68EE4433A29}"/>
            </c:ext>
          </c:extLst>
        </c:ser>
        <c:ser>
          <c:idx val="2"/>
          <c:order val="2"/>
          <c:tx>
            <c:strRef>
              <c:f>Weekly!$E$1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Weekly!$E$2:$E$120</c:f>
              <c:numCache>
                <c:formatCode>General</c:formatCode>
                <c:ptCount val="119"/>
                <c:pt idx="107">
                  <c:v>14.846137814763592</c:v>
                </c:pt>
                <c:pt idx="108">
                  <c:v>14.465915609019884</c:v>
                </c:pt>
                <c:pt idx="109">
                  <c:v>14.853832451240072</c:v>
                </c:pt>
                <c:pt idx="110">
                  <c:v>15.087068005768362</c:v>
                </c:pt>
                <c:pt idx="111">
                  <c:v>15.327474826778172</c:v>
                </c:pt>
                <c:pt idx="112">
                  <c:v>15.541129798836909</c:v>
                </c:pt>
                <c:pt idx="113">
                  <c:v>15.748656634930118</c:v>
                </c:pt>
                <c:pt idx="114">
                  <c:v>15.935695553349071</c:v>
                </c:pt>
                <c:pt idx="115">
                  <c:v>16.123396731200028</c:v>
                </c:pt>
                <c:pt idx="116">
                  <c:v>16.301425829888046</c:v>
                </c:pt>
                <c:pt idx="117">
                  <c:v>18.332498251528449</c:v>
                </c:pt>
                <c:pt idx="118">
                  <c:v>18.761324205815388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11-4507-AC15-F68EE4433A29}"/>
            </c:ext>
          </c:extLst>
        </c:ser>
        <c:ser>
          <c:idx val="3"/>
          <c:order val="3"/>
          <c:tx>
            <c:strRef>
              <c:f>Weekly!$F$1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Weekly!$F$2:$F$120</c:f>
              <c:numCache>
                <c:formatCode>General</c:formatCode>
                <c:ptCount val="119"/>
                <c:pt idx="107">
                  <c:v>12.857862185236408</c:v>
                </c:pt>
                <c:pt idx="108">
                  <c:v>12.584084390980113</c:v>
                </c:pt>
                <c:pt idx="109">
                  <c:v>12.205049583472876</c:v>
                </c:pt>
                <c:pt idx="110">
                  <c:v>11.980565610652949</c:v>
                </c:pt>
                <c:pt idx="111">
                  <c:v>11.748872681543602</c:v>
                </c:pt>
                <c:pt idx="112">
                  <c:v>11.546496753462868</c:v>
                </c:pt>
                <c:pt idx="113">
                  <c:v>11.35472937900251</c:v>
                </c:pt>
                <c:pt idx="114">
                  <c:v>11.187916375829726</c:v>
                </c:pt>
                <c:pt idx="115">
                  <c:v>11.020533572550338</c:v>
                </c:pt>
                <c:pt idx="116">
                  <c:v>10.866263386191109</c:v>
                </c:pt>
                <c:pt idx="117">
                  <c:v>9.9002292596793673</c:v>
                </c:pt>
                <c:pt idx="118">
                  <c:v>9.6025822837505963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11-4507-AC15-F68EE4433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900816"/>
        <c:axId val="1133884496"/>
      </c:lineChart>
      <c:dateAx>
        <c:axId val="1133900816"/>
        <c:scaling>
          <c:orientation val="minMax"/>
          <c:min val="4565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84496"/>
        <c:crosses val="autoZero"/>
        <c:auto val="1"/>
        <c:lblOffset val="100"/>
        <c:baseTimeUnit val="days"/>
      </c:dateAx>
      <c:valAx>
        <c:axId val="1133884496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0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Data!$AD$1</c:f>
              <c:strCache>
                <c:ptCount val="1"/>
                <c:pt idx="0">
                  <c:v>Cum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Data!$A$2:$A$516</c:f>
              <c:numCache>
                <c:formatCode>m/d/yyyy</c:formatCode>
                <c:ptCount val="51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</c:numCache>
            </c:numRef>
          </c:cat>
          <c:val>
            <c:numRef>
              <c:f>Data!$AD$2:$AD$516</c:f>
              <c:numCache>
                <c:formatCode>0.00%</c:formatCode>
                <c:ptCount val="515"/>
                <c:pt idx="0">
                  <c:v>0</c:v>
                </c:pt>
                <c:pt idx="1">
                  <c:v>-3.7008255623516839E-2</c:v>
                </c:pt>
                <c:pt idx="2">
                  <c:v>-3.9473244426618481E-2</c:v>
                </c:pt>
                <c:pt idx="3">
                  <c:v>-2.5493833350045181E-2</c:v>
                </c:pt>
                <c:pt idx="4">
                  <c:v>-1.5625522243390533E-2</c:v>
                </c:pt>
                <c:pt idx="5">
                  <c:v>-2.6312710986329813E-2</c:v>
                </c:pt>
                <c:pt idx="6">
                  <c:v>-2.7139944516862302E-2</c:v>
                </c:pt>
                <c:pt idx="7">
                  <c:v>-3.700825562351695E-2</c:v>
                </c:pt>
                <c:pt idx="8">
                  <c:v>-5.7563755473110767E-2</c:v>
                </c:pt>
                <c:pt idx="9">
                  <c:v>-5.7563755473110767E-2</c:v>
                </c:pt>
                <c:pt idx="10">
                  <c:v>-7.3189277716501411E-2</c:v>
                </c:pt>
                <c:pt idx="11">
                  <c:v>-9.6218122263444839E-2</c:v>
                </c:pt>
                <c:pt idx="12">
                  <c:v>-7.8946488853237295E-2</c:v>
                </c:pt>
                <c:pt idx="13">
                  <c:v>-7.8946488853237295E-2</c:v>
                </c:pt>
                <c:pt idx="14">
                  <c:v>-6.4967077776663995E-2</c:v>
                </c:pt>
                <c:pt idx="15">
                  <c:v>-9.2925899929810818E-2</c:v>
                </c:pt>
                <c:pt idx="16">
                  <c:v>-6.7432066579765526E-2</c:v>
                </c:pt>
                <c:pt idx="17">
                  <c:v>-6.3320966609846874E-2</c:v>
                </c:pt>
                <c:pt idx="18">
                  <c:v>-5.0160433169558094E-2</c:v>
                </c:pt>
                <c:pt idx="19">
                  <c:v>-3.1251044486781177E-2</c:v>
                </c:pt>
                <c:pt idx="20">
                  <c:v>-3.6181022092984683E-2</c:v>
                </c:pt>
                <c:pt idx="21">
                  <c:v>-4.9299776062037282E-3</c:v>
                </c:pt>
                <c:pt idx="22">
                  <c:v>-1.6461111668173434E-3</c:v>
                </c:pt>
                <c:pt idx="23">
                  <c:v>-4.687656673017182E-2</c:v>
                </c:pt>
                <c:pt idx="24">
                  <c:v>-7.3949664093054812E-3</c:v>
                </c:pt>
                <c:pt idx="25">
                  <c:v>5.2633777866907039E-2</c:v>
                </c:pt>
                <c:pt idx="26">
                  <c:v>5.5098766670008681E-2</c:v>
                </c:pt>
                <c:pt idx="27">
                  <c:v>4.2765466760252391E-2</c:v>
                </c:pt>
                <c:pt idx="28">
                  <c:v>6.7440422474012829E-2</c:v>
                </c:pt>
                <c:pt idx="29">
                  <c:v>4.2765466760252391E-2</c:v>
                </c:pt>
                <c:pt idx="30">
                  <c:v>3.2897155653597743E-2</c:v>
                </c:pt>
                <c:pt idx="31">
                  <c:v>2.96049333199635E-2</c:v>
                </c:pt>
                <c:pt idx="32">
                  <c:v>1.1514422273471325E-2</c:v>
                </c:pt>
                <c:pt idx="33">
                  <c:v>7.4033223035525619E-3</c:v>
                </c:pt>
                <c:pt idx="34">
                  <c:v>-1.6461111668174544E-3</c:v>
                </c:pt>
                <c:pt idx="35">
                  <c:v>-3.2838664393867179E-3</c:v>
                </c:pt>
                <c:pt idx="36">
                  <c:v>-1.6461111668173434E-3</c:v>
                </c:pt>
                <c:pt idx="37">
                  <c:v>-1.7263277515960129E-2</c:v>
                </c:pt>
                <c:pt idx="38">
                  <c:v>-1.3152177546041255E-2</c:v>
                </c:pt>
                <c:pt idx="39">
                  <c:v>1.1514422273471547E-2</c:v>
                </c:pt>
                <c:pt idx="40">
                  <c:v>2.3028844546943317E-2</c:v>
                </c:pt>
                <c:pt idx="41">
                  <c:v>2.3847722183228059E-2</c:v>
                </c:pt>
                <c:pt idx="42">
                  <c:v>4.7703800260703977E-2</c:v>
                </c:pt>
                <c:pt idx="43">
                  <c:v>3.4543266820415086E-2</c:v>
                </c:pt>
                <c:pt idx="44">
                  <c:v>1.8090511046492175E-2</c:v>
                </c:pt>
                <c:pt idx="45">
                  <c:v>2.0563855743841453E-2</c:v>
                </c:pt>
                <c:pt idx="46">
                  <c:v>1.6461111668168993E-3</c:v>
                </c:pt>
                <c:pt idx="47">
                  <c:v>-4.1110999699188744E-3</c:v>
                </c:pt>
                <c:pt idx="48">
                  <c:v>-4.1110999699188744E-3</c:v>
                </c:pt>
                <c:pt idx="49">
                  <c:v>1.7271633410207654E-2</c:v>
                </c:pt>
                <c:pt idx="50">
                  <c:v>-6.5760887730204054E-3</c:v>
                </c:pt>
                <c:pt idx="51">
                  <c:v>-8.2221999398375267E-3</c:v>
                </c:pt>
                <c:pt idx="52">
                  <c:v>1.6461111668171213E-3</c:v>
                </c:pt>
                <c:pt idx="53">
                  <c:v>1.1514422273471769E-2</c:v>
                </c:pt>
                <c:pt idx="54">
                  <c:v>6.085597780674501E-2</c:v>
                </c:pt>
                <c:pt idx="55">
                  <c:v>6.2502088973562131E-2</c:v>
                </c:pt>
                <c:pt idx="56">
                  <c:v>6.168321133727761E-2</c:v>
                </c:pt>
                <c:pt idx="57">
                  <c:v>6.0855977806745232E-2</c:v>
                </c:pt>
                <c:pt idx="58">
                  <c:v>2.3028844546943761E-2</c:v>
                </c:pt>
                <c:pt idx="59">
                  <c:v>7.40165112470339E-2</c:v>
                </c:pt>
                <c:pt idx="60">
                  <c:v>9.2107022293526297E-2</c:v>
                </c:pt>
                <c:pt idx="61">
                  <c:v>9.2934255824058898E-2</c:v>
                </c:pt>
                <c:pt idx="62">
                  <c:v>9.2107022293526519E-2</c:v>
                </c:pt>
                <c:pt idx="63">
                  <c:v>0.12253918914402284</c:v>
                </c:pt>
                <c:pt idx="64">
                  <c:v>8.6349811156790635E-2</c:v>
                </c:pt>
                <c:pt idx="65">
                  <c:v>9.2107022293526519E-2</c:v>
                </c:pt>
                <c:pt idx="66">
                  <c:v>0.10280256693071355</c:v>
                </c:pt>
                <c:pt idx="67">
                  <c:v>0.11348975567365271</c:v>
                </c:pt>
                <c:pt idx="68">
                  <c:v>7.4016511247034344E-2</c:v>
                </c:pt>
                <c:pt idx="69">
                  <c:v>7.2370400080217223E-2</c:v>
                </c:pt>
                <c:pt idx="70">
                  <c:v>3.7008255623517394E-2</c:v>
                </c:pt>
                <c:pt idx="71">
                  <c:v>5.7572111367363288E-3</c:v>
                </c:pt>
                <c:pt idx="72">
                  <c:v>-5.7572111367354406E-3</c:v>
                </c:pt>
                <c:pt idx="73">
                  <c:v>-9.8683111066540929E-3</c:v>
                </c:pt>
                <c:pt idx="74">
                  <c:v>-8.2221999398371937E-3</c:v>
                </c:pt>
                <c:pt idx="75">
                  <c:v>-1.6461111668165662E-3</c:v>
                </c:pt>
                <c:pt idx="76">
                  <c:v>5.9209866639928332E-2</c:v>
                </c:pt>
                <c:pt idx="77">
                  <c:v>6.4148200140379696E-2</c:v>
                </c:pt>
                <c:pt idx="78">
                  <c:v>6.4967077776664217E-2</c:v>
                </c:pt>
                <c:pt idx="79">
                  <c:v>7.2370400080217001E-2</c:v>
                </c:pt>
                <c:pt idx="80">
                  <c:v>5.1814900230622962E-2</c:v>
                </c:pt>
                <c:pt idx="81">
                  <c:v>4.852267789698872E-2</c:v>
                </c:pt>
                <c:pt idx="82">
                  <c:v>-8.1887763628440968E-4</c:v>
                </c:pt>
                <c:pt idx="83">
                  <c:v>3.2922223336342427E-3</c:v>
                </c:pt>
                <c:pt idx="84">
                  <c:v>2.7139944516862524E-2</c:v>
                </c:pt>
                <c:pt idx="85">
                  <c:v>2.2209966910659018E-2</c:v>
                </c:pt>
                <c:pt idx="86">
                  <c:v>2.7967178047394903E-2</c:v>
                </c:pt>
                <c:pt idx="87">
                  <c:v>8.2723353053260062E-4</c:v>
                </c:pt>
                <c:pt idx="88">
                  <c:v>-8.1887763628440968E-4</c:v>
                </c:pt>
                <c:pt idx="89">
                  <c:v>-2.464988803101531E-3</c:v>
                </c:pt>
                <c:pt idx="90">
                  <c:v>-1.39794110765733E-2</c:v>
                </c:pt>
                <c:pt idx="91">
                  <c:v>1.3979411076573633E-2</c:v>
                </c:pt>
                <c:pt idx="92">
                  <c:v>2.3028844546943539E-2</c:v>
                </c:pt>
                <c:pt idx="93">
                  <c:v>1.234165580400437E-2</c:v>
                </c:pt>
                <c:pt idx="94">
                  <c:v>1.8090511046492619E-2</c:v>
                </c:pt>
                <c:pt idx="95">
                  <c:v>9.8683111066548701E-3</c:v>
                </c:pt>
                <c:pt idx="96">
                  <c:v>-8.1887763628418764E-4</c:v>
                </c:pt>
                <c:pt idx="97">
                  <c:v>-8.1887763628418764E-4</c:v>
                </c:pt>
                <c:pt idx="98">
                  <c:v>-1.0687188742938836E-2</c:v>
                </c:pt>
                <c:pt idx="99">
                  <c:v>-4.1110999699184303E-3</c:v>
                </c:pt>
                <c:pt idx="100">
                  <c:v>0</c:v>
                </c:pt>
                <c:pt idx="101">
                  <c:v>-3.947324442661837E-2</c:v>
                </c:pt>
                <c:pt idx="102">
                  <c:v>-4.9341555533272907E-2</c:v>
                </c:pt>
                <c:pt idx="103">
                  <c:v>-3.2069922123065364E-2</c:v>
                </c:pt>
                <c:pt idx="104">
                  <c:v>-2.464988803101531E-3</c:v>
                </c:pt>
                <c:pt idx="105">
                  <c:v>2.4733446973494999E-3</c:v>
                </c:pt>
                <c:pt idx="106">
                  <c:v>-1.0687188742939169E-2</c:v>
                </c:pt>
                <c:pt idx="107">
                  <c:v>-7.3949664093050371E-3</c:v>
                </c:pt>
                <c:pt idx="108">
                  <c:v>-7.3949664093050371E-3</c:v>
                </c:pt>
                <c:pt idx="109">
                  <c:v>-8.1887763628440968E-4</c:v>
                </c:pt>
                <c:pt idx="110">
                  <c:v>1.8090511046492619E-2</c:v>
                </c:pt>
                <c:pt idx="111">
                  <c:v>-4.1110999699184303E-3</c:v>
                </c:pt>
                <c:pt idx="112">
                  <c:v>-6.5760887730201834E-3</c:v>
                </c:pt>
                <c:pt idx="113">
                  <c:v>-1.8090511046491953E-2</c:v>
                </c:pt>
                <c:pt idx="114">
                  <c:v>-3.7008255623516617E-2</c:v>
                </c:pt>
                <c:pt idx="115">
                  <c:v>-2.5493833350044848E-2</c:v>
                </c:pt>
                <c:pt idx="116">
                  <c:v>-3.1251044486780621E-2</c:v>
                </c:pt>
                <c:pt idx="117">
                  <c:v>-1.8090511046491953E-2</c:v>
                </c:pt>
                <c:pt idx="118">
                  <c:v>-2.6312710986329479E-2</c:v>
                </c:pt>
                <c:pt idx="119">
                  <c:v>5.7572111367361067E-3</c:v>
                </c:pt>
                <c:pt idx="120">
                  <c:v>-5.7572111367356626E-3</c:v>
                </c:pt>
                <c:pt idx="121">
                  <c:v>-4.1110999699185413E-3</c:v>
                </c:pt>
                <c:pt idx="122">
                  <c:v>5.7572111367361067E-3</c:v>
                </c:pt>
                <c:pt idx="123">
                  <c:v>3.1251044486781288E-2</c:v>
                </c:pt>
                <c:pt idx="124">
                  <c:v>4.9341555533273462E-2</c:v>
                </c:pt>
                <c:pt idx="125">
                  <c:v>5.8390989003643368E-2</c:v>
                </c:pt>
                <c:pt idx="126">
                  <c:v>5.8390989003643368E-2</c:v>
                </c:pt>
                <c:pt idx="127">
                  <c:v>5.5926000200541726E-2</c:v>
                </c:pt>
                <c:pt idx="128">
                  <c:v>6.7440422474013273E-2</c:v>
                </c:pt>
                <c:pt idx="129">
                  <c:v>6.085597780674501E-2</c:v>
                </c:pt>
                <c:pt idx="130">
                  <c:v>8.3065944717403806E-2</c:v>
                </c:pt>
                <c:pt idx="131">
                  <c:v>0.10773254453691639</c:v>
                </c:pt>
                <c:pt idx="132">
                  <c:v>0.15378187773655538</c:v>
                </c:pt>
                <c:pt idx="133">
                  <c:v>0.17023463351047829</c:v>
                </c:pt>
                <c:pt idx="134">
                  <c:v>0.18339516695076696</c:v>
                </c:pt>
                <c:pt idx="135">
                  <c:v>0.19079013336007211</c:v>
                </c:pt>
                <c:pt idx="136">
                  <c:v>0.196547344496808</c:v>
                </c:pt>
                <c:pt idx="137">
                  <c:v>0.14967077776663662</c:v>
                </c:pt>
                <c:pt idx="138">
                  <c:v>0.16118520004010817</c:v>
                </c:pt>
                <c:pt idx="139">
                  <c:v>0.13733747785688033</c:v>
                </c:pt>
                <c:pt idx="140">
                  <c:v>0.12417694441659144</c:v>
                </c:pt>
                <c:pt idx="141">
                  <c:v>-8.2238711186871205E-2</c:v>
                </c:pt>
                <c:pt idx="142">
                  <c:v>-7.9765366489521594E-2</c:v>
                </c:pt>
                <c:pt idx="143">
                  <c:v>-9.4572011096627384E-2</c:v>
                </c:pt>
                <c:pt idx="144">
                  <c:v>-0.10855142217320091</c:v>
                </c:pt>
                <c:pt idx="145">
                  <c:v>-0.11019753334001803</c:v>
                </c:pt>
                <c:pt idx="146">
                  <c:v>-0.12088472208295731</c:v>
                </c:pt>
                <c:pt idx="147">
                  <c:v>-0.17516461111668158</c:v>
                </c:pt>
                <c:pt idx="148">
                  <c:v>-0.20147732210301128</c:v>
                </c:pt>
                <c:pt idx="149">
                  <c:v>-0.19572011096627562</c:v>
                </c:pt>
                <c:pt idx="150">
                  <c:v>-0.196547344496808</c:v>
                </c:pt>
                <c:pt idx="151">
                  <c:v>-0.16694241117684405</c:v>
                </c:pt>
                <c:pt idx="152">
                  <c:v>-0.16940739997994569</c:v>
                </c:pt>
                <c:pt idx="153">
                  <c:v>-0.18914402219325499</c:v>
                </c:pt>
                <c:pt idx="154">
                  <c:v>-0.16611517764631178</c:v>
                </c:pt>
                <c:pt idx="155">
                  <c:v>-0.16282295531267765</c:v>
                </c:pt>
                <c:pt idx="156">
                  <c:v>-0.13980246665998208</c:v>
                </c:pt>
                <c:pt idx="157">
                  <c:v>-0.13569136669006332</c:v>
                </c:pt>
                <c:pt idx="158">
                  <c:v>-0.11841973327985578</c:v>
                </c:pt>
                <c:pt idx="159">
                  <c:v>-0.12171195561348991</c:v>
                </c:pt>
                <c:pt idx="160">
                  <c:v>-0.10772418864266864</c:v>
                </c:pt>
                <c:pt idx="161">
                  <c:v>-0.10197533340018061</c:v>
                </c:pt>
                <c:pt idx="162">
                  <c:v>-7.3189277716501411E-2</c:v>
                </c:pt>
                <c:pt idx="163">
                  <c:v>-8.6349811156790079E-2</c:v>
                </c:pt>
                <c:pt idx="164">
                  <c:v>-8.387646645944058E-2</c:v>
                </c:pt>
                <c:pt idx="165">
                  <c:v>-9.2107022293526075E-2</c:v>
                </c:pt>
                <c:pt idx="166">
                  <c:v>-8.634981115679019E-2</c:v>
                </c:pt>
                <c:pt idx="167">
                  <c:v>-7.9765366489521927E-2</c:v>
                </c:pt>
                <c:pt idx="168">
                  <c:v>-9.703699989972947E-2</c:v>
                </c:pt>
                <c:pt idx="169">
                  <c:v>-9.9501988702831223E-2</c:v>
                </c:pt>
                <c:pt idx="170">
                  <c:v>-0.11430863330993701</c:v>
                </c:pt>
                <c:pt idx="171">
                  <c:v>-0.12993415555332755</c:v>
                </c:pt>
                <c:pt idx="172">
                  <c:v>-0.12334971088605917</c:v>
                </c:pt>
                <c:pt idx="173">
                  <c:v>-0.15131688893345374</c:v>
                </c:pt>
                <c:pt idx="174">
                  <c:v>-0.1406213442962666</c:v>
                </c:pt>
                <c:pt idx="175">
                  <c:v>-0.12664193321969319</c:v>
                </c:pt>
                <c:pt idx="176">
                  <c:v>-0.12088472208295742</c:v>
                </c:pt>
                <c:pt idx="177">
                  <c:v>-0.11184364450683515</c:v>
                </c:pt>
                <c:pt idx="178">
                  <c:v>-0.10361308867274976</c:v>
                </c:pt>
                <c:pt idx="179">
                  <c:v>-9.7036999899729359E-2</c:v>
                </c:pt>
                <c:pt idx="180">
                  <c:v>-0.10197533340018061</c:v>
                </c:pt>
                <c:pt idx="181">
                  <c:v>-0.10525919983956689</c:v>
                </c:pt>
                <c:pt idx="182">
                  <c:v>-0.10279421103646535</c:v>
                </c:pt>
                <c:pt idx="183">
                  <c:v>-0.10608643337009938</c:v>
                </c:pt>
                <c:pt idx="184">
                  <c:v>-0.14308633309936847</c:v>
                </c:pt>
                <c:pt idx="185">
                  <c:v>-0.12171195561348991</c:v>
                </c:pt>
                <c:pt idx="186">
                  <c:v>-0.11348139977940441</c:v>
                </c:pt>
                <c:pt idx="187">
                  <c:v>-0.13158026672014456</c:v>
                </c:pt>
                <c:pt idx="188">
                  <c:v>-0.11595474447675391</c:v>
                </c:pt>
                <c:pt idx="189">
                  <c:v>-0.13815635549316496</c:v>
                </c:pt>
                <c:pt idx="190">
                  <c:v>-0.14062134429626649</c:v>
                </c:pt>
                <c:pt idx="191">
                  <c:v>-0.13075303318961196</c:v>
                </c:pt>
                <c:pt idx="192">
                  <c:v>-0.13733747785688011</c:v>
                </c:pt>
                <c:pt idx="193">
                  <c:v>-0.13733747785688011</c:v>
                </c:pt>
                <c:pt idx="194">
                  <c:v>-0.12664193321969308</c:v>
                </c:pt>
                <c:pt idx="195">
                  <c:v>-0.1217119556134898</c:v>
                </c:pt>
                <c:pt idx="196">
                  <c:v>-0.11841973327985567</c:v>
                </c:pt>
                <c:pt idx="197">
                  <c:v>-0.1019753334001805</c:v>
                </c:pt>
                <c:pt idx="198">
                  <c:v>-0.10855142217320102</c:v>
                </c:pt>
                <c:pt idx="199">
                  <c:v>-9.2925899929810596E-2</c:v>
                </c:pt>
                <c:pt idx="200">
                  <c:v>-8.9633677596176464E-2</c:v>
                </c:pt>
                <c:pt idx="201">
                  <c:v>-8.7168688793074822E-2</c:v>
                </c:pt>
                <c:pt idx="202">
                  <c:v>-0.105259199839567</c:v>
                </c:pt>
                <c:pt idx="203">
                  <c:v>-8.634981115679019E-2</c:v>
                </c:pt>
                <c:pt idx="204">
                  <c:v>-9.0460911126709065E-2</c:v>
                </c:pt>
                <c:pt idx="205">
                  <c:v>-7.5654266519603164E-2</c:v>
                </c:pt>
                <c:pt idx="206">
                  <c:v>-8.9633677596176575E-2</c:v>
                </c:pt>
                <c:pt idx="207">
                  <c:v>-6.4967077776663884E-2</c:v>
                </c:pt>
                <c:pt idx="208">
                  <c:v>-0.14391356662990085</c:v>
                </c:pt>
                <c:pt idx="209">
                  <c:v>-0.13897523312944959</c:v>
                </c:pt>
                <c:pt idx="210">
                  <c:v>-0.15378187773655538</c:v>
                </c:pt>
                <c:pt idx="211">
                  <c:v>-0.15953908887329138</c:v>
                </c:pt>
                <c:pt idx="212">
                  <c:v>-0.14802466659981961</c:v>
                </c:pt>
                <c:pt idx="213">
                  <c:v>-0.12828804438651031</c:v>
                </c:pt>
                <c:pt idx="214">
                  <c:v>-7.9765366489521816E-2</c:v>
                </c:pt>
                <c:pt idx="215">
                  <c:v>-9.8683111066546481E-2</c:v>
                </c:pt>
                <c:pt idx="216">
                  <c:v>-9.7855877536013991E-2</c:v>
                </c:pt>
                <c:pt idx="217">
                  <c:v>-7.6481500050135542E-2</c:v>
                </c:pt>
                <c:pt idx="218">
                  <c:v>-8.7168688793074822E-2</c:v>
                </c:pt>
                <c:pt idx="219">
                  <c:v>-8.7168688793074822E-2</c:v>
                </c:pt>
                <c:pt idx="220">
                  <c:v>-8.9633677596176575E-2</c:v>
                </c:pt>
                <c:pt idx="221">
                  <c:v>-9.4572011096627717E-2</c:v>
                </c:pt>
                <c:pt idx="222">
                  <c:v>-7.8119255322704806E-2</c:v>
                </c:pt>
                <c:pt idx="223">
                  <c:v>-9.1279788762993697E-2</c:v>
                </c:pt>
                <c:pt idx="224">
                  <c:v>-0.11759249974932351</c:v>
                </c:pt>
                <c:pt idx="225">
                  <c:v>-0.11184364450683548</c:v>
                </c:pt>
                <c:pt idx="226">
                  <c:v>-8.0592600020054417E-2</c:v>
                </c:pt>
                <c:pt idx="227">
                  <c:v>-6.2493733079314495E-2</c:v>
                </c:pt>
                <c:pt idx="228">
                  <c:v>-8.7168688793074933E-2</c:v>
                </c:pt>
                <c:pt idx="229">
                  <c:v>-8.7168688793074933E-2</c:v>
                </c:pt>
                <c:pt idx="230">
                  <c:v>-8.470369998997318E-2</c:v>
                </c:pt>
                <c:pt idx="231">
                  <c:v>-9.7036999899729581E-2</c:v>
                </c:pt>
                <c:pt idx="232">
                  <c:v>-0.11019753334001847</c:v>
                </c:pt>
                <c:pt idx="233">
                  <c:v>-0.11677362211303899</c:v>
                </c:pt>
                <c:pt idx="234">
                  <c:v>-0.14144857782679932</c:v>
                </c:pt>
                <c:pt idx="235">
                  <c:v>-0.13569136669006354</c:v>
                </c:pt>
                <c:pt idx="236">
                  <c:v>-0.12828804438651054</c:v>
                </c:pt>
                <c:pt idx="237">
                  <c:v>-0.13158026672014467</c:v>
                </c:pt>
                <c:pt idx="238">
                  <c:v>-0.14391356662990096</c:v>
                </c:pt>
                <c:pt idx="239">
                  <c:v>-0.14555967779671808</c:v>
                </c:pt>
                <c:pt idx="240">
                  <c:v>-0.14555967779671808</c:v>
                </c:pt>
                <c:pt idx="241">
                  <c:v>-0.1784484775560683</c:v>
                </c:pt>
                <c:pt idx="242">
                  <c:v>-0.18009458872288542</c:v>
                </c:pt>
                <c:pt idx="243">
                  <c:v>-0.20312343326982885</c:v>
                </c:pt>
                <c:pt idx="244">
                  <c:v>-0.19901233329990997</c:v>
                </c:pt>
                <c:pt idx="245">
                  <c:v>-0.18749791102643842</c:v>
                </c:pt>
                <c:pt idx="246">
                  <c:v>-0.18585179985962141</c:v>
                </c:pt>
                <c:pt idx="247">
                  <c:v>-0.17598348875296665</c:v>
                </c:pt>
                <c:pt idx="248">
                  <c:v>-0.17187238878304778</c:v>
                </c:pt>
                <c:pt idx="249">
                  <c:v>-0.17516461111668202</c:v>
                </c:pt>
                <c:pt idx="250">
                  <c:v>-0.18749791102643842</c:v>
                </c:pt>
                <c:pt idx="251">
                  <c:v>-0.18585179985962141</c:v>
                </c:pt>
                <c:pt idx="252">
                  <c:v>-0.2064156556034632</c:v>
                </c:pt>
                <c:pt idx="253">
                  <c:v>-0.18749791102643865</c:v>
                </c:pt>
                <c:pt idx="254">
                  <c:v>-0.1842056886928044</c:v>
                </c:pt>
                <c:pt idx="255">
                  <c:v>-0.19736622213309307</c:v>
                </c:pt>
                <c:pt idx="256">
                  <c:v>-0.19901233329991019</c:v>
                </c:pt>
                <c:pt idx="257">
                  <c:v>-0.20641565560346331</c:v>
                </c:pt>
                <c:pt idx="258">
                  <c:v>-0.20147732210301206</c:v>
                </c:pt>
                <c:pt idx="259">
                  <c:v>-0.19572011096627639</c:v>
                </c:pt>
                <c:pt idx="260">
                  <c:v>-0.18174069988970287</c:v>
                </c:pt>
                <c:pt idx="261">
                  <c:v>-0.17681072228349959</c:v>
                </c:pt>
                <c:pt idx="262">
                  <c:v>-0.16282295531267832</c:v>
                </c:pt>
                <c:pt idx="263">
                  <c:v>-0.14226745546308439</c:v>
                </c:pt>
                <c:pt idx="264">
                  <c:v>-0.17516461111668247</c:v>
                </c:pt>
                <c:pt idx="265">
                  <c:v>-0.16446906647949544</c:v>
                </c:pt>
                <c:pt idx="266">
                  <c:v>-0.16776128881312968</c:v>
                </c:pt>
                <c:pt idx="267">
                  <c:v>-0.14637855543300327</c:v>
                </c:pt>
                <c:pt idx="268">
                  <c:v>-0.1710535111467637</c:v>
                </c:pt>
                <c:pt idx="269">
                  <c:v>-0.16035796650957657</c:v>
                </c:pt>
                <c:pt idx="270">
                  <c:v>-0.16446906647949533</c:v>
                </c:pt>
                <c:pt idx="271">
                  <c:v>-0.17105351114676359</c:v>
                </c:pt>
                <c:pt idx="272">
                  <c:v>-0.18667903339015413</c:v>
                </c:pt>
                <c:pt idx="273">
                  <c:v>-0.16446906647949533</c:v>
                </c:pt>
                <c:pt idx="274">
                  <c:v>-0.17681072228349948</c:v>
                </c:pt>
                <c:pt idx="275">
                  <c:v>-0.2384855777265289</c:v>
                </c:pt>
                <c:pt idx="276">
                  <c:v>-0.24013168889334602</c:v>
                </c:pt>
                <c:pt idx="277">
                  <c:v>-0.24013168889334602</c:v>
                </c:pt>
                <c:pt idx="278">
                  <c:v>-0.24259667769644777</c:v>
                </c:pt>
                <c:pt idx="279">
                  <c:v>-0.24095056652963076</c:v>
                </c:pt>
                <c:pt idx="280">
                  <c:v>-0.23108225542297611</c:v>
                </c:pt>
                <c:pt idx="281">
                  <c:v>-0.22039506668003672</c:v>
                </c:pt>
                <c:pt idx="282">
                  <c:v>-0.22373742437915778</c:v>
                </c:pt>
                <c:pt idx="283">
                  <c:v>-0.2195594772552566</c:v>
                </c:pt>
                <c:pt idx="284">
                  <c:v>-0.21538153013135541</c:v>
                </c:pt>
                <c:pt idx="285">
                  <c:v>-0.22457301380393813</c:v>
                </c:pt>
                <c:pt idx="286">
                  <c:v>-0.21872388783047647</c:v>
                </c:pt>
                <c:pt idx="287">
                  <c:v>-0.2128747618570147</c:v>
                </c:pt>
                <c:pt idx="288">
                  <c:v>-0.20869681473311341</c:v>
                </c:pt>
                <c:pt idx="289">
                  <c:v>-0.22373742437915789</c:v>
                </c:pt>
                <c:pt idx="290">
                  <c:v>-0.20201209933487152</c:v>
                </c:pt>
                <c:pt idx="291">
                  <c:v>-0.21538153013135541</c:v>
                </c:pt>
                <c:pt idx="292">
                  <c:v>-0.23794244460042202</c:v>
                </c:pt>
                <c:pt idx="293">
                  <c:v>-0.19365620508706927</c:v>
                </c:pt>
                <c:pt idx="294">
                  <c:v>-0.19699856278619032</c:v>
                </c:pt>
                <c:pt idx="295">
                  <c:v>-0.17276646946756335</c:v>
                </c:pt>
                <c:pt idx="296">
                  <c:v>-0.16775293291888194</c:v>
                </c:pt>
                <c:pt idx="297">
                  <c:v>-0.19031384738794843</c:v>
                </c:pt>
                <c:pt idx="298">
                  <c:v>-0.1986697416357508</c:v>
                </c:pt>
                <c:pt idx="299">
                  <c:v>-0.20368327818443233</c:v>
                </c:pt>
                <c:pt idx="300">
                  <c:v>-0.18697148968882749</c:v>
                </c:pt>
                <c:pt idx="301">
                  <c:v>-0.17109529061800299</c:v>
                </c:pt>
                <c:pt idx="302">
                  <c:v>-0.16858852234366239</c:v>
                </c:pt>
                <c:pt idx="303">
                  <c:v>-0.15020555499849697</c:v>
                </c:pt>
                <c:pt idx="304">
                  <c:v>-0.16357498579498075</c:v>
                </c:pt>
                <c:pt idx="305">
                  <c:v>-0.16441057521976099</c:v>
                </c:pt>
                <c:pt idx="306">
                  <c:v>-0.14352083960025508</c:v>
                </c:pt>
                <c:pt idx="307">
                  <c:v>-0.14017848190113413</c:v>
                </c:pt>
                <c:pt idx="308">
                  <c:v>-0.13934289247635367</c:v>
                </c:pt>
                <c:pt idx="309">
                  <c:v>-0.17276646946756324</c:v>
                </c:pt>
                <c:pt idx="310">
                  <c:v>-0.1878070791136075</c:v>
                </c:pt>
                <c:pt idx="311">
                  <c:v>-0.16190380694542028</c:v>
                </c:pt>
                <c:pt idx="312">
                  <c:v>-0.16942411176844241</c:v>
                </c:pt>
                <c:pt idx="313">
                  <c:v>-0.15187673384805722</c:v>
                </c:pt>
                <c:pt idx="314">
                  <c:v>-0.20284768875965187</c:v>
                </c:pt>
                <c:pt idx="315">
                  <c:v>-0.19950533106053081</c:v>
                </c:pt>
                <c:pt idx="316">
                  <c:v>-0.22791537150305885</c:v>
                </c:pt>
                <c:pt idx="317">
                  <c:v>-0.27387278986597208</c:v>
                </c:pt>
                <c:pt idx="318">
                  <c:v>-0.2061900464587727</c:v>
                </c:pt>
                <c:pt idx="319">
                  <c:v>-0.23627126575086121</c:v>
                </c:pt>
                <c:pt idx="320">
                  <c:v>-0.22039506668003672</c:v>
                </c:pt>
                <c:pt idx="321">
                  <c:v>-0.18864266853838751</c:v>
                </c:pt>
                <c:pt idx="322">
                  <c:v>-0.21036799358267388</c:v>
                </c:pt>
                <c:pt idx="323">
                  <c:v>-0.21454594070657496</c:v>
                </c:pt>
                <c:pt idx="324">
                  <c:v>-0.19532738393662941</c:v>
                </c:pt>
                <c:pt idx="325">
                  <c:v>-0.20869681473311319</c:v>
                </c:pt>
                <c:pt idx="326">
                  <c:v>-0.19365620508706893</c:v>
                </c:pt>
                <c:pt idx="327">
                  <c:v>-0.18279354256492586</c:v>
                </c:pt>
                <c:pt idx="328">
                  <c:v>-0.15939703867107902</c:v>
                </c:pt>
                <c:pt idx="329">
                  <c:v>-0.1610682175206396</c:v>
                </c:pt>
                <c:pt idx="330">
                  <c:v>-0.16273939637020007</c:v>
                </c:pt>
                <c:pt idx="331">
                  <c:v>-0.151876733848057</c:v>
                </c:pt>
                <c:pt idx="332">
                  <c:v>-0.16357498579498042</c:v>
                </c:pt>
                <c:pt idx="333">
                  <c:v>-0.1493699655737164</c:v>
                </c:pt>
                <c:pt idx="334">
                  <c:v>-0.14101407132591415</c:v>
                </c:pt>
                <c:pt idx="335">
                  <c:v>-0.15020555499849675</c:v>
                </c:pt>
                <c:pt idx="336">
                  <c:v>-0.12764464052943025</c:v>
                </c:pt>
                <c:pt idx="337">
                  <c:v>-0.14101407132591415</c:v>
                </c:pt>
                <c:pt idx="338">
                  <c:v>-0.14101407132591415</c:v>
                </c:pt>
                <c:pt idx="339">
                  <c:v>-0.1284802299542106</c:v>
                </c:pt>
                <c:pt idx="340">
                  <c:v>-0.11845315685684754</c:v>
                </c:pt>
                <c:pt idx="341">
                  <c:v>-0.11427520973294636</c:v>
                </c:pt>
                <c:pt idx="342">
                  <c:v>-0.11009726260904507</c:v>
                </c:pt>
                <c:pt idx="343">
                  <c:v>-0.1017413683612427</c:v>
                </c:pt>
                <c:pt idx="344">
                  <c:v>-9.7563421237341408E-2</c:v>
                </c:pt>
                <c:pt idx="345">
                  <c:v>-0.10174136836124259</c:v>
                </c:pt>
                <c:pt idx="346">
                  <c:v>-0.10424813663558319</c:v>
                </c:pt>
                <c:pt idx="347">
                  <c:v>-0.12430228283030897</c:v>
                </c:pt>
                <c:pt idx="348">
                  <c:v>-0.12764464052943003</c:v>
                </c:pt>
                <c:pt idx="349">
                  <c:v>-0.13432935592767192</c:v>
                </c:pt>
                <c:pt idx="350">
                  <c:v>-0.13850730305157311</c:v>
                </c:pt>
                <c:pt idx="351">
                  <c:v>-0.15020555499849653</c:v>
                </c:pt>
                <c:pt idx="352">
                  <c:v>-0.14602760787459523</c:v>
                </c:pt>
                <c:pt idx="353">
                  <c:v>-0.13265817707811145</c:v>
                </c:pt>
                <c:pt idx="354">
                  <c:v>-0.16608175406932102</c:v>
                </c:pt>
                <c:pt idx="355">
                  <c:v>-0.14853437614893616</c:v>
                </c:pt>
                <c:pt idx="356">
                  <c:v>-0.14435642902503487</c:v>
                </c:pt>
                <c:pt idx="357">
                  <c:v>-0.15605468097195818</c:v>
                </c:pt>
                <c:pt idx="358">
                  <c:v>-0.14268525017547429</c:v>
                </c:pt>
                <c:pt idx="359">
                  <c:v>-0.1360005347772324</c:v>
                </c:pt>
                <c:pt idx="360">
                  <c:v>-0.11427520973294614</c:v>
                </c:pt>
                <c:pt idx="361">
                  <c:v>-0.10926167318426461</c:v>
                </c:pt>
                <c:pt idx="362">
                  <c:v>-0.12012433570640779</c:v>
                </c:pt>
                <c:pt idx="363">
                  <c:v>-0.12848022995421016</c:v>
                </c:pt>
                <c:pt idx="364">
                  <c:v>-0.11260403088338555</c:v>
                </c:pt>
                <c:pt idx="365">
                  <c:v>-0.12931581937899028</c:v>
                </c:pt>
                <c:pt idx="366">
                  <c:v>-0.12848022995421016</c:v>
                </c:pt>
                <c:pt idx="367">
                  <c:v>-0.11511079915772626</c:v>
                </c:pt>
                <c:pt idx="368">
                  <c:v>-0.10174136836124237</c:v>
                </c:pt>
                <c:pt idx="369">
                  <c:v>-0.10341254721080284</c:v>
                </c:pt>
                <c:pt idx="370">
                  <c:v>-0.12430228283030886</c:v>
                </c:pt>
                <c:pt idx="371">
                  <c:v>-0.11176844145860521</c:v>
                </c:pt>
                <c:pt idx="372">
                  <c:v>-9.7563421237341186E-2</c:v>
                </c:pt>
                <c:pt idx="373">
                  <c:v>-9.3385474113440115E-2</c:v>
                </c:pt>
                <c:pt idx="374">
                  <c:v>-5.160600287442807E-2</c:v>
                </c:pt>
                <c:pt idx="375">
                  <c:v>-1.6511247033658027E-2</c:v>
                </c:pt>
                <c:pt idx="376">
                  <c:v>-1.3168889334536971E-2</c:v>
                </c:pt>
                <c:pt idx="377">
                  <c:v>-3.1551856679702284E-2</c:v>
                </c:pt>
                <c:pt idx="378">
                  <c:v>-2.4031551856680045E-2</c:v>
                </c:pt>
                <c:pt idx="379">
                  <c:v>-1.1497710484976387E-2</c:v>
                </c:pt>
                <c:pt idx="380">
                  <c:v>-4.8129950867346061E-3</c:v>
                </c:pt>
                <c:pt idx="381">
                  <c:v>-1.5675657608877791E-2</c:v>
                </c:pt>
                <c:pt idx="382">
                  <c:v>-7.3197633610752044E-3</c:v>
                </c:pt>
                <c:pt idx="383">
                  <c:v>-3.3223035529262757E-2</c:v>
                </c:pt>
                <c:pt idx="384">
                  <c:v>-6.0797486547010671E-2</c:v>
                </c:pt>
                <c:pt idx="385">
                  <c:v>-6.8317791370032799E-2</c:v>
                </c:pt>
                <c:pt idx="386">
                  <c:v>-6.7482201945252451E-2</c:v>
                </c:pt>
                <c:pt idx="387">
                  <c:v>-5.4948360573548904E-2</c:v>
                </c:pt>
                <c:pt idx="388">
                  <c:v>-6.4975433670911853E-2</c:v>
                </c:pt>
                <c:pt idx="389">
                  <c:v>-4.9099234600087138E-2</c:v>
                </c:pt>
                <c:pt idx="390">
                  <c:v>-5.9126307697450087E-2</c:v>
                </c:pt>
                <c:pt idx="391">
                  <c:v>-4.157892977706501E-2</c:v>
                </c:pt>
                <c:pt idx="392">
                  <c:v>-5.7455128847889725E-2</c:v>
                </c:pt>
                <c:pt idx="393">
                  <c:v>-7.4166917343494454E-2</c:v>
                </c:pt>
                <c:pt idx="394">
                  <c:v>-9.1714295263879531E-2</c:v>
                </c:pt>
                <c:pt idx="395">
                  <c:v>-7.5002506768274801E-2</c:v>
                </c:pt>
                <c:pt idx="396">
                  <c:v>-9.5892242387780824E-2</c:v>
                </c:pt>
                <c:pt idx="397">
                  <c:v>-8.5029579865637861E-2</c:v>
                </c:pt>
                <c:pt idx="398">
                  <c:v>-7.5838096193055149E-2</c:v>
                </c:pt>
                <c:pt idx="399">
                  <c:v>-6.3304254821351602E-2</c:v>
                </c:pt>
                <c:pt idx="400">
                  <c:v>-5.7455128847889947E-2</c:v>
                </c:pt>
                <c:pt idx="401">
                  <c:v>-5.4112771148768779E-2</c:v>
                </c:pt>
                <c:pt idx="402">
                  <c:v>-6.9153380794813146E-2</c:v>
                </c:pt>
                <c:pt idx="403">
                  <c:v>-5.9961897122230434E-2</c:v>
                </c:pt>
                <c:pt idx="404">
                  <c:v>-4.4085698051405831E-2</c:v>
                </c:pt>
                <c:pt idx="405">
                  <c:v>-4.4085698051405831E-2</c:v>
                </c:pt>
                <c:pt idx="406">
                  <c:v>-4.4085698051405831E-2</c:v>
                </c:pt>
                <c:pt idx="407">
                  <c:v>-4.2414519201845247E-2</c:v>
                </c:pt>
                <c:pt idx="408">
                  <c:v>-3.238744610448252E-2</c:v>
                </c:pt>
                <c:pt idx="409">
                  <c:v>-3.9907750927504648E-2</c:v>
                </c:pt>
                <c:pt idx="410">
                  <c:v>-5.3277181723988543E-2</c:v>
                </c:pt>
                <c:pt idx="411">
                  <c:v>-1.9018015307998848E-2</c:v>
                </c:pt>
                <c:pt idx="412">
                  <c:v>-1.2333299909756956E-2</c:v>
                </c:pt>
                <c:pt idx="413">
                  <c:v>-1.0662121060196483E-2</c:v>
                </c:pt>
                <c:pt idx="414">
                  <c:v>-4.8129950867347171E-3</c:v>
                </c:pt>
                <c:pt idx="415">
                  <c:v>-2.1524783582339446E-2</c:v>
                </c:pt>
                <c:pt idx="416">
                  <c:v>-1.6511247033658027E-2</c:v>
                </c:pt>
                <c:pt idx="417">
                  <c:v>-2.068919415755921E-2</c:v>
                </c:pt>
                <c:pt idx="418">
                  <c:v>-2.9045088405361685E-2</c:v>
                </c:pt>
                <c:pt idx="419">
                  <c:v>-2.4031551856680267E-2</c:v>
                </c:pt>
                <c:pt idx="420">
                  <c:v>-1.9018015307998737E-2</c:v>
                </c:pt>
                <c:pt idx="421">
                  <c:v>-2.319596243190003E-2</c:v>
                </c:pt>
                <c:pt idx="422">
                  <c:v>-3.9907750927504759E-2</c:v>
                </c:pt>
                <c:pt idx="423">
                  <c:v>-4.5756876900966414E-2</c:v>
                </c:pt>
                <c:pt idx="424">
                  <c:v>-1.7346836458438264E-2</c:v>
                </c:pt>
                <c:pt idx="425">
                  <c:v>-2.4031551856680156E-2</c:v>
                </c:pt>
                <c:pt idx="426">
                  <c:v>-2.4031551856680156E-2</c:v>
                </c:pt>
                <c:pt idx="427">
                  <c:v>-2.9880677830141922E-2</c:v>
                </c:pt>
                <c:pt idx="428">
                  <c:v>-2.570273070624074E-2</c:v>
                </c:pt>
                <c:pt idx="429">
                  <c:v>-1.9018015307998959E-2</c:v>
                </c:pt>
                <c:pt idx="430">
                  <c:v>-2.9045088405361907E-2</c:v>
                </c:pt>
                <c:pt idx="431">
                  <c:v>-2.570273070624074E-2</c:v>
                </c:pt>
                <c:pt idx="432">
                  <c:v>-1.9853604732778973E-2</c:v>
                </c:pt>
                <c:pt idx="433">
                  <c:v>-2.8209498980581338E-2</c:v>
                </c:pt>
                <c:pt idx="434">
                  <c:v>-2.9045088405361685E-2</c:v>
                </c:pt>
                <c:pt idx="435">
                  <c:v>3.5428991610677585E-3</c:v>
                </c:pt>
                <c:pt idx="436">
                  <c:v>1.022761455930965E-2</c:v>
                </c:pt>
                <c:pt idx="437">
                  <c:v>-6.3504796283331277E-4</c:v>
                </c:pt>
                <c:pt idx="438">
                  <c:v>2.5268224205354128E-2</c:v>
                </c:pt>
                <c:pt idx="439">
                  <c:v>2.1090277081452946E-2</c:v>
                </c:pt>
                <c:pt idx="440">
                  <c:v>5.8691801196563809E-2</c:v>
                </c:pt>
                <c:pt idx="441">
                  <c:v>6.1198569470904518E-2</c:v>
                </c:pt>
                <c:pt idx="442">
                  <c:v>-3.9774056619541476E-3</c:v>
                </c:pt>
                <c:pt idx="443">
                  <c:v>-1.9018015307998515E-2</c:v>
                </c:pt>
                <c:pt idx="444">
                  <c:v>-3.9072161502724301E-2</c:v>
                </c:pt>
                <c:pt idx="445">
                  <c:v>-4.6592466325746429E-2</c:v>
                </c:pt>
                <c:pt idx="446">
                  <c:v>-3.5729803803603355E-2</c:v>
                </c:pt>
                <c:pt idx="447">
                  <c:v>-2.6538320131020532E-2</c:v>
                </c:pt>
                <c:pt idx="448">
                  <c:v>-1.7346836458437931E-2</c:v>
                </c:pt>
                <c:pt idx="449">
                  <c:v>-1.9018015307998404E-2</c:v>
                </c:pt>
                <c:pt idx="450">
                  <c:v>-3.9774056619541476E-3</c:v>
                </c:pt>
                <c:pt idx="451">
                  <c:v>1.8717203115075076E-3</c:v>
                </c:pt>
                <c:pt idx="452">
                  <c:v>4.9500317523981208E-2</c:v>
                </c:pt>
                <c:pt idx="453">
                  <c:v>3.8637655001838134E-2</c:v>
                </c:pt>
                <c:pt idx="454">
                  <c:v>3.1117350178816006E-2</c:v>
                </c:pt>
                <c:pt idx="455">
                  <c:v>0.15645576389585214</c:v>
                </c:pt>
                <c:pt idx="456">
                  <c:v>0.1079915772585982</c:v>
                </c:pt>
                <c:pt idx="457">
                  <c:v>9.712891473645513E-2</c:v>
                </c:pt>
                <c:pt idx="458">
                  <c:v>0.10632039840903751</c:v>
                </c:pt>
                <c:pt idx="459">
                  <c:v>9.1279788762993253E-2</c:v>
                </c:pt>
                <c:pt idx="460">
                  <c:v>9.712891473645513E-2</c:v>
                </c:pt>
                <c:pt idx="461">
                  <c:v>8.7101841639092292E-2</c:v>
                </c:pt>
                <c:pt idx="462">
                  <c:v>6.8718874293926868E-2</c:v>
                </c:pt>
                <c:pt idx="463">
                  <c:v>9.5457735886894435E-2</c:v>
                </c:pt>
                <c:pt idx="464">
                  <c:v>9.6293325311674449E-2</c:v>
                </c:pt>
                <c:pt idx="465">
                  <c:v>0.1038136301346968</c:v>
                </c:pt>
                <c:pt idx="466">
                  <c:v>9.9635683010795395E-2</c:v>
                </c:pt>
                <c:pt idx="467">
                  <c:v>0.11133393495771893</c:v>
                </c:pt>
                <c:pt idx="468">
                  <c:v>0.12386777632942247</c:v>
                </c:pt>
                <c:pt idx="469">
                  <c:v>0.10966275610815845</c:v>
                </c:pt>
                <c:pt idx="470">
                  <c:v>0.10214245128513633</c:v>
                </c:pt>
                <c:pt idx="471">
                  <c:v>7.6239179116948996E-2</c:v>
                </c:pt>
                <c:pt idx="472">
                  <c:v>8.7937431063872085E-2</c:v>
                </c:pt>
                <c:pt idx="473">
                  <c:v>7.7910357966509247E-2</c:v>
                </c:pt>
                <c:pt idx="474">
                  <c:v>3.6966476152277439E-2</c:v>
                </c:pt>
                <c:pt idx="475">
                  <c:v>7.206123199304737E-2</c:v>
                </c:pt>
                <c:pt idx="476">
                  <c:v>8.2923894515190444E-2</c:v>
                </c:pt>
                <c:pt idx="477">
                  <c:v>0.10047127243557541</c:v>
                </c:pt>
                <c:pt idx="478">
                  <c:v>0.10214245128513588</c:v>
                </c:pt>
                <c:pt idx="479">
                  <c:v>0.10966275610815823</c:v>
                </c:pt>
                <c:pt idx="480">
                  <c:v>9.9635683010795395E-2</c:v>
                </c:pt>
                <c:pt idx="481">
                  <c:v>8.2923894515190666E-2</c:v>
                </c:pt>
                <c:pt idx="482">
                  <c:v>9.378655703733374E-2</c:v>
                </c:pt>
                <c:pt idx="483">
                  <c:v>9.7964504161234922E-2</c:v>
                </c:pt>
                <c:pt idx="484">
                  <c:v>8.8773020488652099E-2</c:v>
                </c:pt>
                <c:pt idx="485">
                  <c:v>9.79645041612347E-2</c:v>
                </c:pt>
                <c:pt idx="486">
                  <c:v>9.2950967612553281E-2</c:v>
                </c:pt>
                <c:pt idx="487">
                  <c:v>0.12052541863030108</c:v>
                </c:pt>
                <c:pt idx="488">
                  <c:v>0.13890838597546651</c:v>
                </c:pt>
                <c:pt idx="489">
                  <c:v>0.14977104849760958</c:v>
                </c:pt>
                <c:pt idx="490">
                  <c:v>0.14057956482502698</c:v>
                </c:pt>
                <c:pt idx="491">
                  <c:v>0.14225074367458745</c:v>
                </c:pt>
                <c:pt idx="492">
                  <c:v>0.11216952438249894</c:v>
                </c:pt>
                <c:pt idx="493">
                  <c:v>0.11300511380727918</c:v>
                </c:pt>
                <c:pt idx="494">
                  <c:v>0.12553895517898273</c:v>
                </c:pt>
                <c:pt idx="495">
                  <c:v>0.12470336575420249</c:v>
                </c:pt>
                <c:pt idx="496">
                  <c:v>0.11049834553293825</c:v>
                </c:pt>
                <c:pt idx="497">
                  <c:v>0.1163474715063999</c:v>
                </c:pt>
                <c:pt idx="498">
                  <c:v>0.11216952438249872</c:v>
                </c:pt>
                <c:pt idx="499">
                  <c:v>0.10966275610815801</c:v>
                </c:pt>
                <c:pt idx="500">
                  <c:v>0.10548480898425683</c:v>
                </c:pt>
                <c:pt idx="501">
                  <c:v>9.6293325311674005E-2</c:v>
                </c:pt>
                <c:pt idx="502">
                  <c:v>0.11467629265683943</c:v>
                </c:pt>
                <c:pt idx="503">
                  <c:v>0.1255389551789825</c:v>
                </c:pt>
                <c:pt idx="504">
                  <c:v>0.15311340619673031</c:v>
                </c:pt>
                <c:pt idx="505">
                  <c:v>0.14809986964804867</c:v>
                </c:pt>
                <c:pt idx="506">
                  <c:v>0.20324877168354449</c:v>
                </c:pt>
                <c:pt idx="507">
                  <c:v>0.18653698318793954</c:v>
                </c:pt>
                <c:pt idx="508">
                  <c:v>0.17233196296667552</c:v>
                </c:pt>
                <c:pt idx="509">
                  <c:v>0.16815401584277434</c:v>
                </c:pt>
                <c:pt idx="510">
                  <c:v>0.15645576389585103</c:v>
                </c:pt>
                <c:pt idx="511">
                  <c:v>0.15394899562151032</c:v>
                </c:pt>
                <c:pt idx="512">
                  <c:v>0.13640161770112535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9-49DC-8751-337F6F305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58848"/>
        <c:axId val="1870367008"/>
      </c:lineChart>
      <c:dateAx>
        <c:axId val="1870358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67008"/>
        <c:crosses val="autoZero"/>
        <c:auto val="1"/>
        <c:lblOffset val="100"/>
        <c:baseTimeUnit val="days"/>
      </c:dateAx>
      <c:valAx>
        <c:axId val="18703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17</xdr:row>
      <xdr:rowOff>28575</xdr:rowOff>
    </xdr:from>
    <xdr:to>
      <xdr:col>6</xdr:col>
      <xdr:colOff>285750</xdr:colOff>
      <xdr:row>27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D89200-51DB-4ABD-86C1-C17D5363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28</xdr:row>
      <xdr:rowOff>133350</xdr:rowOff>
    </xdr:from>
    <xdr:to>
      <xdr:col>6</xdr:col>
      <xdr:colOff>304800</xdr:colOff>
      <xdr:row>41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42</xdr:row>
      <xdr:rowOff>171450</xdr:rowOff>
    </xdr:from>
    <xdr:to>
      <xdr:col>6</xdr:col>
      <xdr:colOff>285750</xdr:colOff>
      <xdr:row>57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58</xdr:row>
      <xdr:rowOff>152399</xdr:rowOff>
    </xdr:from>
    <xdr:to>
      <xdr:col>6</xdr:col>
      <xdr:colOff>304800</xdr:colOff>
      <xdr:row>71</xdr:row>
      <xdr:rowOff>66674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114300</xdr:colOff>
      <xdr:row>72</xdr:row>
      <xdr:rowOff>114300</xdr:rowOff>
    </xdr:from>
    <xdr:to>
      <xdr:col>6</xdr:col>
      <xdr:colOff>314325</xdr:colOff>
      <xdr:row>85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C35C8-5D75-4E1F-902F-7F66EFA42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2</xdr:row>
      <xdr:rowOff>76200</xdr:rowOff>
    </xdr:from>
    <xdr:to>
      <xdr:col>6</xdr:col>
      <xdr:colOff>295275</xdr:colOff>
      <xdr:row>15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576E04-5679-46A2-8DB9-1ECCDC393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123825</xdr:colOff>
      <xdr:row>86</xdr:row>
      <xdr:rowOff>0</xdr:rowOff>
    </xdr:from>
    <xdr:to>
      <xdr:col>6</xdr:col>
      <xdr:colOff>342900</xdr:colOff>
      <xdr:row>98</xdr:row>
      <xdr:rowOff>109538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C72903-E455-48B4-A222-ECB130D0D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133351</xdr:colOff>
      <xdr:row>99</xdr:row>
      <xdr:rowOff>85725</xdr:rowOff>
    </xdr:from>
    <xdr:to>
      <xdr:col>6</xdr:col>
      <xdr:colOff>342901</xdr:colOff>
      <xdr:row>112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F0191E-51BD-4046-ACDF-74834A84E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B1A92A-0526-4D89-BA44-7F127E6BE218}" autoFormatId="16" applyNumberFormats="0" applyBorderFormats="0" applyFontFormats="0" applyPatternFormats="0" applyAlignmentFormats="0" applyWidthHeightFormats="0">
  <queryTableRefresh nextId="7" unboundColumnsRight="4">
    <queryTableFields count="6">
      <queryTableField id="1" name="Date" tableColumnId="1"/>
      <queryTableField id="2" name="weekly_averag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15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</a>
  <a r="1" c="515">
    <v>11.967599999999999</v>
    <v>11.524699999999999</v>
    <v>11.495200000000001</v>
    <v>11.6625</v>
    <v>11.7806</v>
    <v>11.652699999999999</v>
    <v>11.642799999999999</v>
    <v>11.524699999999999</v>
    <v>11.278700000000001</v>
    <v>11.278700000000001</v>
    <v>11.091699999999999</v>
    <v>10.8161</v>
    <v>11.0228</v>
    <v>11.0228</v>
    <v>11.190099999999999</v>
    <v>10.855499999999999</v>
    <v>11.160600000000001</v>
    <v>11.2098</v>
    <v>11.3673</v>
    <v>11.5936</v>
    <v>11.534599999999999</v>
    <v>11.9086</v>
    <v>11.947900000000001</v>
    <v>11.406599999999999</v>
    <v>11.879099999999999</v>
    <v>12.5975</v>
    <v>12.627000000000001</v>
    <v>12.4794</v>
    <v>12.774699999999999</v>
    <v>12.4794</v>
    <v>12.3613</v>
    <v>12.321899999999999</v>
    <v>12.105399999999999</v>
    <v>12.0562</v>
    <v>11.947900000000001</v>
    <v>11.9283</v>
    <v>11.947900000000001</v>
    <v>11.760999999999999</v>
    <v>11.8102</v>
    <v>12.105399999999999</v>
    <v>12.2432</v>
    <v>12.253</v>
    <v>12.538500000000001</v>
    <v>12.381</v>
    <v>12.184100000000001</v>
    <v>12.213699999999999</v>
    <v>11.987299999999999</v>
    <v>11.9184</v>
    <v>11.9184</v>
    <v>12.174300000000001</v>
    <v>11.8889</v>
    <v>11.869199999999999</v>
    <v>11.987299999999999</v>
    <v>12.105399999999999</v>
    <v>12.6959</v>
    <v>12.7156</v>
    <v>12.7058</v>
    <v>12.6959</v>
    <v>12.2432</v>
    <v>12.853400000000001</v>
    <v>13.069900000000001</v>
    <v>13.079800000000001</v>
    <v>13.069900000000001</v>
    <v>13.434100000000001</v>
    <v>13.000999999999999</v>
    <v>13.069900000000001</v>
    <v>13.197900000000001</v>
    <v>13.325799999999999</v>
    <v>12.853400000000001</v>
    <v>12.8337</v>
    <v>12.410500000000001</v>
    <v>12.0365</v>
    <v>11.8987</v>
    <v>11.849500000000001</v>
    <v>11.869199999999999</v>
    <v>11.947900000000001</v>
    <v>12.6762</v>
    <v>12.735300000000001</v>
    <v>12.745100000000001</v>
    <v>12.8337</v>
    <v>12.5877</v>
    <v>12.548299999999999</v>
    <v>11.957800000000001</v>
    <v>12.007</v>
    <v>12.292400000000001</v>
    <v>12.2334</v>
    <v>12.302300000000001</v>
    <v>11.977499999999999</v>
    <v>11.957800000000001</v>
    <v>11.9381</v>
    <v>11.8003</v>
    <v>12.1349</v>
    <v>12.2432</v>
    <v>12.1153</v>
    <v>12.184100000000001</v>
    <v>12.085699999999999</v>
    <v>11.957800000000001</v>
    <v>11.957800000000001</v>
    <v>11.839700000000001</v>
    <v>11.9184</v>
    <v>11.967599999999999</v>
    <v>11.495200000000001</v>
    <v>11.3771</v>
    <v>11.5838</v>
    <v>11.9381</v>
    <v>11.997199999999999</v>
    <v>11.839700000000001</v>
    <v>11.879099999999999</v>
    <v>11.879099999999999</v>
    <v>11.957800000000001</v>
    <v>12.184100000000001</v>
    <v>11.9184</v>
    <v>11.8889</v>
    <v>11.751099999999999</v>
    <v>11.524699999999999</v>
    <v>11.6625</v>
    <v>11.5936</v>
    <v>11.751099999999999</v>
    <v>11.652699999999999</v>
    <v>12.0365</v>
    <v>11.8987</v>
    <v>11.9184</v>
    <v>12.0365</v>
    <v>12.3416</v>
    <v>12.5581</v>
    <v>12.666399999999999</v>
    <v>12.666399999999999</v>
    <v>12.636900000000001</v>
    <v>12.774699999999999</v>
    <v>12.6959</v>
    <v>12.9617</v>
    <v>13.2569</v>
    <v>13.808</v>
    <v>14.004899999999999</v>
    <v>14.1624</v>
    <v>14.2509</v>
    <v>14.319800000000001</v>
    <v>13.758800000000001</v>
    <v>13.896599999999999</v>
    <v>13.6112</v>
    <v>13.4537</v>
    <v>10.9834</v>
    <v>11.013</v>
    <v>10.835800000000001</v>
    <v>10.6685</v>
    <v>10.6488</v>
    <v>10.520899999999999</v>
    <v>9.8712999999999997</v>
    <v>9.5564</v>
    <v>9.6252999999999993</v>
    <v>9.6153999999999993</v>
    <v>9.9696999999999996</v>
    <v>9.9402000000000008</v>
    <v>9.7040000000000006</v>
    <v>9.9795999999999996</v>
    <v>10.019</v>
    <v>10.294499999999999</v>
    <v>10.3437</v>
    <v>10.5504</v>
    <v>10.510999999999999</v>
    <v>10.6784</v>
    <v>10.747199999999999</v>
    <v>11.091699999999999</v>
    <v>10.934200000000001</v>
    <v>10.963800000000001</v>
    <v>10.8653</v>
    <v>10.934200000000001</v>
    <v>11.013</v>
    <v>10.8063</v>
    <v>10.7768</v>
    <v>10.599600000000001</v>
    <v>10.412599999999999</v>
    <v>10.491400000000001</v>
    <v>10.156700000000001</v>
    <v>10.284700000000001</v>
    <v>10.452</v>
    <v>10.520899999999999</v>
    <v>10.629099999999999</v>
    <v>10.727600000000001</v>
    <v>10.8063</v>
    <v>10.747199999999999</v>
    <v>10.7079</v>
    <v>10.737399999999999</v>
    <v>10.698</v>
    <v>10.2552</v>
    <v>10.510999999999999</v>
    <v>10.609500000000001</v>
    <v>10.392899999999999</v>
    <v>10.5799</v>
    <v>10.3142</v>
    <v>10.284700000000001</v>
    <v>10.402799999999999</v>
    <v>10.324</v>
    <v>10.324</v>
    <v>10.452</v>
    <v>10.510999999999999</v>
    <v>10.5504</v>
    <v>10.747199999999999</v>
    <v>10.6685</v>
    <v>10.855499999999999</v>
    <v>10.8949</v>
    <v>10.9244</v>
    <v>10.7079</v>
    <v>10.934200000000001</v>
    <v>10.885</v>
    <v>11.062200000000001</v>
    <v>10.8949</v>
    <v>11.190099999999999</v>
    <v>10.2453</v>
    <v>10.304399999999999</v>
    <v>10.1272</v>
    <v>10.058299999999999</v>
    <v>10.196099999999999</v>
    <v>10.4323</v>
    <v>11.013</v>
    <v>10.7866</v>
    <v>10.7965</v>
    <v>11.052300000000001</v>
    <v>10.9244</v>
    <v>10.9244</v>
    <v>10.8949</v>
    <v>10.835800000000001</v>
    <v>11.0327</v>
    <v>10.8752</v>
    <v>10.5603</v>
    <v>10.629099999999999</v>
    <v>11.0031</v>
    <v>11.2197</v>
    <v>10.9244</v>
    <v>10.9244</v>
    <v>10.953900000000001</v>
    <v>10.8063</v>
    <v>10.6488</v>
    <v>10.5701</v>
    <v>10.274800000000001</v>
    <v>10.3437</v>
    <v>10.4323</v>
    <v>10.392899999999999</v>
    <v>10.2453</v>
    <v>10.2256</v>
    <v>10.2256</v>
    <v>9.8320000000000007</v>
    <v>9.8123000000000005</v>
    <v>9.5366999999999997</v>
    <v>9.5859000000000005</v>
    <v>9.7236999999999991</v>
    <v>9.7433999999999994</v>
    <v>9.8614999999999995</v>
    <v>9.9107000000000003</v>
    <v>9.8712999999999997</v>
    <v>9.7236999999999991</v>
    <v>9.7433999999999994</v>
    <v>9.4972999999999992</v>
    <v>9.7236999999999991</v>
    <v>9.7630999999999997</v>
    <v>9.6056000000000008</v>
    <v>9.5859000000000005</v>
    <v>9.4972999999999992</v>
    <v>9.5564</v>
    <v>9.6252999999999993</v>
    <v>9.7926000000000002</v>
    <v>9.8515999999999995</v>
    <v>10.019</v>
    <v>10.265000000000001</v>
    <v>9.8712999999999997</v>
    <v>9.9992999999999999</v>
    <v>9.9598999999999993</v>
    <v>10.2158</v>
    <v>9.9205000000000005</v>
    <v>10.048500000000001</v>
    <v>9.9992999999999999</v>
    <v>9.9205000000000005</v>
    <v>9.7334999999999994</v>
    <v>9.9992999999999999</v>
    <v>9.8515999999999995</v>
    <v>9.1135000000000002</v>
    <v>9.0937999999999999</v>
    <v>9.0937999999999999</v>
    <v>9.0642999999999994</v>
    <v>9.0839999999999996</v>
    <v>9.2020999999999997</v>
    <v>9.33</v>
    <v>9.2899999999999991</v>
    <v>9.34</v>
    <v>9.39</v>
    <v>9.2799999999999994</v>
    <v>9.35</v>
    <v>9.42</v>
    <v>9.4700000000000006</v>
    <v>9.2899999999999991</v>
    <v>9.5500000000000007</v>
    <v>9.39</v>
    <v>9.1199999999999992</v>
    <v>9.65</v>
    <v>9.61</v>
    <v>9.9</v>
    <v>9.9600000000000009</v>
    <v>9.69</v>
    <v>9.59</v>
    <v>9.5299999999999994</v>
    <v>9.73</v>
    <v>9.92</v>
    <v>9.9499999999999993</v>
    <v>10.17</v>
    <v>10.01</v>
    <v>10</v>
    <v>10.25</v>
    <v>10.29</v>
    <v>10.3</v>
    <v>9.9</v>
    <v>9.7200000000000006</v>
    <v>10.029999999999999</v>
    <v>9.94</v>
    <v>10.15</v>
    <v>9.5399999999999991</v>
    <v>9.58</v>
    <v>9.24</v>
    <v>8.69</v>
    <v>9.5</v>
    <v>9.14</v>
    <v>9.33</v>
    <v>9.7100000000000009</v>
    <v>9.4499999999999993</v>
    <v>9.4</v>
    <v>9.6300000000000008</v>
    <v>9.4700000000000006</v>
    <v>9.65</v>
    <v>9.7799999999999994</v>
    <v>10.06</v>
    <v>10.039999999999999</v>
    <v>10.02</v>
    <v>10.15</v>
    <v>10.01</v>
    <v>10.18</v>
    <v>10.28</v>
    <v>10.17</v>
    <v>10.44</v>
    <v>10.28</v>
    <v>10.28</v>
    <v>10.43</v>
    <v>10.55</v>
    <v>10.6</v>
    <v>10.65</v>
    <v>10.75</v>
    <v>10.8</v>
    <v>10.75</v>
    <v>10.72</v>
    <v>10.48</v>
    <v>10.44</v>
    <v>10.36</v>
    <v>10.31</v>
    <v>10.17</v>
    <v>10.220000000000001</v>
    <v>10.38</v>
    <v>9.98</v>
    <v>10.19</v>
    <v>10.24</v>
    <v>10.1</v>
    <v>10.26</v>
    <v>10.34</v>
    <v>10.6</v>
    <v>10.66</v>
    <v>10.53</v>
    <v>10.43</v>
    <v>10.62</v>
    <v>10.42</v>
    <v>10.43</v>
    <v>10.59</v>
    <v>10.75</v>
    <v>10.73</v>
    <v>10.48</v>
    <v>10.63</v>
    <v>10.8</v>
    <v>10.85</v>
    <v>11.35</v>
    <v>11.77</v>
    <v>11.81</v>
    <v>11.59</v>
    <v>11.68</v>
    <v>11.83</v>
    <v>11.91</v>
    <v>11.78</v>
    <v>11.88</v>
    <v>11.57</v>
    <v>11.24</v>
    <v>11.15</v>
    <v>11.16</v>
    <v>11.31</v>
    <v>11.19</v>
    <v>11.38</v>
    <v>11.26</v>
    <v>11.47</v>
    <v>11.28</v>
    <v>11.08</v>
    <v>10.87</v>
    <v>11.07</v>
    <v>10.82</v>
    <v>10.95</v>
    <v>11.06</v>
    <v>11.21</v>
    <v>11.28</v>
    <v>11.32</v>
    <v>11.14</v>
    <v>11.25</v>
    <v>11.44</v>
    <v>11.44</v>
    <v>11.44</v>
    <v>11.46</v>
    <v>11.58</v>
    <v>11.49</v>
    <v>11.33</v>
    <v>11.74</v>
    <v>11.82</v>
    <v>11.84</v>
    <v>11.91</v>
    <v>11.71</v>
    <v>11.77</v>
    <v>11.72</v>
    <v>11.62</v>
    <v>11.68</v>
    <v>11.74</v>
    <v>11.69</v>
    <v>11.49</v>
    <v>11.42</v>
    <v>11.76</v>
    <v>11.68</v>
    <v>11.68</v>
    <v>11.61</v>
    <v>11.66</v>
    <v>11.74</v>
    <v>11.62</v>
    <v>11.66</v>
    <v>11.73</v>
    <v>11.63</v>
    <v>11.62</v>
    <v>12.01</v>
    <v>12.09</v>
    <v>11.96</v>
    <v>12.27</v>
    <v>12.22</v>
    <v>12.67</v>
    <v>12.7</v>
    <v>11.92</v>
    <v>11.74</v>
    <v>11.5</v>
    <v>11.41</v>
    <v>11.54</v>
    <v>11.65</v>
    <v>11.76</v>
    <v>11.74</v>
    <v>11.92</v>
    <v>11.99</v>
    <v>12.56</v>
    <v>12.43</v>
    <v>12.34</v>
    <v>13.84</v>
    <v>13.26</v>
    <v>13.13</v>
    <v>13.24</v>
    <v>13.06</v>
    <v>13.13</v>
    <v>13.01</v>
    <v>12.79</v>
    <v>13.11</v>
    <v>13.12</v>
    <v>13.21</v>
    <v>13.16</v>
    <v>13.3</v>
    <v>13.45</v>
    <v>13.28</v>
    <v>13.19</v>
    <v>12.88</v>
    <v>13.02</v>
    <v>12.9</v>
    <v>12.41</v>
    <v>12.83</v>
    <v>12.96</v>
    <v>13.17</v>
    <v>13.19</v>
    <v>13.28</v>
    <v>13.16</v>
    <v>12.96</v>
    <v>13.09</v>
    <v>13.14</v>
    <v>13.03</v>
    <v>13.14</v>
    <v>13.08</v>
    <v>13.41</v>
    <v>13.63</v>
    <v>13.76</v>
    <v>13.65</v>
    <v>13.67</v>
    <v>13.31</v>
    <v>13.32</v>
    <v>13.47</v>
    <v>13.46</v>
    <v>13.29</v>
    <v>13.36</v>
    <v>13.31</v>
    <v>13.28</v>
    <v>13.23</v>
    <v>13.12</v>
    <v>13.34</v>
    <v>13.47</v>
    <v>13.8</v>
    <v>13.74</v>
    <v>14.4</v>
    <v>14.2</v>
    <v>14.03</v>
    <v>13.98</v>
    <v>13.84</v>
    <v>13.81</v>
    <v>13.6</v>
    <v>13.28</v>
    <v>13.77</v>
  </a>
  <a r="1" c="515">
    <v>48258287</v>
    <v>71247271</v>
    <v>55803125</v>
    <v>45158186</v>
    <v>42181681</v>
    <v>50332939</v>
    <v>38142654</v>
    <v>49474644</v>
    <v>55914653</v>
    <v>45934394</v>
    <v>53517972</v>
    <v>72819169</v>
    <v>62126183</v>
    <v>46210666</v>
    <v>46195994</v>
    <v>60014041</v>
    <v>50150102</v>
    <v>36413091</v>
    <v>59185894</v>
    <v>71341973</v>
    <v>75757334</v>
    <v>82368886</v>
    <v>74306461</v>
    <v>82329199</v>
    <v>100859525</v>
    <v>139429779</v>
    <v>69757508</v>
    <v>48415582</v>
    <v>54905099</v>
    <v>68999272</v>
    <v>53830351</v>
    <v>58741057</v>
    <v>43923435</v>
    <v>45307818</v>
    <v>42583940</v>
    <v>37574904</v>
    <v>32668885</v>
    <v>40888150</v>
    <v>37095660</v>
    <v>52274888</v>
    <v>43791267</v>
    <v>49545241</v>
    <v>83187760</v>
    <v>48666110</v>
    <v>49619440</v>
    <v>39597447</v>
    <v>55603423</v>
    <v>35700139</v>
    <v>31747487</v>
    <v>51408559</v>
    <v>53465690</v>
    <v>89672657</v>
    <v>37187525</v>
    <v>33193783</v>
    <v>68810086</v>
    <v>56719828</v>
    <v>33670128</v>
    <v>39691432</v>
    <v>68219459</v>
    <v>54416665</v>
    <v>62840502</v>
    <v>36475374</v>
    <v>43339026</v>
    <v>58423124</v>
    <v>68902415</v>
    <v>47691847</v>
    <v>30381177</v>
    <v>36114022</v>
    <v>52221117</v>
    <v>39000098</v>
    <v>53197923</v>
    <v>60440565</v>
    <v>57298622</v>
    <v>44348170</v>
    <v>40543496</v>
    <v>40260763</v>
    <v>87852513</v>
    <v>63816643</v>
    <v>75708121</v>
    <v>88341687</v>
    <v>58178174</v>
    <v>51195392</v>
    <v>77110381</v>
    <v>49569150</v>
    <v>47622016</v>
    <v>48226256</v>
    <v>30259005</v>
    <v>48876141</v>
    <v>38790820</v>
    <v>29571666</v>
    <v>52274798</v>
    <v>61942205</v>
    <v>40623062</v>
    <v>51555472</v>
    <v>42169353</v>
    <v>24397249</v>
    <v>27453391</v>
    <v>33379033</v>
    <v>35972078</v>
    <v>44290739</v>
    <v>41496929</v>
    <v>58383693</v>
    <v>46495023</v>
    <v>42928643</v>
    <v>58125292</v>
    <v>54648611</v>
    <v>42200709</v>
    <v>46241341</v>
    <v>28744611</v>
    <v>32447312</v>
    <v>69445791</v>
    <v>48976579</v>
    <v>58034334</v>
    <v>42088131</v>
    <v>50175869</v>
    <v>32484032</v>
    <v>29489885</v>
    <v>54327431</v>
    <v>51008883</v>
    <v>59376244</v>
    <v>39956038</v>
    <v>42092512</v>
    <v>48853093</v>
    <v>66974226</v>
    <v>57055266</v>
    <v>47745717</v>
    <v>27326624</v>
    <v>32097060</v>
    <v>45058985</v>
    <v>41389664</v>
    <v>36889110</v>
    <v>52270356</v>
    <v>86985811</v>
    <v>66698457</v>
    <v>52876644</v>
    <v>59020806</v>
    <v>59010550</v>
    <v>77128729</v>
    <v>60067060</v>
    <v>87278412</v>
    <v>83083058</v>
    <v>263654976</v>
    <v>80879390</v>
    <v>93141028</v>
    <v>70451576</v>
    <v>76691231</v>
    <v>61489217</v>
    <v>112482477</v>
    <v>117452283</v>
    <v>113615036</v>
    <v>70599311</v>
    <v>74181170</v>
    <v>49646248</v>
    <v>57020785</v>
    <v>45485671</v>
    <v>37621598</v>
    <v>42266565</v>
    <v>34691448</v>
    <v>41726416</v>
    <v>32989900</v>
    <v>49730626</v>
    <v>51703344</v>
    <v>65651268</v>
    <v>53923399</v>
    <v>45561783</v>
    <v>36011867</v>
    <v>45712339</v>
    <v>45700029</v>
    <v>50411047</v>
    <v>48670623</v>
    <v>51364527</v>
    <v>48272554</v>
    <v>39853827</v>
    <v>64032208</v>
    <v>56737819</v>
    <v>44511518</v>
    <v>35750388</v>
    <v>35361785</v>
    <v>52905572</v>
    <v>55901684</v>
    <v>53279309</v>
    <v>69915206</v>
    <v>41071014</v>
    <v>38353024</v>
    <v>75300877</v>
    <v>52234838</v>
    <v>46200502</v>
    <v>60669503</v>
    <v>64991124</v>
    <v>52284590</v>
    <v>45172948</v>
    <v>46706702</v>
    <v>38620085</v>
    <v>47100861</v>
    <v>41056505</v>
    <v>40092602</v>
    <v>32428740</v>
    <v>42614309</v>
    <v>53950571</v>
    <v>47751843</v>
    <v>38221854</v>
    <v>26494019</v>
    <v>41667733</v>
    <v>52426994</v>
    <v>37935574</v>
    <v>45455550</v>
    <v>39749580</v>
    <v>99541758</v>
    <v>158739237</v>
    <v>49639031</v>
    <v>73257640</v>
    <v>44171064</v>
    <v>56213140</v>
    <v>50101574</v>
    <v>102401767</v>
    <v>56298581</v>
    <v>46194234</v>
    <v>57540749</v>
    <v>45643469</v>
    <v>56037372</v>
    <v>57693602</v>
    <v>59842137</v>
    <v>48576111</v>
    <v>54083318</v>
    <v>69736527</v>
    <v>54268047</v>
    <v>83883698</v>
    <v>64489537</v>
    <v>48221639</v>
    <v>28931888</v>
    <v>29400275</v>
    <v>50838648</v>
    <v>44609982</v>
    <v>67854157</v>
    <v>69257705</v>
    <v>57130816</v>
    <v>54085688</v>
    <v>45808999</v>
    <v>61459387</v>
    <v>39050396</v>
    <v>41212663</v>
    <v>97811802</v>
    <v>77433549</v>
    <v>85552952</v>
    <v>82971642</v>
    <v>89115347</v>
    <v>51460734</v>
    <v>29550633</v>
    <v>36534079</v>
    <v>53750246</v>
    <v>47874103</v>
    <v>54973840</v>
    <v>68235708</v>
    <v>78487552</v>
    <v>64867023</v>
    <v>63407119</v>
    <v>62670278</v>
    <v>74552875</v>
    <v>67084313</v>
    <v>46150035</v>
    <v>69778271</v>
    <v>46505753</v>
    <v>61780110</v>
    <v>66726387</v>
    <v>65993172</v>
    <v>57145140</v>
    <v>43598838</v>
    <v>74257329</v>
    <v>93659287</v>
    <v>71111881</v>
    <v>70782906</v>
    <v>105393560</v>
    <v>133542924</v>
    <v>69821048</v>
    <v>126184045</v>
    <v>226339032</v>
    <v>143116839</v>
    <v>73328062</v>
    <v>55726170</v>
    <v>68421994</v>
    <v>73218126</v>
    <v>54642783</v>
    <v>62175764</v>
    <v>50191726</v>
    <v>39787792</v>
    <v>58437662</v>
    <v>72562637</v>
    <v>88876827</v>
    <v>87948083</v>
    <v>70518755</v>
    <v>137992574</v>
    <v>154435905</v>
    <v>167499954</v>
    <v>157774904</v>
    <v>136680746</v>
    <v>150644884</v>
    <v>167183809</v>
    <v>210126974</v>
    <v>129994592</v>
    <v>137747632</v>
    <v>91313759</v>
    <v>98583068</v>
    <v>102730930</v>
    <v>124697379</v>
    <v>109103733</v>
    <v>240638631</v>
    <v>102847191</v>
    <v>83674856</v>
    <v>140975582</v>
    <v>229032469</v>
    <v>136868327</v>
    <v>139951868</v>
    <v>135388684</v>
    <v>136908485</v>
    <v>220270980</v>
    <v>177466228</v>
    <v>274938497</v>
    <v>199286778</v>
    <v>199662988</v>
    <v>163535434</v>
    <v>146073701</v>
    <v>189955001</v>
    <v>125469023</v>
    <v>133804943</v>
    <v>129204565</v>
    <v>94138882</v>
    <v>121387081</v>
    <v>158691527</v>
    <v>87031042</v>
    <v>88682432</v>
    <v>77051524</v>
    <v>141980313</v>
    <v>136406235</v>
    <v>126532486</v>
    <v>82228655</v>
    <v>105766259</v>
    <v>131814035</v>
    <v>116936644</v>
    <v>107173416</v>
    <v>76350701</v>
    <v>102035764</v>
    <v>83671012</v>
    <v>84453089</v>
    <v>71096528</v>
    <v>64913005</v>
    <v>60195734</v>
    <v>61063828</v>
    <v>89090498</v>
    <v>94081143</v>
    <v>80519024</v>
    <v>89066847</v>
    <v>102335584</v>
    <v>101688883</v>
    <v>152191621</v>
    <v>170340783</v>
    <v>121584328</v>
    <v>123191229</v>
    <v>133269444</v>
    <v>105916694</v>
    <v>63638928</v>
    <v>87955501</v>
    <v>93094876</v>
    <v>76393291</v>
    <v>90106172</v>
    <v>75195179</v>
    <v>100969375</v>
    <v>82770168</v>
    <v>116743402</v>
    <v>77576511</v>
    <v>77244413</v>
    <v>91927326</v>
    <v>88416356</v>
    <v>182008244</v>
    <v>88472231</v>
    <v>140150738</v>
    <v>122331588</v>
    <v>60311463</v>
    <v>73842100</v>
    <v>74190215</v>
    <v>63886882</v>
    <v>67263023</v>
    <v>65340737</v>
    <v>62098074</v>
    <v>65101902</v>
    <v>107978145</v>
    <v>70345257</v>
    <v>68812553</v>
    <v>65515630</v>
    <v>79403755</v>
    <v>76163207</v>
    <v>63557796</v>
    <v>52312257</v>
    <v>54173647</v>
    <v>58371483</v>
    <v>79866858</v>
    <v>101090884</v>
    <v>73541489</v>
    <v>56696828</v>
    <v>58864252</v>
    <v>59519843</v>
    <v>71774972</v>
    <v>48465317</v>
    <v>84332966</v>
    <v>64021039</v>
    <v>63823345</v>
    <v>52469244</v>
    <v>46141355</v>
    <v>37113805</v>
    <v>58020177</v>
    <v>46469853</v>
    <v>51779301</v>
    <v>58538704</v>
    <v>45038754</v>
    <v>48613273</v>
    <v>40381477</v>
    <v>47723668</v>
    <v>44069734</v>
    <v>57704182</v>
    <v>47728660</v>
    <v>33136650</v>
    <v>47547831</v>
    <v>39734522</v>
    <v>41262743</v>
    <v>47021328</v>
    <v>64196118</v>
    <v>50100809</v>
    <v>47942431</v>
    <v>58064970</v>
    <v>68585945</v>
    <v>55040063</v>
    <v>71676341</v>
    <v>58432710</v>
    <v>55667552</v>
    <v>60193780</v>
    <v>67656337</v>
    <v>117681848</v>
    <v>83325012</v>
    <v>70765048</v>
    <v>73578427</v>
    <v>74530532</v>
    <v>100778558</v>
    <v>90544937</v>
    <v>154390154</v>
    <v>78469653</v>
    <v>70320483</v>
    <v>84595402</v>
    <v>73939384</v>
    <v>89117946</v>
    <v>88960726</v>
    <v>108701202</v>
    <v>107633522</v>
    <v>77878936</v>
    <v>297153158</v>
    <v>415062173</v>
    <v>479840312</v>
    <v>298366862</v>
    <v>140859004</v>
    <v>96738451</v>
    <v>127512240</v>
    <v>80766301</v>
    <v>68861988</v>
    <v>80419403</v>
    <v>70360611</v>
    <v>79134307</v>
    <v>82291049</v>
    <v>80011318</v>
    <v>62051157</v>
    <v>79742405</v>
    <v>61840461</v>
    <v>71481613</v>
    <v>67932422</v>
    <v>73404381</v>
    <v>70215400</v>
    <v>49619260</v>
    <v>95861863</v>
    <v>74048860</v>
    <v>52936240</v>
    <v>52884970</v>
    <v>44942203</v>
    <v>29536180</v>
    <v>51593955</v>
    <v>57641703</v>
    <v>45364666</v>
    <v>47554803</v>
    <v>54099362</v>
    <v>45580830</v>
    <v>33349986</v>
    <v>72210701</v>
    <v>59012304</v>
    <v>48337280</v>
    <v>53577255</v>
    <v>69408875</v>
    <v>58320635</v>
    <v>52604828</v>
    <v>61640571</v>
    <v>31106109</v>
    <v>25440833</v>
    <v>14227582</v>
    <v>22471423</v>
    <v>24398306</v>
    <v>23002807</v>
    <v>26302260</v>
    <v>46366861</v>
    <v>50135246</v>
    <v>84534703</v>
    <v>50608950</v>
    <v>154276839</v>
    <v>68436178</v>
    <v>53443964</v>
    <v>58867535</v>
    <v>65318552</v>
    <v>44241477</v>
    <v>60750836</v>
    <v>67018098</v>
    <v>58160147</v>
  </a>
</arrayData>
</file>

<file path=xl/richData/rdrichvalue.xml><?xml version="1.0" encoding="utf-8"?>
<rvData xmlns="http://schemas.microsoft.com/office/spreadsheetml/2017/richdata" count="1401">
  <rv s="0">
    <fb>45293</fb>
    <v>0</v>
  </rv>
  <rv s="0">
    <fb>11.967599999999999</fb>
    <v>1</v>
  </rv>
  <rv s="0">
    <fb>48258287</fb>
    <v>2</v>
  </rv>
  <rv s="0">
    <fb>45294</fb>
    <v>0</v>
  </rv>
  <rv s="0">
    <fb>11.524699999999999</fb>
    <v>1</v>
  </rv>
  <rv s="0">
    <fb>71247271</fb>
    <v>2</v>
  </rv>
  <rv s="0">
    <fb>45295</fb>
    <v>0</v>
  </rv>
  <rv s="0">
    <fb>11.495200000000001</fb>
    <v>1</v>
  </rv>
  <rv s="0">
    <fb>55803125</fb>
    <v>2</v>
  </rv>
  <rv s="0">
    <fb>45296</fb>
    <v>0</v>
  </rv>
  <rv s="0">
    <fb>11.6625</fb>
    <v>1</v>
  </rv>
  <rv s="0">
    <fb>45158186</fb>
    <v>2</v>
  </rv>
  <rv s="0">
    <fb>45299</fb>
    <v>0</v>
  </rv>
  <rv s="0">
    <fb>11.7806</fb>
    <v>1</v>
  </rv>
  <rv s="0">
    <fb>42181681</fb>
    <v>2</v>
  </rv>
  <rv s="0">
    <fb>45300</fb>
    <v>0</v>
  </rv>
  <rv s="0">
    <fb>11.652699999999999</fb>
    <v>1</v>
  </rv>
  <rv s="0">
    <fb>50332939</fb>
    <v>2</v>
  </rv>
  <rv s="0">
    <fb>45301</fb>
    <v>0</v>
  </rv>
  <rv s="0">
    <fb>11.642799999999999</fb>
    <v>1</v>
  </rv>
  <rv s="0">
    <fb>38142654</fb>
    <v>2</v>
  </rv>
  <rv s="0">
    <fb>45302</fb>
    <v>0</v>
  </rv>
  <rv s="0">
    <fb>49474644</fb>
    <v>2</v>
  </rv>
  <rv s="0">
    <fb>45303</fb>
    <v>0</v>
  </rv>
  <rv s="0">
    <fb>11.278700000000001</fb>
    <v>1</v>
  </rv>
  <rv s="0">
    <fb>55914653</fb>
    <v>2</v>
  </rv>
  <rv s="0">
    <fb>45307</fb>
    <v>0</v>
  </rv>
  <rv s="0">
    <fb>45934394</fb>
    <v>2</v>
  </rv>
  <rv s="0">
    <fb>45308</fb>
    <v>0</v>
  </rv>
  <rv s="0">
    <fb>11.091699999999999</fb>
    <v>1</v>
  </rv>
  <rv s="0">
    <fb>53517972</fb>
    <v>2</v>
  </rv>
  <rv s="0">
    <fb>45309</fb>
    <v>0</v>
  </rv>
  <rv s="0">
    <fb>10.8161</fb>
    <v>1</v>
  </rv>
  <rv s="0">
    <fb>72819169</fb>
    <v>2</v>
  </rv>
  <rv s="0">
    <fb>45310</fb>
    <v>0</v>
  </rv>
  <rv s="0">
    <fb>11.0228</fb>
    <v>1</v>
  </rv>
  <rv s="0">
    <fb>62126183</fb>
    <v>2</v>
  </rv>
  <rv s="0">
    <fb>45313</fb>
    <v>0</v>
  </rv>
  <rv s="0">
    <fb>46210666</fb>
    <v>2</v>
  </rv>
  <rv s="0">
    <fb>45314</fb>
    <v>0</v>
  </rv>
  <rv s="0">
    <fb>11.190099999999999</fb>
    <v>1</v>
  </rv>
  <rv s="0">
    <fb>46195994</fb>
    <v>2</v>
  </rv>
  <rv s="0">
    <fb>45315</fb>
    <v>0</v>
  </rv>
  <rv s="0">
    <fb>10.855499999999999</fb>
    <v>1</v>
  </rv>
  <rv s="0">
    <fb>60014041</fb>
    <v>2</v>
  </rv>
  <rv s="0">
    <fb>45316</fb>
    <v>0</v>
  </rv>
  <rv s="0">
    <fb>11.160600000000001</fb>
    <v>1</v>
  </rv>
  <rv s="0">
    <fb>50150102</fb>
    <v>2</v>
  </rv>
  <rv s="0">
    <fb>45317</fb>
    <v>0</v>
  </rv>
  <rv s="0">
    <fb>11.2098</fb>
    <v>1</v>
  </rv>
  <rv s="0">
    <fb>36413091</fb>
    <v>2</v>
  </rv>
  <rv s="0">
    <fb>45320</fb>
    <v>0</v>
  </rv>
  <rv s="0">
    <fb>11.3673</fb>
    <v>1</v>
  </rv>
  <rv s="0">
    <fb>59185894</fb>
    <v>2</v>
  </rv>
  <rv s="0">
    <fb>45321</fb>
    <v>0</v>
  </rv>
  <rv s="0">
    <fb>11.5936</fb>
    <v>1</v>
  </rv>
  <rv s="0">
    <fb>71341973</fb>
    <v>2</v>
  </rv>
  <rv s="0">
    <fb>45322</fb>
    <v>0</v>
  </rv>
  <rv s="0">
    <fb>11.534599999999999</fb>
    <v>1</v>
  </rv>
  <rv s="0">
    <fb>75757334</fb>
    <v>2</v>
  </rv>
  <rv s="0">
    <fb>45323</fb>
    <v>0</v>
  </rv>
  <rv s="0">
    <fb>11.9086</fb>
    <v>1</v>
  </rv>
  <rv s="0">
    <fb>82368886</fb>
    <v>2</v>
  </rv>
  <rv s="0">
    <fb>45324</fb>
    <v>0</v>
  </rv>
  <rv s="0">
    <fb>11.947900000000001</fb>
    <v>1</v>
  </rv>
  <rv s="0">
    <fb>74306461</fb>
    <v>2</v>
  </rv>
  <rv s="0">
    <fb>45327</fb>
    <v>0</v>
  </rv>
  <rv s="0">
    <fb>11.406599999999999</fb>
    <v>1</v>
  </rv>
  <rv s="0">
    <fb>82329199</fb>
    <v>2</v>
  </rv>
  <rv s="0">
    <fb>45328</fb>
    <v>0</v>
  </rv>
  <rv s="0">
    <fb>11.879099999999999</fb>
    <v>1</v>
  </rv>
  <rv s="0">
    <fb>100859525</fb>
    <v>2</v>
  </rv>
  <rv s="0">
    <fb>45329</fb>
    <v>0</v>
  </rv>
  <rv s="0">
    <fb>12.5975</fb>
    <v>1</v>
  </rv>
  <rv s="0">
    <fb>139429779</fb>
    <v>2</v>
  </rv>
  <rv s="0">
    <fb>45330</fb>
    <v>0</v>
  </rv>
  <rv s="0">
    <fb>12.627000000000001</fb>
    <v>1</v>
  </rv>
  <rv s="0">
    <fb>69757508</fb>
    <v>2</v>
  </rv>
  <rv s="0">
    <fb>45331</fb>
    <v>0</v>
  </rv>
  <rv s="0">
    <fb>12.4794</fb>
    <v>1</v>
  </rv>
  <rv s="0">
    <fb>48415582</fb>
    <v>2</v>
  </rv>
  <rv s="0">
    <fb>45334</fb>
    <v>0</v>
  </rv>
  <rv s="0">
    <fb>12.774699999999999</fb>
    <v>1</v>
  </rv>
  <rv s="0">
    <fb>54905099</fb>
    <v>2</v>
  </rv>
  <rv s="0">
    <fb>45335</fb>
    <v>0</v>
  </rv>
  <rv s="0">
    <fb>68999272</fb>
    <v>2</v>
  </rv>
  <rv s="0">
    <fb>45336</fb>
    <v>0</v>
  </rv>
  <rv s="0">
    <fb>12.3613</fb>
    <v>1</v>
  </rv>
  <rv s="0">
    <fb>53830351</fb>
    <v>2</v>
  </rv>
  <rv s="0">
    <fb>45337</fb>
    <v>0</v>
  </rv>
  <rv s="0">
    <fb>12.321899999999999</fb>
    <v>1</v>
  </rv>
  <rv s="0">
    <fb>58741057</fb>
    <v>2</v>
  </rv>
  <rv s="0">
    <fb>45338</fb>
    <v>0</v>
  </rv>
  <rv s="0">
    <fb>12.105399999999999</fb>
    <v>1</v>
  </rv>
  <rv s="0">
    <fb>43923435</fb>
    <v>2</v>
  </rv>
  <rv s="0">
    <fb>45342</fb>
    <v>0</v>
  </rv>
  <rv s="0">
    <fb>12.0562</fb>
    <v>1</v>
  </rv>
  <rv s="0">
    <fb>45307818</fb>
    <v>2</v>
  </rv>
  <rv s="0">
    <fb>45343</fb>
    <v>0</v>
  </rv>
  <rv s="0">
    <fb>42583940</fb>
    <v>2</v>
  </rv>
  <rv s="0">
    <fb>45344</fb>
    <v>0</v>
  </rv>
  <rv s="0">
    <fb>11.9283</fb>
    <v>1</v>
  </rv>
  <rv s="0">
    <fb>37574904</fb>
    <v>2</v>
  </rv>
  <rv s="0">
    <fb>45345</fb>
    <v>0</v>
  </rv>
  <rv s="0">
    <fb>32668885</fb>
    <v>2</v>
  </rv>
  <rv s="0">
    <fb>45348</fb>
    <v>0</v>
  </rv>
  <rv s="0">
    <fb>11.760999999999999</fb>
    <v>1</v>
  </rv>
  <rv s="0">
    <fb>40888150</fb>
    <v>2</v>
  </rv>
  <rv s="0">
    <fb>45349</fb>
    <v>0</v>
  </rv>
  <rv s="0">
    <fb>11.8102</fb>
    <v>1</v>
  </rv>
  <rv s="0">
    <fb>37095660</fb>
    <v>2</v>
  </rv>
  <rv s="0">
    <fb>45350</fb>
    <v>0</v>
  </rv>
  <rv s="0">
    <fb>52274888</fb>
    <v>2</v>
  </rv>
  <rv s="0">
    <fb>45351</fb>
    <v>0</v>
  </rv>
  <rv s="0">
    <fb>12.2432</fb>
    <v>1</v>
  </rv>
  <rv s="0">
    <fb>43791267</fb>
    <v>2</v>
  </rv>
  <rv s="0">
    <fb>45352</fb>
    <v>0</v>
  </rv>
  <rv s="0">
    <fb>12.253</fb>
    <v>1</v>
  </rv>
  <rv s="0">
    <fb>49545241</fb>
    <v>2</v>
  </rv>
  <rv s="0">
    <fb>45355</fb>
    <v>0</v>
  </rv>
  <rv s="0">
    <fb>12.538500000000001</fb>
    <v>1</v>
  </rv>
  <rv s="0">
    <fb>83187760</fb>
    <v>2</v>
  </rv>
  <rv s="0">
    <fb>45356</fb>
    <v>0</v>
  </rv>
  <rv s="0">
    <fb>12.381</fb>
    <v>1</v>
  </rv>
  <rv s="0">
    <fb>48666110</fb>
    <v>2</v>
  </rv>
  <rv s="0">
    <fb>45357</fb>
    <v>0</v>
  </rv>
  <rv s="0">
    <fb>12.184100000000001</fb>
    <v>1</v>
  </rv>
  <rv s="0">
    <fb>49619440</fb>
    <v>2</v>
  </rv>
  <rv s="0">
    <fb>45358</fb>
    <v>0</v>
  </rv>
  <rv s="0">
    <fb>12.213699999999999</fb>
    <v>1</v>
  </rv>
  <rv s="0">
    <fb>39597447</fb>
    <v>2</v>
  </rv>
  <rv s="0">
    <fb>45359</fb>
    <v>0</v>
  </rv>
  <rv s="0">
    <fb>11.987299999999999</fb>
    <v>1</v>
  </rv>
  <rv s="0">
    <fb>55603423</fb>
    <v>2</v>
  </rv>
  <rv s="0">
    <fb>45362</fb>
    <v>0</v>
  </rv>
  <rv s="0">
    <fb>11.9184</fb>
    <v>1</v>
  </rv>
  <rv s="0">
    <fb>35700139</fb>
    <v>2</v>
  </rv>
  <rv s="0">
    <fb>45363</fb>
    <v>0</v>
  </rv>
  <rv s="0">
    <fb>31747487</fb>
    <v>2</v>
  </rv>
  <rv s="0">
    <fb>45364</fb>
    <v>0</v>
  </rv>
  <rv s="0">
    <fb>12.174300000000001</fb>
    <v>1</v>
  </rv>
  <rv s="0">
    <fb>51408559</fb>
    <v>2</v>
  </rv>
  <rv s="0">
    <fb>45365</fb>
    <v>0</v>
  </rv>
  <rv s="0">
    <fb>11.8889</fb>
    <v>1</v>
  </rv>
  <rv s="0">
    <fb>53465690</fb>
    <v>2</v>
  </rv>
  <rv s="0">
    <fb>45366</fb>
    <v>0</v>
  </rv>
  <rv s="0">
    <fb>11.869199999999999</fb>
    <v>1</v>
  </rv>
  <rv s="0">
    <fb>89672657</fb>
    <v>2</v>
  </rv>
  <rv s="0">
    <fb>45369</fb>
    <v>0</v>
  </rv>
  <rv s="0">
    <fb>37187525</fb>
    <v>2</v>
  </rv>
  <rv s="0">
    <fb>45370</fb>
    <v>0</v>
  </rv>
  <rv s="0">
    <fb>33193783</fb>
    <v>2</v>
  </rv>
  <rv s="0">
    <fb>45371</fb>
    <v>0</v>
  </rv>
  <rv s="0">
    <fb>12.6959</fb>
    <v>1</v>
  </rv>
  <rv s="0">
    <fb>68810086</fb>
    <v>2</v>
  </rv>
  <rv s="0">
    <fb>45372</fb>
    <v>0</v>
  </rv>
  <rv s="0">
    <fb>12.7156</fb>
    <v>1</v>
  </rv>
  <rv s="0">
    <fb>56719828</fb>
    <v>2</v>
  </rv>
  <rv s="0">
    <fb>45373</fb>
    <v>0</v>
  </rv>
  <rv s="0">
    <fb>12.7058</fb>
    <v>1</v>
  </rv>
  <rv s="0">
    <fb>33670128</fb>
    <v>2</v>
  </rv>
  <rv s="0">
    <fb>45376</fb>
    <v>0</v>
  </rv>
  <rv s="0">
    <fb>39691432</fb>
    <v>2</v>
  </rv>
  <rv s="0">
    <fb>45377</fb>
    <v>0</v>
  </rv>
  <rv s="0">
    <fb>68219459</fb>
    <v>2</v>
  </rv>
  <rv s="0">
    <fb>45378</fb>
    <v>0</v>
  </rv>
  <rv s="0">
    <fb>12.853400000000001</fb>
    <v>1</v>
  </rv>
  <rv s="0">
    <fb>54416665</fb>
    <v>2</v>
  </rv>
  <rv s="0">
    <fb>45379</fb>
    <v>0</v>
  </rv>
  <rv s="0">
    <fb>13.069900000000001</fb>
    <v>1</v>
  </rv>
  <rv s="0">
    <fb>62840502</fb>
    <v>2</v>
  </rv>
  <rv s="0">
    <fb>45383</fb>
    <v>0</v>
  </rv>
  <rv s="0">
    <fb>13.079800000000001</fb>
    <v>1</v>
  </rv>
  <rv s="0">
    <fb>36475374</fb>
    <v>2</v>
  </rv>
  <rv s="0">
    <fb>45384</fb>
    <v>0</v>
  </rv>
  <rv s="0">
    <fb>43339026</fb>
    <v>2</v>
  </rv>
  <rv s="0">
    <fb>45385</fb>
    <v>0</v>
  </rv>
  <rv s="0">
    <fb>13.434100000000001</fb>
    <v>1</v>
  </rv>
  <rv s="0">
    <fb>58423124</fb>
    <v>2</v>
  </rv>
  <rv s="0">
    <fb>45386</fb>
    <v>0</v>
  </rv>
  <rv s="0">
    <fb>13.000999999999999</fb>
    <v>1</v>
  </rv>
  <rv s="0">
    <fb>68902415</fb>
    <v>2</v>
  </rv>
  <rv s="0">
    <fb>45387</fb>
    <v>0</v>
  </rv>
  <rv s="0">
    <fb>47691847</fb>
    <v>2</v>
  </rv>
  <rv s="0">
    <fb>45390</fb>
    <v>0</v>
  </rv>
  <rv s="0">
    <fb>13.197900000000001</fb>
    <v>1</v>
  </rv>
  <rv s="0">
    <fb>30381177</fb>
    <v>2</v>
  </rv>
  <rv s="0">
    <fb>45391</fb>
    <v>0</v>
  </rv>
  <rv s="0">
    <fb>13.325799999999999</fb>
    <v>1</v>
  </rv>
  <rv s="0">
    <fb>36114022</fb>
    <v>2</v>
  </rv>
  <rv s="0">
    <fb>45392</fb>
    <v>0</v>
  </rv>
  <rv s="0">
    <fb>52221117</fb>
    <v>2</v>
  </rv>
  <rv s="0">
    <fb>45393</fb>
    <v>0</v>
  </rv>
  <rv s="0">
    <fb>12.8337</fb>
    <v>1</v>
  </rv>
  <rv s="0">
    <fb>39000098</fb>
    <v>2</v>
  </rv>
  <rv s="0">
    <fb>45394</fb>
    <v>0</v>
  </rv>
  <rv s="0">
    <fb>12.410500000000001</fb>
    <v>1</v>
  </rv>
  <rv s="0">
    <fb>53197923</fb>
    <v>2</v>
  </rv>
  <rv s="0">
    <fb>45397</fb>
    <v>0</v>
  </rv>
  <rv s="0">
    <fb>12.0365</fb>
    <v>1</v>
  </rv>
  <rv s="0">
    <fb>60440565</fb>
    <v>2</v>
  </rv>
  <rv s="0">
    <fb>45398</fb>
    <v>0</v>
  </rv>
  <rv s="0">
    <fb>11.8987</fb>
    <v>1</v>
  </rv>
  <rv s="0">
    <fb>57298622</fb>
    <v>2</v>
  </rv>
  <rv s="0">
    <fb>45399</fb>
    <v>0</v>
  </rv>
  <rv s="0">
    <fb>11.849500000000001</fb>
    <v>1</v>
  </rv>
  <rv s="0">
    <fb>44348170</fb>
    <v>2</v>
  </rv>
  <rv s="0">
    <fb>45400</fb>
    <v>0</v>
  </rv>
  <rv s="0">
    <fb>40543496</fb>
    <v>2</v>
  </rv>
  <rv s="0">
    <fb>45401</fb>
    <v>0</v>
  </rv>
  <rv s="0">
    <fb>40260763</fb>
    <v>2</v>
  </rv>
  <rv s="0">
    <fb>45404</fb>
    <v>0</v>
  </rv>
  <rv s="0">
    <fb>12.6762</fb>
    <v>1</v>
  </rv>
  <rv s="0">
    <fb>87852513</fb>
    <v>2</v>
  </rv>
  <rv s="0">
    <fb>45405</fb>
    <v>0</v>
  </rv>
  <rv s="0">
    <fb>12.735300000000001</fb>
    <v>1</v>
  </rv>
  <rv s="0">
    <fb>63816643</fb>
    <v>2</v>
  </rv>
  <rv s="0">
    <fb>45406</fb>
    <v>0</v>
  </rv>
  <rv s="0">
    <fb>12.745100000000001</fb>
    <v>1</v>
  </rv>
  <rv s="0">
    <fb>75708121</fb>
    <v>2</v>
  </rv>
  <rv s="0">
    <fb>45407</fb>
    <v>0</v>
  </rv>
  <rv s="0">
    <fb>88341687</fb>
    <v>2</v>
  </rv>
  <rv s="0">
    <fb>45408</fb>
    <v>0</v>
  </rv>
  <rv s="0">
    <fb>12.5877</fb>
    <v>1</v>
  </rv>
  <rv s="0">
    <fb>58178174</fb>
    <v>2</v>
  </rv>
  <rv s="0">
    <fb>45411</fb>
    <v>0</v>
  </rv>
  <rv s="0">
    <fb>12.548299999999999</fb>
    <v>1</v>
  </rv>
  <rv s="0">
    <fb>51195392</fb>
    <v>2</v>
  </rv>
  <rv s="0">
    <fb>45412</fb>
    <v>0</v>
  </rv>
  <rv s="0">
    <fb>11.957800000000001</fb>
    <v>1</v>
  </rv>
  <rv s="0">
    <fb>77110381</fb>
    <v>2</v>
  </rv>
  <rv s="0">
    <fb>45413</fb>
    <v>0</v>
  </rv>
  <rv s="0">
    <fb>12.007</fb>
    <v>1</v>
  </rv>
  <rv s="0">
    <fb>49569150</fb>
    <v>2</v>
  </rv>
  <rv s="0">
    <fb>45414</fb>
    <v>0</v>
  </rv>
  <rv s="0">
    <fb>12.292400000000001</fb>
    <v>1</v>
  </rv>
  <rv s="0">
    <fb>47622016</fb>
    <v>2</v>
  </rv>
  <rv s="0">
    <fb>45415</fb>
    <v>0</v>
  </rv>
  <rv s="0">
    <fb>12.2334</fb>
    <v>1</v>
  </rv>
  <rv s="0">
    <fb>48226256</fb>
    <v>2</v>
  </rv>
  <rv s="0">
    <fb>45418</fb>
    <v>0</v>
  </rv>
  <rv s="0">
    <fb>12.302300000000001</fb>
    <v>1</v>
  </rv>
  <rv s="0">
    <fb>30259005</fb>
    <v>2</v>
  </rv>
  <rv s="0">
    <fb>45419</fb>
    <v>0</v>
  </rv>
  <rv s="0">
    <fb>11.977499999999999</fb>
    <v>1</v>
  </rv>
  <rv s="0">
    <fb>48876141</fb>
    <v>2</v>
  </rv>
  <rv s="0">
    <fb>45420</fb>
    <v>0</v>
  </rv>
  <rv s="0">
    <fb>38790820</fb>
    <v>2</v>
  </rv>
  <rv s="0">
    <fb>45421</fb>
    <v>0</v>
  </rv>
  <rv s="0">
    <fb>11.9381</fb>
    <v>1</v>
  </rv>
  <rv s="0">
    <fb>29571666</fb>
    <v>2</v>
  </rv>
  <rv s="0">
    <fb>45422</fb>
    <v>0</v>
  </rv>
  <rv s="0">
    <fb>11.8003</fb>
    <v>1</v>
  </rv>
  <rv s="0">
    <fb>52274798</fb>
    <v>2</v>
  </rv>
  <rv s="0">
    <fb>45425</fb>
    <v>0</v>
  </rv>
  <rv s="0">
    <fb>12.1349</fb>
    <v>1</v>
  </rv>
  <rv s="0">
    <fb>61942205</fb>
    <v>2</v>
  </rv>
  <rv s="0">
    <fb>45426</fb>
    <v>0</v>
  </rv>
  <rv s="0">
    <fb>40623062</fb>
    <v>2</v>
  </rv>
  <rv s="0">
    <fb>45427</fb>
    <v>0</v>
  </rv>
  <rv s="0">
    <fb>12.1153</fb>
    <v>1</v>
  </rv>
  <rv s="0">
    <fb>51555472</fb>
    <v>2</v>
  </rv>
  <rv s="0">
    <fb>45428</fb>
    <v>0</v>
  </rv>
  <rv s="0">
    <fb>42169353</fb>
    <v>2</v>
  </rv>
  <rv s="0">
    <fb>45429</fb>
    <v>0</v>
  </rv>
  <rv s="0">
    <fb>12.085699999999999</fb>
    <v>1</v>
  </rv>
  <rv s="0">
    <fb>24397249</fb>
    <v>2</v>
  </rv>
  <rv s="0">
    <fb>45432</fb>
    <v>0</v>
  </rv>
  <rv s="0">
    <fb>27453391</fb>
    <v>2</v>
  </rv>
  <rv s="0">
    <fb>45433</fb>
    <v>0</v>
  </rv>
  <rv s="0">
    <fb>33379033</fb>
    <v>2</v>
  </rv>
  <rv s="0">
    <fb>45434</fb>
    <v>0</v>
  </rv>
  <rv s="0">
    <fb>11.839700000000001</fb>
    <v>1</v>
  </rv>
  <rv s="0">
    <fb>35972078</fb>
    <v>2</v>
  </rv>
  <rv s="0">
    <fb>45435</fb>
    <v>0</v>
  </rv>
  <rv s="0">
    <fb>44290739</fb>
    <v>2</v>
  </rv>
  <rv s="0">
    <fb>45436</fb>
    <v>0</v>
  </rv>
  <rv s="0">
    <fb>41496929</fb>
    <v>2</v>
  </rv>
  <rv s="0">
    <fb>45440</fb>
    <v>0</v>
  </rv>
  <rv s="0">
    <fb>58383693</fb>
    <v>2</v>
  </rv>
  <rv s="0">
    <fb>45441</fb>
    <v>0</v>
  </rv>
  <rv s="0">
    <fb>11.3771</fb>
    <v>1</v>
  </rv>
  <rv s="0">
    <fb>46495023</fb>
    <v>2</v>
  </rv>
  <rv s="0">
    <fb>45442</fb>
    <v>0</v>
  </rv>
  <rv s="0">
    <fb>11.5838</fb>
    <v>1</v>
  </rv>
  <rv s="0">
    <fb>42928643</fb>
    <v>2</v>
  </rv>
  <rv s="0">
    <fb>45443</fb>
    <v>0</v>
  </rv>
  <rv s="0">
    <fb>58125292</fb>
    <v>2</v>
  </rv>
  <rv s="0">
    <fb>45446</fb>
    <v>0</v>
  </rv>
  <rv s="0">
    <fb>11.997199999999999</fb>
    <v>1</v>
  </rv>
  <rv s="0">
    <fb>54648611</fb>
    <v>2</v>
  </rv>
  <rv s="0">
    <fb>45447</fb>
    <v>0</v>
  </rv>
  <rv s="0">
    <fb>42200709</fb>
    <v>2</v>
  </rv>
  <rv s="0">
    <fb>45448</fb>
    <v>0</v>
  </rv>
  <rv s="0">
    <fb>46241341</fb>
    <v>2</v>
  </rv>
  <rv s="0">
    <fb>45449</fb>
    <v>0</v>
  </rv>
  <rv s="0">
    <fb>28744611</fb>
    <v>2</v>
  </rv>
  <rv s="0">
    <fb>45450</fb>
    <v>0</v>
  </rv>
  <rv s="0">
    <fb>32447312</fb>
    <v>2</v>
  </rv>
  <rv s="0">
    <fb>45453</fb>
    <v>0</v>
  </rv>
  <rv s="0">
    <fb>69445791</fb>
    <v>2</v>
  </rv>
  <rv s="0">
    <fb>45454</fb>
    <v>0</v>
  </rv>
  <rv s="0">
    <fb>48976579</fb>
    <v>2</v>
  </rv>
  <rv s="0">
    <fb>45455</fb>
    <v>0</v>
  </rv>
  <rv s="0">
    <fb>58034334</fb>
    <v>2</v>
  </rv>
  <rv s="0">
    <fb>45456</fb>
    <v>0</v>
  </rv>
  <rv s="0">
    <fb>11.751099999999999</fb>
    <v>1</v>
  </rv>
  <rv s="0">
    <fb>42088131</fb>
    <v>2</v>
  </rv>
  <rv s="0">
    <fb>45457</fb>
    <v>0</v>
  </rv>
  <rv s="0">
    <fb>50175869</fb>
    <v>2</v>
  </rv>
  <rv s="0">
    <fb>45460</fb>
    <v>0</v>
  </rv>
  <rv s="0">
    <fb>32484032</fb>
    <v>2</v>
  </rv>
  <rv s="0">
    <fb>45461</fb>
    <v>0</v>
  </rv>
  <rv s="0">
    <fb>29489885</fb>
    <v>2</v>
  </rv>
  <rv s="0">
    <fb>45463</fb>
    <v>0</v>
  </rv>
  <rv s="0">
    <fb>54327431</fb>
    <v>2</v>
  </rv>
  <rv s="0">
    <fb>45464</fb>
    <v>0</v>
  </rv>
  <rv s="0">
    <fb>51008883</fb>
    <v>2</v>
  </rv>
  <rv s="0">
    <fb>45467</fb>
    <v>0</v>
  </rv>
  <rv s="0">
    <fb>59376244</fb>
    <v>2</v>
  </rv>
  <rv s="0">
    <fb>45468</fb>
    <v>0</v>
  </rv>
  <rv s="0">
    <fb>39956038</fb>
    <v>2</v>
  </rv>
  <rv s="0">
    <fb>45469</fb>
    <v>0</v>
  </rv>
  <rv s="0">
    <fb>42092512</fb>
    <v>2</v>
  </rv>
  <rv s="0">
    <fb>45470</fb>
    <v>0</v>
  </rv>
  <rv s="0">
    <fb>48853093</fb>
    <v>2</v>
  </rv>
  <rv s="0">
    <fb>45471</fb>
    <v>0</v>
  </rv>
  <rv s="0">
    <fb>12.3416</fb>
    <v>1</v>
  </rv>
  <rv s="0">
    <fb>66974226</fb>
    <v>2</v>
  </rv>
  <rv s="0">
    <fb>45474</fb>
    <v>0</v>
  </rv>
  <rv s="0">
    <fb>12.5581</fb>
    <v>1</v>
  </rv>
  <rv s="0">
    <fb>57055266</fb>
    <v>2</v>
  </rv>
  <rv s="0">
    <fb>45475</fb>
    <v>0</v>
  </rv>
  <rv s="0">
    <fb>12.666399999999999</fb>
    <v>1</v>
  </rv>
  <rv s="0">
    <fb>47745717</fb>
    <v>2</v>
  </rv>
  <rv s="0">
    <fb>45476</fb>
    <v>0</v>
  </rv>
  <rv s="0">
    <fb>27326624</fb>
    <v>2</v>
  </rv>
  <rv s="0">
    <fb>45478</fb>
    <v>0</v>
  </rv>
  <rv s="0">
    <fb>12.636900000000001</fb>
    <v>1</v>
  </rv>
  <rv s="0">
    <fb>32097060</fb>
    <v>2</v>
  </rv>
  <rv s="0">
    <fb>45481</fb>
    <v>0</v>
  </rv>
  <rv s="0">
    <fb>45058985</fb>
    <v>2</v>
  </rv>
  <rv s="0">
    <fb>45482</fb>
    <v>0</v>
  </rv>
  <rv s="0">
    <fb>41389664</fb>
    <v>2</v>
  </rv>
  <rv s="0">
    <fb>45483</fb>
    <v>0</v>
  </rv>
  <rv s="0">
    <fb>12.9617</fb>
    <v>1</v>
  </rv>
  <rv s="0">
    <fb>36889110</fb>
    <v>2</v>
  </rv>
  <rv s="0">
    <fb>45484</fb>
    <v>0</v>
  </rv>
  <rv s="0">
    <fb>13.2569</fb>
    <v>1</v>
  </rv>
  <rv s="0">
    <fb>52270356</fb>
    <v>2</v>
  </rv>
  <rv s="0">
    <fb>45485</fb>
    <v>0</v>
  </rv>
  <rv s="0">
    <fb>13.808</fb>
    <v>1</v>
  </rv>
  <rv s="0">
    <fb>86985811</fb>
    <v>2</v>
  </rv>
  <rv s="0">
    <fb>45488</fb>
    <v>0</v>
  </rv>
  <rv s="0">
    <fb>14.004899999999999</fb>
    <v>1</v>
  </rv>
  <rv s="0">
    <fb>66698457</fb>
    <v>2</v>
  </rv>
  <rv s="0">
    <fb>45489</fb>
    <v>0</v>
  </rv>
  <rv s="0">
    <fb>14.1624</fb>
    <v>1</v>
  </rv>
  <rv s="0">
    <fb>52876644</fb>
    <v>2</v>
  </rv>
  <rv s="0">
    <fb>45490</fb>
    <v>0</v>
  </rv>
  <rv s="0">
    <fb>14.2509</fb>
    <v>1</v>
  </rv>
  <rv s="0">
    <fb>59020806</fb>
    <v>2</v>
  </rv>
  <rv s="0">
    <fb>45491</fb>
    <v>0</v>
  </rv>
  <rv s="0">
    <fb>14.319800000000001</fb>
    <v>1</v>
  </rv>
  <rv s="0">
    <fb>59010550</fb>
    <v>2</v>
  </rv>
  <rv s="0">
    <fb>45492</fb>
    <v>0</v>
  </rv>
  <rv s="0">
    <fb>13.758800000000001</fb>
    <v>1</v>
  </rv>
  <rv s="0">
    <fb>77128729</fb>
    <v>2</v>
  </rv>
  <rv s="0">
    <fb>45495</fb>
    <v>0</v>
  </rv>
  <rv s="0">
    <fb>13.896599999999999</fb>
    <v>1</v>
  </rv>
  <rv s="0">
    <fb>60067060</fb>
    <v>2</v>
  </rv>
  <rv s="0">
    <fb>45496</fb>
    <v>0</v>
  </rv>
  <rv s="0">
    <fb>13.6112</fb>
    <v>1</v>
  </rv>
  <rv s="0">
    <fb>87278412</fb>
    <v>2</v>
  </rv>
  <rv s="0">
    <fb>45497</fb>
    <v>0</v>
  </rv>
  <rv s="0">
    <fb>13.4537</fb>
    <v>1</v>
  </rv>
  <rv s="0">
    <fb>83083058</fb>
    <v>2</v>
  </rv>
  <rv s="0">
    <fb>45498</fb>
    <v>0</v>
  </rv>
  <rv s="0">
    <fb>10.9834</fb>
    <v>1</v>
  </rv>
  <rv s="0">
    <fb>263654976</fb>
    <v>2</v>
  </rv>
  <rv s="0">
    <fb>45499</fb>
    <v>0</v>
  </rv>
  <rv s="0">
    <fb>11.013</fb>
    <v>1</v>
  </rv>
  <rv s="0">
    <fb>80879390</fb>
    <v>2</v>
  </rv>
  <rv s="0">
    <fb>45502</fb>
    <v>0</v>
  </rv>
  <rv s="0">
    <fb>10.835800000000001</fb>
    <v>1</v>
  </rv>
  <rv s="0">
    <fb>93141028</fb>
    <v>2</v>
  </rv>
  <rv s="0">
    <fb>45503</fb>
    <v>0</v>
  </rv>
  <rv s="0">
    <fb>10.6685</fb>
    <v>1</v>
  </rv>
  <rv s="0">
    <fb>70451576</fb>
    <v>2</v>
  </rv>
  <rv s="0">
    <fb>45504</fb>
    <v>0</v>
  </rv>
  <rv s="0">
    <fb>10.6488</fb>
    <v>1</v>
  </rv>
  <rv s="0">
    <fb>76691231</fb>
    <v>2</v>
  </rv>
  <rv s="0">
    <fb>45505</fb>
    <v>0</v>
  </rv>
  <rv s="0">
    <fb>10.520899999999999</fb>
    <v>1</v>
  </rv>
  <rv s="0">
    <fb>61489217</fb>
    <v>2</v>
  </rv>
  <rv s="0">
    <fb>45506</fb>
    <v>0</v>
  </rv>
  <rv s="0">
    <fb>9.8712999999999997</fb>
    <v>1</v>
  </rv>
  <rv s="0">
    <fb>112482477</fb>
    <v>2</v>
  </rv>
  <rv s="0">
    <fb>45509</fb>
    <v>0</v>
  </rv>
  <rv s="0">
    <fb>9.5564</fb>
    <v>1</v>
  </rv>
  <rv s="0">
    <fb>117452283</fb>
    <v>2</v>
  </rv>
  <rv s="0">
    <fb>45510</fb>
    <v>0</v>
  </rv>
  <rv s="0">
    <fb>9.6252999999999993</fb>
    <v>1</v>
  </rv>
  <rv s="0">
    <fb>113615036</fb>
    <v>2</v>
  </rv>
  <rv s="0">
    <fb>45511</fb>
    <v>0</v>
  </rv>
  <rv s="0">
    <fb>9.6153999999999993</fb>
    <v>1</v>
  </rv>
  <rv s="0">
    <fb>70599311</fb>
    <v>2</v>
  </rv>
  <rv s="0">
    <fb>45512</fb>
    <v>0</v>
  </rv>
  <rv s="0">
    <fb>9.9696999999999996</fb>
    <v>1</v>
  </rv>
  <rv s="0">
    <fb>74181170</fb>
    <v>2</v>
  </rv>
  <rv s="0">
    <fb>45513</fb>
    <v>0</v>
  </rv>
  <rv s="0">
    <fb>9.9402000000000008</fb>
    <v>1</v>
  </rv>
  <rv s="0">
    <fb>49646248</fb>
    <v>2</v>
  </rv>
  <rv s="0">
    <fb>45516</fb>
    <v>0</v>
  </rv>
  <rv s="0">
    <fb>9.7040000000000006</fb>
    <v>1</v>
  </rv>
  <rv s="0">
    <fb>57020785</fb>
    <v>2</v>
  </rv>
  <rv s="0">
    <fb>45517</fb>
    <v>0</v>
  </rv>
  <rv s="0">
    <fb>9.9795999999999996</fb>
    <v>1</v>
  </rv>
  <rv s="0">
    <fb>45485671</fb>
    <v>2</v>
  </rv>
  <rv s="0">
    <fb>45518</fb>
    <v>0</v>
  </rv>
  <rv s="0">
    <fb>10.019</fb>
    <v>1</v>
  </rv>
  <rv s="0">
    <fb>37621598</fb>
    <v>2</v>
  </rv>
  <rv s="0">
    <fb>45519</fb>
    <v>0</v>
  </rv>
  <rv s="0">
    <fb>10.294499999999999</fb>
    <v>1</v>
  </rv>
  <rv s="0">
    <fb>42266565</fb>
    <v>2</v>
  </rv>
  <rv s="0">
    <fb>45520</fb>
    <v>0</v>
  </rv>
  <rv s="0">
    <fb>10.3437</fb>
    <v>1</v>
  </rv>
  <rv s="0">
    <fb>34691448</fb>
    <v>2</v>
  </rv>
  <rv s="0">
    <fb>45523</fb>
    <v>0</v>
  </rv>
  <rv s="0">
    <fb>10.5504</fb>
    <v>1</v>
  </rv>
  <rv s="0">
    <fb>41726416</fb>
    <v>2</v>
  </rv>
  <rv s="0">
    <fb>45524</fb>
    <v>0</v>
  </rv>
  <rv s="0">
    <fb>10.510999999999999</fb>
    <v>1</v>
  </rv>
  <rv s="0">
    <fb>32989900</fb>
    <v>2</v>
  </rv>
  <rv s="0">
    <fb>45525</fb>
    <v>0</v>
  </rv>
  <rv s="0">
    <fb>10.6784</fb>
    <v>1</v>
  </rv>
  <rv s="0">
    <fb>49730626</fb>
    <v>2</v>
  </rv>
  <rv s="0">
    <fb>45526</fb>
    <v>0</v>
  </rv>
  <rv s="0">
    <fb>10.747199999999999</fb>
    <v>1</v>
  </rv>
  <rv s="0">
    <fb>51703344</fb>
    <v>2</v>
  </rv>
  <rv s="0">
    <fb>45527</fb>
    <v>0</v>
  </rv>
  <rv s="0">
    <fb>65651268</fb>
    <v>2</v>
  </rv>
  <rv s="0">
    <fb>45530</fb>
    <v>0</v>
  </rv>
  <rv s="0">
    <fb>10.934200000000001</fb>
    <v>1</v>
  </rv>
  <rv s="0">
    <fb>53923399</fb>
    <v>2</v>
  </rv>
  <rv s="0">
    <fb>45531</fb>
    <v>0</v>
  </rv>
  <rv s="0">
    <fb>10.963800000000001</fb>
    <v>1</v>
  </rv>
  <rv s="0">
    <fb>45561783</fb>
    <v>2</v>
  </rv>
  <rv s="0">
    <fb>45532</fb>
    <v>0</v>
  </rv>
  <rv s="0">
    <fb>10.8653</fb>
    <v>1</v>
  </rv>
  <rv s="0">
    <fb>36011867</fb>
    <v>2</v>
  </rv>
  <rv s="0">
    <fb>45533</fb>
    <v>0</v>
  </rv>
  <rv s="0">
    <fb>45712339</fb>
    <v>2</v>
  </rv>
  <rv s="0">
    <fb>45534</fb>
    <v>0</v>
  </rv>
  <rv s="0">
    <fb>45700029</fb>
    <v>2</v>
  </rv>
  <rv s="0">
    <fb>45538</fb>
    <v>0</v>
  </rv>
  <rv s="0">
    <fb>10.8063</fb>
    <v>1</v>
  </rv>
  <rv s="0">
    <fb>50411047</fb>
    <v>2</v>
  </rv>
  <rv s="0">
    <fb>45539</fb>
    <v>0</v>
  </rv>
  <rv s="0">
    <fb>10.7768</fb>
    <v>1</v>
  </rv>
  <rv s="0">
    <fb>48670623</fb>
    <v>2</v>
  </rv>
  <rv s="0">
    <fb>45540</fb>
    <v>0</v>
  </rv>
  <rv s="0">
    <fb>10.599600000000001</fb>
    <v>1</v>
  </rv>
  <rv s="0">
    <fb>51364527</fb>
    <v>2</v>
  </rv>
  <rv s="0">
    <fb>45541</fb>
    <v>0</v>
  </rv>
  <rv s="0">
    <fb>10.412599999999999</fb>
    <v>1</v>
  </rv>
  <rv s="0">
    <fb>48272554</fb>
    <v>2</v>
  </rv>
  <rv s="0">
    <fb>45544</fb>
    <v>0</v>
  </rv>
  <rv s="0">
    <fb>10.491400000000001</fb>
    <v>1</v>
  </rv>
  <rv s="0">
    <fb>39853827</fb>
    <v>2</v>
  </rv>
  <rv s="0">
    <fb>45545</fb>
    <v>0</v>
  </rv>
  <rv s="0">
    <fb>10.156700000000001</fb>
    <v>1</v>
  </rv>
  <rv s="0">
    <fb>64032208</fb>
    <v>2</v>
  </rv>
  <rv s="0">
    <fb>45546</fb>
    <v>0</v>
  </rv>
  <rv s="0">
    <fb>10.284700000000001</fb>
    <v>1</v>
  </rv>
  <rv s="0">
    <fb>56737819</fb>
    <v>2</v>
  </rv>
  <rv s="0">
    <fb>45547</fb>
    <v>0</v>
  </rv>
  <rv s="0">
    <fb>10.452</fb>
    <v>1</v>
  </rv>
  <rv s="0">
    <fb>44511518</fb>
    <v>2</v>
  </rv>
  <rv s="0">
    <fb>45548</fb>
    <v>0</v>
  </rv>
  <rv s="0">
    <fb>35750388</fb>
    <v>2</v>
  </rv>
  <rv s="0">
    <fb>45551</fb>
    <v>0</v>
  </rv>
  <rv s="0">
    <fb>10.629099999999999</fb>
    <v>1</v>
  </rv>
  <rv s="0">
    <fb>35361785</fb>
    <v>2</v>
  </rv>
  <rv s="0">
    <fb>45552</fb>
    <v>0</v>
  </rv>
  <rv s="0">
    <fb>10.727600000000001</fb>
    <v>1</v>
  </rv>
  <rv s="0">
    <fb>52905572</fb>
    <v>2</v>
  </rv>
  <rv s="0">
    <fb>45553</fb>
    <v>0</v>
  </rv>
  <rv s="0">
    <fb>55901684</fb>
    <v>2</v>
  </rv>
  <rv s="0">
    <fb>45554</fb>
    <v>0</v>
  </rv>
  <rv s="0">
    <fb>53279309</fb>
    <v>2</v>
  </rv>
  <rv s="0">
    <fb>45555</fb>
    <v>0</v>
  </rv>
  <rv s="0">
    <fb>10.7079</fb>
    <v>1</v>
  </rv>
  <rv s="0">
    <fb>69915206</fb>
    <v>2</v>
  </rv>
  <rv s="0">
    <fb>45558</fb>
    <v>0</v>
  </rv>
  <rv s="0">
    <fb>10.737399999999999</fb>
    <v>1</v>
  </rv>
  <rv s="0">
    <fb>41071014</fb>
    <v>2</v>
  </rv>
  <rv s="0">
    <fb>45559</fb>
    <v>0</v>
  </rv>
  <rv s="0">
    <fb>10.698</fb>
    <v>1</v>
  </rv>
  <rv s="0">
    <fb>38353024</fb>
    <v>2</v>
  </rv>
  <rv s="0">
    <fb>45560</fb>
    <v>0</v>
  </rv>
  <rv s="0">
    <fb>10.2552</fb>
    <v>1</v>
  </rv>
  <rv s="0">
    <fb>75300877</fb>
    <v>2</v>
  </rv>
  <rv s="0">
    <fb>45561</fb>
    <v>0</v>
  </rv>
  <rv s="0">
    <fb>52234838</fb>
    <v>2</v>
  </rv>
  <rv s="0">
    <fb>45562</fb>
    <v>0</v>
  </rv>
  <rv s="0">
    <fb>10.609500000000001</fb>
    <v>1</v>
  </rv>
  <rv s="0">
    <fb>46200502</fb>
    <v>2</v>
  </rv>
  <rv s="0">
    <fb>45565</fb>
    <v>0</v>
  </rv>
  <rv s="0">
    <fb>10.392899999999999</fb>
    <v>1</v>
  </rv>
  <rv s="0">
    <fb>60669503</fb>
    <v>2</v>
  </rv>
  <rv s="0">
    <fb>45566</fb>
    <v>0</v>
  </rv>
  <rv s="0">
    <fb>10.5799</fb>
    <v>1</v>
  </rv>
  <rv s="0">
    <fb>64991124</fb>
    <v>2</v>
  </rv>
  <rv s="0">
    <fb>45567</fb>
    <v>0</v>
  </rv>
  <rv s="0">
    <fb>10.3142</fb>
    <v>1</v>
  </rv>
  <rv s="0">
    <fb>52284590</fb>
    <v>2</v>
  </rv>
  <rv s="0">
    <fb>45568</fb>
    <v>0</v>
  </rv>
  <rv s="0">
    <fb>45172948</fb>
    <v>2</v>
  </rv>
  <rv s="0">
    <fb>45569</fb>
    <v>0</v>
  </rv>
  <rv s="0">
    <fb>10.402799999999999</fb>
    <v>1</v>
  </rv>
  <rv s="0">
    <fb>46706702</fb>
    <v>2</v>
  </rv>
  <rv s="0">
    <fb>45572</fb>
    <v>0</v>
  </rv>
  <rv s="0">
    <fb>10.324</fb>
    <v>1</v>
  </rv>
  <rv s="0">
    <fb>38620085</fb>
    <v>2</v>
  </rv>
  <rv s="0">
    <fb>45573</fb>
    <v>0</v>
  </rv>
  <rv s="0">
    <fb>47100861</fb>
    <v>2</v>
  </rv>
  <rv s="0">
    <fb>45574</fb>
    <v>0</v>
  </rv>
  <rv s="0">
    <fb>41056505</fb>
    <v>2</v>
  </rv>
  <rv s="0">
    <fb>45575</fb>
    <v>0</v>
  </rv>
  <rv s="0">
    <fb>40092602</fb>
    <v>2</v>
  </rv>
  <rv s="0">
    <fb>45576</fb>
    <v>0</v>
  </rv>
  <rv s="0">
    <fb>32428740</fb>
    <v>2</v>
  </rv>
  <rv s="0">
    <fb>45579</fb>
    <v>0</v>
  </rv>
  <rv s="0">
    <fb>42614309</fb>
    <v>2</v>
  </rv>
  <rv s="0">
    <fb>45580</fb>
    <v>0</v>
  </rv>
  <rv s="0">
    <fb>53950571</fb>
    <v>2</v>
  </rv>
  <rv s="0">
    <fb>45581</fb>
    <v>0</v>
  </rv>
  <rv s="0">
    <fb>47751843</fb>
    <v>2</v>
  </rv>
  <rv s="0">
    <fb>45582</fb>
    <v>0</v>
  </rv>
  <rv s="0">
    <fb>10.8949</fb>
    <v>1</v>
  </rv>
  <rv s="0">
    <fb>38221854</fb>
    <v>2</v>
  </rv>
  <rv s="0">
    <fb>45583</fb>
    <v>0</v>
  </rv>
  <rv s="0">
    <fb>10.9244</fb>
    <v>1</v>
  </rv>
  <rv s="0">
    <fb>26494019</fb>
    <v>2</v>
  </rv>
  <rv s="0">
    <fb>45586</fb>
    <v>0</v>
  </rv>
  <rv s="0">
    <fb>41667733</fb>
    <v>2</v>
  </rv>
  <rv s="0">
    <fb>45587</fb>
    <v>0</v>
  </rv>
  <rv s="0">
    <fb>52426994</fb>
    <v>2</v>
  </rv>
  <rv s="0">
    <fb>45588</fb>
    <v>0</v>
  </rv>
  <rv s="0">
    <fb>10.885</fb>
    <v>1</v>
  </rv>
  <rv s="0">
    <fb>37935574</fb>
    <v>2</v>
  </rv>
  <rv s="0">
    <fb>45589</fb>
    <v>0</v>
  </rv>
  <rv s="0">
    <fb>11.062200000000001</fb>
    <v>1</v>
  </rv>
  <rv s="0">
    <fb>45455550</fb>
    <v>2</v>
  </rv>
  <rv s="0">
    <fb>45590</fb>
    <v>0</v>
  </rv>
  <rv s="0">
    <fb>39749580</fb>
    <v>2</v>
  </rv>
  <rv s="0">
    <fb>45593</fb>
    <v>0</v>
  </rv>
  <rv s="0">
    <fb>99541758</fb>
    <v>2</v>
  </rv>
  <rv s="0">
    <fb>45594</fb>
    <v>0</v>
  </rv>
  <rv s="0">
    <fb>10.2453</fb>
    <v>1</v>
  </rv>
  <rv s="0">
    <fb>158739237</fb>
    <v>2</v>
  </rv>
  <rv s="0">
    <fb>45595</fb>
    <v>0</v>
  </rv>
  <rv s="0">
    <fb>10.304399999999999</fb>
    <v>1</v>
  </rv>
  <rv s="0">
    <fb>49639031</fb>
    <v>2</v>
  </rv>
  <rv s="0">
    <fb>45596</fb>
    <v>0</v>
  </rv>
  <rv s="0">
    <fb>10.1272</fb>
    <v>1</v>
  </rv>
  <rv s="0">
    <fb>73257640</fb>
    <v>2</v>
  </rv>
  <rv s="0">
    <fb>45597</fb>
    <v>0</v>
  </rv>
  <rv s="0">
    <fb>10.058299999999999</fb>
    <v>1</v>
  </rv>
  <rv s="0">
    <fb>44171064</fb>
    <v>2</v>
  </rv>
  <rv s="0">
    <fb>45600</fb>
    <v>0</v>
  </rv>
  <rv s="0">
    <fb>10.196099999999999</fb>
    <v>1</v>
  </rv>
  <rv s="0">
    <fb>56213140</fb>
    <v>2</v>
  </rv>
  <rv s="0">
    <fb>45601</fb>
    <v>0</v>
  </rv>
  <rv s="0">
    <fb>10.4323</fb>
    <v>1</v>
  </rv>
  <rv s="0">
    <fb>50101574</fb>
    <v>2</v>
  </rv>
  <rv s="0">
    <fb>45602</fb>
    <v>0</v>
  </rv>
  <rv s="0">
    <fb>102401767</fb>
    <v>2</v>
  </rv>
  <rv s="0">
    <fb>45603</fb>
    <v>0</v>
  </rv>
  <rv s="0">
    <fb>10.7866</fb>
    <v>1</v>
  </rv>
  <rv s="0">
    <fb>56298581</fb>
    <v>2</v>
  </rv>
  <rv s="0">
    <fb>45604</fb>
    <v>0</v>
  </rv>
  <rv s="0">
    <fb>10.7965</fb>
    <v>1</v>
  </rv>
  <rv s="0">
    <fb>46194234</fb>
    <v>2</v>
  </rv>
  <rv s="0">
    <fb>45607</fb>
    <v>0</v>
  </rv>
  <rv s="0">
    <fb>11.052300000000001</fb>
    <v>1</v>
  </rv>
  <rv s="0">
    <fb>57540749</fb>
    <v>2</v>
  </rv>
  <rv s="0">
    <fb>45608</fb>
    <v>0</v>
  </rv>
  <rv s="0">
    <fb>45643469</fb>
    <v>2</v>
  </rv>
  <rv s="0">
    <fb>45609</fb>
    <v>0</v>
  </rv>
  <rv s="0">
    <fb>56037372</fb>
    <v>2</v>
  </rv>
  <rv s="0">
    <fb>45610</fb>
    <v>0</v>
  </rv>
  <rv s="0">
    <fb>57693602</fb>
    <v>2</v>
  </rv>
  <rv s="0">
    <fb>45611</fb>
    <v>0</v>
  </rv>
  <rv s="0">
    <fb>59842137</fb>
    <v>2</v>
  </rv>
  <rv s="0">
    <fb>45614</fb>
    <v>0</v>
  </rv>
  <rv s="0">
    <fb>11.0327</fb>
    <v>1</v>
  </rv>
  <rv s="0">
    <fb>48576111</fb>
    <v>2</v>
  </rv>
  <rv s="0">
    <fb>45615</fb>
    <v>0</v>
  </rv>
  <rv s="0">
    <fb>10.8752</fb>
    <v>1</v>
  </rv>
  <rv s="0">
    <fb>54083318</fb>
    <v>2</v>
  </rv>
  <rv s="0">
    <fb>45616</fb>
    <v>0</v>
  </rv>
  <rv s="0">
    <fb>10.5603</fb>
    <v>1</v>
  </rv>
  <rv s="0">
    <fb>69736527</fb>
    <v>2</v>
  </rv>
  <rv s="0">
    <fb>45617</fb>
    <v>0</v>
  </rv>
  <rv s="0">
    <fb>54268047</fb>
    <v>2</v>
  </rv>
  <rv s="0">
    <fb>45618</fb>
    <v>0</v>
  </rv>
  <rv s="0">
    <fb>11.0031</fb>
    <v>1</v>
  </rv>
  <rv s="0">
    <fb>83883698</fb>
    <v>2</v>
  </rv>
  <rv s="0">
    <fb>45621</fb>
    <v>0</v>
  </rv>
  <rv s="0">
    <fb>11.2197</fb>
    <v>1</v>
  </rv>
  <rv s="0">
    <fb>64489537</fb>
    <v>2</v>
  </rv>
  <rv s="0">
    <fb>45622</fb>
    <v>0</v>
  </rv>
  <rv s="0">
    <fb>48221639</fb>
    <v>2</v>
  </rv>
  <rv s="0">
    <fb>45623</fb>
    <v>0</v>
  </rv>
  <rv s="0">
    <fb>28931888</fb>
    <v>2</v>
  </rv>
  <rv s="0">
    <fb>45625</fb>
    <v>0</v>
  </rv>
  <rv s="0">
    <fb>10.953900000000001</fb>
    <v>1</v>
  </rv>
  <rv s="0">
    <fb>29400275</fb>
    <v>2</v>
  </rv>
  <rv s="0">
    <fb>45628</fb>
    <v>0</v>
  </rv>
  <rv s="0">
    <fb>50838648</fb>
    <v>2</v>
  </rv>
  <rv s="0">
    <fb>45629</fb>
    <v>0</v>
  </rv>
  <rv s="0">
    <fb>44609982</fb>
    <v>2</v>
  </rv>
  <rv s="0">
    <fb>45630</fb>
    <v>0</v>
  </rv>
  <rv s="0">
    <fb>10.5701</fb>
    <v>1</v>
  </rv>
  <rv s="0">
    <fb>67854157</fb>
    <v>2</v>
  </rv>
  <rv s="0">
    <fb>45631</fb>
    <v>0</v>
  </rv>
  <rv s="0">
    <fb>10.274800000000001</fb>
    <v>1</v>
  </rv>
  <rv s="0">
    <fb>69257705</fb>
    <v>2</v>
  </rv>
  <rv s="0">
    <fb>45632</fb>
    <v>0</v>
  </rv>
  <rv s="0">
    <fb>57130816</fb>
    <v>2</v>
  </rv>
  <rv s="0">
    <fb>45635</fb>
    <v>0</v>
  </rv>
  <rv s="0">
    <fb>54085688</fb>
    <v>2</v>
  </rv>
  <rv s="0">
    <fb>45636</fb>
    <v>0</v>
  </rv>
  <rv s="0">
    <fb>45808999</fb>
    <v>2</v>
  </rv>
  <rv s="0">
    <fb>45637</fb>
    <v>0</v>
  </rv>
  <rv s="0">
    <fb>61459387</fb>
    <v>2</v>
  </rv>
  <rv s="0">
    <fb>45638</fb>
    <v>0</v>
  </rv>
  <rv s="0">
    <fb>10.2256</fb>
    <v>1</v>
  </rv>
  <rv s="0">
    <fb>39050396</fb>
    <v>2</v>
  </rv>
  <rv s="0">
    <fb>45639</fb>
    <v>0</v>
  </rv>
  <rv s="0">
    <fb>41212663</fb>
    <v>2</v>
  </rv>
  <rv s="0">
    <fb>45642</fb>
    <v>0</v>
  </rv>
  <rv s="0">
    <fb>9.8320000000000007</fb>
    <v>1</v>
  </rv>
  <rv s="0">
    <fb>97811802</fb>
    <v>2</v>
  </rv>
  <rv s="0">
    <fb>45643</fb>
    <v>0</v>
  </rv>
  <rv s="0">
    <fb>9.8123000000000005</fb>
    <v>1</v>
  </rv>
  <rv s="0">
    <fb>77433549</fb>
    <v>2</v>
  </rv>
  <rv s="0">
    <fb>45644</fb>
    <v>0</v>
  </rv>
  <rv s="0">
    <fb>9.5366999999999997</fb>
    <v>1</v>
  </rv>
  <rv s="0">
    <fb>85552952</fb>
    <v>2</v>
  </rv>
  <rv s="0">
    <fb>45645</fb>
    <v>0</v>
  </rv>
  <rv s="0">
    <fb>9.5859000000000005</fb>
    <v>1</v>
  </rv>
  <rv s="0">
    <fb>82971642</fb>
    <v>2</v>
  </rv>
  <rv s="0">
    <fb>45646</fb>
    <v>0</v>
  </rv>
  <rv s="0">
    <fb>9.7236999999999991</fb>
    <v>1</v>
  </rv>
  <rv s="0">
    <fb>89115347</fb>
    <v>2</v>
  </rv>
  <rv s="0">
    <fb>45649</fb>
    <v>0</v>
  </rv>
  <rv s="0">
    <fb>9.7433999999999994</fb>
    <v>1</v>
  </rv>
  <rv s="0">
    <fb>51460734</fb>
    <v>2</v>
  </rv>
  <rv s="0">
    <fb>45650</fb>
    <v>0</v>
  </rv>
  <rv s="0">
    <fb>9.8614999999999995</fb>
    <v>1</v>
  </rv>
  <rv s="0">
    <fb>29550633</fb>
    <v>2</v>
  </rv>
  <rv s="0">
    <fb>45652</fb>
    <v>0</v>
  </rv>
  <rv s="0">
    <fb>9.9107000000000003</fb>
    <v>1</v>
  </rv>
  <rv s="0">
    <fb>36534079</fb>
    <v>2</v>
  </rv>
  <rv s="0">
    <fb>45653</fb>
    <v>0</v>
  </rv>
  <rv s="0">
    <fb>53750246</fb>
    <v>2</v>
  </rv>
  <rv s="0">
    <fb>45656</fb>
    <v>0</v>
  </rv>
  <rv s="0">
    <fb>47874103</fb>
    <v>2</v>
  </rv>
  <rv s="0">
    <fb>45657</fb>
    <v>0</v>
  </rv>
  <rv s="0">
    <fb>54973840</fb>
    <v>2</v>
  </rv>
  <rv s="0">
    <fb>45659</fb>
    <v>0</v>
  </rv>
  <rv s="0">
    <fb>9.4972999999999992</fb>
    <v>1</v>
  </rv>
  <rv s="0">
    <fb>68235708</fb>
    <v>2</v>
  </rv>
  <rv s="0">
    <fb>45660</fb>
    <v>0</v>
  </rv>
  <rv s="0">
    <fb>78487552</fb>
    <v>2</v>
  </rv>
  <rv s="0">
    <fb>45663</fb>
    <v>0</v>
  </rv>
  <rv s="0">
    <fb>9.7630999999999997</fb>
    <v>1</v>
  </rv>
  <rv s="0">
    <fb>64867023</fb>
    <v>2</v>
  </rv>
  <rv s="0">
    <fb>45664</fb>
    <v>0</v>
  </rv>
  <rv s="0">
    <fb>9.6056000000000008</fb>
    <v>1</v>
  </rv>
  <rv s="0">
    <fb>63407119</fb>
    <v>2</v>
  </rv>
  <rv s="0">
    <fb>45665</fb>
    <v>0</v>
  </rv>
  <rv s="0">
    <fb>62670278</fb>
    <v>2</v>
  </rv>
  <rv s="0">
    <fb>45667</fb>
    <v>0</v>
  </rv>
  <rv s="0">
    <fb>74552875</fb>
    <v>2</v>
  </rv>
  <rv s="0">
    <fb>45670</fb>
    <v>0</v>
  </rv>
  <rv s="0">
    <fb>67084313</fb>
    <v>2</v>
  </rv>
  <rv s="0">
    <fb>45671</fb>
    <v>0</v>
  </rv>
  <rv s="0">
    <fb>46150035</fb>
    <v>2</v>
  </rv>
  <rv s="0">
    <fb>45672</fb>
    <v>0</v>
  </rv>
  <rv s="0">
    <fb>9.7926000000000002</fb>
    <v>1</v>
  </rv>
  <rv s="0">
    <fb>69778271</fb>
    <v>2</v>
  </rv>
  <rv s="0">
    <fb>45673</fb>
    <v>0</v>
  </rv>
  <rv s="0">
    <fb>9.8515999999999995</fb>
    <v>1</v>
  </rv>
  <rv s="0">
    <fb>46505753</fb>
    <v>2</v>
  </rv>
  <rv s="0">
    <fb>45674</fb>
    <v>0</v>
  </rv>
  <rv s="0">
    <fb>61780110</fb>
    <v>2</v>
  </rv>
  <rv s="0">
    <fb>45678</fb>
    <v>0</v>
  </rv>
  <rv s="0">
    <fb>10.265000000000001</fb>
    <v>1</v>
  </rv>
  <rv s="0">
    <fb>66726387</fb>
    <v>2</v>
  </rv>
  <rv s="0">
    <fb>45679</fb>
    <v>0</v>
  </rv>
  <rv s="0">
    <fb>65993172</fb>
    <v>2</v>
  </rv>
  <rv s="0">
    <fb>45680</fb>
    <v>0</v>
  </rv>
  <rv s="0">
    <fb>9.9992999999999999</fb>
    <v>1</v>
  </rv>
  <rv s="0">
    <fb>57145140</fb>
    <v>2</v>
  </rv>
  <rv s="0">
    <fb>45681</fb>
    <v>0</v>
  </rv>
  <rv s="0">
    <fb>9.9598999999999993</fb>
    <v>1</v>
  </rv>
  <rv s="0">
    <fb>43598838</fb>
    <v>2</v>
  </rv>
  <rv s="0">
    <fb>45684</fb>
    <v>0</v>
  </rv>
  <rv s="0">
    <fb>10.2158</fb>
    <v>1</v>
  </rv>
  <rv s="0">
    <fb>74257329</fb>
    <v>2</v>
  </rv>
  <rv s="0">
    <fb>45685</fb>
    <v>0</v>
  </rv>
  <rv s="0">
    <fb>9.9205000000000005</fb>
    <v>1</v>
  </rv>
  <rv s="0">
    <fb>93659287</fb>
    <v>2</v>
  </rv>
  <rv s="0">
    <fb>45686</fb>
    <v>0</v>
  </rv>
  <rv s="0">
    <fb>10.048500000000001</fb>
    <v>1</v>
  </rv>
  <rv s="0">
    <fb>71111881</fb>
    <v>2</v>
  </rv>
  <rv s="0">
    <fb>45687</fb>
    <v>0</v>
  </rv>
  <rv s="0">
    <fb>70782906</fb>
    <v>2</v>
  </rv>
  <rv s="0">
    <fb>45688</fb>
    <v>0</v>
  </rv>
  <rv s="0">
    <fb>105393560</fb>
    <v>2</v>
  </rv>
  <rv s="0">
    <fb>45691</fb>
    <v>0</v>
  </rv>
  <rv s="0">
    <fb>9.7334999999999994</fb>
    <v>1</v>
  </rv>
  <rv s="0">
    <fb>133542924</fb>
    <v>2</v>
  </rv>
  <rv s="0">
    <fb>45692</fb>
    <v>0</v>
  </rv>
  <rv s="0">
    <fb>69821048</fb>
    <v>2</v>
  </rv>
  <rv s="0">
    <fb>45693</fb>
    <v>0</v>
  </rv>
  <rv s="0">
    <fb>126184045</fb>
    <v>2</v>
  </rv>
  <rv s="0">
    <fb>45694</fb>
    <v>0</v>
  </rv>
  <rv s="0">
    <fb>9.1135000000000002</fb>
    <v>1</v>
  </rv>
  <rv s="0">
    <fb>226339032</fb>
    <v>2</v>
  </rv>
  <rv s="0">
    <fb>45695</fb>
    <v>0</v>
  </rv>
  <rv s="0">
    <fb>9.0937999999999999</fb>
    <v>1</v>
  </rv>
  <rv s="0">
    <fb>143116839</fb>
    <v>2</v>
  </rv>
  <rv s="0">
    <fb>45698</fb>
    <v>0</v>
  </rv>
  <rv s="0">
    <fb>73328062</fb>
    <v>2</v>
  </rv>
  <rv s="0">
    <fb>45699</fb>
    <v>0</v>
  </rv>
  <rv s="0">
    <fb>9.0642999999999994</fb>
    <v>1</v>
  </rv>
  <rv s="0">
    <fb>55726170</fb>
    <v>2</v>
  </rv>
  <rv s="0">
    <fb>45700</fb>
    <v>0</v>
  </rv>
  <rv s="0">
    <fb>9.0839999999999996</fb>
    <v>1</v>
  </rv>
  <rv s="0">
    <fb>68421994</fb>
    <v>2</v>
  </rv>
  <rv s="0">
    <fb>45701</fb>
    <v>0</v>
  </rv>
  <rv s="0">
    <fb>9.2020999999999997</fb>
    <v>1</v>
  </rv>
  <rv s="0">
    <fb>73218126</fb>
    <v>2</v>
  </rv>
  <rv s="0">
    <fb>45702</fb>
    <v>0</v>
  </rv>
  <rv s="0">
    <fb>9.33</fb>
    <v>1</v>
  </rv>
  <rv s="0">
    <fb>54642783</fb>
    <v>2</v>
  </rv>
  <rv s="0">
    <fb>45706</fb>
    <v>0</v>
  </rv>
  <rv s="0">
    <fb>9.2899999999999991</fb>
    <v>1</v>
  </rv>
  <rv s="0">
    <fb>62175764</fb>
    <v>2</v>
  </rv>
  <rv s="0">
    <fb>45707</fb>
    <v>0</v>
  </rv>
  <rv s="0">
    <fb>9.34</fb>
    <v>1</v>
  </rv>
  <rv s="0">
    <fb>50191726</fb>
    <v>2</v>
  </rv>
  <rv s="0">
    <fb>45708</fb>
    <v>0</v>
  </rv>
  <rv s="0">
    <fb>9.39</fb>
    <v>1</v>
  </rv>
  <rv s="0">
    <fb>39787792</fb>
    <v>2</v>
  </rv>
  <rv s="0">
    <fb>45709</fb>
    <v>0</v>
  </rv>
  <rv s="0">
    <fb>9.2799999999999994</fb>
    <v>1</v>
  </rv>
  <rv s="0">
    <fb>58437662</fb>
    <v>2</v>
  </rv>
  <rv s="0">
    <fb>45712</fb>
    <v>0</v>
  </rv>
  <rv s="0">
    <fb>9.35</fb>
    <v>1</v>
  </rv>
  <rv s="0">
    <fb>72562637</fb>
    <v>2</v>
  </rv>
  <rv s="0">
    <fb>45713</fb>
    <v>0</v>
  </rv>
  <rv s="0">
    <fb>9.42</fb>
    <v>1</v>
  </rv>
  <rv s="0">
    <fb>88876827</fb>
    <v>2</v>
  </rv>
  <rv s="0">
    <fb>45714</fb>
    <v>0</v>
  </rv>
  <rv s="0">
    <fb>9.4700000000000006</fb>
    <v>1</v>
  </rv>
  <rv s="0">
    <fb>87948083</fb>
    <v>2</v>
  </rv>
  <rv s="0">
    <fb>45715</fb>
    <v>0</v>
  </rv>
  <rv s="0">
    <fb>70518755</fb>
    <v>2</v>
  </rv>
  <rv s="0">
    <fb>45716</fb>
    <v>0</v>
  </rv>
  <rv s="0">
    <fb>9.5500000000000007</fb>
    <v>1</v>
  </rv>
  <rv s="0">
    <fb>137992574</fb>
    <v>2</v>
  </rv>
  <rv s="0">
    <fb>45719</fb>
    <v>0</v>
  </rv>
  <rv s="0">
    <fb>154435905</fb>
    <v>2</v>
  </rv>
  <rv s="0">
    <fb>45720</fb>
    <v>0</v>
  </rv>
  <rv s="0">
    <fb>9.1199999999999992</fb>
    <v>1</v>
  </rv>
  <rv s="0">
    <fb>167499954</fb>
    <v>2</v>
  </rv>
  <rv s="0">
    <fb>45721</fb>
    <v>0</v>
  </rv>
  <rv s="0">
    <fb>9.65</fb>
    <v>1</v>
  </rv>
  <rv s="0">
    <fb>157774904</fb>
    <v>2</v>
  </rv>
  <rv s="0">
    <fb>45722</fb>
    <v>0</v>
  </rv>
  <rv s="0">
    <fb>9.61</fb>
    <v>1</v>
  </rv>
  <rv s="0">
    <fb>136680746</fb>
    <v>2</v>
  </rv>
  <rv s="0">
    <fb>45723</fb>
    <v>0</v>
  </rv>
  <rv s="0">
    <fb>9.9</fb>
    <v>1</v>
  </rv>
  <rv s="0">
    <fb>150644884</fb>
    <v>2</v>
  </rv>
  <rv s="0">
    <fb>45726</fb>
    <v>0</v>
  </rv>
  <rv s="0">
    <fb>9.9600000000000009</fb>
    <v>1</v>
  </rv>
  <rv s="0">
    <fb>167183809</fb>
    <v>2</v>
  </rv>
  <rv s="0">
    <fb>45727</fb>
    <v>0</v>
  </rv>
  <rv s="0">
    <fb>9.69</fb>
    <v>1</v>
  </rv>
  <rv s="0">
    <fb>210126974</fb>
    <v>2</v>
  </rv>
  <rv s="0">
    <fb>45728</fb>
    <v>0</v>
  </rv>
  <rv s="0">
    <fb>9.59</fb>
    <v>1</v>
  </rv>
  <rv s="0">
    <fb>129994592</fb>
    <v>2</v>
  </rv>
  <rv s="0">
    <fb>45729</fb>
    <v>0</v>
  </rv>
  <rv s="0">
    <fb>9.5299999999999994</fb>
    <v>1</v>
  </rv>
  <rv s="0">
    <fb>137747632</fb>
    <v>2</v>
  </rv>
  <rv s="0">
    <fb>45730</fb>
    <v>0</v>
  </rv>
  <rv s="0">
    <fb>9.73</fb>
    <v>1</v>
  </rv>
  <rv s="0">
    <fb>91313759</fb>
    <v>2</v>
  </rv>
  <rv s="0">
    <fb>45733</fb>
    <v>0</v>
  </rv>
  <rv s="0">
    <fb>9.92</fb>
    <v>1</v>
  </rv>
  <rv s="0">
    <fb>98583068</fb>
    <v>2</v>
  </rv>
  <rv s="0">
    <fb>45734</fb>
    <v>0</v>
  </rv>
  <rv s="0">
    <fb>9.9499999999999993</fb>
    <v>1</v>
  </rv>
  <rv s="0">
    <fb>102730930</fb>
    <v>2</v>
  </rv>
  <rv s="0">
    <fb>45735</fb>
    <v>0</v>
  </rv>
  <rv s="0">
    <fb>10.17</fb>
    <v>1</v>
  </rv>
  <rv s="0">
    <fb>124697379</fb>
    <v>2</v>
  </rv>
  <rv s="0">
    <fb>45736</fb>
    <v>0</v>
  </rv>
  <rv s="0">
    <fb>10.01</fb>
    <v>1</v>
  </rv>
  <rv s="0">
    <fb>109103733</fb>
    <v>2</v>
  </rv>
  <rv s="0">
    <fb>45737</fb>
    <v>0</v>
  </rv>
  <rv s="0">
    <fb>10</fb>
    <v>1</v>
  </rv>
  <rv s="0">
    <fb>240638631</fb>
    <v>2</v>
  </rv>
  <rv s="0">
    <fb>45740</fb>
    <v>0</v>
  </rv>
  <rv s="0">
    <fb>10.25</fb>
    <v>1</v>
  </rv>
  <rv s="0">
    <fb>102847191</fb>
    <v>2</v>
  </rv>
  <rv s="0">
    <fb>45741</fb>
    <v>0</v>
  </rv>
  <rv s="0">
    <fb>10.29</fb>
    <v>1</v>
  </rv>
  <rv s="0">
    <fb>83674856</fb>
    <v>2</v>
  </rv>
  <rv s="0">
    <fb>45742</fb>
    <v>0</v>
  </rv>
  <rv s="0">
    <fb>10.3</fb>
    <v>1</v>
  </rv>
  <rv s="0">
    <fb>140975582</fb>
    <v>2</v>
  </rv>
  <rv s="0">
    <fb>45743</fb>
    <v>0</v>
  </rv>
  <rv s="0">
    <fb>229032469</fb>
    <v>2</v>
  </rv>
  <rv s="0">
    <fb>45744</fb>
    <v>0</v>
  </rv>
  <rv s="0">
    <fb>9.7200000000000006</fb>
    <v>1</v>
  </rv>
  <rv s="0">
    <fb>136868327</fb>
    <v>2</v>
  </rv>
  <rv s="0">
    <fb>45747</fb>
    <v>0</v>
  </rv>
  <rv s="0">
    <fb>10.029999999999999</fb>
    <v>1</v>
  </rv>
  <rv s="0">
    <fb>139951868</fb>
    <v>2</v>
  </rv>
  <rv s="0">
    <fb>45748</fb>
    <v>0</v>
  </rv>
  <rv s="0">
    <fb>9.94</fb>
    <v>1</v>
  </rv>
  <rv s="0">
    <fb>135388684</fb>
    <v>2</v>
  </rv>
  <rv s="0">
    <fb>45749</fb>
    <v>0</v>
  </rv>
  <rv s="0">
    <fb>10.15</fb>
    <v>1</v>
  </rv>
  <rv s="0">
    <fb>136908485</fb>
    <v>2</v>
  </rv>
  <rv s="0">
    <fb>45750</fb>
    <v>0</v>
  </rv>
  <rv s="0">
    <fb>9.5399999999999991</fb>
    <v>1</v>
  </rv>
  <rv s="0">
    <fb>220270980</fb>
    <v>2</v>
  </rv>
  <rv s="0">
    <fb>45751</fb>
    <v>0</v>
  </rv>
  <rv s="0">
    <fb>9.58</fb>
    <v>1</v>
  </rv>
  <rv s="0">
    <fb>177466228</fb>
    <v>2</v>
  </rv>
  <rv s="0">
    <fb>45754</fb>
    <v>0</v>
  </rv>
  <rv s="0">
    <fb>9.24</fb>
    <v>1</v>
  </rv>
  <rv s="0">
    <fb>274938497</fb>
    <v>2</v>
  </rv>
  <rv s="0">
    <fb>45755</fb>
    <v>0</v>
  </rv>
  <rv s="0">
    <fb>8.69</fb>
    <v>1</v>
  </rv>
  <rv s="0">
    <fb>199286778</fb>
    <v>2</v>
  </rv>
  <rv s="0">
    <fb>45756</fb>
    <v>0</v>
  </rv>
  <rv s="0">
    <fb>9.5</fb>
    <v>1</v>
  </rv>
  <rv s="0">
    <fb>199662988</fb>
    <v>2</v>
  </rv>
  <rv s="0">
    <fb>45757</fb>
    <v>0</v>
  </rv>
  <rv s="0">
    <fb>9.14</fb>
    <v>1</v>
  </rv>
  <rv s="0">
    <fb>163535434</fb>
    <v>2</v>
  </rv>
  <rv s="0">
    <fb>45758</fb>
    <v>0</v>
  </rv>
  <rv s="0">
    <fb>146073701</fb>
    <v>2</v>
  </rv>
  <rv s="0">
    <fb>45761</fb>
    <v>0</v>
  </rv>
  <rv s="0">
    <fb>9.7100000000000009</fb>
    <v>1</v>
  </rv>
  <rv s="0">
    <fb>189955001</fb>
    <v>2</v>
  </rv>
  <rv s="0">
    <fb>45762</fb>
    <v>0</v>
  </rv>
  <rv s="0">
    <fb>9.4499999999999993</fb>
    <v>1</v>
  </rv>
  <rv s="0">
    <fb>125469023</fb>
    <v>2</v>
  </rv>
  <rv s="0">
    <fb>45763</fb>
    <v>0</v>
  </rv>
  <rv s="0">
    <fb>9.4</fb>
    <v>1</v>
  </rv>
  <rv s="0">
    <fb>133804943</fb>
    <v>2</v>
  </rv>
  <rv s="0">
    <fb>45764</fb>
    <v>0</v>
  </rv>
  <rv s="0">
    <fb>9.6300000000000008</fb>
    <v>1</v>
  </rv>
  <rv s="0">
    <fb>129204565</fb>
    <v>2</v>
  </rv>
  <rv s="0">
    <fb>45768</fb>
    <v>0</v>
  </rv>
  <rv s="0">
    <fb>94138882</fb>
    <v>2</v>
  </rv>
  <rv s="0">
    <fb>45769</fb>
    <v>0</v>
  </rv>
  <rv s="0">
    <fb>121387081</fb>
    <v>2</v>
  </rv>
  <rv s="0">
    <fb>45770</fb>
    <v>0</v>
  </rv>
  <rv s="0">
    <fb>9.7799999999999994</fb>
    <v>1</v>
  </rv>
  <rv s="0">
    <fb>158691527</fb>
    <v>2</v>
  </rv>
  <rv s="0">
    <fb>45771</fb>
    <v>0</v>
  </rv>
  <rv s="0">
    <fb>10.06</fb>
    <v>1</v>
  </rv>
  <rv s="0">
    <fb>87031042</fb>
    <v>2</v>
  </rv>
  <rv s="0">
    <fb>45772</fb>
    <v>0</v>
  </rv>
  <rv s="0">
    <fb>10.039999999999999</fb>
    <v>1</v>
  </rv>
  <rv s="0">
    <fb>88682432</fb>
    <v>2</v>
  </rv>
  <rv s="0">
    <fb>45775</fb>
    <v>0</v>
  </rv>
  <rv s="0">
    <fb>10.02</fb>
    <v>1</v>
  </rv>
  <rv s="0">
    <fb>77051524</fb>
    <v>2</v>
  </rv>
  <rv s="0">
    <fb>45776</fb>
    <v>0</v>
  </rv>
  <rv s="0">
    <fb>141980313</fb>
    <v>2</v>
  </rv>
  <rv s="0">
    <fb>45777</fb>
    <v>0</v>
  </rv>
  <rv s="0">
    <fb>136406235</fb>
    <v>2</v>
  </rv>
  <rv s="0">
    <fb>45778</fb>
    <v>0</v>
  </rv>
  <rv s="0">
    <fb>10.18</fb>
    <v>1</v>
  </rv>
  <rv s="0">
    <fb>126532486</fb>
    <v>2</v>
  </rv>
  <rv s="0">
    <fb>45779</fb>
    <v>0</v>
  </rv>
  <rv s="0">
    <fb>10.28</fb>
    <v>1</v>
  </rv>
  <rv s="0">
    <fb>82228655</fb>
    <v>2</v>
  </rv>
  <rv s="0">
    <fb>45782</fb>
    <v>0</v>
  </rv>
  <rv s="0">
    <fb>105766259</fb>
    <v>2</v>
  </rv>
  <rv s="0">
    <fb>45783</fb>
    <v>0</v>
  </rv>
  <rv s="0">
    <fb>10.44</fb>
    <v>1</v>
  </rv>
  <rv s="0">
    <fb>131814035</fb>
    <v>2</v>
  </rv>
  <rv s="0">
    <fb>45784</fb>
    <v>0</v>
  </rv>
  <rv s="0">
    <fb>116936644</fb>
    <v>2</v>
  </rv>
  <rv s="0">
    <fb>45785</fb>
    <v>0</v>
  </rv>
  <rv s="0">
    <fb>107173416</fb>
    <v>2</v>
  </rv>
  <rv s="0">
    <fb>45786</fb>
    <v>0</v>
  </rv>
  <rv s="0">
    <fb>10.43</fb>
    <v>1</v>
  </rv>
  <rv s="0">
    <fb>76350701</fb>
    <v>2</v>
  </rv>
  <rv s="0">
    <fb>45789</fb>
    <v>0</v>
  </rv>
  <rv s="0">
    <fb>10.55</fb>
    <v>1</v>
  </rv>
  <rv s="0">
    <fb>102035764</fb>
    <v>2</v>
  </rv>
  <rv s="0">
    <fb>45790</fb>
    <v>0</v>
  </rv>
  <rv s="0">
    <fb>10.6</fb>
    <v>1</v>
  </rv>
  <rv s="0">
    <fb>83671012</fb>
    <v>2</v>
  </rv>
  <rv s="0">
    <fb>45791</fb>
    <v>0</v>
  </rv>
  <rv s="0">
    <fb>10.65</fb>
    <v>1</v>
  </rv>
  <rv s="0">
    <fb>84453089</fb>
    <v>2</v>
  </rv>
  <rv s="0">
    <fb>45792</fb>
    <v>0</v>
  </rv>
  <rv s="0">
    <fb>10.75</fb>
    <v>1</v>
  </rv>
  <rv s="0">
    <fb>71096528</fb>
    <v>2</v>
  </rv>
  <rv s="0">
    <fb>45793</fb>
    <v>0</v>
  </rv>
  <rv s="0">
    <fb>10.8</fb>
    <v>1</v>
  </rv>
  <rv s="0">
    <fb>64913005</fb>
    <v>2</v>
  </rv>
  <rv s="0">
    <fb>45796</fb>
    <v>0</v>
  </rv>
  <rv s="0">
    <fb>60195734</fb>
    <v>2</v>
  </rv>
  <rv s="0">
    <fb>45797</fb>
    <v>0</v>
  </rv>
  <rv s="0">
    <fb>10.72</fb>
    <v>1</v>
  </rv>
  <rv s="0">
    <fb>61063828</fb>
    <v>2</v>
  </rv>
  <rv s="0">
    <fb>45798</fb>
    <v>0</v>
  </rv>
  <rv s="0">
    <fb>10.48</fb>
    <v>1</v>
  </rv>
  <rv s="0">
    <fb>89090498</fb>
    <v>2</v>
  </rv>
  <rv s="0">
    <fb>45799</fb>
    <v>0</v>
  </rv>
  <rv s="0">
    <fb>94081143</fb>
    <v>2</v>
  </rv>
  <rv s="0">
    <fb>45800</fb>
    <v>0</v>
  </rv>
  <rv s="0">
    <fb>10.36</fb>
    <v>1</v>
  </rv>
  <rv s="0">
    <fb>80519024</fb>
    <v>2</v>
  </rv>
  <rv s="0">
    <fb>45804</fb>
    <v>0</v>
  </rv>
  <rv s="0">
    <fb>10.31</fb>
    <v>1</v>
  </rv>
  <rv s="0">
    <fb>89066847</fb>
    <v>2</v>
  </rv>
  <rv s="0">
    <fb>45805</fb>
    <v>0</v>
  </rv>
  <rv s="0">
    <fb>102335584</fb>
    <v>2</v>
  </rv>
  <rv s="0">
    <fb>45806</fb>
    <v>0</v>
  </rv>
  <rv s="0">
    <fb>10.220000000000001</fb>
    <v>1</v>
  </rv>
  <rv s="0">
    <fb>101688883</fb>
    <v>2</v>
  </rv>
  <rv s="0">
    <fb>45807</fb>
    <v>0</v>
  </rv>
  <rv s="0">
    <fb>10.38</fb>
    <v>1</v>
  </rv>
  <rv s="0">
    <fb>152191621</fb>
    <v>2</v>
  </rv>
  <rv s="0">
    <fb>45810</fb>
    <v>0</v>
  </rv>
  <rv s="0">
    <fb>9.98</fb>
    <v>1</v>
  </rv>
  <rv s="0">
    <fb>170340783</fb>
    <v>2</v>
  </rv>
  <rv s="0">
    <fb>45811</fb>
    <v>0</v>
  </rv>
  <rv s="0">
    <fb>10.19</fb>
    <v>1</v>
  </rv>
  <rv s="0">
    <fb>121584328</fb>
    <v>2</v>
  </rv>
  <rv s="0">
    <fb>45812</fb>
    <v>0</v>
  </rv>
  <rv s="0">
    <fb>10.24</fb>
    <v>1</v>
  </rv>
  <rv s="0">
    <fb>123191229</fb>
    <v>2</v>
  </rv>
  <rv s="0">
    <fb>45813</fb>
    <v>0</v>
  </rv>
  <rv s="0">
    <fb>10.1</fb>
    <v>1</v>
  </rv>
  <rv s="0">
    <fb>133269444</fb>
    <v>2</v>
  </rv>
  <rv s="0">
    <fb>45814</fb>
    <v>0</v>
  </rv>
  <rv s="0">
    <fb>10.26</fb>
    <v>1</v>
  </rv>
  <rv s="0">
    <fb>105916694</fb>
    <v>2</v>
  </rv>
  <rv s="0">
    <fb>45817</fb>
    <v>0</v>
  </rv>
  <rv s="0">
    <fb>10.34</fb>
    <v>1</v>
  </rv>
  <rv s="0">
    <fb>63638928</fb>
    <v>2</v>
  </rv>
  <rv s="0">
    <fb>45818</fb>
    <v>0</v>
  </rv>
  <rv s="0">
    <fb>87955501</fb>
    <v>2</v>
  </rv>
  <rv s="0">
    <fb>45819</fb>
    <v>0</v>
  </rv>
  <rv s="0">
    <fb>10.66</fb>
    <v>1</v>
  </rv>
  <rv s="0">
    <fb>93094876</fb>
    <v>2</v>
  </rv>
  <rv s="0">
    <fb>45820</fb>
    <v>0</v>
  </rv>
  <rv s="0">
    <fb>10.53</fb>
    <v>1</v>
  </rv>
  <rv s="0">
    <fb>76393291</fb>
    <v>2</v>
  </rv>
  <rv s="0">
    <fb>45821</fb>
    <v>0</v>
  </rv>
  <rv s="0">
    <fb>90106172</fb>
    <v>2</v>
  </rv>
  <rv s="0">
    <fb>45824</fb>
    <v>0</v>
  </rv>
  <rv s="0">
    <fb>10.62</fb>
    <v>1</v>
  </rv>
  <rv s="0">
    <fb>75195179</fb>
    <v>2</v>
  </rv>
  <rv s="0">
    <fb>45825</fb>
    <v>0</v>
  </rv>
  <rv s="0">
    <fb>10.42</fb>
    <v>1</v>
  </rv>
  <rv s="0">
    <fb>100969375</fb>
    <v>2</v>
  </rv>
  <rv s="0">
    <fb>45826</fb>
    <v>0</v>
  </rv>
  <rv s="0">
    <fb>82770168</fb>
    <v>2</v>
  </rv>
  <rv s="0">
    <fb>45828</fb>
    <v>0</v>
  </rv>
  <rv s="0">
    <fb>10.59</fb>
    <v>1</v>
  </rv>
  <rv s="0">
    <fb>116743402</fb>
    <v>2</v>
  </rv>
  <rv s="0">
    <fb>45831</fb>
    <v>0</v>
  </rv>
  <rv s="0">
    <fb>77576511</fb>
    <v>2</v>
  </rv>
  <rv s="0">
    <fb>45832</fb>
    <v>0</v>
  </rv>
  <rv s="0">
    <fb>10.73</fb>
    <v>1</v>
  </rv>
  <rv s="0">
    <fb>77244413</fb>
    <v>2</v>
  </rv>
  <rv s="0">
    <fb>45833</fb>
    <v>0</v>
  </rv>
  <rv s="0">
    <fb>91927326</fb>
    <v>2</v>
  </rv>
  <rv s="0">
    <fb>45834</fb>
    <v>0</v>
  </rv>
  <rv s="0">
    <fb>10.63</fb>
    <v>1</v>
  </rv>
  <rv s="0">
    <fb>88416356</fb>
    <v>2</v>
  </rv>
  <rv s="0">
    <fb>45835</fb>
    <v>0</v>
  </rv>
  <rv s="0">
    <fb>182008244</fb>
    <v>2</v>
  </rv>
  <rv s="0">
    <fb>45838</fb>
    <v>0</v>
  </rv>
  <rv s="0">
    <fb>10.85</fb>
    <v>1</v>
  </rv>
  <rv s="0">
    <fb>88472231</fb>
    <v>2</v>
  </rv>
  <rv s="0">
    <fb>45839</fb>
    <v>0</v>
  </rv>
  <rv s="0">
    <fb>11.35</fb>
    <v>1</v>
  </rv>
  <rv s="0">
    <fb>140150738</fb>
    <v>2</v>
  </rv>
  <rv s="0">
    <fb>45840</fb>
    <v>0</v>
  </rv>
  <rv s="0">
    <fb>11.77</fb>
    <v>1</v>
  </rv>
  <rv s="0">
    <fb>122331588</fb>
    <v>2</v>
  </rv>
  <rv s="0">
    <fb>45841</fb>
    <v>0</v>
  </rv>
  <rv s="0">
    <fb>11.81</fb>
    <v>1</v>
  </rv>
  <rv s="0">
    <fb>60311463</fb>
    <v>2</v>
  </rv>
  <rv s="0">
    <fb>45845</fb>
    <v>0</v>
  </rv>
  <rv s="0">
    <fb>11.59</fb>
    <v>1</v>
  </rv>
  <rv s="0">
    <fb>73842100</fb>
    <v>2</v>
  </rv>
  <rv s="0">
    <fb>45846</fb>
    <v>0</v>
  </rv>
  <rv s="0">
    <fb>11.68</fb>
    <v>1</v>
  </rv>
  <rv s="0">
    <fb>74190215</fb>
    <v>2</v>
  </rv>
  <rv s="0">
    <fb>45847</fb>
    <v>0</v>
  </rv>
  <rv s="0">
    <fb>11.83</fb>
    <v>1</v>
  </rv>
  <rv s="0">
    <fb>63886882</fb>
    <v>2</v>
  </rv>
  <rv s="0">
    <fb>45848</fb>
    <v>0</v>
  </rv>
  <rv s="0">
    <fb>11.91</fb>
    <v>1</v>
  </rv>
  <rv s="0">
    <fb>67263023</fb>
    <v>2</v>
  </rv>
  <rv s="0">
    <fb>45849</fb>
    <v>0</v>
  </rv>
  <rv s="0">
    <fb>11.78</fb>
    <v>1</v>
  </rv>
  <rv s="0">
    <fb>65340737</fb>
    <v>2</v>
  </rv>
  <rv s="0">
    <fb>45852</fb>
    <v>0</v>
  </rv>
  <rv s="0">
    <fb>11.88</fb>
    <v>1</v>
  </rv>
  <rv s="0">
    <fb>62098074</fb>
    <v>2</v>
  </rv>
  <rv s="0">
    <fb>45853</fb>
    <v>0</v>
  </rv>
  <rv s="0">
    <fb>11.57</fb>
    <v>1</v>
  </rv>
  <rv s="0">
    <fb>65101902</fb>
    <v>2</v>
  </rv>
  <rv s="0">
    <fb>45854</fb>
    <v>0</v>
  </rv>
  <rv s="0">
    <fb>11.24</fb>
    <v>1</v>
  </rv>
  <rv s="0">
    <fb>107978145</fb>
    <v>2</v>
  </rv>
  <rv s="0">
    <fb>45855</fb>
    <v>0</v>
  </rv>
  <rv s="0">
    <fb>11.15</fb>
    <v>1</v>
  </rv>
  <rv s="0">
    <fb>70345257</fb>
    <v>2</v>
  </rv>
  <rv s="0">
    <fb>45856</fb>
    <v>0</v>
  </rv>
  <rv s="0">
    <fb>11.16</fb>
    <v>1</v>
  </rv>
  <rv s="0">
    <fb>68812553</fb>
    <v>2</v>
  </rv>
  <rv s="0">
    <fb>45859</fb>
    <v>0</v>
  </rv>
  <rv s="0">
    <fb>11.31</fb>
    <v>1</v>
  </rv>
  <rv s="0">
    <fb>65515630</fb>
    <v>2</v>
  </rv>
  <rv s="0">
    <fb>45860</fb>
    <v>0</v>
  </rv>
  <rv s="0">
    <fb>11.19</fb>
    <v>1</v>
  </rv>
  <rv s="0">
    <fb>79403755</fb>
    <v>2</v>
  </rv>
  <rv s="0">
    <fb>45861</fb>
    <v>0</v>
  </rv>
  <rv s="0">
    <fb>11.38</fb>
    <v>1</v>
  </rv>
  <rv s="0">
    <fb>76163207</fb>
    <v>2</v>
  </rv>
  <rv s="0">
    <fb>45862</fb>
    <v>0</v>
  </rv>
  <rv s="0">
    <fb>11.26</fb>
    <v>1</v>
  </rv>
  <rv s="0">
    <fb>63557796</fb>
    <v>2</v>
  </rv>
  <rv s="0">
    <fb>45863</fb>
    <v>0</v>
  </rv>
  <rv s="0">
    <fb>11.47</fb>
    <v>1</v>
  </rv>
  <rv s="0">
    <fb>52312257</fb>
    <v>2</v>
  </rv>
  <rv s="0">
    <fb>45866</fb>
    <v>0</v>
  </rv>
  <rv s="0">
    <fb>11.28</fb>
    <v>1</v>
  </rv>
  <rv s="0">
    <fb>54173647</fb>
    <v>2</v>
  </rv>
  <rv s="0">
    <fb>45867</fb>
    <v>0</v>
  </rv>
  <rv s="0">
    <fb>11.08</fb>
    <v>1</v>
  </rv>
  <rv s="0">
    <fb>58371483</fb>
    <v>2</v>
  </rv>
  <rv s="0">
    <fb>45868</fb>
    <v>0</v>
  </rv>
  <rv s="0">
    <fb>10.87</fb>
    <v>1</v>
  </rv>
  <rv s="0">
    <fb>79866858</fb>
    <v>2</v>
  </rv>
  <rv s="0">
    <fb>45869</fb>
    <v>0</v>
  </rv>
  <rv s="0">
    <fb>11.07</fb>
    <v>1</v>
  </rv>
  <rv s="0">
    <fb>101090884</fb>
    <v>2</v>
  </rv>
  <rv s="0">
    <fb>45870</fb>
    <v>0</v>
  </rv>
  <rv s="0">
    <fb>10.82</fb>
    <v>1</v>
  </rv>
  <rv s="0">
    <fb>73541489</fb>
    <v>2</v>
  </rv>
  <rv s="0">
    <fb>45873</fb>
    <v>0</v>
  </rv>
  <rv s="0">
    <fb>10.95</fb>
    <v>1</v>
  </rv>
  <rv s="0">
    <fb>56696828</fb>
    <v>2</v>
  </rv>
  <rv s="0">
    <fb>45874</fb>
    <v>0</v>
  </rv>
  <rv s="0">
    <fb>11.06</fb>
    <v>1</v>
  </rv>
  <rv s="0">
    <fb>58864252</fb>
    <v>2</v>
  </rv>
  <rv s="0">
    <fb>45875</fb>
    <v>0</v>
  </rv>
  <rv s="0">
    <fb>11.21</fb>
    <v>1</v>
  </rv>
  <rv s="0">
    <fb>59519843</fb>
    <v>2</v>
  </rv>
  <rv s="0">
    <fb>45876</fb>
    <v>0</v>
  </rv>
  <rv s="0">
    <fb>71774972</fb>
    <v>2</v>
  </rv>
  <rv s="0">
    <fb>45877</fb>
    <v>0</v>
  </rv>
  <rv s="0">
    <fb>11.32</fb>
    <v>1</v>
  </rv>
  <rv s="0">
    <fb>48465317</fb>
    <v>2</v>
  </rv>
  <rv s="0">
    <fb>45880</fb>
    <v>0</v>
  </rv>
  <rv s="0">
    <fb>11.14</fb>
    <v>1</v>
  </rv>
  <rv s="0">
    <fb>84332966</fb>
    <v>2</v>
  </rv>
  <rv s="0">
    <fb>45881</fb>
    <v>0</v>
  </rv>
  <rv s="0">
    <fb>11.25</fb>
    <v>1</v>
  </rv>
  <rv s="0">
    <fb>64021039</fb>
    <v>2</v>
  </rv>
  <rv s="0">
    <fb>45882</fb>
    <v>0</v>
  </rv>
  <rv s="0">
    <fb>11.44</fb>
    <v>1</v>
  </rv>
  <rv s="0">
    <fb>63823345</fb>
    <v>2</v>
  </rv>
  <rv s="0">
    <fb>45883</fb>
    <v>0</v>
  </rv>
  <rv s="0">
    <fb>52469244</fb>
    <v>2</v>
  </rv>
  <rv s="0">
    <fb>45884</fb>
    <v>0</v>
  </rv>
  <rv s="0">
    <fb>46141355</fb>
    <v>2</v>
  </rv>
  <rv s="0">
    <fb>45887</fb>
    <v>0</v>
  </rv>
  <rv s="0">
    <fb>11.46</fb>
    <v>1</v>
  </rv>
  <rv s="0">
    <fb>37113805</fb>
    <v>2</v>
  </rv>
  <rv s="0">
    <fb>45888</fb>
    <v>0</v>
  </rv>
  <rv s="0">
    <fb>11.58</fb>
    <v>1</v>
  </rv>
  <rv s="0">
    <fb>58020177</fb>
    <v>2</v>
  </rv>
  <rv s="0">
    <fb>45889</fb>
    <v>0</v>
  </rv>
  <rv s="0">
    <fb>11.49</fb>
    <v>1</v>
  </rv>
  <rv s="0">
    <fb>46469853</fb>
    <v>2</v>
  </rv>
  <rv s="0">
    <fb>45890</fb>
    <v>0</v>
  </rv>
  <rv s="0">
    <fb>11.33</fb>
    <v>1</v>
  </rv>
  <rv s="0">
    <fb>51779301</fb>
    <v>2</v>
  </rv>
  <rv s="0">
    <fb>45891</fb>
    <v>0</v>
  </rv>
  <rv s="0">
    <fb>11.74</fb>
    <v>1</v>
  </rv>
  <rv s="0">
    <fb>58538704</fb>
    <v>2</v>
  </rv>
  <rv s="0">
    <fb>45894</fb>
    <v>0</v>
  </rv>
  <rv s="0">
    <fb>11.82</fb>
    <v>1</v>
  </rv>
  <rv s="0">
    <fb>45038754</fb>
    <v>2</v>
  </rv>
  <rv s="0">
    <fb>45895</fb>
    <v>0</v>
  </rv>
  <rv s="0">
    <fb>11.84</fb>
    <v>1</v>
  </rv>
  <rv s="0">
    <fb>48613273</fb>
    <v>2</v>
  </rv>
  <rv s="0">
    <fb>45896</fb>
    <v>0</v>
  </rv>
  <rv s="0">
    <fb>40381477</fb>
    <v>2</v>
  </rv>
  <rv s="0">
    <fb>45897</fb>
    <v>0</v>
  </rv>
  <rv s="0">
    <fb>11.71</fb>
    <v>1</v>
  </rv>
  <rv s="0">
    <fb>47723668</fb>
    <v>2</v>
  </rv>
  <rv s="0">
    <fb>45898</fb>
    <v>0</v>
  </rv>
  <rv s="0">
    <fb>44069734</fb>
    <v>2</v>
  </rv>
  <rv s="0">
    <fb>45902</fb>
    <v>0</v>
  </rv>
  <rv s="0">
    <fb>11.72</fb>
    <v>1</v>
  </rv>
  <rv s="0">
    <fb>57704182</fb>
    <v>2</v>
  </rv>
  <rv s="0">
    <fb>45903</fb>
    <v>0</v>
  </rv>
  <rv s="0">
    <fb>11.62</fb>
    <v>1</v>
  </rv>
  <rv s="0">
    <fb>47728660</fb>
    <v>2</v>
  </rv>
  <rv s="0">
    <fb>45904</fb>
    <v>0</v>
  </rv>
  <rv s="0">
    <fb>33136650</fb>
    <v>2</v>
  </rv>
  <rv s="0">
    <fb>45905</fb>
    <v>0</v>
  </rv>
  <rv s="0">
    <fb>47547831</fb>
    <v>2</v>
  </rv>
  <rv s="0">
    <fb>45908</fb>
    <v>0</v>
  </rv>
  <rv s="0">
    <fb>11.69</fb>
    <v>1</v>
  </rv>
  <rv s="0">
    <fb>39734522</fb>
    <v>2</v>
  </rv>
  <rv s="0">
    <fb>45909</fb>
    <v>0</v>
  </rv>
  <rv s="0">
    <fb>41262743</fb>
    <v>2</v>
  </rv>
  <rv s="0">
    <fb>45910</fb>
    <v>0</v>
  </rv>
  <rv s="0">
    <fb>11.42</fb>
    <v>1</v>
  </rv>
  <rv s="0">
    <fb>47021328</fb>
    <v>2</v>
  </rv>
  <rv s="0">
    <fb>45911</fb>
    <v>0</v>
  </rv>
  <rv s="0">
    <fb>11.76</fb>
    <v>1</v>
  </rv>
  <rv s="0">
    <fb>64196118</fb>
    <v>2</v>
  </rv>
  <rv s="0">
    <fb>45912</fb>
    <v>0</v>
  </rv>
  <rv s="0">
    <fb>50100809</fb>
    <v>2</v>
  </rv>
  <rv s="0">
    <fb>45915</fb>
    <v>0</v>
  </rv>
  <rv s="0">
    <fb>47942431</fb>
    <v>2</v>
  </rv>
  <rv s="0">
    <fb>45916</fb>
    <v>0</v>
  </rv>
  <rv s="0">
    <fb>11.61</fb>
    <v>1</v>
  </rv>
  <rv s="0">
    <fb>58064970</fb>
    <v>2</v>
  </rv>
  <rv s="0">
    <fb>45917</fb>
    <v>0</v>
  </rv>
  <rv s="0">
    <fb>11.66</fb>
    <v>1</v>
  </rv>
  <rv s="0">
    <fb>68585945</fb>
    <v>2</v>
  </rv>
  <rv s="0">
    <fb>45918</fb>
    <v>0</v>
  </rv>
  <rv s="0">
    <fb>55040063</fb>
    <v>2</v>
  </rv>
  <rv s="0">
    <fb>45919</fb>
    <v>0</v>
  </rv>
  <rv s="0">
    <fb>71676341</fb>
    <v>2</v>
  </rv>
  <rv s="0">
    <fb>45922</fb>
    <v>0</v>
  </rv>
  <rv s="0">
    <fb>58432710</fb>
    <v>2</v>
  </rv>
  <rv s="0">
    <fb>45923</fb>
    <v>0</v>
  </rv>
  <rv s="0">
    <fb>11.73</fb>
    <v>1</v>
  </rv>
  <rv s="0">
    <fb>55667552</fb>
    <v>2</v>
  </rv>
  <rv s="0">
    <fb>45924</fb>
    <v>0</v>
  </rv>
  <rv s="0">
    <fb>11.63</fb>
    <v>1</v>
  </rv>
  <rv s="0">
    <fb>60193780</fb>
    <v>2</v>
  </rv>
  <rv s="0">
    <fb>45925</fb>
    <v>0</v>
  </rv>
  <rv s="0">
    <fb>67656337</fb>
    <v>2</v>
  </rv>
  <rv s="0">
    <fb>45926</fb>
    <v>0</v>
  </rv>
  <rv s="0">
    <fb>12.01</fb>
    <v>1</v>
  </rv>
  <rv s="0">
    <fb>117681848</fb>
    <v>2</v>
  </rv>
  <rv s="0">
    <fb>45929</fb>
    <v>0</v>
  </rv>
  <rv s="0">
    <fb>12.09</fb>
    <v>1</v>
  </rv>
  <rv s="0">
    <fb>83325012</fb>
    <v>2</v>
  </rv>
  <rv s="0">
    <fb>45930</fb>
    <v>0</v>
  </rv>
  <rv s="0">
    <fb>11.96</fb>
    <v>1</v>
  </rv>
  <rv s="0">
    <fb>70765048</fb>
    <v>2</v>
  </rv>
  <rv s="0">
    <fb>45931</fb>
    <v>0</v>
  </rv>
  <rv s="0">
    <fb>12.27</fb>
    <v>1</v>
  </rv>
  <rv s="0">
    <fb>73578427</fb>
    <v>2</v>
  </rv>
  <rv s="0">
    <fb>45932</fb>
    <v>0</v>
  </rv>
  <rv s="0">
    <fb>12.22</fb>
    <v>1</v>
  </rv>
  <rv s="0">
    <fb>74530532</fb>
    <v>2</v>
  </rv>
  <rv s="0">
    <fb>45933</fb>
    <v>0</v>
  </rv>
  <rv s="0">
    <fb>12.67</fb>
    <v>1</v>
  </rv>
  <rv s="0">
    <fb>100778558</fb>
    <v>2</v>
  </rv>
  <rv s="0">
    <fb>45936</fb>
    <v>0</v>
  </rv>
  <rv s="0">
    <fb>12.7</fb>
    <v>1</v>
  </rv>
  <rv s="0">
    <fb>90544937</fb>
    <v>2</v>
  </rv>
  <rv s="0">
    <fb>45937</fb>
    <v>0</v>
  </rv>
  <rv s="0">
    <fb>11.92</fb>
    <v>1</v>
  </rv>
  <rv s="0">
    <fb>154390154</fb>
    <v>2</v>
  </rv>
  <rv s="0">
    <fb>45938</fb>
    <v>0</v>
  </rv>
  <rv s="0">
    <fb>78469653</fb>
    <v>2</v>
  </rv>
  <rv s="0">
    <fb>45939</fb>
    <v>0</v>
  </rv>
  <rv s="0">
    <fb>11.5</fb>
    <v>1</v>
  </rv>
  <rv s="0">
    <fb>70320483</fb>
    <v>2</v>
  </rv>
  <rv s="0">
    <fb>45940</fb>
    <v>0</v>
  </rv>
  <rv s="0">
    <fb>11.41</fb>
    <v>1</v>
  </rv>
  <rv s="0">
    <fb>84595402</fb>
    <v>2</v>
  </rv>
  <rv s="0">
    <fb>45943</fb>
    <v>0</v>
  </rv>
  <rv s="0">
    <fb>11.54</fb>
    <v>1</v>
  </rv>
  <rv s="0">
    <fb>73939384</fb>
    <v>2</v>
  </rv>
  <rv s="0">
    <fb>45944</fb>
    <v>0</v>
  </rv>
  <rv s="0">
    <fb>11.65</fb>
    <v>1</v>
  </rv>
  <rv s="0">
    <fb>89117946</fb>
    <v>2</v>
  </rv>
  <rv s="0">
    <fb>45945</fb>
    <v>0</v>
  </rv>
  <rv s="0">
    <fb>88960726</fb>
    <v>2</v>
  </rv>
  <rv s="0">
    <fb>45946</fb>
    <v>0</v>
  </rv>
  <rv s="0">
    <fb>108701202</fb>
    <v>2</v>
  </rv>
  <rv s="0">
    <fb>45947</fb>
    <v>0</v>
  </rv>
  <rv s="0">
    <fb>107633522</fb>
    <v>2</v>
  </rv>
  <rv s="0">
    <fb>45950</fb>
    <v>0</v>
  </rv>
  <rv s="0">
    <fb>11.99</fb>
    <v>1</v>
  </rv>
  <rv s="0">
    <fb>77878936</fb>
    <v>2</v>
  </rv>
  <rv s="0">
    <fb>45951</fb>
    <v>0</v>
  </rv>
  <rv s="0">
    <fb>12.56</fb>
    <v>1</v>
  </rv>
  <rv s="0">
    <fb>297153158</fb>
    <v>2</v>
  </rv>
  <rv s="0">
    <fb>45952</fb>
    <v>0</v>
  </rv>
  <rv s="0">
    <fb>12.43</fb>
    <v>1</v>
  </rv>
  <rv s="0">
    <fb>415062173</fb>
    <v>2</v>
  </rv>
  <rv s="0">
    <fb>45953</fb>
    <v>0</v>
  </rv>
  <rv s="0">
    <fb>12.34</fb>
    <v>1</v>
  </rv>
  <rv s="0">
    <fb>479840312</fb>
    <v>2</v>
  </rv>
  <rv s="0">
    <fb>45954</fb>
    <v>0</v>
  </rv>
  <rv s="0">
    <fb>13.84</fb>
    <v>1</v>
  </rv>
  <rv s="0">
    <fb>298366862</fb>
    <v>2</v>
  </rv>
  <rv s="0">
    <fb>45957</fb>
    <v>0</v>
  </rv>
  <rv s="0">
    <fb>13.26</fb>
    <v>1</v>
  </rv>
  <rv s="0">
    <fb>140859004</fb>
    <v>2</v>
  </rv>
  <rv s="0">
    <fb>45958</fb>
    <v>0</v>
  </rv>
  <rv s="0">
    <fb>13.13</fb>
    <v>1</v>
  </rv>
  <rv s="0">
    <fb>96738451</fb>
    <v>2</v>
  </rv>
  <rv s="0">
    <fb>45959</fb>
    <v>0</v>
  </rv>
  <rv s="0">
    <fb>13.24</fb>
    <v>1</v>
  </rv>
  <rv s="0">
    <fb>127512240</fb>
    <v>2</v>
  </rv>
  <rv s="0">
    <fb>45960</fb>
    <v>0</v>
  </rv>
  <rv s="0">
    <fb>13.06</fb>
    <v>1</v>
  </rv>
  <rv s="0">
    <fb>80766301</fb>
    <v>2</v>
  </rv>
  <rv s="0">
    <fb>45961</fb>
    <v>0</v>
  </rv>
  <rv s="0">
    <fb>68861988</fb>
    <v>2</v>
  </rv>
  <rv s="0">
    <fb>45964</fb>
    <v>0</v>
  </rv>
  <rv s="0">
    <fb>13.01</fb>
    <v>1</v>
  </rv>
  <rv s="0">
    <fb>80419403</fb>
    <v>2</v>
  </rv>
  <rv s="0">
    <fb>45965</fb>
    <v>0</v>
  </rv>
  <rv s="0">
    <fb>12.79</fb>
    <v>1</v>
  </rv>
  <rv s="0">
    <fb>70360611</fb>
    <v>2</v>
  </rv>
  <rv s="0">
    <fb>45966</fb>
    <v>0</v>
  </rv>
  <rv s="0">
    <fb>13.11</fb>
    <v>1</v>
  </rv>
  <rv s="0">
    <fb>79134307</fb>
    <v>2</v>
  </rv>
  <rv s="0">
    <fb>45967</fb>
    <v>0</v>
  </rv>
  <rv s="0">
    <fb>13.12</fb>
    <v>1</v>
  </rv>
  <rv s="0">
    <fb>82291049</fb>
    <v>2</v>
  </rv>
  <rv s="0">
    <fb>45968</fb>
    <v>0</v>
  </rv>
  <rv s="0">
    <fb>13.21</fb>
    <v>1</v>
  </rv>
  <rv s="0">
    <fb>80011318</fb>
    <v>2</v>
  </rv>
  <rv s="0">
    <fb>45971</fb>
    <v>0</v>
  </rv>
  <rv s="0">
    <fb>13.16</fb>
    <v>1</v>
  </rv>
  <rv s="0">
    <fb>62051157</fb>
    <v>2</v>
  </rv>
  <rv s="0">
    <fb>45972</fb>
    <v>0</v>
  </rv>
  <rv s="0">
    <fb>13.3</fb>
    <v>1</v>
  </rv>
  <rv s="0">
    <fb>79742405</fb>
    <v>2</v>
  </rv>
  <rv s="0">
    <fb>45973</fb>
    <v>0</v>
  </rv>
  <rv s="0">
    <fb>13.45</fb>
    <v>1</v>
  </rv>
  <rv s="0">
    <fb>61840461</fb>
    <v>2</v>
  </rv>
  <rv s="0">
    <fb>45974</fb>
    <v>0</v>
  </rv>
  <rv s="0">
    <fb>13.28</fb>
    <v>1</v>
  </rv>
  <rv s="0">
    <fb>71481613</fb>
    <v>2</v>
  </rv>
  <rv s="0">
    <fb>45975</fb>
    <v>0</v>
  </rv>
  <rv s="0">
    <fb>13.19</fb>
    <v>1</v>
  </rv>
  <rv s="0">
    <fb>67932422</fb>
    <v>2</v>
  </rv>
  <rv s="0">
    <fb>45978</fb>
    <v>0</v>
  </rv>
  <rv s="0">
    <fb>12.88</fb>
    <v>1</v>
  </rv>
  <rv s="0">
    <fb>73404381</fb>
    <v>2</v>
  </rv>
  <rv s="0">
    <fb>45979</fb>
    <v>0</v>
  </rv>
  <rv s="0">
    <fb>13.02</fb>
    <v>1</v>
  </rv>
  <rv s="0">
    <fb>70215400</fb>
    <v>2</v>
  </rv>
  <rv s="0">
    <fb>45980</fb>
    <v>0</v>
  </rv>
  <rv s="0">
    <fb>12.9</fb>
    <v>1</v>
  </rv>
  <rv s="0">
    <fb>49619260</fb>
    <v>2</v>
  </rv>
  <rv s="0">
    <fb>45981</fb>
    <v>0</v>
  </rv>
  <rv s="0">
    <fb>12.41</fb>
    <v>1</v>
  </rv>
  <rv s="0">
    <fb>95861863</fb>
    <v>2</v>
  </rv>
  <rv s="0">
    <fb>45982</fb>
    <v>0</v>
  </rv>
  <rv s="0">
    <fb>12.83</fb>
    <v>1</v>
  </rv>
  <rv s="0">
    <fb>74048860</fb>
    <v>2</v>
  </rv>
  <rv s="0">
    <fb>45985</fb>
    <v>0</v>
  </rv>
  <rv s="0">
    <fb>12.96</fb>
    <v>1</v>
  </rv>
  <rv s="0">
    <fb>52936240</fb>
    <v>2</v>
  </rv>
  <rv s="0">
    <fb>45986</fb>
    <v>0</v>
  </rv>
  <rv s="0">
    <fb>13.17</fb>
    <v>1</v>
  </rv>
  <rv s="0">
    <fb>52884970</fb>
    <v>2</v>
  </rv>
  <rv s="0">
    <fb>45987</fb>
    <v>0</v>
  </rv>
  <rv s="0">
    <fb>44942203</fb>
    <v>2</v>
  </rv>
  <rv s="0">
    <fb>45989</fb>
    <v>0</v>
  </rv>
  <rv s="0">
    <fb>29536180</fb>
    <v>2</v>
  </rv>
  <rv s="0">
    <fb>45992</fb>
    <v>0</v>
  </rv>
  <rv s="0">
    <fb>51593955</fb>
    <v>2</v>
  </rv>
  <rv s="0">
    <fb>45993</fb>
    <v>0</v>
  </rv>
  <rv s="0">
    <fb>57641703</fb>
    <v>2</v>
  </rv>
  <rv s="0">
    <fb>45994</fb>
    <v>0</v>
  </rv>
  <rv s="0">
    <fb>13.09</fb>
    <v>1</v>
  </rv>
  <rv s="0">
    <fb>45364666</fb>
    <v>2</v>
  </rv>
  <rv s="0">
    <fb>45995</fb>
    <v>0</v>
  </rv>
  <rv s="0">
    <fb>13.14</fb>
    <v>1</v>
  </rv>
  <rv s="0">
    <fb>47554803</fb>
    <v>2</v>
  </rv>
  <rv s="0">
    <fb>45996</fb>
    <v>0</v>
  </rv>
  <rv s="0">
    <fb>13.03</fb>
    <v>1</v>
  </rv>
  <rv s="0">
    <fb>54099362</fb>
    <v>2</v>
  </rv>
  <rv s="0">
    <fb>45999</fb>
    <v>0</v>
  </rv>
  <rv s="0">
    <fb>45580830</fb>
    <v>2</v>
  </rv>
  <rv s="0">
    <fb>46000</fb>
    <v>0</v>
  </rv>
  <rv s="0">
    <fb>13.08</fb>
    <v>1</v>
  </rv>
  <rv s="0">
    <fb>33349986</fb>
    <v>2</v>
  </rv>
  <rv s="0">
    <fb>46001</fb>
    <v>0</v>
  </rv>
  <rv s="0">
    <fb>13.41</fb>
    <v>1</v>
  </rv>
  <rv s="0">
    <fb>72210701</fb>
    <v>2</v>
  </rv>
  <rv s="0">
    <fb>46002</fb>
    <v>0</v>
  </rv>
  <rv s="0">
    <fb>13.63</fb>
    <v>1</v>
  </rv>
  <rv s="0">
    <fb>59012304</fb>
    <v>2</v>
  </rv>
  <rv s="0">
    <fb>46003</fb>
    <v>0</v>
  </rv>
  <rv s="0">
    <fb>13.76</fb>
    <v>1</v>
  </rv>
  <rv s="0">
    <fb>48337280</fb>
    <v>2</v>
  </rv>
  <rv s="0">
    <fb>46006</fb>
    <v>0</v>
  </rv>
  <rv s="0">
    <fb>13.65</fb>
    <v>1</v>
  </rv>
  <rv s="0">
    <fb>53577255</fb>
    <v>2</v>
  </rv>
  <rv s="0">
    <fb>46007</fb>
    <v>0</v>
  </rv>
  <rv s="0">
    <fb>13.67</fb>
    <v>1</v>
  </rv>
  <rv s="0">
    <fb>69408875</fb>
    <v>2</v>
  </rv>
  <rv s="0">
    <fb>46008</fb>
    <v>0</v>
  </rv>
  <rv s="0">
    <fb>13.31</fb>
    <v>1</v>
  </rv>
  <rv s="0">
    <fb>58320635</fb>
    <v>2</v>
  </rv>
  <rv s="0">
    <fb>46009</fb>
    <v>0</v>
  </rv>
  <rv s="0">
    <fb>13.32</fb>
    <v>1</v>
  </rv>
  <rv s="0">
    <fb>52604828</fb>
    <v>2</v>
  </rv>
  <rv s="0">
    <fb>46010</fb>
    <v>0</v>
  </rv>
  <rv s="0">
    <fb>13.47</fb>
    <v>1</v>
  </rv>
  <rv s="0">
    <fb>61640571</fb>
    <v>2</v>
  </rv>
  <rv s="0">
    <fb>46013</fb>
    <v>0</v>
  </rv>
  <rv s="0">
    <fb>13.46</fb>
    <v>1</v>
  </rv>
  <rv s="0">
    <fb>31106109</fb>
    <v>2</v>
  </rv>
  <rv s="0">
    <fb>46014</fb>
    <v>0</v>
  </rv>
  <rv s="0">
    <fb>13.29</fb>
    <v>1</v>
  </rv>
  <rv s="0">
    <fb>25440833</fb>
    <v>2</v>
  </rv>
  <rv s="0">
    <fb>46015</fb>
    <v>0</v>
  </rv>
  <rv s="0">
    <fb>13.36</fb>
    <v>1</v>
  </rv>
  <rv s="0">
    <fb>14227582</fb>
    <v>2</v>
  </rv>
  <rv s="0">
    <fb>46017</fb>
    <v>0</v>
  </rv>
  <rv s="0">
    <fb>22471423</fb>
    <v>2</v>
  </rv>
  <rv s="0">
    <fb>46020</fb>
    <v>0</v>
  </rv>
  <rv s="0">
    <fb>24398306</fb>
    <v>2</v>
  </rv>
  <rv s="0">
    <fb>46021</fb>
    <v>0</v>
  </rv>
  <rv s="0">
    <fb>13.23</fb>
    <v>1</v>
  </rv>
  <rv s="0">
    <fb>23002807</fb>
    <v>2</v>
  </rv>
  <rv s="0">
    <fb>46022</fb>
    <v>0</v>
  </rv>
  <rv s="0">
    <fb>26302260</fb>
    <v>2</v>
  </rv>
  <rv s="0">
    <fb>46024</fb>
    <v>0</v>
  </rv>
  <rv s="0">
    <fb>13.34</fb>
    <v>1</v>
  </rv>
  <rv s="0">
    <fb>46366861</fb>
    <v>2</v>
  </rv>
  <rv s="0">
    <fb>46027</fb>
    <v>0</v>
  </rv>
  <rv s="0">
    <fb>50135246</fb>
    <v>2</v>
  </rv>
  <rv s="0">
    <fb>46028</fb>
    <v>0</v>
  </rv>
  <rv s="0">
    <fb>13.8</fb>
    <v>1</v>
  </rv>
  <rv s="0">
    <fb>84534703</fb>
    <v>2</v>
  </rv>
  <rv s="0">
    <fb>46029</fb>
    <v>0</v>
  </rv>
  <rv s="0">
    <fb>13.74</fb>
    <v>1</v>
  </rv>
  <rv s="0">
    <fb>50608950</fb>
    <v>2</v>
  </rv>
  <rv s="0">
    <fb>46030</fb>
    <v>0</v>
  </rv>
  <rv s="0">
    <fb>14.4</fb>
    <v>1</v>
  </rv>
  <rv s="0">
    <fb>154276839</fb>
    <v>2</v>
  </rv>
  <rv s="0">
    <fb>46031</fb>
    <v>0</v>
  </rv>
  <rv s="0">
    <fb>14.2</fb>
    <v>1</v>
  </rv>
  <rv s="0">
    <fb>68436178</fb>
    <v>2</v>
  </rv>
  <rv s="0">
    <fb>46034</fb>
    <v>0</v>
  </rv>
  <rv s="0">
    <fb>14.03</fb>
    <v>1</v>
  </rv>
  <rv s="0">
    <fb>53443964</fb>
    <v>2</v>
  </rv>
  <rv s="0">
    <fb>46035</fb>
    <v>0</v>
  </rv>
  <rv s="0">
    <fb>13.98</fb>
    <v>1</v>
  </rv>
  <rv s="0">
    <fb>58867535</fb>
    <v>2</v>
  </rv>
  <rv s="0">
    <fb>46036</fb>
    <v>0</v>
  </rv>
  <rv s="0">
    <fb>65318552</fb>
    <v>2</v>
  </rv>
  <rv s="0">
    <fb>46037</fb>
    <v>0</v>
  </rv>
  <rv s="0">
    <fb>13.81</fb>
    <v>1</v>
  </rv>
  <rv s="0">
    <fb>44241477</fb>
    <v>2</v>
  </rv>
  <rv s="0">
    <fb>46038</fb>
    <v>0</v>
  </rv>
  <rv s="0">
    <fb>13.6</fb>
    <v>1</v>
  </rv>
  <rv s="0">
    <fb>60750836</fb>
    <v>2</v>
  </rv>
  <rv s="0">
    <fb>46042</fb>
    <v>0</v>
  </rv>
  <rv s="0">
    <fb>67018098</fb>
    <v>2</v>
  </rv>
  <rv s="0">
    <fb>46043</fb>
    <v>0</v>
  </rv>
  <rv s="0">
    <fb>13.77</fb>
    <v>1</v>
  </rv>
  <rv s="0">
    <fb>58160147</fb>
    <v>2</v>
  </rv>
  <rv s="1">
    <v>3</v>
    <v>F</v>
    <v>Daily</v>
    <v>45292</v>
    <v>46044</v>
    <v>0</v>
    <v>1</v>
    <v>639045504000000000,639047086920507351,0</v>
    <v>0</v>
    <v>a1sjw7</v>
    <v>XNYS:F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991A6A-B232-4000-865E-EB0A49986E6D}" name="Weekly_1" displayName="Weekly_1" ref="A1:F120" tableType="queryTable" totalsRowShown="0">
  <autoFilter ref="A1:F120" xr:uid="{F9991A6A-B232-4000-865E-EB0A49986E6D}"/>
  <tableColumns count="6">
    <tableColumn id="1" xr3:uid="{6B407C4E-96A4-4100-8A3A-BB76D7265614}" uniqueName="1" name="Date" queryTableFieldId="1" dataDxfId="5"/>
    <tableColumn id="2" xr3:uid="{498E5F83-F253-4D78-A88B-6EC2A914582F}" uniqueName="2" name="weekly_average" queryTableFieldId="2"/>
    <tableColumn id="3" xr3:uid="{19881A48-FF8B-4ADA-A3FB-A996FD419B53}" uniqueName="3" name="Forecast" queryTableFieldId="3"/>
    <tableColumn id="4" xr3:uid="{7BD50485-B67C-46DD-8A21-4137780FEC54}" uniqueName="4" name="PI" queryTableFieldId="4"/>
    <tableColumn id="5" xr3:uid="{121E8455-1254-4F80-8170-EC4F454ECA4D}" uniqueName="5" name="Upper" queryTableFieldId="5" dataDxfId="4">
      <calculatedColumnFormula>C2+D2</calculatedColumnFormula>
    </tableColumn>
    <tableColumn id="6" xr3:uid="{E33ECAFA-05B2-44A9-ABE4-09FE6E19EDB1}" uniqueName="6" name="Lower" queryTableFieldId="6" dataDxfId="3">
      <calculatedColumnFormula>C2-D2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9179C-92F4-437D-B937-36B1AA833219}" name="Weekly" displayName="Weekly" ref="A1:F120" totalsRowShown="0">
  <autoFilter ref="A1:F120" xr:uid="{6439179C-92F4-437D-B937-36B1AA833219}"/>
  <tableColumns count="6">
    <tableColumn id="1" xr3:uid="{64C1996F-BC6A-44DD-85FF-146B95C935D9}" name="Date" dataDxfId="2"/>
    <tableColumn id="2" xr3:uid="{58289259-A056-406D-8560-4500AEBE8FA6}" name="Average Close"/>
    <tableColumn id="3" xr3:uid="{FFD1412F-1D33-4ABD-B803-0292A99613A1}" name="Forecast"/>
    <tableColumn id="4" xr3:uid="{CAB45D72-7C8D-4001-8E31-26CFB2958ED9}" name="PI"/>
    <tableColumn id="5" xr3:uid="{79BDE564-02B5-431B-BD0E-AFFE3083E290}" name="Upper" dataDxfId="1">
      <calculatedColumnFormula>Weekly[[#This Row],[Forecast]]+Weekly[[#This Row],[PI]]</calculatedColumnFormula>
    </tableColumn>
    <tableColumn id="6" xr3:uid="{9564E283-D1FA-465A-9966-C8BACA549041}" name="Lower" dataDxfId="0">
      <calculatedColumnFormula>Weekly[[#This Row],[Forecast]]-Weekly[[#This Row],[PI]]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D10"/>
  <sheetViews>
    <sheetView workbookViewId="0">
      <selection activeCell="D14" sqref="D14"/>
    </sheetView>
  </sheetViews>
  <sheetFormatPr defaultRowHeight="15" x14ac:dyDescent="0.25"/>
  <cols>
    <col min="1" max="1" width="15" bestFit="1" customWidth="1"/>
    <col min="2" max="2" width="14.5703125" bestFit="1" customWidth="1"/>
    <col min="3" max="3" width="12.85546875" bestFit="1" customWidth="1"/>
  </cols>
  <sheetData>
    <row r="1" spans="1:4" x14ac:dyDescent="0.25">
      <c r="A1" t="s">
        <v>25</v>
      </c>
      <c r="B1" t="s">
        <v>26</v>
      </c>
    </row>
    <row r="2" spans="1:4" x14ac:dyDescent="0.25">
      <c r="A2" s="13" t="s">
        <v>27</v>
      </c>
      <c r="B2" s="13" t="s">
        <v>28</v>
      </c>
    </row>
    <row r="3" spans="1:4" x14ac:dyDescent="0.25">
      <c r="A3" s="14" t="s">
        <v>1</v>
      </c>
      <c r="B3" s="14" t="s">
        <v>29</v>
      </c>
    </row>
    <row r="4" spans="1:4" x14ac:dyDescent="0.25">
      <c r="A4" s="15" t="s">
        <v>30</v>
      </c>
      <c r="B4" s="15" t="s">
        <v>31</v>
      </c>
    </row>
    <row r="5" spans="1:4" x14ac:dyDescent="0.25">
      <c r="A5" s="16" t="s">
        <v>15</v>
      </c>
      <c r="B5" s="16" t="s">
        <v>32</v>
      </c>
    </row>
    <row r="6" spans="1:4" x14ac:dyDescent="0.25">
      <c r="A6" s="9" t="s">
        <v>20</v>
      </c>
      <c r="B6" s="9" t="s">
        <v>33</v>
      </c>
    </row>
    <row r="7" spans="1:4" x14ac:dyDescent="0.25">
      <c r="A7" s="17" t="s">
        <v>23</v>
      </c>
      <c r="B7" s="17" t="s">
        <v>34</v>
      </c>
    </row>
    <row r="8" spans="1:4" x14ac:dyDescent="0.25">
      <c r="A8" t="s">
        <v>35</v>
      </c>
      <c r="B8" t="s">
        <v>36</v>
      </c>
    </row>
    <row r="9" spans="1:4" x14ac:dyDescent="0.25">
      <c r="A9" t="s">
        <v>37</v>
      </c>
      <c r="B9" t="s">
        <v>38</v>
      </c>
    </row>
    <row r="10" spans="1:4" x14ac:dyDescent="0.25">
      <c r="A10" s="20" t="s">
        <v>44</v>
      </c>
      <c r="B10" s="19" t="s">
        <v>45</v>
      </c>
      <c r="C10" s="21"/>
      <c r="D1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F2E9-ED34-471B-8C76-D2C40C656758}">
  <dimension ref="A1:F120"/>
  <sheetViews>
    <sheetView workbookViewId="0">
      <selection activeCell="N10" sqref="N10"/>
    </sheetView>
  </sheetViews>
  <sheetFormatPr defaultRowHeight="15" x14ac:dyDescent="0.25"/>
  <cols>
    <col min="1" max="1" width="10.42578125" bestFit="1" customWidth="1"/>
    <col min="2" max="2" width="17.5703125" bestFit="1" customWidth="1"/>
  </cols>
  <sheetData>
    <row r="1" spans="1:6" x14ac:dyDescent="0.25">
      <c r="A1" t="s">
        <v>24</v>
      </c>
      <c r="B1" t="s">
        <v>46</v>
      </c>
      <c r="C1" t="s">
        <v>37</v>
      </c>
      <c r="D1" t="s">
        <v>40</v>
      </c>
      <c r="E1" t="s">
        <v>6</v>
      </c>
      <c r="F1" t="s">
        <v>5</v>
      </c>
    </row>
    <row r="2" spans="1:6" x14ac:dyDescent="0.25">
      <c r="A2" s="12">
        <v>45291</v>
      </c>
      <c r="B2">
        <v>11.6625</v>
      </c>
    </row>
    <row r="3" spans="1:6" x14ac:dyDescent="0.25">
      <c r="A3" s="12">
        <v>45298</v>
      </c>
      <c r="B3">
        <v>11.575899999999999</v>
      </c>
    </row>
    <row r="4" spans="1:6" x14ac:dyDescent="0.25">
      <c r="A4" s="12">
        <v>45305</v>
      </c>
      <c r="B4">
        <v>11.052325</v>
      </c>
    </row>
    <row r="5" spans="1:6" x14ac:dyDescent="0.25">
      <c r="A5" s="12">
        <v>45312</v>
      </c>
      <c r="B5">
        <v>11.087759999999999</v>
      </c>
    </row>
    <row r="6" spans="1:6" x14ac:dyDescent="0.25">
      <c r="A6" s="12">
        <v>45319</v>
      </c>
      <c r="B6">
        <v>11.670400000000001</v>
      </c>
    </row>
    <row r="7" spans="1:6" x14ac:dyDescent="0.25">
      <c r="A7" s="12">
        <v>45326</v>
      </c>
      <c r="B7">
        <v>12.19792</v>
      </c>
    </row>
    <row r="8" spans="1:6" x14ac:dyDescent="0.25">
      <c r="A8" s="12">
        <v>45333</v>
      </c>
      <c r="B8">
        <v>12.40854</v>
      </c>
    </row>
    <row r="9" spans="1:6" x14ac:dyDescent="0.25">
      <c r="A9" s="12">
        <v>45340</v>
      </c>
      <c r="B9">
        <v>11.970075000000001</v>
      </c>
    </row>
    <row r="10" spans="1:6" x14ac:dyDescent="0.25">
      <c r="A10" s="12">
        <v>45347</v>
      </c>
      <c r="B10">
        <v>12.034559999999999</v>
      </c>
    </row>
    <row r="11" spans="1:6" x14ac:dyDescent="0.25">
      <c r="A11" s="12">
        <v>45354</v>
      </c>
      <c r="B11">
        <v>12.26092</v>
      </c>
    </row>
    <row r="12" spans="1:6" x14ac:dyDescent="0.25">
      <c r="A12" s="12">
        <v>45361</v>
      </c>
      <c r="B12">
        <v>11.95384</v>
      </c>
    </row>
    <row r="13" spans="1:6" x14ac:dyDescent="0.25">
      <c r="A13" s="12">
        <v>45368</v>
      </c>
      <c r="B13">
        <v>12.442</v>
      </c>
    </row>
    <row r="14" spans="1:6" x14ac:dyDescent="0.25">
      <c r="A14" s="12">
        <v>45375</v>
      </c>
      <c r="B14">
        <v>12.7156</v>
      </c>
    </row>
    <row r="15" spans="1:6" x14ac:dyDescent="0.25">
      <c r="A15" s="12">
        <v>45382</v>
      </c>
      <c r="B15">
        <v>13.130940000000001</v>
      </c>
    </row>
    <row r="16" spans="1:6" x14ac:dyDescent="0.25">
      <c r="A16" s="12">
        <v>45389</v>
      </c>
      <c r="B16">
        <v>12.92426</v>
      </c>
    </row>
    <row r="17" spans="1:2" x14ac:dyDescent="0.25">
      <c r="A17" s="12">
        <v>45396</v>
      </c>
      <c r="B17">
        <v>11.920360000000001</v>
      </c>
    </row>
    <row r="18" spans="1:2" x14ac:dyDescent="0.25">
      <c r="A18" s="12">
        <v>45403</v>
      </c>
      <c r="B18">
        <v>12.7156</v>
      </c>
    </row>
    <row r="19" spans="1:2" x14ac:dyDescent="0.25">
      <c r="A19" s="12">
        <v>45410</v>
      </c>
      <c r="B19">
        <v>12.20778</v>
      </c>
    </row>
    <row r="20" spans="1:2" x14ac:dyDescent="0.25">
      <c r="A20" s="12">
        <v>45417</v>
      </c>
      <c r="B20">
        <v>11.995200000000001</v>
      </c>
    </row>
    <row r="21" spans="1:2" x14ac:dyDescent="0.25">
      <c r="A21" s="12">
        <v>45424</v>
      </c>
      <c r="B21">
        <v>12.15264</v>
      </c>
    </row>
    <row r="22" spans="1:2" x14ac:dyDescent="0.25">
      <c r="A22" s="12">
        <v>45431</v>
      </c>
      <c r="B22">
        <v>11.92826</v>
      </c>
    </row>
    <row r="23" spans="1:2" x14ac:dyDescent="0.25">
      <c r="A23" s="12">
        <v>45438</v>
      </c>
      <c r="B23">
        <v>11.598549999999999</v>
      </c>
    </row>
    <row r="24" spans="1:2" x14ac:dyDescent="0.25">
      <c r="A24" s="12">
        <v>45445</v>
      </c>
      <c r="B24">
        <v>11.91058</v>
      </c>
    </row>
    <row r="25" spans="1:2" x14ac:dyDescent="0.25">
      <c r="A25" s="12">
        <v>45452</v>
      </c>
      <c r="B25">
        <v>11.853439999999999</v>
      </c>
    </row>
    <row r="26" spans="1:2" x14ac:dyDescent="0.25">
      <c r="A26" s="12">
        <v>45459</v>
      </c>
      <c r="B26">
        <v>11.664975</v>
      </c>
    </row>
    <row r="27" spans="1:2" x14ac:dyDescent="0.25">
      <c r="A27" s="12">
        <v>45466</v>
      </c>
      <c r="B27">
        <v>12.046340000000001</v>
      </c>
    </row>
    <row r="28" spans="1:2" x14ac:dyDescent="0.25">
      <c r="A28" s="12">
        <v>45473</v>
      </c>
      <c r="B28">
        <v>12.63195</v>
      </c>
    </row>
    <row r="29" spans="1:2" x14ac:dyDescent="0.25">
      <c r="A29" s="12">
        <v>45480</v>
      </c>
      <c r="B29">
        <v>13.09944</v>
      </c>
    </row>
    <row r="30" spans="1:2" x14ac:dyDescent="0.25">
      <c r="A30" s="12">
        <v>45487</v>
      </c>
      <c r="B30">
        <v>14.099360000000001</v>
      </c>
    </row>
    <row r="31" spans="1:2" x14ac:dyDescent="0.25">
      <c r="A31" s="12">
        <v>45494</v>
      </c>
      <c r="B31">
        <v>12.59158</v>
      </c>
    </row>
    <row r="32" spans="1:2" x14ac:dyDescent="0.25">
      <c r="A32" s="12">
        <v>45501</v>
      </c>
      <c r="B32">
        <v>10.50906</v>
      </c>
    </row>
    <row r="33" spans="1:2" x14ac:dyDescent="0.25">
      <c r="A33" s="12">
        <v>45508</v>
      </c>
      <c r="B33">
        <v>9.7414000000000005</v>
      </c>
    </row>
    <row r="34" spans="1:2" x14ac:dyDescent="0.25">
      <c r="A34" s="12">
        <v>45515</v>
      </c>
      <c r="B34">
        <v>10.068160000000001</v>
      </c>
    </row>
    <row r="35" spans="1:2" x14ac:dyDescent="0.25">
      <c r="A35" s="12">
        <v>45522</v>
      </c>
      <c r="B35">
        <v>10.71574</v>
      </c>
    </row>
    <row r="36" spans="1:2" x14ac:dyDescent="0.25">
      <c r="A36" s="12">
        <v>45529</v>
      </c>
      <c r="B36">
        <v>10.9421</v>
      </c>
    </row>
    <row r="37" spans="1:2" x14ac:dyDescent="0.25">
      <c r="A37" s="12">
        <v>45536</v>
      </c>
      <c r="B37">
        <v>10.648825</v>
      </c>
    </row>
    <row r="38" spans="1:2" x14ac:dyDescent="0.25">
      <c r="A38" s="12">
        <v>45543</v>
      </c>
      <c r="B38">
        <v>10.38114</v>
      </c>
    </row>
    <row r="39" spans="1:2" x14ac:dyDescent="0.25">
      <c r="A39" s="12">
        <v>45550</v>
      </c>
      <c r="B39">
        <v>10.72362</v>
      </c>
    </row>
    <row r="40" spans="1:2" x14ac:dyDescent="0.25">
      <c r="A40" s="12">
        <v>45557</v>
      </c>
      <c r="B40">
        <v>10.56222</v>
      </c>
    </row>
    <row r="41" spans="1:2" x14ac:dyDescent="0.25">
      <c r="A41" s="12">
        <v>45564</v>
      </c>
      <c r="B41">
        <v>10.3949</v>
      </c>
    </row>
    <row r="42" spans="1:2" x14ac:dyDescent="0.25">
      <c r="A42" s="12">
        <v>45571</v>
      </c>
      <c r="B42">
        <v>10.43228</v>
      </c>
    </row>
    <row r="43" spans="1:2" x14ac:dyDescent="0.25">
      <c r="A43" s="12">
        <v>45578</v>
      </c>
      <c r="B43">
        <v>10.818099999999999</v>
      </c>
    </row>
    <row r="44" spans="1:2" x14ac:dyDescent="0.25">
      <c r="A44" s="12">
        <v>45585</v>
      </c>
      <c r="B44">
        <v>10.896840000000001</v>
      </c>
    </row>
    <row r="45" spans="1:2" x14ac:dyDescent="0.25">
      <c r="A45" s="12">
        <v>45592</v>
      </c>
      <c r="B45">
        <v>10.385059999999999</v>
      </c>
    </row>
    <row r="46" spans="1:2" x14ac:dyDescent="0.25">
      <c r="A46" s="12">
        <v>45599</v>
      </c>
      <c r="B46">
        <v>10.6449</v>
      </c>
    </row>
    <row r="47" spans="1:2" x14ac:dyDescent="0.25">
      <c r="A47" s="12">
        <v>45606</v>
      </c>
      <c r="B47">
        <v>10.926360000000001</v>
      </c>
    </row>
    <row r="48" spans="1:2" x14ac:dyDescent="0.25">
      <c r="A48" s="12">
        <v>45613</v>
      </c>
      <c r="B48">
        <v>10.820079999999999</v>
      </c>
    </row>
    <row r="49" spans="1:2" x14ac:dyDescent="0.25">
      <c r="A49" s="12">
        <v>45620</v>
      </c>
      <c r="B49">
        <v>11.005600000000001</v>
      </c>
    </row>
    <row r="50" spans="1:2" x14ac:dyDescent="0.25">
      <c r="A50" s="12">
        <v>45627</v>
      </c>
      <c r="B50">
        <v>10.528740000000001</v>
      </c>
    </row>
    <row r="51" spans="1:2" x14ac:dyDescent="0.25">
      <c r="A51" s="12">
        <v>45634</v>
      </c>
      <c r="B51">
        <v>10.30434</v>
      </c>
    </row>
    <row r="52" spans="1:2" x14ac:dyDescent="0.25">
      <c r="A52" s="12">
        <v>45641</v>
      </c>
      <c r="B52">
        <v>9.6981199999999994</v>
      </c>
    </row>
    <row r="53" spans="1:2" x14ac:dyDescent="0.25">
      <c r="A53" s="12">
        <v>45648</v>
      </c>
      <c r="B53">
        <v>9.8467249999999993</v>
      </c>
    </row>
    <row r="54" spans="1:2" x14ac:dyDescent="0.25">
      <c r="A54" s="12">
        <v>45655</v>
      </c>
      <c r="B54">
        <v>9.6720249999999997</v>
      </c>
    </row>
    <row r="55" spans="1:2" x14ac:dyDescent="0.25">
      <c r="A55" s="12">
        <v>45662</v>
      </c>
      <c r="B55">
        <v>9.6129750000000005</v>
      </c>
    </row>
    <row r="56" spans="1:2" x14ac:dyDescent="0.25">
      <c r="A56" s="12">
        <v>45669</v>
      </c>
      <c r="B56">
        <v>9.7689799999999991</v>
      </c>
    </row>
    <row r="57" spans="1:2" x14ac:dyDescent="0.25">
      <c r="A57" s="12">
        <v>45676</v>
      </c>
      <c r="B57">
        <v>10.023875</v>
      </c>
    </row>
    <row r="58" spans="1:2" x14ac:dyDescent="0.25">
      <c r="A58" s="12">
        <v>45683</v>
      </c>
      <c r="B58">
        <v>10.02092</v>
      </c>
    </row>
    <row r="59" spans="1:2" x14ac:dyDescent="0.25">
      <c r="A59" s="12">
        <v>45690</v>
      </c>
      <c r="B59">
        <v>9.5583399999999994</v>
      </c>
    </row>
    <row r="60" spans="1:2" x14ac:dyDescent="0.25">
      <c r="A60" s="12">
        <v>45697</v>
      </c>
      <c r="B60">
        <v>9.1548400000000001</v>
      </c>
    </row>
    <row r="61" spans="1:2" x14ac:dyDescent="0.25">
      <c r="A61" s="12">
        <v>45704</v>
      </c>
      <c r="B61">
        <v>9.3249999999999993</v>
      </c>
    </row>
    <row r="62" spans="1:2" x14ac:dyDescent="0.25">
      <c r="A62" s="12">
        <v>45711</v>
      </c>
      <c r="B62">
        <v>9.4160000000000004</v>
      </c>
    </row>
    <row r="63" spans="1:2" x14ac:dyDescent="0.25">
      <c r="A63" s="12">
        <v>45718</v>
      </c>
      <c r="B63">
        <v>9.5340000000000007</v>
      </c>
    </row>
    <row r="64" spans="1:2" x14ac:dyDescent="0.25">
      <c r="A64" s="12">
        <v>45725</v>
      </c>
      <c r="B64">
        <v>9.6999999999999993</v>
      </c>
    </row>
    <row r="65" spans="1:2" x14ac:dyDescent="0.25">
      <c r="A65" s="12">
        <v>45732</v>
      </c>
      <c r="B65">
        <v>10.01</v>
      </c>
    </row>
    <row r="66" spans="1:2" x14ac:dyDescent="0.25">
      <c r="A66" s="12">
        <v>45739</v>
      </c>
      <c r="B66">
        <v>10.092000000000001</v>
      </c>
    </row>
    <row r="67" spans="1:2" x14ac:dyDescent="0.25">
      <c r="A67" s="12">
        <v>45746</v>
      </c>
      <c r="B67">
        <v>9.847999999999999</v>
      </c>
    </row>
    <row r="68" spans="1:2" x14ac:dyDescent="0.25">
      <c r="A68" s="12">
        <v>45753</v>
      </c>
      <c r="B68">
        <v>9.18</v>
      </c>
    </row>
    <row r="69" spans="1:2" x14ac:dyDescent="0.25">
      <c r="A69" s="12">
        <v>45760</v>
      </c>
      <c r="B69">
        <v>9.5474999999999994</v>
      </c>
    </row>
    <row r="70" spans="1:2" x14ac:dyDescent="0.25">
      <c r="A70" s="12">
        <v>45767</v>
      </c>
      <c r="B70">
        <v>9.8000000000000007</v>
      </c>
    </row>
    <row r="71" spans="1:2" x14ac:dyDescent="0.25">
      <c r="A71" s="12">
        <v>45774</v>
      </c>
      <c r="B71">
        <v>10.128</v>
      </c>
    </row>
    <row r="72" spans="1:2" x14ac:dyDescent="0.25">
      <c r="A72" s="12">
        <v>45781</v>
      </c>
      <c r="B72">
        <v>10.32</v>
      </c>
    </row>
    <row r="73" spans="1:2" x14ac:dyDescent="0.25">
      <c r="A73" s="12">
        <v>45788</v>
      </c>
      <c r="B73">
        <v>10.67</v>
      </c>
    </row>
    <row r="74" spans="1:2" x14ac:dyDescent="0.25">
      <c r="A74" s="12">
        <v>45795</v>
      </c>
      <c r="B74">
        <v>10.55</v>
      </c>
    </row>
    <row r="75" spans="1:2" x14ac:dyDescent="0.25">
      <c r="A75" s="12">
        <v>45802</v>
      </c>
      <c r="B75">
        <v>10.27</v>
      </c>
    </row>
    <row r="76" spans="1:2" x14ac:dyDescent="0.25">
      <c r="A76" s="12">
        <v>45809</v>
      </c>
      <c r="B76">
        <v>10.154</v>
      </c>
    </row>
    <row r="77" spans="1:2" x14ac:dyDescent="0.25">
      <c r="A77" s="12">
        <v>45816</v>
      </c>
      <c r="B77">
        <v>10.512</v>
      </c>
    </row>
    <row r="78" spans="1:2" x14ac:dyDescent="0.25">
      <c r="A78" s="12">
        <v>45823</v>
      </c>
      <c r="B78">
        <v>10.515000000000001</v>
      </c>
    </row>
    <row r="79" spans="1:2" x14ac:dyDescent="0.25">
      <c r="A79" s="12">
        <v>45830</v>
      </c>
      <c r="B79">
        <v>10.678000000000001</v>
      </c>
    </row>
    <row r="80" spans="1:2" x14ac:dyDescent="0.25">
      <c r="A80" s="12">
        <v>45837</v>
      </c>
      <c r="B80">
        <v>11.445</v>
      </c>
    </row>
    <row r="81" spans="1:2" x14ac:dyDescent="0.25">
      <c r="A81" s="12">
        <v>45844</v>
      </c>
      <c r="B81">
        <v>11.757999999999999</v>
      </c>
    </row>
    <row r="82" spans="1:2" x14ac:dyDescent="0.25">
      <c r="A82" s="12">
        <v>45851</v>
      </c>
      <c r="B82">
        <v>11.4</v>
      </c>
    </row>
    <row r="83" spans="1:2" x14ac:dyDescent="0.25">
      <c r="A83" s="12">
        <v>45858</v>
      </c>
      <c r="B83">
        <v>11.322000000000001</v>
      </c>
    </row>
    <row r="84" spans="1:2" x14ac:dyDescent="0.25">
      <c r="A84" s="12">
        <v>45865</v>
      </c>
      <c r="B84">
        <v>11.023999999999999</v>
      </c>
    </row>
    <row r="85" spans="1:2" x14ac:dyDescent="0.25">
      <c r="A85" s="12">
        <v>45872</v>
      </c>
      <c r="B85">
        <v>11.164</v>
      </c>
    </row>
    <row r="86" spans="1:2" x14ac:dyDescent="0.25">
      <c r="A86" s="12">
        <v>45879</v>
      </c>
      <c r="B86">
        <v>11.342000000000001</v>
      </c>
    </row>
    <row r="87" spans="1:2" x14ac:dyDescent="0.25">
      <c r="A87" s="12">
        <v>45886</v>
      </c>
      <c r="B87">
        <v>11.52</v>
      </c>
    </row>
    <row r="88" spans="1:2" x14ac:dyDescent="0.25">
      <c r="A88" s="12">
        <v>45893</v>
      </c>
      <c r="B88">
        <v>11.81</v>
      </c>
    </row>
    <row r="89" spans="1:2" x14ac:dyDescent="0.25">
      <c r="A89" s="12">
        <v>45900</v>
      </c>
      <c r="B89">
        <v>11.69</v>
      </c>
    </row>
    <row r="90" spans="1:2" x14ac:dyDescent="0.25">
      <c r="A90" s="12">
        <v>45907</v>
      </c>
      <c r="B90">
        <v>11.608000000000001</v>
      </c>
    </row>
    <row r="91" spans="1:2" x14ac:dyDescent="0.25">
      <c r="A91" s="12">
        <v>45914</v>
      </c>
      <c r="B91">
        <v>11.661999999999999</v>
      </c>
    </row>
    <row r="92" spans="1:2" x14ac:dyDescent="0.25">
      <c r="A92" s="12">
        <v>45921</v>
      </c>
      <c r="B92">
        <v>11.73</v>
      </c>
    </row>
    <row r="93" spans="1:2" x14ac:dyDescent="0.25">
      <c r="A93" s="12">
        <v>45928</v>
      </c>
      <c r="B93">
        <v>12.242000000000001</v>
      </c>
    </row>
    <row r="94" spans="1:2" x14ac:dyDescent="0.25">
      <c r="A94" s="12">
        <v>45935</v>
      </c>
      <c r="B94">
        <v>11.853999999999999</v>
      </c>
    </row>
    <row r="95" spans="1:2" x14ac:dyDescent="0.25">
      <c r="A95" s="12">
        <v>45942</v>
      </c>
      <c r="B95">
        <v>11.722</v>
      </c>
    </row>
    <row r="96" spans="1:2" x14ac:dyDescent="0.25">
      <c r="A96" s="12">
        <v>45949</v>
      </c>
      <c r="B96">
        <v>12.632</v>
      </c>
    </row>
    <row r="97" spans="1:6" x14ac:dyDescent="0.25">
      <c r="A97" s="12">
        <v>45956</v>
      </c>
      <c r="B97">
        <v>13.164</v>
      </c>
    </row>
    <row r="98" spans="1:6" x14ac:dyDescent="0.25">
      <c r="A98" s="12">
        <v>45963</v>
      </c>
      <c r="B98">
        <v>13.048</v>
      </c>
    </row>
    <row r="99" spans="1:6" x14ac:dyDescent="0.25">
      <c r="A99" s="12">
        <v>45970</v>
      </c>
      <c r="B99">
        <v>13.276</v>
      </c>
    </row>
    <row r="100" spans="1:6" x14ac:dyDescent="0.25">
      <c r="A100" s="12">
        <v>45977</v>
      </c>
      <c r="B100">
        <v>12.808</v>
      </c>
    </row>
    <row r="101" spans="1:6" x14ac:dyDescent="0.25">
      <c r="A101" s="12">
        <v>45984</v>
      </c>
      <c r="B101">
        <v>13.15</v>
      </c>
    </row>
    <row r="102" spans="1:6" x14ac:dyDescent="0.25">
      <c r="A102" s="12">
        <v>45991</v>
      </c>
      <c r="B102">
        <v>13.076000000000001</v>
      </c>
    </row>
    <row r="103" spans="1:6" x14ac:dyDescent="0.25">
      <c r="A103" s="12">
        <v>45998</v>
      </c>
      <c r="B103">
        <v>13.404</v>
      </c>
    </row>
    <row r="104" spans="1:6" x14ac:dyDescent="0.25">
      <c r="A104" s="12">
        <v>46005</v>
      </c>
      <c r="B104">
        <v>13.484</v>
      </c>
    </row>
    <row r="105" spans="1:6" x14ac:dyDescent="0.25">
      <c r="A105" s="12">
        <v>46012</v>
      </c>
      <c r="B105">
        <v>13.355</v>
      </c>
    </row>
    <row r="106" spans="1:6" x14ac:dyDescent="0.25">
      <c r="A106" s="12">
        <v>46019</v>
      </c>
      <c r="B106">
        <v>13.2425</v>
      </c>
    </row>
    <row r="107" spans="1:6" x14ac:dyDescent="0.25">
      <c r="A107" s="12">
        <v>46026</v>
      </c>
      <c r="B107">
        <v>13.922000000000001</v>
      </c>
    </row>
    <row r="108" spans="1:6" x14ac:dyDescent="0.25">
      <c r="A108" s="12">
        <v>46033</v>
      </c>
      <c r="B108">
        <v>13.852</v>
      </c>
    </row>
    <row r="109" spans="1:6" x14ac:dyDescent="0.25">
      <c r="A109" s="12">
        <v>46040</v>
      </c>
      <c r="B109">
        <v>13.524999999999999</v>
      </c>
      <c r="C109">
        <f>_xlfn.FORECAST.ETS(A108,B2:B108,A2:A108,1,1,1)</f>
        <v>13.852</v>
      </c>
      <c r="D109">
        <f>_xlfn.FORECAST.ETS.CONFINT(A109,B2:B108,A2:A108,0.95,1,1,1)</f>
        <v>0.9941378147635912</v>
      </c>
      <c r="E109">
        <f t="shared" ref="E109:E120" si="0">C109+D109</f>
        <v>14.846137814763592</v>
      </c>
      <c r="F109">
        <f t="shared" ref="F109:F120" si="1">C109-D109</f>
        <v>12.857862185236408</v>
      </c>
    </row>
    <row r="110" spans="1:6" x14ac:dyDescent="0.25">
      <c r="A110" s="12">
        <v>46047</v>
      </c>
      <c r="C110">
        <f t="shared" ref="C110:C120" si="2">_xlfn.FORECAST.ETS(A109,B3:B109,A3:A109,1,1,1)</f>
        <v>13.524999999999999</v>
      </c>
      <c r="D110">
        <f t="shared" ref="D110:D120" si="3">_xlfn.FORECAST.ETS.CONFINT(A110,B3:B109,A3:A109,0.95,1,1,1)</f>
        <v>0.94091560901988525</v>
      </c>
      <c r="E110">
        <f t="shared" si="0"/>
        <v>14.465915609019884</v>
      </c>
      <c r="F110">
        <f t="shared" si="1"/>
        <v>12.584084390980113</v>
      </c>
    </row>
    <row r="111" spans="1:6" x14ac:dyDescent="0.25">
      <c r="A111" s="12">
        <v>46054</v>
      </c>
      <c r="C111">
        <f t="shared" si="2"/>
        <v>13.529441017356474</v>
      </c>
      <c r="D111">
        <f t="shared" si="3"/>
        <v>1.3243914338835974</v>
      </c>
      <c r="E111">
        <f t="shared" si="0"/>
        <v>14.853832451240072</v>
      </c>
      <c r="F111">
        <f t="shared" si="1"/>
        <v>12.205049583472876</v>
      </c>
    </row>
    <row r="112" spans="1:6" x14ac:dyDescent="0.25">
      <c r="A112" s="12">
        <v>46061</v>
      </c>
      <c r="C112">
        <f t="shared" si="2"/>
        <v>13.533816808210656</v>
      </c>
      <c r="D112">
        <f t="shared" si="3"/>
        <v>1.5532511975577057</v>
      </c>
      <c r="E112">
        <f t="shared" si="0"/>
        <v>15.087068005768362</v>
      </c>
      <c r="F112">
        <f t="shared" si="1"/>
        <v>11.980565610652949</v>
      </c>
    </row>
    <row r="113" spans="1:6" x14ac:dyDescent="0.25">
      <c r="A113" s="12">
        <v>46068</v>
      </c>
      <c r="C113">
        <f t="shared" si="2"/>
        <v>13.538173754160887</v>
      </c>
      <c r="D113">
        <f t="shared" si="3"/>
        <v>1.7893010726172855</v>
      </c>
      <c r="E113">
        <f t="shared" si="0"/>
        <v>15.327474826778172</v>
      </c>
      <c r="F113">
        <f t="shared" si="1"/>
        <v>11.748872681543602</v>
      </c>
    </row>
    <row r="114" spans="1:6" x14ac:dyDescent="0.25">
      <c r="A114" s="12">
        <v>46075</v>
      </c>
      <c r="C114">
        <f t="shared" si="2"/>
        <v>13.543813276149889</v>
      </c>
      <c r="D114">
        <f t="shared" si="3"/>
        <v>1.9973165226870211</v>
      </c>
      <c r="E114">
        <f t="shared" si="0"/>
        <v>15.541129798836909</v>
      </c>
      <c r="F114">
        <f t="shared" si="1"/>
        <v>11.546496753462868</v>
      </c>
    </row>
    <row r="115" spans="1:6" x14ac:dyDescent="0.25">
      <c r="A115" s="12">
        <v>46082</v>
      </c>
      <c r="C115">
        <f t="shared" si="2"/>
        <v>13.551693006966314</v>
      </c>
      <c r="D115">
        <f t="shared" si="3"/>
        <v>2.1969636279638043</v>
      </c>
      <c r="E115">
        <f t="shared" si="0"/>
        <v>15.748656634930118</v>
      </c>
      <c r="F115">
        <f t="shared" si="1"/>
        <v>11.35472937900251</v>
      </c>
    </row>
    <row r="116" spans="1:6" x14ac:dyDescent="0.25">
      <c r="A116" s="12">
        <v>46089</v>
      </c>
      <c r="C116">
        <f t="shared" si="2"/>
        <v>13.561805964589398</v>
      </c>
      <c r="D116">
        <f t="shared" si="3"/>
        <v>2.3738895887596732</v>
      </c>
      <c r="E116">
        <f t="shared" si="0"/>
        <v>15.935695553349071</v>
      </c>
      <c r="F116">
        <f t="shared" si="1"/>
        <v>11.187916375829726</v>
      </c>
    </row>
    <row r="117" spans="1:6" x14ac:dyDescent="0.25">
      <c r="A117" s="12">
        <v>46096</v>
      </c>
      <c r="C117">
        <f t="shared" si="2"/>
        <v>13.571965151875183</v>
      </c>
      <c r="D117">
        <f t="shared" si="3"/>
        <v>2.551431579324845</v>
      </c>
      <c r="E117">
        <f t="shared" si="0"/>
        <v>16.123396731200028</v>
      </c>
      <c r="F117">
        <f t="shared" si="1"/>
        <v>11.020533572550338</v>
      </c>
    </row>
    <row r="118" spans="1:6" x14ac:dyDescent="0.25">
      <c r="A118" s="12">
        <v>46103</v>
      </c>
      <c r="C118">
        <f t="shared" si="2"/>
        <v>13.583844608039579</v>
      </c>
      <c r="D118">
        <f t="shared" si="3"/>
        <v>2.7175812218484694</v>
      </c>
      <c r="E118">
        <f t="shared" si="0"/>
        <v>16.301425829888046</v>
      </c>
      <c r="F118">
        <f t="shared" si="1"/>
        <v>10.866263386191109</v>
      </c>
    </row>
    <row r="119" spans="1:6" x14ac:dyDescent="0.25">
      <c r="A119" s="12">
        <v>46110</v>
      </c>
      <c r="C119">
        <f t="shared" si="2"/>
        <v>14.116363755603908</v>
      </c>
      <c r="D119">
        <f t="shared" si="3"/>
        <v>4.2161344959245399</v>
      </c>
      <c r="E119">
        <f t="shared" si="0"/>
        <v>18.332498251528449</v>
      </c>
      <c r="F119">
        <f t="shared" si="1"/>
        <v>9.9002292596793673</v>
      </c>
    </row>
    <row r="120" spans="1:6" x14ac:dyDescent="0.25">
      <c r="A120" s="12">
        <v>46117</v>
      </c>
      <c r="C120">
        <f t="shared" si="2"/>
        <v>14.181953244782992</v>
      </c>
      <c r="D120">
        <f t="shared" si="3"/>
        <v>4.5793709610323958</v>
      </c>
      <c r="E120">
        <f t="shared" si="0"/>
        <v>18.761324205815388</v>
      </c>
      <c r="F120">
        <f t="shared" si="1"/>
        <v>9.6025822837505963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D516"/>
  <sheetViews>
    <sheetView zoomScale="70" zoomScaleNormal="70" workbookViewId="0">
      <selection activeCell="C1" sqref="C1:C1048576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12.42578125" bestFit="1" customWidth="1"/>
    <col min="4" max="4" width="14.85546875" bestFit="1" customWidth="1"/>
    <col min="7" max="7" width="14.85546875" bestFit="1" customWidth="1"/>
    <col min="8" max="8" width="13.5703125" bestFit="1" customWidth="1"/>
    <col min="9" max="9" width="11.7109375" bestFit="1" customWidth="1"/>
    <col min="13" max="13" width="10.5703125" bestFit="1" customWidth="1"/>
    <col min="14" max="14" width="10" bestFit="1" customWidth="1"/>
    <col min="16" max="17" width="11.42578125" bestFit="1" customWidth="1"/>
    <col min="22" max="22" width="9.7109375" bestFit="1" customWidth="1"/>
    <col min="23" max="23" width="10.140625" bestFit="1" customWidth="1"/>
    <col min="24" max="24" width="8.5703125" bestFit="1" customWidth="1"/>
    <col min="25" max="25" width="8.85546875" bestFit="1" customWidth="1"/>
    <col min="26" max="26" width="13" bestFit="1" customWidth="1"/>
    <col min="27" max="27" width="12.85546875" bestFit="1" customWidth="1"/>
    <col min="28" max="28" width="16.85546875" style="18" bestFit="1" customWidth="1"/>
    <col min="29" max="29" width="15.42578125" style="18" bestFit="1" customWidth="1"/>
    <col min="30" max="30" width="16" style="18" bestFit="1" customWidth="1"/>
  </cols>
  <sheetData>
    <row r="1" spans="1:30" s="8" customFormat="1" x14ac:dyDescent="0.25">
      <c r="A1" s="4" t="str" cm="1">
        <f t="array" aca="1" ref="A1:C516" ca="1">_xlfn.STOCKHISTORY("F","2024-01-01",TODAY(),0,1,0,1,5)</f>
        <v>Date</v>
      </c>
      <c r="B1" s="4" t="str">
        <f ca="1"/>
        <v>Close</v>
      </c>
      <c r="C1" s="4" t="str">
        <f ca="1"/>
        <v>Volume</v>
      </c>
      <c r="D1" s="5" t="s">
        <v>0</v>
      </c>
      <c r="E1" s="5" t="s">
        <v>1</v>
      </c>
      <c r="F1" s="6" t="s">
        <v>2</v>
      </c>
      <c r="G1" s="6" t="s">
        <v>3</v>
      </c>
      <c r="H1" s="6" t="s">
        <v>4</v>
      </c>
      <c r="I1" s="7" t="s">
        <v>7</v>
      </c>
      <c r="J1" s="7" t="s">
        <v>8</v>
      </c>
      <c r="K1" s="7" t="s">
        <v>6</v>
      </c>
      <c r="L1" s="7" t="s">
        <v>5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1" t="s">
        <v>16</v>
      </c>
      <c r="U1" s="3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1" t="s">
        <v>23</v>
      </c>
      <c r="AB1" s="19" t="s">
        <v>41</v>
      </c>
      <c r="AC1" s="19" t="s">
        <v>42</v>
      </c>
      <c r="AD1" s="19" t="s">
        <v>43</v>
      </c>
    </row>
    <row r="2" spans="1:30" x14ac:dyDescent="0.25">
      <c r="A2" vm="1">
        <f ca="1"/>
        <v>45293</v>
      </c>
      <c r="B2" vm="2">
        <f ca="1"/>
        <v>11.967599999999999</v>
      </c>
      <c r="C2" vm="3">
        <f ca="1"/>
        <v>48258287</v>
      </c>
      <c r="D2">
        <f ca="1">B2*C2</f>
        <v>577535875.50119996</v>
      </c>
      <c r="E2">
        <f ca="1">SUM($D$2:D2)/SUM($C$2:C2)</f>
        <v>11.967599999999999</v>
      </c>
      <c r="F2">
        <f ca="1">_xlfn.STDEV.P($B$2:B2)</f>
        <v>0</v>
      </c>
      <c r="G2">
        <f ca="1">E2 + F2</f>
        <v>11.967599999999999</v>
      </c>
      <c r="H2">
        <f ca="1">E2 - F2</f>
        <v>11.967599999999999</v>
      </c>
      <c r="AD2" s="18">
        <f>0</f>
        <v>0</v>
      </c>
    </row>
    <row r="3" spans="1:30" x14ac:dyDescent="0.25">
      <c r="A3" vm="4">
        <f ca="1"/>
        <v>45294</v>
      </c>
      <c r="B3" vm="5">
        <f ca="1"/>
        <v>11.524699999999999</v>
      </c>
      <c r="C3" vm="6">
        <f ca="1"/>
        <v>71247271</v>
      </c>
      <c r="D3">
        <f t="shared" ref="D3:D66" ca="1" si="0">B3*C3</f>
        <v>821103424.09369993</v>
      </c>
      <c r="E3">
        <f ca="1">SUM($D$2:D3)/SUM($C$2:C3)</f>
        <v>11.703550219772204</v>
      </c>
      <c r="F3">
        <f ca="1">_xlfn.STDEV.P($B$2:B3)</f>
        <v>0.22144999999999992</v>
      </c>
      <c r="G3">
        <f t="shared" ref="G3:G66" ca="1" si="1">E3 + F3</f>
        <v>11.925000219772205</v>
      </c>
      <c r="H3">
        <f t="shared" ref="H3:H66" ca="1" si="2">E3 - F3</f>
        <v>11.482100219772203</v>
      </c>
      <c r="M3">
        <f ca="1">B3-B2</f>
        <v>-0.44289999999999985</v>
      </c>
      <c r="N3">
        <f ca="1">MAX(M3,0)</f>
        <v>0</v>
      </c>
      <c r="O3">
        <f ca="1">MAX(-M3,0)</f>
        <v>0.44289999999999985</v>
      </c>
      <c r="AB3" s="18">
        <f ca="1">(B3/B2)-1</f>
        <v>-3.7008255623516839E-2</v>
      </c>
      <c r="AC3" s="18">
        <f ca="1">LN(B3/B2)</f>
        <v>-3.7710440038532807E-2</v>
      </c>
      <c r="AD3" s="18">
        <f t="shared" ref="AD3:AD66" ca="1" si="3">(1+AD2)*(1+AB3)-1</f>
        <v>-3.7008255623516839E-2</v>
      </c>
    </row>
    <row r="4" spans="1:30" x14ac:dyDescent="0.25">
      <c r="A4" vm="7">
        <f ca="1"/>
        <v>45295</v>
      </c>
      <c r="B4" vm="8">
        <f ca="1"/>
        <v>11.495200000000001</v>
      </c>
      <c r="C4" vm="9">
        <f ca="1"/>
        <v>55803125</v>
      </c>
      <c r="D4">
        <f t="shared" ca="1" si="0"/>
        <v>641468082.5</v>
      </c>
      <c r="E4">
        <f ca="1">SUM($D$2:D4)/SUM($C$2:C4)</f>
        <v>11.637229526702336</v>
      </c>
      <c r="F4">
        <f ca="1">_xlfn.STDEV.P($B$2:B4)</f>
        <v>0.2160741693647496</v>
      </c>
      <c r="G4">
        <f t="shared" ca="1" si="1"/>
        <v>11.853303696067085</v>
      </c>
      <c r="H4">
        <f t="shared" ca="1" si="2"/>
        <v>11.421155357337588</v>
      </c>
      <c r="M4">
        <f t="shared" ref="M4:M67" ca="1" si="4">B4-B3</f>
        <v>-2.9499999999998749E-2</v>
      </c>
      <c r="N4">
        <f t="shared" ref="N4:N67" ca="1" si="5">MAX(M4,0)</f>
        <v>0</v>
      </c>
      <c r="O4">
        <f t="shared" ref="O4:O67" ca="1" si="6">MAX(-M4,0)</f>
        <v>2.9499999999998749E-2</v>
      </c>
      <c r="AB4" s="18">
        <f t="shared" ref="AB4:AB67" ca="1" si="7">(B4/B3)-1</f>
        <v>-2.5597195588604738E-3</v>
      </c>
      <c r="AC4" s="18">
        <f t="shared" ref="AC4:AC67" ca="1" si="8">LN(B4/B3)</f>
        <v>-2.5630012422928551E-3</v>
      </c>
      <c r="AD4" s="18">
        <f t="shared" ca="1" si="3"/>
        <v>-3.9473244426618481E-2</v>
      </c>
    </row>
    <row r="5" spans="1:30" x14ac:dyDescent="0.25">
      <c r="A5" vm="10">
        <f ca="1"/>
        <v>45296</v>
      </c>
      <c r="B5" vm="11">
        <f ca="1"/>
        <v>11.6625</v>
      </c>
      <c r="C5" vm="12">
        <f ca="1"/>
        <v>45158186</v>
      </c>
      <c r="D5">
        <f t="shared" ca="1" si="0"/>
        <v>526657344.22499996</v>
      </c>
      <c r="E5">
        <f ca="1">SUM($D$2:D5)/SUM($C$2:C5)</f>
        <v>11.642405672844658</v>
      </c>
      <c r="F5">
        <f ca="1">_xlfn.STDEV.P($B$2:B5)</f>
        <v>0.18712571977149445</v>
      </c>
      <c r="G5">
        <f t="shared" ca="1" si="1"/>
        <v>11.829531392616152</v>
      </c>
      <c r="H5">
        <f t="shared" ca="1" si="2"/>
        <v>11.455279953073164</v>
      </c>
      <c r="M5">
        <f t="shared" ca="1" si="4"/>
        <v>0.16729999999999912</v>
      </c>
      <c r="N5">
        <f t="shared" ca="1" si="5"/>
        <v>0.16729999999999912</v>
      </c>
      <c r="O5">
        <f t="shared" ca="1" si="6"/>
        <v>0</v>
      </c>
      <c r="AB5" s="18">
        <f t="shared" ca="1" si="7"/>
        <v>1.4553900758577321E-2</v>
      </c>
      <c r="AC5" s="18">
        <f t="shared" ca="1" si="8"/>
        <v>1.444900924060223E-2</v>
      </c>
      <c r="AD5" s="18">
        <f t="shared" ca="1" si="3"/>
        <v>-2.5493833350045181E-2</v>
      </c>
    </row>
    <row r="6" spans="1:30" x14ac:dyDescent="0.25">
      <c r="A6" vm="13">
        <f ca="1"/>
        <v>45299</v>
      </c>
      <c r="B6" vm="14">
        <f ca="1"/>
        <v>11.7806</v>
      </c>
      <c r="C6" vm="15">
        <f ca="1"/>
        <v>42181681</v>
      </c>
      <c r="D6">
        <f t="shared" ca="1" si="0"/>
        <v>496925511.1886</v>
      </c>
      <c r="E6">
        <f ca="1">SUM($D$2:D6)/SUM($C$2:C6)</f>
        <v>11.664599852192216</v>
      </c>
      <c r="F6">
        <f ca="1">_xlfn.STDEV.P($B$2:B6)</f>
        <v>0.17390930279890118</v>
      </c>
      <c r="G6">
        <f t="shared" ca="1" si="1"/>
        <v>11.838509154991117</v>
      </c>
      <c r="H6">
        <f t="shared" ca="1" si="2"/>
        <v>11.490690549393316</v>
      </c>
      <c r="M6">
        <f t="shared" ca="1" si="4"/>
        <v>0.11810000000000009</v>
      </c>
      <c r="N6">
        <f t="shared" ca="1" si="5"/>
        <v>0.11810000000000009</v>
      </c>
      <c r="O6">
        <f t="shared" ca="1" si="6"/>
        <v>0</v>
      </c>
      <c r="AB6" s="18">
        <f t="shared" ca="1" si="7"/>
        <v>1.01264737406217E-2</v>
      </c>
      <c r="AC6" s="18">
        <f t="shared" ca="1" si="8"/>
        <v>1.0075544538975342E-2</v>
      </c>
      <c r="AD6" s="18">
        <f t="shared" ca="1" si="3"/>
        <v>-1.5625522243390533E-2</v>
      </c>
    </row>
    <row r="7" spans="1:30" x14ac:dyDescent="0.25">
      <c r="A7" vm="16">
        <f ca="1"/>
        <v>45300</v>
      </c>
      <c r="B7" vm="17">
        <f ca="1"/>
        <v>11.652699999999999</v>
      </c>
      <c r="C7" vm="18">
        <f ca="1"/>
        <v>50332939</v>
      </c>
      <c r="D7">
        <f t="shared" ca="1" si="0"/>
        <v>586514638.28530002</v>
      </c>
      <c r="E7">
        <f ca="1">SUM($D$2:D7)/SUM($C$2:C7)</f>
        <v>11.662686146252568</v>
      </c>
      <c r="F7">
        <f ca="1">_xlfn.STDEV.P($B$2:B7)</f>
        <v>0.1592445577301359</v>
      </c>
      <c r="G7">
        <f t="shared" ca="1" si="1"/>
        <v>11.821930703982703</v>
      </c>
      <c r="H7">
        <f t="shared" ca="1" si="2"/>
        <v>11.503441588522433</v>
      </c>
      <c r="M7">
        <f t="shared" ca="1" si="4"/>
        <v>-0.12790000000000035</v>
      </c>
      <c r="N7">
        <f t="shared" ca="1" si="5"/>
        <v>0</v>
      </c>
      <c r="O7">
        <f t="shared" ca="1" si="6"/>
        <v>0.12790000000000035</v>
      </c>
      <c r="AB7" s="18">
        <f t="shared" ca="1" si="7"/>
        <v>-1.0856832419401385E-2</v>
      </c>
      <c r="AC7" s="18">
        <f t="shared" ca="1" si="8"/>
        <v>-1.0916197896196052E-2</v>
      </c>
      <c r="AD7" s="18">
        <f t="shared" ca="1" si="3"/>
        <v>-2.6312710986329813E-2</v>
      </c>
    </row>
    <row r="8" spans="1:30" x14ac:dyDescent="0.25">
      <c r="A8" vm="19">
        <f ca="1"/>
        <v>45301</v>
      </c>
      <c r="B8" vm="20">
        <f ca="1"/>
        <v>11.642799999999999</v>
      </c>
      <c r="C8" vm="21">
        <f ca="1"/>
        <v>38142654</v>
      </c>
      <c r="D8">
        <f t="shared" ca="1" si="0"/>
        <v>444087291.99119997</v>
      </c>
      <c r="E8">
        <f ca="1">SUM($D$2:D8)/SUM($C$2:C8)</f>
        <v>11.660525912013405</v>
      </c>
      <c r="F8">
        <f ca="1">_xlfn.STDEV.P($B$2:B8)</f>
        <v>0.14802241970287411</v>
      </c>
      <c r="G8">
        <f t="shared" ca="1" si="1"/>
        <v>11.808548331716279</v>
      </c>
      <c r="H8">
        <f t="shared" ca="1" si="2"/>
        <v>11.512503492310531</v>
      </c>
      <c r="M8">
        <f t="shared" ca="1" si="4"/>
        <v>-9.9000000000000199E-3</v>
      </c>
      <c r="N8">
        <f t="shared" ca="1" si="5"/>
        <v>0</v>
      </c>
      <c r="O8">
        <f t="shared" ca="1" si="6"/>
        <v>9.9000000000000199E-3</v>
      </c>
      <c r="AB8" s="18">
        <f t="shared" ca="1" si="7"/>
        <v>-8.4958850738459102E-4</v>
      </c>
      <c r="AC8" s="18">
        <f t="shared" ca="1" si="8"/>
        <v>-8.4994961224204245E-4</v>
      </c>
      <c r="AD8" s="18">
        <f t="shared" ca="1" si="3"/>
        <v>-2.7139944516862302E-2</v>
      </c>
    </row>
    <row r="9" spans="1:30" x14ac:dyDescent="0.25">
      <c r="A9" vm="22">
        <f ca="1"/>
        <v>45302</v>
      </c>
      <c r="B9" vm="5">
        <f ca="1"/>
        <v>11.524699999999999</v>
      </c>
      <c r="C9" vm="23">
        <f ca="1"/>
        <v>49474644</v>
      </c>
      <c r="D9">
        <f t="shared" ca="1" si="0"/>
        <v>570180429.70679998</v>
      </c>
      <c r="E9">
        <f ca="1">SUM($D$2:D9)/SUM($C$2:C9)</f>
        <v>11.643751176639984</v>
      </c>
      <c r="F9">
        <f ca="1">_xlfn.STDEV.P($B$2:B9)</f>
        <v>0.14713180315621754</v>
      </c>
      <c r="G9">
        <f t="shared" ca="1" si="1"/>
        <v>11.790882979796201</v>
      </c>
      <c r="H9">
        <f t="shared" ca="1" si="2"/>
        <v>11.496619373483767</v>
      </c>
      <c r="M9">
        <f t="shared" ca="1" si="4"/>
        <v>-0.11810000000000009</v>
      </c>
      <c r="N9">
        <f t="shared" ca="1" si="5"/>
        <v>0</v>
      </c>
      <c r="O9">
        <f t="shared" ca="1" si="6"/>
        <v>0.11810000000000009</v>
      </c>
      <c r="AB9" s="18">
        <f t="shared" ca="1" si="7"/>
        <v>-1.0143608066788046E-2</v>
      </c>
      <c r="AC9" s="18">
        <f t="shared" ca="1" si="8"/>
        <v>-1.0195405028846704E-2</v>
      </c>
      <c r="AD9" s="18">
        <f t="shared" ca="1" si="3"/>
        <v>-3.700825562351695E-2</v>
      </c>
    </row>
    <row r="10" spans="1:30" x14ac:dyDescent="0.25">
      <c r="A10" vm="24">
        <f ca="1"/>
        <v>45303</v>
      </c>
      <c r="B10" vm="25">
        <f ca="1"/>
        <v>11.278700000000001</v>
      </c>
      <c r="C10" vm="26">
        <f ca="1"/>
        <v>55914653</v>
      </c>
      <c r="D10">
        <f t="shared" ca="1" si="0"/>
        <v>630644596.79110003</v>
      </c>
      <c r="E10">
        <f ca="1">SUM($D$2:D10)/SUM($C$2:C10)</f>
        <v>11.599038999340085</v>
      </c>
      <c r="F10">
        <f ca="1">_xlfn.STDEV.P($B$2:B10)</f>
        <v>0.1825605071351194</v>
      </c>
      <c r="G10">
        <f t="shared" ca="1" si="1"/>
        <v>11.781599506475205</v>
      </c>
      <c r="H10">
        <f t="shared" ca="1" si="2"/>
        <v>11.416478492204964</v>
      </c>
      <c r="M10">
        <f t="shared" ca="1" si="4"/>
        <v>-0.24599999999999866</v>
      </c>
      <c r="N10">
        <f t="shared" ca="1" si="5"/>
        <v>0</v>
      </c>
      <c r="O10">
        <f t="shared" ca="1" si="6"/>
        <v>0.24599999999999866</v>
      </c>
      <c r="AB10" s="18">
        <f t="shared" ca="1" si="7"/>
        <v>-2.1345458016260643E-2</v>
      </c>
      <c r="AC10" s="18">
        <f t="shared" ca="1" si="8"/>
        <v>-2.1576566973777359E-2</v>
      </c>
      <c r="AD10" s="18">
        <f t="shared" ca="1" si="3"/>
        <v>-5.7563755473110767E-2</v>
      </c>
    </row>
    <row r="11" spans="1:30" x14ac:dyDescent="0.25">
      <c r="A11" vm="27">
        <f ca="1"/>
        <v>45307</v>
      </c>
      <c r="B11" vm="25">
        <f ca="1"/>
        <v>11.278700000000001</v>
      </c>
      <c r="C11" vm="28">
        <f ca="1"/>
        <v>45934394</v>
      </c>
      <c r="D11">
        <f t="shared" ca="1" si="0"/>
        <v>518080249.60780001</v>
      </c>
      <c r="E11">
        <f ca="1">SUM($D$2:D11)/SUM($C$2:C11)</f>
        <v>11.569753217188113</v>
      </c>
      <c r="F11">
        <f ca="1">_xlfn.STDEV.P($B$2:B11)</f>
        <v>0.20034304979209994</v>
      </c>
      <c r="G11">
        <f t="shared" ca="1" si="1"/>
        <v>11.770096266980213</v>
      </c>
      <c r="H11">
        <f t="shared" ca="1" si="2"/>
        <v>11.369410167396014</v>
      </c>
      <c r="M11">
        <f t="shared" ca="1" si="4"/>
        <v>0</v>
      </c>
      <c r="N11">
        <f t="shared" ca="1" si="5"/>
        <v>0</v>
      </c>
      <c r="O11">
        <f t="shared" ca="1" si="6"/>
        <v>0</v>
      </c>
      <c r="AB11" s="18">
        <f t="shared" ca="1" si="7"/>
        <v>0</v>
      </c>
      <c r="AC11" s="18">
        <f t="shared" ca="1" si="8"/>
        <v>0</v>
      </c>
      <c r="AD11" s="18">
        <f t="shared" ca="1" si="3"/>
        <v>-5.7563755473110767E-2</v>
      </c>
    </row>
    <row r="12" spans="1:30" x14ac:dyDescent="0.25">
      <c r="A12" vm="29">
        <f ca="1"/>
        <v>45308</v>
      </c>
      <c r="B12" vm="30">
        <f ca="1"/>
        <v>11.091699999999999</v>
      </c>
      <c r="C12" vm="31">
        <f ca="1"/>
        <v>53517972</v>
      </c>
      <c r="D12">
        <f t="shared" ca="1" si="0"/>
        <v>593605290.03240001</v>
      </c>
      <c r="E12">
        <f ca="1">SUM($D$2:D12)/SUM($C$2:C12)</f>
        <v>11.52373520957708</v>
      </c>
      <c r="F12">
        <f ca="1">_xlfn.STDEV.P($B$2:B12)</f>
        <v>0.2371924434011578</v>
      </c>
      <c r="G12">
        <f t="shared" ca="1" si="1"/>
        <v>11.760927652978237</v>
      </c>
      <c r="H12">
        <f t="shared" ca="1" si="2"/>
        <v>11.286542766175922</v>
      </c>
      <c r="M12">
        <f t="shared" ca="1" si="4"/>
        <v>-0.18700000000000117</v>
      </c>
      <c r="N12">
        <f t="shared" ca="1" si="5"/>
        <v>0</v>
      </c>
      <c r="O12">
        <f t="shared" ca="1" si="6"/>
        <v>0.18700000000000117</v>
      </c>
      <c r="AB12" s="18">
        <f t="shared" ca="1" si="7"/>
        <v>-1.6579924991355521E-2</v>
      </c>
      <c r="AC12" s="18">
        <f t="shared" ca="1" si="8"/>
        <v>-1.671891033362196E-2</v>
      </c>
      <c r="AD12" s="18">
        <f t="shared" ca="1" si="3"/>
        <v>-7.3189277716501411E-2</v>
      </c>
    </row>
    <row r="13" spans="1:30" x14ac:dyDescent="0.25">
      <c r="A13" vm="32">
        <f ca="1"/>
        <v>45309</v>
      </c>
      <c r="B13" vm="33">
        <f ca="1"/>
        <v>10.8161</v>
      </c>
      <c r="C13" vm="34">
        <f ca="1"/>
        <v>72819169</v>
      </c>
      <c r="D13">
        <f t="shared" ca="1" si="0"/>
        <v>787619413.82090008</v>
      </c>
      <c r="E13">
        <f ca="1">SUM($D$2:D13)/SUM($C$2:C13)</f>
        <v>11.441784447448033</v>
      </c>
      <c r="F13">
        <f ca="1">_xlfn.STDEV.P($B$2:B13)</f>
        <v>0.30199322104238591</v>
      </c>
      <c r="G13">
        <f t="shared" ca="1" si="1"/>
        <v>11.743777668490418</v>
      </c>
      <c r="H13">
        <f t="shared" ca="1" si="2"/>
        <v>11.139791226405647</v>
      </c>
      <c r="M13">
        <f t="shared" ca="1" si="4"/>
        <v>-0.27559999999999896</v>
      </c>
      <c r="N13">
        <f t="shared" ca="1" si="5"/>
        <v>0</v>
      </c>
      <c r="O13">
        <f t="shared" ca="1" si="6"/>
        <v>0.27559999999999896</v>
      </c>
      <c r="V13" s="9">
        <f ca="1">AVERAGE(B2:B13)</f>
        <v>11.476333333333331</v>
      </c>
      <c r="AB13" s="18">
        <f t="shared" ca="1" si="7"/>
        <v>-2.4847408422514095E-2</v>
      </c>
      <c r="AC13" s="18">
        <f t="shared" ca="1" si="8"/>
        <v>-2.5161316047754914E-2</v>
      </c>
      <c r="AD13" s="18">
        <f t="shared" ca="1" si="3"/>
        <v>-9.6218122263444839E-2</v>
      </c>
    </row>
    <row r="14" spans="1:30" x14ac:dyDescent="0.25">
      <c r="A14" vm="35">
        <f ca="1"/>
        <v>45310</v>
      </c>
      <c r="B14" vm="36">
        <f ca="1"/>
        <v>11.0228</v>
      </c>
      <c r="C14" vm="37">
        <f ca="1"/>
        <v>62126183</v>
      </c>
      <c r="D14">
        <f t="shared" ca="1" si="0"/>
        <v>684804489.97239995</v>
      </c>
      <c r="E14">
        <f ca="1">SUM($D$2:D14)/SUM($C$2:C14)</f>
        <v>11.404109698451851</v>
      </c>
      <c r="F14">
        <f ca="1">_xlfn.STDEV.P($B$2:B14)</f>
        <v>0.31430862494684442</v>
      </c>
      <c r="G14">
        <f t="shared" ca="1" si="1"/>
        <v>11.718418323398696</v>
      </c>
      <c r="H14">
        <f t="shared" ca="1" si="2"/>
        <v>11.089801073505006</v>
      </c>
      <c r="M14">
        <f t="shared" ca="1" si="4"/>
        <v>0.20669999999999966</v>
      </c>
      <c r="N14">
        <f t="shared" ca="1" si="5"/>
        <v>0.20669999999999966</v>
      </c>
      <c r="O14">
        <f t="shared" ca="1" si="6"/>
        <v>0</v>
      </c>
      <c r="V14">
        <f ca="1">B14*(2/(12+1)) + V13*(1-(2/(12+1)))</f>
        <v>11.406558974358973</v>
      </c>
      <c r="AB14" s="18">
        <f t="shared" ca="1" si="7"/>
        <v>1.91104002366842E-2</v>
      </c>
      <c r="AC14" s="18">
        <f t="shared" ca="1" si="8"/>
        <v>1.8930090115601556E-2</v>
      </c>
      <c r="AD14" s="18">
        <f t="shared" ca="1" si="3"/>
        <v>-7.8946488853237295E-2</v>
      </c>
    </row>
    <row r="15" spans="1:30" x14ac:dyDescent="0.25">
      <c r="A15" vm="38">
        <f ca="1"/>
        <v>45313</v>
      </c>
      <c r="B15" vm="36">
        <f ca="1"/>
        <v>11.0228</v>
      </c>
      <c r="C15" vm="39">
        <f ca="1"/>
        <v>46210666</v>
      </c>
      <c r="D15">
        <f t="shared" ca="1" si="0"/>
        <v>509370929.18480003</v>
      </c>
      <c r="E15">
        <f ca="1">SUM($D$2:D15)/SUM($C$2:C15)</f>
        <v>11.380205135401335</v>
      </c>
      <c r="F15">
        <f ca="1">_xlfn.STDEV.P($B$2:B15)</f>
        <v>0.32149367404193102</v>
      </c>
      <c r="G15">
        <f t="shared" ca="1" si="1"/>
        <v>11.701698809443267</v>
      </c>
      <c r="H15">
        <f t="shared" ca="1" si="2"/>
        <v>11.058711461359403</v>
      </c>
      <c r="M15">
        <f t="shared" ca="1" si="4"/>
        <v>0</v>
      </c>
      <c r="N15">
        <f t="shared" ca="1" si="5"/>
        <v>0</v>
      </c>
      <c r="O15">
        <f t="shared" ca="1" si="6"/>
        <v>0</v>
      </c>
      <c r="P15" s="2">
        <f ca="1">AVERAGE(N3:N16)</f>
        <v>4.7099999999999857E-2</v>
      </c>
      <c r="Q15" s="2">
        <f ca="1">AVERAGE(O3:O16)</f>
        <v>0.10263571428571414</v>
      </c>
      <c r="R15">
        <f ca="1">IF(Q15=0,NA(),P15/Q15)</f>
        <v>0.4589045862620913</v>
      </c>
      <c r="S15">
        <f ca="1">100-(100/(1+R15))</f>
        <v>31.45542145685252</v>
      </c>
      <c r="T15">
        <f>70</f>
        <v>70</v>
      </c>
      <c r="U15">
        <f>30</f>
        <v>30</v>
      </c>
      <c r="V15">
        <f t="shared" ref="V15:V78" ca="1" si="9">B15*(2/(12+1)) + V14*(1-(2/(12+1)))</f>
        <v>11.3475191321499</v>
      </c>
      <c r="AB15" s="18">
        <f t="shared" ca="1" si="7"/>
        <v>0</v>
      </c>
      <c r="AC15" s="18">
        <f t="shared" ca="1" si="8"/>
        <v>0</v>
      </c>
      <c r="AD15" s="18">
        <f t="shared" ca="1" si="3"/>
        <v>-7.8946488853237295E-2</v>
      </c>
    </row>
    <row r="16" spans="1:30" x14ac:dyDescent="0.25">
      <c r="A16" vm="40">
        <f ca="1"/>
        <v>45314</v>
      </c>
      <c r="B16" vm="41">
        <f ca="1"/>
        <v>11.190099999999999</v>
      </c>
      <c r="C16" vm="42">
        <f ca="1"/>
        <v>46195994</v>
      </c>
      <c r="D16">
        <f t="shared" ca="1" si="0"/>
        <v>516937792.45939994</v>
      </c>
      <c r="E16">
        <f ca="1">SUM($D$2:D16)/SUM($C$2:C16)</f>
        <v>11.368993727346311</v>
      </c>
      <c r="F16">
        <f ca="1">_xlfn.STDEV.P($B$2:B16)</f>
        <v>0.31546604296923381</v>
      </c>
      <c r="G16">
        <f t="shared" ca="1" si="1"/>
        <v>11.684459770315545</v>
      </c>
      <c r="H16">
        <f t="shared" ca="1" si="2"/>
        <v>11.053527684377077</v>
      </c>
      <c r="M16">
        <f t="shared" ca="1" si="4"/>
        <v>0.16729999999999912</v>
      </c>
      <c r="N16">
        <f t="shared" ca="1" si="5"/>
        <v>0.16729999999999912</v>
      </c>
      <c r="O16">
        <f t="shared" ca="1" si="6"/>
        <v>0</v>
      </c>
      <c r="P16">
        <f ca="1">(P15*13+N16)/14</f>
        <v>5.5685714285714095E-2</v>
      </c>
      <c r="Q16">
        <f ca="1">(Q15*13+O16)/14</f>
        <v>9.5304591836734551E-2</v>
      </c>
      <c r="R16">
        <f t="shared" ref="R16:R79" ca="1" si="10">IF(Q16=0,NA(),P16/Q16)</f>
        <v>0.58429203895137394</v>
      </c>
      <c r="S16">
        <f t="shared" ref="S16:S79" ca="1" si="11">100-(100/(1+R16))</f>
        <v>36.880324118658741</v>
      </c>
      <c r="T16">
        <f>70</f>
        <v>70</v>
      </c>
      <c r="U16">
        <f>30</f>
        <v>30</v>
      </c>
      <c r="V16">
        <f t="shared" ca="1" si="9"/>
        <v>11.323300804126838</v>
      </c>
      <c r="AB16" s="18">
        <f t="shared" ca="1" si="7"/>
        <v>1.5177631817686832E-2</v>
      </c>
      <c r="AC16" s="18">
        <f t="shared" ca="1" si="8"/>
        <v>1.5063603898794438E-2</v>
      </c>
      <c r="AD16" s="18">
        <f t="shared" ca="1" si="3"/>
        <v>-6.4967077776663995E-2</v>
      </c>
    </row>
    <row r="17" spans="1:30" x14ac:dyDescent="0.25">
      <c r="A17" vm="43">
        <f ca="1"/>
        <v>45315</v>
      </c>
      <c r="B17" vm="44">
        <f ca="1"/>
        <v>10.855499999999999</v>
      </c>
      <c r="C17" vm="45">
        <f ca="1"/>
        <v>60014041</v>
      </c>
      <c r="D17">
        <f t="shared" ca="1" si="0"/>
        <v>651482422.07550001</v>
      </c>
      <c r="E17">
        <f ca="1">SUM($D$2:D17)/SUM($C$2:C17)</f>
        <v>11.332451963534915</v>
      </c>
      <c r="F17">
        <f ca="1">_xlfn.STDEV.P($B$2:B17)</f>
        <v>0.33236415458048396</v>
      </c>
      <c r="G17">
        <f t="shared" ca="1" si="1"/>
        <v>11.664816118115398</v>
      </c>
      <c r="H17">
        <f t="shared" ca="1" si="2"/>
        <v>11.000087808954431</v>
      </c>
      <c r="M17">
        <f t="shared" ca="1" si="4"/>
        <v>-0.33460000000000001</v>
      </c>
      <c r="N17">
        <f t="shared" ca="1" si="5"/>
        <v>0</v>
      </c>
      <c r="O17">
        <f t="shared" ca="1" si="6"/>
        <v>0.33460000000000001</v>
      </c>
      <c r="P17">
        <f t="shared" ref="P17:P80" ca="1" si="12">(P16*13+N17)/14</f>
        <v>5.1708163265305952E-2</v>
      </c>
      <c r="Q17">
        <f t="shared" ref="Q17:Q80" ca="1" si="13">(Q16*13+O17)/14</f>
        <v>0.11239712099125351</v>
      </c>
      <c r="R17">
        <f t="shared" ca="1" si="10"/>
        <v>0.46004882339761854</v>
      </c>
      <c r="S17">
        <f t="shared" ca="1" si="11"/>
        <v>31.509139696236886</v>
      </c>
      <c r="T17">
        <f>70</f>
        <v>70</v>
      </c>
      <c r="U17">
        <f>30</f>
        <v>30</v>
      </c>
      <c r="V17">
        <f t="shared" ca="1" si="9"/>
        <v>11.251331449645786</v>
      </c>
      <c r="AB17" s="18">
        <f t="shared" ca="1" si="7"/>
        <v>-2.9901430728947909E-2</v>
      </c>
      <c r="AC17" s="18">
        <f t="shared" ca="1" si="8"/>
        <v>-3.0357594842239623E-2</v>
      </c>
      <c r="AD17" s="18">
        <f t="shared" ca="1" si="3"/>
        <v>-9.2925899929810818E-2</v>
      </c>
    </row>
    <row r="18" spans="1:30" x14ac:dyDescent="0.25">
      <c r="A18" vm="46">
        <f ca="1"/>
        <v>45316</v>
      </c>
      <c r="B18" vm="47">
        <f ca="1"/>
        <v>11.160600000000001</v>
      </c>
      <c r="C18" vm="48">
        <f ca="1"/>
        <v>50150102</v>
      </c>
      <c r="D18">
        <f t="shared" ca="1" si="0"/>
        <v>559705228.38120008</v>
      </c>
      <c r="E18">
        <f ca="1">SUM($D$2:D18)/SUM($C$2:C18)</f>
        <v>11.322806112945464</v>
      </c>
      <c r="F18">
        <f ca="1">_xlfn.STDEV.P($B$2:B18)</f>
        <v>0.32593682736463792</v>
      </c>
      <c r="G18">
        <f t="shared" ca="1" si="1"/>
        <v>11.648742940310102</v>
      </c>
      <c r="H18">
        <f t="shared" ca="1" si="2"/>
        <v>10.996869285580827</v>
      </c>
      <c r="M18">
        <f t="shared" ca="1" si="4"/>
        <v>0.30510000000000126</v>
      </c>
      <c r="N18">
        <f t="shared" ca="1" si="5"/>
        <v>0.30510000000000126</v>
      </c>
      <c r="O18">
        <f t="shared" ca="1" si="6"/>
        <v>0</v>
      </c>
      <c r="P18">
        <f t="shared" ca="1" si="12"/>
        <v>6.9807580174927039E-2</v>
      </c>
      <c r="Q18">
        <f t="shared" ca="1" si="13"/>
        <v>0.10436875520616397</v>
      </c>
      <c r="R18">
        <f t="shared" ca="1" si="10"/>
        <v>0.66885515724541511</v>
      </c>
      <c r="S18">
        <f t="shared" ca="1" si="11"/>
        <v>40.078682343494471</v>
      </c>
      <c r="T18">
        <f>70</f>
        <v>70</v>
      </c>
      <c r="U18">
        <f>30</f>
        <v>30</v>
      </c>
      <c r="V18">
        <f t="shared" ca="1" si="9"/>
        <v>11.237372765084896</v>
      </c>
      <c r="AB18" s="18">
        <f t="shared" ca="1" si="7"/>
        <v>2.8105568605776066E-2</v>
      </c>
      <c r="AC18" s="18">
        <f t="shared" ca="1" si="8"/>
        <v>2.7717854956668272E-2</v>
      </c>
      <c r="AD18" s="18">
        <f t="shared" ca="1" si="3"/>
        <v>-6.7432066579765526E-2</v>
      </c>
    </row>
    <row r="19" spans="1:30" x14ac:dyDescent="0.25">
      <c r="A19" vm="49">
        <f ca="1"/>
        <v>45317</v>
      </c>
      <c r="B19" vm="50">
        <f ca="1"/>
        <v>11.2098</v>
      </c>
      <c r="C19" vm="51">
        <f ca="1"/>
        <v>36413091</v>
      </c>
      <c r="D19">
        <f t="shared" ca="1" si="0"/>
        <v>408183467.49180001</v>
      </c>
      <c r="E19">
        <f ca="1">SUM($D$2:D19)/SUM($C$2:C19)</f>
        <v>11.318380987910775</v>
      </c>
      <c r="F19">
        <f ca="1">_xlfn.STDEV.P($B$2:B19)</f>
        <v>0.31840175704428636</v>
      </c>
      <c r="G19">
        <f t="shared" ca="1" si="1"/>
        <v>11.636782744955061</v>
      </c>
      <c r="H19">
        <f t="shared" ca="1" si="2"/>
        <v>10.999979230866488</v>
      </c>
      <c r="M19">
        <f t="shared" ca="1" si="4"/>
        <v>4.9199999999999022E-2</v>
      </c>
      <c r="N19">
        <f t="shared" ca="1" si="5"/>
        <v>4.9199999999999022E-2</v>
      </c>
      <c r="O19">
        <f t="shared" ca="1" si="6"/>
        <v>0</v>
      </c>
      <c r="P19">
        <f t="shared" ca="1" si="12"/>
        <v>6.8335610162432184E-2</v>
      </c>
      <c r="Q19">
        <f t="shared" ca="1" si="13"/>
        <v>9.691384412000939E-2</v>
      </c>
      <c r="R19">
        <f t="shared" ca="1" si="10"/>
        <v>0.70511711492747631</v>
      </c>
      <c r="S19">
        <f t="shared" ca="1" si="11"/>
        <v>41.353002016959231</v>
      </c>
      <c r="T19">
        <f>70</f>
        <v>70</v>
      </c>
      <c r="U19">
        <f>30</f>
        <v>30</v>
      </c>
      <c r="V19">
        <f t="shared" ca="1" si="9"/>
        <v>11.233130801225681</v>
      </c>
      <c r="AB19" s="18">
        <f t="shared" ca="1" si="7"/>
        <v>4.4083651416588765E-3</v>
      </c>
      <c r="AC19" s="18">
        <f t="shared" ca="1" si="8"/>
        <v>4.3986767628864274E-3</v>
      </c>
      <c r="AD19" s="18">
        <f t="shared" ca="1" si="3"/>
        <v>-6.3320966609846874E-2</v>
      </c>
    </row>
    <row r="20" spans="1:30" x14ac:dyDescent="0.25">
      <c r="A20" vm="52">
        <f ca="1"/>
        <v>45320</v>
      </c>
      <c r="B20" vm="53">
        <f ca="1"/>
        <v>11.3673</v>
      </c>
      <c r="C20" vm="54">
        <f ca="1"/>
        <v>59185894</v>
      </c>
      <c r="D20">
        <f t="shared" ca="1" si="0"/>
        <v>672783812.86619997</v>
      </c>
      <c r="E20">
        <f ca="1">SUM($D$2:D20)/SUM($C$2:C20)</f>
        <v>11.321308266487726</v>
      </c>
      <c r="F20">
        <f ca="1">_xlfn.STDEV.P($B$2:B20)</f>
        <v>0.30995623299296787</v>
      </c>
      <c r="G20">
        <f t="shared" ca="1" si="1"/>
        <v>11.631264499480695</v>
      </c>
      <c r="H20">
        <f t="shared" ca="1" si="2"/>
        <v>11.011352033494758</v>
      </c>
      <c r="M20">
        <f t="shared" ca="1" si="4"/>
        <v>0.15750000000000064</v>
      </c>
      <c r="N20">
        <f t="shared" ca="1" si="5"/>
        <v>0.15750000000000064</v>
      </c>
      <c r="O20">
        <f t="shared" ca="1" si="6"/>
        <v>0</v>
      </c>
      <c r="P20">
        <f t="shared" ca="1" si="12"/>
        <v>7.4704495150829928E-2</v>
      </c>
      <c r="Q20">
        <f t="shared" ca="1" si="13"/>
        <v>8.999142668286586E-2</v>
      </c>
      <c r="R20">
        <f t="shared" ca="1" si="10"/>
        <v>0.83012902344677986</v>
      </c>
      <c r="S20">
        <f t="shared" ca="1" si="11"/>
        <v>45.359043696457725</v>
      </c>
      <c r="T20">
        <f>70</f>
        <v>70</v>
      </c>
      <c r="U20">
        <f>30</f>
        <v>30</v>
      </c>
      <c r="V20">
        <f t="shared" ca="1" si="9"/>
        <v>11.25377221642173</v>
      </c>
      <c r="AB20" s="18">
        <f t="shared" ca="1" si="7"/>
        <v>1.4050206069688986E-2</v>
      </c>
      <c r="AC20" s="18">
        <f t="shared" ca="1" si="8"/>
        <v>1.3952416832508412E-2</v>
      </c>
      <c r="AD20" s="18">
        <f t="shared" ca="1" si="3"/>
        <v>-5.0160433169558094E-2</v>
      </c>
    </row>
    <row r="21" spans="1:30" x14ac:dyDescent="0.25">
      <c r="A21" vm="55">
        <f ca="1"/>
        <v>45321</v>
      </c>
      <c r="B21" vm="56">
        <f ca="1"/>
        <v>11.5936</v>
      </c>
      <c r="C21" vm="57">
        <f ca="1"/>
        <v>71341973</v>
      </c>
      <c r="D21">
        <f t="shared" ca="1" si="0"/>
        <v>827110298.17280006</v>
      </c>
      <c r="E21">
        <f ca="1">SUM($D$2:D21)/SUM($C$2:C21)</f>
        <v>11.339627211837072</v>
      </c>
      <c r="F21">
        <f ca="1">_xlfn.STDEV.P($B$2:B21)</f>
        <v>0.30694850362072118</v>
      </c>
      <c r="G21">
        <f t="shared" ca="1" si="1"/>
        <v>11.646575715457793</v>
      </c>
      <c r="H21">
        <f t="shared" ca="1" si="2"/>
        <v>11.032678708216352</v>
      </c>
      <c r="I21">
        <f ca="1">AVERAGE(B2:B21)</f>
        <v>11.356924999999999</v>
      </c>
      <c r="J21">
        <f ca="1">_xlfn.STDEV.S(B2:B21)</f>
        <v>0.31492251991979148</v>
      </c>
      <c r="K21">
        <f ca="1">I21 + 2*J21</f>
        <v>11.986770039839582</v>
      </c>
      <c r="L21">
        <f ca="1">I21-2*J21</f>
        <v>10.727079960160415</v>
      </c>
      <c r="M21">
        <f t="shared" ca="1" si="4"/>
        <v>0.22630000000000017</v>
      </c>
      <c r="N21">
        <f t="shared" ca="1" si="5"/>
        <v>0.22630000000000017</v>
      </c>
      <c r="O21">
        <f t="shared" ca="1" si="6"/>
        <v>0</v>
      </c>
      <c r="P21">
        <f t="shared" ca="1" si="12"/>
        <v>8.5532745497199233E-2</v>
      </c>
      <c r="Q21">
        <f t="shared" ca="1" si="13"/>
        <v>8.3563467634089728E-2</v>
      </c>
      <c r="R21">
        <f t="shared" ca="1" si="10"/>
        <v>1.0235662535180163</v>
      </c>
      <c r="S21">
        <f t="shared" ca="1" si="11"/>
        <v>50.582295081197508</v>
      </c>
      <c r="T21">
        <f>70</f>
        <v>70</v>
      </c>
      <c r="U21">
        <f>30</f>
        <v>30</v>
      </c>
      <c r="V21">
        <f t="shared" ca="1" si="9"/>
        <v>11.306053413895309</v>
      </c>
      <c r="AB21" s="18">
        <f t="shared" ca="1" si="7"/>
        <v>1.9907981666710706E-2</v>
      </c>
      <c r="AC21" s="18">
        <f t="shared" ca="1" si="8"/>
        <v>1.971240917440294E-2</v>
      </c>
      <c r="AD21" s="18">
        <f t="shared" ca="1" si="3"/>
        <v>-3.1251044486781177E-2</v>
      </c>
    </row>
    <row r="22" spans="1:30" x14ac:dyDescent="0.25">
      <c r="A22" vm="58">
        <f ca="1"/>
        <v>45322</v>
      </c>
      <c r="B22" vm="59">
        <f ca="1"/>
        <v>11.534599999999999</v>
      </c>
      <c r="C22" vm="60">
        <f ca="1"/>
        <v>75757334</v>
      </c>
      <c r="D22">
        <f t="shared" ca="1" si="0"/>
        <v>873830544.75639999</v>
      </c>
      <c r="E22">
        <f ca="1">SUM($D$2:D22)/SUM($C$2:C22)</f>
        <v>11.352627454179579</v>
      </c>
      <c r="F22">
        <f ca="1">_xlfn.STDEV.P($B$2:B22)</f>
        <v>0.30193130925792372</v>
      </c>
      <c r="G22">
        <f t="shared" ca="1" si="1"/>
        <v>11.654558763437503</v>
      </c>
      <c r="H22">
        <f t="shared" ca="1" si="2"/>
        <v>11.050696144921655</v>
      </c>
      <c r="I22">
        <f t="shared" ref="I22:I85" ca="1" si="14">AVERAGE(B3:B22)</f>
        <v>11.335274999999999</v>
      </c>
      <c r="J22">
        <f t="shared" ref="J22:J85" ca="1" si="15">_xlfn.STDEV.S(B3:B22)</f>
        <v>0.28410688106489251</v>
      </c>
      <c r="K22">
        <f t="shared" ref="K22:K85" ca="1" si="16">I22 + 2*J22</f>
        <v>11.903488762129784</v>
      </c>
      <c r="L22">
        <f t="shared" ref="L22:L85" ca="1" si="17">I22-2*J22</f>
        <v>10.767061237870214</v>
      </c>
      <c r="M22">
        <f t="shared" ca="1" si="4"/>
        <v>-5.9000000000001052E-2</v>
      </c>
      <c r="N22">
        <f t="shared" ca="1" si="5"/>
        <v>0</v>
      </c>
      <c r="O22">
        <f t="shared" ca="1" si="6"/>
        <v>5.9000000000001052E-2</v>
      </c>
      <c r="P22">
        <f t="shared" ca="1" si="12"/>
        <v>7.9423263675970718E-2</v>
      </c>
      <c r="Q22">
        <f t="shared" ca="1" si="13"/>
        <v>8.180893423165482E-2</v>
      </c>
      <c r="R22">
        <f t="shared" ca="1" si="10"/>
        <v>0.97083850831097862</v>
      </c>
      <c r="S22">
        <f t="shared" ca="1" si="11"/>
        <v>49.26017551498898</v>
      </c>
      <c r="T22">
        <f>70</f>
        <v>70</v>
      </c>
      <c r="U22">
        <f>30</f>
        <v>30</v>
      </c>
      <c r="V22">
        <f t="shared" ca="1" si="9"/>
        <v>11.341214427142186</v>
      </c>
      <c r="AB22" s="18">
        <f t="shared" ca="1" si="7"/>
        <v>-5.0890146287607685E-3</v>
      </c>
      <c r="AC22" s="18">
        <f t="shared" ca="1" si="8"/>
        <v>-5.1020077639552155E-3</v>
      </c>
      <c r="AD22" s="18">
        <f t="shared" ca="1" si="3"/>
        <v>-3.6181022092984683E-2</v>
      </c>
    </row>
    <row r="23" spans="1:30" x14ac:dyDescent="0.25">
      <c r="A23" vm="61">
        <f ca="1"/>
        <v>45323</v>
      </c>
      <c r="B23" vm="62">
        <f ca="1"/>
        <v>11.9086</v>
      </c>
      <c r="C23" vm="63">
        <f ca="1"/>
        <v>82368886</v>
      </c>
      <c r="D23">
        <f t="shared" ca="1" si="0"/>
        <v>980898115.81959999</v>
      </c>
      <c r="E23">
        <f ca="1">SUM($D$2:D23)/SUM($C$2:C23)</f>
        <v>11.390208900655667</v>
      </c>
      <c r="F23">
        <f ca="1">_xlfn.STDEV.P($B$2:B23)</f>
        <v>0.31594603815988187</v>
      </c>
      <c r="G23">
        <f t="shared" ca="1" si="1"/>
        <v>11.706154938815549</v>
      </c>
      <c r="H23">
        <f t="shared" ca="1" si="2"/>
        <v>11.074262862495784</v>
      </c>
      <c r="I23">
        <f t="shared" ca="1" si="14"/>
        <v>11.354470000000003</v>
      </c>
      <c r="J23">
        <f t="shared" ca="1" si="15"/>
        <v>0.30941952801300276</v>
      </c>
      <c r="K23">
        <f t="shared" ca="1" si="16"/>
        <v>11.973309056026007</v>
      </c>
      <c r="L23">
        <f t="shared" ca="1" si="17"/>
        <v>10.735630943973998</v>
      </c>
      <c r="M23">
        <f t="shared" ca="1" si="4"/>
        <v>0.37400000000000055</v>
      </c>
      <c r="N23">
        <f t="shared" ca="1" si="5"/>
        <v>0.37400000000000055</v>
      </c>
      <c r="O23">
        <f t="shared" ca="1" si="6"/>
        <v>0</v>
      </c>
      <c r="P23">
        <f t="shared" ca="1" si="12"/>
        <v>0.10046445912768713</v>
      </c>
      <c r="Q23">
        <f t="shared" ca="1" si="13"/>
        <v>7.5965438929393767E-2</v>
      </c>
      <c r="R23">
        <f t="shared" ca="1" si="10"/>
        <v>1.3225021870941078</v>
      </c>
      <c r="S23">
        <f t="shared" ca="1" si="11"/>
        <v>56.94298995467512</v>
      </c>
      <c r="T23">
        <f>70</f>
        <v>70</v>
      </c>
      <c r="U23">
        <f>30</f>
        <v>30</v>
      </c>
      <c r="V23">
        <f t="shared" ca="1" si="9"/>
        <v>11.428504515274158</v>
      </c>
      <c r="AB23" s="18">
        <f t="shared" ca="1" si="7"/>
        <v>3.2424184627121821E-2</v>
      </c>
      <c r="AC23" s="18">
        <f t="shared" ca="1" si="8"/>
        <v>3.1909614224445056E-2</v>
      </c>
      <c r="AD23" s="18">
        <f t="shared" ca="1" si="3"/>
        <v>-4.9299776062037282E-3</v>
      </c>
    </row>
    <row r="24" spans="1:30" x14ac:dyDescent="0.25">
      <c r="A24" vm="64">
        <f ca="1"/>
        <v>45324</v>
      </c>
      <c r="B24" vm="65">
        <f ca="1"/>
        <v>11.947900000000001</v>
      </c>
      <c r="C24" vm="66">
        <f ca="1"/>
        <v>74306461</v>
      </c>
      <c r="D24">
        <f t="shared" ca="1" si="0"/>
        <v>887806165.38190007</v>
      </c>
      <c r="E24">
        <f ca="1">SUM($D$2:D24)/SUM($C$2:C24)</f>
        <v>11.422262017742739</v>
      </c>
      <c r="F24">
        <f ca="1">_xlfn.STDEV.P($B$2:B24)</f>
        <v>0.32927581993742433</v>
      </c>
      <c r="G24">
        <f t="shared" ca="1" si="1"/>
        <v>11.751537837680162</v>
      </c>
      <c r="H24">
        <f t="shared" ca="1" si="2"/>
        <v>11.092986197805315</v>
      </c>
      <c r="I24">
        <f t="shared" ca="1" si="14"/>
        <v>11.377105000000002</v>
      </c>
      <c r="J24">
        <f t="shared" ca="1" si="15"/>
        <v>0.33569847133684527</v>
      </c>
      <c r="K24">
        <f t="shared" ca="1" si="16"/>
        <v>12.048501942673692</v>
      </c>
      <c r="L24">
        <f t="shared" ca="1" si="17"/>
        <v>10.705708057326312</v>
      </c>
      <c r="M24">
        <f t="shared" ca="1" si="4"/>
        <v>3.9300000000000779E-2</v>
      </c>
      <c r="N24">
        <f t="shared" ca="1" si="5"/>
        <v>3.9300000000000779E-2</v>
      </c>
      <c r="O24">
        <f t="shared" ca="1" si="6"/>
        <v>0</v>
      </c>
      <c r="P24">
        <f t="shared" ca="1" si="12"/>
        <v>9.6095569189995247E-2</v>
      </c>
      <c r="Q24">
        <f t="shared" ca="1" si="13"/>
        <v>7.0539336148722778E-2</v>
      </c>
      <c r="R24">
        <f t="shared" ca="1" si="10"/>
        <v>1.3622976120357946</v>
      </c>
      <c r="S24">
        <f t="shared" ca="1" si="11"/>
        <v>57.668331250683764</v>
      </c>
      <c r="T24">
        <f>70</f>
        <v>70</v>
      </c>
      <c r="U24">
        <f>30</f>
        <v>30</v>
      </c>
      <c r="V24">
        <f t="shared" ca="1" si="9"/>
        <v>11.508411512924287</v>
      </c>
      <c r="AB24" s="18">
        <f t="shared" ca="1" si="7"/>
        <v>3.3001360361419874E-3</v>
      </c>
      <c r="AC24" s="18">
        <f t="shared" ca="1" si="8"/>
        <v>3.2947025381201188E-3</v>
      </c>
      <c r="AD24" s="18">
        <f t="shared" ca="1" si="3"/>
        <v>-1.6461111668173434E-3</v>
      </c>
    </row>
    <row r="25" spans="1:30" x14ac:dyDescent="0.25">
      <c r="A25" vm="67">
        <f ca="1"/>
        <v>45327</v>
      </c>
      <c r="B25" vm="68">
        <f ca="1"/>
        <v>11.406599999999999</v>
      </c>
      <c r="C25" vm="69">
        <f ca="1"/>
        <v>82329199</v>
      </c>
      <c r="D25">
        <f t="shared" ca="1" si="0"/>
        <v>939096241.31339991</v>
      </c>
      <c r="E25">
        <f ca="1">SUM($D$2:D25)/SUM($C$2:C25)</f>
        <v>11.421324368216348</v>
      </c>
      <c r="F25">
        <f ca="1">_xlfn.STDEV.P($B$2:B25)</f>
        <v>0.32234662233464689</v>
      </c>
      <c r="G25">
        <f t="shared" ca="1" si="1"/>
        <v>11.743670990550996</v>
      </c>
      <c r="H25">
        <f t="shared" ca="1" si="2"/>
        <v>11.098977745881701</v>
      </c>
      <c r="I25">
        <f t="shared" ca="1" si="14"/>
        <v>11.364310000000001</v>
      </c>
      <c r="J25">
        <f t="shared" ca="1" si="15"/>
        <v>0.32905936258563306</v>
      </c>
      <c r="K25">
        <f t="shared" ca="1" si="16"/>
        <v>12.022428725171267</v>
      </c>
      <c r="L25">
        <f t="shared" ca="1" si="17"/>
        <v>10.706191274828736</v>
      </c>
      <c r="M25">
        <f t="shared" ca="1" si="4"/>
        <v>-0.54130000000000145</v>
      </c>
      <c r="N25">
        <f t="shared" ca="1" si="5"/>
        <v>0</v>
      </c>
      <c r="O25">
        <f t="shared" ca="1" si="6"/>
        <v>0.54130000000000145</v>
      </c>
      <c r="P25">
        <f t="shared" ca="1" si="12"/>
        <v>8.9231599962138447E-2</v>
      </c>
      <c r="Q25">
        <f t="shared" ca="1" si="13"/>
        <v>0.10416509785238555</v>
      </c>
      <c r="R25">
        <f t="shared" ca="1" si="10"/>
        <v>0.85663626110725055</v>
      </c>
      <c r="S25">
        <f t="shared" ca="1" si="11"/>
        <v>46.1391538586225</v>
      </c>
      <c r="T25">
        <f>70</f>
        <v>70</v>
      </c>
      <c r="U25">
        <f>30</f>
        <v>30</v>
      </c>
      <c r="V25">
        <f t="shared" ca="1" si="9"/>
        <v>11.492748203243627</v>
      </c>
      <c r="AB25" s="18">
        <f t="shared" ca="1" si="7"/>
        <v>-4.5305032683567892E-2</v>
      </c>
      <c r="AC25" s="18">
        <f t="shared" ca="1" si="8"/>
        <v>-4.6363395473732236E-2</v>
      </c>
      <c r="AD25" s="18">
        <f t="shared" ca="1" si="3"/>
        <v>-4.687656673017182E-2</v>
      </c>
    </row>
    <row r="26" spans="1:30" x14ac:dyDescent="0.25">
      <c r="A26" vm="70">
        <f ca="1"/>
        <v>45328</v>
      </c>
      <c r="B26" vm="71">
        <f ca="1"/>
        <v>11.879099999999999</v>
      </c>
      <c r="C26" vm="72">
        <f ca="1"/>
        <v>100859525</v>
      </c>
      <c r="D26">
        <f t="shared" ca="1" si="0"/>
        <v>1198120383.4275</v>
      </c>
      <c r="E26">
        <f ca="1">SUM($D$2:D26)/SUM($C$2:C26)</f>
        <v>11.452604616395584</v>
      </c>
      <c r="F26">
        <f ca="1">_xlfn.STDEV.P($B$2:B26)</f>
        <v>0.32872080106984397</v>
      </c>
      <c r="G26">
        <f t="shared" ca="1" si="1"/>
        <v>11.781325417465428</v>
      </c>
      <c r="H26">
        <f t="shared" ca="1" si="2"/>
        <v>11.12388381532574</v>
      </c>
      <c r="I26">
        <f t="shared" ca="1" si="14"/>
        <v>11.369235000000002</v>
      </c>
      <c r="J26">
        <f t="shared" ca="1" si="15"/>
        <v>0.33627584897709073</v>
      </c>
      <c r="K26">
        <f t="shared" ca="1" si="16"/>
        <v>12.041786697954183</v>
      </c>
      <c r="L26">
        <f t="shared" ca="1" si="17"/>
        <v>10.69668330204582</v>
      </c>
      <c r="M26">
        <f t="shared" ca="1" si="4"/>
        <v>0.47250000000000014</v>
      </c>
      <c r="N26">
        <f t="shared" ca="1" si="5"/>
        <v>0.47250000000000014</v>
      </c>
      <c r="O26">
        <f t="shared" ca="1" si="6"/>
        <v>0</v>
      </c>
      <c r="P26">
        <f t="shared" ca="1" si="12"/>
        <v>0.11660791425055714</v>
      </c>
      <c r="Q26">
        <f t="shared" ca="1" si="13"/>
        <v>9.6724733720072301E-2</v>
      </c>
      <c r="R26">
        <f t="shared" ca="1" si="10"/>
        <v>1.2055645931063306</v>
      </c>
      <c r="S26">
        <f t="shared" ca="1" si="11"/>
        <v>54.660135408158965</v>
      </c>
      <c r="T26">
        <f>70</f>
        <v>70</v>
      </c>
      <c r="U26">
        <f>30</f>
        <v>30</v>
      </c>
      <c r="V26">
        <f t="shared" ca="1" si="9"/>
        <v>11.552186941206145</v>
      </c>
      <c r="AB26" s="18">
        <f t="shared" ca="1" si="7"/>
        <v>4.142338646047028E-2</v>
      </c>
      <c r="AC26" s="18">
        <f t="shared" ca="1" si="8"/>
        <v>4.0588418245492315E-2</v>
      </c>
      <c r="AD26" s="18">
        <f t="shared" ca="1" si="3"/>
        <v>-7.3949664093054812E-3</v>
      </c>
    </row>
    <row r="27" spans="1:30" x14ac:dyDescent="0.25">
      <c r="A27" vm="73">
        <f ca="1"/>
        <v>45329</v>
      </c>
      <c r="B27" vm="74">
        <f ca="1"/>
        <v>12.5975</v>
      </c>
      <c r="C27" vm="75">
        <f ca="1"/>
        <v>139429779</v>
      </c>
      <c r="D27">
        <f t="shared" ca="1" si="0"/>
        <v>1756466640.9525001</v>
      </c>
      <c r="E27">
        <f ca="1">SUM($D$2:D27)/SUM($C$2:C27)</f>
        <v>11.55141926778346</v>
      </c>
      <c r="F27">
        <f ca="1">_xlfn.STDEV.P($B$2:B27)</f>
        <v>0.39253648795837842</v>
      </c>
      <c r="G27">
        <f t="shared" ca="1" si="1"/>
        <v>11.94395575574184</v>
      </c>
      <c r="H27">
        <f t="shared" ca="1" si="2"/>
        <v>11.158882779825081</v>
      </c>
      <c r="I27">
        <f t="shared" ca="1" si="14"/>
        <v>11.416475000000002</v>
      </c>
      <c r="J27">
        <f t="shared" ca="1" si="15"/>
        <v>0.43116718197908976</v>
      </c>
      <c r="K27">
        <f t="shared" ca="1" si="16"/>
        <v>12.278809363958182</v>
      </c>
      <c r="L27">
        <f t="shared" ca="1" si="17"/>
        <v>10.554140636041822</v>
      </c>
      <c r="M27">
        <f t="shared" ca="1" si="4"/>
        <v>0.71840000000000082</v>
      </c>
      <c r="N27">
        <f t="shared" ca="1" si="5"/>
        <v>0.71840000000000082</v>
      </c>
      <c r="O27">
        <f t="shared" ca="1" si="6"/>
        <v>0</v>
      </c>
      <c r="P27">
        <f t="shared" ca="1" si="12"/>
        <v>0.15959306323266026</v>
      </c>
      <c r="Q27">
        <f t="shared" ca="1" si="13"/>
        <v>8.9815824168638564E-2</v>
      </c>
      <c r="R27">
        <f t="shared" ca="1" si="10"/>
        <v>1.7768924875978165</v>
      </c>
      <c r="S27">
        <f t="shared" ca="1" si="11"/>
        <v>63.988522981490661</v>
      </c>
      <c r="T27">
        <f>70</f>
        <v>70</v>
      </c>
      <c r="U27">
        <f>30</f>
        <v>30</v>
      </c>
      <c r="V27">
        <f t="shared" ca="1" si="9"/>
        <v>11.713004334866739</v>
      </c>
      <c r="W27" s="9">
        <f ca="1">AVERAGE(B2:B27)</f>
        <v>11.477415384615385</v>
      </c>
      <c r="X27">
        <f ca="1">V28-W28</f>
        <v>0.29104925200974741</v>
      </c>
      <c r="AB27" s="18">
        <f t="shared" ca="1" si="7"/>
        <v>6.0475961983652127E-2</v>
      </c>
      <c r="AC27" s="18">
        <f t="shared" ca="1" si="8"/>
        <v>5.8717828083625051E-2</v>
      </c>
      <c r="AD27" s="18">
        <f t="shared" ca="1" si="3"/>
        <v>5.2633777866907039E-2</v>
      </c>
    </row>
    <row r="28" spans="1:30" x14ac:dyDescent="0.25">
      <c r="A28" vm="76">
        <f ca="1"/>
        <v>45330</v>
      </c>
      <c r="B28" vm="77">
        <f ca="1"/>
        <v>12.627000000000001</v>
      </c>
      <c r="C28" vm="78">
        <f ca="1"/>
        <v>69757508</v>
      </c>
      <c r="D28">
        <f t="shared" ca="1" si="0"/>
        <v>880828053.51600003</v>
      </c>
      <c r="E28">
        <f ca="1">SUM($D$2:D28)/SUM($C$2:C28)</f>
        <v>11.595941237963997</v>
      </c>
      <c r="F28">
        <f ca="1">_xlfn.STDEV.P($B$2:B28)</f>
        <v>0.44216663268075923</v>
      </c>
      <c r="G28">
        <f t="shared" ca="1" si="1"/>
        <v>12.038107870644756</v>
      </c>
      <c r="H28">
        <f t="shared" ca="1" si="2"/>
        <v>11.153774605283237</v>
      </c>
      <c r="I28">
        <f t="shared" ca="1" si="14"/>
        <v>11.465685000000002</v>
      </c>
      <c r="J28">
        <f t="shared" ca="1" si="15"/>
        <v>0.50772521191663267</v>
      </c>
      <c r="K28">
        <f t="shared" ca="1" si="16"/>
        <v>12.481135423833267</v>
      </c>
      <c r="L28">
        <f t="shared" ca="1" si="17"/>
        <v>10.450234576166737</v>
      </c>
      <c r="M28">
        <f t="shared" ca="1" si="4"/>
        <v>2.9500000000000526E-2</v>
      </c>
      <c r="N28">
        <f t="shared" ca="1" si="5"/>
        <v>2.9500000000000526E-2</v>
      </c>
      <c r="O28">
        <f t="shared" ca="1" si="6"/>
        <v>0</v>
      </c>
      <c r="P28">
        <f t="shared" ca="1" si="12"/>
        <v>0.15030070157318456</v>
      </c>
      <c r="Q28">
        <f t="shared" ca="1" si="13"/>
        <v>8.3400408156592956E-2</v>
      </c>
      <c r="R28">
        <f t="shared" ca="1" si="10"/>
        <v>1.8021578658341735</v>
      </c>
      <c r="S28">
        <f t="shared" ca="1" si="11"/>
        <v>64.313216889287915</v>
      </c>
      <c r="T28">
        <f>70</f>
        <v>70</v>
      </c>
      <c r="U28">
        <f>30</f>
        <v>30</v>
      </c>
      <c r="V28">
        <f t="shared" ca="1" si="9"/>
        <v>11.853619052579548</v>
      </c>
      <c r="W28">
        <f ca="1">B28*(2/(26+1)) + W27*(1-(2/(26+1)))</f>
        <v>11.562569800569801</v>
      </c>
      <c r="X28">
        <f t="shared" ref="X28:X91" ca="1" si="18">V29-W29</f>
        <v>0.31940989581464407</v>
      </c>
      <c r="AB28" s="18">
        <f t="shared" ca="1" si="7"/>
        <v>2.3417344711251786E-3</v>
      </c>
      <c r="AC28" s="18">
        <f t="shared" ca="1" si="8"/>
        <v>2.3389968839271215E-3</v>
      </c>
      <c r="AD28" s="18">
        <f t="shared" ca="1" si="3"/>
        <v>5.5098766670008681E-2</v>
      </c>
    </row>
    <row r="29" spans="1:30" x14ac:dyDescent="0.25">
      <c r="A29" vm="79">
        <f ca="1"/>
        <v>45331</v>
      </c>
      <c r="B29" vm="80">
        <f ca="1"/>
        <v>12.4794</v>
      </c>
      <c r="C29" vm="81">
        <f ca="1"/>
        <v>48415582</v>
      </c>
      <c r="D29">
        <f t="shared" ca="1" si="0"/>
        <v>604197414.0108</v>
      </c>
      <c r="E29">
        <f ca="1">SUM($D$2:D29)/SUM($C$2:C29)</f>
        <v>11.620613599393518</v>
      </c>
      <c r="F29">
        <f ca="1">_xlfn.STDEV.P($B$2:B29)</f>
        <v>0.46928497466782343</v>
      </c>
      <c r="G29">
        <f t="shared" ca="1" si="1"/>
        <v>12.089898574061342</v>
      </c>
      <c r="H29">
        <f t="shared" ca="1" si="2"/>
        <v>11.151328624725695</v>
      </c>
      <c r="I29">
        <f t="shared" ca="1" si="14"/>
        <v>11.51342</v>
      </c>
      <c r="J29">
        <f t="shared" ca="1" si="15"/>
        <v>0.55613684665784058</v>
      </c>
      <c r="K29">
        <f t="shared" ca="1" si="16"/>
        <v>12.62569369331568</v>
      </c>
      <c r="L29">
        <f t="shared" ca="1" si="17"/>
        <v>10.401146306684319</v>
      </c>
      <c r="M29">
        <f t="shared" ca="1" si="4"/>
        <v>-0.14760000000000062</v>
      </c>
      <c r="N29">
        <f t="shared" ca="1" si="5"/>
        <v>0</v>
      </c>
      <c r="O29">
        <f t="shared" ca="1" si="6"/>
        <v>0.14760000000000062</v>
      </c>
      <c r="P29">
        <f t="shared" ca="1" si="12"/>
        <v>0.13956493717509996</v>
      </c>
      <c r="Q29">
        <f t="shared" ca="1" si="13"/>
        <v>8.7986093288264927E-2</v>
      </c>
      <c r="R29">
        <f t="shared" ca="1" si="10"/>
        <v>1.5862158661579571</v>
      </c>
      <c r="S29">
        <f t="shared" ca="1" si="11"/>
        <v>61.333467438447634</v>
      </c>
      <c r="T29">
        <f>70</f>
        <v>70</v>
      </c>
      <c r="U29">
        <f>30</f>
        <v>30</v>
      </c>
      <c r="V29">
        <f t="shared" ca="1" si="9"/>
        <v>11.949893044490386</v>
      </c>
      <c r="W29">
        <f t="shared" ref="W29:W92" ca="1" si="19">B29*(2/(26+1)) + W28*(1-(2/(26+1)))</f>
        <v>11.630483148675742</v>
      </c>
      <c r="X29">
        <f t="shared" ca="1" si="18"/>
        <v>0.36154646978355665</v>
      </c>
      <c r="AB29" s="18">
        <f t="shared" ca="1" si="7"/>
        <v>-1.1689237348538883E-2</v>
      </c>
      <c r="AC29" s="18">
        <f t="shared" ca="1" si="8"/>
        <v>-1.1758093594070934E-2</v>
      </c>
      <c r="AD29" s="18">
        <f t="shared" ca="1" si="3"/>
        <v>4.2765466760252391E-2</v>
      </c>
    </row>
    <row r="30" spans="1:30" x14ac:dyDescent="0.25">
      <c r="A30" vm="82">
        <f ca="1"/>
        <v>45334</v>
      </c>
      <c r="B30" vm="83">
        <f ca="1"/>
        <v>12.774699999999999</v>
      </c>
      <c r="C30" vm="84">
        <f ca="1"/>
        <v>54905099</v>
      </c>
      <c r="D30">
        <f t="shared" ca="1" si="0"/>
        <v>701396168.19529998</v>
      </c>
      <c r="E30">
        <f ca="1">SUM($D$2:D30)/SUM($C$2:C30)</f>
        <v>11.656041821628495</v>
      </c>
      <c r="F30">
        <f ca="1">_xlfn.STDEV.P($B$2:B30)</f>
        <v>0.51207873217204125</v>
      </c>
      <c r="G30">
        <f t="shared" ca="1" si="1"/>
        <v>12.168120553800536</v>
      </c>
      <c r="H30">
        <f t="shared" ca="1" si="2"/>
        <v>11.143963089456454</v>
      </c>
      <c r="I30">
        <f t="shared" ca="1" si="14"/>
        <v>11.588220000000002</v>
      </c>
      <c r="J30">
        <f t="shared" ca="1" si="15"/>
        <v>0.61986028188022468</v>
      </c>
      <c r="K30">
        <f t="shared" ca="1" si="16"/>
        <v>12.827940563760452</v>
      </c>
      <c r="L30">
        <f t="shared" ca="1" si="17"/>
        <v>10.348499436239551</v>
      </c>
      <c r="M30">
        <f t="shared" ca="1" si="4"/>
        <v>0.29529999999999923</v>
      </c>
      <c r="N30">
        <f t="shared" ca="1" si="5"/>
        <v>0.29529999999999923</v>
      </c>
      <c r="O30">
        <f t="shared" ca="1" si="6"/>
        <v>0</v>
      </c>
      <c r="P30">
        <f t="shared" ca="1" si="12"/>
        <v>0.1506888702340213</v>
      </c>
      <c r="Q30">
        <f t="shared" ca="1" si="13"/>
        <v>8.1701372339103143E-2</v>
      </c>
      <c r="R30">
        <f t="shared" ca="1" si="10"/>
        <v>1.8443860356296613</v>
      </c>
      <c r="S30">
        <f t="shared" ca="1" si="11"/>
        <v>64.843028074470553</v>
      </c>
      <c r="T30">
        <f>70</f>
        <v>70</v>
      </c>
      <c r="U30">
        <f>30</f>
        <v>30</v>
      </c>
      <c r="V30">
        <f t="shared" ca="1" si="9"/>
        <v>12.076786422261096</v>
      </c>
      <c r="W30">
        <f t="shared" ca="1" si="19"/>
        <v>11.715239952477539</v>
      </c>
      <c r="X30">
        <f t="shared" ca="1" si="18"/>
        <v>0.36688257224029996</v>
      </c>
      <c r="AB30" s="18">
        <f t="shared" ca="1" si="7"/>
        <v>2.366299661842719E-2</v>
      </c>
      <c r="AC30" s="18">
        <f t="shared" ca="1" si="8"/>
        <v>2.3387367585608103E-2</v>
      </c>
      <c r="AD30" s="18">
        <f t="shared" ca="1" si="3"/>
        <v>6.7440422474012829E-2</v>
      </c>
    </row>
    <row r="31" spans="1:30" x14ac:dyDescent="0.25">
      <c r="A31" vm="85">
        <f ca="1"/>
        <v>45335</v>
      </c>
      <c r="B31" vm="80">
        <f ca="1"/>
        <v>12.4794</v>
      </c>
      <c r="C31" vm="86">
        <f ca="1"/>
        <v>68999272</v>
      </c>
      <c r="D31">
        <f t="shared" ca="1" si="0"/>
        <v>861069514.99679995</v>
      </c>
      <c r="E31">
        <f ca="1">SUM($D$2:D31)/SUM($C$2:C31)</f>
        <v>11.686625691279222</v>
      </c>
      <c r="F31">
        <f ca="1">_xlfn.STDEV.P($B$2:B31)</f>
        <v>0.52783563267576217</v>
      </c>
      <c r="G31">
        <f t="shared" ca="1" si="1"/>
        <v>12.214461323954984</v>
      </c>
      <c r="H31">
        <f t="shared" ca="1" si="2"/>
        <v>11.15879005860346</v>
      </c>
      <c r="I31">
        <f t="shared" ca="1" si="14"/>
        <v>11.648254999999999</v>
      </c>
      <c r="J31">
        <f t="shared" ca="1" si="15"/>
        <v>0.64590302960885304</v>
      </c>
      <c r="K31">
        <f t="shared" ca="1" si="16"/>
        <v>12.940061059217705</v>
      </c>
      <c r="L31">
        <f t="shared" ca="1" si="17"/>
        <v>10.356448940782293</v>
      </c>
      <c r="M31">
        <f t="shared" ca="1" si="4"/>
        <v>-0.29529999999999923</v>
      </c>
      <c r="N31">
        <f t="shared" ca="1" si="5"/>
        <v>0</v>
      </c>
      <c r="O31">
        <f t="shared" ca="1" si="6"/>
        <v>0.29529999999999923</v>
      </c>
      <c r="P31">
        <f t="shared" ca="1" si="12"/>
        <v>0.13992537950301978</v>
      </c>
      <c r="Q31">
        <f t="shared" ca="1" si="13"/>
        <v>9.6958417172024289E-2</v>
      </c>
      <c r="R31">
        <f t="shared" ca="1" si="10"/>
        <v>1.4431483473452666</v>
      </c>
      <c r="S31">
        <f t="shared" ca="1" si="11"/>
        <v>59.069206702630098</v>
      </c>
      <c r="T31">
        <f>70</f>
        <v>70</v>
      </c>
      <c r="U31">
        <f>30</f>
        <v>30</v>
      </c>
      <c r="V31">
        <f t="shared" ca="1" si="9"/>
        <v>12.138726972682466</v>
      </c>
      <c r="W31">
        <f t="shared" ca="1" si="19"/>
        <v>11.771844400442166</v>
      </c>
      <c r="X31">
        <f t="shared" ca="1" si="18"/>
        <v>0.35746119869797077</v>
      </c>
      <c r="AB31" s="18">
        <f t="shared" ca="1" si="7"/>
        <v>-2.3116002724134388E-2</v>
      </c>
      <c r="AC31" s="18">
        <f t="shared" ca="1" si="8"/>
        <v>-2.3387367585608047E-2</v>
      </c>
      <c r="AD31" s="18">
        <f t="shared" ca="1" si="3"/>
        <v>4.2765466760252391E-2</v>
      </c>
    </row>
    <row r="32" spans="1:30" x14ac:dyDescent="0.25">
      <c r="A32" vm="87">
        <f ca="1"/>
        <v>45336</v>
      </c>
      <c r="B32" vm="88">
        <f ca="1"/>
        <v>12.3613</v>
      </c>
      <c r="C32" vm="89">
        <f ca="1"/>
        <v>53830351</v>
      </c>
      <c r="D32">
        <f t="shared" ca="1" si="0"/>
        <v>665413117.81630003</v>
      </c>
      <c r="E32">
        <f ca="1">SUM($D$2:D32)/SUM($C$2:C32)</f>
        <v>11.705626579884534</v>
      </c>
      <c r="F32">
        <f ca="1">_xlfn.STDEV.P($B$2:B32)</f>
        <v>0.53526769876803959</v>
      </c>
      <c r="G32">
        <f t="shared" ca="1" si="1"/>
        <v>12.240894278652574</v>
      </c>
      <c r="H32">
        <f t="shared" ca="1" si="2"/>
        <v>11.170358881116494</v>
      </c>
      <c r="I32">
        <f t="shared" ca="1" si="14"/>
        <v>11.711734999999999</v>
      </c>
      <c r="J32">
        <f t="shared" ca="1" si="15"/>
        <v>0.65069635757637212</v>
      </c>
      <c r="K32">
        <f t="shared" ca="1" si="16"/>
        <v>13.013127715152743</v>
      </c>
      <c r="L32">
        <f t="shared" ca="1" si="17"/>
        <v>10.410342284847255</v>
      </c>
      <c r="M32">
        <f t="shared" ca="1" si="4"/>
        <v>-0.11810000000000009</v>
      </c>
      <c r="N32">
        <f t="shared" ca="1" si="5"/>
        <v>0</v>
      </c>
      <c r="O32">
        <f t="shared" ca="1" si="6"/>
        <v>0.11810000000000009</v>
      </c>
      <c r="P32">
        <f t="shared" ca="1" si="12"/>
        <v>0.12993070953851837</v>
      </c>
      <c r="Q32">
        <f t="shared" ca="1" si="13"/>
        <v>9.8468530231165419E-2</v>
      </c>
      <c r="R32">
        <f t="shared" ca="1" si="10"/>
        <v>1.3195150697739888</v>
      </c>
      <c r="S32">
        <f t="shared" ca="1" si="11"/>
        <v>56.887540286710056</v>
      </c>
      <c r="T32">
        <f>70</f>
        <v>70</v>
      </c>
      <c r="U32">
        <f>30</f>
        <v>30</v>
      </c>
      <c r="V32">
        <f t="shared" ca="1" si="9"/>
        <v>12.172968976885162</v>
      </c>
      <c r="W32">
        <f t="shared" ca="1" si="19"/>
        <v>11.815507778187191</v>
      </c>
      <c r="X32">
        <f t="shared" ca="1" si="18"/>
        <v>0.34286312884346337</v>
      </c>
      <c r="AB32" s="18">
        <f t="shared" ca="1" si="7"/>
        <v>-9.4635960062182667E-3</v>
      </c>
      <c r="AC32" s="18">
        <f t="shared" ca="1" si="8"/>
        <v>-9.5086603702175237E-3</v>
      </c>
      <c r="AD32" s="18">
        <f t="shared" ca="1" si="3"/>
        <v>3.2897155653597743E-2</v>
      </c>
    </row>
    <row r="33" spans="1:30" x14ac:dyDescent="0.25">
      <c r="A33" vm="90">
        <f ca="1"/>
        <v>45337</v>
      </c>
      <c r="B33" vm="91">
        <f ca="1"/>
        <v>12.321899999999999</v>
      </c>
      <c r="C33" vm="92">
        <f ca="1"/>
        <v>58741057</v>
      </c>
      <c r="D33">
        <f t="shared" ca="1" si="0"/>
        <v>723801430.24829996</v>
      </c>
      <c r="E33">
        <f ca="1">SUM($D$2:D33)/SUM($C$2:C33)</f>
        <v>11.724001347659479</v>
      </c>
      <c r="F33">
        <f ca="1">_xlfn.STDEV.P($B$2:B33)</f>
        <v>0.53967135665454713</v>
      </c>
      <c r="G33">
        <f t="shared" ca="1" si="1"/>
        <v>12.263672704314027</v>
      </c>
      <c r="H33">
        <f t="shared" ca="1" si="2"/>
        <v>11.184329991004931</v>
      </c>
      <c r="I33">
        <f t="shared" ca="1" si="14"/>
        <v>11.787025</v>
      </c>
      <c r="J33">
        <f t="shared" ca="1" si="15"/>
        <v>0.62834271730858537</v>
      </c>
      <c r="K33">
        <f t="shared" ca="1" si="16"/>
        <v>13.043710434617172</v>
      </c>
      <c r="L33">
        <f t="shared" ca="1" si="17"/>
        <v>10.530339565382828</v>
      </c>
      <c r="M33">
        <f t="shared" ca="1" si="4"/>
        <v>-3.9400000000000546E-2</v>
      </c>
      <c r="N33">
        <f t="shared" ca="1" si="5"/>
        <v>0</v>
      </c>
      <c r="O33">
        <f t="shared" ca="1" si="6"/>
        <v>3.9400000000000546E-2</v>
      </c>
      <c r="P33">
        <f t="shared" ca="1" si="12"/>
        <v>0.12064994457148136</v>
      </c>
      <c r="Q33">
        <f t="shared" ca="1" si="13"/>
        <v>9.4249349500367924E-2</v>
      </c>
      <c r="R33">
        <f t="shared" ca="1" si="10"/>
        <v>1.2801143478556356</v>
      </c>
      <c r="S33">
        <f t="shared" ca="1" si="11"/>
        <v>56.14255044092576</v>
      </c>
      <c r="T33">
        <f>70</f>
        <v>70</v>
      </c>
      <c r="U33">
        <f>30</f>
        <v>30</v>
      </c>
      <c r="V33">
        <f t="shared" ca="1" si="9"/>
        <v>12.195881441979752</v>
      </c>
      <c r="W33">
        <f t="shared" ca="1" si="19"/>
        <v>11.853018313136289</v>
      </c>
      <c r="X33">
        <f t="shared" ca="1" si="18"/>
        <v>0.31024796723274228</v>
      </c>
      <c r="AB33" s="18">
        <f t="shared" ca="1" si="7"/>
        <v>-3.1873670245039509E-3</v>
      </c>
      <c r="AC33" s="18">
        <f t="shared" ca="1" si="8"/>
        <v>-3.1924574984622759E-3</v>
      </c>
      <c r="AD33" s="18">
        <f t="shared" ca="1" si="3"/>
        <v>2.96049333199635E-2</v>
      </c>
    </row>
    <row r="34" spans="1:30" x14ac:dyDescent="0.25">
      <c r="A34" vm="93">
        <f ca="1"/>
        <v>45338</v>
      </c>
      <c r="B34" vm="94">
        <f ca="1"/>
        <v>12.105399999999999</v>
      </c>
      <c r="C34" vm="95">
        <f ca="1"/>
        <v>43923435</v>
      </c>
      <c r="D34">
        <f t="shared" ca="1" si="0"/>
        <v>531710750.04899997</v>
      </c>
      <c r="E34">
        <f ca="1">SUM($D$2:D34)/SUM($C$2:C34)</f>
        <v>11.732319099850761</v>
      </c>
      <c r="F34">
        <f ca="1">_xlfn.STDEV.P($B$2:B34)</f>
        <v>0.53663482642572324</v>
      </c>
      <c r="G34">
        <f t="shared" ca="1" si="1"/>
        <v>12.268953926276485</v>
      </c>
      <c r="H34">
        <f t="shared" ca="1" si="2"/>
        <v>11.195684273425037</v>
      </c>
      <c r="I34">
        <f t="shared" ca="1" si="14"/>
        <v>11.841154999999999</v>
      </c>
      <c r="J34">
        <f t="shared" ca="1" si="15"/>
        <v>0.60524890440997392</v>
      </c>
      <c r="K34">
        <f t="shared" ca="1" si="16"/>
        <v>13.051652808819947</v>
      </c>
      <c r="L34">
        <f t="shared" ca="1" si="17"/>
        <v>10.630657191180051</v>
      </c>
      <c r="M34">
        <f t="shared" ca="1" si="4"/>
        <v>-0.21649999999999991</v>
      </c>
      <c r="N34">
        <f t="shared" ca="1" si="5"/>
        <v>0</v>
      </c>
      <c r="O34">
        <f t="shared" ca="1" si="6"/>
        <v>0.21649999999999991</v>
      </c>
      <c r="P34">
        <f t="shared" ca="1" si="12"/>
        <v>0.11203209138780412</v>
      </c>
      <c r="Q34">
        <f t="shared" ca="1" si="13"/>
        <v>0.1029815388217702</v>
      </c>
      <c r="R34">
        <f t="shared" ca="1" si="10"/>
        <v>1.0878851944686676</v>
      </c>
      <c r="S34">
        <f t="shared" ca="1" si="11"/>
        <v>52.104646239685444</v>
      </c>
      <c r="T34">
        <f>70</f>
        <v>70</v>
      </c>
      <c r="U34">
        <f>30</f>
        <v>30</v>
      </c>
      <c r="V34">
        <f t="shared" ca="1" si="9"/>
        <v>12.181961220136714</v>
      </c>
      <c r="W34">
        <f t="shared" ca="1" si="19"/>
        <v>11.871713252903971</v>
      </c>
      <c r="X34">
        <f t="shared" ca="1" si="18"/>
        <v>0.27723440224163554</v>
      </c>
      <c r="AB34" s="18">
        <f t="shared" ca="1" si="7"/>
        <v>-1.7570342236181147E-2</v>
      </c>
      <c r="AC34" s="18">
        <f t="shared" ca="1" si="8"/>
        <v>-1.7726532953105344E-2</v>
      </c>
      <c r="AD34" s="18">
        <f t="shared" ca="1" si="3"/>
        <v>1.1514422273471325E-2</v>
      </c>
    </row>
    <row r="35" spans="1:30" x14ac:dyDescent="0.25">
      <c r="A35" vm="96">
        <f ca="1"/>
        <v>45342</v>
      </c>
      <c r="B35" vm="97">
        <f ca="1"/>
        <v>12.0562</v>
      </c>
      <c r="C35" vm="98">
        <f ca="1"/>
        <v>45307818</v>
      </c>
      <c r="D35">
        <f t="shared" ca="1" si="0"/>
        <v>546240115.37160003</v>
      </c>
      <c r="E35">
        <f ca="1">SUM($D$2:D35)/SUM($C$2:C35)</f>
        <v>11.739444798139814</v>
      </c>
      <c r="F35">
        <f ca="1">_xlfn.STDEV.P($B$2:B35)</f>
        <v>0.53241730882390936</v>
      </c>
      <c r="G35">
        <f t="shared" ca="1" si="1"/>
        <v>12.271862106963724</v>
      </c>
      <c r="H35">
        <f t="shared" ca="1" si="2"/>
        <v>11.207027489315905</v>
      </c>
      <c r="I35">
        <f t="shared" ca="1" si="14"/>
        <v>11.892824999999998</v>
      </c>
      <c r="J35">
        <f t="shared" ca="1" si="15"/>
        <v>0.57506714287619454</v>
      </c>
      <c r="K35">
        <f t="shared" ca="1" si="16"/>
        <v>13.042959285752387</v>
      </c>
      <c r="L35">
        <f t="shared" ca="1" si="17"/>
        <v>10.74269071424761</v>
      </c>
      <c r="M35">
        <f t="shared" ca="1" si="4"/>
        <v>-4.9199999999999022E-2</v>
      </c>
      <c r="N35">
        <f t="shared" ca="1" si="5"/>
        <v>0</v>
      </c>
      <c r="O35">
        <f t="shared" ca="1" si="6"/>
        <v>4.9199999999999022E-2</v>
      </c>
      <c r="P35">
        <f t="shared" ca="1" si="12"/>
        <v>0.10402979914581811</v>
      </c>
      <c r="Q35">
        <f t="shared" ca="1" si="13"/>
        <v>9.9140000334500836E-2</v>
      </c>
      <c r="R35">
        <f t="shared" ca="1" si="10"/>
        <v>1.0493221585113877</v>
      </c>
      <c r="S35">
        <f t="shared" ca="1" si="11"/>
        <v>51.203377377893943</v>
      </c>
      <c r="T35">
        <f>70</f>
        <v>70</v>
      </c>
      <c r="U35">
        <f>30</f>
        <v>30</v>
      </c>
      <c r="V35">
        <f t="shared" ca="1" si="9"/>
        <v>12.162613340115682</v>
      </c>
      <c r="W35">
        <f t="shared" ca="1" si="19"/>
        <v>11.885378937874046</v>
      </c>
      <c r="X35">
        <f t="shared" ca="1" si="18"/>
        <v>0.23957039089826893</v>
      </c>
      <c r="AB35" s="18">
        <f t="shared" ca="1" si="7"/>
        <v>-4.0643018818047327E-3</v>
      </c>
      <c r="AC35" s="18">
        <f t="shared" ca="1" si="8"/>
        <v>-4.0725836039271221E-3</v>
      </c>
      <c r="AD35" s="18">
        <f t="shared" ca="1" si="3"/>
        <v>7.4033223035525619E-3</v>
      </c>
    </row>
    <row r="36" spans="1:30" x14ac:dyDescent="0.25">
      <c r="A36" vm="99">
        <f ca="1"/>
        <v>45343</v>
      </c>
      <c r="B36" vm="65">
        <f ca="1"/>
        <v>11.947900000000001</v>
      </c>
      <c r="C36" vm="100">
        <f ca="1"/>
        <v>42583940</v>
      </c>
      <c r="D36">
        <f t="shared" ca="1" si="0"/>
        <v>508788656.72600001</v>
      </c>
      <c r="E36">
        <f ca="1">SUM($D$2:D36)/SUM($C$2:C36)</f>
        <v>11.743667968905022</v>
      </c>
      <c r="F36">
        <f ca="1">_xlfn.STDEV.P($B$2:B36)</f>
        <v>0.52644960694549026</v>
      </c>
      <c r="G36">
        <f t="shared" ca="1" si="1"/>
        <v>12.270117575850513</v>
      </c>
      <c r="H36">
        <f t="shared" ca="1" si="2"/>
        <v>11.217218361959532</v>
      </c>
      <c r="I36">
        <f t="shared" ca="1" si="14"/>
        <v>11.930714999999999</v>
      </c>
      <c r="J36">
        <f t="shared" ca="1" si="15"/>
        <v>0.55078126069391564</v>
      </c>
      <c r="K36">
        <f t="shared" ca="1" si="16"/>
        <v>13.032277521387831</v>
      </c>
      <c r="L36">
        <f t="shared" ca="1" si="17"/>
        <v>10.829152478612167</v>
      </c>
      <c r="M36">
        <f t="shared" ca="1" si="4"/>
        <v>-0.10829999999999984</v>
      </c>
      <c r="N36">
        <f t="shared" ca="1" si="5"/>
        <v>0</v>
      </c>
      <c r="O36">
        <f t="shared" ca="1" si="6"/>
        <v>0.10829999999999984</v>
      </c>
      <c r="P36">
        <f t="shared" ca="1" si="12"/>
        <v>9.6599099206831102E-2</v>
      </c>
      <c r="Q36">
        <f t="shared" ca="1" si="13"/>
        <v>9.9794286024893625E-2</v>
      </c>
      <c r="R36">
        <f t="shared" ca="1" si="10"/>
        <v>0.96798226686780964</v>
      </c>
      <c r="S36">
        <f t="shared" ca="1" si="11"/>
        <v>49.186534003094735</v>
      </c>
      <c r="T36">
        <f>70</f>
        <v>70</v>
      </c>
      <c r="U36">
        <f>30</f>
        <v>30</v>
      </c>
      <c r="V36">
        <f t="shared" ca="1" si="9"/>
        <v>12.129580518559424</v>
      </c>
      <c r="W36">
        <f t="shared" ca="1" si="19"/>
        <v>11.890010127661155</v>
      </c>
      <c r="X36">
        <f t="shared" ca="1" si="18"/>
        <v>0.20576787043382794</v>
      </c>
      <c r="Y36" s="9">
        <f ca="1">AVERAGE(X28:X36)</f>
        <v>0.30899821068737882</v>
      </c>
      <c r="AB36" s="18">
        <f t="shared" ca="1" si="7"/>
        <v>-8.9829299447586886E-3</v>
      </c>
      <c r="AC36" s="18">
        <f t="shared" ca="1" si="8"/>
        <v>-9.0235197195290238E-3</v>
      </c>
      <c r="AD36" s="18">
        <f t="shared" ca="1" si="3"/>
        <v>-1.6461111668174544E-3</v>
      </c>
    </row>
    <row r="37" spans="1:30" x14ac:dyDescent="0.25">
      <c r="A37" vm="101">
        <f ca="1"/>
        <v>45344</v>
      </c>
      <c r="B37" vm="102">
        <f ca="1"/>
        <v>11.9283</v>
      </c>
      <c r="C37" vm="103">
        <f ca="1"/>
        <v>37574904</v>
      </c>
      <c r="D37">
        <f t="shared" ca="1" si="0"/>
        <v>448204727.38319999</v>
      </c>
      <c r="E37">
        <f ca="1">SUM($D$2:D37)/SUM($C$2:C37)</f>
        <v>11.746910543556348</v>
      </c>
      <c r="F37">
        <f ca="1">_xlfn.STDEV.P($B$2:B37)</f>
        <v>0.52041812910122776</v>
      </c>
      <c r="G37">
        <f t="shared" ca="1" si="1"/>
        <v>12.267328672657577</v>
      </c>
      <c r="H37">
        <f t="shared" ca="1" si="2"/>
        <v>11.226492414455119</v>
      </c>
      <c r="I37">
        <f t="shared" ca="1" si="14"/>
        <v>11.984354999999999</v>
      </c>
      <c r="J37">
        <f t="shared" ca="1" si="15"/>
        <v>0.48937196538011868</v>
      </c>
      <c r="K37">
        <f t="shared" ca="1" si="16"/>
        <v>12.963098930760236</v>
      </c>
      <c r="L37">
        <f t="shared" ca="1" si="17"/>
        <v>11.005611069239762</v>
      </c>
      <c r="M37">
        <f t="shared" ca="1" si="4"/>
        <v>-1.9600000000000506E-2</v>
      </c>
      <c r="N37">
        <f t="shared" ca="1" si="5"/>
        <v>0</v>
      </c>
      <c r="O37">
        <f t="shared" ca="1" si="6"/>
        <v>1.9600000000000506E-2</v>
      </c>
      <c r="P37">
        <f t="shared" ca="1" si="12"/>
        <v>8.9699163549200309E-2</v>
      </c>
      <c r="Q37">
        <f t="shared" ca="1" si="13"/>
        <v>9.4066122737401253E-2</v>
      </c>
      <c r="R37">
        <f t="shared" ca="1" si="10"/>
        <v>0.95357564380120219</v>
      </c>
      <c r="S37">
        <f t="shared" ca="1" si="11"/>
        <v>48.811810631799574</v>
      </c>
      <c r="T37">
        <f>70</f>
        <v>70</v>
      </c>
      <c r="U37">
        <f>30</f>
        <v>30</v>
      </c>
      <c r="V37">
        <f t="shared" ca="1" si="9"/>
        <v>12.098614284934897</v>
      </c>
      <c r="W37">
        <f t="shared" ca="1" si="19"/>
        <v>11.892846414501069</v>
      </c>
      <c r="X37">
        <f t="shared" ca="1" si="18"/>
        <v>0.17850301399662882</v>
      </c>
      <c r="Y37">
        <f ca="1">X37*(2/(9+1)) + Y36*(1-(2/(9+1)))</f>
        <v>0.28289917134922882</v>
      </c>
      <c r="Z37">
        <f ca="1">X37-Y37</f>
        <v>-0.10439615735259999</v>
      </c>
      <c r="AB37" s="18">
        <f t="shared" ca="1" si="7"/>
        <v>-1.6404556449250984E-3</v>
      </c>
      <c r="AC37" s="18">
        <f t="shared" ca="1" si="8"/>
        <v>-1.6418026656399684E-3</v>
      </c>
      <c r="AD37" s="18">
        <f t="shared" ca="1" si="3"/>
        <v>-3.2838664393867179E-3</v>
      </c>
    </row>
    <row r="38" spans="1:30" x14ac:dyDescent="0.25">
      <c r="A38" vm="104">
        <f ca="1"/>
        <v>45345</v>
      </c>
      <c r="B38" vm="65">
        <f ca="1"/>
        <v>11.947900000000001</v>
      </c>
      <c r="C38" vm="105">
        <f ca="1"/>
        <v>32668885</v>
      </c>
      <c r="D38">
        <f t="shared" ca="1" si="0"/>
        <v>390324571.09150004</v>
      </c>
      <c r="E38">
        <f ca="1">SUM($D$2:D38)/SUM($C$2:C38)</f>
        <v>11.749933357288263</v>
      </c>
      <c r="F38">
        <f ca="1">_xlfn.STDEV.P($B$2:B38)</f>
        <v>0.51480712556997366</v>
      </c>
      <c r="G38">
        <f t="shared" ca="1" si="1"/>
        <v>12.264740482858237</v>
      </c>
      <c r="H38">
        <f t="shared" ca="1" si="2"/>
        <v>11.23512623171829</v>
      </c>
      <c r="I38">
        <f t="shared" ca="1" si="14"/>
        <v>12.023720000000001</v>
      </c>
      <c r="J38">
        <f t="shared" ca="1" si="15"/>
        <v>0.44967696545760272</v>
      </c>
      <c r="K38">
        <f t="shared" ca="1" si="16"/>
        <v>12.923073930915207</v>
      </c>
      <c r="L38">
        <f t="shared" ca="1" si="17"/>
        <v>11.124366069084795</v>
      </c>
      <c r="M38">
        <f t="shared" ca="1" si="4"/>
        <v>1.9600000000000506E-2</v>
      </c>
      <c r="N38">
        <f t="shared" ca="1" si="5"/>
        <v>1.9600000000000506E-2</v>
      </c>
      <c r="O38">
        <f t="shared" ca="1" si="6"/>
        <v>0</v>
      </c>
      <c r="P38">
        <f t="shared" ca="1" si="12"/>
        <v>8.4692080438543177E-2</v>
      </c>
      <c r="Q38">
        <f t="shared" ca="1" si="13"/>
        <v>8.7347113970444021E-2</v>
      </c>
      <c r="R38">
        <f t="shared" ca="1" si="10"/>
        <v>0.96960364903642682</v>
      </c>
      <c r="S38">
        <f t="shared" ca="1" si="11"/>
        <v>49.228363762972215</v>
      </c>
      <c r="T38">
        <f>70</f>
        <v>70</v>
      </c>
      <c r="U38">
        <f>30</f>
        <v>30</v>
      </c>
      <c r="V38">
        <f t="shared" ca="1" si="9"/>
        <v>12.075427471867989</v>
      </c>
      <c r="W38">
        <f t="shared" ca="1" si="19"/>
        <v>11.896924457871361</v>
      </c>
      <c r="X38">
        <f t="shared" ca="1" si="18"/>
        <v>0.14019803514701046</v>
      </c>
      <c r="Y38">
        <f t="shared" ref="Y38:Y101" ca="1" si="20">X38*(2/(9+1)) + Y37*(1-(2/(9+1)))</f>
        <v>0.25435894410878518</v>
      </c>
      <c r="Z38">
        <f t="shared" ref="Z38:Z101" ca="1" si="21">X38-Y38</f>
        <v>-0.11416090896177472</v>
      </c>
      <c r="AB38" s="18">
        <f t="shared" ca="1" si="7"/>
        <v>1.6431511615235816E-3</v>
      </c>
      <c r="AC38" s="18">
        <f t="shared" ca="1" si="8"/>
        <v>1.6418026656400651E-3</v>
      </c>
      <c r="AD38" s="18">
        <f t="shared" ca="1" si="3"/>
        <v>-1.6461111668173434E-3</v>
      </c>
    </row>
    <row r="39" spans="1:30" x14ac:dyDescent="0.25">
      <c r="A39" vm="106">
        <f ca="1"/>
        <v>45348</v>
      </c>
      <c r="B39" vm="107">
        <f ca="1"/>
        <v>11.760999999999999</v>
      </c>
      <c r="C39" vm="108">
        <f ca="1"/>
        <v>40888150</v>
      </c>
      <c r="D39">
        <f t="shared" ca="1" si="0"/>
        <v>480885532.14999998</v>
      </c>
      <c r="E39">
        <f ca="1">SUM($D$2:D39)/SUM($C$2:C39)</f>
        <v>11.750137821912487</v>
      </c>
      <c r="F39">
        <f ca="1">_xlfn.STDEV.P($B$2:B39)</f>
        <v>0.5080423561311288</v>
      </c>
      <c r="G39">
        <f t="shared" ca="1" si="1"/>
        <v>12.258180178043617</v>
      </c>
      <c r="H39">
        <f t="shared" ca="1" si="2"/>
        <v>11.242095465781357</v>
      </c>
      <c r="I39">
        <f t="shared" ca="1" si="14"/>
        <v>12.05128</v>
      </c>
      <c r="J39">
        <f t="shared" ca="1" si="15"/>
        <v>0.41252387822435593</v>
      </c>
      <c r="K39">
        <f t="shared" ca="1" si="16"/>
        <v>12.876327756448712</v>
      </c>
      <c r="L39">
        <f t="shared" ca="1" si="17"/>
        <v>11.226232243551289</v>
      </c>
      <c r="M39">
        <f t="shared" ca="1" si="4"/>
        <v>-0.1869000000000014</v>
      </c>
      <c r="N39">
        <f t="shared" ca="1" si="5"/>
        <v>0</v>
      </c>
      <c r="O39">
        <f t="shared" ca="1" si="6"/>
        <v>0.1869000000000014</v>
      </c>
      <c r="P39">
        <f t="shared" ca="1" si="12"/>
        <v>7.8642646121504386E-2</v>
      </c>
      <c r="Q39">
        <f t="shared" ca="1" si="13"/>
        <v>9.4458034401126684E-2</v>
      </c>
      <c r="R39">
        <f t="shared" ca="1" si="10"/>
        <v>0.83256704016875405</v>
      </c>
      <c r="S39">
        <f t="shared" ca="1" si="11"/>
        <v>45.431737116263221</v>
      </c>
      <c r="T39">
        <f>70</f>
        <v>70</v>
      </c>
      <c r="U39">
        <f>30</f>
        <v>30</v>
      </c>
      <c r="V39">
        <f t="shared" ca="1" si="9"/>
        <v>12.02705401465753</v>
      </c>
      <c r="W39">
        <f t="shared" ca="1" si="19"/>
        <v>11.88685597951052</v>
      </c>
      <c r="X39">
        <f t="shared" ca="1" si="18"/>
        <v>0.11251409975033333</v>
      </c>
      <c r="Y39">
        <f t="shared" ca="1" si="20"/>
        <v>0.22598997523709483</v>
      </c>
      <c r="Z39">
        <f t="shared" ca="1" si="21"/>
        <v>-0.1134758754867615</v>
      </c>
      <c r="AB39" s="18">
        <f t="shared" ca="1" si="7"/>
        <v>-1.5642916328392542E-2</v>
      </c>
      <c r="AC39" s="18">
        <f t="shared" ca="1" si="8"/>
        <v>-1.5766557848331687E-2</v>
      </c>
      <c r="AD39" s="18">
        <f t="shared" ca="1" si="3"/>
        <v>-1.7263277515960129E-2</v>
      </c>
    </row>
    <row r="40" spans="1:30" x14ac:dyDescent="0.25">
      <c r="A40" vm="109">
        <f ca="1"/>
        <v>45349</v>
      </c>
      <c r="B40" vm="110">
        <f ca="1"/>
        <v>11.8102</v>
      </c>
      <c r="C40" vm="111">
        <f ca="1"/>
        <v>37095660</v>
      </c>
      <c r="D40">
        <f t="shared" ca="1" si="0"/>
        <v>438107163.73199999</v>
      </c>
      <c r="E40">
        <f ca="1">SUM($D$2:D40)/SUM($C$2:C40)</f>
        <v>11.75112799169146</v>
      </c>
      <c r="F40">
        <f ca="1">_xlfn.STDEV.P($B$2:B40)</f>
        <v>0.50170827839242904</v>
      </c>
      <c r="G40">
        <f t="shared" ca="1" si="1"/>
        <v>12.25283627008389</v>
      </c>
      <c r="H40">
        <f t="shared" ca="1" si="2"/>
        <v>11.24941971329903</v>
      </c>
      <c r="I40">
        <f t="shared" ca="1" si="14"/>
        <v>12.073425</v>
      </c>
      <c r="J40">
        <f t="shared" ca="1" si="15"/>
        <v>0.38483256492443035</v>
      </c>
      <c r="K40">
        <f t="shared" ca="1" si="16"/>
        <v>12.843090129848861</v>
      </c>
      <c r="L40">
        <f t="shared" ca="1" si="17"/>
        <v>11.30375987015114</v>
      </c>
      <c r="M40">
        <f t="shared" ca="1" si="4"/>
        <v>4.9200000000000799E-2</v>
      </c>
      <c r="N40">
        <f t="shared" ca="1" si="5"/>
        <v>4.9200000000000799E-2</v>
      </c>
      <c r="O40">
        <f t="shared" ca="1" si="6"/>
        <v>0</v>
      </c>
      <c r="P40">
        <f t="shared" ca="1" si="12"/>
        <v>7.6539599969968411E-2</v>
      </c>
      <c r="Q40">
        <f t="shared" ca="1" si="13"/>
        <v>8.7711031943903353E-2</v>
      </c>
      <c r="R40">
        <f t="shared" ca="1" si="10"/>
        <v>0.87263367302439487</v>
      </c>
      <c r="S40">
        <f t="shared" ca="1" si="11"/>
        <v>46.599272756590395</v>
      </c>
      <c r="T40">
        <f>70</f>
        <v>70</v>
      </c>
      <c r="U40">
        <f>30</f>
        <v>30</v>
      </c>
      <c r="V40">
        <f t="shared" ca="1" si="9"/>
        <v>11.993691858556371</v>
      </c>
      <c r="W40">
        <f t="shared" ca="1" si="19"/>
        <v>11.881177758806038</v>
      </c>
      <c r="X40">
        <f t="shared" ca="1" si="18"/>
        <v>0.11309091276148209</v>
      </c>
      <c r="Y40">
        <f t="shared" ca="1" si="20"/>
        <v>0.20341016274197229</v>
      </c>
      <c r="Z40">
        <f t="shared" ca="1" si="21"/>
        <v>-9.0319249980490207E-2</v>
      </c>
      <c r="AB40" s="18">
        <f t="shared" ca="1" si="7"/>
        <v>4.1833177450898429E-3</v>
      </c>
      <c r="AC40" s="18">
        <f t="shared" ca="1" si="8"/>
        <v>4.17459199799553E-3</v>
      </c>
      <c r="AD40" s="18">
        <f t="shared" ca="1" si="3"/>
        <v>-1.3152177546041255E-2</v>
      </c>
    </row>
    <row r="41" spans="1:30" x14ac:dyDescent="0.25">
      <c r="A41" vm="112">
        <f ca="1"/>
        <v>45350</v>
      </c>
      <c r="B41" vm="94">
        <f ca="1"/>
        <v>12.105399999999999</v>
      </c>
      <c r="C41" vm="113">
        <f ca="1"/>
        <v>52274888</v>
      </c>
      <c r="D41">
        <f t="shared" ca="1" si="0"/>
        <v>632808429.19519997</v>
      </c>
      <c r="E41">
        <f ca="1">SUM($D$2:D41)/SUM($C$2:C41)</f>
        <v>11.759171425749045</v>
      </c>
      <c r="F41">
        <f ca="1">_xlfn.STDEV.P($B$2:B41)</f>
        <v>0.49907020357861476</v>
      </c>
      <c r="G41">
        <f t="shared" ca="1" si="1"/>
        <v>12.25824162932766</v>
      </c>
      <c r="H41">
        <f t="shared" ca="1" si="2"/>
        <v>11.26010122217043</v>
      </c>
      <c r="I41">
        <f t="shared" ca="1" si="14"/>
        <v>12.099015</v>
      </c>
      <c r="J41">
        <f t="shared" ca="1" si="15"/>
        <v>0.36789009839896486</v>
      </c>
      <c r="K41">
        <f t="shared" ca="1" si="16"/>
        <v>12.834795196797929</v>
      </c>
      <c r="L41">
        <f t="shared" ca="1" si="17"/>
        <v>11.36323480320207</v>
      </c>
      <c r="M41">
        <f t="shared" ca="1" si="4"/>
        <v>0.29519999999999946</v>
      </c>
      <c r="N41">
        <f t="shared" ca="1" si="5"/>
        <v>0.29519999999999946</v>
      </c>
      <c r="O41">
        <f t="shared" ca="1" si="6"/>
        <v>0</v>
      </c>
      <c r="P41">
        <f t="shared" ca="1" si="12"/>
        <v>9.2158199972113497E-2</v>
      </c>
      <c r="Q41">
        <f t="shared" ca="1" si="13"/>
        <v>8.1445958233624549E-2</v>
      </c>
      <c r="R41">
        <f t="shared" ca="1" si="10"/>
        <v>1.1315257622454549</v>
      </c>
      <c r="S41">
        <f t="shared" ca="1" si="11"/>
        <v>53.085249181011527</v>
      </c>
      <c r="T41">
        <f>70</f>
        <v>70</v>
      </c>
      <c r="U41">
        <f>30</f>
        <v>30</v>
      </c>
      <c r="V41">
        <f t="shared" ca="1" si="9"/>
        <v>12.010877726470776</v>
      </c>
      <c r="W41">
        <f t="shared" ca="1" si="19"/>
        <v>11.897786813709294</v>
      </c>
      <c r="X41">
        <f t="shared" ca="1" si="18"/>
        <v>0.12324663904928812</v>
      </c>
      <c r="Y41">
        <f t="shared" ca="1" si="20"/>
        <v>0.18737745800343547</v>
      </c>
      <c r="Z41">
        <f t="shared" ca="1" si="21"/>
        <v>-6.4130818954147351E-2</v>
      </c>
      <c r="AB41" s="18">
        <f t="shared" ca="1" si="7"/>
        <v>2.4995343008585857E-2</v>
      </c>
      <c r="AC41" s="18">
        <f t="shared" ca="1" si="8"/>
        <v>2.4688069173792501E-2</v>
      </c>
      <c r="AD41" s="18">
        <f t="shared" ca="1" si="3"/>
        <v>1.1514422273471547E-2</v>
      </c>
    </row>
    <row r="42" spans="1:30" x14ac:dyDescent="0.25">
      <c r="A42" vm="114">
        <f ca="1"/>
        <v>45351</v>
      </c>
      <c r="B42" vm="115">
        <f ca="1"/>
        <v>12.2432</v>
      </c>
      <c r="C42" vm="116">
        <f ca="1"/>
        <v>43791267</v>
      </c>
      <c r="D42">
        <f t="shared" ca="1" si="0"/>
        <v>536145240.13440001</v>
      </c>
      <c r="E42">
        <f ca="1">SUM($D$2:D42)/SUM($C$2:C42)</f>
        <v>11.768205581477217</v>
      </c>
      <c r="F42">
        <f ca="1">_xlfn.STDEV.P($B$2:B42)</f>
        <v>0.49931245399077673</v>
      </c>
      <c r="G42">
        <f t="shared" ca="1" si="1"/>
        <v>12.267518035467994</v>
      </c>
      <c r="H42">
        <f t="shared" ca="1" si="2"/>
        <v>11.268893127486439</v>
      </c>
      <c r="I42">
        <f t="shared" ca="1" si="14"/>
        <v>12.134444999999999</v>
      </c>
      <c r="J42">
        <f t="shared" ca="1" si="15"/>
        <v>0.34401948303915342</v>
      </c>
      <c r="K42">
        <f t="shared" ca="1" si="16"/>
        <v>12.822483966078305</v>
      </c>
      <c r="L42">
        <f t="shared" ca="1" si="17"/>
        <v>11.446406033921694</v>
      </c>
      <c r="M42">
        <f t="shared" ca="1" si="4"/>
        <v>0.13780000000000037</v>
      </c>
      <c r="N42">
        <f t="shared" ca="1" si="5"/>
        <v>0.13780000000000037</v>
      </c>
      <c r="O42">
        <f t="shared" ca="1" si="6"/>
        <v>0</v>
      </c>
      <c r="P42">
        <f t="shared" ca="1" si="12"/>
        <v>9.541832854553399E-2</v>
      </c>
      <c r="Q42">
        <f t="shared" ca="1" si="13"/>
        <v>7.5628389788365641E-2</v>
      </c>
      <c r="R42">
        <f t="shared" ca="1" si="10"/>
        <v>1.2616734114338204</v>
      </c>
      <c r="S42">
        <f t="shared" ca="1" si="11"/>
        <v>55.784951313282868</v>
      </c>
      <c r="T42">
        <f>70</f>
        <v>70</v>
      </c>
      <c r="U42">
        <f>30</f>
        <v>30</v>
      </c>
      <c r="V42">
        <f t="shared" ca="1" si="9"/>
        <v>12.04661961470604</v>
      </c>
      <c r="W42">
        <f t="shared" ca="1" si="19"/>
        <v>11.923372975656752</v>
      </c>
      <c r="X42">
        <f t="shared" ca="1" si="18"/>
        <v>0.13058065093803073</v>
      </c>
      <c r="Y42">
        <f t="shared" ca="1" si="20"/>
        <v>0.17601809659035453</v>
      </c>
      <c r="Z42">
        <f t="shared" ca="1" si="21"/>
        <v>-4.5437445652323799E-2</v>
      </c>
      <c r="AB42" s="18">
        <f t="shared" ca="1" si="7"/>
        <v>1.138334957952658E-2</v>
      </c>
      <c r="AC42" s="18">
        <f t="shared" ca="1" si="8"/>
        <v>1.131904678305474E-2</v>
      </c>
      <c r="AD42" s="18">
        <f t="shared" ca="1" si="3"/>
        <v>2.3028844546943317E-2</v>
      </c>
    </row>
    <row r="43" spans="1:30" x14ac:dyDescent="0.25">
      <c r="A43" vm="117">
        <f ca="1"/>
        <v>45352</v>
      </c>
      <c r="B43" vm="118">
        <f ca="1"/>
        <v>12.253</v>
      </c>
      <c r="C43" vm="119">
        <f ca="1"/>
        <v>49545241</v>
      </c>
      <c r="D43">
        <f t="shared" ca="1" si="0"/>
        <v>607077837.97300005</v>
      </c>
      <c r="E43">
        <f ca="1">SUM($D$2:D43)/SUM($C$2:C43)</f>
        <v>11.778231245258553</v>
      </c>
      <c r="F43">
        <f ca="1">_xlfn.STDEV.P($B$2:B43)</f>
        <v>0.49948058542391771</v>
      </c>
      <c r="G43">
        <f t="shared" ca="1" si="1"/>
        <v>12.27771183068247</v>
      </c>
      <c r="H43">
        <f t="shared" ca="1" si="2"/>
        <v>11.278750659834635</v>
      </c>
      <c r="I43">
        <f t="shared" ca="1" si="14"/>
        <v>12.151664999999999</v>
      </c>
      <c r="J43">
        <f t="shared" ca="1" si="15"/>
        <v>0.34072349072463293</v>
      </c>
      <c r="K43">
        <f t="shared" ca="1" si="16"/>
        <v>12.833111981449266</v>
      </c>
      <c r="L43">
        <f t="shared" ca="1" si="17"/>
        <v>11.470218018550733</v>
      </c>
      <c r="M43">
        <f t="shared" ca="1" si="4"/>
        <v>9.800000000000253E-3</v>
      </c>
      <c r="N43">
        <f t="shared" ca="1" si="5"/>
        <v>9.800000000000253E-3</v>
      </c>
      <c r="O43">
        <f t="shared" ca="1" si="6"/>
        <v>0</v>
      </c>
      <c r="P43">
        <f t="shared" ca="1" si="12"/>
        <v>8.930273364942444E-2</v>
      </c>
      <c r="Q43">
        <f t="shared" ca="1" si="13"/>
        <v>7.0226361946339522E-2</v>
      </c>
      <c r="R43">
        <f t="shared" ca="1" si="10"/>
        <v>1.271641178246729</v>
      </c>
      <c r="S43">
        <f t="shared" ca="1" si="11"/>
        <v>55.978963157737439</v>
      </c>
      <c r="T43">
        <f>70</f>
        <v>70</v>
      </c>
      <c r="U43">
        <f>30</f>
        <v>30</v>
      </c>
      <c r="V43">
        <f t="shared" ca="1" si="9"/>
        <v>12.078370443212803</v>
      </c>
      <c r="W43">
        <f t="shared" ca="1" si="19"/>
        <v>11.947789792274772</v>
      </c>
      <c r="X43">
        <f t="shared" ca="1" si="18"/>
        <v>0.15761350183732503</v>
      </c>
      <c r="Y43">
        <f t="shared" ca="1" si="20"/>
        <v>0.17233717763974865</v>
      </c>
      <c r="Z43">
        <f t="shared" ca="1" si="21"/>
        <v>-1.4723675802423619E-2</v>
      </c>
      <c r="AB43" s="18">
        <f t="shared" ca="1" si="7"/>
        <v>8.004443282803031E-4</v>
      </c>
      <c r="AC43" s="18">
        <f t="shared" ca="1" si="8"/>
        <v>8.0012414356759774E-4</v>
      </c>
      <c r="AD43" s="18">
        <f t="shared" ca="1" si="3"/>
        <v>2.3847722183228059E-2</v>
      </c>
    </row>
    <row r="44" spans="1:30" x14ac:dyDescent="0.25">
      <c r="A44" vm="120">
        <f ca="1"/>
        <v>45355</v>
      </c>
      <c r="B44" vm="121">
        <f ca="1"/>
        <v>12.538500000000001</v>
      </c>
      <c r="C44" vm="122">
        <f ca="1"/>
        <v>83187760</v>
      </c>
      <c r="D44">
        <f t="shared" ca="1" si="0"/>
        <v>1043049728.7600001</v>
      </c>
      <c r="E44">
        <f ca="1">SUM($D$2:D44)/SUM($C$2:C44)</f>
        <v>11.803743931700653</v>
      </c>
      <c r="F44">
        <f ca="1">_xlfn.STDEV.P($B$2:B44)</f>
        <v>0.50764524887169105</v>
      </c>
      <c r="G44">
        <f t="shared" ca="1" si="1"/>
        <v>12.311389180572345</v>
      </c>
      <c r="H44">
        <f t="shared" ca="1" si="2"/>
        <v>11.296098682828962</v>
      </c>
      <c r="I44">
        <f t="shared" ca="1" si="14"/>
        <v>12.181195000000002</v>
      </c>
      <c r="J44">
        <f t="shared" ca="1" si="15"/>
        <v>0.34765667952131973</v>
      </c>
      <c r="K44">
        <f t="shared" ca="1" si="16"/>
        <v>12.876508359042642</v>
      </c>
      <c r="L44">
        <f t="shared" ca="1" si="17"/>
        <v>11.485881640957363</v>
      </c>
      <c r="M44">
        <f t="shared" ca="1" si="4"/>
        <v>0.28550000000000075</v>
      </c>
      <c r="N44">
        <f t="shared" ca="1" si="5"/>
        <v>0.28550000000000075</v>
      </c>
      <c r="O44">
        <f t="shared" ca="1" si="6"/>
        <v>0</v>
      </c>
      <c r="P44">
        <f t="shared" ca="1" si="12"/>
        <v>0.10331682410303702</v>
      </c>
      <c r="Q44">
        <f t="shared" ca="1" si="13"/>
        <v>6.5210193235886699E-2</v>
      </c>
      <c r="R44">
        <f t="shared" ca="1" si="10"/>
        <v>1.584366170014343</v>
      </c>
      <c r="S44">
        <f t="shared" ca="1" si="11"/>
        <v>61.305792824456837</v>
      </c>
      <c r="T44">
        <f>70</f>
        <v>70</v>
      </c>
      <c r="U44">
        <f>30</f>
        <v>30</v>
      </c>
      <c r="V44">
        <f t="shared" ca="1" si="9"/>
        <v>12.149159605795449</v>
      </c>
      <c r="W44">
        <f t="shared" ca="1" si="19"/>
        <v>11.991546103958123</v>
      </c>
      <c r="X44">
        <f t="shared" ca="1" si="18"/>
        <v>0.16443281804802901</v>
      </c>
      <c r="Y44">
        <f t="shared" ca="1" si="20"/>
        <v>0.17075630572140471</v>
      </c>
      <c r="Z44">
        <f t="shared" ca="1" si="21"/>
        <v>-6.3234876733757051E-3</v>
      </c>
      <c r="AB44" s="18">
        <f t="shared" ca="1" si="7"/>
        <v>2.3300416224598219E-2</v>
      </c>
      <c r="AC44" s="18">
        <f t="shared" ca="1" si="8"/>
        <v>2.3033105857874131E-2</v>
      </c>
      <c r="AD44" s="18">
        <f t="shared" ca="1" si="3"/>
        <v>4.7703800260703977E-2</v>
      </c>
    </row>
    <row r="45" spans="1:30" x14ac:dyDescent="0.25">
      <c r="A45" vm="123">
        <f ca="1"/>
        <v>45356</v>
      </c>
      <c r="B45" vm="124">
        <f ca="1"/>
        <v>12.381</v>
      </c>
      <c r="C45" vm="125">
        <f ca="1"/>
        <v>48666110</v>
      </c>
      <c r="D45">
        <f t="shared" ca="1" si="0"/>
        <v>602535107.90999997</v>
      </c>
      <c r="E45">
        <f ca="1">SUM($D$2:D45)/SUM($C$2:C45)</f>
        <v>11.814858214989867</v>
      </c>
      <c r="F45">
        <f ca="1">_xlfn.STDEV.P($B$2:B45)</f>
        <v>0.51001088140129647</v>
      </c>
      <c r="G45">
        <f t="shared" ca="1" si="1"/>
        <v>12.324869096391163</v>
      </c>
      <c r="H45">
        <f t="shared" ca="1" si="2"/>
        <v>11.304847333588571</v>
      </c>
      <c r="I45">
        <f t="shared" ca="1" si="14"/>
        <v>12.229915000000002</v>
      </c>
      <c r="J45">
        <f t="shared" ca="1" si="15"/>
        <v>0.29814249732389103</v>
      </c>
      <c r="K45">
        <f t="shared" ca="1" si="16"/>
        <v>12.826199994647784</v>
      </c>
      <c r="L45">
        <f t="shared" ca="1" si="17"/>
        <v>11.63363000535222</v>
      </c>
      <c r="M45">
        <f t="shared" ca="1" si="4"/>
        <v>-0.15750000000000064</v>
      </c>
      <c r="N45">
        <f t="shared" ca="1" si="5"/>
        <v>0</v>
      </c>
      <c r="O45">
        <f t="shared" ca="1" si="6"/>
        <v>0.15750000000000064</v>
      </c>
      <c r="P45">
        <f t="shared" ca="1" si="12"/>
        <v>9.5937050952820097E-2</v>
      </c>
      <c r="Q45">
        <f t="shared" ca="1" si="13"/>
        <v>7.1802322290466264E-2</v>
      </c>
      <c r="R45">
        <f t="shared" ca="1" si="10"/>
        <v>1.3361274105414049</v>
      </c>
      <c r="S45">
        <f t="shared" ca="1" si="11"/>
        <v>57.194115548336171</v>
      </c>
      <c r="T45">
        <f>70</f>
        <v>70</v>
      </c>
      <c r="U45">
        <f>30</f>
        <v>30</v>
      </c>
      <c r="V45">
        <f t="shared" ca="1" si="9"/>
        <v>12.184827358749995</v>
      </c>
      <c r="W45">
        <f t="shared" ca="1" si="19"/>
        <v>12.020394540701966</v>
      </c>
      <c r="X45">
        <f t="shared" ca="1" si="18"/>
        <v>0.15219458638350325</v>
      </c>
      <c r="Y45">
        <f t="shared" ca="1" si="20"/>
        <v>0.16704396185382442</v>
      </c>
      <c r="Z45">
        <f t="shared" ca="1" si="21"/>
        <v>-1.4849375470321169E-2</v>
      </c>
      <c r="AB45" s="18">
        <f t="shared" ca="1" si="7"/>
        <v>-1.2561311161622291E-2</v>
      </c>
      <c r="AC45" s="18">
        <f t="shared" ca="1" si="8"/>
        <v>-1.2640871386629084E-2</v>
      </c>
      <c r="AD45" s="18">
        <f t="shared" ca="1" si="3"/>
        <v>3.4543266820415086E-2</v>
      </c>
    </row>
    <row r="46" spans="1:30" x14ac:dyDescent="0.25">
      <c r="A46" vm="126">
        <f ca="1"/>
        <v>45357</v>
      </c>
      <c r="B46" vm="127">
        <f ca="1"/>
        <v>12.184100000000001</v>
      </c>
      <c r="C46" vm="128">
        <f ca="1"/>
        <v>49619440</v>
      </c>
      <c r="D46">
        <f t="shared" ca="1" si="0"/>
        <v>604568218.90400004</v>
      </c>
      <c r="E46">
        <f ca="1">SUM($D$2:D46)/SUM($C$2:C46)</f>
        <v>11.821967175026957</v>
      </c>
      <c r="F46">
        <f ca="1">_xlfn.STDEV.P($B$2:B46)</f>
        <v>0.50773412053510414</v>
      </c>
      <c r="G46">
        <f t="shared" ca="1" si="1"/>
        <v>12.329701295562062</v>
      </c>
      <c r="H46">
        <f t="shared" ca="1" si="2"/>
        <v>11.314233054491853</v>
      </c>
      <c r="I46">
        <f t="shared" ca="1" si="14"/>
        <v>12.245165000000002</v>
      </c>
      <c r="J46">
        <f t="shared" ca="1" si="15"/>
        <v>0.28684000909180973</v>
      </c>
      <c r="K46">
        <f t="shared" ca="1" si="16"/>
        <v>12.818845018183621</v>
      </c>
      <c r="L46">
        <f t="shared" ca="1" si="17"/>
        <v>11.671484981816382</v>
      </c>
      <c r="M46">
        <f t="shared" ca="1" si="4"/>
        <v>-0.19689999999999941</v>
      </c>
      <c r="N46">
        <f t="shared" ca="1" si="5"/>
        <v>0</v>
      </c>
      <c r="O46">
        <f t="shared" ca="1" si="6"/>
        <v>0.19689999999999941</v>
      </c>
      <c r="P46">
        <f t="shared" ca="1" si="12"/>
        <v>8.9084404456190078E-2</v>
      </c>
      <c r="Q46">
        <f t="shared" ca="1" si="13"/>
        <v>8.0737870698290068E-2</v>
      </c>
      <c r="R46">
        <f t="shared" ca="1" si="10"/>
        <v>1.1033781753929359</v>
      </c>
      <c r="S46">
        <f t="shared" ca="1" si="11"/>
        <v>52.457431968305549</v>
      </c>
      <c r="T46">
        <f>70</f>
        <v>70</v>
      </c>
      <c r="U46">
        <f>30</f>
        <v>30</v>
      </c>
      <c r="V46">
        <f t="shared" ca="1" si="9"/>
        <v>12.184715457403842</v>
      </c>
      <c r="W46">
        <f t="shared" ca="1" si="19"/>
        <v>12.032520871020338</v>
      </c>
      <c r="X46">
        <f t="shared" ca="1" si="18"/>
        <v>0.14323307056219825</v>
      </c>
      <c r="Y46">
        <f t="shared" ca="1" si="20"/>
        <v>0.16228178359549919</v>
      </c>
      <c r="Z46">
        <f t="shared" ca="1" si="21"/>
        <v>-1.904871303330094E-2</v>
      </c>
      <c r="AB46" s="18">
        <f t="shared" ca="1" si="7"/>
        <v>-1.5903400371537035E-2</v>
      </c>
      <c r="AC46" s="18">
        <f t="shared" ca="1" si="8"/>
        <v>-1.6031216394148468E-2</v>
      </c>
      <c r="AD46" s="18">
        <f t="shared" ca="1" si="3"/>
        <v>1.8090511046492175E-2</v>
      </c>
    </row>
    <row r="47" spans="1:30" x14ac:dyDescent="0.25">
      <c r="A47" vm="129">
        <f ca="1"/>
        <v>45358</v>
      </c>
      <c r="B47" vm="130">
        <f ca="1"/>
        <v>12.213699999999999</v>
      </c>
      <c r="C47" vm="131">
        <f ca="1"/>
        <v>39597447</v>
      </c>
      <c r="D47">
        <f t="shared" ca="1" si="0"/>
        <v>483631338.42389995</v>
      </c>
      <c r="E47">
        <f ca="1">SUM($D$2:D47)/SUM($C$2:C47)</f>
        <v>11.827894771993622</v>
      </c>
      <c r="F47">
        <f ca="1">_xlfn.STDEV.P($B$2:B47)</f>
        <v>0.50590543118030629</v>
      </c>
      <c r="G47">
        <f t="shared" ca="1" si="1"/>
        <v>12.333800203173928</v>
      </c>
      <c r="H47">
        <f t="shared" ca="1" si="2"/>
        <v>11.321989340813316</v>
      </c>
      <c r="I47">
        <f t="shared" ca="1" si="14"/>
        <v>12.225975</v>
      </c>
      <c r="J47">
        <f t="shared" ca="1" si="15"/>
        <v>0.27460513253722968</v>
      </c>
      <c r="K47">
        <f t="shared" ca="1" si="16"/>
        <v>12.775185265074459</v>
      </c>
      <c r="L47">
        <f t="shared" ca="1" si="17"/>
        <v>11.676764734925541</v>
      </c>
      <c r="M47">
        <f t="shared" ca="1" si="4"/>
        <v>2.9599999999998516E-2</v>
      </c>
      <c r="N47">
        <f t="shared" ca="1" si="5"/>
        <v>2.9599999999998516E-2</v>
      </c>
      <c r="O47">
        <f t="shared" ca="1" si="6"/>
        <v>0</v>
      </c>
      <c r="P47">
        <f t="shared" ca="1" si="12"/>
        <v>8.4835518423604955E-2</v>
      </c>
      <c r="Q47">
        <f t="shared" ca="1" si="13"/>
        <v>7.4970879934126503E-2</v>
      </c>
      <c r="R47">
        <f t="shared" ca="1" si="10"/>
        <v>1.1315796012818051</v>
      </c>
      <c r="S47">
        <f t="shared" ca="1" si="11"/>
        <v>53.086434144957124</v>
      </c>
      <c r="T47">
        <f>70</f>
        <v>70</v>
      </c>
      <c r="U47">
        <f>30</f>
        <v>30</v>
      </c>
      <c r="V47">
        <f t="shared" ca="1" si="9"/>
        <v>12.189174617803252</v>
      </c>
      <c r="W47">
        <f t="shared" ca="1" si="19"/>
        <v>12.045941547241053</v>
      </c>
      <c r="X47">
        <f t="shared" ca="1" si="18"/>
        <v>0.11651925536815888</v>
      </c>
      <c r="Y47">
        <f t="shared" ca="1" si="20"/>
        <v>0.15312927795003115</v>
      </c>
      <c r="Z47">
        <f t="shared" ca="1" si="21"/>
        <v>-3.6610022581872265E-2</v>
      </c>
      <c r="AB47" s="18">
        <f t="shared" ca="1" si="7"/>
        <v>2.429395687822522E-3</v>
      </c>
      <c r="AC47" s="18">
        <f t="shared" ca="1" si="8"/>
        <v>2.4264494768285985E-3</v>
      </c>
      <c r="AD47" s="18">
        <f t="shared" ca="1" si="3"/>
        <v>2.0563855743841453E-2</v>
      </c>
    </row>
    <row r="48" spans="1:30" x14ac:dyDescent="0.25">
      <c r="A48" vm="132">
        <f ca="1"/>
        <v>45359</v>
      </c>
      <c r="B48" vm="133">
        <f ca="1"/>
        <v>11.987299999999999</v>
      </c>
      <c r="C48" vm="134">
        <f ca="1"/>
        <v>55603423</v>
      </c>
      <c r="D48">
        <f t="shared" ca="1" si="0"/>
        <v>666534912.52789998</v>
      </c>
      <c r="E48">
        <f ca="1">SUM($D$2:D48)/SUM($C$2:C48)</f>
        <v>11.831211381051599</v>
      </c>
      <c r="F48">
        <f ca="1">_xlfn.STDEV.P($B$2:B48)</f>
        <v>0.50120158937446468</v>
      </c>
      <c r="G48">
        <f t="shared" ca="1" si="1"/>
        <v>12.332412970426063</v>
      </c>
      <c r="H48">
        <f t="shared" ca="1" si="2"/>
        <v>11.330009791677135</v>
      </c>
      <c r="I48">
        <f t="shared" ca="1" si="14"/>
        <v>12.193989999999999</v>
      </c>
      <c r="J48">
        <f t="shared" ca="1" si="15"/>
        <v>0.26242146674867572</v>
      </c>
      <c r="K48">
        <f t="shared" ca="1" si="16"/>
        <v>12.718832933497351</v>
      </c>
      <c r="L48">
        <f t="shared" ca="1" si="17"/>
        <v>11.669147066502648</v>
      </c>
      <c r="M48">
        <f t="shared" ca="1" si="4"/>
        <v>-0.22639999999999993</v>
      </c>
      <c r="N48">
        <f t="shared" ca="1" si="5"/>
        <v>0</v>
      </c>
      <c r="O48">
        <f t="shared" ca="1" si="6"/>
        <v>0.22639999999999993</v>
      </c>
      <c r="P48">
        <f t="shared" ca="1" si="12"/>
        <v>7.8775838536204609E-2</v>
      </c>
      <c r="Q48">
        <f t="shared" ca="1" si="13"/>
        <v>8.5787245653117461E-2</v>
      </c>
      <c r="R48">
        <f t="shared" ca="1" si="10"/>
        <v>0.91826981897444726</v>
      </c>
      <c r="S48">
        <f t="shared" ca="1" si="11"/>
        <v>47.869690170352378</v>
      </c>
      <c r="T48">
        <f>70</f>
        <v>70</v>
      </c>
      <c r="U48">
        <f>30</f>
        <v>30</v>
      </c>
      <c r="V48">
        <f t="shared" ca="1" si="9"/>
        <v>12.158116984295059</v>
      </c>
      <c r="W48">
        <f t="shared" ca="1" si="19"/>
        <v>12.041597728926901</v>
      </c>
      <c r="X48">
        <f t="shared" ca="1" si="18"/>
        <v>8.8765477021054195E-2</v>
      </c>
      <c r="Y48">
        <f t="shared" ca="1" si="20"/>
        <v>0.14025651776423576</v>
      </c>
      <c r="Z48">
        <f t="shared" ca="1" si="21"/>
        <v>-5.149104074318156E-2</v>
      </c>
      <c r="AB48" s="18">
        <f t="shared" ca="1" si="7"/>
        <v>-1.8536561402359597E-2</v>
      </c>
      <c r="AC48" s="18">
        <f t="shared" ca="1" si="8"/>
        <v>-1.8710516496739431E-2</v>
      </c>
      <c r="AD48" s="18">
        <f t="shared" ca="1" si="3"/>
        <v>1.6461111668168993E-3</v>
      </c>
    </row>
    <row r="49" spans="1:30" x14ac:dyDescent="0.25">
      <c r="A49" vm="135">
        <f ca="1"/>
        <v>45362</v>
      </c>
      <c r="B49" vm="136">
        <f ca="1"/>
        <v>11.9184</v>
      </c>
      <c r="C49" vm="137">
        <f ca="1"/>
        <v>35700139</v>
      </c>
      <c r="D49">
        <f t="shared" ca="1" si="0"/>
        <v>425488536.65759999</v>
      </c>
      <c r="E49">
        <f ca="1">SUM($D$2:D49)/SUM($C$2:C49)</f>
        <v>11.832360742835759</v>
      </c>
      <c r="F49">
        <f ca="1">_xlfn.STDEV.P($B$2:B49)</f>
        <v>0.4962093318768469</v>
      </c>
      <c r="G49">
        <f t="shared" ca="1" si="1"/>
        <v>12.328570074712605</v>
      </c>
      <c r="H49">
        <f t="shared" ca="1" si="2"/>
        <v>11.336151410958912</v>
      </c>
      <c r="I49">
        <f t="shared" ca="1" si="14"/>
        <v>12.165939999999999</v>
      </c>
      <c r="J49">
        <f t="shared" ca="1" si="15"/>
        <v>0.26028227875054982</v>
      </c>
      <c r="K49">
        <f t="shared" ca="1" si="16"/>
        <v>12.686504557501099</v>
      </c>
      <c r="L49">
        <f t="shared" ca="1" si="17"/>
        <v>11.645375442498899</v>
      </c>
      <c r="M49">
        <f t="shared" ca="1" si="4"/>
        <v>-6.8899999999999295E-2</v>
      </c>
      <c r="N49">
        <f t="shared" ca="1" si="5"/>
        <v>0</v>
      </c>
      <c r="O49">
        <f t="shared" ca="1" si="6"/>
        <v>6.8899999999999295E-2</v>
      </c>
      <c r="P49">
        <f t="shared" ca="1" si="12"/>
        <v>7.3148992926475712E-2</v>
      </c>
      <c r="Q49">
        <f t="shared" ca="1" si="13"/>
        <v>8.458101382075188E-2</v>
      </c>
      <c r="R49">
        <f t="shared" ca="1" si="10"/>
        <v>0.86483939624436934</v>
      </c>
      <c r="S49">
        <f t="shared" ca="1" si="11"/>
        <v>46.376079247686611</v>
      </c>
      <c r="T49">
        <f>70</f>
        <v>70</v>
      </c>
      <c r="U49">
        <f>30</f>
        <v>30</v>
      </c>
      <c r="V49">
        <f t="shared" ca="1" si="9"/>
        <v>12.121237448249666</v>
      </c>
      <c r="W49">
        <f t="shared" ca="1" si="19"/>
        <v>12.032471971228611</v>
      </c>
      <c r="X49">
        <f t="shared" ca="1" si="18"/>
        <v>6.6009491398439479E-2</v>
      </c>
      <c r="Y49">
        <f t="shared" ca="1" si="20"/>
        <v>0.1254071124910765</v>
      </c>
      <c r="Z49">
        <f t="shared" ca="1" si="21"/>
        <v>-5.9397621092637021E-2</v>
      </c>
      <c r="AB49" s="18">
        <f t="shared" ca="1" si="7"/>
        <v>-5.7477497017676127E-3</v>
      </c>
      <c r="AC49" s="18">
        <f t="shared" ca="1" si="8"/>
        <v>-5.7643315846203462E-3</v>
      </c>
      <c r="AD49" s="18">
        <f t="shared" ca="1" si="3"/>
        <v>-4.1110999699188744E-3</v>
      </c>
    </row>
    <row r="50" spans="1:30" x14ac:dyDescent="0.25">
      <c r="A50" vm="138">
        <f ca="1"/>
        <v>45363</v>
      </c>
      <c r="B50" vm="136">
        <f ca="1"/>
        <v>11.9184</v>
      </c>
      <c r="C50" vm="139">
        <f ca="1"/>
        <v>31747487</v>
      </c>
      <c r="D50">
        <f t="shared" ca="1" si="0"/>
        <v>378379249.06080002</v>
      </c>
      <c r="E50">
        <f ca="1">SUM($D$2:D50)/SUM($C$2:C50)</f>
        <v>11.833357688428354</v>
      </c>
      <c r="F50">
        <f ca="1">_xlfn.STDEV.P($B$2:B50)</f>
        <v>0.49136284820529347</v>
      </c>
      <c r="G50">
        <f t="shared" ca="1" si="1"/>
        <v>12.324720536633647</v>
      </c>
      <c r="H50">
        <f t="shared" ca="1" si="2"/>
        <v>11.341994840223061</v>
      </c>
      <c r="I50">
        <f t="shared" ca="1" si="14"/>
        <v>12.123124999999998</v>
      </c>
      <c r="J50">
        <f t="shared" ca="1" si="15"/>
        <v>0.22257053967580478</v>
      </c>
      <c r="K50">
        <f t="shared" ca="1" si="16"/>
        <v>12.568266079351607</v>
      </c>
      <c r="L50">
        <f t="shared" ca="1" si="17"/>
        <v>11.677983920648389</v>
      </c>
      <c r="M50">
        <f t="shared" ca="1" si="4"/>
        <v>0</v>
      </c>
      <c r="N50">
        <f t="shared" ca="1" si="5"/>
        <v>0</v>
      </c>
      <c r="O50">
        <f t="shared" ca="1" si="6"/>
        <v>0</v>
      </c>
      <c r="P50">
        <f t="shared" ca="1" si="12"/>
        <v>6.792406486029888E-2</v>
      </c>
      <c r="Q50">
        <f t="shared" ca="1" si="13"/>
        <v>7.8539512833555314E-2</v>
      </c>
      <c r="R50">
        <f t="shared" ca="1" si="10"/>
        <v>0.86483939624436945</v>
      </c>
      <c r="S50">
        <f t="shared" ca="1" si="11"/>
        <v>46.376079247686619</v>
      </c>
      <c r="T50">
        <f>70</f>
        <v>70</v>
      </c>
      <c r="U50">
        <f>30</f>
        <v>30</v>
      </c>
      <c r="V50">
        <f t="shared" ca="1" si="9"/>
        <v>12.090031686980486</v>
      </c>
      <c r="W50">
        <f t="shared" ca="1" si="19"/>
        <v>12.024022195582047</v>
      </c>
      <c r="X50">
        <f t="shared" ca="1" si="18"/>
        <v>6.784215803145166E-2</v>
      </c>
      <c r="Y50">
        <f t="shared" ca="1" si="20"/>
        <v>0.11389412159915153</v>
      </c>
      <c r="Z50">
        <f t="shared" ca="1" si="21"/>
        <v>-4.6051963567699875E-2</v>
      </c>
      <c r="AB50" s="18">
        <f t="shared" ca="1" si="7"/>
        <v>0</v>
      </c>
      <c r="AC50" s="18">
        <f t="shared" ca="1" si="8"/>
        <v>0</v>
      </c>
      <c r="AD50" s="18">
        <f t="shared" ca="1" si="3"/>
        <v>-4.1110999699188744E-3</v>
      </c>
    </row>
    <row r="51" spans="1:30" x14ac:dyDescent="0.25">
      <c r="A51" vm="140">
        <f ca="1"/>
        <v>45364</v>
      </c>
      <c r="B51" vm="141">
        <f ca="1"/>
        <v>12.174300000000001</v>
      </c>
      <c r="C51" vm="142">
        <f ca="1"/>
        <v>51408559</v>
      </c>
      <c r="D51">
        <f t="shared" ca="1" si="0"/>
        <v>625863219.83370006</v>
      </c>
      <c r="E51">
        <f ca="1">SUM($D$2:D51)/SUM($C$2:C51)</f>
        <v>11.839636951025916</v>
      </c>
      <c r="F51">
        <f ca="1">_xlfn.STDEV.P($B$2:B51)</f>
        <v>0.4890711482023859</v>
      </c>
      <c r="G51">
        <f t="shared" ca="1" si="1"/>
        <v>12.328708099228303</v>
      </c>
      <c r="H51">
        <f t="shared" ca="1" si="2"/>
        <v>11.35056580282353</v>
      </c>
      <c r="I51">
        <f t="shared" ca="1" si="14"/>
        <v>12.107869999999998</v>
      </c>
      <c r="J51">
        <f t="shared" ca="1" si="15"/>
        <v>0.20676047189161217</v>
      </c>
      <c r="K51">
        <f t="shared" ca="1" si="16"/>
        <v>12.521390943783222</v>
      </c>
      <c r="L51">
        <f t="shared" ca="1" si="17"/>
        <v>11.694349056216774</v>
      </c>
      <c r="M51">
        <f t="shared" ca="1" si="4"/>
        <v>0.25590000000000046</v>
      </c>
      <c r="N51">
        <f t="shared" ca="1" si="5"/>
        <v>0.25590000000000046</v>
      </c>
      <c r="O51">
        <f t="shared" ca="1" si="6"/>
        <v>0</v>
      </c>
      <c r="P51">
        <f t="shared" ca="1" si="12"/>
        <v>8.1350917370277553E-2</v>
      </c>
      <c r="Q51">
        <f t="shared" ca="1" si="13"/>
        <v>7.2929547631158512E-2</v>
      </c>
      <c r="R51">
        <f t="shared" ca="1" si="10"/>
        <v>1.115472672087727</v>
      </c>
      <c r="S51">
        <f t="shared" ca="1" si="11"/>
        <v>52.729240457967464</v>
      </c>
      <c r="T51">
        <f>70</f>
        <v>70</v>
      </c>
      <c r="U51">
        <f>30</f>
        <v>30</v>
      </c>
      <c r="V51">
        <f t="shared" ca="1" si="9"/>
        <v>12.102996042829643</v>
      </c>
      <c r="W51">
        <f t="shared" ca="1" si="19"/>
        <v>12.035153884798191</v>
      </c>
      <c r="X51">
        <f t="shared" ca="1" si="18"/>
        <v>4.5737926384591177E-2</v>
      </c>
      <c r="Y51">
        <f t="shared" ca="1" si="20"/>
        <v>0.10026288255623947</v>
      </c>
      <c r="Z51">
        <f t="shared" ca="1" si="21"/>
        <v>-5.4524956171648292E-2</v>
      </c>
      <c r="AB51" s="18">
        <f t="shared" ca="1" si="7"/>
        <v>2.147100281917047E-2</v>
      </c>
      <c r="AC51" s="18">
        <f t="shared" ca="1" si="8"/>
        <v>2.1243748009355828E-2</v>
      </c>
      <c r="AD51" s="18">
        <f t="shared" ca="1" si="3"/>
        <v>1.7271633410207654E-2</v>
      </c>
    </row>
    <row r="52" spans="1:30" x14ac:dyDescent="0.25">
      <c r="A52" vm="143">
        <f ca="1"/>
        <v>45365</v>
      </c>
      <c r="B52" vm="144">
        <f ca="1"/>
        <v>11.8889</v>
      </c>
      <c r="C52" vm="145">
        <f ca="1"/>
        <v>53465690</v>
      </c>
      <c r="D52">
        <f t="shared" ca="1" si="0"/>
        <v>635648241.84099996</v>
      </c>
      <c r="E52">
        <f ca="1">SUM($D$2:D52)/SUM($C$2:C52)</f>
        <v>11.840562818469765</v>
      </c>
      <c r="F52">
        <f ca="1">_xlfn.STDEV.P($B$2:B52)</f>
        <v>0.48435063981729848</v>
      </c>
      <c r="G52">
        <f t="shared" ca="1" si="1"/>
        <v>12.324913458287064</v>
      </c>
      <c r="H52">
        <f t="shared" ca="1" si="2"/>
        <v>11.356212178652466</v>
      </c>
      <c r="I52">
        <f t="shared" ca="1" si="14"/>
        <v>12.084249999999997</v>
      </c>
      <c r="J52">
        <f t="shared" ca="1" si="15"/>
        <v>0.20323838349661175</v>
      </c>
      <c r="K52">
        <f t="shared" ca="1" si="16"/>
        <v>12.490726766993221</v>
      </c>
      <c r="L52">
        <f t="shared" ca="1" si="17"/>
        <v>11.677773233006773</v>
      </c>
      <c r="M52">
        <f t="shared" ca="1" si="4"/>
        <v>-0.28540000000000099</v>
      </c>
      <c r="N52">
        <f t="shared" ca="1" si="5"/>
        <v>0</v>
      </c>
      <c r="O52">
        <f t="shared" ca="1" si="6"/>
        <v>0.28540000000000099</v>
      </c>
      <c r="P52">
        <f t="shared" ca="1" si="12"/>
        <v>7.5540137558114867E-2</v>
      </c>
      <c r="Q52">
        <f t="shared" ca="1" si="13"/>
        <v>8.8106008514647255E-2</v>
      </c>
      <c r="R52">
        <f t="shared" ca="1" si="10"/>
        <v>0.85737782055529888</v>
      </c>
      <c r="S52">
        <f t="shared" ca="1" si="11"/>
        <v>46.160657840684735</v>
      </c>
      <c r="T52">
        <f>70</f>
        <v>70</v>
      </c>
      <c r="U52">
        <f>30</f>
        <v>30</v>
      </c>
      <c r="V52">
        <f t="shared" ca="1" si="9"/>
        <v>12.07005819008662</v>
      </c>
      <c r="W52">
        <f t="shared" ca="1" si="19"/>
        <v>12.024320263702029</v>
      </c>
      <c r="X52">
        <f t="shared" ca="1" si="18"/>
        <v>2.6327056275119887E-2</v>
      </c>
      <c r="Y52">
        <f t="shared" ca="1" si="20"/>
        <v>8.5475717300015547E-2</v>
      </c>
      <c r="Z52">
        <f t="shared" ca="1" si="21"/>
        <v>-5.914866102489566E-2</v>
      </c>
      <c r="AB52" s="18">
        <f t="shared" ca="1" si="7"/>
        <v>-2.3442826281593221E-2</v>
      </c>
      <c r="AC52" s="18">
        <f t="shared" ca="1" si="8"/>
        <v>-2.3721980744541224E-2</v>
      </c>
      <c r="AD52" s="18">
        <f t="shared" ca="1" si="3"/>
        <v>-6.5760887730204054E-3</v>
      </c>
    </row>
    <row r="53" spans="1:30" x14ac:dyDescent="0.25">
      <c r="A53" vm="146">
        <f ca="1"/>
        <v>45366</v>
      </c>
      <c r="B53" vm="147">
        <f ca="1"/>
        <v>11.869199999999999</v>
      </c>
      <c r="C53" vm="148">
        <f ca="1"/>
        <v>89672657</v>
      </c>
      <c r="D53">
        <f t="shared" ca="1" si="0"/>
        <v>1064342700.4643999</v>
      </c>
      <c r="E53">
        <f ca="1">SUM($D$2:D53)/SUM($C$2:C53)</f>
        <v>11.841437931615081</v>
      </c>
      <c r="F53">
        <f ca="1">_xlfn.STDEV.P($B$2:B53)</f>
        <v>0.47971841706834262</v>
      </c>
      <c r="G53">
        <f t="shared" ca="1" si="1"/>
        <v>12.321156348683424</v>
      </c>
      <c r="H53">
        <f t="shared" ca="1" si="2"/>
        <v>11.361719514546738</v>
      </c>
      <c r="I53">
        <f t="shared" ca="1" si="14"/>
        <v>12.061615</v>
      </c>
      <c r="J53">
        <f t="shared" ca="1" si="15"/>
        <v>0.20056933248026484</v>
      </c>
      <c r="K53">
        <f t="shared" ca="1" si="16"/>
        <v>12.462753664960529</v>
      </c>
      <c r="L53">
        <f t="shared" ca="1" si="17"/>
        <v>11.660476335039471</v>
      </c>
      <c r="M53">
        <f t="shared" ca="1" si="4"/>
        <v>-1.9700000000000273E-2</v>
      </c>
      <c r="N53">
        <f t="shared" ca="1" si="5"/>
        <v>0</v>
      </c>
      <c r="O53">
        <f t="shared" ca="1" si="6"/>
        <v>1.9700000000000273E-2</v>
      </c>
      <c r="P53">
        <f t="shared" ca="1" si="12"/>
        <v>7.0144413446820944E-2</v>
      </c>
      <c r="Q53">
        <f t="shared" ca="1" si="13"/>
        <v>8.3219865049315334E-2</v>
      </c>
      <c r="R53">
        <f t="shared" ca="1" si="10"/>
        <v>0.84288064400553886</v>
      </c>
      <c r="S53">
        <f t="shared" ca="1" si="11"/>
        <v>45.737126099144461</v>
      </c>
      <c r="T53">
        <f>70</f>
        <v>70</v>
      </c>
      <c r="U53">
        <f>30</f>
        <v>30</v>
      </c>
      <c r="V53">
        <f t="shared" ca="1" si="9"/>
        <v>12.039156930073293</v>
      </c>
      <c r="W53">
        <f t="shared" ca="1" si="19"/>
        <v>12.012829873798173</v>
      </c>
      <c r="X53">
        <f t="shared" ca="1" si="18"/>
        <v>2.0240168795902846E-2</v>
      </c>
      <c r="Y53">
        <f t="shared" ca="1" si="20"/>
        <v>7.2428607599193007E-2</v>
      </c>
      <c r="Z53">
        <f t="shared" ca="1" si="21"/>
        <v>-5.218843880329016E-2</v>
      </c>
      <c r="AB53" s="18">
        <f t="shared" ca="1" si="7"/>
        <v>-1.6570077971890251E-3</v>
      </c>
      <c r="AC53" s="18">
        <f t="shared" ca="1" si="8"/>
        <v>-1.658382153031055E-3</v>
      </c>
      <c r="AD53" s="18">
        <f t="shared" ca="1" si="3"/>
        <v>-8.2221999398375267E-3</v>
      </c>
    </row>
    <row r="54" spans="1:30" x14ac:dyDescent="0.25">
      <c r="A54" vm="149">
        <f ca="1"/>
        <v>45369</v>
      </c>
      <c r="B54" vm="133">
        <f ca="1"/>
        <v>11.987299999999999</v>
      </c>
      <c r="C54" vm="150">
        <f ca="1"/>
        <v>37187525</v>
      </c>
      <c r="D54">
        <f t="shared" ca="1" si="0"/>
        <v>445778018.4325</v>
      </c>
      <c r="E54">
        <f ca="1">SUM($D$2:D54)/SUM($C$2:C54)</f>
        <v>11.84326327431048</v>
      </c>
      <c r="F54">
        <f ca="1">_xlfn.STDEV.P($B$2:B54)</f>
        <v>0.47571002489883357</v>
      </c>
      <c r="G54">
        <f t="shared" ca="1" si="1"/>
        <v>12.318973299209315</v>
      </c>
      <c r="H54">
        <f t="shared" ca="1" si="2"/>
        <v>11.367553249411646</v>
      </c>
      <c r="I54">
        <f t="shared" ca="1" si="14"/>
        <v>12.055709999999999</v>
      </c>
      <c r="J54">
        <f t="shared" ca="1" si="15"/>
        <v>0.20095054353588726</v>
      </c>
      <c r="K54">
        <f t="shared" ca="1" si="16"/>
        <v>12.457611087071774</v>
      </c>
      <c r="L54">
        <f t="shared" ca="1" si="17"/>
        <v>11.653808912928225</v>
      </c>
      <c r="M54">
        <f t="shared" ca="1" si="4"/>
        <v>0.11810000000000009</v>
      </c>
      <c r="N54">
        <f t="shared" ca="1" si="5"/>
        <v>0.11810000000000009</v>
      </c>
      <c r="O54">
        <f t="shared" ca="1" si="6"/>
        <v>0</v>
      </c>
      <c r="P54">
        <f t="shared" ca="1" si="12"/>
        <v>7.3569812486333735E-2</v>
      </c>
      <c r="Q54">
        <f t="shared" ca="1" si="13"/>
        <v>7.7275588974364248E-2</v>
      </c>
      <c r="R54">
        <f t="shared" ca="1" si="10"/>
        <v>0.95204466847532043</v>
      </c>
      <c r="S54">
        <f t="shared" ca="1" si="11"/>
        <v>48.771664083841479</v>
      </c>
      <c r="T54">
        <f>70</f>
        <v>70</v>
      </c>
      <c r="U54">
        <f>30</f>
        <v>30</v>
      </c>
      <c r="V54">
        <f t="shared" ca="1" si="9"/>
        <v>12.031178940831248</v>
      </c>
      <c r="W54">
        <f t="shared" ca="1" si="19"/>
        <v>12.010938772035345</v>
      </c>
      <c r="X54">
        <f t="shared" ca="1" si="18"/>
        <v>2.4661665286021872E-2</v>
      </c>
      <c r="Y54">
        <f t="shared" ca="1" si="20"/>
        <v>6.2875219136558788E-2</v>
      </c>
      <c r="Z54">
        <f t="shared" ca="1" si="21"/>
        <v>-3.8213553850536916E-2</v>
      </c>
      <c r="AB54" s="18">
        <f t="shared" ca="1" si="7"/>
        <v>9.9501230074479086E-3</v>
      </c>
      <c r="AC54" s="18">
        <f t="shared" ca="1" si="8"/>
        <v>9.9009464728369804E-3</v>
      </c>
      <c r="AD54" s="18">
        <f t="shared" ca="1" si="3"/>
        <v>1.6461111668171213E-3</v>
      </c>
    </row>
    <row r="55" spans="1:30" x14ac:dyDescent="0.25">
      <c r="A55" vm="151">
        <f ca="1"/>
        <v>45370</v>
      </c>
      <c r="B55" vm="94">
        <f ca="1"/>
        <v>12.105399999999999</v>
      </c>
      <c r="C55" vm="152">
        <f ca="1"/>
        <v>33193783</v>
      </c>
      <c r="D55">
        <f t="shared" ca="1" si="0"/>
        <v>401824020.72819996</v>
      </c>
      <c r="E55">
        <f ca="1">SUM($D$2:D55)/SUM($C$2:C55)</f>
        <v>11.846159051361083</v>
      </c>
      <c r="F55">
        <f ca="1">_xlfn.STDEV.P($B$2:B55)</f>
        <v>0.47280836108664909</v>
      </c>
      <c r="G55">
        <f t="shared" ca="1" si="1"/>
        <v>12.318967412447732</v>
      </c>
      <c r="H55">
        <f t="shared" ca="1" si="2"/>
        <v>11.373350690274433</v>
      </c>
      <c r="I55">
        <f t="shared" ca="1" si="14"/>
        <v>12.05817</v>
      </c>
      <c r="J55">
        <f t="shared" ca="1" si="15"/>
        <v>0.20125777160541911</v>
      </c>
      <c r="K55">
        <f t="shared" ca="1" si="16"/>
        <v>12.460685543210838</v>
      </c>
      <c r="L55">
        <f t="shared" ca="1" si="17"/>
        <v>11.655654456789163</v>
      </c>
      <c r="M55">
        <f t="shared" ca="1" si="4"/>
        <v>0.11810000000000009</v>
      </c>
      <c r="N55">
        <f t="shared" ca="1" si="5"/>
        <v>0.11810000000000009</v>
      </c>
      <c r="O55">
        <f t="shared" ca="1" si="6"/>
        <v>0</v>
      </c>
      <c r="P55">
        <f t="shared" ca="1" si="12"/>
        <v>7.6750540165881329E-2</v>
      </c>
      <c r="Q55">
        <f t="shared" ca="1" si="13"/>
        <v>7.1755904047623956E-2</v>
      </c>
      <c r="R55">
        <f t="shared" ca="1" si="10"/>
        <v>1.0696059255966235</v>
      </c>
      <c r="S55">
        <f t="shared" ca="1" si="11"/>
        <v>51.681622688062163</v>
      </c>
      <c r="T55">
        <f>70</f>
        <v>70</v>
      </c>
      <c r="U55">
        <f>30</f>
        <v>30</v>
      </c>
      <c r="V55">
        <f t="shared" ca="1" si="9"/>
        <v>12.042597565318749</v>
      </c>
      <c r="W55">
        <f t="shared" ca="1" si="19"/>
        <v>12.017935900032727</v>
      </c>
      <c r="X55">
        <f t="shared" ca="1" si="18"/>
        <v>7.4950169199521355E-2</v>
      </c>
      <c r="Y55">
        <f t="shared" ca="1" si="20"/>
        <v>6.5290209149151304E-2</v>
      </c>
      <c r="Z55">
        <f t="shared" ca="1" si="21"/>
        <v>9.6599600503700506E-3</v>
      </c>
      <c r="AB55" s="18">
        <f t="shared" ca="1" si="7"/>
        <v>9.8520934655843551E-3</v>
      </c>
      <c r="AC55" s="18">
        <f t="shared" ca="1" si="8"/>
        <v>9.8038780161920479E-3</v>
      </c>
      <c r="AD55" s="18">
        <f t="shared" ca="1" si="3"/>
        <v>1.1514422273471769E-2</v>
      </c>
    </row>
    <row r="56" spans="1:30" x14ac:dyDescent="0.25">
      <c r="A56" vm="153">
        <f ca="1"/>
        <v>45371</v>
      </c>
      <c r="B56" vm="154">
        <f ca="1"/>
        <v>12.6959</v>
      </c>
      <c r="C56" vm="155">
        <f ca="1"/>
        <v>68810086</v>
      </c>
      <c r="D56">
        <f t="shared" ca="1" si="0"/>
        <v>873605970.84739995</v>
      </c>
      <c r="E56">
        <f ca="1">SUM($D$2:D56)/SUM($C$2:C56)</f>
        <v>11.865182359153565</v>
      </c>
      <c r="F56">
        <f ca="1">_xlfn.STDEV.P($B$2:B56)</f>
        <v>0.48258661879637971</v>
      </c>
      <c r="G56">
        <f t="shared" ca="1" si="1"/>
        <v>12.347768977949944</v>
      </c>
      <c r="H56">
        <f t="shared" ca="1" si="2"/>
        <v>11.382595740357186</v>
      </c>
      <c r="I56">
        <f t="shared" ca="1" si="14"/>
        <v>12.095569999999999</v>
      </c>
      <c r="J56">
        <f t="shared" ca="1" si="15"/>
        <v>0.24453543516764942</v>
      </c>
      <c r="K56">
        <f t="shared" ca="1" si="16"/>
        <v>12.584640870335297</v>
      </c>
      <c r="L56">
        <f t="shared" ca="1" si="17"/>
        <v>11.6064991296647</v>
      </c>
      <c r="M56">
        <f t="shared" ca="1" si="4"/>
        <v>0.59050000000000047</v>
      </c>
      <c r="N56">
        <f t="shared" ca="1" si="5"/>
        <v>0.59050000000000047</v>
      </c>
      <c r="O56">
        <f t="shared" ca="1" si="6"/>
        <v>0</v>
      </c>
      <c r="P56">
        <f t="shared" ca="1" si="12"/>
        <v>0.11344693015403269</v>
      </c>
      <c r="Q56">
        <f t="shared" ca="1" si="13"/>
        <v>6.6630482329936527E-2</v>
      </c>
      <c r="R56">
        <f t="shared" ca="1" si="10"/>
        <v>1.7026280793267186</v>
      </c>
      <c r="S56">
        <f t="shared" ca="1" si="11"/>
        <v>62.998978377775124</v>
      </c>
      <c r="T56">
        <f>70</f>
        <v>70</v>
      </c>
      <c r="U56">
        <f>30</f>
        <v>30</v>
      </c>
      <c r="V56">
        <f t="shared" ca="1" si="9"/>
        <v>12.143105632192787</v>
      </c>
      <c r="W56">
        <f t="shared" ca="1" si="19"/>
        <v>12.068155462993266</v>
      </c>
      <c r="X56">
        <f t="shared" ca="1" si="18"/>
        <v>0.11506737119215593</v>
      </c>
      <c r="Y56">
        <f t="shared" ca="1" si="20"/>
        <v>7.5245641557752235E-2</v>
      </c>
      <c r="Z56">
        <f t="shared" ca="1" si="21"/>
        <v>3.9821729634403696E-2</v>
      </c>
      <c r="AB56" s="18">
        <f t="shared" ca="1" si="7"/>
        <v>4.8779883357840337E-2</v>
      </c>
      <c r="AC56" s="18">
        <f t="shared" ca="1" si="8"/>
        <v>4.7627472655866532E-2</v>
      </c>
      <c r="AD56" s="18">
        <f t="shared" ca="1" si="3"/>
        <v>6.085597780674501E-2</v>
      </c>
    </row>
    <row r="57" spans="1:30" x14ac:dyDescent="0.25">
      <c r="A57" vm="156">
        <f ca="1"/>
        <v>45372</v>
      </c>
      <c r="B57" vm="157">
        <f ca="1"/>
        <v>12.7156</v>
      </c>
      <c r="C57" vm="158">
        <f ca="1"/>
        <v>56719828</v>
      </c>
      <c r="D57">
        <f t="shared" ca="1" si="0"/>
        <v>721226644.91680002</v>
      </c>
      <c r="E57">
        <f ca="1">SUM($D$2:D57)/SUM($C$2:C57)</f>
        <v>11.880591317578606</v>
      </c>
      <c r="F57">
        <f ca="1">_xlfn.STDEV.P($B$2:B57)</f>
        <v>0.49195812237518588</v>
      </c>
      <c r="G57">
        <f t="shared" ca="1" si="1"/>
        <v>12.372549439953792</v>
      </c>
      <c r="H57">
        <f t="shared" ca="1" si="2"/>
        <v>11.38863319520342</v>
      </c>
      <c r="I57">
        <f t="shared" ca="1" si="14"/>
        <v>12.134934999999999</v>
      </c>
      <c r="J57">
        <f t="shared" ca="1" si="15"/>
        <v>0.27735782374891998</v>
      </c>
      <c r="K57">
        <f t="shared" ca="1" si="16"/>
        <v>12.689650647497839</v>
      </c>
      <c r="L57">
        <f t="shared" ca="1" si="17"/>
        <v>11.580219352502159</v>
      </c>
      <c r="M57">
        <f t="shared" ca="1" si="4"/>
        <v>1.9700000000000273E-2</v>
      </c>
      <c r="N57">
        <f t="shared" ca="1" si="5"/>
        <v>1.9700000000000273E-2</v>
      </c>
      <c r="O57">
        <f t="shared" ca="1" si="6"/>
        <v>0</v>
      </c>
      <c r="P57">
        <f t="shared" ca="1" si="12"/>
        <v>0.10675072085731609</v>
      </c>
      <c r="Q57">
        <f t="shared" ca="1" si="13"/>
        <v>6.1871162163512496E-2</v>
      </c>
      <c r="R57">
        <f t="shared" ca="1" si="10"/>
        <v>1.7253711927245901</v>
      </c>
      <c r="S57">
        <f t="shared" ca="1" si="11"/>
        <v>63.307750420584483</v>
      </c>
      <c r="T57">
        <f>70</f>
        <v>70</v>
      </c>
      <c r="U57">
        <f>30</f>
        <v>30</v>
      </c>
      <c r="V57">
        <f t="shared" ca="1" si="9"/>
        <v>12.231181688778513</v>
      </c>
      <c r="W57">
        <f t="shared" ca="1" si="19"/>
        <v>12.116114317586357</v>
      </c>
      <c r="X57">
        <f t="shared" ca="1" si="18"/>
        <v>0.14440515199900972</v>
      </c>
      <c r="Y57">
        <f t="shared" ca="1" si="20"/>
        <v>8.9077543646003732E-2</v>
      </c>
      <c r="Z57">
        <f t="shared" ca="1" si="21"/>
        <v>5.5327608353005986E-2</v>
      </c>
      <c r="AB57" s="18">
        <f t="shared" ca="1" si="7"/>
        <v>1.5516820390835129E-3</v>
      </c>
      <c r="AC57" s="18">
        <f t="shared" ca="1" si="8"/>
        <v>1.5504794243979794E-3</v>
      </c>
      <c r="AD57" s="18">
        <f t="shared" ca="1" si="3"/>
        <v>6.2502088973562131E-2</v>
      </c>
    </row>
    <row r="58" spans="1:30" x14ac:dyDescent="0.25">
      <c r="A58" vm="159">
        <f ca="1"/>
        <v>45373</v>
      </c>
      <c r="B58" vm="160">
        <f ca="1"/>
        <v>12.7058</v>
      </c>
      <c r="C58" vm="161">
        <f ca="1"/>
        <v>33670128</v>
      </c>
      <c r="D58">
        <f t="shared" ca="1" si="0"/>
        <v>427805912.34240001</v>
      </c>
      <c r="E58">
        <f ca="1">SUM($D$2:D58)/SUM($C$2:C58)</f>
        <v>11.889372810282159</v>
      </c>
      <c r="F58">
        <f ca="1">_xlfn.STDEV.P($B$2:B58)</f>
        <v>0.50008989757555122</v>
      </c>
      <c r="G58">
        <f t="shared" ca="1" si="1"/>
        <v>12.38946270785771</v>
      </c>
      <c r="H58">
        <f t="shared" ca="1" si="2"/>
        <v>11.389282912706609</v>
      </c>
      <c r="I58">
        <f t="shared" ca="1" si="14"/>
        <v>12.172830000000001</v>
      </c>
      <c r="J58">
        <f t="shared" ca="1" si="15"/>
        <v>0.30120844522304541</v>
      </c>
      <c r="K58">
        <f t="shared" ca="1" si="16"/>
        <v>12.775246890446091</v>
      </c>
      <c r="L58">
        <f t="shared" ca="1" si="17"/>
        <v>11.570413109553911</v>
      </c>
      <c r="M58">
        <f t="shared" ca="1" si="4"/>
        <v>-9.800000000000253E-3</v>
      </c>
      <c r="N58">
        <f t="shared" ca="1" si="5"/>
        <v>0</v>
      </c>
      <c r="O58">
        <f t="shared" ca="1" si="6"/>
        <v>9.800000000000253E-3</v>
      </c>
      <c r="P58">
        <f t="shared" ca="1" si="12"/>
        <v>9.9125669367507788E-2</v>
      </c>
      <c r="Q58">
        <f t="shared" ca="1" si="13"/>
        <v>5.8151793437547339E-2</v>
      </c>
      <c r="R58">
        <f t="shared" ca="1" si="10"/>
        <v>1.7046021026671296</v>
      </c>
      <c r="S58">
        <f t="shared" ca="1" si="11"/>
        <v>63.025984524161423</v>
      </c>
      <c r="T58">
        <f>70</f>
        <v>70</v>
      </c>
      <c r="U58">
        <f>30</f>
        <v>30</v>
      </c>
      <c r="V58">
        <f t="shared" ca="1" si="9"/>
        <v>12.304199890504895</v>
      </c>
      <c r="W58">
        <f t="shared" ca="1" si="19"/>
        <v>12.159794738505886</v>
      </c>
      <c r="X58">
        <f t="shared" ca="1" si="18"/>
        <v>0.16495520645453254</v>
      </c>
      <c r="Y58">
        <f t="shared" ca="1" si="20"/>
        <v>0.10425307620770949</v>
      </c>
      <c r="Z58">
        <f t="shared" ca="1" si="21"/>
        <v>6.0702130246823055E-2</v>
      </c>
      <c r="AB58" s="18">
        <f t="shared" ca="1" si="7"/>
        <v>-7.7070684828084435E-4</v>
      </c>
      <c r="AC58" s="18">
        <f t="shared" ca="1" si="8"/>
        <v>-7.710039954892399E-4</v>
      </c>
      <c r="AD58" s="18">
        <f t="shared" ca="1" si="3"/>
        <v>6.168321133727761E-2</v>
      </c>
    </row>
    <row r="59" spans="1:30" x14ac:dyDescent="0.25">
      <c r="A59" vm="162">
        <f ca="1"/>
        <v>45376</v>
      </c>
      <c r="B59" vm="154">
        <f ca="1"/>
        <v>12.6959</v>
      </c>
      <c r="C59" vm="163">
        <f ca="1"/>
        <v>39691432</v>
      </c>
      <c r="D59">
        <f t="shared" ca="1" si="0"/>
        <v>503918451.52880001</v>
      </c>
      <c r="E59">
        <f ca="1">SUM($D$2:D59)/SUM($C$2:C59)</f>
        <v>11.899365017015691</v>
      </c>
      <c r="F59">
        <f ca="1">_xlfn.STDEV.P($B$2:B59)</f>
        <v>0.50713375325357779</v>
      </c>
      <c r="G59">
        <f t="shared" ca="1" si="1"/>
        <v>12.40649877026927</v>
      </c>
      <c r="H59">
        <f t="shared" ca="1" si="2"/>
        <v>11.392231263762113</v>
      </c>
      <c r="I59">
        <f t="shared" ca="1" si="14"/>
        <v>12.219575000000001</v>
      </c>
      <c r="J59">
        <f t="shared" ca="1" si="15"/>
        <v>0.30643110305752697</v>
      </c>
      <c r="K59">
        <f t="shared" ca="1" si="16"/>
        <v>12.832437206115054</v>
      </c>
      <c r="L59">
        <f t="shared" ca="1" si="17"/>
        <v>11.606712793884947</v>
      </c>
      <c r="M59">
        <f t="shared" ca="1" si="4"/>
        <v>-9.9000000000000199E-3</v>
      </c>
      <c r="N59">
        <f t="shared" ca="1" si="5"/>
        <v>0</v>
      </c>
      <c r="O59">
        <f t="shared" ca="1" si="6"/>
        <v>9.9000000000000199E-3</v>
      </c>
      <c r="P59">
        <f t="shared" ca="1" si="12"/>
        <v>9.2045264412685804E-2</v>
      </c>
      <c r="Q59">
        <f t="shared" ca="1" si="13"/>
        <v>5.4705236763436811E-2</v>
      </c>
      <c r="R59">
        <f t="shared" ca="1" si="10"/>
        <v>1.6825677002499666</v>
      </c>
      <c r="S59">
        <f t="shared" ca="1" si="11"/>
        <v>62.722282837192957</v>
      </c>
      <c r="T59">
        <f>70</f>
        <v>70</v>
      </c>
      <c r="U59">
        <f>30</f>
        <v>30</v>
      </c>
      <c r="V59">
        <f t="shared" ca="1" si="9"/>
        <v>12.364461445811834</v>
      </c>
      <c r="W59">
        <f t="shared" ca="1" si="19"/>
        <v>12.199506239357301</v>
      </c>
      <c r="X59">
        <f t="shared" ca="1" si="18"/>
        <v>0.14306302454413533</v>
      </c>
      <c r="Y59">
        <f t="shared" ca="1" si="20"/>
        <v>0.11201506587499467</v>
      </c>
      <c r="Z59">
        <f t="shared" ca="1" si="21"/>
        <v>3.104795866914066E-2</v>
      </c>
      <c r="AB59" s="18">
        <f t="shared" ca="1" si="7"/>
        <v>-7.7917171685371045E-4</v>
      </c>
      <c r="AC59" s="18">
        <f t="shared" ca="1" si="8"/>
        <v>-7.7947542890869292E-4</v>
      </c>
      <c r="AD59" s="18">
        <f t="shared" ca="1" si="3"/>
        <v>6.0855977806745232E-2</v>
      </c>
    </row>
    <row r="60" spans="1:30" x14ac:dyDescent="0.25">
      <c r="A60" vm="164">
        <f ca="1"/>
        <v>45377</v>
      </c>
      <c r="B60" vm="115">
        <f ca="1"/>
        <v>12.2432</v>
      </c>
      <c r="C60" vm="165">
        <f ca="1"/>
        <v>68219459</v>
      </c>
      <c r="D60">
        <f t="shared" ca="1" si="0"/>
        <v>835224480.42879999</v>
      </c>
      <c r="E60">
        <f ca="1">SUM($D$2:D60)/SUM($C$2:C60)</f>
        <v>11.906533929053261</v>
      </c>
      <c r="F60">
        <f ca="1">_xlfn.STDEV.P($B$2:B60)</f>
        <v>0.50488542523162483</v>
      </c>
      <c r="G60">
        <f t="shared" ca="1" si="1"/>
        <v>12.411419354284885</v>
      </c>
      <c r="H60">
        <f t="shared" ca="1" si="2"/>
        <v>11.401648503821637</v>
      </c>
      <c r="I60">
        <f t="shared" ca="1" si="14"/>
        <v>12.241225000000002</v>
      </c>
      <c r="J60">
        <f t="shared" ca="1" si="15"/>
        <v>0.29088758884164406</v>
      </c>
      <c r="K60">
        <f t="shared" ca="1" si="16"/>
        <v>12.823000177683291</v>
      </c>
      <c r="L60">
        <f t="shared" ca="1" si="17"/>
        <v>11.659449822316713</v>
      </c>
      <c r="M60">
        <f t="shared" ca="1" si="4"/>
        <v>-0.4527000000000001</v>
      </c>
      <c r="N60">
        <f t="shared" ca="1" si="5"/>
        <v>0</v>
      </c>
      <c r="O60">
        <f t="shared" ca="1" si="6"/>
        <v>0.4527000000000001</v>
      </c>
      <c r="P60">
        <f t="shared" ca="1" si="12"/>
        <v>8.5470602668922521E-2</v>
      </c>
      <c r="Q60">
        <f t="shared" ca="1" si="13"/>
        <v>8.313343413747705E-2</v>
      </c>
      <c r="R60">
        <f t="shared" ca="1" si="10"/>
        <v>1.0281134606755269</v>
      </c>
      <c r="S60">
        <f t="shared" ca="1" si="11"/>
        <v>50.693093883075036</v>
      </c>
      <c r="T60">
        <f>70</f>
        <v>70</v>
      </c>
      <c r="U60">
        <f>30</f>
        <v>30</v>
      </c>
      <c r="V60">
        <f t="shared" ca="1" si="9"/>
        <v>12.345805838763859</v>
      </c>
      <c r="W60">
        <f t="shared" ca="1" si="19"/>
        <v>12.202742814219723</v>
      </c>
      <c r="X60">
        <f t="shared" ca="1" si="18"/>
        <v>0.17295760538876337</v>
      </c>
      <c r="Y60">
        <f t="shared" ca="1" si="20"/>
        <v>0.12420357377774841</v>
      </c>
      <c r="Z60">
        <f t="shared" ca="1" si="21"/>
        <v>4.8754031611014964E-2</v>
      </c>
      <c r="AB60" s="18">
        <f t="shared" ca="1" si="7"/>
        <v>-3.5657180664623978E-2</v>
      </c>
      <c r="AC60" s="18">
        <f t="shared" ca="1" si="8"/>
        <v>-3.6308425872811814E-2</v>
      </c>
      <c r="AD60" s="18">
        <f t="shared" ca="1" si="3"/>
        <v>2.3028844546943761E-2</v>
      </c>
    </row>
    <row r="61" spans="1:30" x14ac:dyDescent="0.25">
      <c r="A61" vm="166">
        <f ca="1"/>
        <v>45378</v>
      </c>
      <c r="B61" vm="167">
        <f ca="1"/>
        <v>12.853400000000001</v>
      </c>
      <c r="C61" vm="168">
        <f ca="1"/>
        <v>54416665</v>
      </c>
      <c r="D61">
        <f t="shared" ca="1" si="0"/>
        <v>699439161.91100001</v>
      </c>
      <c r="E61">
        <f ca="1">SUM($D$2:D61)/SUM($C$2:C61)</f>
        <v>11.922023946571343</v>
      </c>
      <c r="F61">
        <f ca="1">_xlfn.STDEV.P($B$2:B61)</f>
        <v>0.51545803647230959</v>
      </c>
      <c r="G61">
        <f t="shared" ca="1" si="1"/>
        <v>12.437481983043654</v>
      </c>
      <c r="H61">
        <f t="shared" ca="1" si="2"/>
        <v>11.406565910099033</v>
      </c>
      <c r="I61">
        <f t="shared" ca="1" si="14"/>
        <v>12.278625000000002</v>
      </c>
      <c r="J61">
        <f t="shared" ca="1" si="15"/>
        <v>0.31921208899908232</v>
      </c>
      <c r="K61">
        <f t="shared" ca="1" si="16"/>
        <v>12.917049177998166</v>
      </c>
      <c r="L61">
        <f t="shared" ca="1" si="17"/>
        <v>11.640200822001837</v>
      </c>
      <c r="M61">
        <f t="shared" ca="1" si="4"/>
        <v>0.61020000000000074</v>
      </c>
      <c r="N61">
        <f t="shared" ca="1" si="5"/>
        <v>0.61020000000000074</v>
      </c>
      <c r="O61">
        <f t="shared" ca="1" si="6"/>
        <v>0</v>
      </c>
      <c r="P61">
        <f t="shared" ca="1" si="12"/>
        <v>0.12295127390685667</v>
      </c>
      <c r="Q61">
        <f t="shared" ca="1" si="13"/>
        <v>7.7195331699085837E-2</v>
      </c>
      <c r="R61">
        <f t="shared" ca="1" si="10"/>
        <v>1.592729394390473</v>
      </c>
      <c r="S61">
        <f t="shared" ca="1" si="11"/>
        <v>61.430606596910557</v>
      </c>
      <c r="T61">
        <f>70</f>
        <v>70</v>
      </c>
      <c r="U61">
        <f>30</f>
        <v>30</v>
      </c>
      <c r="V61">
        <f t="shared" ca="1" si="9"/>
        <v>12.423897248184804</v>
      </c>
      <c r="W61">
        <f t="shared" ca="1" si="19"/>
        <v>12.250939642796041</v>
      </c>
      <c r="X61">
        <f t="shared" ca="1" si="18"/>
        <v>0.211678913966308</v>
      </c>
      <c r="Y61">
        <f t="shared" ca="1" si="20"/>
        <v>0.14169864181546032</v>
      </c>
      <c r="Z61">
        <f t="shared" ca="1" si="21"/>
        <v>6.9980272150847678E-2</v>
      </c>
      <c r="AB61" s="18">
        <f t="shared" ca="1" si="7"/>
        <v>4.9839911134343939E-2</v>
      </c>
      <c r="AC61" s="18">
        <f t="shared" ca="1" si="8"/>
        <v>4.8637686959033859E-2</v>
      </c>
      <c r="AD61" s="18">
        <f t="shared" ca="1" si="3"/>
        <v>7.40165112470339E-2</v>
      </c>
    </row>
    <row r="62" spans="1:30" x14ac:dyDescent="0.25">
      <c r="A62" vm="169">
        <f ca="1"/>
        <v>45379</v>
      </c>
      <c r="B62" vm="170">
        <f ca="1"/>
        <v>13.069900000000001</v>
      </c>
      <c r="C62" vm="171">
        <f ca="1"/>
        <v>62840502</v>
      </c>
      <c r="D62">
        <f t="shared" ca="1" si="0"/>
        <v>821319077.0898</v>
      </c>
      <c r="E62">
        <f ca="1">SUM($D$2:D62)/SUM($C$2:C62)</f>
        <v>11.943307201583792</v>
      </c>
      <c r="F62">
        <f ca="1">_xlfn.STDEV.P($B$2:B62)</f>
        <v>0.53195683021517581</v>
      </c>
      <c r="G62">
        <f t="shared" ca="1" si="1"/>
        <v>12.475264031798968</v>
      </c>
      <c r="H62">
        <f t="shared" ca="1" si="2"/>
        <v>11.411350371368616</v>
      </c>
      <c r="I62">
        <f t="shared" ca="1" si="14"/>
        <v>12.31996</v>
      </c>
      <c r="J62">
        <f t="shared" ca="1" si="15"/>
        <v>0.36467147060564581</v>
      </c>
      <c r="K62">
        <f t="shared" ca="1" si="16"/>
        <v>13.049302941211291</v>
      </c>
      <c r="L62">
        <f t="shared" ca="1" si="17"/>
        <v>11.590617058788709</v>
      </c>
      <c r="M62">
        <f t="shared" ca="1" si="4"/>
        <v>0.21649999999999991</v>
      </c>
      <c r="N62">
        <f t="shared" ca="1" si="5"/>
        <v>0.21649999999999991</v>
      </c>
      <c r="O62">
        <f t="shared" ca="1" si="6"/>
        <v>0</v>
      </c>
      <c r="P62">
        <f t="shared" ca="1" si="12"/>
        <v>0.12963332577065262</v>
      </c>
      <c r="Q62">
        <f t="shared" ca="1" si="13"/>
        <v>7.1681379434865425E-2</v>
      </c>
      <c r="R62">
        <f t="shared" ca="1" si="10"/>
        <v>1.8084658357955607</v>
      </c>
      <c r="S62">
        <f t="shared" ca="1" si="11"/>
        <v>64.393371382538902</v>
      </c>
      <c r="T62">
        <f>70</f>
        <v>70</v>
      </c>
      <c r="U62">
        <f>30</f>
        <v>30</v>
      </c>
      <c r="V62">
        <f t="shared" ca="1" si="9"/>
        <v>12.523282286925605</v>
      </c>
      <c r="W62">
        <f t="shared" ca="1" si="19"/>
        <v>12.311603372959297</v>
      </c>
      <c r="X62">
        <f t="shared" ca="1" si="18"/>
        <v>0.24039356981519511</v>
      </c>
      <c r="Y62">
        <f t="shared" ca="1" si="20"/>
        <v>0.16143762741540729</v>
      </c>
      <c r="Z62">
        <f t="shared" ca="1" si="21"/>
        <v>7.8955942399787815E-2</v>
      </c>
      <c r="AB62" s="18">
        <f t="shared" ca="1" si="7"/>
        <v>1.6843792303981919E-2</v>
      </c>
      <c r="AC62" s="18">
        <f t="shared" ca="1" si="8"/>
        <v>1.6703508714674041E-2</v>
      </c>
      <c r="AD62" s="18">
        <f t="shared" ca="1" si="3"/>
        <v>9.2107022293526297E-2</v>
      </c>
    </row>
    <row r="63" spans="1:30" x14ac:dyDescent="0.25">
      <c r="A63" vm="172">
        <f ca="1"/>
        <v>45383</v>
      </c>
      <c r="B63" vm="173">
        <f ca="1"/>
        <v>13.079800000000001</v>
      </c>
      <c r="C63" vm="174">
        <f ca="1"/>
        <v>36475374</v>
      </c>
      <c r="D63">
        <f t="shared" ca="1" si="0"/>
        <v>477090596.8452</v>
      </c>
      <c r="E63">
        <f ca="1">SUM($D$2:D63)/SUM($C$2:C63)</f>
        <v>11.955408189698963</v>
      </c>
      <c r="F63">
        <f ca="1">_xlfn.STDEV.P($B$2:B63)</f>
        <v>0.54715130411447699</v>
      </c>
      <c r="G63">
        <f t="shared" ca="1" si="1"/>
        <v>12.50255949381344</v>
      </c>
      <c r="H63">
        <f t="shared" ca="1" si="2"/>
        <v>11.408256885584485</v>
      </c>
      <c r="I63">
        <f t="shared" ca="1" si="14"/>
        <v>12.3613</v>
      </c>
      <c r="J63">
        <f t="shared" ca="1" si="15"/>
        <v>0.40166846894842101</v>
      </c>
      <c r="K63">
        <f t="shared" ca="1" si="16"/>
        <v>13.164636937896843</v>
      </c>
      <c r="L63">
        <f t="shared" ca="1" si="17"/>
        <v>11.557963062103157</v>
      </c>
      <c r="M63">
        <f t="shared" ca="1" si="4"/>
        <v>9.9000000000000199E-3</v>
      </c>
      <c r="N63">
        <f t="shared" ca="1" si="5"/>
        <v>9.9000000000000199E-3</v>
      </c>
      <c r="O63">
        <f t="shared" ca="1" si="6"/>
        <v>0</v>
      </c>
      <c r="P63">
        <f t="shared" ca="1" si="12"/>
        <v>0.12108094535846314</v>
      </c>
      <c r="Q63">
        <f t="shared" ca="1" si="13"/>
        <v>6.6561280903803616E-2</v>
      </c>
      <c r="R63">
        <f t="shared" ca="1" si="10"/>
        <v>1.8190897728283355</v>
      </c>
      <c r="S63">
        <f t="shared" ca="1" si="11"/>
        <v>64.527557453527976</v>
      </c>
      <c r="T63">
        <f>70</f>
        <v>70</v>
      </c>
      <c r="U63">
        <f>30</f>
        <v>30</v>
      </c>
      <c r="V63">
        <f t="shared" ca="1" si="9"/>
        <v>12.608900396629359</v>
      </c>
      <c r="W63">
        <f t="shared" ca="1" si="19"/>
        <v>12.368506826814164</v>
      </c>
      <c r="X63">
        <f t="shared" ca="1" si="18"/>
        <v>0.25936153585275434</v>
      </c>
      <c r="Y63">
        <f t="shared" ca="1" si="20"/>
        <v>0.1810224091028767</v>
      </c>
      <c r="Z63">
        <f t="shared" ca="1" si="21"/>
        <v>7.8339126749877641E-2</v>
      </c>
      <c r="AB63" s="18">
        <f t="shared" ca="1" si="7"/>
        <v>7.5746562712808441E-4</v>
      </c>
      <c r="AC63" s="18">
        <f t="shared" ca="1" si="8"/>
        <v>7.5717889482405118E-4</v>
      </c>
      <c r="AD63" s="18">
        <f t="shared" ca="1" si="3"/>
        <v>9.2934255824058898E-2</v>
      </c>
    </row>
    <row r="64" spans="1:30" x14ac:dyDescent="0.25">
      <c r="A64" vm="175">
        <f ca="1"/>
        <v>45384</v>
      </c>
      <c r="B64" vm="170">
        <f ca="1"/>
        <v>13.069900000000001</v>
      </c>
      <c r="C64" vm="176">
        <f ca="1"/>
        <v>43339026</v>
      </c>
      <c r="D64">
        <f t="shared" ca="1" si="0"/>
        <v>566436735.9174</v>
      </c>
      <c r="E64">
        <f ca="1">SUM($D$2:D64)/SUM($C$2:C64)</f>
        <v>11.969331756941191</v>
      </c>
      <c r="F64">
        <f ca="1">_xlfn.STDEV.P($B$2:B64)</f>
        <v>0.56057777749012871</v>
      </c>
      <c r="G64">
        <f t="shared" ca="1" si="1"/>
        <v>12.52990953443132</v>
      </c>
      <c r="H64">
        <f t="shared" ca="1" si="2"/>
        <v>11.408753979451062</v>
      </c>
      <c r="I64">
        <f t="shared" ca="1" si="14"/>
        <v>12.387869999999999</v>
      </c>
      <c r="J64">
        <f t="shared" ca="1" si="15"/>
        <v>0.43054484710471369</v>
      </c>
      <c r="K64">
        <f t="shared" ca="1" si="16"/>
        <v>13.248959694209427</v>
      </c>
      <c r="L64">
        <f t="shared" ca="1" si="17"/>
        <v>11.526780305790572</v>
      </c>
      <c r="M64">
        <f t="shared" ca="1" si="4"/>
        <v>-9.9000000000000199E-3</v>
      </c>
      <c r="N64">
        <f t="shared" ca="1" si="5"/>
        <v>0</v>
      </c>
      <c r="O64">
        <f t="shared" ca="1" si="6"/>
        <v>9.9000000000000199E-3</v>
      </c>
      <c r="P64">
        <f t="shared" ca="1" si="12"/>
        <v>0.11243230640428721</v>
      </c>
      <c r="Q64">
        <f t="shared" ca="1" si="13"/>
        <v>6.2514046553531932E-2</v>
      </c>
      <c r="R64">
        <f t="shared" ca="1" si="10"/>
        <v>1.7985126959908018</v>
      </c>
      <c r="S64">
        <f t="shared" ca="1" si="11"/>
        <v>64.266733489091635</v>
      </c>
      <c r="T64">
        <f>70</f>
        <v>70</v>
      </c>
      <c r="U64">
        <f>30</f>
        <v>30</v>
      </c>
      <c r="V64">
        <f t="shared" ca="1" si="9"/>
        <v>12.679823412532535</v>
      </c>
      <c r="W64">
        <f t="shared" ca="1" si="19"/>
        <v>12.420461876679781</v>
      </c>
      <c r="X64">
        <f t="shared" ca="1" si="18"/>
        <v>0.30031978233969703</v>
      </c>
      <c r="Y64">
        <f t="shared" ca="1" si="20"/>
        <v>0.20488188375024077</v>
      </c>
      <c r="Z64">
        <f t="shared" ca="1" si="21"/>
        <v>9.5437898589456255E-2</v>
      </c>
      <c r="AB64" s="18">
        <f t="shared" ca="1" si="7"/>
        <v>-7.5689230722186807E-4</v>
      </c>
      <c r="AC64" s="18">
        <f t="shared" ca="1" si="8"/>
        <v>-7.5717889482399307E-4</v>
      </c>
      <c r="AD64" s="18">
        <f t="shared" ca="1" si="3"/>
        <v>9.2107022293526519E-2</v>
      </c>
    </row>
    <row r="65" spans="1:30" x14ac:dyDescent="0.25">
      <c r="A65" vm="177">
        <f ca="1"/>
        <v>45385</v>
      </c>
      <c r="B65" vm="178">
        <f ca="1"/>
        <v>13.434100000000001</v>
      </c>
      <c r="C65" vm="179">
        <f ca="1"/>
        <v>58423124</v>
      </c>
      <c r="D65">
        <f t="shared" ca="1" si="0"/>
        <v>784862090.12840009</v>
      </c>
      <c r="E65">
        <f ca="1">SUM($D$2:D65)/SUM($C$2:C65)</f>
        <v>11.993591988517665</v>
      </c>
      <c r="F65">
        <f ca="1">_xlfn.STDEV.P($B$2:B65)</f>
        <v>0.58519232314544201</v>
      </c>
      <c r="G65">
        <f t="shared" ca="1" si="1"/>
        <v>12.578784311663107</v>
      </c>
      <c r="H65">
        <f t="shared" ca="1" si="2"/>
        <v>11.408399665372222</v>
      </c>
      <c r="I65">
        <f t="shared" ca="1" si="14"/>
        <v>12.440524999999999</v>
      </c>
      <c r="J65">
        <f t="shared" ca="1" si="15"/>
        <v>0.489957435181337</v>
      </c>
      <c r="K65">
        <f t="shared" ca="1" si="16"/>
        <v>13.420439870362673</v>
      </c>
      <c r="L65">
        <f t="shared" ca="1" si="17"/>
        <v>11.460610129637326</v>
      </c>
      <c r="M65">
        <f t="shared" ca="1" si="4"/>
        <v>0.3642000000000003</v>
      </c>
      <c r="N65">
        <f t="shared" ca="1" si="5"/>
        <v>0.3642000000000003</v>
      </c>
      <c r="O65">
        <f t="shared" ca="1" si="6"/>
        <v>0</v>
      </c>
      <c r="P65">
        <f t="shared" ca="1" si="12"/>
        <v>0.1304157130896953</v>
      </c>
      <c r="Q65">
        <f t="shared" ca="1" si="13"/>
        <v>5.804875751399393E-2</v>
      </c>
      <c r="R65">
        <f t="shared" ca="1" si="10"/>
        <v>2.2466581314553671</v>
      </c>
      <c r="S65">
        <f t="shared" ca="1" si="11"/>
        <v>69.199097671804026</v>
      </c>
      <c r="T65">
        <f>70</f>
        <v>70</v>
      </c>
      <c r="U65">
        <f>30</f>
        <v>30</v>
      </c>
      <c r="V65">
        <f t="shared" ca="1" si="9"/>
        <v>12.795865964450606</v>
      </c>
      <c r="W65">
        <f t="shared" ca="1" si="19"/>
        <v>12.495546182110909</v>
      </c>
      <c r="X65">
        <f t="shared" ca="1" si="18"/>
        <v>0.29443784118457295</v>
      </c>
      <c r="Y65">
        <f t="shared" ca="1" si="20"/>
        <v>0.22279307523710723</v>
      </c>
      <c r="Z65">
        <f t="shared" ca="1" si="21"/>
        <v>7.1644765947465716E-2</v>
      </c>
      <c r="AB65" s="18">
        <f t="shared" ca="1" si="7"/>
        <v>2.7865553676768684E-2</v>
      </c>
      <c r="AC65" s="18">
        <f t="shared" ca="1" si="8"/>
        <v>2.7484374118833109E-2</v>
      </c>
      <c r="AD65" s="18">
        <f t="shared" ca="1" si="3"/>
        <v>0.12253918914402284</v>
      </c>
    </row>
    <row r="66" spans="1:30" x14ac:dyDescent="0.25">
      <c r="A66" vm="180">
        <f ca="1"/>
        <v>45386</v>
      </c>
      <c r="B66" vm="181">
        <f ca="1"/>
        <v>13.000999999999999</v>
      </c>
      <c r="C66" vm="182">
        <f ca="1"/>
        <v>68902415</v>
      </c>
      <c r="D66">
        <f t="shared" ca="1" si="0"/>
        <v>895800297.41499996</v>
      </c>
      <c r="E66">
        <f ca="1">SUM($D$2:D66)/SUM($C$2:C66)</f>
        <v>12.012892982628214</v>
      </c>
      <c r="F66">
        <f ca="1">_xlfn.STDEV.P($B$2:B66)</f>
        <v>0.59386175878261338</v>
      </c>
      <c r="G66">
        <f t="shared" ca="1" si="1"/>
        <v>12.606754741410828</v>
      </c>
      <c r="H66">
        <f t="shared" ca="1" si="2"/>
        <v>11.4190312238456</v>
      </c>
      <c r="I66">
        <f t="shared" ca="1" si="14"/>
        <v>12.48137</v>
      </c>
      <c r="J66">
        <f t="shared" ca="1" si="15"/>
        <v>0.50137283332865212</v>
      </c>
      <c r="K66">
        <f t="shared" ca="1" si="16"/>
        <v>13.484115666657305</v>
      </c>
      <c r="L66">
        <f t="shared" ca="1" si="17"/>
        <v>11.478624333342696</v>
      </c>
      <c r="M66">
        <f t="shared" ca="1" si="4"/>
        <v>-0.43310000000000137</v>
      </c>
      <c r="N66">
        <f t="shared" ca="1" si="5"/>
        <v>0</v>
      </c>
      <c r="O66">
        <f t="shared" ca="1" si="6"/>
        <v>0.43310000000000137</v>
      </c>
      <c r="P66">
        <f t="shared" ca="1" si="12"/>
        <v>0.12110030501185991</v>
      </c>
      <c r="Q66">
        <f t="shared" ca="1" si="13"/>
        <v>8.4838131977280185E-2</v>
      </c>
      <c r="R66">
        <f t="shared" ca="1" si="10"/>
        <v>1.427427763783045</v>
      </c>
      <c r="S66">
        <f t="shared" ca="1" si="11"/>
        <v>58.804129419631352</v>
      </c>
      <c r="T66">
        <f>70</f>
        <v>70</v>
      </c>
      <c r="U66">
        <f>30</f>
        <v>30</v>
      </c>
      <c r="V66">
        <f t="shared" ca="1" si="9"/>
        <v>12.827425046842821</v>
      </c>
      <c r="W66">
        <f t="shared" ca="1" si="19"/>
        <v>12.532987205658248</v>
      </c>
      <c r="X66">
        <f t="shared" ca="1" si="18"/>
        <v>0.29197036203244053</v>
      </c>
      <c r="Y66">
        <f t="shared" ca="1" si="20"/>
        <v>0.23662853259617392</v>
      </c>
      <c r="Z66">
        <f t="shared" ca="1" si="21"/>
        <v>5.5341829436266615E-2</v>
      </c>
      <c r="AB66" s="18">
        <f t="shared" ca="1" si="7"/>
        <v>-3.2238854854437671E-2</v>
      </c>
      <c r="AC66" s="18">
        <f t="shared" ca="1" si="8"/>
        <v>-3.2769973036251447E-2</v>
      </c>
      <c r="AD66" s="18">
        <f t="shared" ca="1" si="3"/>
        <v>8.6349811156790635E-2</v>
      </c>
    </row>
    <row r="67" spans="1:30" x14ac:dyDescent="0.25">
      <c r="A67" vm="183">
        <f ca="1"/>
        <v>45387</v>
      </c>
      <c r="B67" vm="170">
        <f ca="1"/>
        <v>13.069900000000001</v>
      </c>
      <c r="C67" vm="184">
        <f ca="1"/>
        <v>47691847</v>
      </c>
      <c r="D67">
        <f t="shared" ref="D67:D130" ca="1" si="22">B67*C67</f>
        <v>623327671.10530007</v>
      </c>
      <c r="E67">
        <f ca="1">SUM($D$2:D67)/SUM($C$2:C67)</f>
        <v>12.026726748414635</v>
      </c>
      <c r="F67">
        <f ca="1">_xlfn.STDEV.P($B$2:B67)</f>
        <v>0.6035227231341852</v>
      </c>
      <c r="G67">
        <f t="shared" ref="G67:G130" ca="1" si="23">E67 + F67</f>
        <v>12.63024947154882</v>
      </c>
      <c r="H67">
        <f t="shared" ref="H67:H130" ca="1" si="24">E67 - F67</f>
        <v>11.42320402528045</v>
      </c>
      <c r="I67">
        <f t="shared" ca="1" si="14"/>
        <v>12.524179999999998</v>
      </c>
      <c r="J67">
        <f t="shared" ca="1" si="15"/>
        <v>0.51371638970606326</v>
      </c>
      <c r="K67">
        <f t="shared" ca="1" si="16"/>
        <v>13.551612779412125</v>
      </c>
      <c r="L67">
        <f t="shared" ca="1" si="17"/>
        <v>11.496747220587871</v>
      </c>
      <c r="M67">
        <f t="shared" ca="1" si="4"/>
        <v>6.8900000000001071E-2</v>
      </c>
      <c r="N67">
        <f t="shared" ca="1" si="5"/>
        <v>6.8900000000001071E-2</v>
      </c>
      <c r="O67">
        <f t="shared" ca="1" si="6"/>
        <v>0</v>
      </c>
      <c r="P67">
        <f t="shared" ca="1" si="12"/>
        <v>0.11737171179672713</v>
      </c>
      <c r="Q67">
        <f t="shared" ca="1" si="13"/>
        <v>7.8778265407474457E-2</v>
      </c>
      <c r="R67">
        <f t="shared" ca="1" si="10"/>
        <v>1.4898996720685722</v>
      </c>
      <c r="S67">
        <f t="shared" ca="1" si="11"/>
        <v>59.837739198173608</v>
      </c>
      <c r="T67">
        <f>70</f>
        <v>70</v>
      </c>
      <c r="U67">
        <f>30</f>
        <v>30</v>
      </c>
      <c r="V67">
        <f t="shared" ca="1" si="9"/>
        <v>12.864728885790079</v>
      </c>
      <c r="W67">
        <f t="shared" ca="1" si="19"/>
        <v>12.572758523757638</v>
      </c>
      <c r="X67">
        <f t="shared" ca="1" si="18"/>
        <v>0.29692068050832177</v>
      </c>
      <c r="Y67">
        <f t="shared" ca="1" si="20"/>
        <v>0.2486869621786035</v>
      </c>
      <c r="Z67">
        <f t="shared" ca="1" si="21"/>
        <v>4.8233718329718261E-2</v>
      </c>
      <c r="AB67" s="18">
        <f t="shared" ca="1" si="7"/>
        <v>5.2995923390508626E-3</v>
      </c>
      <c r="AC67" s="18">
        <f t="shared" ca="1" si="8"/>
        <v>5.2855989174182038E-3</v>
      </c>
      <c r="AD67" s="18">
        <f t="shared" ref="AD67:AD130" ca="1" si="25">(1+AD66)*(1+AB67)-1</f>
        <v>9.2107022293526519E-2</v>
      </c>
    </row>
    <row r="68" spans="1:30" x14ac:dyDescent="0.25">
      <c r="A68" vm="185">
        <f ca="1"/>
        <v>45390</v>
      </c>
      <c r="B68" vm="186">
        <f ca="1"/>
        <v>13.197900000000001</v>
      </c>
      <c r="C68" vm="187">
        <f ca="1"/>
        <v>30381177</v>
      </c>
      <c r="D68">
        <f t="shared" ca="1" si="22"/>
        <v>400967735.92830002</v>
      </c>
      <c r="E68">
        <f ca="1">SUM($D$2:D68)/SUM($C$2:C68)</f>
        <v>12.036410381669558</v>
      </c>
      <c r="F68">
        <f ca="1">_xlfn.STDEV.P($B$2:B68)</f>
        <v>0.61575325852147755</v>
      </c>
      <c r="G68">
        <f t="shared" ca="1" si="23"/>
        <v>12.652163640191036</v>
      </c>
      <c r="H68">
        <f t="shared" ca="1" si="24"/>
        <v>11.42065712314808</v>
      </c>
      <c r="I68">
        <f t="shared" ca="1" si="14"/>
        <v>12.584709999999998</v>
      </c>
      <c r="J68">
        <f t="shared" ca="1" si="15"/>
        <v>0.51842712211782349</v>
      </c>
      <c r="K68">
        <f t="shared" ca="1" si="16"/>
        <v>13.621564244235644</v>
      </c>
      <c r="L68">
        <f t="shared" ca="1" si="17"/>
        <v>11.547855755764351</v>
      </c>
      <c r="M68">
        <f t="shared" ref="M68:M131" ca="1" si="26">B68-B67</f>
        <v>0.12800000000000011</v>
      </c>
      <c r="N68">
        <f t="shared" ref="N68:N131" ca="1" si="27">MAX(M68,0)</f>
        <v>0.12800000000000011</v>
      </c>
      <c r="O68">
        <f t="shared" ref="O68:O131" ca="1" si="28">MAX(-M68,0)</f>
        <v>0</v>
      </c>
      <c r="P68">
        <f t="shared" ca="1" si="12"/>
        <v>0.11813087523981805</v>
      </c>
      <c r="Q68">
        <f t="shared" ca="1" si="13"/>
        <v>7.3151246449797716E-2</v>
      </c>
      <c r="R68">
        <f t="shared" ca="1" si="10"/>
        <v>1.614885336518346</v>
      </c>
      <c r="S68">
        <f t="shared" ca="1" si="11"/>
        <v>61.757405342619158</v>
      </c>
      <c r="T68">
        <f>70</f>
        <v>70</v>
      </c>
      <c r="U68">
        <f>30</f>
        <v>30</v>
      </c>
      <c r="V68">
        <f t="shared" ca="1" si="9"/>
        <v>12.915985980283914</v>
      </c>
      <c r="W68">
        <f t="shared" ca="1" si="19"/>
        <v>12.619065299775592</v>
      </c>
      <c r="X68">
        <f t="shared" ca="1" si="18"/>
        <v>0.30761827269873265</v>
      </c>
      <c r="Y68">
        <f t="shared" ca="1" si="20"/>
        <v>0.26047322428262931</v>
      </c>
      <c r="Z68">
        <f t="shared" ca="1" si="21"/>
        <v>4.7145048416103341E-2</v>
      </c>
      <c r="AB68" s="18">
        <f t="shared" ref="AB68:AB131" ca="1" si="29">(B68/B67)-1</f>
        <v>9.7934949770082103E-3</v>
      </c>
      <c r="AC68" s="18">
        <f t="shared" ref="AC68:AC131" ca="1" si="30">LN(B68/B67)</f>
        <v>9.7458495294833729E-3</v>
      </c>
      <c r="AD68" s="18">
        <f t="shared" ca="1" si="25"/>
        <v>0.10280256693071355</v>
      </c>
    </row>
    <row r="69" spans="1:30" x14ac:dyDescent="0.25">
      <c r="A69" vm="188">
        <f ca="1"/>
        <v>45391</v>
      </c>
      <c r="B69" vm="189">
        <f ca="1"/>
        <v>13.325799999999999</v>
      </c>
      <c r="C69" vm="190">
        <f ca="1"/>
        <v>36114022</v>
      </c>
      <c r="D69">
        <f t="shared" ca="1" si="22"/>
        <v>481248234.36759996</v>
      </c>
      <c r="E69">
        <f ca="1">SUM($D$2:D69)/SUM($C$2:C69)</f>
        <v>12.048959840133179</v>
      </c>
      <c r="F69">
        <f ca="1">_xlfn.STDEV.P($B$2:B69)</f>
        <v>0.63053038149610163</v>
      </c>
      <c r="G69">
        <f t="shared" ca="1" si="23"/>
        <v>12.67949022162928</v>
      </c>
      <c r="H69">
        <f t="shared" ca="1" si="24"/>
        <v>11.418429458637078</v>
      </c>
      <c r="I69">
        <f t="shared" ca="1" si="14"/>
        <v>12.655079999999996</v>
      </c>
      <c r="J69">
        <f t="shared" ca="1" si="15"/>
        <v>0.51874208032001523</v>
      </c>
      <c r="K69">
        <f t="shared" ca="1" si="16"/>
        <v>13.692564160640027</v>
      </c>
      <c r="L69">
        <f t="shared" ca="1" si="17"/>
        <v>11.617595839359966</v>
      </c>
      <c r="M69">
        <f t="shared" ca="1" si="26"/>
        <v>0.12789999999999857</v>
      </c>
      <c r="N69">
        <f t="shared" ca="1" si="27"/>
        <v>0.12789999999999857</v>
      </c>
      <c r="O69">
        <f t="shared" ca="1" si="28"/>
        <v>0</v>
      </c>
      <c r="P69">
        <f t="shared" ca="1" si="12"/>
        <v>0.11882866986554523</v>
      </c>
      <c r="Q69">
        <f t="shared" ca="1" si="13"/>
        <v>6.7926157417669303E-2</v>
      </c>
      <c r="R69">
        <f t="shared" ca="1" si="10"/>
        <v>1.7493801266407998</v>
      </c>
      <c r="S69">
        <f t="shared" ca="1" si="11"/>
        <v>63.628165115829113</v>
      </c>
      <c r="T69">
        <f>70</f>
        <v>70</v>
      </c>
      <c r="U69">
        <f>30</f>
        <v>30</v>
      </c>
      <c r="V69">
        <f t="shared" ca="1" si="9"/>
        <v>12.979034291009466</v>
      </c>
      <c r="W69">
        <f t="shared" ca="1" si="19"/>
        <v>12.671416018310733</v>
      </c>
      <c r="X69">
        <f t="shared" ca="1" si="18"/>
        <v>0.27480962529579145</v>
      </c>
      <c r="Y69">
        <f t="shared" ca="1" si="20"/>
        <v>0.26334050448526175</v>
      </c>
      <c r="Z69">
        <f t="shared" ca="1" si="21"/>
        <v>1.1469120810529698E-2</v>
      </c>
      <c r="AB69" s="18">
        <f t="shared" ca="1" si="29"/>
        <v>9.6909356791610168E-3</v>
      </c>
      <c r="AC69" s="18">
        <f t="shared" ca="1" si="30"/>
        <v>9.6442797462471235E-3</v>
      </c>
      <c r="AD69" s="18">
        <f t="shared" ca="1" si="25"/>
        <v>0.11348975567365271</v>
      </c>
    </row>
    <row r="70" spans="1:30" x14ac:dyDescent="0.25">
      <c r="A70" vm="191">
        <f ca="1"/>
        <v>45392</v>
      </c>
      <c r="B70" vm="167">
        <f ca="1"/>
        <v>12.853400000000001</v>
      </c>
      <c r="C70" vm="192">
        <f ca="1"/>
        <v>52221117</v>
      </c>
      <c r="D70">
        <f t="shared" ca="1" si="22"/>
        <v>671218905.24779999</v>
      </c>
      <c r="E70">
        <f ca="1">SUM($D$2:D70)/SUM($C$2:C70)</f>
        <v>12.060124237872568</v>
      </c>
      <c r="F70">
        <f ca="1">_xlfn.STDEV.P($B$2:B70)</f>
        <v>0.63312264786372585</v>
      </c>
      <c r="G70">
        <f t="shared" ca="1" si="23"/>
        <v>12.693246885736293</v>
      </c>
      <c r="H70">
        <f t="shared" ca="1" si="24"/>
        <v>11.427001590008842</v>
      </c>
      <c r="I70">
        <f t="shared" ca="1" si="14"/>
        <v>12.701829999999998</v>
      </c>
      <c r="J70">
        <f t="shared" ca="1" si="15"/>
        <v>0.49020380949366921</v>
      </c>
      <c r="K70">
        <f t="shared" ca="1" si="16"/>
        <v>13.682237618987337</v>
      </c>
      <c r="L70">
        <f t="shared" ca="1" si="17"/>
        <v>11.721422381012658</v>
      </c>
      <c r="M70">
        <f t="shared" ca="1" si="26"/>
        <v>-0.4723999999999986</v>
      </c>
      <c r="N70">
        <f t="shared" ca="1" si="27"/>
        <v>0</v>
      </c>
      <c r="O70">
        <f t="shared" ca="1" si="28"/>
        <v>0.4723999999999986</v>
      </c>
      <c r="P70">
        <f t="shared" ca="1" si="12"/>
        <v>0.11034090773229199</v>
      </c>
      <c r="Q70">
        <f t="shared" ca="1" si="13"/>
        <v>9.6817146173549959E-2</v>
      </c>
      <c r="R70">
        <f t="shared" ca="1" si="10"/>
        <v>1.1396835384354334</v>
      </c>
      <c r="S70">
        <f t="shared" ca="1" si="11"/>
        <v>53.264116770687778</v>
      </c>
      <c r="T70">
        <f>70</f>
        <v>70</v>
      </c>
      <c r="U70">
        <f>30</f>
        <v>30</v>
      </c>
      <c r="V70">
        <f t="shared" ca="1" si="9"/>
        <v>12.95970593854647</v>
      </c>
      <c r="W70">
        <f t="shared" ca="1" si="19"/>
        <v>12.684896313250679</v>
      </c>
      <c r="X70">
        <f t="shared" ca="1" si="18"/>
        <v>0.24440160097387853</v>
      </c>
      <c r="Y70">
        <f t="shared" ca="1" si="20"/>
        <v>0.25955272378298511</v>
      </c>
      <c r="Z70">
        <f t="shared" ca="1" si="21"/>
        <v>-1.5151122809106576E-2</v>
      </c>
      <c r="AB70" s="18">
        <f t="shared" ca="1" si="29"/>
        <v>-3.545002926653551E-2</v>
      </c>
      <c r="AC70" s="18">
        <f t="shared" ca="1" si="30"/>
        <v>-3.6093637990404451E-2</v>
      </c>
      <c r="AD70" s="18">
        <f t="shared" ca="1" si="25"/>
        <v>7.4016511247034344E-2</v>
      </c>
    </row>
    <row r="71" spans="1:30" x14ac:dyDescent="0.25">
      <c r="A71" vm="193">
        <f ca="1"/>
        <v>45393</v>
      </c>
      <c r="B71" vm="194">
        <f ca="1"/>
        <v>12.8337</v>
      </c>
      <c r="C71" vm="195">
        <f ca="1"/>
        <v>39000098</v>
      </c>
      <c r="D71">
        <f t="shared" ca="1" si="22"/>
        <v>500515557.7026</v>
      </c>
      <c r="E71">
        <f ca="1">SUM($D$2:D71)/SUM($C$2:C71)</f>
        <v>12.068059947026041</v>
      </c>
      <c r="F71">
        <f ca="1">_xlfn.STDEV.P($B$2:B71)</f>
        <v>0.63509244732960135</v>
      </c>
      <c r="G71">
        <f t="shared" ca="1" si="23"/>
        <v>12.703152394355643</v>
      </c>
      <c r="H71">
        <f t="shared" ca="1" si="24"/>
        <v>11.43296749969644</v>
      </c>
      <c r="I71">
        <f t="shared" ca="1" si="14"/>
        <v>12.734799999999996</v>
      </c>
      <c r="J71">
        <f t="shared" ca="1" si="15"/>
        <v>0.47478843487888067</v>
      </c>
      <c r="K71">
        <f t="shared" ca="1" si="16"/>
        <v>13.684376869757758</v>
      </c>
      <c r="L71">
        <f t="shared" ca="1" si="17"/>
        <v>11.785223130242235</v>
      </c>
      <c r="M71">
        <f t="shared" ca="1" si="26"/>
        <v>-1.9700000000000273E-2</v>
      </c>
      <c r="N71">
        <f t="shared" ca="1" si="27"/>
        <v>0</v>
      </c>
      <c r="O71">
        <f t="shared" ca="1" si="28"/>
        <v>1.9700000000000273E-2</v>
      </c>
      <c r="P71">
        <f t="shared" ca="1" si="12"/>
        <v>0.10245941432284256</v>
      </c>
      <c r="Q71">
        <f t="shared" ca="1" si="13"/>
        <v>9.1308778589724984E-2</v>
      </c>
      <c r="R71">
        <f t="shared" ca="1" si="10"/>
        <v>1.1221200842387826</v>
      </c>
      <c r="S71">
        <f t="shared" ca="1" si="11"/>
        <v>52.877313238439754</v>
      </c>
      <c r="T71">
        <f>70</f>
        <v>70</v>
      </c>
      <c r="U71">
        <f>30</f>
        <v>30</v>
      </c>
      <c r="V71">
        <f t="shared" ca="1" si="9"/>
        <v>12.940320409539321</v>
      </c>
      <c r="W71">
        <f t="shared" ca="1" si="19"/>
        <v>12.695918808565443</v>
      </c>
      <c r="X71">
        <f t="shared" ca="1" si="18"/>
        <v>0.18403290270486927</v>
      </c>
      <c r="Y71">
        <f t="shared" ca="1" si="20"/>
        <v>0.24444875956736195</v>
      </c>
      <c r="Z71">
        <f t="shared" ca="1" si="21"/>
        <v>-6.0415856862492678E-2</v>
      </c>
      <c r="AB71" s="18">
        <f t="shared" ca="1" si="29"/>
        <v>-1.5326683990228851E-3</v>
      </c>
      <c r="AC71" s="18">
        <f t="shared" ca="1" si="30"/>
        <v>-1.5338441367311515E-3</v>
      </c>
      <c r="AD71" s="18">
        <f t="shared" ca="1" si="25"/>
        <v>7.2370400080217223E-2</v>
      </c>
    </row>
    <row r="72" spans="1:30" x14ac:dyDescent="0.25">
      <c r="A72" vm="196">
        <f ca="1"/>
        <v>45394</v>
      </c>
      <c r="B72" vm="197">
        <f ca="1"/>
        <v>12.410500000000001</v>
      </c>
      <c r="C72" vm="198">
        <f ca="1"/>
        <v>53197923</v>
      </c>
      <c r="D72">
        <f t="shared" ca="1" si="22"/>
        <v>660212823.3915</v>
      </c>
      <c r="E72">
        <f ca="1">SUM($D$2:D72)/SUM($C$2:C72)</f>
        <v>12.07278559591815</v>
      </c>
      <c r="F72">
        <f ca="1">_xlfn.STDEV.P($B$2:B72)</f>
        <v>0.63180283664445969</v>
      </c>
      <c r="G72">
        <f t="shared" ca="1" si="23"/>
        <v>12.704588432562609</v>
      </c>
      <c r="H72">
        <f t="shared" ca="1" si="24"/>
        <v>11.440982759273691</v>
      </c>
      <c r="I72">
        <f t="shared" ca="1" si="14"/>
        <v>12.760879999999998</v>
      </c>
      <c r="J72">
        <f t="shared" ca="1" si="15"/>
        <v>0.43884282355927157</v>
      </c>
      <c r="K72">
        <f t="shared" ca="1" si="16"/>
        <v>13.638565647118542</v>
      </c>
      <c r="L72">
        <f t="shared" ca="1" si="17"/>
        <v>11.883194352881455</v>
      </c>
      <c r="M72">
        <f t="shared" ca="1" si="26"/>
        <v>-0.42319999999999958</v>
      </c>
      <c r="N72">
        <f t="shared" ca="1" si="27"/>
        <v>0</v>
      </c>
      <c r="O72">
        <f t="shared" ca="1" si="28"/>
        <v>0.42319999999999958</v>
      </c>
      <c r="P72">
        <f t="shared" ca="1" si="12"/>
        <v>9.5140884728353803E-2</v>
      </c>
      <c r="Q72">
        <f t="shared" ca="1" si="13"/>
        <v>0.11501529440474459</v>
      </c>
      <c r="R72">
        <f t="shared" ca="1" si="10"/>
        <v>0.82720202752816729</v>
      </c>
      <c r="S72">
        <f t="shared" ca="1" si="11"/>
        <v>45.271514318928567</v>
      </c>
      <c r="T72">
        <f>70</f>
        <v>70</v>
      </c>
      <c r="U72">
        <f>30</f>
        <v>30</v>
      </c>
      <c r="V72">
        <f t="shared" ca="1" si="9"/>
        <v>12.858809577302502</v>
      </c>
      <c r="W72">
        <f t="shared" ca="1" si="19"/>
        <v>12.674776674597632</v>
      </c>
      <c r="X72">
        <f t="shared" ca="1" si="18"/>
        <v>0.10480349063992023</v>
      </c>
      <c r="Y72">
        <f t="shared" ca="1" si="20"/>
        <v>0.2165197057818736</v>
      </c>
      <c r="Z72">
        <f t="shared" ca="1" si="21"/>
        <v>-0.11171621514195337</v>
      </c>
      <c r="AB72" s="18">
        <f t="shared" ca="1" si="29"/>
        <v>-3.2975681214302943E-2</v>
      </c>
      <c r="AC72" s="18">
        <f t="shared" ca="1" si="30"/>
        <v>-3.3531635152514547E-2</v>
      </c>
      <c r="AD72" s="18">
        <f t="shared" ca="1" si="25"/>
        <v>3.7008255623517394E-2</v>
      </c>
    </row>
    <row r="73" spans="1:30" x14ac:dyDescent="0.25">
      <c r="A73" vm="199">
        <f ca="1"/>
        <v>45397</v>
      </c>
      <c r="B73" vm="200">
        <f ca="1"/>
        <v>12.0365</v>
      </c>
      <c r="C73" vm="201">
        <f ca="1"/>
        <v>60440565</v>
      </c>
      <c r="D73">
        <f t="shared" ca="1" si="22"/>
        <v>727492860.62250006</v>
      </c>
      <c r="E73">
        <f ca="1">SUM($D$2:D73)/SUM($C$2:C73)</f>
        <v>12.072225466169231</v>
      </c>
      <c r="F73">
        <f ca="1">_xlfn.STDEV.P($B$2:B73)</f>
        <v>0.62742568259037423</v>
      </c>
      <c r="G73">
        <f t="shared" ca="1" si="23"/>
        <v>12.699651148759605</v>
      </c>
      <c r="H73">
        <f t="shared" ca="1" si="24"/>
        <v>11.444799783578857</v>
      </c>
      <c r="I73">
        <f t="shared" ca="1" si="14"/>
        <v>12.769245</v>
      </c>
      <c r="J73">
        <f t="shared" ca="1" si="15"/>
        <v>0.42223161201431936</v>
      </c>
      <c r="K73">
        <f t="shared" ca="1" si="16"/>
        <v>13.613708224028638</v>
      </c>
      <c r="L73">
        <f t="shared" ca="1" si="17"/>
        <v>11.924781775971361</v>
      </c>
      <c r="M73">
        <f t="shared" ca="1" si="26"/>
        <v>-0.37400000000000055</v>
      </c>
      <c r="N73">
        <f t="shared" ca="1" si="27"/>
        <v>0</v>
      </c>
      <c r="O73">
        <f t="shared" ca="1" si="28"/>
        <v>0.37400000000000055</v>
      </c>
      <c r="P73">
        <f t="shared" ca="1" si="12"/>
        <v>8.8345107247757113E-2</v>
      </c>
      <c r="Q73">
        <f t="shared" ca="1" si="13"/>
        <v>0.13351420194726288</v>
      </c>
      <c r="R73">
        <f t="shared" ca="1" si="10"/>
        <v>0.66169071124473167</v>
      </c>
      <c r="S73">
        <f t="shared" ca="1" si="11"/>
        <v>39.820329184428999</v>
      </c>
      <c r="T73">
        <f>70</f>
        <v>70</v>
      </c>
      <c r="U73">
        <f>30</f>
        <v>30</v>
      </c>
      <c r="V73">
        <f t="shared" ca="1" si="9"/>
        <v>12.732300411563655</v>
      </c>
      <c r="W73">
        <f t="shared" ca="1" si="19"/>
        <v>12.627496920923734</v>
      </c>
      <c r="X73">
        <f t="shared" ca="1" si="18"/>
        <v>3.0542230581742658E-2</v>
      </c>
      <c r="Y73">
        <f t="shared" ca="1" si="20"/>
        <v>0.17932421074184743</v>
      </c>
      <c r="Z73">
        <f t="shared" ca="1" si="21"/>
        <v>-0.14878198016010477</v>
      </c>
      <c r="AB73" s="18">
        <f t="shared" ca="1" si="29"/>
        <v>-3.0135772128439653E-2</v>
      </c>
      <c r="AC73" s="18">
        <f t="shared" ca="1" si="30"/>
        <v>-3.0599188548033091E-2</v>
      </c>
      <c r="AD73" s="18">
        <f t="shared" ca="1" si="25"/>
        <v>5.7572111367363288E-3</v>
      </c>
    </row>
    <row r="74" spans="1:30" x14ac:dyDescent="0.25">
      <c r="A74" vm="202">
        <f ca="1"/>
        <v>45398</v>
      </c>
      <c r="B74" vm="203">
        <f ca="1"/>
        <v>11.8987</v>
      </c>
      <c r="C74" vm="204">
        <f ca="1"/>
        <v>57298622</v>
      </c>
      <c r="D74">
        <f t="shared" ca="1" si="22"/>
        <v>681779113.59140003</v>
      </c>
      <c r="E74">
        <f ca="1">SUM($D$2:D74)/SUM($C$2:C74)</f>
        <v>12.069722679985405</v>
      </c>
      <c r="F74">
        <f ca="1">_xlfn.STDEV.P($B$2:B74)</f>
        <v>0.62348700600867613</v>
      </c>
      <c r="G74">
        <f t="shared" ca="1" si="23"/>
        <v>12.693209685994081</v>
      </c>
      <c r="H74">
        <f t="shared" ca="1" si="24"/>
        <v>11.44623567397673</v>
      </c>
      <c r="I74">
        <f t="shared" ca="1" si="14"/>
        <v>12.764814999999999</v>
      </c>
      <c r="J74">
        <f t="shared" ca="1" si="15"/>
        <v>0.43123624405215599</v>
      </c>
      <c r="K74">
        <f t="shared" ca="1" si="16"/>
        <v>13.627287488104312</v>
      </c>
      <c r="L74">
        <f t="shared" ca="1" si="17"/>
        <v>11.902342511895686</v>
      </c>
      <c r="M74">
        <f t="shared" ca="1" si="26"/>
        <v>-0.13780000000000037</v>
      </c>
      <c r="N74">
        <f t="shared" ca="1" si="27"/>
        <v>0</v>
      </c>
      <c r="O74">
        <f t="shared" ca="1" si="28"/>
        <v>0.13780000000000037</v>
      </c>
      <c r="P74">
        <f t="shared" ca="1" si="12"/>
        <v>8.2034742444345901E-2</v>
      </c>
      <c r="Q74">
        <f t="shared" ca="1" si="13"/>
        <v>0.13382033037960125</v>
      </c>
      <c r="R74">
        <f t="shared" ca="1" si="10"/>
        <v>0.61302152080810268</v>
      </c>
      <c r="S74">
        <f t="shared" ca="1" si="11"/>
        <v>38.004546926378694</v>
      </c>
      <c r="T74">
        <f>70</f>
        <v>70</v>
      </c>
      <c r="U74">
        <f>30</f>
        <v>30</v>
      </c>
      <c r="V74">
        <f t="shared" ca="1" si="9"/>
        <v>12.604054194400014</v>
      </c>
      <c r="W74">
        <f t="shared" ca="1" si="19"/>
        <v>12.573511963818271</v>
      </c>
      <c r="X74">
        <f t="shared" ca="1" si="18"/>
        <v>-3.191251425679198E-2</v>
      </c>
      <c r="Y74">
        <f t="shared" ca="1" si="20"/>
        <v>0.13707686574211955</v>
      </c>
      <c r="Z74">
        <f t="shared" ca="1" si="21"/>
        <v>-0.16898937999891153</v>
      </c>
      <c r="AB74" s="18">
        <f t="shared" ca="1" si="29"/>
        <v>-1.1448510779711762E-2</v>
      </c>
      <c r="AC74" s="18">
        <f t="shared" ca="1" si="30"/>
        <v>-1.1514549493019827E-2</v>
      </c>
      <c r="AD74" s="18">
        <f t="shared" ca="1" si="25"/>
        <v>-5.7572111367354406E-3</v>
      </c>
    </row>
    <row r="75" spans="1:30" x14ac:dyDescent="0.25">
      <c r="A75" vm="205">
        <f ca="1"/>
        <v>45399</v>
      </c>
      <c r="B75" vm="206">
        <f ca="1"/>
        <v>11.849500000000001</v>
      </c>
      <c r="C75" vm="207">
        <f ca="1"/>
        <v>44348170</v>
      </c>
      <c r="D75">
        <f t="shared" ca="1" si="22"/>
        <v>525503640.41500002</v>
      </c>
      <c r="E75">
        <f ca="1">SUM($D$2:D75)/SUM($C$2:C75)</f>
        <v>12.067291412142094</v>
      </c>
      <c r="F75">
        <f ca="1">_xlfn.STDEV.P($B$2:B75)</f>
        <v>0.6198405608116061</v>
      </c>
      <c r="G75">
        <f t="shared" ca="1" si="23"/>
        <v>12.687131972953701</v>
      </c>
      <c r="H75">
        <f t="shared" ca="1" si="24"/>
        <v>11.447450851330487</v>
      </c>
      <c r="I75">
        <f t="shared" ca="1" si="14"/>
        <v>12.75202</v>
      </c>
      <c r="J75">
        <f t="shared" ca="1" si="15"/>
        <v>0.45497417115815775</v>
      </c>
      <c r="K75">
        <f t="shared" ca="1" si="16"/>
        <v>13.661968342316316</v>
      </c>
      <c r="L75">
        <f t="shared" ca="1" si="17"/>
        <v>11.842071657683684</v>
      </c>
      <c r="M75">
        <f t="shared" ca="1" si="26"/>
        <v>-4.9199999999999022E-2</v>
      </c>
      <c r="N75">
        <f t="shared" ca="1" si="27"/>
        <v>0</v>
      </c>
      <c r="O75">
        <f t="shared" ca="1" si="28"/>
        <v>4.9199999999999022E-2</v>
      </c>
      <c r="P75">
        <f t="shared" ca="1" si="12"/>
        <v>7.6175117984035493E-2</v>
      </c>
      <c r="Q75">
        <f t="shared" ca="1" si="13"/>
        <v>0.12777602106677252</v>
      </c>
      <c r="R75">
        <f t="shared" ca="1" si="10"/>
        <v>0.59616129339501267</v>
      </c>
      <c r="S75">
        <f t="shared" ca="1" si="11"/>
        <v>37.349689900510363</v>
      </c>
      <c r="T75">
        <f>70</f>
        <v>70</v>
      </c>
      <c r="U75">
        <f>30</f>
        <v>30</v>
      </c>
      <c r="V75">
        <f t="shared" ca="1" si="9"/>
        <v>12.487968933723089</v>
      </c>
      <c r="W75">
        <f t="shared" ca="1" si="19"/>
        <v>12.519881447979881</v>
      </c>
      <c r="X75">
        <f t="shared" ca="1" si="18"/>
        <v>-7.8909109053286741E-2</v>
      </c>
      <c r="Y75">
        <f t="shared" ca="1" si="20"/>
        <v>9.3879670783038299E-2</v>
      </c>
      <c r="Z75">
        <f t="shared" ca="1" si="21"/>
        <v>-0.17278877983632504</v>
      </c>
      <c r="AB75" s="18">
        <f t="shared" ca="1" si="29"/>
        <v>-4.1349054938774055E-3</v>
      </c>
      <c r="AC75" s="18">
        <f t="shared" ca="1" si="30"/>
        <v>-4.1434778543598871E-3</v>
      </c>
      <c r="AD75" s="18">
        <f t="shared" ca="1" si="25"/>
        <v>-9.8683111066540929E-3</v>
      </c>
    </row>
    <row r="76" spans="1:30" x14ac:dyDescent="0.25">
      <c r="A76" vm="208">
        <f ca="1"/>
        <v>45400</v>
      </c>
      <c r="B76" vm="147">
        <f ca="1"/>
        <v>11.869199999999999</v>
      </c>
      <c r="C76" vm="209">
        <f ca="1"/>
        <v>40543496</v>
      </c>
      <c r="D76">
        <f t="shared" ca="1" si="22"/>
        <v>481218862.72319996</v>
      </c>
      <c r="E76">
        <f ca="1">SUM($D$2:D76)/SUM($C$2:C76)</f>
        <v>12.065312071327165</v>
      </c>
      <c r="F76">
        <f ca="1">_xlfn.STDEV.P($B$2:B76)</f>
        <v>0.61616303225544322</v>
      </c>
      <c r="G76">
        <f t="shared" ca="1" si="23"/>
        <v>12.681475103582608</v>
      </c>
      <c r="H76">
        <f t="shared" ca="1" si="24"/>
        <v>11.449149039071722</v>
      </c>
      <c r="I76">
        <f t="shared" ca="1" si="14"/>
        <v>12.710685</v>
      </c>
      <c r="J76">
        <f t="shared" ca="1" si="15"/>
        <v>0.49604108942177055</v>
      </c>
      <c r="K76">
        <f t="shared" ca="1" si="16"/>
        <v>13.702767178843541</v>
      </c>
      <c r="L76">
        <f t="shared" ca="1" si="17"/>
        <v>11.718602821156459</v>
      </c>
      <c r="M76">
        <f t="shared" ca="1" si="26"/>
        <v>1.9699999999998496E-2</v>
      </c>
      <c r="N76">
        <f t="shared" ca="1" si="27"/>
        <v>1.9699999999998496E-2</v>
      </c>
      <c r="O76">
        <f t="shared" ca="1" si="28"/>
        <v>0</v>
      </c>
      <c r="P76">
        <f t="shared" ca="1" si="12"/>
        <v>7.2141180985175718E-2</v>
      </c>
      <c r="Q76">
        <f t="shared" ca="1" si="13"/>
        <v>0.11864916241914591</v>
      </c>
      <c r="R76">
        <f t="shared" ca="1" si="10"/>
        <v>0.60802098821672423</v>
      </c>
      <c r="S76">
        <f t="shared" ca="1" si="11"/>
        <v>37.811756977812344</v>
      </c>
      <c r="T76">
        <f>70</f>
        <v>70</v>
      </c>
      <c r="U76">
        <f>30</f>
        <v>30</v>
      </c>
      <c r="V76">
        <f t="shared" ca="1" si="9"/>
        <v>12.392773713150305</v>
      </c>
      <c r="W76">
        <f t="shared" ca="1" si="19"/>
        <v>12.471682822203592</v>
      </c>
      <c r="X76">
        <f t="shared" ca="1" si="18"/>
        <v>-0.10855249119808263</v>
      </c>
      <c r="Y76">
        <f t="shared" ca="1" si="20"/>
        <v>5.3393238386814118E-2</v>
      </c>
      <c r="Z76">
        <f t="shared" ca="1" si="21"/>
        <v>-0.16194572958489675</v>
      </c>
      <c r="AB76" s="18">
        <f t="shared" ca="1" si="29"/>
        <v>1.6625174057975922E-3</v>
      </c>
      <c r="AC76" s="18">
        <f t="shared" ca="1" si="30"/>
        <v>1.6611369535407866E-3</v>
      </c>
      <c r="AD76" s="18">
        <f t="shared" ca="1" si="25"/>
        <v>-8.2221999398371937E-3</v>
      </c>
    </row>
    <row r="77" spans="1:30" x14ac:dyDescent="0.25">
      <c r="A77" vm="210">
        <f ca="1"/>
        <v>45401</v>
      </c>
      <c r="B77" vm="65">
        <f ca="1"/>
        <v>11.947900000000001</v>
      </c>
      <c r="C77" vm="211">
        <f ca="1"/>
        <v>40260763</v>
      </c>
      <c r="D77">
        <f t="shared" ca="1" si="22"/>
        <v>481031570.24770004</v>
      </c>
      <c r="E77">
        <f ca="1">SUM($D$2:D77)/SUM($C$2:C77)</f>
        <v>12.064158510517069</v>
      </c>
      <c r="F77">
        <f ca="1">_xlfn.STDEV.P($B$2:B77)</f>
        <v>0.61226961165935379</v>
      </c>
      <c r="G77">
        <f t="shared" ca="1" si="23"/>
        <v>12.676428122176423</v>
      </c>
      <c r="H77">
        <f t="shared" ca="1" si="24"/>
        <v>11.451888898857716</v>
      </c>
      <c r="I77">
        <f t="shared" ca="1" si="14"/>
        <v>12.6723</v>
      </c>
      <c r="J77">
        <f t="shared" ca="1" si="15"/>
        <v>0.52452620826598817</v>
      </c>
      <c r="K77">
        <f t="shared" ca="1" si="16"/>
        <v>13.721352416531976</v>
      </c>
      <c r="L77">
        <f t="shared" ca="1" si="17"/>
        <v>11.623247583468023</v>
      </c>
      <c r="M77">
        <f t="shared" ca="1" si="26"/>
        <v>7.8700000000001324E-2</v>
      </c>
      <c r="N77">
        <f t="shared" ca="1" si="27"/>
        <v>7.8700000000001324E-2</v>
      </c>
      <c r="O77">
        <f t="shared" ca="1" si="28"/>
        <v>0</v>
      </c>
      <c r="P77">
        <f t="shared" ca="1" si="12"/>
        <v>7.2609668057663265E-2</v>
      </c>
      <c r="Q77">
        <f t="shared" ca="1" si="13"/>
        <v>0.11017422224634978</v>
      </c>
      <c r="R77">
        <f t="shared" ca="1" si="10"/>
        <v>0.65904407199088644</v>
      </c>
      <c r="S77">
        <f t="shared" ca="1" si="11"/>
        <v>39.724325779966783</v>
      </c>
      <c r="T77">
        <f>70</f>
        <v>70</v>
      </c>
      <c r="U77">
        <f>30</f>
        <v>30</v>
      </c>
      <c r="V77">
        <f t="shared" ca="1" si="9"/>
        <v>12.324331603434873</v>
      </c>
      <c r="W77">
        <f t="shared" ca="1" si="19"/>
        <v>12.432884094632955</v>
      </c>
      <c r="X77">
        <f t="shared" ca="1" si="18"/>
        <v>-7.2442292124083707E-2</v>
      </c>
      <c r="Y77">
        <f t="shared" ca="1" si="20"/>
        <v>2.822613228463456E-2</v>
      </c>
      <c r="Z77">
        <f t="shared" ca="1" si="21"/>
        <v>-0.10066842440871826</v>
      </c>
      <c r="AB77" s="18">
        <f t="shared" ca="1" si="29"/>
        <v>6.6306069490784658E-3</v>
      </c>
      <c r="AC77" s="18">
        <f t="shared" ca="1" si="30"/>
        <v>6.6087211655729491E-3</v>
      </c>
      <c r="AD77" s="18">
        <f t="shared" ca="1" si="25"/>
        <v>-1.6461111668165662E-3</v>
      </c>
    </row>
    <row r="78" spans="1:30" x14ac:dyDescent="0.25">
      <c r="A78" vm="212">
        <f ca="1"/>
        <v>45404</v>
      </c>
      <c r="B78" vm="213">
        <f ca="1"/>
        <v>12.6762</v>
      </c>
      <c r="C78" vm="214">
        <f ca="1"/>
        <v>87852513</v>
      </c>
      <c r="D78">
        <f t="shared" ca="1" si="22"/>
        <v>1113636025.2906001</v>
      </c>
      <c r="E78">
        <f ca="1">SUM($D$2:D78)/SUM($C$2:C78)</f>
        <v>12.077004526420621</v>
      </c>
      <c r="F78">
        <f ca="1">_xlfn.STDEV.P($B$2:B78)</f>
        <v>0.61208744877830268</v>
      </c>
      <c r="G78">
        <f t="shared" ca="1" si="23"/>
        <v>12.689091975198924</v>
      </c>
      <c r="H78">
        <f t="shared" ca="1" si="24"/>
        <v>11.464917077642319</v>
      </c>
      <c r="I78">
        <f t="shared" ca="1" si="14"/>
        <v>12.670819999999999</v>
      </c>
      <c r="J78">
        <f t="shared" ca="1" si="15"/>
        <v>0.52446846636430522</v>
      </c>
      <c r="K78">
        <f t="shared" ca="1" si="16"/>
        <v>13.719756932728609</v>
      </c>
      <c r="L78">
        <f t="shared" ca="1" si="17"/>
        <v>11.621883067271389</v>
      </c>
      <c r="M78">
        <f t="shared" ca="1" si="26"/>
        <v>0.72829999999999906</v>
      </c>
      <c r="N78">
        <f t="shared" ca="1" si="27"/>
        <v>0.72829999999999906</v>
      </c>
      <c r="O78">
        <f t="shared" ca="1" si="28"/>
        <v>0</v>
      </c>
      <c r="P78">
        <f t="shared" ca="1" si="12"/>
        <v>0.11944469176783011</v>
      </c>
      <c r="Q78">
        <f t="shared" ca="1" si="13"/>
        <v>0.10230463494303908</v>
      </c>
      <c r="R78">
        <f t="shared" ca="1" si="10"/>
        <v>1.1675393967666687</v>
      </c>
      <c r="S78">
        <f t="shared" ca="1" si="11"/>
        <v>53.864737061217632</v>
      </c>
      <c r="T78">
        <f>70</f>
        <v>70</v>
      </c>
      <c r="U78">
        <f>30</f>
        <v>30</v>
      </c>
      <c r="V78">
        <f t="shared" ca="1" si="9"/>
        <v>12.37846520290643</v>
      </c>
      <c r="W78">
        <f t="shared" ca="1" si="19"/>
        <v>12.450907495030513</v>
      </c>
      <c r="X78">
        <f t="shared" ca="1" si="18"/>
        <v>-3.861074251198815E-2</v>
      </c>
      <c r="Y78">
        <f t="shared" ca="1" si="20"/>
        <v>1.485875732531002E-2</v>
      </c>
      <c r="Z78">
        <f t="shared" ca="1" si="21"/>
        <v>-5.3469499837298172E-2</v>
      </c>
      <c r="AB78" s="18">
        <f t="shared" ca="1" si="29"/>
        <v>6.0956318683617949E-2</v>
      </c>
      <c r="AC78" s="18">
        <f t="shared" ca="1" si="30"/>
        <v>5.9170688834875751E-2</v>
      </c>
      <c r="AD78" s="18">
        <f t="shared" ca="1" si="25"/>
        <v>5.9209866639928332E-2</v>
      </c>
    </row>
    <row r="79" spans="1:30" x14ac:dyDescent="0.25">
      <c r="A79" vm="215">
        <f ca="1"/>
        <v>45405</v>
      </c>
      <c r="B79" vm="216">
        <f ca="1"/>
        <v>12.735300000000001</v>
      </c>
      <c r="C79" vm="217">
        <f ca="1"/>
        <v>63816643</v>
      </c>
      <c r="D79">
        <f t="shared" ca="1" si="22"/>
        <v>812724093.59790003</v>
      </c>
      <c r="E79">
        <f ca="1">SUM($D$2:D79)/SUM($C$2:C79)</f>
        <v>12.086890439051301</v>
      </c>
      <c r="F79">
        <f ca="1">_xlfn.STDEV.P($B$2:B79)</f>
        <v>0.61257589214513641</v>
      </c>
      <c r="G79">
        <f t="shared" ca="1" si="23"/>
        <v>12.699466331196437</v>
      </c>
      <c r="H79">
        <f t="shared" ca="1" si="24"/>
        <v>11.474314546906164</v>
      </c>
      <c r="I79">
        <f t="shared" ca="1" si="14"/>
        <v>12.672789999999999</v>
      </c>
      <c r="J79">
        <f t="shared" ca="1" si="15"/>
        <v>0.52464159786517728</v>
      </c>
      <c r="K79">
        <f t="shared" ca="1" si="16"/>
        <v>13.722073195730353</v>
      </c>
      <c r="L79">
        <f t="shared" ca="1" si="17"/>
        <v>11.623506804269645</v>
      </c>
      <c r="M79">
        <f t="shared" ca="1" si="26"/>
        <v>5.9100000000000819E-2</v>
      </c>
      <c r="N79">
        <f t="shared" ca="1" si="27"/>
        <v>5.9100000000000819E-2</v>
      </c>
      <c r="O79">
        <f t="shared" ca="1" si="28"/>
        <v>0</v>
      </c>
      <c r="P79">
        <f t="shared" ca="1" si="12"/>
        <v>0.11513435664155659</v>
      </c>
      <c r="Q79">
        <f t="shared" ca="1" si="13"/>
        <v>9.4997161018536294E-2</v>
      </c>
      <c r="R79">
        <f t="shared" ca="1" si="10"/>
        <v>1.2119768149607233</v>
      </c>
      <c r="S79">
        <f t="shared" ca="1" si="11"/>
        <v>54.791569548265976</v>
      </c>
      <c r="T79">
        <f>70</f>
        <v>70</v>
      </c>
      <c r="U79">
        <f>30</f>
        <v>30</v>
      </c>
      <c r="V79">
        <f t="shared" ref="V79:V142" ca="1" si="31">B79*(2/(12+1)) + V78*(1-(2/(12+1)))</f>
        <v>12.433362863997747</v>
      </c>
      <c r="W79">
        <f t="shared" ca="1" si="19"/>
        <v>12.471973606509735</v>
      </c>
      <c r="X79">
        <f t="shared" ca="1" si="18"/>
        <v>-1.0882767830006301E-2</v>
      </c>
      <c r="Y79">
        <f t="shared" ca="1" si="20"/>
        <v>9.7104522942467568E-3</v>
      </c>
      <c r="Z79">
        <f t="shared" ca="1" si="21"/>
        <v>-2.0593220124253058E-2</v>
      </c>
      <c r="AB79" s="18">
        <f t="shared" ca="1" si="29"/>
        <v>4.6622804941545137E-3</v>
      </c>
      <c r="AC79" s="18">
        <f t="shared" ca="1" si="30"/>
        <v>4.6514457278794058E-3</v>
      </c>
      <c r="AD79" s="18">
        <f t="shared" ca="1" si="25"/>
        <v>6.4148200140379696E-2</v>
      </c>
    </row>
    <row r="80" spans="1:30" x14ac:dyDescent="0.25">
      <c r="A80" vm="218">
        <f ca="1"/>
        <v>45406</v>
      </c>
      <c r="B80" vm="219">
        <f ca="1"/>
        <v>12.745100000000001</v>
      </c>
      <c r="C80" vm="220">
        <f ca="1"/>
        <v>75708121</v>
      </c>
      <c r="D80">
        <f t="shared" ca="1" si="22"/>
        <v>964907572.95710003</v>
      </c>
      <c r="E80">
        <f ca="1">SUM($D$2:D80)/SUM($C$2:C80)</f>
        <v>12.098411684418201</v>
      </c>
      <c r="F80">
        <f ca="1">_xlfn.STDEV.P($B$2:B80)</f>
        <v>0.61307130332013982</v>
      </c>
      <c r="G80">
        <f t="shared" ca="1" si="23"/>
        <v>12.711482987738341</v>
      </c>
      <c r="H80">
        <f t="shared" ca="1" si="24"/>
        <v>11.485340381098061</v>
      </c>
      <c r="I80">
        <f t="shared" ca="1" si="14"/>
        <v>12.697885000000001</v>
      </c>
      <c r="J80">
        <f t="shared" ca="1" si="15"/>
        <v>0.51492530401071412</v>
      </c>
      <c r="K80">
        <f t="shared" ca="1" si="16"/>
        <v>13.72773560802143</v>
      </c>
      <c r="L80">
        <f t="shared" ca="1" si="17"/>
        <v>11.668034391978573</v>
      </c>
      <c r="M80">
        <f t="shared" ca="1" si="26"/>
        <v>9.800000000000253E-3</v>
      </c>
      <c r="N80">
        <f t="shared" ca="1" si="27"/>
        <v>9.800000000000253E-3</v>
      </c>
      <c r="O80">
        <f t="shared" ca="1" si="28"/>
        <v>0</v>
      </c>
      <c r="P80">
        <f t="shared" ca="1" si="12"/>
        <v>0.10761047402430257</v>
      </c>
      <c r="Q80">
        <f t="shared" ca="1" si="13"/>
        <v>8.8211649517212276E-2</v>
      </c>
      <c r="R80">
        <f t="shared" ref="R80:R143" ca="1" si="32">IF(Q80=0,NA(),P80/Q80)</f>
        <v>1.2199122747761917</v>
      </c>
      <c r="S80">
        <f t="shared" ref="S80:S143" ca="1" si="33">100-(100/(1+R80))</f>
        <v>54.953174890624069</v>
      </c>
      <c r="T80">
        <f>70</f>
        <v>70</v>
      </c>
      <c r="U80">
        <f>30</f>
        <v>30</v>
      </c>
      <c r="V80">
        <f t="shared" ca="1" si="31"/>
        <v>12.481322423382711</v>
      </c>
      <c r="W80">
        <f t="shared" ca="1" si="19"/>
        <v>12.492205191212717</v>
      </c>
      <c r="X80">
        <f t="shared" ca="1" si="18"/>
        <v>1.8033255272172255E-2</v>
      </c>
      <c r="Y80">
        <f t="shared" ca="1" si="20"/>
        <v>1.1375012889831856E-2</v>
      </c>
      <c r="Z80">
        <f t="shared" ca="1" si="21"/>
        <v>6.6582423823403989E-3</v>
      </c>
      <c r="AB80" s="18">
        <f t="shared" ca="1" si="29"/>
        <v>7.695146561133015E-4</v>
      </c>
      <c r="AC80" s="18">
        <f t="shared" ca="1" si="30"/>
        <v>7.6921873151279522E-4</v>
      </c>
      <c r="AD80" s="18">
        <f t="shared" ca="1" si="25"/>
        <v>6.4967077776664217E-2</v>
      </c>
    </row>
    <row r="81" spans="1:30" x14ac:dyDescent="0.25">
      <c r="A81" vm="221">
        <f ca="1"/>
        <v>45407</v>
      </c>
      <c r="B81" vm="194">
        <f ca="1"/>
        <v>12.8337</v>
      </c>
      <c r="C81" vm="222">
        <f ca="1"/>
        <v>88341687</v>
      </c>
      <c r="D81">
        <f t="shared" ca="1" si="22"/>
        <v>1133750708.4519</v>
      </c>
      <c r="E81">
        <f ca="1">SUM($D$2:D81)/SUM($C$2:C81)</f>
        <v>12.113129220425499</v>
      </c>
      <c r="F81">
        <f ca="1">_xlfn.STDEV.P($B$2:B81)</f>
        <v>0.61467634612529032</v>
      </c>
      <c r="G81">
        <f t="shared" ca="1" si="23"/>
        <v>12.727805566550789</v>
      </c>
      <c r="H81">
        <f t="shared" ca="1" si="24"/>
        <v>11.498452874300209</v>
      </c>
      <c r="I81">
        <f t="shared" ca="1" si="14"/>
        <v>12.696900000000001</v>
      </c>
      <c r="J81">
        <f t="shared" ca="1" si="15"/>
        <v>0.51463092037937863</v>
      </c>
      <c r="K81">
        <f t="shared" ca="1" si="16"/>
        <v>13.726161840758758</v>
      </c>
      <c r="L81">
        <f t="shared" ca="1" si="17"/>
        <v>11.667638159241244</v>
      </c>
      <c r="M81">
        <f t="shared" ca="1" si="26"/>
        <v>8.8599999999999568E-2</v>
      </c>
      <c r="N81">
        <f t="shared" ca="1" si="27"/>
        <v>8.8599999999999568E-2</v>
      </c>
      <c r="O81">
        <f t="shared" ca="1" si="28"/>
        <v>0</v>
      </c>
      <c r="P81">
        <f t="shared" ref="P81:P144" ca="1" si="34">(P80*13+N81)/14</f>
        <v>0.10625258302256665</v>
      </c>
      <c r="Q81">
        <f t="shared" ref="Q81:Q144" ca="1" si="35">(Q80*13+O81)/14</f>
        <v>8.1910817408839973E-2</v>
      </c>
      <c r="R81">
        <f t="shared" ca="1" si="32"/>
        <v>1.2971740044081121</v>
      </c>
      <c r="S81">
        <f t="shared" ca="1" si="33"/>
        <v>56.468251944298878</v>
      </c>
      <c r="T81">
        <f>70</f>
        <v>70</v>
      </c>
      <c r="U81">
        <f>30</f>
        <v>30</v>
      </c>
      <c r="V81">
        <f t="shared" ca="1" si="31"/>
        <v>12.53553435824691</v>
      </c>
      <c r="W81">
        <f t="shared" ca="1" si="19"/>
        <v>12.517501102974737</v>
      </c>
      <c r="X81">
        <f t="shared" ca="1" si="18"/>
        <v>2.0858820320633242E-2</v>
      </c>
      <c r="Y81">
        <f t="shared" ca="1" si="20"/>
        <v>1.3271774375992133E-2</v>
      </c>
      <c r="Z81">
        <f t="shared" ca="1" si="21"/>
        <v>7.587045944641109E-3</v>
      </c>
      <c r="AB81" s="18">
        <f t="shared" ca="1" si="29"/>
        <v>6.9516912382012741E-3</v>
      </c>
      <c r="AC81" s="18">
        <f t="shared" ca="1" si="30"/>
        <v>6.9276396345456775E-3</v>
      </c>
      <c r="AD81" s="18">
        <f t="shared" ca="1" si="25"/>
        <v>7.2370400080217001E-2</v>
      </c>
    </row>
    <row r="82" spans="1:30" x14ac:dyDescent="0.25">
      <c r="A82" vm="223">
        <f ca="1"/>
        <v>45408</v>
      </c>
      <c r="B82" vm="224">
        <f ca="1"/>
        <v>12.5877</v>
      </c>
      <c r="C82" vm="225">
        <f ca="1"/>
        <v>58178174</v>
      </c>
      <c r="D82">
        <f t="shared" ca="1" si="22"/>
        <v>732329400.85979998</v>
      </c>
      <c r="E82">
        <f ca="1">SUM($D$2:D82)/SUM($C$2:C82)</f>
        <v>12.119303488643849</v>
      </c>
      <c r="F82">
        <f ca="1">_xlfn.STDEV.P($B$2:B82)</f>
        <v>0.61316381304741818</v>
      </c>
      <c r="G82">
        <f t="shared" ca="1" si="23"/>
        <v>12.732467301691267</v>
      </c>
      <c r="H82">
        <f t="shared" ca="1" si="24"/>
        <v>11.506139675596431</v>
      </c>
      <c r="I82">
        <f t="shared" ca="1" si="14"/>
        <v>12.672790000000001</v>
      </c>
      <c r="J82">
        <f t="shared" ca="1" si="15"/>
        <v>0.50748214892120513</v>
      </c>
      <c r="K82">
        <f t="shared" ca="1" si="16"/>
        <v>13.68775429784241</v>
      </c>
      <c r="L82">
        <f t="shared" ca="1" si="17"/>
        <v>11.657825702157592</v>
      </c>
      <c r="M82">
        <f t="shared" ca="1" si="26"/>
        <v>-0.24600000000000044</v>
      </c>
      <c r="N82">
        <f t="shared" ca="1" si="27"/>
        <v>0</v>
      </c>
      <c r="O82">
        <f t="shared" ca="1" si="28"/>
        <v>0.24600000000000044</v>
      </c>
      <c r="P82">
        <f t="shared" ca="1" si="34"/>
        <v>9.8663112806669034E-2</v>
      </c>
      <c r="Q82">
        <f t="shared" ca="1" si="35"/>
        <v>9.3631473308208577E-2</v>
      </c>
      <c r="R82">
        <f t="shared" ca="1" si="32"/>
        <v>1.0537387624126955</v>
      </c>
      <c r="S82">
        <f t="shared" ca="1" si="33"/>
        <v>51.308315434178304</v>
      </c>
      <c r="T82">
        <f>70</f>
        <v>70</v>
      </c>
      <c r="U82">
        <f>30</f>
        <v>30</v>
      </c>
      <c r="V82">
        <f t="shared" ca="1" si="31"/>
        <v>12.543559841593538</v>
      </c>
      <c r="W82">
        <f t="shared" ca="1" si="19"/>
        <v>12.522701021272905</v>
      </c>
      <c r="X82">
        <f t="shared" ca="1" si="18"/>
        <v>1.9691854813638443E-2</v>
      </c>
      <c r="Y82">
        <f t="shared" ca="1" si="20"/>
        <v>1.4555790463521397E-2</v>
      </c>
      <c r="Z82">
        <f t="shared" ca="1" si="21"/>
        <v>5.1360643501170457E-3</v>
      </c>
      <c r="AB82" s="18">
        <f t="shared" ca="1" si="29"/>
        <v>-1.9168283503588235E-2</v>
      </c>
      <c r="AC82" s="18">
        <f t="shared" ca="1" si="30"/>
        <v>-1.9354376949039288E-2</v>
      </c>
      <c r="AD82" s="18">
        <f t="shared" ca="1" si="25"/>
        <v>5.1814900230622962E-2</v>
      </c>
    </row>
    <row r="83" spans="1:30" x14ac:dyDescent="0.25">
      <c r="A83" vm="226">
        <f ca="1"/>
        <v>45411</v>
      </c>
      <c r="B83" vm="227">
        <f ca="1"/>
        <v>12.548299999999999</v>
      </c>
      <c r="C83" vm="228">
        <f ca="1"/>
        <v>51195392</v>
      </c>
      <c r="D83">
        <f t="shared" ca="1" si="22"/>
        <v>642415137.43359995</v>
      </c>
      <c r="E83">
        <f ca="1">SUM($D$2:D83)/SUM($C$2:C83)</f>
        <v>12.124159337878503</v>
      </c>
      <c r="F83">
        <f ca="1">_xlfn.STDEV.P($B$2:B83)</f>
        <v>0.61127670473982965</v>
      </c>
      <c r="G83">
        <f t="shared" ca="1" si="23"/>
        <v>12.735436042618332</v>
      </c>
      <c r="H83">
        <f t="shared" ca="1" si="24"/>
        <v>11.512882633138673</v>
      </c>
      <c r="I83">
        <f t="shared" ca="1" si="14"/>
        <v>12.646215000000002</v>
      </c>
      <c r="J83">
        <f t="shared" ca="1" si="15"/>
        <v>0.49889037428340066</v>
      </c>
      <c r="K83">
        <f t="shared" ca="1" si="16"/>
        <v>13.643995748566804</v>
      </c>
      <c r="L83">
        <f t="shared" ca="1" si="17"/>
        <v>11.6484342514332</v>
      </c>
      <c r="M83">
        <f t="shared" ca="1" si="26"/>
        <v>-3.9400000000000546E-2</v>
      </c>
      <c r="N83">
        <f t="shared" ca="1" si="27"/>
        <v>0</v>
      </c>
      <c r="O83">
        <f t="shared" ca="1" si="28"/>
        <v>3.9400000000000546E-2</v>
      </c>
      <c r="P83">
        <f t="shared" ca="1" si="34"/>
        <v>9.1615747606192663E-2</v>
      </c>
      <c r="Q83">
        <f t="shared" ca="1" si="35"/>
        <v>8.9757796643336579E-2</v>
      </c>
      <c r="R83">
        <f t="shared" ca="1" si="32"/>
        <v>1.0206996052971185</v>
      </c>
      <c r="S83">
        <f t="shared" ca="1" si="33"/>
        <v>50.512189076566756</v>
      </c>
      <c r="T83">
        <f>70</f>
        <v>70</v>
      </c>
      <c r="U83">
        <f>30</f>
        <v>30</v>
      </c>
      <c r="V83">
        <f t="shared" ca="1" si="31"/>
        <v>12.544289096732994</v>
      </c>
      <c r="W83">
        <f t="shared" ca="1" si="19"/>
        <v>12.524597241919356</v>
      </c>
      <c r="X83">
        <f t="shared" ca="1" si="18"/>
        <v>-2.85522561085223E-2</v>
      </c>
      <c r="Y83">
        <f t="shared" ca="1" si="20"/>
        <v>5.9341811491126582E-3</v>
      </c>
      <c r="Z83">
        <f t="shared" ca="1" si="21"/>
        <v>-3.4486437257634957E-2</v>
      </c>
      <c r="AB83" s="18">
        <f t="shared" ca="1" si="29"/>
        <v>-3.1300396418726395E-3</v>
      </c>
      <c r="AC83" s="18">
        <f t="shared" ca="1" si="30"/>
        <v>-3.1349484618294642E-3</v>
      </c>
      <c r="AD83" s="18">
        <f t="shared" ca="1" si="25"/>
        <v>4.852267789698872E-2</v>
      </c>
    </row>
    <row r="84" spans="1:30" x14ac:dyDescent="0.25">
      <c r="A84" vm="229">
        <f ca="1"/>
        <v>45412</v>
      </c>
      <c r="B84" vm="230">
        <f ca="1"/>
        <v>11.957800000000001</v>
      </c>
      <c r="C84" vm="231">
        <f ca="1"/>
        <v>77110381</v>
      </c>
      <c r="D84">
        <f t="shared" ca="1" si="22"/>
        <v>922070513.92180002</v>
      </c>
      <c r="E84">
        <f ca="1">SUM($D$2:D84)/SUM($C$2:C84)</f>
        <v>12.121370657067761</v>
      </c>
      <c r="F84">
        <f ca="1">_xlfn.STDEV.P($B$2:B84)</f>
        <v>0.60783792154468308</v>
      </c>
      <c r="G84">
        <f t="shared" ca="1" si="23"/>
        <v>12.729208578612443</v>
      </c>
      <c r="H84">
        <f t="shared" ca="1" si="24"/>
        <v>11.513532735523079</v>
      </c>
      <c r="I84">
        <f t="shared" ca="1" si="14"/>
        <v>12.590610000000002</v>
      </c>
      <c r="J84">
        <f t="shared" ca="1" si="15"/>
        <v>0.51101078462200777</v>
      </c>
      <c r="K84">
        <f t="shared" ca="1" si="16"/>
        <v>13.612631569244018</v>
      </c>
      <c r="L84">
        <f t="shared" ca="1" si="17"/>
        <v>11.568588430755986</v>
      </c>
      <c r="M84">
        <f t="shared" ca="1" si="26"/>
        <v>-0.59049999999999869</v>
      </c>
      <c r="N84">
        <f t="shared" ca="1" si="27"/>
        <v>0</v>
      </c>
      <c r="O84">
        <f t="shared" ca="1" si="28"/>
        <v>0.59049999999999869</v>
      </c>
      <c r="P84">
        <f t="shared" ca="1" si="34"/>
        <v>8.5071765634321755E-2</v>
      </c>
      <c r="Q84">
        <f t="shared" ca="1" si="35"/>
        <v>0.12552509688309815</v>
      </c>
      <c r="R84">
        <f t="shared" ca="1" si="32"/>
        <v>0.67772714577985393</v>
      </c>
      <c r="S84">
        <f t="shared" ca="1" si="33"/>
        <v>40.395552249637568</v>
      </c>
      <c r="T84">
        <f>70</f>
        <v>70</v>
      </c>
      <c r="U84">
        <f>30</f>
        <v>30</v>
      </c>
      <c r="V84">
        <f t="shared" ca="1" si="31"/>
        <v>12.454060004927918</v>
      </c>
      <c r="W84">
        <f t="shared" ca="1" si="19"/>
        <v>12.48261226103644</v>
      </c>
      <c r="X84">
        <f t="shared" ca="1" si="18"/>
        <v>-6.2100180550574535E-2</v>
      </c>
      <c r="Y84">
        <f t="shared" ca="1" si="20"/>
        <v>-7.6726911908247802E-3</v>
      </c>
      <c r="Z84">
        <f t="shared" ca="1" si="21"/>
        <v>-5.4427489359749753E-2</v>
      </c>
      <c r="AB84" s="18">
        <f t="shared" ca="1" si="29"/>
        <v>-4.7058167241777693E-2</v>
      </c>
      <c r="AC84" s="18">
        <f t="shared" ca="1" si="30"/>
        <v>-4.8201413121214891E-2</v>
      </c>
      <c r="AD84" s="18">
        <f t="shared" ca="1" si="25"/>
        <v>-8.1887763628440968E-4</v>
      </c>
    </row>
    <row r="85" spans="1:30" x14ac:dyDescent="0.25">
      <c r="A85" vm="232">
        <f ca="1"/>
        <v>45413</v>
      </c>
      <c r="B85" vm="233">
        <f ca="1"/>
        <v>12.007</v>
      </c>
      <c r="C85" vm="234">
        <f ca="1"/>
        <v>49569150</v>
      </c>
      <c r="D85">
        <f t="shared" ca="1" si="22"/>
        <v>595176784.04999995</v>
      </c>
      <c r="E85">
        <f ca="1">SUM($D$2:D85)/SUM($C$2:C85)</f>
        <v>12.120151358620205</v>
      </c>
      <c r="F85">
        <f ca="1">_xlfn.STDEV.P($B$2:B85)</f>
        <v>0.60432709124518702</v>
      </c>
      <c r="G85">
        <f t="shared" ca="1" si="23"/>
        <v>12.724478449865392</v>
      </c>
      <c r="H85">
        <f t="shared" ca="1" si="24"/>
        <v>11.515824267375018</v>
      </c>
      <c r="I85">
        <f t="shared" ca="1" si="14"/>
        <v>12.519255000000001</v>
      </c>
      <c r="J85">
        <f t="shared" ca="1" si="15"/>
        <v>0.48605841913888237</v>
      </c>
      <c r="K85">
        <f t="shared" ca="1" si="16"/>
        <v>13.491371838277766</v>
      </c>
      <c r="L85">
        <f t="shared" ca="1" si="17"/>
        <v>11.547138161722236</v>
      </c>
      <c r="M85">
        <f t="shared" ca="1" si="26"/>
        <v>4.9199999999999022E-2</v>
      </c>
      <c r="N85">
        <f t="shared" ca="1" si="27"/>
        <v>4.9199999999999022E-2</v>
      </c>
      <c r="O85">
        <f t="shared" ca="1" si="28"/>
        <v>0</v>
      </c>
      <c r="P85">
        <f t="shared" ca="1" si="34"/>
        <v>8.2509496660441564E-2</v>
      </c>
      <c r="Q85">
        <f t="shared" ca="1" si="35"/>
        <v>0.11655901853430542</v>
      </c>
      <c r="R85">
        <f t="shared" ca="1" si="32"/>
        <v>0.70787741436032714</v>
      </c>
      <c r="S85">
        <f t="shared" ca="1" si="33"/>
        <v>41.447788255075523</v>
      </c>
      <c r="T85">
        <f>70</f>
        <v>70</v>
      </c>
      <c r="U85">
        <f>30</f>
        <v>30</v>
      </c>
      <c r="V85">
        <f t="shared" ca="1" si="31"/>
        <v>12.385281542631315</v>
      </c>
      <c r="W85">
        <f t="shared" ca="1" si="19"/>
        <v>12.44738172318189</v>
      </c>
      <c r="X85">
        <f t="shared" ca="1" si="18"/>
        <v>-6.4909521004597792E-2</v>
      </c>
      <c r="Y85">
        <f t="shared" ca="1" si="20"/>
        <v>-1.9120057153579385E-2</v>
      </c>
      <c r="Z85">
        <f t="shared" ca="1" si="21"/>
        <v>-4.5789463851018411E-2</v>
      </c>
      <c r="AB85" s="18">
        <f t="shared" ca="1" si="29"/>
        <v>4.1144692167454089E-3</v>
      </c>
      <c r="AC85" s="18">
        <f t="shared" ca="1" si="30"/>
        <v>4.1060279346196897E-3</v>
      </c>
      <c r="AD85" s="18">
        <f t="shared" ca="1" si="25"/>
        <v>3.2922223336342427E-3</v>
      </c>
    </row>
    <row r="86" spans="1:30" x14ac:dyDescent="0.25">
      <c r="A86" vm="235">
        <f ca="1"/>
        <v>45414</v>
      </c>
      <c r="B86" vm="236">
        <f ca="1"/>
        <v>12.292400000000001</v>
      </c>
      <c r="C86" vm="237">
        <f ca="1"/>
        <v>47622016</v>
      </c>
      <c r="D86">
        <f t="shared" ca="1" si="22"/>
        <v>585388869.47839999</v>
      </c>
      <c r="E86">
        <f ca="1">SUM($D$2:D86)/SUM($C$2:C86)</f>
        <v>12.121897671367732</v>
      </c>
      <c r="F86">
        <f ca="1">_xlfn.STDEV.P($B$2:B86)</f>
        <v>0.60106329497605671</v>
      </c>
      <c r="G86">
        <f t="shared" ca="1" si="23"/>
        <v>12.722960966343788</v>
      </c>
      <c r="H86">
        <f t="shared" ca="1" si="24"/>
        <v>11.520834376391676</v>
      </c>
      <c r="I86">
        <f t="shared" ref="I86:I149" ca="1" si="36">AVERAGE(B67:B86)</f>
        <v>12.483825000000001</v>
      </c>
      <c r="J86">
        <f t="shared" ref="J86:J149" ca="1" si="37">_xlfn.STDEV.S(B67:B86)</f>
        <v>0.47478982593963559</v>
      </c>
      <c r="K86">
        <f t="shared" ref="K86:K149" ca="1" si="38">I86 + 2*J86</f>
        <v>13.433404651879272</v>
      </c>
      <c r="L86">
        <f t="shared" ref="L86:L149" ca="1" si="39">I86-2*J86</f>
        <v>11.534245348120731</v>
      </c>
      <c r="M86">
        <f t="shared" ca="1" si="26"/>
        <v>0.28540000000000099</v>
      </c>
      <c r="N86">
        <f t="shared" ca="1" si="27"/>
        <v>0.28540000000000099</v>
      </c>
      <c r="O86">
        <f t="shared" ca="1" si="28"/>
        <v>0</v>
      </c>
      <c r="P86">
        <f t="shared" ca="1" si="34"/>
        <v>9.7001675470410095E-2</v>
      </c>
      <c r="Q86">
        <f t="shared" ca="1" si="35"/>
        <v>0.1082333743532836</v>
      </c>
      <c r="R86">
        <f t="shared" ca="1" si="32"/>
        <v>0.89622702840057245</v>
      </c>
      <c r="S86">
        <f t="shared" ca="1" si="33"/>
        <v>47.263698648812166</v>
      </c>
      <c r="T86">
        <f>70</f>
        <v>70</v>
      </c>
      <c r="U86">
        <f>30</f>
        <v>30</v>
      </c>
      <c r="V86">
        <f t="shared" ca="1" si="31"/>
        <v>12.37099207453419</v>
      </c>
      <c r="W86">
        <f t="shared" ca="1" si="19"/>
        <v>12.435901595538787</v>
      </c>
      <c r="X86">
        <f t="shared" ca="1" si="18"/>
        <v>-7.1077414283337248E-2</v>
      </c>
      <c r="Y86">
        <f t="shared" ca="1" si="20"/>
        <v>-2.951152857953096E-2</v>
      </c>
      <c r="Z86">
        <f t="shared" ca="1" si="21"/>
        <v>-4.1565885703806288E-2</v>
      </c>
      <c r="AB86" s="18">
        <f t="shared" ca="1" si="29"/>
        <v>2.3769467810444089E-2</v>
      </c>
      <c r="AC86" s="18">
        <f t="shared" ca="1" si="30"/>
        <v>2.3491372180594904E-2</v>
      </c>
      <c r="AD86" s="18">
        <f t="shared" ca="1" si="25"/>
        <v>2.7139944516862524E-2</v>
      </c>
    </row>
    <row r="87" spans="1:30" x14ac:dyDescent="0.25">
      <c r="A87" vm="238">
        <f ca="1"/>
        <v>45415</v>
      </c>
      <c r="B87" vm="239">
        <f ca="1"/>
        <v>12.2334</v>
      </c>
      <c r="C87" vm="240">
        <f ca="1"/>
        <v>48226256</v>
      </c>
      <c r="D87">
        <f t="shared" ca="1" si="22"/>
        <v>589971080.15039992</v>
      </c>
      <c r="E87">
        <f ca="1">SUM($D$2:D87)/SUM($C$2:C87)</f>
        <v>12.123030827558793</v>
      </c>
      <c r="F87">
        <f ca="1">_xlfn.STDEV.P($B$2:B87)</f>
        <v>0.59768676786287211</v>
      </c>
      <c r="G87">
        <f t="shared" ca="1" si="23"/>
        <v>12.720717595421664</v>
      </c>
      <c r="H87">
        <f t="shared" ca="1" si="24"/>
        <v>11.525344059695922</v>
      </c>
      <c r="I87">
        <f t="shared" ca="1" si="36"/>
        <v>12.442</v>
      </c>
      <c r="J87">
        <f t="shared" ca="1" si="37"/>
        <v>0.45695354825535373</v>
      </c>
      <c r="K87">
        <f t="shared" ca="1" si="38"/>
        <v>13.355907096510707</v>
      </c>
      <c r="L87">
        <f t="shared" ca="1" si="39"/>
        <v>11.528092903489293</v>
      </c>
      <c r="M87">
        <f t="shared" ca="1" si="26"/>
        <v>-5.9000000000001052E-2</v>
      </c>
      <c r="N87">
        <f t="shared" ca="1" si="27"/>
        <v>0</v>
      </c>
      <c r="O87">
        <f t="shared" ca="1" si="28"/>
        <v>5.9000000000001052E-2</v>
      </c>
      <c r="P87">
        <f t="shared" ca="1" si="34"/>
        <v>9.0072984365380804E-2</v>
      </c>
      <c r="Q87">
        <f t="shared" ca="1" si="35"/>
        <v>0.10471670475662057</v>
      </c>
      <c r="R87">
        <f t="shared" ca="1" si="32"/>
        <v>0.86015869745639673</v>
      </c>
      <c r="S87">
        <f t="shared" ca="1" si="33"/>
        <v>46.241145910431626</v>
      </c>
      <c r="T87">
        <f>70</f>
        <v>70</v>
      </c>
      <c r="U87">
        <f>30</f>
        <v>30</v>
      </c>
      <c r="V87">
        <f t="shared" ca="1" si="31"/>
        <v>12.349824063067391</v>
      </c>
      <c r="W87">
        <f t="shared" ca="1" si="19"/>
        <v>12.420901477350728</v>
      </c>
      <c r="X87">
        <f t="shared" ca="1" si="18"/>
        <v>-6.9603513982825049E-2</v>
      </c>
      <c r="Y87">
        <f t="shared" ca="1" si="20"/>
        <v>-3.7529925660189777E-2</v>
      </c>
      <c r="Z87">
        <f t="shared" ca="1" si="21"/>
        <v>-3.2073588322635273E-2</v>
      </c>
      <c r="AB87" s="18">
        <f t="shared" ca="1" si="29"/>
        <v>-4.799713644202952E-3</v>
      </c>
      <c r="AC87" s="18">
        <f t="shared" ca="1" si="30"/>
        <v>-4.8112692603291185E-3</v>
      </c>
      <c r="AD87" s="18">
        <f t="shared" ca="1" si="25"/>
        <v>2.2209966910659018E-2</v>
      </c>
    </row>
    <row r="88" spans="1:30" x14ac:dyDescent="0.25">
      <c r="A88" vm="241">
        <f ca="1"/>
        <v>45418</v>
      </c>
      <c r="B88" vm="242">
        <f ca="1"/>
        <v>12.302300000000001</v>
      </c>
      <c r="C88" vm="243">
        <f ca="1"/>
        <v>30259005</v>
      </c>
      <c r="D88">
        <f t="shared" ca="1" si="22"/>
        <v>372255357.21150005</v>
      </c>
      <c r="E88">
        <f ca="1">SUM($D$2:D88)/SUM($C$2:C88)</f>
        <v>12.124166680470307</v>
      </c>
      <c r="F88">
        <f ca="1">_xlfn.STDEV.P($B$2:B88)</f>
        <v>0.59456209241426472</v>
      </c>
      <c r="G88">
        <f t="shared" ca="1" si="23"/>
        <v>12.718728772884571</v>
      </c>
      <c r="H88">
        <f t="shared" ca="1" si="24"/>
        <v>11.529604588056042</v>
      </c>
      <c r="I88">
        <f t="shared" ca="1" si="36"/>
        <v>12.397220000000001</v>
      </c>
      <c r="J88">
        <f t="shared" ca="1" si="37"/>
        <v>0.42148551027101872</v>
      </c>
      <c r="K88">
        <f t="shared" ca="1" si="38"/>
        <v>13.240191020542039</v>
      </c>
      <c r="L88">
        <f t="shared" ca="1" si="39"/>
        <v>11.554248979457963</v>
      </c>
      <c r="M88">
        <f t="shared" ca="1" si="26"/>
        <v>6.8900000000001071E-2</v>
      </c>
      <c r="N88">
        <f t="shared" ca="1" si="27"/>
        <v>6.8900000000001071E-2</v>
      </c>
      <c r="O88">
        <f t="shared" ca="1" si="28"/>
        <v>0</v>
      </c>
      <c r="P88">
        <f t="shared" ca="1" si="34"/>
        <v>8.8560628339282257E-2</v>
      </c>
      <c r="Q88">
        <f t="shared" ca="1" si="35"/>
        <v>9.723694013114767E-2</v>
      </c>
      <c r="R88">
        <f t="shared" ca="1" si="32"/>
        <v>0.91077144364926232</v>
      </c>
      <c r="S88">
        <f t="shared" ca="1" si="33"/>
        <v>47.665116970234656</v>
      </c>
      <c r="T88">
        <f>70</f>
        <v>70</v>
      </c>
      <c r="U88">
        <f>30</f>
        <v>30</v>
      </c>
      <c r="V88">
        <f t="shared" ca="1" si="31"/>
        <v>12.342512668749331</v>
      </c>
      <c r="W88">
        <f t="shared" ca="1" si="19"/>
        <v>12.412116182732156</v>
      </c>
      <c r="X88">
        <f t="shared" ca="1" si="18"/>
        <v>-9.3565517861538439E-2</v>
      </c>
      <c r="Y88">
        <f t="shared" ca="1" si="20"/>
        <v>-4.8737044100459509E-2</v>
      </c>
      <c r="Z88">
        <f t="shared" ca="1" si="21"/>
        <v>-4.482847376107893E-2</v>
      </c>
      <c r="AB88" s="18">
        <f t="shared" ca="1" si="29"/>
        <v>5.6321218957935404E-3</v>
      </c>
      <c r="AC88" s="18">
        <f t="shared" ca="1" si="30"/>
        <v>5.6163207986434224E-3</v>
      </c>
      <c r="AD88" s="18">
        <f t="shared" ca="1" si="25"/>
        <v>2.7967178047394903E-2</v>
      </c>
    </row>
    <row r="89" spans="1:30" x14ac:dyDescent="0.25">
      <c r="A89" vm="244">
        <f ca="1"/>
        <v>45419</v>
      </c>
      <c r="B89" vm="245">
        <f ca="1"/>
        <v>11.977499999999999</v>
      </c>
      <c r="C89" vm="246">
        <f ca="1"/>
        <v>48876141</v>
      </c>
      <c r="D89">
        <f t="shared" ca="1" si="22"/>
        <v>585413978.82749999</v>
      </c>
      <c r="E89">
        <f ca="1">SUM($D$2:D89)/SUM($C$2:C89)</f>
        <v>12.122680853988392</v>
      </c>
      <c r="F89">
        <f ca="1">_xlfn.STDEV.P($B$2:B89)</f>
        <v>0.59137085772156983</v>
      </c>
      <c r="G89">
        <f t="shared" ca="1" si="23"/>
        <v>12.714051711709962</v>
      </c>
      <c r="H89">
        <f t="shared" ca="1" si="24"/>
        <v>11.531309996266822</v>
      </c>
      <c r="I89">
        <f t="shared" ca="1" si="36"/>
        <v>12.329804999999999</v>
      </c>
      <c r="J89">
        <f t="shared" ca="1" si="37"/>
        <v>0.36980500476958345</v>
      </c>
      <c r="K89">
        <f t="shared" ca="1" si="38"/>
        <v>13.069415009539165</v>
      </c>
      <c r="L89">
        <f t="shared" ca="1" si="39"/>
        <v>11.590194990460832</v>
      </c>
      <c r="M89">
        <f t="shared" ca="1" si="26"/>
        <v>-0.32480000000000153</v>
      </c>
      <c r="N89">
        <f t="shared" ca="1" si="27"/>
        <v>0</v>
      </c>
      <c r="O89">
        <f t="shared" ca="1" si="28"/>
        <v>0.32480000000000153</v>
      </c>
      <c r="P89">
        <f t="shared" ca="1" si="34"/>
        <v>8.2234869172190667E-2</v>
      </c>
      <c r="Q89">
        <f t="shared" ca="1" si="35"/>
        <v>0.11349144440749437</v>
      </c>
      <c r="R89">
        <f t="shared" ca="1" si="32"/>
        <v>0.72459091168955392</v>
      </c>
      <c r="S89">
        <f t="shared" ca="1" si="33"/>
        <v>42.015234266756273</v>
      </c>
      <c r="T89">
        <f>70</f>
        <v>70</v>
      </c>
      <c r="U89">
        <f>30</f>
        <v>30</v>
      </c>
      <c r="V89">
        <f t="shared" ca="1" si="31"/>
        <v>12.286356873557125</v>
      </c>
      <c r="W89">
        <f t="shared" ca="1" si="19"/>
        <v>12.379922391418663</v>
      </c>
      <c r="X89">
        <f t="shared" ca="1" si="18"/>
        <v>-0.11284440388774719</v>
      </c>
      <c r="Y89">
        <f t="shared" ca="1" si="20"/>
        <v>-6.1558516057917054E-2</v>
      </c>
      <c r="Z89">
        <f t="shared" ca="1" si="21"/>
        <v>-5.1285887829830137E-2</v>
      </c>
      <c r="AB89" s="18">
        <f t="shared" ca="1" si="29"/>
        <v>-2.6401567186623787E-2</v>
      </c>
      <c r="AC89" s="18">
        <f t="shared" ca="1" si="30"/>
        <v>-2.6756346992349959E-2</v>
      </c>
      <c r="AD89" s="18">
        <f t="shared" ca="1" si="25"/>
        <v>8.2723353053260062E-4</v>
      </c>
    </row>
    <row r="90" spans="1:30" x14ac:dyDescent="0.25">
      <c r="A90" vm="247">
        <f ca="1"/>
        <v>45420</v>
      </c>
      <c r="B90" vm="230">
        <f ca="1"/>
        <v>11.957800000000001</v>
      </c>
      <c r="C90" vm="248">
        <f ca="1"/>
        <v>38790820</v>
      </c>
      <c r="D90">
        <f t="shared" ca="1" si="22"/>
        <v>463852867.39600003</v>
      </c>
      <c r="E90">
        <f ca="1">SUM($D$2:D90)/SUM($C$2:C90)</f>
        <v>12.121365747123328</v>
      </c>
      <c r="F90">
        <f ca="1">_xlfn.STDEV.P($B$2:B90)</f>
        <v>0.58828679066394851</v>
      </c>
      <c r="G90">
        <f t="shared" ca="1" si="23"/>
        <v>12.709652537787276</v>
      </c>
      <c r="H90">
        <f t="shared" ca="1" si="24"/>
        <v>11.533078956459379</v>
      </c>
      <c r="I90">
        <f t="shared" ca="1" si="36"/>
        <v>12.285025000000001</v>
      </c>
      <c r="J90">
        <f t="shared" ca="1" si="37"/>
        <v>0.35707069309650868</v>
      </c>
      <c r="K90">
        <f t="shared" ca="1" si="38"/>
        <v>12.999166386193018</v>
      </c>
      <c r="L90">
        <f t="shared" ca="1" si="39"/>
        <v>11.570883613806984</v>
      </c>
      <c r="M90">
        <f t="shared" ca="1" si="26"/>
        <v>-1.9699999999998496E-2</v>
      </c>
      <c r="N90">
        <f t="shared" ca="1" si="27"/>
        <v>0</v>
      </c>
      <c r="O90">
        <f t="shared" ca="1" si="28"/>
        <v>1.9699999999998496E-2</v>
      </c>
      <c r="P90">
        <f t="shared" ca="1" si="34"/>
        <v>7.6360949945605619E-2</v>
      </c>
      <c r="Q90">
        <f t="shared" ca="1" si="35"/>
        <v>0.10679205552124467</v>
      </c>
      <c r="R90">
        <f t="shared" ca="1" si="32"/>
        <v>0.71504335760645377</v>
      </c>
      <c r="S90">
        <f t="shared" ca="1" si="33"/>
        <v>41.69243619615434</v>
      </c>
      <c r="T90">
        <f>70</f>
        <v>70</v>
      </c>
      <c r="U90">
        <f>30</f>
        <v>30</v>
      </c>
      <c r="V90">
        <f t="shared" ca="1" si="31"/>
        <v>12.235809662240644</v>
      </c>
      <c r="W90">
        <f t="shared" ca="1" si="19"/>
        <v>12.348654066128391</v>
      </c>
      <c r="X90">
        <f t="shared" ca="1" si="18"/>
        <v>-0.12823447808050226</v>
      </c>
      <c r="Y90">
        <f t="shared" ca="1" si="20"/>
        <v>-7.4893708462434094E-2</v>
      </c>
      <c r="Z90">
        <f t="shared" ca="1" si="21"/>
        <v>-5.3340769618068162E-2</v>
      </c>
      <c r="AB90" s="18">
        <f t="shared" ca="1" si="29"/>
        <v>-1.6447505739928259E-3</v>
      </c>
      <c r="AC90" s="18">
        <f t="shared" ca="1" si="30"/>
        <v>-1.6461046611789519E-3</v>
      </c>
      <c r="AD90" s="18">
        <f t="shared" ca="1" si="25"/>
        <v>-8.1887763628440968E-4</v>
      </c>
    </row>
    <row r="91" spans="1:30" x14ac:dyDescent="0.25">
      <c r="A91" vm="249">
        <f ca="1"/>
        <v>45421</v>
      </c>
      <c r="B91" vm="250">
        <f ca="1"/>
        <v>11.9381</v>
      </c>
      <c r="C91" vm="251">
        <f ca="1"/>
        <v>29571666</v>
      </c>
      <c r="D91">
        <f t="shared" ca="1" si="22"/>
        <v>353029505.87459999</v>
      </c>
      <c r="E91">
        <f ca="1">SUM($D$2:D91)/SUM($C$2:C91)</f>
        <v>12.120258138753474</v>
      </c>
      <c r="F91">
        <f ca="1">_xlfn.STDEV.P($B$2:B91)</f>
        <v>0.58531293069984758</v>
      </c>
      <c r="G91">
        <f t="shared" ca="1" si="23"/>
        <v>12.705571069453322</v>
      </c>
      <c r="H91">
        <f t="shared" ca="1" si="24"/>
        <v>11.534945208053626</v>
      </c>
      <c r="I91">
        <f t="shared" ca="1" si="36"/>
        <v>12.240244999999998</v>
      </c>
      <c r="J91">
        <f t="shared" ca="1" si="37"/>
        <v>0.34040980330215309</v>
      </c>
      <c r="K91">
        <f t="shared" ca="1" si="38"/>
        <v>12.921064606604304</v>
      </c>
      <c r="L91">
        <f t="shared" ca="1" si="39"/>
        <v>11.559425393395692</v>
      </c>
      <c r="M91">
        <f t="shared" ca="1" si="26"/>
        <v>-1.9700000000000273E-2</v>
      </c>
      <c r="N91">
        <f t="shared" ca="1" si="27"/>
        <v>0</v>
      </c>
      <c r="O91">
        <f t="shared" ca="1" si="28"/>
        <v>1.9700000000000273E-2</v>
      </c>
      <c r="P91">
        <f t="shared" ca="1" si="34"/>
        <v>7.0906596378062361E-2</v>
      </c>
      <c r="Q91">
        <f t="shared" ca="1" si="35"/>
        <v>0.10057119441258436</v>
      </c>
      <c r="R91">
        <f t="shared" ca="1" si="32"/>
        <v>0.7050388214260872</v>
      </c>
      <c r="S91">
        <f t="shared" ca="1" si="33"/>
        <v>41.350309011521261</v>
      </c>
      <c r="T91">
        <f>70</f>
        <v>70</v>
      </c>
      <c r="U91">
        <f>30</f>
        <v>30</v>
      </c>
      <c r="V91">
        <f t="shared" ca="1" si="31"/>
        <v>12.190008175742083</v>
      </c>
      <c r="W91">
        <f t="shared" ca="1" si="19"/>
        <v>12.318242653822585</v>
      </c>
      <c r="X91">
        <f t="shared" ca="1" si="18"/>
        <v>-0.14982345953544751</v>
      </c>
      <c r="Y91">
        <f t="shared" ca="1" si="20"/>
        <v>-8.9879658677036789E-2</v>
      </c>
      <c r="Z91">
        <f t="shared" ca="1" si="21"/>
        <v>-5.9943800858410723E-2</v>
      </c>
      <c r="AB91" s="18">
        <f t="shared" ca="1" si="29"/>
        <v>-1.6474602351603806E-3</v>
      </c>
      <c r="AC91" s="18">
        <f t="shared" ca="1" si="30"/>
        <v>-1.6488187900887755E-3</v>
      </c>
      <c r="AD91" s="18">
        <f t="shared" ca="1" si="25"/>
        <v>-2.464988803101531E-3</v>
      </c>
    </row>
    <row r="92" spans="1:30" x14ac:dyDescent="0.25">
      <c r="A92" vm="252">
        <f ca="1"/>
        <v>45422</v>
      </c>
      <c r="B92" vm="253">
        <f ca="1"/>
        <v>11.8003</v>
      </c>
      <c r="C92" vm="254">
        <f ca="1"/>
        <v>52274798</v>
      </c>
      <c r="D92">
        <f t="shared" ca="1" si="22"/>
        <v>616858298.83940005</v>
      </c>
      <c r="E92">
        <f ca="1">SUM($D$2:D92)/SUM($C$2:C92)</f>
        <v>12.116875937857273</v>
      </c>
      <c r="F92">
        <f ca="1">_xlfn.STDEV.P($B$2:B92)</f>
        <v>0.58301719382959039</v>
      </c>
      <c r="G92">
        <f t="shared" ca="1" si="23"/>
        <v>12.699893131686864</v>
      </c>
      <c r="H92">
        <f t="shared" ca="1" si="24"/>
        <v>11.533858744027683</v>
      </c>
      <c r="I92">
        <f t="shared" ca="1" si="36"/>
        <v>12.209734999999998</v>
      </c>
      <c r="J92">
        <f t="shared" ca="1" si="37"/>
        <v>0.3515114346796222</v>
      </c>
      <c r="K92">
        <f t="shared" ca="1" si="38"/>
        <v>12.912757869359243</v>
      </c>
      <c r="L92">
        <f t="shared" ca="1" si="39"/>
        <v>11.506712130640754</v>
      </c>
      <c r="M92">
        <f t="shared" ca="1" si="26"/>
        <v>-0.13780000000000037</v>
      </c>
      <c r="N92">
        <f t="shared" ca="1" si="27"/>
        <v>0</v>
      </c>
      <c r="O92">
        <f t="shared" ca="1" si="28"/>
        <v>0.13780000000000037</v>
      </c>
      <c r="P92">
        <f t="shared" ca="1" si="34"/>
        <v>6.5841839493915047E-2</v>
      </c>
      <c r="Q92">
        <f t="shared" ca="1" si="35"/>
        <v>0.1032303948116855</v>
      </c>
      <c r="R92">
        <f t="shared" ca="1" si="32"/>
        <v>0.63781446941111442</v>
      </c>
      <c r="S92">
        <f t="shared" ca="1" si="33"/>
        <v>38.943023237573691</v>
      </c>
      <c r="T92">
        <f>70</f>
        <v>70</v>
      </c>
      <c r="U92">
        <f>30</f>
        <v>30</v>
      </c>
      <c r="V92">
        <f t="shared" ca="1" si="31"/>
        <v>12.130053071781761</v>
      </c>
      <c r="W92">
        <f t="shared" ca="1" si="19"/>
        <v>12.279876531317209</v>
      </c>
      <c r="X92">
        <f t="shared" ref="X92:X155" ca="1" si="40">V93-W93</f>
        <v>-0.13833877595131128</v>
      </c>
      <c r="Y92">
        <f t="shared" ca="1" si="20"/>
        <v>-9.9571482131891681E-2</v>
      </c>
      <c r="Z92">
        <f t="shared" ca="1" si="21"/>
        <v>-3.8767293819419596E-2</v>
      </c>
      <c r="AB92" s="18">
        <f t="shared" ca="1" si="29"/>
        <v>-1.1542875331920555E-2</v>
      </c>
      <c r="AC92" s="18">
        <f t="shared" ca="1" si="30"/>
        <v>-1.1610011446617347E-2</v>
      </c>
      <c r="AD92" s="18">
        <f t="shared" ca="1" si="25"/>
        <v>-1.39794110765733E-2</v>
      </c>
    </row>
    <row r="93" spans="1:30" x14ac:dyDescent="0.25">
      <c r="A93" vm="255">
        <f ca="1"/>
        <v>45425</v>
      </c>
      <c r="B93" vm="256">
        <f ca="1"/>
        <v>12.1349</v>
      </c>
      <c r="C93" vm="257">
        <f ca="1"/>
        <v>61942205</v>
      </c>
      <c r="D93">
        <f t="shared" ca="1" si="22"/>
        <v>751662463.45449996</v>
      </c>
      <c r="E93">
        <f ca="1">SUM($D$2:D93)/SUM($C$2:C93)</f>
        <v>12.117098908237951</v>
      </c>
      <c r="F93">
        <f ca="1">_xlfn.STDEV.P($B$2:B93)</f>
        <v>0.57984464216319942</v>
      </c>
      <c r="G93">
        <f t="shared" ca="1" si="23"/>
        <v>12.69694355040115</v>
      </c>
      <c r="H93">
        <f t="shared" ca="1" si="24"/>
        <v>11.537254266074752</v>
      </c>
      <c r="I93">
        <f t="shared" ca="1" si="36"/>
        <v>12.214654999999997</v>
      </c>
      <c r="J93">
        <f t="shared" ca="1" si="37"/>
        <v>0.349642770289605</v>
      </c>
      <c r="K93">
        <f t="shared" ca="1" si="38"/>
        <v>12.913940540579206</v>
      </c>
      <c r="L93">
        <f t="shared" ca="1" si="39"/>
        <v>11.515369459420787</v>
      </c>
      <c r="M93">
        <f t="shared" ca="1" si="26"/>
        <v>0.33460000000000001</v>
      </c>
      <c r="N93">
        <f t="shared" ca="1" si="27"/>
        <v>0.33460000000000001</v>
      </c>
      <c r="O93">
        <f t="shared" ca="1" si="28"/>
        <v>0</v>
      </c>
      <c r="P93">
        <f t="shared" ca="1" si="34"/>
        <v>8.5038850958635406E-2</v>
      </c>
      <c r="Q93">
        <f t="shared" ca="1" si="35"/>
        <v>9.5856795182279395E-2</v>
      </c>
      <c r="R93">
        <f t="shared" ca="1" si="32"/>
        <v>0.88714473290002238</v>
      </c>
      <c r="S93">
        <f t="shared" ca="1" si="33"/>
        <v>47.009893699924376</v>
      </c>
      <c r="T93">
        <f>70</f>
        <v>70</v>
      </c>
      <c r="U93">
        <f>30</f>
        <v>30</v>
      </c>
      <c r="V93">
        <f t="shared" ca="1" si="31"/>
        <v>12.130798753046104</v>
      </c>
      <c r="W93">
        <f t="shared" ref="W93:W156" ca="1" si="41">B93*(2/(26+1)) + W92*(1-(2/(26+1)))</f>
        <v>12.269137528997415</v>
      </c>
      <c r="X93">
        <f t="shared" ca="1" si="40"/>
        <v>-0.11912497797568911</v>
      </c>
      <c r="Y93">
        <f t="shared" ca="1" si="20"/>
        <v>-0.10348218130065118</v>
      </c>
      <c r="Z93">
        <f t="shared" ca="1" si="21"/>
        <v>-1.5642796675037929E-2</v>
      </c>
      <c r="AB93" s="18">
        <f t="shared" ca="1" si="29"/>
        <v>2.8355211308187078E-2</v>
      </c>
      <c r="AC93" s="18">
        <f t="shared" ca="1" si="30"/>
        <v>2.7960643641067838E-2</v>
      </c>
      <c r="AD93" s="18">
        <f t="shared" ca="1" si="25"/>
        <v>1.3979411076573633E-2</v>
      </c>
    </row>
    <row r="94" spans="1:30" x14ac:dyDescent="0.25">
      <c r="A94" vm="258">
        <f ca="1"/>
        <v>45426</v>
      </c>
      <c r="B94" vm="115">
        <f ca="1"/>
        <v>12.2432</v>
      </c>
      <c r="C94" vm="259">
        <f ca="1"/>
        <v>40623062</v>
      </c>
      <c r="D94">
        <f t="shared" ca="1" si="22"/>
        <v>497356272.67839998</v>
      </c>
      <c r="E94">
        <f ca="1">SUM($D$2:D94)/SUM($C$2:C94)</f>
        <v>12.118113730844351</v>
      </c>
      <c r="F94">
        <f ca="1">_xlfn.STDEV.P($B$2:B94)</f>
        <v>0.57687584668867331</v>
      </c>
      <c r="G94">
        <f t="shared" ca="1" si="23"/>
        <v>12.694989577533025</v>
      </c>
      <c r="H94">
        <f t="shared" ca="1" si="24"/>
        <v>11.541237884155677</v>
      </c>
      <c r="I94">
        <f t="shared" ca="1" si="36"/>
        <v>12.231879999999997</v>
      </c>
      <c r="J94">
        <f t="shared" ca="1" si="37"/>
        <v>0.34165267928578852</v>
      </c>
      <c r="K94">
        <f t="shared" ca="1" si="38"/>
        <v>12.915185358571573</v>
      </c>
      <c r="L94">
        <f t="shared" ca="1" si="39"/>
        <v>11.54857464142842</v>
      </c>
      <c r="M94">
        <f t="shared" ca="1" si="26"/>
        <v>0.10829999999999984</v>
      </c>
      <c r="N94">
        <f t="shared" ca="1" si="27"/>
        <v>0.10829999999999984</v>
      </c>
      <c r="O94">
        <f t="shared" ca="1" si="28"/>
        <v>0</v>
      </c>
      <c r="P94">
        <f t="shared" ca="1" si="34"/>
        <v>8.6700361604447149E-2</v>
      </c>
      <c r="Q94">
        <f t="shared" ca="1" si="35"/>
        <v>8.900988124068801E-2</v>
      </c>
      <c r="R94">
        <f t="shared" ca="1" si="32"/>
        <v>0.97405322191144394</v>
      </c>
      <c r="S94">
        <f t="shared" ca="1" si="33"/>
        <v>49.342804494819241</v>
      </c>
      <c r="T94">
        <f>70</f>
        <v>70</v>
      </c>
      <c r="U94">
        <f>30</f>
        <v>30</v>
      </c>
      <c r="V94">
        <f t="shared" ca="1" si="31"/>
        <v>12.148091252577473</v>
      </c>
      <c r="W94">
        <f t="shared" ca="1" si="41"/>
        <v>12.267216230553162</v>
      </c>
      <c r="X94">
        <f t="shared" ca="1" si="40"/>
        <v>-0.11291673194948082</v>
      </c>
      <c r="Y94">
        <f t="shared" ca="1" si="20"/>
        <v>-0.1053690914304171</v>
      </c>
      <c r="Z94">
        <f t="shared" ca="1" si="21"/>
        <v>-7.5476405190637169E-3</v>
      </c>
      <c r="AB94" s="18">
        <f t="shared" ca="1" si="29"/>
        <v>8.9246718143536352E-3</v>
      </c>
      <c r="AC94" s="18">
        <f t="shared" ca="1" si="30"/>
        <v>8.8850823054190311E-3</v>
      </c>
      <c r="AD94" s="18">
        <f t="shared" ca="1" si="25"/>
        <v>2.3028844546943539E-2</v>
      </c>
    </row>
    <row r="95" spans="1:30" x14ac:dyDescent="0.25">
      <c r="A95" vm="260">
        <f ca="1"/>
        <v>45427</v>
      </c>
      <c r="B95" vm="261">
        <f ca="1"/>
        <v>12.1153</v>
      </c>
      <c r="C95" vm="262">
        <f ca="1"/>
        <v>51555472</v>
      </c>
      <c r="D95">
        <f t="shared" ca="1" si="22"/>
        <v>624610009.92159998</v>
      </c>
      <c r="E95">
        <f ca="1">SUM($D$2:D95)/SUM($C$2:C95)</f>
        <v>12.118085283430323</v>
      </c>
      <c r="F95">
        <f ca="1">_xlfn.STDEV.P($B$2:B95)</f>
        <v>0.57379916708531797</v>
      </c>
      <c r="G95">
        <f t="shared" ca="1" si="23"/>
        <v>12.691884450515641</v>
      </c>
      <c r="H95">
        <f t="shared" ca="1" si="24"/>
        <v>11.544286116345006</v>
      </c>
      <c r="I95">
        <f t="shared" ca="1" si="36"/>
        <v>12.245169999999998</v>
      </c>
      <c r="J95">
        <f t="shared" ca="1" si="37"/>
        <v>0.33099916218688696</v>
      </c>
      <c r="K95">
        <f t="shared" ca="1" si="38"/>
        <v>12.907168324373773</v>
      </c>
      <c r="L95">
        <f t="shared" ca="1" si="39"/>
        <v>11.583171675626224</v>
      </c>
      <c r="M95">
        <f t="shared" ca="1" si="26"/>
        <v>-0.12790000000000035</v>
      </c>
      <c r="N95">
        <f t="shared" ca="1" si="27"/>
        <v>0</v>
      </c>
      <c r="O95">
        <f t="shared" ca="1" si="28"/>
        <v>0.12790000000000035</v>
      </c>
      <c r="P95">
        <f t="shared" ca="1" si="34"/>
        <v>8.0507478632700927E-2</v>
      </c>
      <c r="Q95">
        <f t="shared" ca="1" si="35"/>
        <v>9.1787746866353173E-2</v>
      </c>
      <c r="R95">
        <f t="shared" ca="1" si="32"/>
        <v>0.87710485746995415</v>
      </c>
      <c r="S95">
        <f t="shared" ca="1" si="33"/>
        <v>46.726471032212622</v>
      </c>
      <c r="T95">
        <f>70</f>
        <v>70</v>
      </c>
      <c r="U95">
        <f>30</f>
        <v>30</v>
      </c>
      <c r="V95">
        <f t="shared" ca="1" si="31"/>
        <v>12.143046444488631</v>
      </c>
      <c r="W95">
        <f t="shared" ca="1" si="41"/>
        <v>12.255963176438112</v>
      </c>
      <c r="X95">
        <f t="shared" ca="1" si="40"/>
        <v>-0.10127760207767267</v>
      </c>
      <c r="Y95">
        <f t="shared" ca="1" si="20"/>
        <v>-0.10455079355986822</v>
      </c>
      <c r="Z95">
        <f t="shared" ca="1" si="21"/>
        <v>3.273191482195556E-3</v>
      </c>
      <c r="AB95" s="18">
        <f t="shared" ca="1" si="29"/>
        <v>-1.0446615263983272E-2</v>
      </c>
      <c r="AC95" s="18">
        <f t="shared" ca="1" si="30"/>
        <v>-1.0501564170964234E-2</v>
      </c>
      <c r="AD95" s="18">
        <f t="shared" ca="1" si="25"/>
        <v>1.234165580400437E-2</v>
      </c>
    </row>
    <row r="96" spans="1:30" x14ac:dyDescent="0.25">
      <c r="A96" vm="263">
        <f ca="1"/>
        <v>45428</v>
      </c>
      <c r="B96" vm="127">
        <f ca="1"/>
        <v>12.184100000000001</v>
      </c>
      <c r="C96" vm="264">
        <f ca="1"/>
        <v>42169353</v>
      </c>
      <c r="D96">
        <f t="shared" ca="1" si="22"/>
        <v>513795613.88730001</v>
      </c>
      <c r="E96">
        <f ca="1">SUM($D$2:D96)/SUM($C$2:C96)</f>
        <v>12.118626718671299</v>
      </c>
      <c r="F96">
        <f ca="1">_xlfn.STDEV.P($B$2:B96)</f>
        <v>0.57081588955787255</v>
      </c>
      <c r="G96">
        <f t="shared" ca="1" si="23"/>
        <v>12.689442608229172</v>
      </c>
      <c r="H96">
        <f t="shared" ca="1" si="24"/>
        <v>11.547810829113427</v>
      </c>
      <c r="I96">
        <f t="shared" ca="1" si="36"/>
        <v>12.260914999999999</v>
      </c>
      <c r="J96">
        <f t="shared" ca="1" si="37"/>
        <v>0.31946225092044589</v>
      </c>
      <c r="K96">
        <f t="shared" ca="1" si="38"/>
        <v>12.899839501840891</v>
      </c>
      <c r="L96">
        <f t="shared" ca="1" si="39"/>
        <v>11.621990498159107</v>
      </c>
      <c r="M96">
        <f t="shared" ca="1" si="26"/>
        <v>6.8800000000001305E-2</v>
      </c>
      <c r="N96">
        <f t="shared" ca="1" si="27"/>
        <v>6.8800000000001305E-2</v>
      </c>
      <c r="O96">
        <f t="shared" ca="1" si="28"/>
        <v>0</v>
      </c>
      <c r="P96">
        <f t="shared" ca="1" si="34"/>
        <v>7.9671230158936665E-2</v>
      </c>
      <c r="Q96">
        <f t="shared" ca="1" si="35"/>
        <v>8.5231479233042223E-2</v>
      </c>
      <c r="R96">
        <f t="shared" ca="1" si="32"/>
        <v>0.9347629640581202</v>
      </c>
      <c r="S96">
        <f t="shared" ca="1" si="33"/>
        <v>48.314081953350843</v>
      </c>
      <c r="T96">
        <f>70</f>
        <v>70</v>
      </c>
      <c r="U96">
        <f>30</f>
        <v>30</v>
      </c>
      <c r="V96">
        <f t="shared" ca="1" si="31"/>
        <v>12.149362376105763</v>
      </c>
      <c r="W96">
        <f t="shared" ca="1" si="41"/>
        <v>12.250639978183436</v>
      </c>
      <c r="X96">
        <f t="shared" ca="1" si="40"/>
        <v>-9.885403762451439E-2</v>
      </c>
      <c r="Y96">
        <f t="shared" ca="1" si="20"/>
        <v>-0.10341144237279745</v>
      </c>
      <c r="Z96">
        <f t="shared" ca="1" si="21"/>
        <v>4.5574047482830615E-3</v>
      </c>
      <c r="AB96" s="18">
        <f t="shared" ca="1" si="29"/>
        <v>5.6787698199798342E-3</v>
      </c>
      <c r="AC96" s="18">
        <f t="shared" ca="1" si="30"/>
        <v>5.6627063916283677E-3</v>
      </c>
      <c r="AD96" s="18">
        <f t="shared" ca="1" si="25"/>
        <v>1.8090511046492619E-2</v>
      </c>
    </row>
    <row r="97" spans="1:30" x14ac:dyDescent="0.25">
      <c r="A97" vm="265">
        <f ca="1"/>
        <v>45429</v>
      </c>
      <c r="B97" vm="266">
        <f ca="1"/>
        <v>12.085699999999999</v>
      </c>
      <c r="C97" vm="267">
        <f ca="1"/>
        <v>24397249</v>
      </c>
      <c r="D97">
        <f t="shared" ca="1" si="22"/>
        <v>294857832.23929995</v>
      </c>
      <c r="E97">
        <f ca="1">SUM($D$2:D97)/SUM($C$2:C97)</f>
        <v>12.118471214439028</v>
      </c>
      <c r="F97">
        <f ca="1">_xlfn.STDEV.P($B$2:B97)</f>
        <v>0.56784281248107282</v>
      </c>
      <c r="G97">
        <f t="shared" ca="1" si="23"/>
        <v>12.686314026920101</v>
      </c>
      <c r="H97">
        <f t="shared" ca="1" si="24"/>
        <v>11.550628401957955</v>
      </c>
      <c r="I97">
        <f t="shared" ca="1" si="36"/>
        <v>12.267804999999999</v>
      </c>
      <c r="J97">
        <f t="shared" ca="1" si="37"/>
        <v>0.31379166148224769</v>
      </c>
      <c r="K97">
        <f t="shared" ca="1" si="38"/>
        <v>12.895388322964495</v>
      </c>
      <c r="L97">
        <f t="shared" ca="1" si="39"/>
        <v>11.640221677035504</v>
      </c>
      <c r="M97">
        <f t="shared" ca="1" si="26"/>
        <v>-9.8400000000001597E-2</v>
      </c>
      <c r="N97">
        <f t="shared" ca="1" si="27"/>
        <v>0</v>
      </c>
      <c r="O97">
        <f t="shared" ca="1" si="28"/>
        <v>9.8400000000001597E-2</v>
      </c>
      <c r="P97">
        <f t="shared" ca="1" si="34"/>
        <v>7.39804280047269E-2</v>
      </c>
      <c r="Q97">
        <f t="shared" ca="1" si="35"/>
        <v>8.6172087859253607E-2</v>
      </c>
      <c r="R97">
        <f t="shared" ca="1" si="32"/>
        <v>0.85851961862129234</v>
      </c>
      <c r="S97">
        <f t="shared" ca="1" si="33"/>
        <v>46.193734519637133</v>
      </c>
      <c r="T97">
        <f>70</f>
        <v>70</v>
      </c>
      <c r="U97">
        <f>30</f>
        <v>30</v>
      </c>
      <c r="V97">
        <f t="shared" ca="1" si="31"/>
        <v>12.139568164397184</v>
      </c>
      <c r="W97">
        <f t="shared" ca="1" si="41"/>
        <v>12.238422202021699</v>
      </c>
      <c r="X97">
        <f t="shared" ca="1" si="40"/>
        <v>-0.10603154082931177</v>
      </c>
      <c r="Y97">
        <f t="shared" ca="1" si="20"/>
        <v>-0.10393546206410033</v>
      </c>
      <c r="Z97">
        <f t="shared" ca="1" si="21"/>
        <v>-2.0960787652114371E-3</v>
      </c>
      <c r="AB97" s="18">
        <f t="shared" ca="1" si="29"/>
        <v>-8.0760991784376568E-3</v>
      </c>
      <c r="AC97" s="18">
        <f t="shared" ca="1" si="30"/>
        <v>-8.1088875213374163E-3</v>
      </c>
      <c r="AD97" s="18">
        <f t="shared" ca="1" si="25"/>
        <v>9.8683111066548701E-3</v>
      </c>
    </row>
    <row r="98" spans="1:30" x14ac:dyDescent="0.25">
      <c r="A98" vm="268">
        <f ca="1"/>
        <v>45432</v>
      </c>
      <c r="B98" vm="230">
        <f ca="1"/>
        <v>11.957800000000001</v>
      </c>
      <c r="C98" vm="269">
        <f ca="1"/>
        <v>27453391</v>
      </c>
      <c r="D98">
        <f t="shared" ca="1" si="22"/>
        <v>328282158.8998</v>
      </c>
      <c r="E98">
        <f ca="1">SUM($D$2:D98)/SUM($C$2:C98)</f>
        <v>12.117621867553813</v>
      </c>
      <c r="F98">
        <f ca="1">_xlfn.STDEV.P($B$2:B98)</f>
        <v>0.56512999958323851</v>
      </c>
      <c r="G98">
        <f t="shared" ca="1" si="23"/>
        <v>12.682751867137052</v>
      </c>
      <c r="H98">
        <f t="shared" ca="1" si="24"/>
        <v>11.552491867970575</v>
      </c>
      <c r="I98">
        <f t="shared" ca="1" si="36"/>
        <v>12.231884999999998</v>
      </c>
      <c r="J98">
        <f t="shared" ca="1" si="37"/>
        <v>0.30559266193139495</v>
      </c>
      <c r="K98">
        <f t="shared" ca="1" si="38"/>
        <v>12.843070323862788</v>
      </c>
      <c r="L98">
        <f t="shared" ca="1" si="39"/>
        <v>11.620699676137209</v>
      </c>
      <c r="M98">
        <f t="shared" ca="1" si="26"/>
        <v>-0.12789999999999857</v>
      </c>
      <c r="N98">
        <f t="shared" ca="1" si="27"/>
        <v>0</v>
      </c>
      <c r="O98">
        <f t="shared" ca="1" si="28"/>
        <v>0.12789999999999857</v>
      </c>
      <c r="P98">
        <f t="shared" ca="1" si="34"/>
        <v>6.8696111718674985E-2</v>
      </c>
      <c r="Q98">
        <f t="shared" ca="1" si="35"/>
        <v>8.9152653012163949E-2</v>
      </c>
      <c r="R98">
        <f t="shared" ca="1" si="32"/>
        <v>0.77054478355570777</v>
      </c>
      <c r="S98">
        <f t="shared" ca="1" si="33"/>
        <v>43.520208622357259</v>
      </c>
      <c r="T98">
        <f>70</f>
        <v>70</v>
      </c>
      <c r="U98">
        <f>30</f>
        <v>30</v>
      </c>
      <c r="V98">
        <f t="shared" ca="1" si="31"/>
        <v>12.111603831413001</v>
      </c>
      <c r="W98">
        <f t="shared" ca="1" si="41"/>
        <v>12.217635372242313</v>
      </c>
      <c r="X98">
        <f t="shared" ca="1" si="40"/>
        <v>-0.11044660412846241</v>
      </c>
      <c r="Y98">
        <f t="shared" ca="1" si="20"/>
        <v>-0.10523769047697275</v>
      </c>
      <c r="Z98">
        <f t="shared" ca="1" si="21"/>
        <v>-5.2089136514896633E-3</v>
      </c>
      <c r="AB98" s="18">
        <f t="shared" ca="1" si="29"/>
        <v>-1.0582754825951168E-2</v>
      </c>
      <c r="AC98" s="18">
        <f t="shared" ca="1" si="30"/>
        <v>-1.0639150409107487E-2</v>
      </c>
      <c r="AD98" s="18">
        <f t="shared" ca="1" si="25"/>
        <v>-8.1887763628418764E-4</v>
      </c>
    </row>
    <row r="99" spans="1:30" x14ac:dyDescent="0.25">
      <c r="A99" vm="270">
        <f ca="1"/>
        <v>45433</v>
      </c>
      <c r="B99" vm="230">
        <f ca="1"/>
        <v>11.957800000000001</v>
      </c>
      <c r="C99" vm="271">
        <f ca="1"/>
        <v>33379033</v>
      </c>
      <c r="D99">
        <f t="shared" ca="1" si="22"/>
        <v>399139800.80740005</v>
      </c>
      <c r="E99">
        <f ca="1">SUM($D$2:D99)/SUM($C$2:C99)</f>
        <v>12.116601213431048</v>
      </c>
      <c r="F99">
        <f ca="1">_xlfn.STDEV.P($B$2:B99)</f>
        <v>0.56245536329813073</v>
      </c>
      <c r="G99">
        <f t="shared" ca="1" si="23"/>
        <v>12.679056576729179</v>
      </c>
      <c r="H99">
        <f t="shared" ca="1" si="24"/>
        <v>11.554145850132917</v>
      </c>
      <c r="I99">
        <f t="shared" ca="1" si="36"/>
        <v>12.193009999999997</v>
      </c>
      <c r="J99">
        <f t="shared" ca="1" si="37"/>
        <v>0.28707428325306877</v>
      </c>
      <c r="K99">
        <f t="shared" ca="1" si="38"/>
        <v>12.767158566506135</v>
      </c>
      <c r="L99">
        <f t="shared" ca="1" si="39"/>
        <v>11.61886143349386</v>
      </c>
      <c r="M99">
        <f t="shared" ca="1" si="26"/>
        <v>0</v>
      </c>
      <c r="N99">
        <f t="shared" ca="1" si="27"/>
        <v>0</v>
      </c>
      <c r="O99">
        <f t="shared" ca="1" si="28"/>
        <v>0</v>
      </c>
      <c r="P99">
        <f t="shared" ca="1" si="34"/>
        <v>6.378924659591248E-2</v>
      </c>
      <c r="Q99">
        <f t="shared" ca="1" si="35"/>
        <v>8.2784606368437957E-2</v>
      </c>
      <c r="R99">
        <f t="shared" ca="1" si="32"/>
        <v>0.77054478355570766</v>
      </c>
      <c r="S99">
        <f t="shared" ca="1" si="33"/>
        <v>43.520208622357252</v>
      </c>
      <c r="T99">
        <f>70</f>
        <v>70</v>
      </c>
      <c r="U99">
        <f>30</f>
        <v>30</v>
      </c>
      <c r="V99">
        <f t="shared" ca="1" si="31"/>
        <v>12.087941703503308</v>
      </c>
      <c r="W99">
        <f t="shared" ca="1" si="41"/>
        <v>12.19838830763177</v>
      </c>
      <c r="X99">
        <f t="shared" ca="1" si="40"/>
        <v>-0.12206813116764437</v>
      </c>
      <c r="Y99">
        <f t="shared" ca="1" si="20"/>
        <v>-0.10860377861510707</v>
      </c>
      <c r="Z99">
        <f t="shared" ca="1" si="21"/>
        <v>-1.3464352552537293E-2</v>
      </c>
      <c r="AB99" s="18">
        <f t="shared" ca="1" si="29"/>
        <v>0</v>
      </c>
      <c r="AC99" s="18">
        <f t="shared" ca="1" si="30"/>
        <v>0</v>
      </c>
      <c r="AD99" s="18">
        <f t="shared" ca="1" si="25"/>
        <v>-8.1887763628418764E-4</v>
      </c>
    </row>
    <row r="100" spans="1:30" x14ac:dyDescent="0.25">
      <c r="A100" vm="272">
        <f ca="1"/>
        <v>45434</v>
      </c>
      <c r="B100" vm="273">
        <f ca="1"/>
        <v>11.839700000000001</v>
      </c>
      <c r="C100" vm="274">
        <f ca="1"/>
        <v>35972078</v>
      </c>
      <c r="D100">
        <f t="shared" ca="1" si="22"/>
        <v>425898611.89660001</v>
      </c>
      <c r="E100">
        <f ca="1">SUM($D$2:D100)/SUM($C$2:C100)</f>
        <v>12.114708519815771</v>
      </c>
      <c r="F100">
        <f ca="1">_xlfn.STDEV.P($B$2:B100)</f>
        <v>0.56026627011923824</v>
      </c>
      <c r="G100">
        <f t="shared" ca="1" si="23"/>
        <v>12.674974789935009</v>
      </c>
      <c r="H100">
        <f t="shared" ca="1" si="24"/>
        <v>11.554442249696534</v>
      </c>
      <c r="I100">
        <f t="shared" ca="1" si="36"/>
        <v>12.147739999999999</v>
      </c>
      <c r="J100">
        <f t="shared" ca="1" si="37"/>
        <v>0.26604890409174964</v>
      </c>
      <c r="K100">
        <f t="shared" ca="1" si="38"/>
        <v>12.679837808183498</v>
      </c>
      <c r="L100">
        <f t="shared" ca="1" si="39"/>
        <v>11.6156421918165</v>
      </c>
      <c r="M100">
        <f t="shared" ca="1" si="26"/>
        <v>-0.11810000000000009</v>
      </c>
      <c r="N100">
        <f t="shared" ca="1" si="27"/>
        <v>0</v>
      </c>
      <c r="O100">
        <f t="shared" ca="1" si="28"/>
        <v>0.11810000000000009</v>
      </c>
      <c r="P100">
        <f t="shared" ca="1" si="34"/>
        <v>5.9232871839061584E-2</v>
      </c>
      <c r="Q100">
        <f t="shared" ca="1" si="35"/>
        <v>8.5307134484978106E-2</v>
      </c>
      <c r="R100">
        <f t="shared" ca="1" si="32"/>
        <v>0.69434839414858096</v>
      </c>
      <c r="S100">
        <f t="shared" ca="1" si="33"/>
        <v>40.980260998653392</v>
      </c>
      <c r="T100">
        <f>70</f>
        <v>70</v>
      </c>
      <c r="U100">
        <f>30</f>
        <v>30</v>
      </c>
      <c r="V100">
        <f t="shared" ca="1" si="31"/>
        <v>12.049750672195106</v>
      </c>
      <c r="W100">
        <f t="shared" ca="1" si="41"/>
        <v>12.171818803362751</v>
      </c>
      <c r="X100">
        <f t="shared" ca="1" si="40"/>
        <v>-0.12350416367791084</v>
      </c>
      <c r="Y100">
        <f t="shared" ca="1" si="20"/>
        <v>-0.11158385562766783</v>
      </c>
      <c r="Z100">
        <f t="shared" ca="1" si="21"/>
        <v>-1.1920308050243009E-2</v>
      </c>
      <c r="AB100" s="18">
        <f t="shared" ca="1" si="29"/>
        <v>-9.8763986686514205E-3</v>
      </c>
      <c r="AC100" s="18">
        <f t="shared" ca="1" si="30"/>
        <v>-9.9254938169477547E-3</v>
      </c>
      <c r="AD100" s="18">
        <f t="shared" ca="1" si="25"/>
        <v>-1.0687188742938836E-2</v>
      </c>
    </row>
    <row r="101" spans="1:30" x14ac:dyDescent="0.25">
      <c r="A101" vm="275">
        <f ca="1"/>
        <v>45435</v>
      </c>
      <c r="B101" vm="136">
        <f ca="1"/>
        <v>11.9184</v>
      </c>
      <c r="C101" vm="276">
        <f ca="1"/>
        <v>44290739</v>
      </c>
      <c r="D101">
        <f t="shared" ca="1" si="22"/>
        <v>527874743.69760001</v>
      </c>
      <c r="E101">
        <f ca="1">SUM($D$2:D101)/SUM($C$2:C101)</f>
        <v>12.113070186348349</v>
      </c>
      <c r="F101">
        <f ca="1">_xlfn.STDEV.P($B$2:B101)</f>
        <v>0.557779002164836</v>
      </c>
      <c r="G101">
        <f t="shared" ca="1" si="23"/>
        <v>12.670849188513184</v>
      </c>
      <c r="H101">
        <f t="shared" ca="1" si="24"/>
        <v>11.555291184183513</v>
      </c>
      <c r="I101">
        <f t="shared" ca="1" si="36"/>
        <v>12.101974999999998</v>
      </c>
      <c r="J101">
        <f t="shared" ca="1" si="37"/>
        <v>0.21582465805907289</v>
      </c>
      <c r="K101">
        <f t="shared" ca="1" si="38"/>
        <v>12.533624316118143</v>
      </c>
      <c r="L101">
        <f t="shared" ca="1" si="39"/>
        <v>11.670325683881853</v>
      </c>
      <c r="M101">
        <f t="shared" ca="1" si="26"/>
        <v>7.8699999999999548E-2</v>
      </c>
      <c r="N101">
        <f t="shared" ca="1" si="27"/>
        <v>7.8699999999999548E-2</v>
      </c>
      <c r="O101">
        <f t="shared" ca="1" si="28"/>
        <v>0</v>
      </c>
      <c r="P101">
        <f t="shared" ca="1" si="34"/>
        <v>6.0623380993414293E-2</v>
      </c>
      <c r="Q101">
        <f t="shared" ca="1" si="35"/>
        <v>7.9213767736051086E-2</v>
      </c>
      <c r="R101">
        <f t="shared" ca="1" si="32"/>
        <v>0.76531369137014171</v>
      </c>
      <c r="S101">
        <f t="shared" ca="1" si="33"/>
        <v>43.352844036243006</v>
      </c>
      <c r="T101">
        <f>70</f>
        <v>70</v>
      </c>
      <c r="U101">
        <f>30</f>
        <v>30</v>
      </c>
      <c r="V101">
        <f t="shared" ca="1" si="31"/>
        <v>12.029542876472783</v>
      </c>
      <c r="W101">
        <f t="shared" ca="1" si="41"/>
        <v>12.153047040150694</v>
      </c>
      <c r="X101">
        <f t="shared" ca="1" si="40"/>
        <v>-0.11929701919247648</v>
      </c>
      <c r="Y101">
        <f t="shared" ca="1" si="20"/>
        <v>-0.11312648834062958</v>
      </c>
      <c r="Z101">
        <f t="shared" ca="1" si="21"/>
        <v>-6.170530851846906E-3</v>
      </c>
      <c r="AA101">
        <f ca="1">AVERAGE(B2:B101)</f>
        <v>12.106687999999998</v>
      </c>
      <c r="AB101" s="18">
        <f t="shared" ca="1" si="29"/>
        <v>6.6471278833077907E-3</v>
      </c>
      <c r="AC101" s="18">
        <f t="shared" ca="1" si="30"/>
        <v>6.6251331428613886E-3</v>
      </c>
      <c r="AD101" s="18">
        <f t="shared" ca="1" si="25"/>
        <v>-4.1110999699184303E-3</v>
      </c>
    </row>
    <row r="102" spans="1:30" x14ac:dyDescent="0.25">
      <c r="A102" vm="277">
        <f ca="1"/>
        <v>45436</v>
      </c>
      <c r="B102" vm="2">
        <f ca="1"/>
        <v>11.967599999999999</v>
      </c>
      <c r="C102" vm="278">
        <f ca="1"/>
        <v>41496929</v>
      </c>
      <c r="D102">
        <f t="shared" ca="1" si="22"/>
        <v>496618647.50039995</v>
      </c>
      <c r="E102">
        <f ca="1">SUM($D$2:D102)/SUM($C$2:C102)</f>
        <v>12.111941540929895</v>
      </c>
      <c r="F102">
        <f ca="1">_xlfn.STDEV.P($B$2:B102)</f>
        <v>0.55518167089986536</v>
      </c>
      <c r="G102">
        <f t="shared" ca="1" si="23"/>
        <v>12.667123211829759</v>
      </c>
      <c r="H102">
        <f t="shared" ca="1" si="24"/>
        <v>11.55675987003003</v>
      </c>
      <c r="I102">
        <f t="shared" ca="1" si="36"/>
        <v>12.070969999999999</v>
      </c>
      <c r="J102">
        <f t="shared" ca="1" si="37"/>
        <v>0.18466570678704222</v>
      </c>
      <c r="K102">
        <f t="shared" ca="1" si="38"/>
        <v>12.440301413574083</v>
      </c>
      <c r="L102">
        <f t="shared" ca="1" si="39"/>
        <v>11.701638586425915</v>
      </c>
      <c r="M102">
        <f t="shared" ca="1" si="26"/>
        <v>4.9199999999999022E-2</v>
      </c>
      <c r="N102">
        <f t="shared" ca="1" si="27"/>
        <v>4.9199999999999022E-2</v>
      </c>
      <c r="O102">
        <f t="shared" ca="1" si="28"/>
        <v>0</v>
      </c>
      <c r="P102">
        <f t="shared" ca="1" si="34"/>
        <v>5.9807425208170346E-2</v>
      </c>
      <c r="Q102">
        <f t="shared" ca="1" si="35"/>
        <v>7.3555641469190289E-2</v>
      </c>
      <c r="R102">
        <f t="shared" ca="1" si="32"/>
        <v>0.8130909337963077</v>
      </c>
      <c r="S102">
        <f t="shared" ca="1" si="33"/>
        <v>44.845568340790933</v>
      </c>
      <c r="T102">
        <f>70</f>
        <v>70</v>
      </c>
      <c r="U102">
        <f>30</f>
        <v>30</v>
      </c>
      <c r="V102">
        <f t="shared" ca="1" si="31"/>
        <v>12.020013203169277</v>
      </c>
      <c r="W102">
        <f t="shared" ca="1" si="41"/>
        <v>12.139310222361754</v>
      </c>
      <c r="X102">
        <f t="shared" ca="1" si="40"/>
        <v>-0.15232564366465695</v>
      </c>
      <c r="Y102">
        <f t="shared" ref="Y102:Y165" ca="1" si="42">X102*(2/(9+1)) + Y101*(1-(2/(9+1)))</f>
        <v>-0.12096631940543506</v>
      </c>
      <c r="Z102">
        <f t="shared" ref="Z102:Z165" ca="1" si="43">X102-Y102</f>
        <v>-3.1359324259221888E-2</v>
      </c>
      <c r="AA102">
        <f t="shared" ref="AA102:AA165" ca="1" si="44">AVERAGE(B3:B102)</f>
        <v>12.106687999999998</v>
      </c>
      <c r="AB102" s="18">
        <f t="shared" ca="1" si="29"/>
        <v>4.1280708819975143E-3</v>
      </c>
      <c r="AC102" s="18">
        <f t="shared" ca="1" si="30"/>
        <v>4.1195737738106515E-3</v>
      </c>
      <c r="AD102" s="18">
        <f t="shared" ca="1" si="25"/>
        <v>0</v>
      </c>
    </row>
    <row r="103" spans="1:30" x14ac:dyDescent="0.25">
      <c r="A103" vm="279">
        <f ca="1"/>
        <v>45440</v>
      </c>
      <c r="B103" vm="8">
        <f ca="1"/>
        <v>11.495200000000001</v>
      </c>
      <c r="C103" vm="280">
        <f ca="1"/>
        <v>58383693</v>
      </c>
      <c r="D103">
        <f t="shared" ca="1" si="22"/>
        <v>671132227.77359998</v>
      </c>
      <c r="E103">
        <f ca="1">SUM($D$2:D103)/SUM($C$2:C103)</f>
        <v>12.105281953710843</v>
      </c>
      <c r="F103">
        <f ca="1">_xlfn.STDEV.P($B$2:B103)</f>
        <v>0.55571435559764082</v>
      </c>
      <c r="G103">
        <f t="shared" ca="1" si="23"/>
        <v>12.660996309308484</v>
      </c>
      <c r="H103">
        <f t="shared" ca="1" si="24"/>
        <v>11.549567598113203</v>
      </c>
      <c r="I103">
        <f t="shared" ca="1" si="36"/>
        <v>12.018314999999998</v>
      </c>
      <c r="J103">
        <f t="shared" ca="1" si="37"/>
        <v>0.19141347165646133</v>
      </c>
      <c r="K103">
        <f t="shared" ca="1" si="38"/>
        <v>12.40114194331292</v>
      </c>
      <c r="L103">
        <f t="shared" ca="1" si="39"/>
        <v>11.635488056687075</v>
      </c>
      <c r="M103">
        <f t="shared" ca="1" si="26"/>
        <v>-0.4723999999999986</v>
      </c>
      <c r="N103">
        <f t="shared" ca="1" si="27"/>
        <v>0</v>
      </c>
      <c r="O103">
        <f t="shared" ca="1" si="28"/>
        <v>0.4723999999999986</v>
      </c>
      <c r="P103">
        <f t="shared" ca="1" si="34"/>
        <v>5.5535466264729605E-2</v>
      </c>
      <c r="Q103">
        <f t="shared" ca="1" si="35"/>
        <v>0.10204452422139089</v>
      </c>
      <c r="R103">
        <f t="shared" ca="1" si="32"/>
        <v>0.54422779358785123</v>
      </c>
      <c r="S103">
        <f t="shared" ca="1" si="33"/>
        <v>35.242714568904049</v>
      </c>
      <c r="T103">
        <f>70</f>
        <v>70</v>
      </c>
      <c r="U103">
        <f>30</f>
        <v>30</v>
      </c>
      <c r="V103">
        <f t="shared" ca="1" si="31"/>
        <v>11.939272710374004</v>
      </c>
      <c r="W103">
        <f t="shared" ca="1" si="41"/>
        <v>12.091598354038661</v>
      </c>
      <c r="X103">
        <f t="shared" ca="1" si="40"/>
        <v>-0.18588794895009997</v>
      </c>
      <c r="Y103">
        <f t="shared" ca="1" si="42"/>
        <v>-0.13395064531436807</v>
      </c>
      <c r="Z103">
        <f t="shared" ca="1" si="43"/>
        <v>-5.1937303635731902E-2</v>
      </c>
      <c r="AA103">
        <f t="shared" ca="1" si="44"/>
        <v>12.106392999999999</v>
      </c>
      <c r="AB103" s="18">
        <f t="shared" ca="1" si="29"/>
        <v>-3.947324442661837E-2</v>
      </c>
      <c r="AC103" s="18">
        <f t="shared" ca="1" si="30"/>
        <v>-4.0273441280825537E-2</v>
      </c>
      <c r="AD103" s="18">
        <f t="shared" ca="1" si="25"/>
        <v>-3.947324442661837E-2</v>
      </c>
    </row>
    <row r="104" spans="1:30" x14ac:dyDescent="0.25">
      <c r="A104" vm="281">
        <f ca="1"/>
        <v>45441</v>
      </c>
      <c r="B104" vm="282">
        <f ca="1"/>
        <v>11.3771</v>
      </c>
      <c r="C104" vm="283">
        <f ca="1"/>
        <v>46495023</v>
      </c>
      <c r="D104">
        <f t="shared" ca="1" si="22"/>
        <v>528978526.17330003</v>
      </c>
      <c r="E104">
        <f ca="1">SUM($D$2:D104)/SUM($C$2:C104)</f>
        <v>12.099073545018168</v>
      </c>
      <c r="F104">
        <f ca="1">_xlfn.STDEV.P($B$2:B104)</f>
        <v>0.55752602349941049</v>
      </c>
      <c r="G104">
        <f t="shared" ca="1" si="23"/>
        <v>12.656599568517578</v>
      </c>
      <c r="H104">
        <f t="shared" ca="1" si="24"/>
        <v>11.541547521518758</v>
      </c>
      <c r="I104">
        <f t="shared" ca="1" si="36"/>
        <v>11.989280000000001</v>
      </c>
      <c r="J104">
        <f t="shared" ca="1" si="37"/>
        <v>0.23916270744323601</v>
      </c>
      <c r="K104">
        <f t="shared" ca="1" si="38"/>
        <v>12.467605414886473</v>
      </c>
      <c r="L104">
        <f t="shared" ca="1" si="39"/>
        <v>11.510954585113529</v>
      </c>
      <c r="M104">
        <f t="shared" ca="1" si="26"/>
        <v>-0.11810000000000009</v>
      </c>
      <c r="N104">
        <f t="shared" ca="1" si="27"/>
        <v>0</v>
      </c>
      <c r="O104">
        <f t="shared" ca="1" si="28"/>
        <v>0.11810000000000009</v>
      </c>
      <c r="P104">
        <f t="shared" ca="1" si="34"/>
        <v>5.1568647245820345E-2</v>
      </c>
      <c r="Q104">
        <f t="shared" ca="1" si="35"/>
        <v>0.10319134391986297</v>
      </c>
      <c r="R104">
        <f t="shared" ca="1" si="32"/>
        <v>0.49973811064877566</v>
      </c>
      <c r="S104">
        <f t="shared" ca="1" si="33"/>
        <v>33.321691774078658</v>
      </c>
      <c r="T104">
        <f>70</f>
        <v>70</v>
      </c>
      <c r="U104">
        <f>30</f>
        <v>30</v>
      </c>
      <c r="V104">
        <f t="shared" ca="1" si="31"/>
        <v>11.852784601085697</v>
      </c>
      <c r="W104">
        <f t="shared" ca="1" si="41"/>
        <v>12.038672550035797</v>
      </c>
      <c r="X104">
        <f t="shared" ca="1" si="40"/>
        <v>-0.19357593230536096</v>
      </c>
      <c r="Y104">
        <f t="shared" ca="1" si="42"/>
        <v>-0.14587570271256667</v>
      </c>
      <c r="Z104">
        <f t="shared" ca="1" si="43"/>
        <v>-4.7700229592794297E-2</v>
      </c>
      <c r="AA104">
        <f t="shared" ca="1" si="44"/>
        <v>12.105211999999996</v>
      </c>
      <c r="AB104" s="18">
        <f t="shared" ca="1" si="29"/>
        <v>-1.0273853434476954E-2</v>
      </c>
      <c r="AC104" s="18">
        <f t="shared" ca="1" si="30"/>
        <v>-1.0326993750553274E-2</v>
      </c>
      <c r="AD104" s="18">
        <f t="shared" ca="1" si="25"/>
        <v>-4.9341555533272907E-2</v>
      </c>
    </row>
    <row r="105" spans="1:30" x14ac:dyDescent="0.25">
      <c r="A105" vm="284">
        <f ca="1"/>
        <v>45442</v>
      </c>
      <c r="B105" vm="285">
        <f ca="1"/>
        <v>11.5838</v>
      </c>
      <c r="C105" vm="286">
        <f ca="1"/>
        <v>42928643</v>
      </c>
      <c r="D105">
        <f t="shared" ca="1" si="22"/>
        <v>497276814.7834</v>
      </c>
      <c r="E105">
        <f ca="1">SUM($D$2:D105)/SUM($C$2:C105)</f>
        <v>12.095049029772774</v>
      </c>
      <c r="F105">
        <f ca="1">_xlfn.STDEV.P($B$2:B105)</f>
        <v>0.55705385795698092</v>
      </c>
      <c r="G105">
        <f t="shared" ca="1" si="23"/>
        <v>12.652102887729756</v>
      </c>
      <c r="H105">
        <f t="shared" ca="1" si="24"/>
        <v>11.537995171815792</v>
      </c>
      <c r="I105">
        <f t="shared" ca="1" si="36"/>
        <v>11.968120000000001</v>
      </c>
      <c r="J105">
        <f t="shared" ca="1" si="37"/>
        <v>0.25566449355191628</v>
      </c>
      <c r="K105">
        <f t="shared" ca="1" si="38"/>
        <v>12.479448987103833</v>
      </c>
      <c r="L105">
        <f t="shared" ca="1" si="39"/>
        <v>11.456791012896169</v>
      </c>
      <c r="M105">
        <f t="shared" ca="1" si="26"/>
        <v>0.20669999999999966</v>
      </c>
      <c r="N105">
        <f t="shared" ca="1" si="27"/>
        <v>0.20669999999999966</v>
      </c>
      <c r="O105">
        <f t="shared" ca="1" si="28"/>
        <v>0</v>
      </c>
      <c r="P105">
        <f t="shared" ca="1" si="34"/>
        <v>6.2649458156833163E-2</v>
      </c>
      <c r="Q105">
        <f t="shared" ca="1" si="35"/>
        <v>9.5820533639872751E-2</v>
      </c>
      <c r="R105">
        <f t="shared" ca="1" si="32"/>
        <v>0.65382080204533033</v>
      </c>
      <c r="S105">
        <f t="shared" ca="1" si="33"/>
        <v>39.533956837205714</v>
      </c>
      <c r="T105">
        <f>70</f>
        <v>70</v>
      </c>
      <c r="U105">
        <f>30</f>
        <v>30</v>
      </c>
      <c r="V105">
        <f t="shared" ca="1" si="31"/>
        <v>11.811402354764819</v>
      </c>
      <c r="W105">
        <f t="shared" ca="1" si="41"/>
        <v>12.00497828707018</v>
      </c>
      <c r="X105">
        <f t="shared" ca="1" si="40"/>
        <v>-0.16913003969418128</v>
      </c>
      <c r="Y105">
        <f t="shared" ca="1" si="42"/>
        <v>-0.15052657010888959</v>
      </c>
      <c r="Z105">
        <f t="shared" ca="1" si="43"/>
        <v>-1.8603469585291688E-2</v>
      </c>
      <c r="AA105">
        <f t="shared" ca="1" si="44"/>
        <v>12.104424999999997</v>
      </c>
      <c r="AB105" s="18">
        <f t="shared" ca="1" si="29"/>
        <v>1.8168074465373385E-2</v>
      </c>
      <c r="AC105" s="18">
        <f t="shared" ca="1" si="30"/>
        <v>1.8005007118638686E-2</v>
      </c>
      <c r="AD105" s="18">
        <f t="shared" ca="1" si="25"/>
        <v>-3.2069922123065364E-2</v>
      </c>
    </row>
    <row r="106" spans="1:30" x14ac:dyDescent="0.25">
      <c r="A106" vm="287">
        <f ca="1"/>
        <v>45443</v>
      </c>
      <c r="B106" vm="250">
        <f ca="1"/>
        <v>11.9381</v>
      </c>
      <c r="C106" vm="288">
        <f ca="1"/>
        <v>58125292</v>
      </c>
      <c r="D106">
        <f t="shared" ca="1" si="22"/>
        <v>693905548.42519999</v>
      </c>
      <c r="E106">
        <f ca="1">SUM($D$2:D106)/SUM($C$2:C106)</f>
        <v>12.093406611894199</v>
      </c>
      <c r="F106">
        <f ca="1">_xlfn.STDEV.P($B$2:B106)</f>
        <v>0.55458455078314894</v>
      </c>
      <c r="G106">
        <f t="shared" ca="1" si="23"/>
        <v>12.647991162677348</v>
      </c>
      <c r="H106">
        <f t="shared" ca="1" si="24"/>
        <v>11.53882206111105</v>
      </c>
      <c r="I106">
        <f t="shared" ca="1" si="36"/>
        <v>11.950405</v>
      </c>
      <c r="J106">
        <f t="shared" ca="1" si="37"/>
        <v>0.24402217214835203</v>
      </c>
      <c r="K106">
        <f t="shared" ca="1" si="38"/>
        <v>12.438449344296703</v>
      </c>
      <c r="L106">
        <f t="shared" ca="1" si="39"/>
        <v>11.462360655703296</v>
      </c>
      <c r="M106">
        <f t="shared" ca="1" si="26"/>
        <v>0.35430000000000028</v>
      </c>
      <c r="N106">
        <f t="shared" ca="1" si="27"/>
        <v>0.35430000000000028</v>
      </c>
      <c r="O106">
        <f t="shared" ca="1" si="28"/>
        <v>0</v>
      </c>
      <c r="P106">
        <f t="shared" ca="1" si="34"/>
        <v>8.348163971705938E-2</v>
      </c>
      <c r="Q106">
        <f t="shared" ca="1" si="35"/>
        <v>8.8976209808453263E-2</v>
      </c>
      <c r="R106">
        <f t="shared" ca="1" si="32"/>
        <v>0.93824675041539174</v>
      </c>
      <c r="S106">
        <f t="shared" ca="1" si="33"/>
        <v>48.406981733069493</v>
      </c>
      <c r="T106">
        <f>70</f>
        <v>70</v>
      </c>
      <c r="U106">
        <f>30</f>
        <v>30</v>
      </c>
      <c r="V106">
        <f t="shared" ca="1" si="31"/>
        <v>11.830894300185616</v>
      </c>
      <c r="W106">
        <f t="shared" ca="1" si="41"/>
        <v>12.000024339879797</v>
      </c>
      <c r="X106">
        <f t="shared" ca="1" si="40"/>
        <v>-0.14333533705358015</v>
      </c>
      <c r="Y106">
        <f t="shared" ca="1" si="42"/>
        <v>-0.14908832349782772</v>
      </c>
      <c r="Z106">
        <f t="shared" ca="1" si="43"/>
        <v>5.7529864442475709E-3</v>
      </c>
      <c r="AA106">
        <f t="shared" ca="1" si="44"/>
        <v>12.106</v>
      </c>
      <c r="AB106" s="18">
        <f t="shared" ca="1" si="29"/>
        <v>3.0585818125312914E-2</v>
      </c>
      <c r="AC106" s="18">
        <f t="shared" ca="1" si="30"/>
        <v>3.0127396022927157E-2</v>
      </c>
      <c r="AD106" s="18">
        <f t="shared" ca="1" si="25"/>
        <v>-2.464988803101531E-3</v>
      </c>
    </row>
    <row r="107" spans="1:30" x14ac:dyDescent="0.25">
      <c r="A107" vm="289">
        <f ca="1"/>
        <v>45446</v>
      </c>
      <c r="B107" vm="290">
        <f ca="1"/>
        <v>11.997199999999999</v>
      </c>
      <c r="C107" vm="291">
        <f ca="1"/>
        <v>54648611</v>
      </c>
      <c r="D107">
        <f t="shared" ca="1" si="22"/>
        <v>655630315.88919997</v>
      </c>
      <c r="E107">
        <f ca="1">SUM($D$2:D107)/SUM($C$2:C107)</f>
        <v>12.092469283211983</v>
      </c>
      <c r="F107">
        <f ca="1">_xlfn.STDEV.P($B$2:B107)</f>
        <v>0.55202914343137666</v>
      </c>
      <c r="G107">
        <f t="shared" ca="1" si="23"/>
        <v>12.644498426643359</v>
      </c>
      <c r="H107">
        <f t="shared" ca="1" si="24"/>
        <v>11.540440139780607</v>
      </c>
      <c r="I107">
        <f t="shared" ca="1" si="36"/>
        <v>11.938594999999999</v>
      </c>
      <c r="J107">
        <f t="shared" ca="1" si="37"/>
        <v>0.23515993096524523</v>
      </c>
      <c r="K107">
        <f t="shared" ca="1" si="38"/>
        <v>12.408914861930491</v>
      </c>
      <c r="L107">
        <f t="shared" ca="1" si="39"/>
        <v>11.468275138069508</v>
      </c>
      <c r="M107">
        <f t="shared" ca="1" si="26"/>
        <v>5.9099999999999042E-2</v>
      </c>
      <c r="N107">
        <f t="shared" ca="1" si="27"/>
        <v>5.9099999999999042E-2</v>
      </c>
      <c r="O107">
        <f t="shared" ca="1" si="28"/>
        <v>0</v>
      </c>
      <c r="P107">
        <f t="shared" ca="1" si="34"/>
        <v>8.1740094022983642E-2</v>
      </c>
      <c r="Q107">
        <f t="shared" ca="1" si="35"/>
        <v>8.2620766250706593E-2</v>
      </c>
      <c r="R107">
        <f t="shared" ca="1" si="32"/>
        <v>0.98934078842780737</v>
      </c>
      <c r="S107">
        <f t="shared" ca="1" si="33"/>
        <v>49.732091865953826</v>
      </c>
      <c r="T107">
        <f>70</f>
        <v>70</v>
      </c>
      <c r="U107">
        <f>30</f>
        <v>30</v>
      </c>
      <c r="V107">
        <f t="shared" ca="1" si="31"/>
        <v>11.856479792464752</v>
      </c>
      <c r="W107">
        <f t="shared" ca="1" si="41"/>
        <v>11.999815129518332</v>
      </c>
      <c r="X107">
        <f t="shared" ca="1" si="40"/>
        <v>-0.13405646362229895</v>
      </c>
      <c r="Y107">
        <f t="shared" ca="1" si="42"/>
        <v>-0.14608195152272196</v>
      </c>
      <c r="Z107">
        <f t="shared" ca="1" si="43"/>
        <v>1.2025487900423015E-2</v>
      </c>
      <c r="AA107">
        <f t="shared" ca="1" si="44"/>
        <v>12.109444999999999</v>
      </c>
      <c r="AB107" s="18">
        <f t="shared" ca="1" si="29"/>
        <v>4.950536517536186E-3</v>
      </c>
      <c r="AC107" s="18">
        <f t="shared" ca="1" si="30"/>
        <v>4.9383229043369397E-3</v>
      </c>
      <c r="AD107" s="18">
        <f t="shared" ca="1" si="25"/>
        <v>2.4733446973494999E-3</v>
      </c>
    </row>
    <row r="108" spans="1:30" x14ac:dyDescent="0.25">
      <c r="A108" vm="292">
        <f ca="1"/>
        <v>45447</v>
      </c>
      <c r="B108" vm="273">
        <f ca="1"/>
        <v>11.839700000000001</v>
      </c>
      <c r="C108" vm="293">
        <f ca="1"/>
        <v>42200709</v>
      </c>
      <c r="D108">
        <f t="shared" ca="1" si="22"/>
        <v>499643734.34730005</v>
      </c>
      <c r="E108">
        <f ca="1">SUM($D$2:D108)/SUM($C$2:C108)</f>
        <v>12.090581741052709</v>
      </c>
      <c r="F108">
        <f ca="1">_xlfn.STDEV.P($B$2:B108)</f>
        <v>0.54995094043497894</v>
      </c>
      <c r="G108">
        <f t="shared" ca="1" si="23"/>
        <v>12.640532681487688</v>
      </c>
      <c r="H108">
        <f t="shared" ca="1" si="24"/>
        <v>11.540630800617731</v>
      </c>
      <c r="I108">
        <f t="shared" ca="1" si="36"/>
        <v>11.915465000000001</v>
      </c>
      <c r="J108">
        <f t="shared" ca="1" si="37"/>
        <v>0.2197489746697831</v>
      </c>
      <c r="K108">
        <f t="shared" ca="1" si="38"/>
        <v>12.354962949339567</v>
      </c>
      <c r="L108">
        <f t="shared" ca="1" si="39"/>
        <v>11.475967050660435</v>
      </c>
      <c r="M108">
        <f t="shared" ca="1" si="26"/>
        <v>-0.15749999999999886</v>
      </c>
      <c r="N108">
        <f t="shared" ca="1" si="27"/>
        <v>0</v>
      </c>
      <c r="O108">
        <f t="shared" ca="1" si="28"/>
        <v>0.15749999999999886</v>
      </c>
      <c r="P108">
        <f t="shared" ca="1" si="34"/>
        <v>7.5901515878484815E-2</v>
      </c>
      <c r="Q108">
        <f t="shared" ca="1" si="35"/>
        <v>8.7969282947084615E-2</v>
      </c>
      <c r="R108">
        <f t="shared" ca="1" si="32"/>
        <v>0.86281839905573843</v>
      </c>
      <c r="S108">
        <f t="shared" ca="1" si="33"/>
        <v>46.317901921792306</v>
      </c>
      <c r="T108">
        <f>70</f>
        <v>70</v>
      </c>
      <c r="U108">
        <f>30</f>
        <v>30</v>
      </c>
      <c r="V108">
        <f t="shared" ca="1" si="31"/>
        <v>11.853898285931713</v>
      </c>
      <c r="W108">
        <f t="shared" ca="1" si="41"/>
        <v>11.987954749554012</v>
      </c>
      <c r="X108">
        <f t="shared" ca="1" si="40"/>
        <v>-0.12211596206078568</v>
      </c>
      <c r="Y108">
        <f t="shared" ca="1" si="42"/>
        <v>-0.14128875363033472</v>
      </c>
      <c r="Z108">
        <f t="shared" ca="1" si="43"/>
        <v>1.9172791569549041E-2</v>
      </c>
      <c r="AA108">
        <f t="shared" ca="1" si="44"/>
        <v>12.111413999999995</v>
      </c>
      <c r="AB108" s="18">
        <f t="shared" ca="1" si="29"/>
        <v>-1.3128063214750019E-2</v>
      </c>
      <c r="AC108" s="18">
        <f t="shared" ca="1" si="30"/>
        <v>-1.3214997931196005E-2</v>
      </c>
      <c r="AD108" s="18">
        <f t="shared" ca="1" si="25"/>
        <v>-1.0687188742939169E-2</v>
      </c>
    </row>
    <row r="109" spans="1:30" x14ac:dyDescent="0.25">
      <c r="A109" vm="294">
        <f ca="1"/>
        <v>45448</v>
      </c>
      <c r="B109" vm="71">
        <f ca="1"/>
        <v>11.879099999999999</v>
      </c>
      <c r="C109" vm="295">
        <f ca="1"/>
        <v>46241341</v>
      </c>
      <c r="D109">
        <f t="shared" ca="1" si="22"/>
        <v>549305513.87309992</v>
      </c>
      <c r="E109">
        <f ca="1">SUM($D$2:D109)/SUM($C$2:C109)</f>
        <v>12.088865347861683</v>
      </c>
      <c r="F109">
        <f ca="1">_xlfn.STDEV.P($B$2:B109)</f>
        <v>0.54774677545116324</v>
      </c>
      <c r="G109">
        <f t="shared" ca="1" si="23"/>
        <v>12.636612123312846</v>
      </c>
      <c r="H109">
        <f t="shared" ca="1" si="24"/>
        <v>11.54111857241052</v>
      </c>
      <c r="I109">
        <f t="shared" ca="1" si="36"/>
        <v>11.910545000000001</v>
      </c>
      <c r="J109">
        <f t="shared" ca="1" si="37"/>
        <v>0.21938821269252595</v>
      </c>
      <c r="K109">
        <f t="shared" ca="1" si="38"/>
        <v>12.349321425385053</v>
      </c>
      <c r="L109">
        <f t="shared" ca="1" si="39"/>
        <v>11.471768574614948</v>
      </c>
      <c r="M109">
        <f t="shared" ca="1" si="26"/>
        <v>3.9399999999998769E-2</v>
      </c>
      <c r="N109">
        <f t="shared" ca="1" si="27"/>
        <v>3.9399999999998769E-2</v>
      </c>
      <c r="O109">
        <f t="shared" ca="1" si="28"/>
        <v>0</v>
      </c>
      <c r="P109">
        <f t="shared" ca="1" si="34"/>
        <v>7.3294264744307239E-2</v>
      </c>
      <c r="Q109">
        <f t="shared" ca="1" si="35"/>
        <v>8.1685762736578571E-2</v>
      </c>
      <c r="R109">
        <f t="shared" ca="1" si="32"/>
        <v>0.89727098442684128</v>
      </c>
      <c r="S109">
        <f t="shared" ca="1" si="33"/>
        <v>47.292716316847248</v>
      </c>
      <c r="T109">
        <f>70</f>
        <v>70</v>
      </c>
      <c r="U109">
        <f>30</f>
        <v>30</v>
      </c>
      <c r="V109">
        <f t="shared" ca="1" si="31"/>
        <v>11.857775472711449</v>
      </c>
      <c r="W109">
        <f t="shared" ca="1" si="41"/>
        <v>11.979891434772235</v>
      </c>
      <c r="X109">
        <f t="shared" ca="1" si="40"/>
        <v>-0.11136923334950488</v>
      </c>
      <c r="Y109">
        <f t="shared" ca="1" si="42"/>
        <v>-0.13530484957416875</v>
      </c>
      <c r="Z109">
        <f t="shared" ca="1" si="43"/>
        <v>2.3935616224663864E-2</v>
      </c>
      <c r="AA109">
        <f t="shared" ca="1" si="44"/>
        <v>12.114958</v>
      </c>
      <c r="AB109" s="18">
        <f t="shared" ca="1" si="29"/>
        <v>3.3277870216306127E-3</v>
      </c>
      <c r="AC109" s="18">
        <f t="shared" ca="1" si="30"/>
        <v>3.3222621919778601E-3</v>
      </c>
      <c r="AD109" s="18">
        <f t="shared" ca="1" si="25"/>
        <v>-7.3949664093050371E-3</v>
      </c>
    </row>
    <row r="110" spans="1:30" x14ac:dyDescent="0.25">
      <c r="A110" vm="296">
        <f ca="1"/>
        <v>45449</v>
      </c>
      <c r="B110" vm="71">
        <f ca="1"/>
        <v>11.879099999999999</v>
      </c>
      <c r="C110" vm="297">
        <f ca="1"/>
        <v>28744611</v>
      </c>
      <c r="D110">
        <f t="shared" ca="1" si="22"/>
        <v>341460108.53009999</v>
      </c>
      <c r="E110">
        <f ca="1">SUM($D$2:D110)/SUM($C$2:C110)</f>
        <v>12.08781237272443</v>
      </c>
      <c r="F110">
        <f ca="1">_xlfn.STDEV.P($B$2:B110)</f>
        <v>0.54556804575239015</v>
      </c>
      <c r="G110">
        <f t="shared" ca="1" si="23"/>
        <v>12.63338041847682</v>
      </c>
      <c r="H110">
        <f t="shared" ca="1" si="24"/>
        <v>11.542244326972041</v>
      </c>
      <c r="I110">
        <f t="shared" ca="1" si="36"/>
        <v>11.906609999999999</v>
      </c>
      <c r="J110">
        <f t="shared" ca="1" si="37"/>
        <v>0.2192017381317948</v>
      </c>
      <c r="K110">
        <f t="shared" ca="1" si="38"/>
        <v>12.345013476263588</v>
      </c>
      <c r="L110">
        <f t="shared" ca="1" si="39"/>
        <v>11.468206523736409</v>
      </c>
      <c r="M110">
        <f t="shared" ca="1" si="26"/>
        <v>0</v>
      </c>
      <c r="N110">
        <f t="shared" ca="1" si="27"/>
        <v>0</v>
      </c>
      <c r="O110">
        <f t="shared" ca="1" si="28"/>
        <v>0</v>
      </c>
      <c r="P110">
        <f t="shared" ca="1" si="34"/>
        <v>6.8058960119713865E-2</v>
      </c>
      <c r="Q110">
        <f t="shared" ca="1" si="35"/>
        <v>7.5851065398251524E-2</v>
      </c>
      <c r="R110">
        <f t="shared" ca="1" si="32"/>
        <v>0.89727098442684128</v>
      </c>
      <c r="S110">
        <f t="shared" ca="1" si="33"/>
        <v>47.292716316847248</v>
      </c>
      <c r="T110">
        <f>70</f>
        <v>70</v>
      </c>
      <c r="U110">
        <f>30</f>
        <v>30</v>
      </c>
      <c r="V110">
        <f t="shared" ca="1" si="31"/>
        <v>11.861056169217379</v>
      </c>
      <c r="W110">
        <f t="shared" ca="1" si="41"/>
        <v>11.972425402566884</v>
      </c>
      <c r="X110">
        <f t="shared" ca="1" si="40"/>
        <v>-9.540220392215204E-2</v>
      </c>
      <c r="Y110">
        <f t="shared" ca="1" si="42"/>
        <v>-0.1273243204437654</v>
      </c>
      <c r="Z110">
        <f t="shared" ca="1" si="43"/>
        <v>3.1922116521613364E-2</v>
      </c>
      <c r="AA110">
        <f t="shared" ca="1" si="44"/>
        <v>12.120961999999999</v>
      </c>
      <c r="AB110" s="18">
        <f t="shared" ca="1" si="29"/>
        <v>0</v>
      </c>
      <c r="AC110" s="18">
        <f t="shared" ca="1" si="30"/>
        <v>0</v>
      </c>
      <c r="AD110" s="18">
        <f t="shared" ca="1" si="25"/>
        <v>-7.3949664093050371E-3</v>
      </c>
    </row>
    <row r="111" spans="1:30" x14ac:dyDescent="0.25">
      <c r="A111" vm="298">
        <f ca="1"/>
        <v>45450</v>
      </c>
      <c r="B111" vm="230">
        <f ca="1"/>
        <v>11.957800000000001</v>
      </c>
      <c r="C111" vm="299">
        <f ca="1"/>
        <v>32447312</v>
      </c>
      <c r="D111">
        <f t="shared" ca="1" si="22"/>
        <v>387998467.43360001</v>
      </c>
      <c r="E111">
        <f ca="1">SUM($D$2:D111)/SUM($C$2:C111)</f>
        <v>12.087079822498882</v>
      </c>
      <c r="F111">
        <f ca="1">_xlfn.STDEV.P($B$2:B111)</f>
        <v>0.54320461571405854</v>
      </c>
      <c r="G111">
        <f t="shared" ca="1" si="23"/>
        <v>12.630284438212941</v>
      </c>
      <c r="H111">
        <f t="shared" ca="1" si="24"/>
        <v>11.543875206784824</v>
      </c>
      <c r="I111">
        <f t="shared" ca="1" si="36"/>
        <v>11.907594999999999</v>
      </c>
      <c r="J111">
        <f t="shared" ca="1" si="37"/>
        <v>0.21939486506249276</v>
      </c>
      <c r="K111">
        <f t="shared" ca="1" si="38"/>
        <v>12.346384730124985</v>
      </c>
      <c r="L111">
        <f t="shared" ca="1" si="39"/>
        <v>11.468805269875013</v>
      </c>
      <c r="M111">
        <f t="shared" ca="1" si="26"/>
        <v>7.8700000000001324E-2</v>
      </c>
      <c r="N111">
        <f t="shared" ca="1" si="27"/>
        <v>7.8700000000001324E-2</v>
      </c>
      <c r="O111">
        <f t="shared" ca="1" si="28"/>
        <v>0</v>
      </c>
      <c r="P111">
        <f t="shared" ca="1" si="34"/>
        <v>6.8819034396877254E-2</v>
      </c>
      <c r="Q111">
        <f t="shared" ca="1" si="35"/>
        <v>7.0433132155519274E-2</v>
      </c>
      <c r="R111">
        <f t="shared" ca="1" si="32"/>
        <v>0.97708326026055425</v>
      </c>
      <c r="S111">
        <f t="shared" ca="1" si="33"/>
        <v>49.420440701712643</v>
      </c>
      <c r="T111">
        <f>70</f>
        <v>70</v>
      </c>
      <c r="U111">
        <f>30</f>
        <v>30</v>
      </c>
      <c r="V111">
        <f t="shared" ca="1" si="31"/>
        <v>11.875939835491629</v>
      </c>
      <c r="W111">
        <f t="shared" ca="1" si="41"/>
        <v>11.971342039413781</v>
      </c>
      <c r="X111">
        <f t="shared" ca="1" si="40"/>
        <v>-6.3752796776253007E-2</v>
      </c>
      <c r="Y111">
        <f t="shared" ca="1" si="42"/>
        <v>-0.11461001571026293</v>
      </c>
      <c r="Z111">
        <f t="shared" ca="1" si="43"/>
        <v>5.0857218934009921E-2</v>
      </c>
      <c r="AA111">
        <f t="shared" ca="1" si="44"/>
        <v>12.127753</v>
      </c>
      <c r="AB111" s="18">
        <f t="shared" ca="1" si="29"/>
        <v>6.6250810246568648E-3</v>
      </c>
      <c r="AC111" s="18">
        <f t="shared" ca="1" si="30"/>
        <v>6.60323162497001E-3</v>
      </c>
      <c r="AD111" s="18">
        <f t="shared" ca="1" si="25"/>
        <v>-8.1887763628440968E-4</v>
      </c>
    </row>
    <row r="112" spans="1:30" x14ac:dyDescent="0.25">
      <c r="A112" vm="300">
        <f ca="1"/>
        <v>45453</v>
      </c>
      <c r="B112" vm="127">
        <f ca="1"/>
        <v>12.184100000000001</v>
      </c>
      <c r="C112" vm="301">
        <f ca="1"/>
        <v>69445791</v>
      </c>
      <c r="D112">
        <f t="shared" ca="1" si="22"/>
        <v>846134462.12310004</v>
      </c>
      <c r="E112">
        <f ca="1">SUM($D$2:D112)/SUM($C$2:C112)</f>
        <v>12.088235871005521</v>
      </c>
      <c r="F112">
        <f ca="1">_xlfn.STDEV.P($B$2:B112)</f>
        <v>0.54084507700301721</v>
      </c>
      <c r="G112">
        <f t="shared" ca="1" si="23"/>
        <v>12.629080948008538</v>
      </c>
      <c r="H112">
        <f t="shared" ca="1" si="24"/>
        <v>11.547390794002505</v>
      </c>
      <c r="I112">
        <f t="shared" ca="1" si="36"/>
        <v>11.926784999999999</v>
      </c>
      <c r="J112">
        <f t="shared" ca="1" si="37"/>
        <v>0.22619573562688897</v>
      </c>
      <c r="K112">
        <f t="shared" ca="1" si="38"/>
        <v>12.379176471253777</v>
      </c>
      <c r="L112">
        <f t="shared" ca="1" si="39"/>
        <v>11.474393528746221</v>
      </c>
      <c r="M112">
        <f t="shared" ca="1" si="26"/>
        <v>0.22630000000000017</v>
      </c>
      <c r="N112">
        <f t="shared" ca="1" si="27"/>
        <v>0.22630000000000017</v>
      </c>
      <c r="O112">
        <f t="shared" ca="1" si="28"/>
        <v>0</v>
      </c>
      <c r="P112">
        <f t="shared" ca="1" si="34"/>
        <v>8.0067674797100322E-2</v>
      </c>
      <c r="Q112">
        <f t="shared" ca="1" si="35"/>
        <v>6.5402194144410758E-2</v>
      </c>
      <c r="R112">
        <f t="shared" ca="1" si="32"/>
        <v>1.2242353004290281</v>
      </c>
      <c r="S112">
        <f t="shared" ca="1" si="33"/>
        <v>55.04072793885107</v>
      </c>
      <c r="T112">
        <f>70</f>
        <v>70</v>
      </c>
      <c r="U112">
        <f>30</f>
        <v>30</v>
      </c>
      <c r="V112">
        <f t="shared" ca="1" si="31"/>
        <v>11.92334909156984</v>
      </c>
      <c r="W112">
        <f t="shared" ca="1" si="41"/>
        <v>11.987101888346093</v>
      </c>
      <c r="X112">
        <f t="shared" ca="1" si="40"/>
        <v>-5.942516671292708E-2</v>
      </c>
      <c r="Y112">
        <f t="shared" ca="1" si="42"/>
        <v>-0.10357304591079577</v>
      </c>
      <c r="Z112">
        <f t="shared" ca="1" si="43"/>
        <v>4.4147879197868695E-2</v>
      </c>
      <c r="AA112">
        <f t="shared" ca="1" si="44"/>
        <v>12.138676999999999</v>
      </c>
      <c r="AB112" s="18">
        <f t="shared" ca="1" si="29"/>
        <v>1.8924885848567552E-2</v>
      </c>
      <c r="AC112" s="18">
        <f t="shared" ca="1" si="30"/>
        <v>1.874803793044497E-2</v>
      </c>
      <c r="AD112" s="18">
        <f t="shared" ca="1" si="25"/>
        <v>1.8090511046492619E-2</v>
      </c>
    </row>
    <row r="113" spans="1:30" x14ac:dyDescent="0.25">
      <c r="A113" vm="302">
        <f ca="1"/>
        <v>45454</v>
      </c>
      <c r="B113" vm="136">
        <f ca="1"/>
        <v>11.9184</v>
      </c>
      <c r="C113" vm="303">
        <f ca="1"/>
        <v>48976579</v>
      </c>
      <c r="D113">
        <f t="shared" ca="1" si="22"/>
        <v>583722459.15359998</v>
      </c>
      <c r="E113">
        <f ca="1">SUM($D$2:D113)/SUM($C$2:C113)</f>
        <v>12.08682056086287</v>
      </c>
      <c r="F113">
        <f ca="1">_xlfn.STDEV.P($B$2:B113)</f>
        <v>0.53863704615190089</v>
      </c>
      <c r="G113">
        <f t="shared" ca="1" si="23"/>
        <v>12.625457607014772</v>
      </c>
      <c r="H113">
        <f t="shared" ca="1" si="24"/>
        <v>11.548183514710969</v>
      </c>
      <c r="I113">
        <f t="shared" ca="1" si="36"/>
        <v>11.915959999999998</v>
      </c>
      <c r="J113">
        <f t="shared" ca="1" si="37"/>
        <v>0.22082864850376629</v>
      </c>
      <c r="K113">
        <f t="shared" ca="1" si="38"/>
        <v>12.357617297007531</v>
      </c>
      <c r="L113">
        <f t="shared" ca="1" si="39"/>
        <v>11.474302702992466</v>
      </c>
      <c r="M113">
        <f t="shared" ca="1" si="26"/>
        <v>-0.26570000000000071</v>
      </c>
      <c r="N113">
        <f t="shared" ca="1" si="27"/>
        <v>0</v>
      </c>
      <c r="O113">
        <f t="shared" ca="1" si="28"/>
        <v>0.26570000000000071</v>
      </c>
      <c r="P113">
        <f t="shared" ca="1" si="34"/>
        <v>7.4348555168736022E-2</v>
      </c>
      <c r="Q113">
        <f t="shared" ca="1" si="35"/>
        <v>7.9709180276952882E-2</v>
      </c>
      <c r="R113">
        <f t="shared" ca="1" si="32"/>
        <v>0.93274770748374103</v>
      </c>
      <c r="S113">
        <f t="shared" ca="1" si="33"/>
        <v>48.260189567012468</v>
      </c>
      <c r="T113">
        <f>70</f>
        <v>70</v>
      </c>
      <c r="U113">
        <f>30</f>
        <v>30</v>
      </c>
      <c r="V113">
        <f t="shared" ca="1" si="31"/>
        <v>11.922587692866788</v>
      </c>
      <c r="W113">
        <f t="shared" ca="1" si="41"/>
        <v>11.982012859579715</v>
      </c>
      <c r="X113">
        <f t="shared" ca="1" si="40"/>
        <v>-5.7710639834677835E-2</v>
      </c>
      <c r="Y113">
        <f t="shared" ca="1" si="42"/>
        <v>-9.4400564695572203E-2</v>
      </c>
      <c r="Z113">
        <f t="shared" ca="1" si="43"/>
        <v>3.6689924860894368E-2</v>
      </c>
      <c r="AA113">
        <f t="shared" ca="1" si="44"/>
        <v>12.149700000000001</v>
      </c>
      <c r="AB113" s="18">
        <f t="shared" ca="1" si="29"/>
        <v>-2.1807109265354119E-2</v>
      </c>
      <c r="AC113" s="18">
        <f t="shared" ca="1" si="30"/>
        <v>-2.2048398604531283E-2</v>
      </c>
      <c r="AD113" s="18">
        <f t="shared" ca="1" si="25"/>
        <v>-4.1110999699184303E-3</v>
      </c>
    </row>
    <row r="114" spans="1:30" x14ac:dyDescent="0.25">
      <c r="A114" vm="304">
        <f ca="1"/>
        <v>45455</v>
      </c>
      <c r="B114" vm="144">
        <f ca="1"/>
        <v>11.8889</v>
      </c>
      <c r="C114" vm="305">
        <f ca="1"/>
        <v>58034334</v>
      </c>
      <c r="D114">
        <f t="shared" ca="1" si="22"/>
        <v>689964393.49259996</v>
      </c>
      <c r="E114">
        <f ca="1">SUM($D$2:D114)/SUM($C$2:C114)</f>
        <v>12.08488528791556</v>
      </c>
      <c r="F114">
        <f ca="1">_xlfn.STDEV.P($B$2:B114)</f>
        <v>0.53653938957025327</v>
      </c>
      <c r="G114">
        <f t="shared" ca="1" si="23"/>
        <v>12.621424677485813</v>
      </c>
      <c r="H114">
        <f t="shared" ca="1" si="24"/>
        <v>11.548345898345307</v>
      </c>
      <c r="I114">
        <f t="shared" ca="1" si="36"/>
        <v>11.898244999999999</v>
      </c>
      <c r="J114">
        <f t="shared" ca="1" si="37"/>
        <v>0.20697194692950405</v>
      </c>
      <c r="K114">
        <f t="shared" ca="1" si="38"/>
        <v>12.312188893859007</v>
      </c>
      <c r="L114">
        <f t="shared" ca="1" si="39"/>
        <v>11.484301106140991</v>
      </c>
      <c r="M114">
        <f t="shared" ca="1" si="26"/>
        <v>-2.9500000000000526E-2</v>
      </c>
      <c r="N114">
        <f t="shared" ca="1" si="27"/>
        <v>0</v>
      </c>
      <c r="O114">
        <f t="shared" ca="1" si="28"/>
        <v>2.9500000000000526E-2</v>
      </c>
      <c r="P114">
        <f t="shared" ca="1" si="34"/>
        <v>6.9037944085254876E-2</v>
      </c>
      <c r="Q114">
        <f t="shared" ca="1" si="35"/>
        <v>7.6122810257170576E-2</v>
      </c>
      <c r="R114">
        <f t="shared" ca="1" si="32"/>
        <v>0.90692847323974979</v>
      </c>
      <c r="S114">
        <f t="shared" ca="1" si="33"/>
        <v>47.559648196921415</v>
      </c>
      <c r="T114">
        <f>70</f>
        <v>70</v>
      </c>
      <c r="U114">
        <f>30</f>
        <v>30</v>
      </c>
      <c r="V114">
        <f t="shared" ca="1" si="31"/>
        <v>11.917404970887281</v>
      </c>
      <c r="W114">
        <f t="shared" ca="1" si="41"/>
        <v>11.975115610721959</v>
      </c>
      <c r="X114">
        <f t="shared" ca="1" si="40"/>
        <v>-6.6702271028818316E-2</v>
      </c>
      <c r="Y114">
        <f t="shared" ca="1" si="42"/>
        <v>-8.8860905962221431E-2</v>
      </c>
      <c r="Z114">
        <f t="shared" ca="1" si="43"/>
        <v>2.2158634933403115E-2</v>
      </c>
      <c r="AA114">
        <f t="shared" ca="1" si="44"/>
        <v>12.158360999999998</v>
      </c>
      <c r="AB114" s="18">
        <f t="shared" ca="1" si="29"/>
        <v>-2.4751644516043392E-3</v>
      </c>
      <c r="AC114" s="18">
        <f t="shared" ca="1" si="30"/>
        <v>-2.4782327351855755E-3</v>
      </c>
      <c r="AD114" s="18">
        <f t="shared" ca="1" si="25"/>
        <v>-6.5760887730201834E-3</v>
      </c>
    </row>
    <row r="115" spans="1:30" x14ac:dyDescent="0.25">
      <c r="A115" vm="306">
        <f ca="1"/>
        <v>45456</v>
      </c>
      <c r="B115" vm="307">
        <f ca="1"/>
        <v>11.751099999999999</v>
      </c>
      <c r="C115" vm="308">
        <f ca="1"/>
        <v>42088131</v>
      </c>
      <c r="D115">
        <f t="shared" ca="1" si="22"/>
        <v>494581836.19409996</v>
      </c>
      <c r="E115">
        <f ca="1">SUM($D$2:D115)/SUM($C$2:C115)</f>
        <v>12.082534982538352</v>
      </c>
      <c r="F115">
        <f ca="1">_xlfn.STDEV.P($B$2:B115)</f>
        <v>0.53503877347322149</v>
      </c>
      <c r="G115">
        <f t="shared" ca="1" si="23"/>
        <v>12.617573756011573</v>
      </c>
      <c r="H115">
        <f t="shared" ca="1" si="24"/>
        <v>11.54749620906513</v>
      </c>
      <c r="I115">
        <f t="shared" ca="1" si="36"/>
        <v>11.880034999999998</v>
      </c>
      <c r="J115">
        <f t="shared" ca="1" si="37"/>
        <v>0.20285035260662371</v>
      </c>
      <c r="K115">
        <f t="shared" ca="1" si="38"/>
        <v>12.285735705213245</v>
      </c>
      <c r="L115">
        <f t="shared" ca="1" si="39"/>
        <v>11.47433429478675</v>
      </c>
      <c r="M115">
        <f t="shared" ca="1" si="26"/>
        <v>-0.13780000000000037</v>
      </c>
      <c r="N115">
        <f t="shared" ca="1" si="27"/>
        <v>0</v>
      </c>
      <c r="O115">
        <f t="shared" ca="1" si="28"/>
        <v>0.13780000000000037</v>
      </c>
      <c r="P115">
        <f t="shared" ca="1" si="34"/>
        <v>6.4106662364879524E-2</v>
      </c>
      <c r="Q115">
        <f t="shared" ca="1" si="35"/>
        <v>8.0528323810229854E-2</v>
      </c>
      <c r="R115">
        <f t="shared" ca="1" si="32"/>
        <v>0.79607595603195436</v>
      </c>
      <c r="S115">
        <f t="shared" ca="1" si="33"/>
        <v>44.323067371310614</v>
      </c>
      <c r="T115">
        <f>70</f>
        <v>70</v>
      </c>
      <c r="U115">
        <f>30</f>
        <v>30</v>
      </c>
      <c r="V115">
        <f t="shared" ca="1" si="31"/>
        <v>11.891819590750774</v>
      </c>
      <c r="W115">
        <f t="shared" ca="1" si="41"/>
        <v>11.958521861779593</v>
      </c>
      <c r="X115">
        <f t="shared" ca="1" si="40"/>
        <v>-9.1047255342985522E-2</v>
      </c>
      <c r="Y115">
        <f t="shared" ca="1" si="42"/>
        <v>-8.9298175838374252E-2</v>
      </c>
      <c r="Z115">
        <f t="shared" ca="1" si="43"/>
        <v>-1.74907950461127E-3</v>
      </c>
      <c r="AA115">
        <f t="shared" ca="1" si="44"/>
        <v>12.165643999999997</v>
      </c>
      <c r="AB115" s="18">
        <f t="shared" ca="1" si="29"/>
        <v>-1.1590643373230569E-2</v>
      </c>
      <c r="AC115" s="18">
        <f t="shared" ca="1" si="30"/>
        <v>-1.1658338475044702E-2</v>
      </c>
      <c r="AD115" s="18">
        <f t="shared" ca="1" si="25"/>
        <v>-1.8090511046491953E-2</v>
      </c>
    </row>
    <row r="116" spans="1:30" x14ac:dyDescent="0.25">
      <c r="A116" vm="309">
        <f ca="1"/>
        <v>45457</v>
      </c>
      <c r="B116" vm="5">
        <f ca="1"/>
        <v>11.524699999999999</v>
      </c>
      <c r="C116" vm="310">
        <f ca="1"/>
        <v>50175869</v>
      </c>
      <c r="D116">
        <f t="shared" ca="1" si="22"/>
        <v>578261837.46429992</v>
      </c>
      <c r="E116">
        <f ca="1">SUM($D$2:D116)/SUM($C$2:C116)</f>
        <v>12.077891245016888</v>
      </c>
      <c r="F116">
        <f ca="1">_xlfn.STDEV.P($B$2:B116)</f>
        <v>0.53513457547111498</v>
      </c>
      <c r="G116">
        <f t="shared" ca="1" si="23"/>
        <v>12.613025820488003</v>
      </c>
      <c r="H116">
        <f t="shared" ca="1" si="24"/>
        <v>11.542756669545772</v>
      </c>
      <c r="I116">
        <f t="shared" ca="1" si="36"/>
        <v>11.847064999999999</v>
      </c>
      <c r="J116">
        <f t="shared" ca="1" si="37"/>
        <v>0.20440981353257248</v>
      </c>
      <c r="K116">
        <f t="shared" ca="1" si="38"/>
        <v>12.255884627065143</v>
      </c>
      <c r="L116">
        <f t="shared" ca="1" si="39"/>
        <v>11.438245372934855</v>
      </c>
      <c r="M116">
        <f t="shared" ca="1" si="26"/>
        <v>-0.22639999999999993</v>
      </c>
      <c r="N116">
        <f t="shared" ca="1" si="27"/>
        <v>0</v>
      </c>
      <c r="O116">
        <f t="shared" ca="1" si="28"/>
        <v>0.22639999999999993</v>
      </c>
      <c r="P116">
        <f t="shared" ca="1" si="34"/>
        <v>5.952761505310241E-2</v>
      </c>
      <c r="Q116">
        <f t="shared" ca="1" si="35"/>
        <v>9.0947729252356294E-2</v>
      </c>
      <c r="R116">
        <f t="shared" ca="1" si="32"/>
        <v>0.65452557796059718</v>
      </c>
      <c r="S116">
        <f t="shared" ca="1" si="33"/>
        <v>39.55971347190529</v>
      </c>
      <c r="T116">
        <f>70</f>
        <v>70</v>
      </c>
      <c r="U116">
        <f>30</f>
        <v>30</v>
      </c>
      <c r="V116">
        <f t="shared" ca="1" si="31"/>
        <v>11.835339653712193</v>
      </c>
      <c r="W116">
        <f t="shared" ca="1" si="41"/>
        <v>11.926386909055179</v>
      </c>
      <c r="X116">
        <f t="shared" ca="1" si="40"/>
        <v>-9.8090792850175745E-2</v>
      </c>
      <c r="Y116">
        <f t="shared" ca="1" si="42"/>
        <v>-9.1056699240734562E-2</v>
      </c>
      <c r="Z116">
        <f t="shared" ca="1" si="43"/>
        <v>-7.0340936094411832E-3</v>
      </c>
      <c r="AA116">
        <f t="shared" ca="1" si="44"/>
        <v>12.168990000000001</v>
      </c>
      <c r="AB116" s="18">
        <f t="shared" ca="1" si="29"/>
        <v>-1.9266281454502154E-2</v>
      </c>
      <c r="AC116" s="18">
        <f t="shared" ca="1" si="30"/>
        <v>-1.9454295054491994E-2</v>
      </c>
      <c r="AD116" s="18">
        <f t="shared" ca="1" si="25"/>
        <v>-3.7008255623516617E-2</v>
      </c>
    </row>
    <row r="117" spans="1:30" x14ac:dyDescent="0.25">
      <c r="A117" vm="311">
        <f ca="1"/>
        <v>45460</v>
      </c>
      <c r="B117" vm="11">
        <f ca="1"/>
        <v>11.6625</v>
      </c>
      <c r="C117" vm="312">
        <f ca="1"/>
        <v>32484032</v>
      </c>
      <c r="D117">
        <f t="shared" ca="1" si="22"/>
        <v>378845023.19999999</v>
      </c>
      <c r="E117">
        <f ca="1">SUM($D$2:D117)/SUM($C$2:C117)</f>
        <v>12.075664553777671</v>
      </c>
      <c r="F117">
        <f ca="1">_xlfn.STDEV.P($B$2:B117)</f>
        <v>0.53414178706784721</v>
      </c>
      <c r="G117">
        <f t="shared" ca="1" si="23"/>
        <v>12.609806340845518</v>
      </c>
      <c r="H117">
        <f t="shared" ca="1" si="24"/>
        <v>11.541522766709823</v>
      </c>
      <c r="I117">
        <f t="shared" ca="1" si="36"/>
        <v>11.825904999999999</v>
      </c>
      <c r="J117">
        <f t="shared" ca="1" si="37"/>
        <v>0.20026912544189926</v>
      </c>
      <c r="K117">
        <f t="shared" ca="1" si="38"/>
        <v>12.226443250883797</v>
      </c>
      <c r="L117">
        <f t="shared" ca="1" si="39"/>
        <v>11.425366749116201</v>
      </c>
      <c r="M117">
        <f t="shared" ca="1" si="26"/>
        <v>0.13780000000000037</v>
      </c>
      <c r="N117">
        <f t="shared" ca="1" si="27"/>
        <v>0.13780000000000037</v>
      </c>
      <c r="O117">
        <f t="shared" ca="1" si="28"/>
        <v>0</v>
      </c>
      <c r="P117">
        <f t="shared" ca="1" si="34"/>
        <v>6.5118499692166557E-2</v>
      </c>
      <c r="Q117">
        <f t="shared" ca="1" si="35"/>
        <v>8.445146287718798E-2</v>
      </c>
      <c r="R117">
        <f t="shared" ca="1" si="32"/>
        <v>0.77107604147561026</v>
      </c>
      <c r="S117">
        <f t="shared" ca="1" si="33"/>
        <v>43.537150490340984</v>
      </c>
      <c r="T117">
        <f>70</f>
        <v>70</v>
      </c>
      <c r="U117">
        <f>30</f>
        <v>30</v>
      </c>
      <c r="V117">
        <f t="shared" ca="1" si="31"/>
        <v>11.808748937756471</v>
      </c>
      <c r="W117">
        <f t="shared" ca="1" si="41"/>
        <v>11.906839730606647</v>
      </c>
      <c r="X117">
        <f t="shared" ca="1" si="40"/>
        <v>-0.10798768642019674</v>
      </c>
      <c r="Y117">
        <f t="shared" ca="1" si="42"/>
        <v>-9.4442896676627003E-2</v>
      </c>
      <c r="Z117">
        <f t="shared" ca="1" si="43"/>
        <v>-1.3544789743569735E-2</v>
      </c>
      <c r="AA117">
        <f t="shared" ca="1" si="44"/>
        <v>12.177059999999997</v>
      </c>
      <c r="AB117" s="18">
        <f t="shared" ca="1" si="29"/>
        <v>1.1956927295287523E-2</v>
      </c>
      <c r="AC117" s="18">
        <f t="shared" ca="1" si="30"/>
        <v>1.1886007998309493E-2</v>
      </c>
      <c r="AD117" s="18">
        <f t="shared" ca="1" si="25"/>
        <v>-2.5493833350044848E-2</v>
      </c>
    </row>
    <row r="118" spans="1:30" x14ac:dyDescent="0.25">
      <c r="A118" vm="313">
        <f ca="1"/>
        <v>45461</v>
      </c>
      <c r="B118" vm="56">
        <f ca="1"/>
        <v>11.5936</v>
      </c>
      <c r="C118" vm="314">
        <f ca="1"/>
        <v>29489885</v>
      </c>
      <c r="D118">
        <f t="shared" ca="1" si="22"/>
        <v>341893930.736</v>
      </c>
      <c r="E118">
        <f ca="1">SUM($D$2:D118)/SUM($C$2:C118)</f>
        <v>12.073330006385904</v>
      </c>
      <c r="F118">
        <f ca="1">_xlfn.STDEV.P($B$2:B118)</f>
        <v>0.53361984935968454</v>
      </c>
      <c r="G118">
        <f t="shared" ca="1" si="23"/>
        <v>12.606949855745588</v>
      </c>
      <c r="H118">
        <f t="shared" ca="1" si="24"/>
        <v>11.539710157026219</v>
      </c>
      <c r="I118">
        <f t="shared" ca="1" si="36"/>
        <v>11.807694999999999</v>
      </c>
      <c r="J118">
        <f t="shared" ca="1" si="37"/>
        <v>0.20416504797782967</v>
      </c>
      <c r="K118">
        <f t="shared" ca="1" si="38"/>
        <v>12.216025095955658</v>
      </c>
      <c r="L118">
        <f t="shared" ca="1" si="39"/>
        <v>11.39936490404434</v>
      </c>
      <c r="M118">
        <f t="shared" ca="1" si="26"/>
        <v>-6.8899999999999295E-2</v>
      </c>
      <c r="N118">
        <f t="shared" ca="1" si="27"/>
        <v>0</v>
      </c>
      <c r="O118">
        <f t="shared" ca="1" si="28"/>
        <v>6.8899999999999295E-2</v>
      </c>
      <c r="P118">
        <f t="shared" ca="1" si="34"/>
        <v>6.0467178285583234E-2</v>
      </c>
      <c r="Q118">
        <f t="shared" ca="1" si="35"/>
        <v>8.3340644100245928E-2</v>
      </c>
      <c r="R118">
        <f t="shared" ca="1" si="32"/>
        <v>0.72554248816280509</v>
      </c>
      <c r="S118">
        <f t="shared" ca="1" si="33"/>
        <v>42.047210841808614</v>
      </c>
      <c r="T118">
        <f>70</f>
        <v>70</v>
      </c>
      <c r="U118">
        <f>30</f>
        <v>30</v>
      </c>
      <c r="V118">
        <f t="shared" ca="1" si="31"/>
        <v>11.775649101178551</v>
      </c>
      <c r="W118">
        <f t="shared" ca="1" si="41"/>
        <v>11.883636787598748</v>
      </c>
      <c r="X118">
        <f t="shared" ca="1" si="40"/>
        <v>-0.1019469313947674</v>
      </c>
      <c r="Y118">
        <f t="shared" ca="1" si="42"/>
        <v>-9.5943703620255089E-2</v>
      </c>
      <c r="Z118">
        <f t="shared" ca="1" si="43"/>
        <v>-6.0032277745123153E-3</v>
      </c>
      <c r="AA118">
        <f t="shared" ca="1" si="44"/>
        <v>12.181389999999999</v>
      </c>
      <c r="AB118" s="18">
        <f t="shared" ca="1" si="29"/>
        <v>-5.9078242229366751E-3</v>
      </c>
      <c r="AC118" s="18">
        <f t="shared" ca="1" si="30"/>
        <v>-5.9253444548410823E-3</v>
      </c>
      <c r="AD118" s="18">
        <f t="shared" ca="1" si="25"/>
        <v>-3.1251044486780621E-2</v>
      </c>
    </row>
    <row r="119" spans="1:30" x14ac:dyDescent="0.25">
      <c r="A119" vm="315">
        <f ca="1"/>
        <v>45463</v>
      </c>
      <c r="B119" vm="307">
        <f ca="1"/>
        <v>11.751099999999999</v>
      </c>
      <c r="C119" vm="316">
        <f ca="1"/>
        <v>54327431</v>
      </c>
      <c r="D119">
        <f t="shared" ca="1" si="22"/>
        <v>638407074.42409992</v>
      </c>
      <c r="E119">
        <f ca="1">SUM($D$2:D119)/SUM($C$2:C119)</f>
        <v>12.070480614795988</v>
      </c>
      <c r="F119">
        <f ca="1">_xlfn.STDEV.P($B$2:B119)</f>
        <v>0.53211149886621834</v>
      </c>
      <c r="G119">
        <f t="shared" ca="1" si="23"/>
        <v>12.602592113662206</v>
      </c>
      <c r="H119">
        <f t="shared" ca="1" si="24"/>
        <v>11.53836911592977</v>
      </c>
      <c r="I119">
        <f t="shared" ca="1" si="36"/>
        <v>11.797359999999999</v>
      </c>
      <c r="J119">
        <f t="shared" ca="1" si="37"/>
        <v>0.20137934980110495</v>
      </c>
      <c r="K119">
        <f t="shared" ca="1" si="38"/>
        <v>12.200118699602209</v>
      </c>
      <c r="L119">
        <f t="shared" ca="1" si="39"/>
        <v>11.39460130039779</v>
      </c>
      <c r="M119">
        <f t="shared" ca="1" si="26"/>
        <v>0.15749999999999886</v>
      </c>
      <c r="N119">
        <f t="shared" ca="1" si="27"/>
        <v>0.15749999999999886</v>
      </c>
      <c r="O119">
        <f t="shared" ca="1" si="28"/>
        <v>0</v>
      </c>
      <c r="P119">
        <f t="shared" ca="1" si="34"/>
        <v>6.739809412232721E-2</v>
      </c>
      <c r="Q119">
        <f t="shared" ca="1" si="35"/>
        <v>7.7387740950228365E-2</v>
      </c>
      <c r="R119">
        <f t="shared" ca="1" si="32"/>
        <v>0.87091435018983232</v>
      </c>
      <c r="S119">
        <f t="shared" ca="1" si="33"/>
        <v>46.550198842692339</v>
      </c>
      <c r="T119">
        <f>70</f>
        <v>70</v>
      </c>
      <c r="U119">
        <f>30</f>
        <v>30</v>
      </c>
      <c r="V119">
        <f t="shared" ca="1" si="31"/>
        <v>11.771872316381852</v>
      </c>
      <c r="W119">
        <f t="shared" ca="1" si="41"/>
        <v>11.87381924777662</v>
      </c>
      <c r="X119">
        <f t="shared" ca="1" si="40"/>
        <v>-0.10390193037604512</v>
      </c>
      <c r="Y119">
        <f t="shared" ca="1" si="42"/>
        <v>-9.7535348971413111E-2</v>
      </c>
      <c r="Z119">
        <f t="shared" ca="1" si="43"/>
        <v>-6.3665814046320046E-3</v>
      </c>
      <c r="AA119">
        <f t="shared" ca="1" si="44"/>
        <v>12.186802999999998</v>
      </c>
      <c r="AB119" s="18">
        <f t="shared" ca="1" si="29"/>
        <v>1.358508142423398E-2</v>
      </c>
      <c r="AC119" s="18">
        <f t="shared" ca="1" si="30"/>
        <v>1.3493631511023577E-2</v>
      </c>
      <c r="AD119" s="18">
        <f t="shared" ca="1" si="25"/>
        <v>-1.8090511046491953E-2</v>
      </c>
    </row>
    <row r="120" spans="1:30" x14ac:dyDescent="0.25">
      <c r="A120" vm="317">
        <f ca="1"/>
        <v>45464</v>
      </c>
      <c r="B120" vm="17">
        <f ca="1"/>
        <v>11.652699999999999</v>
      </c>
      <c r="C120" vm="318">
        <f ca="1"/>
        <v>51008883</v>
      </c>
      <c r="D120">
        <f t="shared" ca="1" si="22"/>
        <v>594391210.93409991</v>
      </c>
      <c r="E120">
        <f ca="1">SUM($D$2:D120)/SUM($C$2:C120)</f>
        <v>12.067040521577223</v>
      </c>
      <c r="F120">
        <f ca="1">_xlfn.STDEV.P($B$2:B120)</f>
        <v>0.53116183702102404</v>
      </c>
      <c r="G120">
        <f t="shared" ca="1" si="23"/>
        <v>12.598202358598247</v>
      </c>
      <c r="H120">
        <f t="shared" ca="1" si="24"/>
        <v>11.535878684556199</v>
      </c>
      <c r="I120">
        <f t="shared" ca="1" si="36"/>
        <v>11.78801</v>
      </c>
      <c r="J120">
        <f t="shared" ca="1" si="37"/>
        <v>0.20363855983735393</v>
      </c>
      <c r="K120">
        <f t="shared" ca="1" si="38"/>
        <v>12.195287119674708</v>
      </c>
      <c r="L120">
        <f t="shared" ca="1" si="39"/>
        <v>11.380732880325292</v>
      </c>
      <c r="M120">
        <f t="shared" ca="1" si="26"/>
        <v>-9.8399999999999821E-2</v>
      </c>
      <c r="N120">
        <f t="shared" ca="1" si="27"/>
        <v>0</v>
      </c>
      <c r="O120">
        <f t="shared" ca="1" si="28"/>
        <v>9.8399999999999821E-2</v>
      </c>
      <c r="P120">
        <f t="shared" ca="1" si="34"/>
        <v>6.2583944542160971E-2</v>
      </c>
      <c r="Q120">
        <f t="shared" ca="1" si="35"/>
        <v>7.8888616596640607E-2</v>
      </c>
      <c r="R120">
        <f t="shared" ca="1" si="32"/>
        <v>0.79332034509052407</v>
      </c>
      <c r="S120">
        <f t="shared" ca="1" si="33"/>
        <v>44.237514354998218</v>
      </c>
      <c r="T120">
        <f>70</f>
        <v>70</v>
      </c>
      <c r="U120">
        <f>30</f>
        <v>30</v>
      </c>
      <c r="V120">
        <f t="shared" ca="1" si="31"/>
        <v>11.753538113861566</v>
      </c>
      <c r="W120">
        <f t="shared" ca="1" si="41"/>
        <v>11.857440044237611</v>
      </c>
      <c r="X120">
        <f t="shared" ca="1" si="40"/>
        <v>-7.3633032935438436E-2</v>
      </c>
      <c r="Y120">
        <f t="shared" ca="1" si="42"/>
        <v>-9.2754885764218184E-2</v>
      </c>
      <c r="Z120">
        <f t="shared" ca="1" si="43"/>
        <v>1.9121852828779748E-2</v>
      </c>
      <c r="AA120">
        <f t="shared" ca="1" si="44"/>
        <v>12.189656999999997</v>
      </c>
      <c r="AB120" s="18">
        <f t="shared" ca="1" si="29"/>
        <v>-8.3736841657376937E-3</v>
      </c>
      <c r="AC120" s="18">
        <f t="shared" ca="1" si="30"/>
        <v>-8.4089404134032649E-3</v>
      </c>
      <c r="AD120" s="18">
        <f t="shared" ca="1" si="25"/>
        <v>-2.6312710986329479E-2</v>
      </c>
    </row>
    <row r="121" spans="1:30" x14ac:dyDescent="0.25">
      <c r="A121" vm="319">
        <f ca="1"/>
        <v>45467</v>
      </c>
      <c r="B121" vm="200">
        <f ca="1"/>
        <v>12.0365</v>
      </c>
      <c r="C121" vm="320">
        <f ca="1"/>
        <v>59376244</v>
      </c>
      <c r="D121">
        <f t="shared" ca="1" si="22"/>
        <v>714682160.90600002</v>
      </c>
      <c r="E121">
        <f ca="1">SUM($D$2:D121)/SUM($C$2:C121)</f>
        <v>12.066750572035735</v>
      </c>
      <c r="F121">
        <f ca="1">_xlfn.STDEV.P($B$2:B121)</f>
        <v>0.52894662325163366</v>
      </c>
      <c r="G121">
        <f t="shared" ca="1" si="23"/>
        <v>12.595697195287368</v>
      </c>
      <c r="H121">
        <f t="shared" ca="1" si="24"/>
        <v>11.537803948784102</v>
      </c>
      <c r="I121">
        <f t="shared" ca="1" si="36"/>
        <v>11.793915</v>
      </c>
      <c r="J121">
        <f t="shared" ca="1" si="37"/>
        <v>0.20925342800436736</v>
      </c>
      <c r="K121">
        <f t="shared" ca="1" si="38"/>
        <v>12.212421856008735</v>
      </c>
      <c r="L121">
        <f t="shared" ca="1" si="39"/>
        <v>11.375408143991265</v>
      </c>
      <c r="M121">
        <f t="shared" ca="1" si="26"/>
        <v>0.38380000000000081</v>
      </c>
      <c r="N121">
        <f t="shared" ca="1" si="27"/>
        <v>0.38380000000000081</v>
      </c>
      <c r="O121">
        <f t="shared" ca="1" si="28"/>
        <v>0</v>
      </c>
      <c r="P121">
        <f t="shared" ca="1" si="34"/>
        <v>8.5527948503435244E-2</v>
      </c>
      <c r="Q121">
        <f t="shared" ca="1" si="35"/>
        <v>7.3253715411166279E-2</v>
      </c>
      <c r="R121">
        <f t="shared" ca="1" si="32"/>
        <v>1.1675578231544277</v>
      </c>
      <c r="S121">
        <f t="shared" ca="1" si="33"/>
        <v>53.865129256634603</v>
      </c>
      <c r="T121">
        <f>70</f>
        <v>70</v>
      </c>
      <c r="U121">
        <f>30</f>
        <v>30</v>
      </c>
      <c r="V121">
        <f t="shared" ca="1" si="31"/>
        <v>11.797070711729017</v>
      </c>
      <c r="W121">
        <f t="shared" ca="1" si="41"/>
        <v>11.870703744664455</v>
      </c>
      <c r="X121">
        <f t="shared" ca="1" si="40"/>
        <v>-6.0071554508347447E-2</v>
      </c>
      <c r="Y121">
        <f t="shared" ca="1" si="42"/>
        <v>-8.6218219513044037E-2</v>
      </c>
      <c r="Z121">
        <f t="shared" ca="1" si="43"/>
        <v>2.614666500469659E-2</v>
      </c>
      <c r="AA121">
        <f t="shared" ca="1" si="44"/>
        <v>12.194085999999997</v>
      </c>
      <c r="AB121" s="18">
        <f t="shared" ca="1" si="29"/>
        <v>3.2936572639817419E-2</v>
      </c>
      <c r="AC121" s="18">
        <f t="shared" ca="1" si="30"/>
        <v>3.2405787129255736E-2</v>
      </c>
      <c r="AD121" s="18">
        <f t="shared" ca="1" si="25"/>
        <v>5.7572111367361067E-3</v>
      </c>
    </row>
    <row r="122" spans="1:30" x14ac:dyDescent="0.25">
      <c r="A122" vm="321">
        <f ca="1"/>
        <v>45468</v>
      </c>
      <c r="B122" vm="203">
        <f ca="1"/>
        <v>11.8987</v>
      </c>
      <c r="C122" vm="322">
        <f ca="1"/>
        <v>39956038</v>
      </c>
      <c r="D122">
        <f t="shared" ca="1" si="22"/>
        <v>475424909.3506</v>
      </c>
      <c r="E122">
        <f ca="1">SUM($D$2:D122)/SUM($C$2:C122)</f>
        <v>12.065683755114605</v>
      </c>
      <c r="F122">
        <f ca="1">_xlfn.STDEV.P($B$2:B122)</f>
        <v>0.52694531330385264</v>
      </c>
      <c r="G122">
        <f t="shared" ca="1" si="23"/>
        <v>12.592629068418457</v>
      </c>
      <c r="H122">
        <f t="shared" ca="1" si="24"/>
        <v>11.538738441810754</v>
      </c>
      <c r="I122">
        <f t="shared" ca="1" si="36"/>
        <v>11.790470000000001</v>
      </c>
      <c r="J122">
        <f t="shared" ca="1" si="37"/>
        <v>0.20679623864033286</v>
      </c>
      <c r="K122">
        <f t="shared" ca="1" si="38"/>
        <v>12.204062477280667</v>
      </c>
      <c r="L122">
        <f t="shared" ca="1" si="39"/>
        <v>11.376877522719335</v>
      </c>
      <c r="M122">
        <f t="shared" ca="1" si="26"/>
        <v>-0.13780000000000037</v>
      </c>
      <c r="N122">
        <f t="shared" ca="1" si="27"/>
        <v>0</v>
      </c>
      <c r="O122">
        <f t="shared" ca="1" si="28"/>
        <v>0.13780000000000037</v>
      </c>
      <c r="P122">
        <f t="shared" ca="1" si="34"/>
        <v>7.9418809324618436E-2</v>
      </c>
      <c r="Q122">
        <f t="shared" ca="1" si="35"/>
        <v>7.7864164310368703E-2</v>
      </c>
      <c r="R122">
        <f t="shared" ca="1" si="32"/>
        <v>1.0199661169938572</v>
      </c>
      <c r="S122">
        <f t="shared" ca="1" si="33"/>
        <v>50.494219106594997</v>
      </c>
      <c r="T122">
        <f>70</f>
        <v>70</v>
      </c>
      <c r="U122">
        <f>30</f>
        <v>30</v>
      </c>
      <c r="V122">
        <f t="shared" ca="1" si="31"/>
        <v>11.812705986847629</v>
      </c>
      <c r="W122">
        <f t="shared" ca="1" si="41"/>
        <v>11.872777541355976</v>
      </c>
      <c r="X122">
        <f t="shared" ca="1" si="40"/>
        <v>-4.7190378481328565E-2</v>
      </c>
      <c r="Y122">
        <f t="shared" ca="1" si="42"/>
        <v>-7.8412651306700942E-2</v>
      </c>
      <c r="Z122">
        <f t="shared" ca="1" si="43"/>
        <v>3.1222272825372377E-2</v>
      </c>
      <c r="AA122">
        <f t="shared" ca="1" si="44"/>
        <v>12.197726999999997</v>
      </c>
      <c r="AB122" s="18">
        <f t="shared" ca="1" si="29"/>
        <v>-1.1448510779711762E-2</v>
      </c>
      <c r="AC122" s="18">
        <f t="shared" ca="1" si="30"/>
        <v>-1.1514549493019827E-2</v>
      </c>
      <c r="AD122" s="18">
        <f t="shared" ca="1" si="25"/>
        <v>-5.7572111367356626E-3</v>
      </c>
    </row>
    <row r="123" spans="1:30" x14ac:dyDescent="0.25">
      <c r="A123" vm="323">
        <f ca="1"/>
        <v>45469</v>
      </c>
      <c r="B123" vm="136">
        <f ca="1"/>
        <v>11.9184</v>
      </c>
      <c r="C123" vm="324">
        <f ca="1"/>
        <v>42092512</v>
      </c>
      <c r="D123">
        <f t="shared" ca="1" si="22"/>
        <v>501675395.02079999</v>
      </c>
      <c r="E123">
        <f ca="1">SUM($D$2:D123)/SUM($C$2:C123)</f>
        <v>12.064705319070828</v>
      </c>
      <c r="F123">
        <f ca="1">_xlfn.STDEV.P($B$2:B123)</f>
        <v>0.5249221336120421</v>
      </c>
      <c r="G123">
        <f t="shared" ca="1" si="23"/>
        <v>12.589627452682871</v>
      </c>
      <c r="H123">
        <f t="shared" ca="1" si="24"/>
        <v>11.539783185458786</v>
      </c>
      <c r="I123">
        <f t="shared" ca="1" si="36"/>
        <v>11.811629999999999</v>
      </c>
      <c r="J123">
        <f t="shared" ca="1" si="37"/>
        <v>0.19638252173272783</v>
      </c>
      <c r="K123">
        <f t="shared" ca="1" si="38"/>
        <v>12.204395043465455</v>
      </c>
      <c r="L123">
        <f t="shared" ca="1" si="39"/>
        <v>11.418864956534543</v>
      </c>
      <c r="M123">
        <f t="shared" ca="1" si="26"/>
        <v>1.9700000000000273E-2</v>
      </c>
      <c r="N123">
        <f t="shared" ca="1" si="27"/>
        <v>1.9700000000000273E-2</v>
      </c>
      <c r="O123">
        <f t="shared" ca="1" si="28"/>
        <v>0</v>
      </c>
      <c r="P123">
        <f t="shared" ca="1" si="34"/>
        <v>7.5153180087145707E-2</v>
      </c>
      <c r="Q123">
        <f t="shared" ca="1" si="35"/>
        <v>7.2302438288199503E-2</v>
      </c>
      <c r="R123">
        <f t="shared" ca="1" si="32"/>
        <v>1.0394280174561066</v>
      </c>
      <c r="S123">
        <f t="shared" ca="1" si="33"/>
        <v>50.966644007992194</v>
      </c>
      <c r="T123">
        <f>70</f>
        <v>70</v>
      </c>
      <c r="U123">
        <f>30</f>
        <v>30</v>
      </c>
      <c r="V123">
        <f t="shared" ca="1" si="31"/>
        <v>11.828966604255687</v>
      </c>
      <c r="W123">
        <f t="shared" ca="1" si="41"/>
        <v>11.876156982737015</v>
      </c>
      <c r="X123">
        <f t="shared" ca="1" si="40"/>
        <v>-2.7139424289433833E-2</v>
      </c>
      <c r="Y123">
        <f t="shared" ca="1" si="42"/>
        <v>-6.8158005903247526E-2</v>
      </c>
      <c r="Z123">
        <f t="shared" ca="1" si="43"/>
        <v>4.1018581613813693E-2</v>
      </c>
      <c r="AA123">
        <f t="shared" ca="1" si="44"/>
        <v>12.197824999999996</v>
      </c>
      <c r="AB123" s="18">
        <f t="shared" ca="1" si="29"/>
        <v>1.6556430534429012E-3</v>
      </c>
      <c r="AC123" s="18">
        <f t="shared" ca="1" si="30"/>
        <v>1.6542739873975133E-3</v>
      </c>
      <c r="AD123" s="18">
        <f t="shared" ca="1" si="25"/>
        <v>-4.1110999699185413E-3</v>
      </c>
    </row>
    <row r="124" spans="1:30" x14ac:dyDescent="0.25">
      <c r="A124" vm="325">
        <f ca="1"/>
        <v>45470</v>
      </c>
      <c r="B124" vm="200">
        <f ca="1"/>
        <v>12.0365</v>
      </c>
      <c r="C124" vm="326">
        <f ca="1"/>
        <v>48853093</v>
      </c>
      <c r="D124">
        <f t="shared" ca="1" si="22"/>
        <v>588020253.89450002</v>
      </c>
      <c r="E124">
        <f ca="1">SUM($D$2:D124)/SUM($C$2:C124)</f>
        <v>12.064489514725988</v>
      </c>
      <c r="F124">
        <f ca="1">_xlfn.STDEV.P($B$2:B124)</f>
        <v>0.52278584176005438</v>
      </c>
      <c r="G124">
        <f t="shared" ca="1" si="23"/>
        <v>12.587275356486042</v>
      </c>
      <c r="H124">
        <f t="shared" ca="1" si="24"/>
        <v>11.541703672965934</v>
      </c>
      <c r="I124">
        <f t="shared" ca="1" si="36"/>
        <v>11.8446</v>
      </c>
      <c r="J124">
        <f t="shared" ca="1" si="37"/>
        <v>0.17362475872439778</v>
      </c>
      <c r="K124">
        <f t="shared" ca="1" si="38"/>
        <v>12.191849517448796</v>
      </c>
      <c r="L124">
        <f t="shared" ca="1" si="39"/>
        <v>11.497350482551203</v>
      </c>
      <c r="M124">
        <f t="shared" ca="1" si="26"/>
        <v>0.11810000000000009</v>
      </c>
      <c r="N124">
        <f t="shared" ca="1" si="27"/>
        <v>0.11810000000000009</v>
      </c>
      <c r="O124">
        <f t="shared" ca="1" si="28"/>
        <v>0</v>
      </c>
      <c r="P124">
        <f t="shared" ca="1" si="34"/>
        <v>7.8220810080921035E-2</v>
      </c>
      <c r="Q124">
        <f t="shared" ca="1" si="35"/>
        <v>6.7137978410470964E-2</v>
      </c>
      <c r="R124">
        <f t="shared" ca="1" si="32"/>
        <v>1.1650754451182816</v>
      </c>
      <c r="S124">
        <f t="shared" ca="1" si="33"/>
        <v>53.812233090779507</v>
      </c>
      <c r="T124">
        <f>70</f>
        <v>70</v>
      </c>
      <c r="U124">
        <f>30</f>
        <v>30</v>
      </c>
      <c r="V124">
        <f t="shared" ca="1" si="31"/>
        <v>11.86089481898558</v>
      </c>
      <c r="W124">
        <f t="shared" ca="1" si="41"/>
        <v>11.888034243275014</v>
      </c>
      <c r="X124">
        <f t="shared" ca="1" si="40"/>
        <v>1.3217755482443749E-2</v>
      </c>
      <c r="Y124">
        <f t="shared" ca="1" si="42"/>
        <v>-5.1882853626109275E-2</v>
      </c>
      <c r="Z124">
        <f t="shared" ca="1" si="43"/>
        <v>6.5100609108553031E-2</v>
      </c>
      <c r="AA124">
        <f t="shared" ca="1" si="44"/>
        <v>12.198710999999996</v>
      </c>
      <c r="AB124" s="18">
        <f t="shared" ca="1" si="29"/>
        <v>9.9090481943884257E-3</v>
      </c>
      <c r="AC124" s="18">
        <f t="shared" ca="1" si="30"/>
        <v>9.8602755056222662E-3</v>
      </c>
      <c r="AD124" s="18">
        <f t="shared" ca="1" si="25"/>
        <v>5.7572111367361067E-3</v>
      </c>
    </row>
    <row r="125" spans="1:30" x14ac:dyDescent="0.25">
      <c r="A125" vm="327">
        <f ca="1"/>
        <v>45471</v>
      </c>
      <c r="B125" vm="328">
        <f ca="1"/>
        <v>12.3416</v>
      </c>
      <c r="C125" vm="329">
        <f ca="1"/>
        <v>66974226</v>
      </c>
      <c r="D125">
        <f t="shared" ca="1" si="22"/>
        <v>826569107.60159993</v>
      </c>
      <c r="E125">
        <f ca="1">SUM($D$2:D125)/SUM($C$2:C125)</f>
        <v>12.067366025882421</v>
      </c>
      <c r="F125">
        <f ca="1">_xlfn.STDEV.P($B$2:B125)</f>
        <v>0.52131726240560672</v>
      </c>
      <c r="G125">
        <f t="shared" ca="1" si="23"/>
        <v>12.588683288288028</v>
      </c>
      <c r="H125">
        <f t="shared" ca="1" si="24"/>
        <v>11.546048763476815</v>
      </c>
      <c r="I125">
        <f t="shared" ca="1" si="36"/>
        <v>11.882490000000001</v>
      </c>
      <c r="J125">
        <f t="shared" ca="1" si="37"/>
        <v>0.19507689415094506</v>
      </c>
      <c r="K125">
        <f t="shared" ca="1" si="38"/>
        <v>12.27264378830189</v>
      </c>
      <c r="L125">
        <f t="shared" ca="1" si="39"/>
        <v>11.492336211698111</v>
      </c>
      <c r="M125">
        <f t="shared" ca="1" si="26"/>
        <v>0.30509999999999948</v>
      </c>
      <c r="N125">
        <f t="shared" ca="1" si="27"/>
        <v>0.30509999999999948</v>
      </c>
      <c r="O125">
        <f t="shared" ca="1" si="28"/>
        <v>0</v>
      </c>
      <c r="P125">
        <f t="shared" ca="1" si="34"/>
        <v>9.442646650371235E-2</v>
      </c>
      <c r="Q125">
        <f t="shared" ca="1" si="35"/>
        <v>6.2342408524008748E-2</v>
      </c>
      <c r="R125">
        <f t="shared" ca="1" si="32"/>
        <v>1.5146425802164458</v>
      </c>
      <c r="S125">
        <f t="shared" ca="1" si="33"/>
        <v>60.232917080648264</v>
      </c>
      <c r="T125">
        <f>70</f>
        <v>70</v>
      </c>
      <c r="U125">
        <f>30</f>
        <v>30</v>
      </c>
      <c r="V125">
        <f t="shared" ca="1" si="31"/>
        <v>11.934849462218567</v>
      </c>
      <c r="W125">
        <f t="shared" ca="1" si="41"/>
        <v>11.921631706736123</v>
      </c>
      <c r="X125">
        <f t="shared" ca="1" si="40"/>
        <v>6.1956654101637199E-2</v>
      </c>
      <c r="Y125">
        <f t="shared" ca="1" si="42"/>
        <v>-2.9114952080559985E-2</v>
      </c>
      <c r="Z125">
        <f t="shared" ca="1" si="43"/>
        <v>9.1071606182197187E-2</v>
      </c>
      <c r="AA125">
        <f t="shared" ca="1" si="44"/>
        <v>12.208060999999995</v>
      </c>
      <c r="AB125" s="18">
        <f t="shared" ca="1" si="29"/>
        <v>2.5347900137083101E-2</v>
      </c>
      <c r="AC125" s="18">
        <f t="shared" ca="1" si="30"/>
        <v>2.5031969770095603E-2</v>
      </c>
      <c r="AD125" s="18">
        <f t="shared" ca="1" si="25"/>
        <v>3.1251044486781288E-2</v>
      </c>
    </row>
    <row r="126" spans="1:30" x14ac:dyDescent="0.25">
      <c r="A126" vm="330">
        <f ca="1"/>
        <v>45474</v>
      </c>
      <c r="B126" vm="331">
        <f ca="1"/>
        <v>12.5581</v>
      </c>
      <c r="C126" vm="332">
        <f ca="1"/>
        <v>57055266</v>
      </c>
      <c r="D126">
        <f t="shared" ca="1" si="22"/>
        <v>716505735.95459998</v>
      </c>
      <c r="E126">
        <f ca="1">SUM($D$2:D126)/SUM($C$2:C126)</f>
        <v>12.071667562880036</v>
      </c>
      <c r="F126">
        <f ca="1">_xlfn.STDEV.P($B$2:B126)</f>
        <v>0.52116331335749266</v>
      </c>
      <c r="G126">
        <f t="shared" ca="1" si="23"/>
        <v>12.592830876237528</v>
      </c>
      <c r="H126">
        <f t="shared" ca="1" si="24"/>
        <v>11.550504249522543</v>
      </c>
      <c r="I126">
        <f t="shared" ca="1" si="36"/>
        <v>11.913489999999999</v>
      </c>
      <c r="J126">
        <f t="shared" ca="1" si="37"/>
        <v>0.24678792280438952</v>
      </c>
      <c r="K126">
        <f t="shared" ca="1" si="38"/>
        <v>12.407065845608779</v>
      </c>
      <c r="L126">
        <f t="shared" ca="1" si="39"/>
        <v>11.41991415439122</v>
      </c>
      <c r="M126">
        <f t="shared" ca="1" si="26"/>
        <v>0.21649999999999991</v>
      </c>
      <c r="N126">
        <f t="shared" ca="1" si="27"/>
        <v>0.21649999999999991</v>
      </c>
      <c r="O126">
        <f t="shared" ca="1" si="28"/>
        <v>0</v>
      </c>
      <c r="P126">
        <f t="shared" ca="1" si="34"/>
        <v>0.10314600461059002</v>
      </c>
      <c r="Q126">
        <f t="shared" ca="1" si="35"/>
        <v>5.7889379343722409E-2</v>
      </c>
      <c r="R126">
        <f t="shared" ca="1" si="32"/>
        <v>1.7817776901381703</v>
      </c>
      <c r="S126">
        <f t="shared" ca="1" si="33"/>
        <v>64.051764325195592</v>
      </c>
      <c r="T126">
        <f>70</f>
        <v>70</v>
      </c>
      <c r="U126">
        <f>30</f>
        <v>30</v>
      </c>
      <c r="V126">
        <f t="shared" ca="1" si="31"/>
        <v>12.030734160338788</v>
      </c>
      <c r="W126">
        <f t="shared" ca="1" si="41"/>
        <v>11.968777506237151</v>
      </c>
      <c r="X126">
        <f t="shared" ca="1" si="40"/>
        <v>0.10807565838616995</v>
      </c>
      <c r="Y126">
        <f t="shared" ca="1" si="42"/>
        <v>-1.6768299872139993E-3</v>
      </c>
      <c r="Z126">
        <f t="shared" ca="1" si="43"/>
        <v>0.10975248837338394</v>
      </c>
      <c r="AA126">
        <f t="shared" ca="1" si="44"/>
        <v>12.214850999999994</v>
      </c>
      <c r="AB126" s="18">
        <f t="shared" ca="1" si="29"/>
        <v>1.7542295974589894E-2</v>
      </c>
      <c r="AC126" s="18">
        <f t="shared" ca="1" si="30"/>
        <v>1.7390205996061264E-2</v>
      </c>
      <c r="AD126" s="18">
        <f t="shared" ca="1" si="25"/>
        <v>4.9341555533273462E-2</v>
      </c>
    </row>
    <row r="127" spans="1:30" x14ac:dyDescent="0.25">
      <c r="A127" vm="333">
        <f ca="1"/>
        <v>45475</v>
      </c>
      <c r="B127" vm="334">
        <f ca="1"/>
        <v>12.666399999999999</v>
      </c>
      <c r="C127" vm="335">
        <f ca="1"/>
        <v>47745717</v>
      </c>
      <c r="D127">
        <f t="shared" ca="1" si="22"/>
        <v>604766349.80879998</v>
      </c>
      <c r="E127">
        <f ca="1">SUM($D$2:D127)/SUM($C$2:C127)</f>
        <v>12.075998319787299</v>
      </c>
      <c r="F127">
        <f ca="1">_xlfn.STDEV.P($B$2:B127)</f>
        <v>0.52188703847643625</v>
      </c>
      <c r="G127">
        <f t="shared" ca="1" si="23"/>
        <v>12.597885358263735</v>
      </c>
      <c r="H127">
        <f t="shared" ca="1" si="24"/>
        <v>11.554111281310863</v>
      </c>
      <c r="I127">
        <f t="shared" ca="1" si="36"/>
        <v>11.946949999999998</v>
      </c>
      <c r="J127">
        <f t="shared" ca="1" si="37"/>
        <v>0.29865099945200957</v>
      </c>
      <c r="K127">
        <f t="shared" ca="1" si="38"/>
        <v>12.544251998904016</v>
      </c>
      <c r="L127">
        <f t="shared" ca="1" si="39"/>
        <v>11.349648001095979</v>
      </c>
      <c r="M127">
        <f t="shared" ca="1" si="26"/>
        <v>0.10829999999999984</v>
      </c>
      <c r="N127">
        <f t="shared" ca="1" si="27"/>
        <v>0.10829999999999984</v>
      </c>
      <c r="O127">
        <f t="shared" ca="1" si="28"/>
        <v>0</v>
      </c>
      <c r="P127">
        <f t="shared" ca="1" si="34"/>
        <v>0.10351414713840501</v>
      </c>
      <c r="Q127">
        <f t="shared" ca="1" si="35"/>
        <v>5.3754423676313667E-2</v>
      </c>
      <c r="R127">
        <f t="shared" ca="1" si="32"/>
        <v>1.9256861121183866</v>
      </c>
      <c r="S127">
        <f t="shared" ca="1" si="33"/>
        <v>65.819983358504061</v>
      </c>
      <c r="T127">
        <f>70</f>
        <v>70</v>
      </c>
      <c r="U127">
        <f>30</f>
        <v>30</v>
      </c>
      <c r="V127">
        <f t="shared" ca="1" si="31"/>
        <v>12.128528904902051</v>
      </c>
      <c r="W127">
        <f t="shared" ca="1" si="41"/>
        <v>12.020453246515881</v>
      </c>
      <c r="X127">
        <f t="shared" ca="1" si="40"/>
        <v>0.14297714996651756</v>
      </c>
      <c r="Y127">
        <f t="shared" ca="1" si="42"/>
        <v>2.7253966003532314E-2</v>
      </c>
      <c r="Z127">
        <f t="shared" ca="1" si="43"/>
        <v>0.11572318396298524</v>
      </c>
      <c r="AA127">
        <f t="shared" ca="1" si="44"/>
        <v>12.215539999999994</v>
      </c>
      <c r="AB127" s="18">
        <f t="shared" ca="1" si="29"/>
        <v>8.6239160382541868E-3</v>
      </c>
      <c r="AC127" s="18">
        <f t="shared" ca="1" si="30"/>
        <v>8.5869424934332979E-3</v>
      </c>
      <c r="AD127" s="18">
        <f t="shared" ca="1" si="25"/>
        <v>5.8390989003643368E-2</v>
      </c>
    </row>
    <row r="128" spans="1:30" x14ac:dyDescent="0.25">
      <c r="A128" vm="336">
        <f ca="1"/>
        <v>45476</v>
      </c>
      <c r="B128" vm="334">
        <f ca="1"/>
        <v>12.666399999999999</v>
      </c>
      <c r="C128" vm="337">
        <f ca="1"/>
        <v>27326624</v>
      </c>
      <c r="D128">
        <f t="shared" ca="1" si="22"/>
        <v>346129950.23359996</v>
      </c>
      <c r="E128">
        <f ca="1">SUM($D$2:D128)/SUM($C$2:C128)</f>
        <v>12.078448709106059</v>
      </c>
      <c r="F128">
        <f ca="1">_xlfn.STDEV.P($B$2:B128)</f>
        <v>0.52255487809059964</v>
      </c>
      <c r="G128">
        <f t="shared" ca="1" si="23"/>
        <v>12.601003587196658</v>
      </c>
      <c r="H128">
        <f t="shared" ca="1" si="24"/>
        <v>11.55589383101546</v>
      </c>
      <c r="I128">
        <f t="shared" ca="1" si="36"/>
        <v>11.988284999999999</v>
      </c>
      <c r="J128">
        <f t="shared" ca="1" si="37"/>
        <v>0.33768484727471471</v>
      </c>
      <c r="K128">
        <f t="shared" ca="1" si="38"/>
        <v>12.663654694549429</v>
      </c>
      <c r="L128">
        <f t="shared" ca="1" si="39"/>
        <v>11.31291530545057</v>
      </c>
      <c r="M128">
        <f t="shared" ca="1" si="26"/>
        <v>0</v>
      </c>
      <c r="N128">
        <f t="shared" ca="1" si="27"/>
        <v>0</v>
      </c>
      <c r="O128">
        <f t="shared" ca="1" si="28"/>
        <v>0</v>
      </c>
      <c r="P128">
        <f t="shared" ca="1" si="34"/>
        <v>9.6120279485661805E-2</v>
      </c>
      <c r="Q128">
        <f t="shared" ca="1" si="35"/>
        <v>4.9914821985148405E-2</v>
      </c>
      <c r="R128">
        <f t="shared" ca="1" si="32"/>
        <v>1.9256861121183868</v>
      </c>
      <c r="S128">
        <f t="shared" ca="1" si="33"/>
        <v>65.819983358504061</v>
      </c>
      <c r="T128">
        <f>70</f>
        <v>70</v>
      </c>
      <c r="U128">
        <f>30</f>
        <v>30</v>
      </c>
      <c r="V128">
        <f t="shared" ca="1" si="31"/>
        <v>12.211278304147889</v>
      </c>
      <c r="W128">
        <f t="shared" ca="1" si="41"/>
        <v>12.068301154181372</v>
      </c>
      <c r="X128">
        <f t="shared" ca="1" si="40"/>
        <v>0.16633897784323892</v>
      </c>
      <c r="Y128">
        <f t="shared" ca="1" si="42"/>
        <v>5.5070968371473641E-2</v>
      </c>
      <c r="Z128">
        <f t="shared" ca="1" si="43"/>
        <v>0.11126800947176528</v>
      </c>
      <c r="AA128">
        <f t="shared" ca="1" si="44"/>
        <v>12.215933999999995</v>
      </c>
      <c r="AB128" s="18">
        <f t="shared" ca="1" si="29"/>
        <v>0</v>
      </c>
      <c r="AC128" s="18">
        <f t="shared" ca="1" si="30"/>
        <v>0</v>
      </c>
      <c r="AD128" s="18">
        <f t="shared" ca="1" si="25"/>
        <v>5.8390989003643368E-2</v>
      </c>
    </row>
    <row r="129" spans="1:30" x14ac:dyDescent="0.25">
      <c r="A129" vm="338">
        <f ca="1"/>
        <v>45478</v>
      </c>
      <c r="B129" vm="339">
        <f ca="1"/>
        <v>12.636900000000001</v>
      </c>
      <c r="C129" vm="340">
        <f ca="1"/>
        <v>32097060</v>
      </c>
      <c r="D129">
        <f t="shared" ca="1" si="22"/>
        <v>405607337.514</v>
      </c>
      <c r="E129">
        <f ca="1">SUM($D$2:D129)/SUM($C$2:C129)</f>
        <v>12.081157902914461</v>
      </c>
      <c r="F129">
        <f ca="1">_xlfn.STDEV.P($B$2:B129)</f>
        <v>0.52291416662638757</v>
      </c>
      <c r="G129">
        <f t="shared" ca="1" si="23"/>
        <v>12.604072069540848</v>
      </c>
      <c r="H129">
        <f t="shared" ca="1" si="24"/>
        <v>11.558243736288073</v>
      </c>
      <c r="I129">
        <f t="shared" ca="1" si="36"/>
        <v>12.026174999999999</v>
      </c>
      <c r="J129">
        <f t="shared" ca="1" si="37"/>
        <v>0.36610733812137103</v>
      </c>
      <c r="K129">
        <f t="shared" ca="1" si="38"/>
        <v>12.758389676242741</v>
      </c>
      <c r="L129">
        <f t="shared" ca="1" si="39"/>
        <v>11.293960323757256</v>
      </c>
      <c r="M129">
        <f t="shared" ca="1" si="26"/>
        <v>-2.9499999999998749E-2</v>
      </c>
      <c r="N129">
        <f t="shared" ca="1" si="27"/>
        <v>0</v>
      </c>
      <c r="O129">
        <f t="shared" ca="1" si="28"/>
        <v>2.9499999999998749E-2</v>
      </c>
      <c r="P129">
        <f t="shared" ca="1" si="34"/>
        <v>8.9254545236685967E-2</v>
      </c>
      <c r="Q129">
        <f t="shared" ca="1" si="35"/>
        <v>4.845662041478057E-2</v>
      </c>
      <c r="R129">
        <f t="shared" ca="1" si="32"/>
        <v>1.8419473845406877</v>
      </c>
      <c r="S129">
        <f t="shared" ca="1" si="33"/>
        <v>64.81286017328506</v>
      </c>
      <c r="T129">
        <f>70</f>
        <v>70</v>
      </c>
      <c r="U129">
        <f>30</f>
        <v>30</v>
      </c>
      <c r="V129">
        <f t="shared" ca="1" si="31"/>
        <v>12.276758565048214</v>
      </c>
      <c r="W129">
        <f t="shared" ca="1" si="41"/>
        <v>12.110419587204975</v>
      </c>
      <c r="X129">
        <f t="shared" ca="1" si="40"/>
        <v>0.19373939594787082</v>
      </c>
      <c r="Y129">
        <f t="shared" ca="1" si="42"/>
        <v>8.2804653886753093E-2</v>
      </c>
      <c r="Z129">
        <f t="shared" ca="1" si="43"/>
        <v>0.11093474206111772</v>
      </c>
      <c r="AA129">
        <f t="shared" ca="1" si="44"/>
        <v>12.217508999999996</v>
      </c>
      <c r="AB129" s="18">
        <f t="shared" ca="1" si="29"/>
        <v>-2.3289963999241214E-3</v>
      </c>
      <c r="AC129" s="18">
        <f t="shared" ca="1" si="30"/>
        <v>-2.3317127304084036E-3</v>
      </c>
      <c r="AD129" s="18">
        <f t="shared" ca="1" si="25"/>
        <v>5.5926000200541726E-2</v>
      </c>
    </row>
    <row r="130" spans="1:30" x14ac:dyDescent="0.25">
      <c r="A130" vm="341">
        <f ca="1"/>
        <v>45481</v>
      </c>
      <c r="B130" vm="83">
        <f ca="1"/>
        <v>12.774699999999999</v>
      </c>
      <c r="C130" vm="342">
        <f ca="1"/>
        <v>45058985</v>
      </c>
      <c r="D130">
        <f t="shared" ca="1" si="22"/>
        <v>575615015.67949998</v>
      </c>
      <c r="E130">
        <f ca="1">SUM($D$2:D130)/SUM($C$2:C130)</f>
        <v>12.085849233865945</v>
      </c>
      <c r="F130">
        <f ca="1">_xlfn.STDEV.P($B$2:B130)</f>
        <v>0.52451225883108088</v>
      </c>
      <c r="G130">
        <f t="shared" ca="1" si="23"/>
        <v>12.610361492697026</v>
      </c>
      <c r="H130">
        <f t="shared" ca="1" si="24"/>
        <v>11.561336975034864</v>
      </c>
      <c r="I130">
        <f t="shared" ca="1" si="36"/>
        <v>12.070954999999998</v>
      </c>
      <c r="J130">
        <f t="shared" ca="1" si="37"/>
        <v>0.40034266437772109</v>
      </c>
      <c r="K130">
        <f t="shared" ca="1" si="38"/>
        <v>12.87164032875544</v>
      </c>
      <c r="L130">
        <f t="shared" ca="1" si="39"/>
        <v>11.270269671244556</v>
      </c>
      <c r="M130">
        <f t="shared" ca="1" si="26"/>
        <v>0.13779999999999859</v>
      </c>
      <c r="N130">
        <f t="shared" ca="1" si="27"/>
        <v>0.13779999999999859</v>
      </c>
      <c r="O130">
        <f t="shared" ca="1" si="28"/>
        <v>0</v>
      </c>
      <c r="P130">
        <f t="shared" ca="1" si="34"/>
        <v>9.2722077719779722E-2</v>
      </c>
      <c r="Q130">
        <f t="shared" ca="1" si="35"/>
        <v>4.4995433242296247E-2</v>
      </c>
      <c r="R130">
        <f t="shared" ca="1" si="32"/>
        <v>2.0606997430268068</v>
      </c>
      <c r="S130">
        <f t="shared" ca="1" si="33"/>
        <v>67.327732742216867</v>
      </c>
      <c r="T130">
        <f>70</f>
        <v>70</v>
      </c>
      <c r="U130">
        <f>30</f>
        <v>30</v>
      </c>
      <c r="V130">
        <f t="shared" ca="1" si="31"/>
        <v>12.353364939656181</v>
      </c>
      <c r="W130">
        <f t="shared" ca="1" si="41"/>
        <v>12.159625543708311</v>
      </c>
      <c r="X130">
        <f t="shared" ca="1" si="40"/>
        <v>0.20671306373984422</v>
      </c>
      <c r="Y130">
        <f t="shared" ca="1" si="42"/>
        <v>0.10758633585737132</v>
      </c>
      <c r="Z130">
        <f t="shared" ca="1" si="43"/>
        <v>9.9126727882472898E-2</v>
      </c>
      <c r="AA130">
        <f t="shared" ca="1" si="44"/>
        <v>12.217508999999996</v>
      </c>
      <c r="AB130" s="18">
        <f t="shared" ca="1" si="29"/>
        <v>1.0904573115241734E-2</v>
      </c>
      <c r="AC130" s="18">
        <f t="shared" ca="1" si="30"/>
        <v>1.084554697340144E-2</v>
      </c>
      <c r="AD130" s="18">
        <f t="shared" ca="1" si="25"/>
        <v>6.7440422474013273E-2</v>
      </c>
    </row>
    <row r="131" spans="1:30" x14ac:dyDescent="0.25">
      <c r="A131" vm="343">
        <f ca="1"/>
        <v>45482</v>
      </c>
      <c r="B131" vm="154">
        <f ca="1"/>
        <v>12.6959</v>
      </c>
      <c r="C131" vm="344">
        <f ca="1"/>
        <v>41389664</v>
      </c>
      <c r="D131">
        <f t="shared" ref="D131:D194" ca="1" si="45">B131*C131</f>
        <v>525479035.17760003</v>
      </c>
      <c r="E131">
        <f ca="1">SUM($D$2:D131)/SUM($C$2:C131)</f>
        <v>12.089616355068426</v>
      </c>
      <c r="F131">
        <f ca="1">_xlfn.STDEV.P($B$2:B131)</f>
        <v>0.52527368803117291</v>
      </c>
      <c r="G131">
        <f t="shared" ref="G131:G194" ca="1" si="46">E131 + F131</f>
        <v>12.614890043099599</v>
      </c>
      <c r="H131">
        <f t="shared" ref="H131:H194" ca="1" si="47">E131 - F131</f>
        <v>11.564342667037252</v>
      </c>
      <c r="I131">
        <f t="shared" ca="1" si="36"/>
        <v>12.107859999999999</v>
      </c>
      <c r="J131">
        <f t="shared" ca="1" si="37"/>
        <v>0.42275558124486567</v>
      </c>
      <c r="K131">
        <f t="shared" ca="1" si="38"/>
        <v>12.953371162489731</v>
      </c>
      <c r="L131">
        <f t="shared" ca="1" si="39"/>
        <v>11.262348837510267</v>
      </c>
      <c r="M131">
        <f t="shared" ca="1" si="26"/>
        <v>-7.8799999999999315E-2</v>
      </c>
      <c r="N131">
        <f t="shared" ca="1" si="27"/>
        <v>0</v>
      </c>
      <c r="O131">
        <f t="shared" ca="1" si="28"/>
        <v>7.8799999999999315E-2</v>
      </c>
      <c r="P131">
        <f t="shared" ca="1" si="34"/>
        <v>8.6099072168366889E-2</v>
      </c>
      <c r="Q131">
        <f t="shared" ca="1" si="35"/>
        <v>4.7410045153560752E-2</v>
      </c>
      <c r="R131">
        <f t="shared" ca="1" si="32"/>
        <v>1.8160512585358797</v>
      </c>
      <c r="S131">
        <f t="shared" ca="1" si="33"/>
        <v>64.489282751198232</v>
      </c>
      <c r="T131">
        <f>70</f>
        <v>70</v>
      </c>
      <c r="U131">
        <f>30</f>
        <v>30</v>
      </c>
      <c r="V131">
        <f t="shared" ca="1" si="31"/>
        <v>12.406062641247539</v>
      </c>
      <c r="W131">
        <f t="shared" ca="1" si="41"/>
        <v>12.199349577507695</v>
      </c>
      <c r="X131">
        <f t="shared" ca="1" si="40"/>
        <v>0.23572533265104845</v>
      </c>
      <c r="Y131">
        <f t="shared" ca="1" si="42"/>
        <v>0.13321413521610675</v>
      </c>
      <c r="Z131">
        <f t="shared" ca="1" si="43"/>
        <v>0.10251119743494169</v>
      </c>
      <c r="AA131">
        <f t="shared" ca="1" si="44"/>
        <v>12.219673999999998</v>
      </c>
      <c r="AB131" s="18">
        <f t="shared" ca="1" si="29"/>
        <v>-6.1684423117567277E-3</v>
      </c>
      <c r="AC131" s="18">
        <f t="shared" ca="1" si="30"/>
        <v>-6.187545751526506E-3</v>
      </c>
      <c r="AD131" s="18">
        <f t="shared" ref="AD131:AD194" ca="1" si="48">(1+AD130)*(1+AB131)-1</f>
        <v>6.085597780674501E-2</v>
      </c>
    </row>
    <row r="132" spans="1:30" x14ac:dyDescent="0.25">
      <c r="A132" vm="345">
        <f ca="1"/>
        <v>45483</v>
      </c>
      <c r="B132" vm="346">
        <f ca="1"/>
        <v>12.9617</v>
      </c>
      <c r="C132" vm="347">
        <f ca="1"/>
        <v>36889110</v>
      </c>
      <c r="D132">
        <f t="shared" ca="1" si="45"/>
        <v>478145577.08700001</v>
      </c>
      <c r="E132">
        <f ca="1">SUM($D$2:D132)/SUM($C$2:C132)</f>
        <v>12.094389717254884</v>
      </c>
      <c r="F132">
        <f ca="1">_xlfn.STDEV.P($B$2:B132)</f>
        <v>0.52882917891398085</v>
      </c>
      <c r="G132">
        <f t="shared" ca="1" si="46"/>
        <v>12.623218896168865</v>
      </c>
      <c r="H132">
        <f t="shared" ca="1" si="47"/>
        <v>11.565560538340904</v>
      </c>
      <c r="I132">
        <f t="shared" ca="1" si="36"/>
        <v>12.146739999999999</v>
      </c>
      <c r="J132">
        <f t="shared" ca="1" si="37"/>
        <v>0.46389202849937317</v>
      </c>
      <c r="K132">
        <f t="shared" ca="1" si="38"/>
        <v>13.074524056998746</v>
      </c>
      <c r="L132">
        <f t="shared" ca="1" si="39"/>
        <v>11.218955943001253</v>
      </c>
      <c r="M132">
        <f t="shared" ref="M132:M195" ca="1" si="49">B132-B131</f>
        <v>0.26580000000000048</v>
      </c>
      <c r="N132">
        <f t="shared" ref="N132:N195" ca="1" si="50">MAX(M132,0)</f>
        <v>0.26580000000000048</v>
      </c>
      <c r="O132">
        <f t="shared" ref="O132:O195" ca="1" si="51">MAX(-M132,0)</f>
        <v>0</v>
      </c>
      <c r="P132">
        <f t="shared" ca="1" si="34"/>
        <v>9.8934852727769279E-2</v>
      </c>
      <c r="Q132">
        <f t="shared" ca="1" si="35"/>
        <v>4.4023613356877836E-2</v>
      </c>
      <c r="R132">
        <f t="shared" ca="1" si="32"/>
        <v>2.2473133208251892</v>
      </c>
      <c r="S132">
        <f t="shared" ca="1" si="33"/>
        <v>69.205312170311743</v>
      </c>
      <c r="T132">
        <f>70</f>
        <v>70</v>
      </c>
      <c r="U132">
        <f>30</f>
        <v>30</v>
      </c>
      <c r="V132">
        <f t="shared" ca="1" si="31"/>
        <v>12.49154531182484</v>
      </c>
      <c r="W132">
        <f t="shared" ca="1" si="41"/>
        <v>12.255819979173792</v>
      </c>
      <c r="X132">
        <f t="shared" ca="1" si="40"/>
        <v>0.27931813213816348</v>
      </c>
      <c r="Y132">
        <f t="shared" ca="1" si="42"/>
        <v>0.16243493460051811</v>
      </c>
      <c r="Z132">
        <f t="shared" ca="1" si="43"/>
        <v>0.11688319753764537</v>
      </c>
      <c r="AA132">
        <f t="shared" ca="1" si="44"/>
        <v>12.225677999999998</v>
      </c>
      <c r="AB132" s="18">
        <f t="shared" ref="AB132:AB195" ca="1" si="52">(B132/B131)-1</f>
        <v>2.0935892689766034E-2</v>
      </c>
      <c r="AC132" s="18">
        <f t="shared" ref="AC132:AC195" ca="1" si="53">LN(B132/B131)</f>
        <v>2.0719748464676356E-2</v>
      </c>
      <c r="AD132" s="18">
        <f t="shared" ca="1" si="48"/>
        <v>8.3065944717403806E-2</v>
      </c>
    </row>
    <row r="133" spans="1:30" x14ac:dyDescent="0.25">
      <c r="A133" vm="348">
        <f ca="1"/>
        <v>45484</v>
      </c>
      <c r="B133" vm="349">
        <f ca="1"/>
        <v>13.2569</v>
      </c>
      <c r="C133" vm="350">
        <f ca="1"/>
        <v>52270356</v>
      </c>
      <c r="D133">
        <f t="shared" ca="1" si="45"/>
        <v>692942882.45640004</v>
      </c>
      <c r="E133">
        <f ca="1">SUM($D$2:D133)/SUM($C$2:C133)</f>
        <v>12.103336462012829</v>
      </c>
      <c r="F133">
        <f ca="1">_xlfn.STDEV.P($B$2:B133)</f>
        <v>0.53646139004505078</v>
      </c>
      <c r="G133">
        <f t="shared" ca="1" si="46"/>
        <v>12.63979785205788</v>
      </c>
      <c r="H133">
        <f t="shared" ca="1" si="47"/>
        <v>11.566875071967777</v>
      </c>
      <c r="I133">
        <f t="shared" ca="1" si="36"/>
        <v>12.213665000000001</v>
      </c>
      <c r="J133">
        <f t="shared" ca="1" si="37"/>
        <v>0.52211399367833167</v>
      </c>
      <c r="K133">
        <f t="shared" ca="1" si="38"/>
        <v>13.257892987356664</v>
      </c>
      <c r="L133">
        <f t="shared" ca="1" si="39"/>
        <v>11.169437012643337</v>
      </c>
      <c r="M133">
        <f t="shared" ca="1" si="49"/>
        <v>0.29519999999999946</v>
      </c>
      <c r="N133">
        <f t="shared" ca="1" si="50"/>
        <v>0.29519999999999946</v>
      </c>
      <c r="O133">
        <f t="shared" ca="1" si="51"/>
        <v>0</v>
      </c>
      <c r="P133">
        <f t="shared" ca="1" si="34"/>
        <v>0.11295379181864286</v>
      </c>
      <c r="Q133">
        <f t="shared" ca="1" si="35"/>
        <v>4.0879069545672275E-2</v>
      </c>
      <c r="R133">
        <f t="shared" ca="1" si="32"/>
        <v>2.7631204201564534</v>
      </c>
      <c r="S133">
        <f t="shared" ca="1" si="33"/>
        <v>73.426308798313059</v>
      </c>
      <c r="T133">
        <f>70</f>
        <v>70</v>
      </c>
      <c r="U133">
        <f>30</f>
        <v>30</v>
      </c>
      <c r="V133">
        <f t="shared" ca="1" si="31"/>
        <v>12.609292186928711</v>
      </c>
      <c r="W133">
        <f t="shared" ca="1" si="41"/>
        <v>12.329974054790547</v>
      </c>
      <c r="X133">
        <f t="shared" ca="1" si="40"/>
        <v>0.35425131541566657</v>
      </c>
      <c r="Y133">
        <f t="shared" ca="1" si="42"/>
        <v>0.20079821076354781</v>
      </c>
      <c r="Z133">
        <f t="shared" ca="1" si="43"/>
        <v>0.15345310465211875</v>
      </c>
      <c r="AA133">
        <f t="shared" ca="1" si="44"/>
        <v>12.235028</v>
      </c>
      <c r="AB133" s="18">
        <f t="shared" ca="1" si="52"/>
        <v>2.2774790343859097E-2</v>
      </c>
      <c r="AC133" s="18">
        <f t="shared" ca="1" si="53"/>
        <v>2.2519316442299774E-2</v>
      </c>
      <c r="AD133" s="18">
        <f t="shared" ca="1" si="48"/>
        <v>0.10773254453691639</v>
      </c>
    </row>
    <row r="134" spans="1:30" x14ac:dyDescent="0.25">
      <c r="A134" vm="351">
        <f ca="1"/>
        <v>45485</v>
      </c>
      <c r="B134" vm="352">
        <f ca="1"/>
        <v>13.808</v>
      </c>
      <c r="C134" vm="353">
        <f ca="1"/>
        <v>86985811</v>
      </c>
      <c r="D134">
        <f t="shared" ca="1" si="45"/>
        <v>1201100078.2879999</v>
      </c>
      <c r="E134">
        <f ca="1">SUM($D$2:D134)/SUM($C$2:C134)</f>
        <v>12.124892701829898</v>
      </c>
      <c r="F134">
        <f ca="1">_xlfn.STDEV.P($B$2:B134)</f>
        <v>0.55447532478625505</v>
      </c>
      <c r="G134">
        <f t="shared" ca="1" si="46"/>
        <v>12.679368026616153</v>
      </c>
      <c r="H134">
        <f t="shared" ca="1" si="47"/>
        <v>11.570417377043643</v>
      </c>
      <c r="I134">
        <f t="shared" ca="1" si="36"/>
        <v>12.309620000000001</v>
      </c>
      <c r="J134">
        <f t="shared" ca="1" si="37"/>
        <v>0.6254153134644127</v>
      </c>
      <c r="K134">
        <f t="shared" ca="1" si="38"/>
        <v>13.560450626928827</v>
      </c>
      <c r="L134">
        <f t="shared" ca="1" si="39"/>
        <v>11.058789373071175</v>
      </c>
      <c r="M134">
        <f t="shared" ca="1" si="49"/>
        <v>0.55109999999999992</v>
      </c>
      <c r="N134">
        <f t="shared" ca="1" si="50"/>
        <v>0.55109999999999992</v>
      </c>
      <c r="O134">
        <f t="shared" ca="1" si="51"/>
        <v>0</v>
      </c>
      <c r="P134">
        <f t="shared" ca="1" si="34"/>
        <v>0.14424994954588266</v>
      </c>
      <c r="Q134">
        <f t="shared" ca="1" si="35"/>
        <v>3.7959136006695683E-2</v>
      </c>
      <c r="R134">
        <f t="shared" ca="1" si="32"/>
        <v>3.8001378514104784</v>
      </c>
      <c r="S134">
        <f t="shared" ca="1" si="33"/>
        <v>79.167264962897704</v>
      </c>
      <c r="T134">
        <f>70</f>
        <v>70</v>
      </c>
      <c r="U134">
        <f>30</f>
        <v>30</v>
      </c>
      <c r="V134">
        <f t="shared" ca="1" si="31"/>
        <v>12.793708773555062</v>
      </c>
      <c r="W134">
        <f t="shared" ca="1" si="41"/>
        <v>12.439457458139396</v>
      </c>
      <c r="X134">
        <f t="shared" ca="1" si="40"/>
        <v>0.42462972037193758</v>
      </c>
      <c r="Y134">
        <f t="shared" ca="1" si="42"/>
        <v>0.24556451268522578</v>
      </c>
      <c r="Z134">
        <f t="shared" ca="1" si="43"/>
        <v>0.1790652076867118</v>
      </c>
      <c r="AA134">
        <f t="shared" ca="1" si="44"/>
        <v>12.252054000000001</v>
      </c>
      <c r="AB134" s="18">
        <f t="shared" ca="1" si="52"/>
        <v>4.1570804637584891E-2</v>
      </c>
      <c r="AC134" s="18">
        <f t="shared" ca="1" si="53"/>
        <v>4.0729962737542022E-2</v>
      </c>
      <c r="AD134" s="18">
        <f t="shared" ca="1" si="48"/>
        <v>0.15378187773655538</v>
      </c>
    </row>
    <row r="135" spans="1:30" x14ac:dyDescent="0.25">
      <c r="A135" vm="354">
        <f ca="1"/>
        <v>45488</v>
      </c>
      <c r="B135" vm="355">
        <f ca="1"/>
        <v>14.004899999999999</v>
      </c>
      <c r="C135" vm="356">
        <f ca="1"/>
        <v>66698457</v>
      </c>
      <c r="D135">
        <f t="shared" ca="1" si="45"/>
        <v>934105220.43929994</v>
      </c>
      <c r="E135">
        <f ca="1">SUM($D$2:D135)/SUM($C$2:C135)</f>
        <v>12.14294658039262</v>
      </c>
      <c r="F135">
        <f ca="1">_xlfn.STDEV.P($B$2:B135)</f>
        <v>0.57594744708752599</v>
      </c>
      <c r="G135">
        <f t="shared" ca="1" si="46"/>
        <v>12.718894027480145</v>
      </c>
      <c r="H135">
        <f t="shared" ca="1" si="47"/>
        <v>11.566999133305094</v>
      </c>
      <c r="I135">
        <f t="shared" ca="1" si="36"/>
        <v>12.422310000000001</v>
      </c>
      <c r="J135">
        <f t="shared" ca="1" si="37"/>
        <v>0.71597526192195393</v>
      </c>
      <c r="K135">
        <f t="shared" ca="1" si="38"/>
        <v>13.854260523843909</v>
      </c>
      <c r="L135">
        <f t="shared" ca="1" si="39"/>
        <v>10.990359476156094</v>
      </c>
      <c r="M135">
        <f t="shared" ca="1" si="49"/>
        <v>0.19689999999999941</v>
      </c>
      <c r="N135">
        <f t="shared" ca="1" si="50"/>
        <v>0.19689999999999941</v>
      </c>
      <c r="O135">
        <f t="shared" ca="1" si="51"/>
        <v>0</v>
      </c>
      <c r="P135">
        <f t="shared" ca="1" si="34"/>
        <v>0.14801066743546243</v>
      </c>
      <c r="Q135">
        <f t="shared" ca="1" si="35"/>
        <v>3.5247769149074563E-2</v>
      </c>
      <c r="R135">
        <f t="shared" ca="1" si="32"/>
        <v>4.1991499322829764</v>
      </c>
      <c r="S135">
        <f t="shared" ca="1" si="33"/>
        <v>80.766086513667929</v>
      </c>
      <c r="T135">
        <f>70</f>
        <v>70</v>
      </c>
      <c r="U135">
        <f>30</f>
        <v>30</v>
      </c>
      <c r="V135">
        <f t="shared" ca="1" si="31"/>
        <v>12.980045885315823</v>
      </c>
      <c r="W135">
        <f t="shared" ca="1" si="41"/>
        <v>12.555416164943885</v>
      </c>
      <c r="X135">
        <f t="shared" ca="1" si="40"/>
        <v>0.48749451376648523</v>
      </c>
      <c r="Y135">
        <f t="shared" ca="1" si="42"/>
        <v>0.29395051290147767</v>
      </c>
      <c r="Z135">
        <f t="shared" ca="1" si="43"/>
        <v>0.19354400086500756</v>
      </c>
      <c r="AA135">
        <f t="shared" ca="1" si="44"/>
        <v>12.271540999999999</v>
      </c>
      <c r="AB135" s="18">
        <f t="shared" ca="1" si="52"/>
        <v>1.4259849362688204E-2</v>
      </c>
      <c r="AC135" s="18">
        <f t="shared" ca="1" si="53"/>
        <v>1.4159134038474307E-2</v>
      </c>
      <c r="AD135" s="18">
        <f t="shared" ca="1" si="48"/>
        <v>0.17023463351047829</v>
      </c>
    </row>
    <row r="136" spans="1:30" x14ac:dyDescent="0.25">
      <c r="A136" vm="357">
        <f ca="1"/>
        <v>45489</v>
      </c>
      <c r="B136" vm="358">
        <f ca="1"/>
        <v>14.1624</v>
      </c>
      <c r="C136" vm="359">
        <f ca="1"/>
        <v>52876644</v>
      </c>
      <c r="D136">
        <f t="shared" ca="1" si="45"/>
        <v>748860182.98559999</v>
      </c>
      <c r="E136">
        <f ca="1">SUM($D$2:D136)/SUM($C$2:C136)</f>
        <v>12.158204633833071</v>
      </c>
      <c r="F136">
        <f ca="1">_xlfn.STDEV.P($B$2:B136)</f>
        <v>0.59981140524982035</v>
      </c>
      <c r="G136">
        <f t="shared" ca="1" si="46"/>
        <v>12.758016039082891</v>
      </c>
      <c r="H136">
        <f t="shared" ca="1" si="47"/>
        <v>11.558393228583251</v>
      </c>
      <c r="I136">
        <f t="shared" ca="1" si="36"/>
        <v>12.554195</v>
      </c>
      <c r="J136">
        <f t="shared" ca="1" si="37"/>
        <v>0.78183749050082751</v>
      </c>
      <c r="K136">
        <f t="shared" ca="1" si="38"/>
        <v>14.117869981001656</v>
      </c>
      <c r="L136">
        <f t="shared" ca="1" si="39"/>
        <v>10.990520018998344</v>
      </c>
      <c r="M136">
        <f t="shared" ca="1" si="49"/>
        <v>0.15750000000000064</v>
      </c>
      <c r="N136">
        <f t="shared" ca="1" si="50"/>
        <v>0.15750000000000064</v>
      </c>
      <c r="O136">
        <f t="shared" ca="1" si="51"/>
        <v>0</v>
      </c>
      <c r="P136">
        <f t="shared" ca="1" si="34"/>
        <v>0.14868847690435802</v>
      </c>
      <c r="Q136">
        <f t="shared" ca="1" si="35"/>
        <v>3.2730071352712095E-2</v>
      </c>
      <c r="R136">
        <f t="shared" ca="1" si="32"/>
        <v>4.5428705395118953</v>
      </c>
      <c r="S136">
        <f t="shared" ca="1" si="33"/>
        <v>81.95880649075994</v>
      </c>
      <c r="T136">
        <f>70</f>
        <v>70</v>
      </c>
      <c r="U136">
        <f>30</f>
        <v>30</v>
      </c>
      <c r="V136">
        <f t="shared" ca="1" si="31"/>
        <v>13.161946518344157</v>
      </c>
      <c r="W136">
        <f t="shared" ca="1" si="41"/>
        <v>12.674452004577672</v>
      </c>
      <c r="X136">
        <f t="shared" ca="1" si="40"/>
        <v>0.53825189304977528</v>
      </c>
      <c r="Y136">
        <f t="shared" ca="1" si="42"/>
        <v>0.3428107889311372</v>
      </c>
      <c r="Z136">
        <f t="shared" ca="1" si="43"/>
        <v>0.19544110411863808</v>
      </c>
      <c r="AA136">
        <f t="shared" ca="1" si="44"/>
        <v>12.293686000000001</v>
      </c>
      <c r="AB136" s="18">
        <f t="shared" ca="1" si="52"/>
        <v>1.124606387764282E-2</v>
      </c>
      <c r="AC136" s="18">
        <f t="shared" ca="1" si="53"/>
        <v>1.1183297049385109E-2</v>
      </c>
      <c r="AD136" s="18">
        <f t="shared" ca="1" si="48"/>
        <v>0.18339516695076696</v>
      </c>
    </row>
    <row r="137" spans="1:30" x14ac:dyDescent="0.25">
      <c r="A137" vm="360">
        <f ca="1"/>
        <v>45490</v>
      </c>
      <c r="B137" vm="361">
        <f ca="1"/>
        <v>14.2509</v>
      </c>
      <c r="C137" vm="362">
        <f ca="1"/>
        <v>59020806</v>
      </c>
      <c r="D137">
        <f t="shared" ca="1" si="45"/>
        <v>841099604.22539997</v>
      </c>
      <c r="E137">
        <f ca="1">SUM($D$2:D137)/SUM($C$2:C137)</f>
        <v>12.175705732095006</v>
      </c>
      <c r="F137">
        <f ca="1">_xlfn.STDEV.P($B$2:B137)</f>
        <v>0.62421429018646224</v>
      </c>
      <c r="G137">
        <f t="shared" ca="1" si="46"/>
        <v>12.799920022281468</v>
      </c>
      <c r="H137">
        <f t="shared" ca="1" si="47"/>
        <v>11.551491441908544</v>
      </c>
      <c r="I137">
        <f t="shared" ca="1" si="36"/>
        <v>12.683615</v>
      </c>
      <c r="J137">
        <f t="shared" ca="1" si="37"/>
        <v>0.83863374244880229</v>
      </c>
      <c r="K137">
        <f t="shared" ca="1" si="38"/>
        <v>14.360882484897605</v>
      </c>
      <c r="L137">
        <f t="shared" ca="1" si="39"/>
        <v>11.006347515102394</v>
      </c>
      <c r="M137">
        <f t="shared" ca="1" si="49"/>
        <v>8.8499999999999801E-2</v>
      </c>
      <c r="N137">
        <f t="shared" ca="1" si="50"/>
        <v>8.8499999999999801E-2</v>
      </c>
      <c r="O137">
        <f t="shared" ca="1" si="51"/>
        <v>0</v>
      </c>
      <c r="P137">
        <f t="shared" ca="1" si="34"/>
        <v>0.14438929998261815</v>
      </c>
      <c r="Q137">
        <f t="shared" ca="1" si="35"/>
        <v>3.0392209113232659E-2</v>
      </c>
      <c r="R137">
        <f t="shared" ca="1" si="32"/>
        <v>4.7508655736299064</v>
      </c>
      <c r="S137">
        <f t="shared" ca="1" si="33"/>
        <v>82.611313250210316</v>
      </c>
      <c r="T137">
        <f>70</f>
        <v>70</v>
      </c>
      <c r="U137">
        <f>30</f>
        <v>30</v>
      </c>
      <c r="V137">
        <f t="shared" ca="1" si="31"/>
        <v>13.329477823214287</v>
      </c>
      <c r="W137">
        <f t="shared" ca="1" si="41"/>
        <v>12.791225930164511</v>
      </c>
      <c r="X137">
        <f t="shared" ca="1" si="40"/>
        <v>0.57738144214010489</v>
      </c>
      <c r="Y137">
        <f t="shared" ca="1" si="42"/>
        <v>0.38972491957293076</v>
      </c>
      <c r="Z137">
        <f t="shared" ca="1" si="43"/>
        <v>0.18765652256717413</v>
      </c>
      <c r="AA137">
        <f t="shared" ca="1" si="44"/>
        <v>12.316912</v>
      </c>
      <c r="AB137" s="18">
        <f t="shared" ca="1" si="52"/>
        <v>6.2489408574817329E-3</v>
      </c>
      <c r="AC137" s="18">
        <f t="shared" ca="1" si="53"/>
        <v>6.2294971860888193E-3</v>
      </c>
      <c r="AD137" s="18">
        <f t="shared" ca="1" si="48"/>
        <v>0.19079013336007211</v>
      </c>
    </row>
    <row r="138" spans="1:30" x14ac:dyDescent="0.25">
      <c r="A138" vm="363">
        <f ca="1"/>
        <v>45491</v>
      </c>
      <c r="B138" vm="364">
        <f ca="1"/>
        <v>14.319800000000001</v>
      </c>
      <c r="C138" vm="365">
        <f ca="1"/>
        <v>59010550</v>
      </c>
      <c r="D138">
        <f t="shared" ca="1" si="45"/>
        <v>845019273.88999999</v>
      </c>
      <c r="E138">
        <f ca="1">SUM($D$2:D138)/SUM($C$2:C138)</f>
        <v>12.19348490036189</v>
      </c>
      <c r="F138">
        <f ca="1">_xlfn.STDEV.P($B$2:B138)</f>
        <v>0.64863884330468224</v>
      </c>
      <c r="G138">
        <f t="shared" ca="1" si="46"/>
        <v>12.842123743666573</v>
      </c>
      <c r="H138">
        <f t="shared" ca="1" si="47"/>
        <v>11.544846057057207</v>
      </c>
      <c r="I138">
        <f t="shared" ca="1" si="36"/>
        <v>12.819924999999998</v>
      </c>
      <c r="J138">
        <f t="shared" ca="1" si="37"/>
        <v>0.87299197733999834</v>
      </c>
      <c r="K138">
        <f t="shared" ca="1" si="38"/>
        <v>14.565908954679994</v>
      </c>
      <c r="L138">
        <f t="shared" ca="1" si="39"/>
        <v>11.073941045320002</v>
      </c>
      <c r="M138">
        <f t="shared" ca="1" si="49"/>
        <v>6.8900000000001071E-2</v>
      </c>
      <c r="N138">
        <f t="shared" ca="1" si="50"/>
        <v>6.8900000000001071E-2</v>
      </c>
      <c r="O138">
        <f t="shared" ca="1" si="51"/>
        <v>0</v>
      </c>
      <c r="P138">
        <f t="shared" ca="1" si="34"/>
        <v>0.13899720712671693</v>
      </c>
      <c r="Q138">
        <f t="shared" ca="1" si="35"/>
        <v>2.8221337033716039E-2</v>
      </c>
      <c r="R138">
        <f t="shared" ca="1" si="32"/>
        <v>4.9252523705966489</v>
      </c>
      <c r="S138">
        <f t="shared" ca="1" si="33"/>
        <v>83.123081727921345</v>
      </c>
      <c r="T138">
        <f>70</f>
        <v>70</v>
      </c>
      <c r="U138">
        <f>30</f>
        <v>30</v>
      </c>
      <c r="V138">
        <f t="shared" ca="1" si="31"/>
        <v>13.48183508118132</v>
      </c>
      <c r="W138">
        <f t="shared" ca="1" si="41"/>
        <v>12.904453639041215</v>
      </c>
      <c r="X138">
        <f t="shared" ca="1" si="40"/>
        <v>0.55670651402409455</v>
      </c>
      <c r="Y138">
        <f t="shared" ca="1" si="42"/>
        <v>0.42312123846316352</v>
      </c>
      <c r="Z138">
        <f t="shared" ca="1" si="43"/>
        <v>0.13358527556093103</v>
      </c>
      <c r="AA138">
        <f t="shared" ca="1" si="44"/>
        <v>12.340630999999998</v>
      </c>
      <c r="AB138" s="18">
        <f t="shared" ca="1" si="52"/>
        <v>4.8347823646226473E-3</v>
      </c>
      <c r="AC138" s="18">
        <f t="shared" ca="1" si="53"/>
        <v>4.8231323394999802E-3</v>
      </c>
      <c r="AD138" s="18">
        <f t="shared" ca="1" si="48"/>
        <v>0.196547344496808</v>
      </c>
    </row>
    <row r="139" spans="1:30" x14ac:dyDescent="0.25">
      <c r="A139" vm="366">
        <f ca="1"/>
        <v>45492</v>
      </c>
      <c r="B139" vm="367">
        <f ca="1"/>
        <v>13.758800000000001</v>
      </c>
      <c r="C139" vm="368">
        <f ca="1"/>
        <v>77128729</v>
      </c>
      <c r="D139">
        <f t="shared" ca="1" si="45"/>
        <v>1061198756.5652001</v>
      </c>
      <c r="E139">
        <f ca="1">SUM($D$2:D139)/SUM($C$2:C139)</f>
        <v>12.210268079832291</v>
      </c>
      <c r="F139">
        <f ca="1">_xlfn.STDEV.P($B$2:B139)</f>
        <v>0.66015682299572209</v>
      </c>
      <c r="G139">
        <f t="shared" ca="1" si="46"/>
        <v>12.870424902828013</v>
      </c>
      <c r="H139">
        <f t="shared" ca="1" si="47"/>
        <v>11.550111256836569</v>
      </c>
      <c r="I139">
        <f t="shared" ca="1" si="36"/>
        <v>12.920309999999997</v>
      </c>
      <c r="J139">
        <f t="shared" ca="1" si="37"/>
        <v>0.85893879685158137</v>
      </c>
      <c r="K139">
        <f t="shared" ca="1" si="38"/>
        <v>14.63818759370316</v>
      </c>
      <c r="L139">
        <f t="shared" ca="1" si="39"/>
        <v>11.202432406296834</v>
      </c>
      <c r="M139">
        <f t="shared" ca="1" si="49"/>
        <v>-0.56099999999999994</v>
      </c>
      <c r="N139">
        <f t="shared" ca="1" si="50"/>
        <v>0</v>
      </c>
      <c r="O139">
        <f t="shared" ca="1" si="51"/>
        <v>0.56099999999999994</v>
      </c>
      <c r="P139">
        <f t="shared" ca="1" si="34"/>
        <v>0.12906883518909429</v>
      </c>
      <c r="Q139">
        <f t="shared" ca="1" si="35"/>
        <v>6.6276955817022032E-2</v>
      </c>
      <c r="R139">
        <f t="shared" ca="1" si="32"/>
        <v>1.9474164677301806</v>
      </c>
      <c r="S139">
        <f t="shared" ca="1" si="33"/>
        <v>66.071981650760577</v>
      </c>
      <c r="T139">
        <f>70</f>
        <v>70</v>
      </c>
      <c r="U139">
        <f>30</f>
        <v>30</v>
      </c>
      <c r="V139">
        <f t="shared" ca="1" si="31"/>
        <v>13.524445068691886</v>
      </c>
      <c r="W139">
        <f t="shared" ca="1" si="41"/>
        <v>12.967738554667791</v>
      </c>
      <c r="X139">
        <f t="shared" ca="1" si="40"/>
        <v>0.54515656733463658</v>
      </c>
      <c r="Y139">
        <f t="shared" ca="1" si="42"/>
        <v>0.44752830423745815</v>
      </c>
      <c r="Z139">
        <f t="shared" ca="1" si="43"/>
        <v>9.7628263097178425E-2</v>
      </c>
      <c r="AA139">
        <f t="shared" ca="1" si="44"/>
        <v>12.360609</v>
      </c>
      <c r="AB139" s="18">
        <f t="shared" ca="1" si="52"/>
        <v>-3.9176524811799007E-2</v>
      </c>
      <c r="AC139" s="18">
        <f t="shared" ca="1" si="53"/>
        <v>-3.996457555460068E-2</v>
      </c>
      <c r="AD139" s="18">
        <f t="shared" ca="1" si="48"/>
        <v>0.14967077776663662</v>
      </c>
    </row>
    <row r="140" spans="1:30" x14ac:dyDescent="0.25">
      <c r="A140" vm="369">
        <f ca="1"/>
        <v>45495</v>
      </c>
      <c r="B140" vm="370">
        <f ca="1"/>
        <v>13.896599999999999</v>
      </c>
      <c r="C140" vm="371">
        <f ca="1"/>
        <v>60067060</v>
      </c>
      <c r="D140">
        <f t="shared" ca="1" si="45"/>
        <v>834727905.99599993</v>
      </c>
      <c r="E140">
        <f ca="1">SUM($D$2:D140)/SUM($C$2:C140)</f>
        <v>12.224232547088022</v>
      </c>
      <c r="F140">
        <f ca="1">_xlfn.STDEV.P($B$2:B140)</f>
        <v>0.67353048592258113</v>
      </c>
      <c r="G140">
        <f t="shared" ca="1" si="46"/>
        <v>12.897763033010603</v>
      </c>
      <c r="H140">
        <f t="shared" ca="1" si="47"/>
        <v>11.55070206116544</v>
      </c>
      <c r="I140">
        <f t="shared" ca="1" si="36"/>
        <v>13.032504999999997</v>
      </c>
      <c r="J140">
        <f t="shared" ca="1" si="37"/>
        <v>0.83073505718540741</v>
      </c>
      <c r="K140">
        <f t="shared" ca="1" si="38"/>
        <v>14.693975114370811</v>
      </c>
      <c r="L140">
        <f t="shared" ca="1" si="39"/>
        <v>11.371034885629182</v>
      </c>
      <c r="M140">
        <f t="shared" ca="1" si="49"/>
        <v>0.13779999999999859</v>
      </c>
      <c r="N140">
        <f t="shared" ca="1" si="50"/>
        <v>0.13779999999999859</v>
      </c>
      <c r="O140">
        <f t="shared" ca="1" si="51"/>
        <v>0</v>
      </c>
      <c r="P140">
        <f t="shared" ca="1" si="34"/>
        <v>0.12969248981844458</v>
      </c>
      <c r="Q140">
        <f t="shared" ca="1" si="35"/>
        <v>6.1542887544377596E-2</v>
      </c>
      <c r="R140">
        <f t="shared" ca="1" si="32"/>
        <v>2.1073513933665429</v>
      </c>
      <c r="S140">
        <f t="shared" ca="1" si="33"/>
        <v>67.818251835477554</v>
      </c>
      <c r="T140">
        <f>70</f>
        <v>70</v>
      </c>
      <c r="U140">
        <f>30</f>
        <v>30</v>
      </c>
      <c r="V140">
        <f t="shared" ca="1" si="31"/>
        <v>13.581699673508519</v>
      </c>
      <c r="W140">
        <f t="shared" ca="1" si="41"/>
        <v>13.036543106173882</v>
      </c>
      <c r="X140">
        <f t="shared" ca="1" si="40"/>
        <v>0.50712790178210376</v>
      </c>
      <c r="Y140">
        <f t="shared" ca="1" si="42"/>
        <v>0.45944822374638727</v>
      </c>
      <c r="Z140">
        <f t="shared" ca="1" si="43"/>
        <v>4.7679678035716488E-2</v>
      </c>
      <c r="AA140">
        <f t="shared" ca="1" si="44"/>
        <v>12.381472999999998</v>
      </c>
      <c r="AB140" s="18">
        <f t="shared" ca="1" si="52"/>
        <v>1.0015408320492858E-2</v>
      </c>
      <c r="AC140" s="18">
        <f t="shared" ca="1" si="53"/>
        <v>9.965586499664331E-3</v>
      </c>
      <c r="AD140" s="18">
        <f t="shared" ca="1" si="48"/>
        <v>0.16118520004010817</v>
      </c>
    </row>
    <row r="141" spans="1:30" x14ac:dyDescent="0.25">
      <c r="A141" vm="372">
        <f ca="1"/>
        <v>45496</v>
      </c>
      <c r="B141" vm="373">
        <f ca="1"/>
        <v>13.6112</v>
      </c>
      <c r="C141" vm="374">
        <f ca="1"/>
        <v>87278412</v>
      </c>
      <c r="D141">
        <f t="shared" ca="1" si="45"/>
        <v>1187963921.4144001</v>
      </c>
      <c r="E141">
        <f ca="1">SUM($D$2:D141)/SUM($C$2:C141)</f>
        <v>12.240722660039879</v>
      </c>
      <c r="F141">
        <f ca="1">_xlfn.STDEV.P($B$2:B141)</f>
        <v>0.68162930166421476</v>
      </c>
      <c r="G141">
        <f t="shared" ca="1" si="46"/>
        <v>12.922351961704093</v>
      </c>
      <c r="H141">
        <f t="shared" ca="1" si="47"/>
        <v>11.559093358375664</v>
      </c>
      <c r="I141">
        <f t="shared" ca="1" si="36"/>
        <v>13.11124</v>
      </c>
      <c r="J141">
        <f t="shared" ca="1" si="37"/>
        <v>0.80561097794746683</v>
      </c>
      <c r="K141">
        <f t="shared" ca="1" si="38"/>
        <v>14.722461955894934</v>
      </c>
      <c r="L141">
        <f t="shared" ca="1" si="39"/>
        <v>11.500018044105067</v>
      </c>
      <c r="M141">
        <f t="shared" ca="1" si="49"/>
        <v>-0.28539999999999921</v>
      </c>
      <c r="N141">
        <f t="shared" ca="1" si="50"/>
        <v>0</v>
      </c>
      <c r="O141">
        <f t="shared" ca="1" si="51"/>
        <v>0.28539999999999921</v>
      </c>
      <c r="P141">
        <f t="shared" ca="1" si="34"/>
        <v>0.12042874054569853</v>
      </c>
      <c r="Q141">
        <f t="shared" ca="1" si="35"/>
        <v>7.7532681291207703E-2</v>
      </c>
      <c r="R141">
        <f t="shared" ca="1" si="32"/>
        <v>1.553264230516884</v>
      </c>
      <c r="S141">
        <f t="shared" ca="1" si="33"/>
        <v>60.834449171069167</v>
      </c>
      <c r="T141">
        <f>70</f>
        <v>70</v>
      </c>
      <c r="U141">
        <f>30</f>
        <v>30</v>
      </c>
      <c r="V141">
        <f t="shared" ca="1" si="31"/>
        <v>13.586238185276439</v>
      </c>
      <c r="W141">
        <f t="shared" ca="1" si="41"/>
        <v>13.079110283494336</v>
      </c>
      <c r="X141">
        <f t="shared" ca="1" si="40"/>
        <v>0.4589900253317456</v>
      </c>
      <c r="Y141">
        <f t="shared" ca="1" si="42"/>
        <v>0.45935658406345897</v>
      </c>
      <c r="Z141">
        <f t="shared" ca="1" si="43"/>
        <v>-3.6655873171337339E-4</v>
      </c>
      <c r="AA141">
        <f t="shared" ca="1" si="44"/>
        <v>12.396531000000003</v>
      </c>
      <c r="AB141" s="18">
        <f t="shared" ca="1" si="52"/>
        <v>-2.0537397636831933E-2</v>
      </c>
      <c r="AC141" s="18">
        <f t="shared" ca="1" si="53"/>
        <v>-2.0751222660101314E-2</v>
      </c>
      <c r="AD141" s="18">
        <f t="shared" ca="1" si="48"/>
        <v>0.13733747785688033</v>
      </c>
    </row>
    <row r="142" spans="1:30" x14ac:dyDescent="0.25">
      <c r="A142" vm="375">
        <f ca="1"/>
        <v>45497</v>
      </c>
      <c r="B142" vm="376">
        <f ca="1"/>
        <v>13.4537</v>
      </c>
      <c r="C142" vm="377">
        <f ca="1"/>
        <v>83083058</v>
      </c>
      <c r="D142">
        <f t="shared" ca="1" si="45"/>
        <v>1117774537.4145999</v>
      </c>
      <c r="E142">
        <f ca="1">SUM($D$2:D142)/SUM($C$2:C142)</f>
        <v>12.254297290736876</v>
      </c>
      <c r="F142">
        <f ca="1">_xlfn.STDEV.P($B$2:B142)</f>
        <v>0.6872367870946231</v>
      </c>
      <c r="G142">
        <f t="shared" ca="1" si="46"/>
        <v>12.941534077831498</v>
      </c>
      <c r="H142">
        <f t="shared" ca="1" si="47"/>
        <v>11.567060503642253</v>
      </c>
      <c r="I142">
        <f t="shared" ca="1" si="36"/>
        <v>13.188989999999999</v>
      </c>
      <c r="J142">
        <f t="shared" ca="1" si="37"/>
        <v>0.75593428626957715</v>
      </c>
      <c r="K142">
        <f t="shared" ca="1" si="38"/>
        <v>14.700858572539152</v>
      </c>
      <c r="L142">
        <f t="shared" ca="1" si="39"/>
        <v>11.677121427460845</v>
      </c>
      <c r="M142">
        <f t="shared" ca="1" si="49"/>
        <v>-0.15750000000000064</v>
      </c>
      <c r="N142">
        <f t="shared" ca="1" si="50"/>
        <v>0</v>
      </c>
      <c r="O142">
        <f t="shared" ca="1" si="51"/>
        <v>0.15750000000000064</v>
      </c>
      <c r="P142">
        <f t="shared" ca="1" si="34"/>
        <v>0.11182668764957722</v>
      </c>
      <c r="Q142">
        <f t="shared" ca="1" si="35"/>
        <v>8.3244632627550066E-2</v>
      </c>
      <c r="R142">
        <f t="shared" ca="1" si="32"/>
        <v>1.3433501250453934</v>
      </c>
      <c r="S142">
        <f t="shared" ca="1" si="33"/>
        <v>57.326052589745686</v>
      </c>
      <c r="T142">
        <f>70</f>
        <v>70</v>
      </c>
      <c r="U142">
        <f>30</f>
        <v>30</v>
      </c>
      <c r="V142">
        <f t="shared" ca="1" si="31"/>
        <v>13.565847695233909</v>
      </c>
      <c r="W142">
        <f t="shared" ca="1" si="41"/>
        <v>13.106857669902164</v>
      </c>
      <c r="X142">
        <f t="shared" ca="1" si="40"/>
        <v>0.2189835406446381</v>
      </c>
      <c r="Y142">
        <f t="shared" ca="1" si="42"/>
        <v>0.4112819753796948</v>
      </c>
      <c r="Z142">
        <f t="shared" ca="1" si="43"/>
        <v>-0.1922984347350567</v>
      </c>
      <c r="AA142">
        <f t="shared" ca="1" si="44"/>
        <v>12.408636000000001</v>
      </c>
      <c r="AB142" s="18">
        <f t="shared" ca="1" si="52"/>
        <v>-1.1571353003409057E-2</v>
      </c>
      <c r="AC142" s="18">
        <f t="shared" ca="1" si="53"/>
        <v>-1.1638822085955899E-2</v>
      </c>
      <c r="AD142" s="18">
        <f t="shared" ca="1" si="48"/>
        <v>0.12417694441659144</v>
      </c>
    </row>
    <row r="143" spans="1:30" x14ac:dyDescent="0.25">
      <c r="A143" vm="378">
        <f ca="1"/>
        <v>45498</v>
      </c>
      <c r="B143" vm="379">
        <f ca="1"/>
        <v>10.9834</v>
      </c>
      <c r="C143" vm="380">
        <f ca="1"/>
        <v>263654976</v>
      </c>
      <c r="D143">
        <f t="shared" ca="1" si="45"/>
        <v>2895828063.3983998</v>
      </c>
      <c r="E143">
        <f ca="1">SUM($D$2:D143)/SUM($C$2:C143)</f>
        <v>12.210710655936131</v>
      </c>
      <c r="F143">
        <f ca="1">_xlfn.STDEV.P($B$2:B143)</f>
        <v>0.69250574227991546</v>
      </c>
      <c r="G143">
        <f t="shared" ca="1" si="46"/>
        <v>12.903216398216045</v>
      </c>
      <c r="H143">
        <f t="shared" ca="1" si="47"/>
        <v>11.518204913656216</v>
      </c>
      <c r="I143">
        <f t="shared" ca="1" si="36"/>
        <v>13.142239999999997</v>
      </c>
      <c r="J143">
        <f t="shared" ca="1" si="37"/>
        <v>0.86034917354586482</v>
      </c>
      <c r="K143">
        <f t="shared" ca="1" si="38"/>
        <v>14.862938347091728</v>
      </c>
      <c r="L143">
        <f t="shared" ca="1" si="39"/>
        <v>11.421541652908267</v>
      </c>
      <c r="M143">
        <f t="shared" ca="1" si="49"/>
        <v>-2.4702999999999999</v>
      </c>
      <c r="N143">
        <f t="shared" ca="1" si="50"/>
        <v>0</v>
      </c>
      <c r="O143">
        <f t="shared" ca="1" si="51"/>
        <v>2.4702999999999999</v>
      </c>
      <c r="P143">
        <f t="shared" ca="1" si="34"/>
        <v>0.10383906710317885</v>
      </c>
      <c r="Q143">
        <f t="shared" ca="1" si="35"/>
        <v>0.25374858743986789</v>
      </c>
      <c r="R143">
        <f t="shared" ca="1" si="32"/>
        <v>0.40922027645882414</v>
      </c>
      <c r="S143">
        <f t="shared" ca="1" si="33"/>
        <v>29.038772950892977</v>
      </c>
      <c r="T143">
        <f>70</f>
        <v>70</v>
      </c>
      <c r="U143">
        <f>30</f>
        <v>30</v>
      </c>
      <c r="V143">
        <f t="shared" ref="V143:V206" ca="1" si="54">B143*(2/(12+1)) + V142*(1-(2/(12+1)))</f>
        <v>13.168548049813307</v>
      </c>
      <c r="W143">
        <f t="shared" ca="1" si="41"/>
        <v>12.949564509168669</v>
      </c>
      <c r="X143">
        <f t="shared" ca="1" si="40"/>
        <v>3.0809986651666676E-2</v>
      </c>
      <c r="Y143">
        <f t="shared" ca="1" si="42"/>
        <v>0.33518757763408918</v>
      </c>
      <c r="Z143">
        <f t="shared" ca="1" si="43"/>
        <v>-0.30437759098242251</v>
      </c>
      <c r="AA143">
        <f t="shared" ca="1" si="44"/>
        <v>12.395940000000001</v>
      </c>
      <c r="AB143" s="18">
        <f t="shared" ca="1" si="52"/>
        <v>-0.18361491634271609</v>
      </c>
      <c r="AC143" s="18">
        <f t="shared" ca="1" si="53"/>
        <v>-0.20286911908881022</v>
      </c>
      <c r="AD143" s="18">
        <f t="shared" ca="1" si="48"/>
        <v>-8.2238711186871205E-2</v>
      </c>
    </row>
    <row r="144" spans="1:30" x14ac:dyDescent="0.25">
      <c r="A144" vm="381">
        <f ca="1"/>
        <v>45499</v>
      </c>
      <c r="B144" vm="382">
        <f ca="1"/>
        <v>11.013</v>
      </c>
      <c r="C144" vm="383">
        <f ca="1"/>
        <v>80879390</v>
      </c>
      <c r="D144">
        <f t="shared" ca="1" si="45"/>
        <v>890724722.06999993</v>
      </c>
      <c r="E144">
        <f ca="1">SUM($D$2:D144)/SUM($C$2:C144)</f>
        <v>12.19824108591266</v>
      </c>
      <c r="F144">
        <f ca="1">_xlfn.STDEV.P($B$2:B144)</f>
        <v>0.69720067478266556</v>
      </c>
      <c r="G144">
        <f t="shared" ca="1" si="46"/>
        <v>12.895441760695325</v>
      </c>
      <c r="H144">
        <f t="shared" ca="1" si="47"/>
        <v>11.501040411129994</v>
      </c>
      <c r="I144">
        <f t="shared" ca="1" si="36"/>
        <v>13.091064999999997</v>
      </c>
      <c r="J144">
        <f t="shared" ca="1" si="37"/>
        <v>0.9548336235756083</v>
      </c>
      <c r="K144">
        <f t="shared" ca="1" si="38"/>
        <v>15.000732247151213</v>
      </c>
      <c r="L144">
        <f t="shared" ca="1" si="39"/>
        <v>11.181397752848781</v>
      </c>
      <c r="M144">
        <f t="shared" ca="1" si="49"/>
        <v>2.9600000000000293E-2</v>
      </c>
      <c r="N144">
        <f t="shared" ca="1" si="50"/>
        <v>2.9600000000000293E-2</v>
      </c>
      <c r="O144">
        <f t="shared" ca="1" si="51"/>
        <v>0</v>
      </c>
      <c r="P144">
        <f t="shared" ca="1" si="34"/>
        <v>9.853627659580895E-2</v>
      </c>
      <c r="Q144">
        <f t="shared" ca="1" si="35"/>
        <v>0.23562368833702019</v>
      </c>
      <c r="R144">
        <f t="shared" ref="R144:R207" ca="1" si="55">IF(Q144=0,NA(),P144/Q144)</f>
        <v>0.41819342227963652</v>
      </c>
      <c r="S144">
        <f t="shared" ref="S144:S207" ca="1" si="56">100-(100/(1+R144))</f>
        <v>29.487756444915874</v>
      </c>
      <c r="T144">
        <f>70</f>
        <v>70</v>
      </c>
      <c r="U144">
        <f>30</f>
        <v>30</v>
      </c>
      <c r="V144">
        <f t="shared" ca="1" si="54"/>
        <v>12.836925272918952</v>
      </c>
      <c r="W144">
        <f t="shared" ca="1" si="41"/>
        <v>12.806115286267286</v>
      </c>
      <c r="X144">
        <f t="shared" ca="1" si="40"/>
        <v>-0.13110615948700399</v>
      </c>
      <c r="Y144">
        <f t="shared" ca="1" si="42"/>
        <v>0.24192883020987058</v>
      </c>
      <c r="Z144">
        <f t="shared" ca="1" si="43"/>
        <v>-0.37303498969687454</v>
      </c>
      <c r="AA144">
        <f t="shared" ca="1" si="44"/>
        <v>12.380684999999998</v>
      </c>
      <c r="AB144" s="18">
        <f t="shared" ca="1" si="52"/>
        <v>2.6949760547736457E-3</v>
      </c>
      <c r="AC144" s="18">
        <f t="shared" ca="1" si="53"/>
        <v>2.6913511180902427E-3</v>
      </c>
      <c r="AD144" s="18">
        <f t="shared" ca="1" si="48"/>
        <v>-7.9765366489521594E-2</v>
      </c>
    </row>
    <row r="145" spans="1:30" x14ac:dyDescent="0.25">
      <c r="A145" vm="384">
        <f ca="1"/>
        <v>45502</v>
      </c>
      <c r="B145" vm="385">
        <f ca="1"/>
        <v>10.835800000000001</v>
      </c>
      <c r="C145" vm="386">
        <f ca="1"/>
        <v>93141028</v>
      </c>
      <c r="D145">
        <f t="shared" ca="1" si="45"/>
        <v>1009257551.2024001</v>
      </c>
      <c r="E145">
        <f ca="1">SUM($D$2:D145)/SUM($C$2:C145)</f>
        <v>12.182099565841026</v>
      </c>
      <c r="F145">
        <f ca="1">_xlfn.STDEV.P($B$2:B145)</f>
        <v>0.70391592330434216</v>
      </c>
      <c r="G145">
        <f t="shared" ca="1" si="46"/>
        <v>12.886015489145368</v>
      </c>
      <c r="H145">
        <f t="shared" ca="1" si="47"/>
        <v>11.478183642536685</v>
      </c>
      <c r="I145">
        <f t="shared" ca="1" si="36"/>
        <v>13.015775</v>
      </c>
      <c r="J145">
        <f t="shared" ca="1" si="37"/>
        <v>1.0695200221422494</v>
      </c>
      <c r="K145">
        <f t="shared" ca="1" si="38"/>
        <v>15.154815044284499</v>
      </c>
      <c r="L145">
        <f t="shared" ca="1" si="39"/>
        <v>10.8767349557155</v>
      </c>
      <c r="M145">
        <f t="shared" ca="1" si="49"/>
        <v>-0.17719999999999914</v>
      </c>
      <c r="N145">
        <f t="shared" ca="1" si="50"/>
        <v>0</v>
      </c>
      <c r="O145">
        <f t="shared" ca="1" si="51"/>
        <v>0.17719999999999914</v>
      </c>
      <c r="P145">
        <f t="shared" ref="P145:P208" ca="1" si="57">(P144*13+N145)/14</f>
        <v>9.1497971124679736E-2</v>
      </c>
      <c r="Q145">
        <f t="shared" ref="Q145:Q208" ca="1" si="58">(Q144*13+O145)/14</f>
        <v>0.23145056774151868</v>
      </c>
      <c r="R145">
        <f t="shared" ca="1" si="55"/>
        <v>0.39532402973780395</v>
      </c>
      <c r="S145">
        <f t="shared" ca="1" si="56"/>
        <v>28.332059171380394</v>
      </c>
      <c r="T145">
        <f>70</f>
        <v>70</v>
      </c>
      <c r="U145">
        <f>30</f>
        <v>30</v>
      </c>
      <c r="V145">
        <f t="shared" ca="1" si="54"/>
        <v>12.529059846316038</v>
      </c>
      <c r="W145">
        <f t="shared" ca="1" si="41"/>
        <v>12.660166005803042</v>
      </c>
      <c r="X145">
        <f t="shared" ca="1" si="40"/>
        <v>-0.26981532059864577</v>
      </c>
      <c r="Y145">
        <f t="shared" ca="1" si="42"/>
        <v>0.13958000004816731</v>
      </c>
      <c r="Z145">
        <f t="shared" ca="1" si="43"/>
        <v>-0.40939532064681305</v>
      </c>
      <c r="AA145">
        <f t="shared" ca="1" si="44"/>
        <v>12.365233</v>
      </c>
      <c r="AB145" s="18">
        <f t="shared" ca="1" si="52"/>
        <v>-1.609007536547713E-2</v>
      </c>
      <c r="AC145" s="18">
        <f t="shared" ca="1" si="53"/>
        <v>-1.6220926125491832E-2</v>
      </c>
      <c r="AD145" s="18">
        <f t="shared" ca="1" si="48"/>
        <v>-9.4572011096627384E-2</v>
      </c>
    </row>
    <row r="146" spans="1:30" x14ac:dyDescent="0.25">
      <c r="A146" vm="387">
        <f ca="1"/>
        <v>45503</v>
      </c>
      <c r="B146" vm="388">
        <f ca="1"/>
        <v>10.6685</v>
      </c>
      <c r="C146" vm="389">
        <f ca="1"/>
        <v>70451576</v>
      </c>
      <c r="D146">
        <f t="shared" ca="1" si="45"/>
        <v>751612638.55599999</v>
      </c>
      <c r="E146">
        <f ca="1">SUM($D$2:D146)/SUM($C$2:C146)</f>
        <v>12.168656051257242</v>
      </c>
      <c r="F146">
        <f ca="1">_xlfn.STDEV.P($B$2:B146)</f>
        <v>0.71266531117903253</v>
      </c>
      <c r="G146">
        <f t="shared" ca="1" si="46"/>
        <v>12.881321362436275</v>
      </c>
      <c r="H146">
        <f t="shared" ca="1" si="47"/>
        <v>11.45599074007821</v>
      </c>
      <c r="I146">
        <f t="shared" ca="1" si="36"/>
        <v>12.921295000000001</v>
      </c>
      <c r="J146">
        <f t="shared" ca="1" si="37"/>
        <v>1.1888803354749153</v>
      </c>
      <c r="K146">
        <f t="shared" ca="1" si="38"/>
        <v>15.299055670949832</v>
      </c>
      <c r="L146">
        <f t="shared" ca="1" si="39"/>
        <v>10.54353432905017</v>
      </c>
      <c r="M146">
        <f t="shared" ca="1" si="49"/>
        <v>-0.16730000000000089</v>
      </c>
      <c r="N146">
        <f t="shared" ca="1" si="50"/>
        <v>0</v>
      </c>
      <c r="O146">
        <f t="shared" ca="1" si="51"/>
        <v>0.16730000000000089</v>
      </c>
      <c r="P146">
        <f t="shared" ca="1" si="57"/>
        <v>8.4962401758631192E-2</v>
      </c>
      <c r="Q146">
        <f t="shared" ca="1" si="58"/>
        <v>0.22686838433141027</v>
      </c>
      <c r="R146">
        <f t="shared" ca="1" si="55"/>
        <v>0.37450084554098895</v>
      </c>
      <c r="S146">
        <f t="shared" ca="1" si="56"/>
        <v>27.246316126752873</v>
      </c>
      <c r="T146">
        <f>70</f>
        <v>70</v>
      </c>
      <c r="U146">
        <f>30</f>
        <v>30</v>
      </c>
      <c r="V146">
        <f t="shared" ca="1" si="54"/>
        <v>12.242819869959725</v>
      </c>
      <c r="W146">
        <f t="shared" ca="1" si="41"/>
        <v>12.51263519055837</v>
      </c>
      <c r="X146">
        <f t="shared" ca="1" si="40"/>
        <v>-0.37698728077901045</v>
      </c>
      <c r="Y146">
        <f t="shared" ca="1" si="42"/>
        <v>3.6266543882731761E-2</v>
      </c>
      <c r="Z146">
        <f t="shared" ca="1" si="43"/>
        <v>-0.41325382466174221</v>
      </c>
      <c r="AA146">
        <f t="shared" ca="1" si="44"/>
        <v>12.350077000000001</v>
      </c>
      <c r="AB146" s="18">
        <f t="shared" ca="1" si="52"/>
        <v>-1.5439561453699846E-2</v>
      </c>
      <c r="AC146" s="18">
        <f t="shared" ca="1" si="53"/>
        <v>-1.555999269451386E-2</v>
      </c>
      <c r="AD146" s="18">
        <f t="shared" ca="1" si="48"/>
        <v>-0.10855142217320091</v>
      </c>
    </row>
    <row r="147" spans="1:30" x14ac:dyDescent="0.25">
      <c r="A147" vm="390">
        <f ca="1"/>
        <v>45504</v>
      </c>
      <c r="B147" vm="391">
        <f ca="1"/>
        <v>10.6488</v>
      </c>
      <c r="C147" vm="392">
        <f ca="1"/>
        <v>76691231</v>
      </c>
      <c r="D147">
        <f t="shared" ca="1" si="45"/>
        <v>816669580.67279994</v>
      </c>
      <c r="E147">
        <f ca="1">SUM($D$2:D147)/SUM($C$2:C147)</f>
        <v>12.154102114082345</v>
      </c>
      <c r="F147">
        <f ca="1">_xlfn.STDEV.P($B$2:B147)</f>
        <v>0.72132393718461041</v>
      </c>
      <c r="G147">
        <f t="shared" ca="1" si="46"/>
        <v>12.875426051266956</v>
      </c>
      <c r="H147">
        <f t="shared" ca="1" si="47"/>
        <v>11.432778176897735</v>
      </c>
      <c r="I147">
        <f t="shared" ca="1" si="36"/>
        <v>12.820415000000001</v>
      </c>
      <c r="J147">
        <f t="shared" ca="1" si="37"/>
        <v>1.2927127569063519</v>
      </c>
      <c r="K147">
        <f t="shared" ca="1" si="38"/>
        <v>15.405840513812704</v>
      </c>
      <c r="L147">
        <f t="shared" ca="1" si="39"/>
        <v>10.234989486187297</v>
      </c>
      <c r="M147">
        <f t="shared" ca="1" si="49"/>
        <v>-1.9700000000000273E-2</v>
      </c>
      <c r="N147">
        <f t="shared" ca="1" si="50"/>
        <v>0</v>
      </c>
      <c r="O147">
        <f t="shared" ca="1" si="51"/>
        <v>1.9700000000000273E-2</v>
      </c>
      <c r="P147">
        <f t="shared" ca="1" si="57"/>
        <v>7.8893658775871831E-2</v>
      </c>
      <c r="Q147">
        <f t="shared" ca="1" si="58"/>
        <v>0.2120706425934524</v>
      </c>
      <c r="R147">
        <f t="shared" ca="1" si="55"/>
        <v>0.37201593681740297</v>
      </c>
      <c r="S147">
        <f t="shared" ca="1" si="56"/>
        <v>27.114549243527719</v>
      </c>
      <c r="T147">
        <f>70</f>
        <v>70</v>
      </c>
      <c r="U147">
        <f>30</f>
        <v>30</v>
      </c>
      <c r="V147">
        <f t="shared" ca="1" si="54"/>
        <v>11.997586043812074</v>
      </c>
      <c r="W147">
        <f t="shared" ca="1" si="41"/>
        <v>12.374573324591084</v>
      </c>
      <c r="X147">
        <f t="shared" ca="1" si="40"/>
        <v>-0.46686061390289524</v>
      </c>
      <c r="Y147">
        <f t="shared" ca="1" si="42"/>
        <v>-6.4358887674393642E-2</v>
      </c>
      <c r="Z147">
        <f t="shared" ca="1" si="43"/>
        <v>-0.40250172622850161</v>
      </c>
      <c r="AA147">
        <f t="shared" ca="1" si="44"/>
        <v>12.334428000000001</v>
      </c>
      <c r="AB147" s="18">
        <f t="shared" ca="1" si="52"/>
        <v>-1.84655762290864E-3</v>
      </c>
      <c r="AC147" s="18">
        <f t="shared" ca="1" si="53"/>
        <v>-1.8482646121289828E-3</v>
      </c>
      <c r="AD147" s="18">
        <f t="shared" ca="1" si="48"/>
        <v>-0.11019753334001803</v>
      </c>
    </row>
    <row r="148" spans="1:30" x14ac:dyDescent="0.25">
      <c r="A148" vm="393">
        <f ca="1"/>
        <v>45505</v>
      </c>
      <c r="B148" vm="394">
        <f ca="1"/>
        <v>10.520899999999999</v>
      </c>
      <c r="C148" vm="395">
        <f ca="1"/>
        <v>61489217</v>
      </c>
      <c r="D148">
        <f t="shared" ca="1" si="45"/>
        <v>646921903.13529992</v>
      </c>
      <c r="E148">
        <f ca="1">SUM($D$2:D148)/SUM($C$2:C148)</f>
        <v>12.141658412790802</v>
      </c>
      <c r="F148">
        <f ca="1">_xlfn.STDEV.P($B$2:B148)</f>
        <v>0.7314883633655942</v>
      </c>
      <c r="G148">
        <f t="shared" ca="1" si="46"/>
        <v>12.873146776156396</v>
      </c>
      <c r="H148">
        <f t="shared" ca="1" si="47"/>
        <v>11.410170049425208</v>
      </c>
      <c r="I148">
        <f t="shared" ca="1" si="36"/>
        <v>12.713139999999999</v>
      </c>
      <c r="J148">
        <f t="shared" ca="1" si="37"/>
        <v>1.3914193674843394</v>
      </c>
      <c r="K148">
        <f t="shared" ca="1" si="38"/>
        <v>15.495978734968677</v>
      </c>
      <c r="L148">
        <f t="shared" ca="1" si="39"/>
        <v>9.9303012650313214</v>
      </c>
      <c r="M148">
        <f t="shared" ca="1" si="49"/>
        <v>-0.12790000000000035</v>
      </c>
      <c r="N148">
        <f t="shared" ca="1" si="50"/>
        <v>0</v>
      </c>
      <c r="O148">
        <f t="shared" ca="1" si="51"/>
        <v>0.12790000000000035</v>
      </c>
      <c r="P148">
        <f t="shared" ca="1" si="57"/>
        <v>7.3258397434738137E-2</v>
      </c>
      <c r="Q148">
        <f t="shared" ca="1" si="58"/>
        <v>0.20605845383677726</v>
      </c>
      <c r="R148">
        <f t="shared" ca="1" si="55"/>
        <v>0.35552240672817764</v>
      </c>
      <c r="S148">
        <f t="shared" ca="1" si="56"/>
        <v>26.227704165090245</v>
      </c>
      <c r="T148">
        <f>70</f>
        <v>70</v>
      </c>
      <c r="U148">
        <f>30</f>
        <v>30</v>
      </c>
      <c r="V148">
        <f t="shared" ca="1" si="54"/>
        <v>11.770403575533294</v>
      </c>
      <c r="W148">
        <f t="shared" ca="1" si="41"/>
        <v>12.237264189436189</v>
      </c>
      <c r="X148">
        <f t="shared" ca="1" si="40"/>
        <v>-0.5837737881292675</v>
      </c>
      <c r="Y148">
        <f t="shared" ca="1" si="42"/>
        <v>-0.16824186776536842</v>
      </c>
      <c r="Z148">
        <f t="shared" ca="1" si="43"/>
        <v>-0.41553192036389908</v>
      </c>
      <c r="AA148">
        <f t="shared" ca="1" si="44"/>
        <v>12.319763999999999</v>
      </c>
      <c r="AB148" s="18">
        <f t="shared" ca="1" si="52"/>
        <v>-1.2010742994515877E-2</v>
      </c>
      <c r="AC148" s="18">
        <f t="shared" ca="1" si="53"/>
        <v>-1.2083454769616553E-2</v>
      </c>
      <c r="AD148" s="18">
        <f t="shared" ca="1" si="48"/>
        <v>-0.12088472208295731</v>
      </c>
    </row>
    <row r="149" spans="1:30" x14ac:dyDescent="0.25">
      <c r="A149" vm="396">
        <f ca="1"/>
        <v>45506</v>
      </c>
      <c r="B149" vm="397">
        <f ca="1"/>
        <v>9.8712999999999997</v>
      </c>
      <c r="C149" vm="398">
        <f ca="1"/>
        <v>112482477</v>
      </c>
      <c r="D149">
        <f t="shared" ca="1" si="45"/>
        <v>1110348275.2100999</v>
      </c>
      <c r="E149">
        <f ca="1">SUM($D$2:D149)/SUM($C$2:C149)</f>
        <v>12.110449499725791</v>
      </c>
      <c r="F149">
        <f ca="1">_xlfn.STDEV.P($B$2:B149)</f>
        <v>0.75265086291080308</v>
      </c>
      <c r="G149">
        <f t="shared" ca="1" si="46"/>
        <v>12.863100362636594</v>
      </c>
      <c r="H149">
        <f t="shared" ca="1" si="47"/>
        <v>11.357798636814987</v>
      </c>
      <c r="I149">
        <f t="shared" ca="1" si="36"/>
        <v>12.574859999999999</v>
      </c>
      <c r="J149">
        <f t="shared" ca="1" si="37"/>
        <v>1.5299247340964195</v>
      </c>
      <c r="K149">
        <f t="shared" ca="1" si="38"/>
        <v>15.634709468192838</v>
      </c>
      <c r="L149">
        <f t="shared" ca="1" si="39"/>
        <v>9.5150105318071603</v>
      </c>
      <c r="M149">
        <f t="shared" ca="1" si="49"/>
        <v>-0.64959999999999951</v>
      </c>
      <c r="N149">
        <f t="shared" ca="1" si="50"/>
        <v>0</v>
      </c>
      <c r="O149">
        <f t="shared" ca="1" si="51"/>
        <v>0.64959999999999951</v>
      </c>
      <c r="P149">
        <f t="shared" ca="1" si="57"/>
        <v>6.8025654760828266E-2</v>
      </c>
      <c r="Q149">
        <f t="shared" ca="1" si="58"/>
        <v>0.237739992848436</v>
      </c>
      <c r="R149">
        <f t="shared" ca="1" si="55"/>
        <v>0.28613467151989014</v>
      </c>
      <c r="S149">
        <f t="shared" ca="1" si="56"/>
        <v>22.247644656196869</v>
      </c>
      <c r="T149">
        <f>70</f>
        <v>70</v>
      </c>
      <c r="U149">
        <f>30</f>
        <v>30</v>
      </c>
      <c r="V149">
        <f t="shared" ca="1" si="54"/>
        <v>11.478233794682017</v>
      </c>
      <c r="W149">
        <f t="shared" ca="1" si="41"/>
        <v>12.062007582811285</v>
      </c>
      <c r="X149">
        <f t="shared" ca="1" si="40"/>
        <v>-0.69383996408292958</v>
      </c>
      <c r="Y149">
        <f t="shared" ca="1" si="42"/>
        <v>-0.27336148702888063</v>
      </c>
      <c r="Z149">
        <f t="shared" ca="1" si="43"/>
        <v>-0.42047847705404895</v>
      </c>
      <c r="AA149">
        <f t="shared" ca="1" si="44"/>
        <v>12.299293</v>
      </c>
      <c r="AB149" s="18">
        <f t="shared" ca="1" si="52"/>
        <v>-6.1743767168207953E-2</v>
      </c>
      <c r="AC149" s="18">
        <f t="shared" ca="1" si="53"/>
        <v>-6.3732197949591798E-2</v>
      </c>
      <c r="AD149" s="18">
        <f t="shared" ca="1" si="48"/>
        <v>-0.17516461111668158</v>
      </c>
    </row>
    <row r="150" spans="1:30" x14ac:dyDescent="0.25">
      <c r="A150" vm="399">
        <f ca="1"/>
        <v>45509</v>
      </c>
      <c r="B150" vm="400">
        <f ca="1"/>
        <v>9.5564</v>
      </c>
      <c r="C150" vm="401">
        <f ca="1"/>
        <v>117452283</v>
      </c>
      <c r="D150">
        <f t="shared" ca="1" si="45"/>
        <v>1122420997.2612</v>
      </c>
      <c r="E150">
        <f ca="1">SUM($D$2:D150)/SUM($C$2:C150)</f>
        <v>12.074308451267735</v>
      </c>
      <c r="F150">
        <f ca="1">_xlfn.STDEV.P($B$2:B150)</f>
        <v>0.77922419849675117</v>
      </c>
      <c r="G150">
        <f t="shared" ca="1" si="46"/>
        <v>12.853532649764485</v>
      </c>
      <c r="H150">
        <f t="shared" ca="1" si="47"/>
        <v>11.295084252770984</v>
      </c>
      <c r="I150">
        <f t="shared" ref="I150:I213" ca="1" si="59">AVERAGE(B131:B150)</f>
        <v>12.413945</v>
      </c>
      <c r="J150">
        <f t="shared" ref="J150:J213" ca="1" si="60">_xlfn.STDEV.S(B131:B150)</f>
        <v>1.6705816218421894</v>
      </c>
      <c r="K150">
        <f t="shared" ref="K150:K213" ca="1" si="61">I150 + 2*J150</f>
        <v>15.755108243684379</v>
      </c>
      <c r="L150">
        <f t="shared" ref="L150:L213" ca="1" si="62">I150-2*J150</f>
        <v>9.0727817563156208</v>
      </c>
      <c r="M150">
        <f t="shared" ca="1" si="49"/>
        <v>-0.31489999999999974</v>
      </c>
      <c r="N150">
        <f t="shared" ca="1" si="50"/>
        <v>0</v>
      </c>
      <c r="O150">
        <f t="shared" ca="1" si="51"/>
        <v>0.31489999999999974</v>
      </c>
      <c r="P150">
        <f t="shared" ca="1" si="57"/>
        <v>6.3166679420769103E-2</v>
      </c>
      <c r="Q150">
        <f t="shared" ca="1" si="58"/>
        <v>0.24325142193069055</v>
      </c>
      <c r="R150">
        <f t="shared" ca="1" si="55"/>
        <v>0.25967650638756445</v>
      </c>
      <c r="S150">
        <f t="shared" ca="1" si="56"/>
        <v>20.614539135309542</v>
      </c>
      <c r="T150">
        <f>70</f>
        <v>70</v>
      </c>
      <c r="U150">
        <f>30</f>
        <v>30</v>
      </c>
      <c r="V150">
        <f t="shared" ca="1" si="54"/>
        <v>11.18256705703863</v>
      </c>
      <c r="W150">
        <f t="shared" ca="1" si="41"/>
        <v>11.87640702112156</v>
      </c>
      <c r="X150">
        <f t="shared" ca="1" si="40"/>
        <v>-0.7666708430884146</v>
      </c>
      <c r="Y150">
        <f t="shared" ca="1" si="42"/>
        <v>-0.37202335824078747</v>
      </c>
      <c r="Z150">
        <f t="shared" ca="1" si="43"/>
        <v>-0.39464748484762713</v>
      </c>
      <c r="AA150">
        <f t="shared" ca="1" si="44"/>
        <v>12.275672999999999</v>
      </c>
      <c r="AB150" s="18">
        <f t="shared" ca="1" si="52"/>
        <v>-3.1900560209901396E-2</v>
      </c>
      <c r="AC150" s="18">
        <f t="shared" ca="1" si="53"/>
        <v>-3.2420469925735725E-2</v>
      </c>
      <c r="AD150" s="18">
        <f t="shared" ca="1" si="48"/>
        <v>-0.20147732210301128</v>
      </c>
    </row>
    <row r="151" spans="1:30" x14ac:dyDescent="0.25">
      <c r="A151" vm="402">
        <f ca="1"/>
        <v>45510</v>
      </c>
      <c r="B151" vm="403">
        <f ca="1"/>
        <v>9.6252999999999993</v>
      </c>
      <c r="C151" vm="404">
        <f ca="1"/>
        <v>113615036</v>
      </c>
      <c r="D151">
        <f t="shared" ca="1" si="45"/>
        <v>1093578806.0107999</v>
      </c>
      <c r="E151">
        <f ca="1">SUM($D$2:D151)/SUM($C$2:C151)</f>
        <v>12.041238642372896</v>
      </c>
      <c r="F151">
        <f ca="1">_xlfn.STDEV.P($B$2:B151)</f>
        <v>0.80277920473537157</v>
      </c>
      <c r="G151">
        <f t="shared" ca="1" si="46"/>
        <v>12.844017847108267</v>
      </c>
      <c r="H151">
        <f t="shared" ca="1" si="47"/>
        <v>11.238459437637525</v>
      </c>
      <c r="I151">
        <f t="shared" ca="1" si="59"/>
        <v>12.260415</v>
      </c>
      <c r="J151">
        <f t="shared" ca="1" si="60"/>
        <v>1.7807690421113338</v>
      </c>
      <c r="K151">
        <f t="shared" ca="1" si="61"/>
        <v>15.821953084222667</v>
      </c>
      <c r="L151">
        <f t="shared" ca="1" si="62"/>
        <v>8.6988769157773334</v>
      </c>
      <c r="M151">
        <f t="shared" ca="1" si="49"/>
        <v>6.8899999999999295E-2</v>
      </c>
      <c r="N151">
        <f t="shared" ca="1" si="50"/>
        <v>6.8899999999999295E-2</v>
      </c>
      <c r="O151">
        <f t="shared" ca="1" si="51"/>
        <v>0</v>
      </c>
      <c r="P151">
        <f t="shared" ca="1" si="57"/>
        <v>6.3576202319285541E-2</v>
      </c>
      <c r="Q151">
        <f t="shared" ca="1" si="58"/>
        <v>0.22587632036421265</v>
      </c>
      <c r="R151">
        <f t="shared" ca="1" si="55"/>
        <v>0.28146466268253595</v>
      </c>
      <c r="S151">
        <f t="shared" ca="1" si="56"/>
        <v>21.964293739738082</v>
      </c>
      <c r="T151">
        <f>70</f>
        <v>70</v>
      </c>
      <c r="U151">
        <f>30</f>
        <v>30</v>
      </c>
      <c r="V151">
        <f t="shared" ca="1" si="54"/>
        <v>10.942987509801918</v>
      </c>
      <c r="W151">
        <f t="shared" ca="1" si="41"/>
        <v>11.709658352890333</v>
      </c>
      <c r="X151">
        <f t="shared" ca="1" si="40"/>
        <v>-0.81578482700338384</v>
      </c>
      <c r="Y151">
        <f t="shared" ca="1" si="42"/>
        <v>-0.46077565199330672</v>
      </c>
      <c r="Z151">
        <f t="shared" ca="1" si="43"/>
        <v>-0.35500917501007712</v>
      </c>
      <c r="AA151">
        <f t="shared" ca="1" si="44"/>
        <v>12.250182999999998</v>
      </c>
      <c r="AB151" s="18">
        <f t="shared" ca="1" si="52"/>
        <v>7.2098279686909628E-3</v>
      </c>
      <c r="AC151" s="18">
        <f t="shared" ca="1" si="53"/>
        <v>7.1839614135504231E-3</v>
      </c>
      <c r="AD151" s="18">
        <f t="shared" ca="1" si="48"/>
        <v>-0.19572011096627562</v>
      </c>
    </row>
    <row r="152" spans="1:30" x14ac:dyDescent="0.25">
      <c r="A152" vm="405">
        <f ca="1"/>
        <v>45511</v>
      </c>
      <c r="B152" vm="406">
        <f ca="1"/>
        <v>9.6153999999999993</v>
      </c>
      <c r="C152" vm="407">
        <f ca="1"/>
        <v>70599311</v>
      </c>
      <c r="D152">
        <f t="shared" ca="1" si="45"/>
        <v>678840614.98939991</v>
      </c>
      <c r="E152">
        <f ca="1">SUM($D$2:D152)/SUM($C$2:C152)</f>
        <v>12.021053163059976</v>
      </c>
      <c r="F152">
        <f ca="1">_xlfn.STDEV.P($B$2:B152)</f>
        <v>0.82523042160407822</v>
      </c>
      <c r="G152">
        <f t="shared" ca="1" si="46"/>
        <v>12.846283584664054</v>
      </c>
      <c r="H152">
        <f t="shared" ca="1" si="47"/>
        <v>11.195822741455899</v>
      </c>
      <c r="I152">
        <f t="shared" ca="1" si="59"/>
        <v>12.0931</v>
      </c>
      <c r="J152">
        <f t="shared" ca="1" si="60"/>
        <v>1.866548274503667</v>
      </c>
      <c r="K152">
        <f t="shared" ca="1" si="61"/>
        <v>15.826196549007333</v>
      </c>
      <c r="L152">
        <f t="shared" ca="1" si="62"/>
        <v>8.3600034509926662</v>
      </c>
      <c r="M152">
        <f t="shared" ca="1" si="49"/>
        <v>-9.9000000000000199E-3</v>
      </c>
      <c r="N152">
        <f t="shared" ca="1" si="50"/>
        <v>0</v>
      </c>
      <c r="O152">
        <f t="shared" ca="1" si="51"/>
        <v>9.9000000000000199E-3</v>
      </c>
      <c r="P152">
        <f t="shared" ca="1" si="57"/>
        <v>5.903504501076514E-2</v>
      </c>
      <c r="Q152">
        <f t="shared" ca="1" si="58"/>
        <v>0.21044944033819749</v>
      </c>
      <c r="R152">
        <f t="shared" ca="1" si="55"/>
        <v>0.28051889763115717</v>
      </c>
      <c r="S152">
        <f t="shared" ca="1" si="56"/>
        <v>21.906658164131088</v>
      </c>
      <c r="T152">
        <f>70</f>
        <v>70</v>
      </c>
      <c r="U152">
        <f>30</f>
        <v>30</v>
      </c>
      <c r="V152">
        <f t="shared" ca="1" si="54"/>
        <v>10.738743277524701</v>
      </c>
      <c r="W152">
        <f t="shared" ca="1" si="41"/>
        <v>11.554528104528085</v>
      </c>
      <c r="X152">
        <f t="shared" ca="1" si="40"/>
        <v>-0.81670450298231145</v>
      </c>
      <c r="Y152">
        <f t="shared" ca="1" si="42"/>
        <v>-0.53196142219110776</v>
      </c>
      <c r="Z152">
        <f t="shared" ca="1" si="43"/>
        <v>-0.2847430807912037</v>
      </c>
      <c r="AA152">
        <f t="shared" ca="1" si="44"/>
        <v>12.227447999999997</v>
      </c>
      <c r="AB152" s="18">
        <f t="shared" ca="1" si="52"/>
        <v>-1.0285393702014201E-3</v>
      </c>
      <c r="AC152" s="18">
        <f t="shared" ca="1" si="53"/>
        <v>-1.0290686797944097E-3</v>
      </c>
      <c r="AD152" s="18">
        <f t="shared" ca="1" si="48"/>
        <v>-0.196547344496808</v>
      </c>
    </row>
    <row r="153" spans="1:30" x14ac:dyDescent="0.25">
      <c r="A153" vm="408">
        <f ca="1"/>
        <v>45512</v>
      </c>
      <c r="B153" vm="409">
        <f ca="1"/>
        <v>9.9696999999999996</v>
      </c>
      <c r="C153" vm="410">
        <f ca="1"/>
        <v>74181170</v>
      </c>
      <c r="D153">
        <f t="shared" ca="1" si="45"/>
        <v>739564010.54900002</v>
      </c>
      <c r="E153">
        <f ca="1">SUM($D$2:D153)/SUM($C$2:C153)</f>
        <v>12.00327322726813</v>
      </c>
      <c r="F153">
        <f ca="1">_xlfn.STDEV.P($B$2:B153)</f>
        <v>0.84018001549338861</v>
      </c>
      <c r="G153">
        <f t="shared" ca="1" si="46"/>
        <v>12.843453242761518</v>
      </c>
      <c r="H153">
        <f t="shared" ca="1" si="47"/>
        <v>11.163093211774742</v>
      </c>
      <c r="I153">
        <f t="shared" ca="1" si="59"/>
        <v>11.928739999999999</v>
      </c>
      <c r="J153">
        <f t="shared" ca="1" si="60"/>
        <v>1.9030468601692345</v>
      </c>
      <c r="K153">
        <f t="shared" ca="1" si="61"/>
        <v>15.734833720338468</v>
      </c>
      <c r="L153">
        <f t="shared" ca="1" si="62"/>
        <v>8.1226462796615309</v>
      </c>
      <c r="M153">
        <f t="shared" ca="1" si="49"/>
        <v>0.35430000000000028</v>
      </c>
      <c r="N153">
        <f t="shared" ca="1" si="50"/>
        <v>0.35430000000000028</v>
      </c>
      <c r="O153">
        <f t="shared" ca="1" si="51"/>
        <v>0</v>
      </c>
      <c r="P153">
        <f t="shared" ca="1" si="57"/>
        <v>8.0125398938567641E-2</v>
      </c>
      <c r="Q153">
        <f t="shared" ca="1" si="58"/>
        <v>0.19541733745689768</v>
      </c>
      <c r="R153">
        <f t="shared" ca="1" si="55"/>
        <v>0.41002195599067837</v>
      </c>
      <c r="S153">
        <f t="shared" ca="1" si="56"/>
        <v>29.079118537739205</v>
      </c>
      <c r="T153">
        <f>70</f>
        <v>70</v>
      </c>
      <c r="U153">
        <f>30</f>
        <v>30</v>
      </c>
      <c r="V153">
        <f t="shared" ca="1" si="54"/>
        <v>10.620428927136285</v>
      </c>
      <c r="W153">
        <f t="shared" ca="1" si="41"/>
        <v>11.437133430118596</v>
      </c>
      <c r="X153">
        <f t="shared" ca="1" si="40"/>
        <v>-0.81047114937056186</v>
      </c>
      <c r="Y153">
        <f t="shared" ca="1" si="42"/>
        <v>-0.58766336762699867</v>
      </c>
      <c r="Z153">
        <f t="shared" ca="1" si="43"/>
        <v>-0.22280778174356319</v>
      </c>
      <c r="AA153">
        <f t="shared" ca="1" si="44"/>
        <v>12.208452999999999</v>
      </c>
      <c r="AB153" s="18">
        <f t="shared" ca="1" si="52"/>
        <v>3.6847141044574316E-2</v>
      </c>
      <c r="AC153" s="18">
        <f t="shared" ca="1" si="53"/>
        <v>3.6184513410728841E-2</v>
      </c>
      <c r="AD153" s="18">
        <f t="shared" ca="1" si="48"/>
        <v>-0.16694241117684405</v>
      </c>
    </row>
    <row r="154" spans="1:30" x14ac:dyDescent="0.25">
      <c r="A154" vm="411">
        <f ca="1"/>
        <v>45513</v>
      </c>
      <c r="B154" vm="412">
        <f ca="1"/>
        <v>9.9402000000000008</v>
      </c>
      <c r="C154" vm="413">
        <f ca="1"/>
        <v>49646248</v>
      </c>
      <c r="D154">
        <f t="shared" ca="1" si="45"/>
        <v>493493634.36960006</v>
      </c>
      <c r="E154">
        <f ca="1">SUM($D$2:D154)/SUM($C$2:C154)</f>
        <v>11.991374919346837</v>
      </c>
      <c r="F154">
        <f ca="1">_xlfn.STDEV.P($B$2:B154)</f>
        <v>0.85492995904413316</v>
      </c>
      <c r="G154">
        <f t="shared" ca="1" si="46"/>
        <v>12.846304878390971</v>
      </c>
      <c r="H154">
        <f t="shared" ca="1" si="47"/>
        <v>11.136444960302704</v>
      </c>
      <c r="I154">
        <f t="shared" ca="1" si="59"/>
        <v>11.73535</v>
      </c>
      <c r="J154">
        <f t="shared" ca="1" si="60"/>
        <v>1.8985429181625726</v>
      </c>
      <c r="K154">
        <f t="shared" ca="1" si="61"/>
        <v>15.532435836325146</v>
      </c>
      <c r="L154">
        <f t="shared" ca="1" si="62"/>
        <v>7.9382641636748552</v>
      </c>
      <c r="M154">
        <f t="shared" ca="1" si="49"/>
        <v>-2.9499999999998749E-2</v>
      </c>
      <c r="N154">
        <f t="shared" ca="1" si="50"/>
        <v>0</v>
      </c>
      <c r="O154">
        <f t="shared" ca="1" si="51"/>
        <v>2.9499999999998749E-2</v>
      </c>
      <c r="P154">
        <f t="shared" ca="1" si="57"/>
        <v>7.440215615724137E-2</v>
      </c>
      <c r="Q154">
        <f t="shared" ca="1" si="58"/>
        <v>0.18356609906711921</v>
      </c>
      <c r="R154">
        <f t="shared" ca="1" si="55"/>
        <v>0.40531534164179694</v>
      </c>
      <c r="S154">
        <f t="shared" ca="1" si="56"/>
        <v>28.841593742816229</v>
      </c>
      <c r="T154">
        <f>70</f>
        <v>70</v>
      </c>
      <c r="U154">
        <f>30</f>
        <v>30</v>
      </c>
      <c r="V154">
        <f t="shared" ca="1" si="54"/>
        <v>10.515778322961472</v>
      </c>
      <c r="W154">
        <f t="shared" ca="1" si="41"/>
        <v>11.326249472332034</v>
      </c>
      <c r="X154">
        <f t="shared" ca="1" si="40"/>
        <v>-0.81519349455371426</v>
      </c>
      <c r="Y154">
        <f t="shared" ca="1" si="42"/>
        <v>-0.63316939301234187</v>
      </c>
      <c r="Z154">
        <f t="shared" ca="1" si="43"/>
        <v>-0.18202410154137239</v>
      </c>
      <c r="AA154">
        <f t="shared" ca="1" si="44"/>
        <v>12.187982</v>
      </c>
      <c r="AB154" s="18">
        <f t="shared" ca="1" si="52"/>
        <v>-2.958965665967761E-3</v>
      </c>
      <c r="AC154" s="18">
        <f t="shared" ca="1" si="53"/>
        <v>-2.9633520598034372E-3</v>
      </c>
      <c r="AD154" s="18">
        <f t="shared" ca="1" si="48"/>
        <v>-0.16940739997994569</v>
      </c>
    </row>
    <row r="155" spans="1:30" x14ac:dyDescent="0.25">
      <c r="A155" vm="414">
        <f ca="1"/>
        <v>45516</v>
      </c>
      <c r="B155" vm="415">
        <f ca="1"/>
        <v>9.7040000000000006</v>
      </c>
      <c r="C155" vm="416">
        <f ca="1"/>
        <v>57020785</v>
      </c>
      <c r="D155">
        <f t="shared" ca="1" si="45"/>
        <v>553329697.63999999</v>
      </c>
      <c r="E155">
        <f ca="1">SUM($D$2:D155)/SUM($C$2:C155)</f>
        <v>11.976323154863048</v>
      </c>
      <c r="F155">
        <f ca="1">_xlfn.STDEV.P($B$2:B155)</f>
        <v>0.87294174128572344</v>
      </c>
      <c r="G155">
        <f t="shared" ca="1" si="46"/>
        <v>12.849264896148771</v>
      </c>
      <c r="H155">
        <f t="shared" ca="1" si="47"/>
        <v>11.103381413577324</v>
      </c>
      <c r="I155">
        <f t="shared" ca="1" si="59"/>
        <v>11.520304999999999</v>
      </c>
      <c r="J155">
        <f t="shared" ca="1" si="60"/>
        <v>1.8713276684229541</v>
      </c>
      <c r="K155">
        <f t="shared" ca="1" si="61"/>
        <v>15.262960336845907</v>
      </c>
      <c r="L155">
        <f t="shared" ca="1" si="62"/>
        <v>7.7776496631540901</v>
      </c>
      <c r="M155">
        <f t="shared" ca="1" si="49"/>
        <v>-0.23620000000000019</v>
      </c>
      <c r="N155">
        <f t="shared" ca="1" si="50"/>
        <v>0</v>
      </c>
      <c r="O155">
        <f t="shared" ca="1" si="51"/>
        <v>0.23620000000000019</v>
      </c>
      <c r="P155">
        <f t="shared" ca="1" si="57"/>
        <v>6.9087716431724136E-2</v>
      </c>
      <c r="Q155">
        <f t="shared" ca="1" si="58"/>
        <v>0.18732566341946785</v>
      </c>
      <c r="R155">
        <f t="shared" ca="1" si="55"/>
        <v>0.36881073938609193</v>
      </c>
      <c r="S155">
        <f t="shared" ca="1" si="56"/>
        <v>26.943881193648636</v>
      </c>
      <c r="T155">
        <f>70</f>
        <v>70</v>
      </c>
      <c r="U155">
        <f>30</f>
        <v>30</v>
      </c>
      <c r="V155">
        <f t="shared" ca="1" si="54"/>
        <v>10.390889350198169</v>
      </c>
      <c r="W155">
        <f t="shared" ca="1" si="41"/>
        <v>11.206082844751883</v>
      </c>
      <c r="X155">
        <f t="shared" ca="1" si="40"/>
        <v>-0.78761819810685552</v>
      </c>
      <c r="Y155">
        <f t="shared" ca="1" si="42"/>
        <v>-0.6640591540312446</v>
      </c>
      <c r="Z155">
        <f t="shared" ca="1" si="43"/>
        <v>-0.12355904407561091</v>
      </c>
      <c r="AA155">
        <f t="shared" ca="1" si="44"/>
        <v>12.163968000000002</v>
      </c>
      <c r="AB155" s="18">
        <f t="shared" ca="1" si="52"/>
        <v>-2.376209734210577E-2</v>
      </c>
      <c r="AC155" s="18">
        <f t="shared" ca="1" si="53"/>
        <v>-2.4048969548660655E-2</v>
      </c>
      <c r="AD155" s="18">
        <f t="shared" ca="1" si="48"/>
        <v>-0.18914402219325499</v>
      </c>
    </row>
    <row r="156" spans="1:30" x14ac:dyDescent="0.25">
      <c r="A156" vm="417">
        <f ca="1"/>
        <v>45517</v>
      </c>
      <c r="B156" vm="418">
        <f ca="1"/>
        <v>9.9795999999999996</v>
      </c>
      <c r="C156" vm="419">
        <f ca="1"/>
        <v>45485671</v>
      </c>
      <c r="D156">
        <f t="shared" ca="1" si="45"/>
        <v>453928802.31159997</v>
      </c>
      <c r="E156">
        <f ca="1">SUM($D$2:D156)/SUM($C$2:C156)</f>
        <v>11.965896725628834</v>
      </c>
      <c r="F156">
        <f ca="1">_xlfn.STDEV.P($B$2:B156)</f>
        <v>0.8857188693877952</v>
      </c>
      <c r="G156">
        <f t="shared" ca="1" si="46"/>
        <v>12.851615595016629</v>
      </c>
      <c r="H156">
        <f t="shared" ca="1" si="47"/>
        <v>11.08017785624104</v>
      </c>
      <c r="I156">
        <f t="shared" ca="1" si="59"/>
        <v>11.311165000000001</v>
      </c>
      <c r="J156">
        <f t="shared" ca="1" si="60"/>
        <v>1.7925840320242721</v>
      </c>
      <c r="K156">
        <f t="shared" ca="1" si="61"/>
        <v>14.896333064048545</v>
      </c>
      <c r="L156">
        <f t="shared" ca="1" si="62"/>
        <v>7.7259969359514571</v>
      </c>
      <c r="M156">
        <f t="shared" ca="1" si="49"/>
        <v>0.27559999999999896</v>
      </c>
      <c r="N156">
        <f t="shared" ca="1" si="50"/>
        <v>0.27559999999999896</v>
      </c>
      <c r="O156">
        <f t="shared" ca="1" si="51"/>
        <v>0</v>
      </c>
      <c r="P156">
        <f t="shared" ca="1" si="57"/>
        <v>8.3838593829458047E-2</v>
      </c>
      <c r="Q156">
        <f t="shared" ca="1" si="58"/>
        <v>0.17394525888950585</v>
      </c>
      <c r="R156">
        <f t="shared" ca="1" si="55"/>
        <v>0.48198263272420844</v>
      </c>
      <c r="S156">
        <f t="shared" ca="1" si="56"/>
        <v>32.52282598199001</v>
      </c>
      <c r="T156">
        <f>70</f>
        <v>70</v>
      </c>
      <c r="U156">
        <f>30</f>
        <v>30</v>
      </c>
      <c r="V156">
        <f t="shared" ca="1" si="54"/>
        <v>10.327614065552297</v>
      </c>
      <c r="W156">
        <f t="shared" ca="1" si="41"/>
        <v>11.115232263659152</v>
      </c>
      <c r="X156">
        <f t="shared" ref="X156:X219" ca="1" si="63">V157-W157</f>
        <v>-0.75389489521422348</v>
      </c>
      <c r="Y156">
        <f t="shared" ca="1" si="42"/>
        <v>-0.68202630226784033</v>
      </c>
      <c r="Z156">
        <f t="shared" ca="1" si="43"/>
        <v>-7.1868592946383147E-2</v>
      </c>
      <c r="AA156">
        <f t="shared" ca="1" si="44"/>
        <v>12.136804999999997</v>
      </c>
      <c r="AB156" s="18">
        <f t="shared" ca="1" si="52"/>
        <v>2.840065952184645E-2</v>
      </c>
      <c r="AC156" s="18">
        <f t="shared" ca="1" si="53"/>
        <v>2.8004837718071666E-2</v>
      </c>
      <c r="AD156" s="18">
        <f t="shared" ca="1" si="48"/>
        <v>-0.16611517764631178</v>
      </c>
    </row>
    <row r="157" spans="1:30" x14ac:dyDescent="0.25">
      <c r="A157" vm="420">
        <f ca="1"/>
        <v>45518</v>
      </c>
      <c r="B157" vm="421">
        <f ca="1"/>
        <v>10.019</v>
      </c>
      <c r="C157" vm="422">
        <f ca="1"/>
        <v>37621598</v>
      </c>
      <c r="D157">
        <f t="shared" ca="1" si="45"/>
        <v>376930790.36199999</v>
      </c>
      <c r="E157">
        <f ca="1">SUM($D$2:D157)/SUM($C$2:C157)</f>
        <v>11.957524293676485</v>
      </c>
      <c r="F157">
        <f ca="1">_xlfn.STDEV.P($B$2:B157)</f>
        <v>0.89739108844246929</v>
      </c>
      <c r="G157">
        <f t="shared" ca="1" si="46"/>
        <v>12.854915382118955</v>
      </c>
      <c r="H157">
        <f t="shared" ca="1" si="47"/>
        <v>11.060133205234015</v>
      </c>
      <c r="I157">
        <f t="shared" ca="1" si="59"/>
        <v>11.09957</v>
      </c>
      <c r="J157">
        <f t="shared" ca="1" si="60"/>
        <v>1.6730997447536664</v>
      </c>
      <c r="K157">
        <f t="shared" ca="1" si="61"/>
        <v>14.445769489507333</v>
      </c>
      <c r="L157">
        <f t="shared" ca="1" si="62"/>
        <v>7.7533705104926671</v>
      </c>
      <c r="M157">
        <f t="shared" ca="1" si="49"/>
        <v>3.9400000000000546E-2</v>
      </c>
      <c r="N157">
        <f t="shared" ca="1" si="50"/>
        <v>3.9400000000000546E-2</v>
      </c>
      <c r="O157">
        <f t="shared" ca="1" si="51"/>
        <v>0</v>
      </c>
      <c r="P157">
        <f t="shared" ca="1" si="57"/>
        <v>8.0664408555925368E-2</v>
      </c>
      <c r="Q157">
        <f t="shared" ca="1" si="58"/>
        <v>0.16152059754025544</v>
      </c>
      <c r="R157">
        <f t="shared" ca="1" si="55"/>
        <v>0.49940632825990844</v>
      </c>
      <c r="S157">
        <f t="shared" ca="1" si="56"/>
        <v>33.306937475679433</v>
      </c>
      <c r="T157">
        <f>70</f>
        <v>70</v>
      </c>
      <c r="U157">
        <f>30</f>
        <v>30</v>
      </c>
      <c r="V157">
        <f t="shared" ca="1" si="54"/>
        <v>10.28013497854425</v>
      </c>
      <c r="W157">
        <f t="shared" ref="W157:W220" ca="1" si="64">B157*(2/(26+1)) + W156*(1-(2/(26+1)))</f>
        <v>11.034029873758474</v>
      </c>
      <c r="X157">
        <f t="shared" ca="1" si="63"/>
        <v>-0.69690490126456339</v>
      </c>
      <c r="Y157">
        <f t="shared" ca="1" si="42"/>
        <v>-0.68500202206718497</v>
      </c>
      <c r="Z157">
        <f t="shared" ca="1" si="43"/>
        <v>-1.1902879197378424E-2</v>
      </c>
      <c r="AA157">
        <f t="shared" ca="1" si="44"/>
        <v>12.109838999999997</v>
      </c>
      <c r="AB157" s="18">
        <f t="shared" ca="1" si="52"/>
        <v>3.9480540302216927E-3</v>
      </c>
      <c r="AC157" s="18">
        <f t="shared" ca="1" si="53"/>
        <v>3.9402809173050999E-3</v>
      </c>
      <c r="AD157" s="18">
        <f t="shared" ca="1" si="48"/>
        <v>-0.16282295531267765</v>
      </c>
    </row>
    <row r="158" spans="1:30" x14ac:dyDescent="0.25">
      <c r="A158" vm="423">
        <f ca="1"/>
        <v>45519</v>
      </c>
      <c r="B158" vm="424">
        <f ca="1"/>
        <v>10.294499999999999</v>
      </c>
      <c r="C158" vm="425">
        <f ca="1"/>
        <v>42266565</v>
      </c>
      <c r="D158">
        <f t="shared" ca="1" si="45"/>
        <v>435113153.39249998</v>
      </c>
      <c r="E158">
        <f ca="1">SUM($D$2:D158)/SUM($C$2:C158)</f>
        <v>11.949528274168626</v>
      </c>
      <c r="F158">
        <f ca="1">_xlfn.STDEV.P($B$2:B158)</f>
        <v>0.90500419296170476</v>
      </c>
      <c r="G158">
        <f t="shared" ca="1" si="46"/>
        <v>12.854532467130332</v>
      </c>
      <c r="H158">
        <f t="shared" ca="1" si="47"/>
        <v>11.044524081206921</v>
      </c>
      <c r="I158">
        <f t="shared" ca="1" si="59"/>
        <v>10.898305000000001</v>
      </c>
      <c r="J158">
        <f t="shared" ca="1" si="60"/>
        <v>1.4983165432103704</v>
      </c>
      <c r="K158">
        <f t="shared" ca="1" si="61"/>
        <v>13.894938086420741</v>
      </c>
      <c r="L158">
        <f t="shared" ca="1" si="62"/>
        <v>7.9016719135792597</v>
      </c>
      <c r="M158">
        <f t="shared" ca="1" si="49"/>
        <v>0.27549999999999919</v>
      </c>
      <c r="N158">
        <f t="shared" ca="1" si="50"/>
        <v>0.27549999999999919</v>
      </c>
      <c r="O158">
        <f t="shared" ca="1" si="51"/>
        <v>0</v>
      </c>
      <c r="P158">
        <f t="shared" ca="1" si="57"/>
        <v>9.4581236516216347E-2</v>
      </c>
      <c r="Q158">
        <f t="shared" ca="1" si="58"/>
        <v>0.14998341200166579</v>
      </c>
      <c r="R158">
        <f t="shared" ca="1" si="55"/>
        <v>0.63061131397094683</v>
      </c>
      <c r="S158">
        <f t="shared" ca="1" si="56"/>
        <v>38.673306665292934</v>
      </c>
      <c r="T158">
        <f>70</f>
        <v>70</v>
      </c>
      <c r="U158">
        <f>30</f>
        <v>30</v>
      </c>
      <c r="V158">
        <f t="shared" ca="1" si="54"/>
        <v>10.282344981845135</v>
      </c>
      <c r="W158">
        <f t="shared" ca="1" si="64"/>
        <v>10.979249883109699</v>
      </c>
      <c r="X158">
        <f t="shared" ca="1" si="63"/>
        <v>-0.64038789858303957</v>
      </c>
      <c r="Y158">
        <f t="shared" ca="1" si="42"/>
        <v>-0.67607919737035593</v>
      </c>
      <c r="Z158">
        <f t="shared" ca="1" si="43"/>
        <v>3.5691298787316361E-2</v>
      </c>
      <c r="AA158">
        <f t="shared" ca="1" si="44"/>
        <v>12.085725999999998</v>
      </c>
      <c r="AB158" s="18">
        <f t="shared" ca="1" si="52"/>
        <v>2.7497754266892827E-2</v>
      </c>
      <c r="AC158" s="18">
        <f t="shared" ca="1" si="53"/>
        <v>2.7126481757535983E-2</v>
      </c>
      <c r="AD158" s="18">
        <f t="shared" ca="1" si="48"/>
        <v>-0.13980246665998208</v>
      </c>
    </row>
    <row r="159" spans="1:30" x14ac:dyDescent="0.25">
      <c r="A159" vm="426">
        <f ca="1"/>
        <v>45520</v>
      </c>
      <c r="B159" vm="427">
        <f ca="1"/>
        <v>10.3437</v>
      </c>
      <c r="C159" vm="428">
        <f ca="1"/>
        <v>34691448</v>
      </c>
      <c r="D159">
        <f t="shared" ca="1" si="45"/>
        <v>358837930.67760003</v>
      </c>
      <c r="E159">
        <f ca="1">SUM($D$2:D159)/SUM($C$2:C159)</f>
        <v>11.943215949914165</v>
      </c>
      <c r="F159">
        <f ca="1">_xlfn.STDEV.P($B$2:B159)</f>
        <v>0.91175522666757003</v>
      </c>
      <c r="G159">
        <f t="shared" ca="1" si="46"/>
        <v>12.854971176581735</v>
      </c>
      <c r="H159">
        <f t="shared" ca="1" si="47"/>
        <v>11.031460723246596</v>
      </c>
      <c r="I159">
        <f t="shared" ca="1" si="59"/>
        <v>10.727550000000001</v>
      </c>
      <c r="J159">
        <f t="shared" ca="1" si="60"/>
        <v>1.3415644141704088</v>
      </c>
      <c r="K159">
        <f t="shared" ca="1" si="61"/>
        <v>13.410678828340819</v>
      </c>
      <c r="L159">
        <f t="shared" ca="1" si="62"/>
        <v>8.0444211716591827</v>
      </c>
      <c r="M159">
        <f t="shared" ca="1" si="49"/>
        <v>4.9200000000000799E-2</v>
      </c>
      <c r="N159">
        <f t="shared" ca="1" si="50"/>
        <v>4.9200000000000799E-2</v>
      </c>
      <c r="O159">
        <f t="shared" ca="1" si="51"/>
        <v>0</v>
      </c>
      <c r="P159">
        <f t="shared" ca="1" si="57"/>
        <v>9.1339719622200957E-2</v>
      </c>
      <c r="Q159">
        <f t="shared" ca="1" si="58"/>
        <v>0.13927031114440394</v>
      </c>
      <c r="R159">
        <f t="shared" ca="1" si="55"/>
        <v>0.65584487369669453</v>
      </c>
      <c r="S159">
        <f t="shared" ca="1" si="56"/>
        <v>39.607869318851868</v>
      </c>
      <c r="T159">
        <f>70</f>
        <v>70</v>
      </c>
      <c r="U159">
        <f>30</f>
        <v>30</v>
      </c>
      <c r="V159">
        <f t="shared" ca="1" si="54"/>
        <v>10.291784215407421</v>
      </c>
      <c r="W159">
        <f t="shared" ca="1" si="64"/>
        <v>10.932172113990461</v>
      </c>
      <c r="X159">
        <f t="shared" ca="1" si="63"/>
        <v>-0.57232143894842125</v>
      </c>
      <c r="Y159">
        <f t="shared" ca="1" si="42"/>
        <v>-0.65532764568596913</v>
      </c>
      <c r="Z159">
        <f t="shared" ca="1" si="43"/>
        <v>8.3006206737547883E-2</v>
      </c>
      <c r="AA159">
        <f t="shared" ca="1" si="44"/>
        <v>12.062203999999998</v>
      </c>
      <c r="AB159" s="18">
        <f t="shared" ca="1" si="52"/>
        <v>4.779251056389322E-3</v>
      </c>
      <c r="AC159" s="18">
        <f t="shared" ca="1" si="53"/>
        <v>4.7678666941333159E-3</v>
      </c>
      <c r="AD159" s="18">
        <f t="shared" ca="1" si="48"/>
        <v>-0.13569136669006332</v>
      </c>
    </row>
    <row r="160" spans="1:30" x14ac:dyDescent="0.25">
      <c r="A160" vm="429">
        <f ca="1"/>
        <v>45523</v>
      </c>
      <c r="B160" vm="430">
        <f ca="1"/>
        <v>10.5504</v>
      </c>
      <c r="C160" vm="431">
        <f ca="1"/>
        <v>41726416</v>
      </c>
      <c r="D160">
        <f t="shared" ca="1" si="45"/>
        <v>440230379.3664</v>
      </c>
      <c r="E160">
        <f ca="1">SUM($D$2:D160)/SUM($C$2:C160)</f>
        <v>11.936661683730636</v>
      </c>
      <c r="F160">
        <f ca="1">_xlfn.STDEV.P($B$2:B160)</f>
        <v>0.91606821117178894</v>
      </c>
      <c r="G160">
        <f t="shared" ca="1" si="46"/>
        <v>12.852729894902424</v>
      </c>
      <c r="H160">
        <f t="shared" ca="1" si="47"/>
        <v>11.020593472558847</v>
      </c>
      <c r="I160">
        <f t="shared" ca="1" si="59"/>
        <v>10.56024</v>
      </c>
      <c r="J160">
        <f t="shared" ca="1" si="60"/>
        <v>1.115082200604625</v>
      </c>
      <c r="K160">
        <f t="shared" ca="1" si="61"/>
        <v>12.790404401209251</v>
      </c>
      <c r="L160">
        <f t="shared" ca="1" si="62"/>
        <v>8.3300755987907493</v>
      </c>
      <c r="M160">
        <f t="shared" ca="1" si="49"/>
        <v>0.20669999999999966</v>
      </c>
      <c r="N160">
        <f t="shared" ca="1" si="50"/>
        <v>0.20669999999999966</v>
      </c>
      <c r="O160">
        <f t="shared" ca="1" si="51"/>
        <v>0</v>
      </c>
      <c r="P160">
        <f t="shared" ca="1" si="57"/>
        <v>9.957973964918658E-2</v>
      </c>
      <c r="Q160">
        <f t="shared" ca="1" si="58"/>
        <v>0.12932243177694652</v>
      </c>
      <c r="R160">
        <f t="shared" ca="1" si="55"/>
        <v>0.77001134513879455</v>
      </c>
      <c r="S160">
        <f t="shared" ca="1" si="56"/>
        <v>43.503186985415311</v>
      </c>
      <c r="T160">
        <f>70</f>
        <v>70</v>
      </c>
      <c r="U160">
        <f>30</f>
        <v>30</v>
      </c>
      <c r="V160">
        <f t="shared" ca="1" si="54"/>
        <v>10.331571259190895</v>
      </c>
      <c r="W160">
        <f t="shared" ca="1" si="64"/>
        <v>10.903892698139316</v>
      </c>
      <c r="X160">
        <f t="shared" ca="1" si="63"/>
        <v>-0.51561385446034969</v>
      </c>
      <c r="Y160">
        <f t="shared" ca="1" si="42"/>
        <v>-0.6273848874408452</v>
      </c>
      <c r="Z160">
        <f t="shared" ca="1" si="43"/>
        <v>0.11177103298049551</v>
      </c>
      <c r="AA160">
        <f t="shared" ca="1" si="44"/>
        <v>12.045275999999999</v>
      </c>
      <c r="AB160" s="18">
        <f t="shared" ca="1" si="52"/>
        <v>1.9983178166420146E-2</v>
      </c>
      <c r="AC160" s="18">
        <f t="shared" ca="1" si="53"/>
        <v>1.9786135166479549E-2</v>
      </c>
      <c r="AD160" s="18">
        <f t="shared" ca="1" si="48"/>
        <v>-0.11841973327985578</v>
      </c>
    </row>
    <row r="161" spans="1:30" x14ac:dyDescent="0.25">
      <c r="A161" vm="432">
        <f ca="1"/>
        <v>45524</v>
      </c>
      <c r="B161" vm="433">
        <f ca="1"/>
        <v>10.510999999999999</v>
      </c>
      <c r="C161" vm="434">
        <f ca="1"/>
        <v>32989900</v>
      </c>
      <c r="D161">
        <f t="shared" ca="1" si="45"/>
        <v>346756838.89999998</v>
      </c>
      <c r="E161">
        <f ca="1">SUM($D$2:D161)/SUM($C$2:C161)</f>
        <v>11.93137718319344</v>
      </c>
      <c r="F161">
        <f ca="1">_xlfn.STDEV.P($B$2:B161)</f>
        <v>0.92060686748415288</v>
      </c>
      <c r="G161">
        <f t="shared" ca="1" si="46"/>
        <v>12.851984050677594</v>
      </c>
      <c r="H161">
        <f t="shared" ca="1" si="47"/>
        <v>11.010770315709287</v>
      </c>
      <c r="I161">
        <f t="shared" ca="1" si="59"/>
        <v>10.40523</v>
      </c>
      <c r="J161">
        <f t="shared" ca="1" si="60"/>
        <v>0.85342232471138779</v>
      </c>
      <c r="K161">
        <f t="shared" ca="1" si="61"/>
        <v>12.112074649422775</v>
      </c>
      <c r="L161">
        <f t="shared" ca="1" si="62"/>
        <v>8.6983853505772242</v>
      </c>
      <c r="M161">
        <f t="shared" ca="1" si="49"/>
        <v>-3.9400000000000546E-2</v>
      </c>
      <c r="N161">
        <f t="shared" ca="1" si="50"/>
        <v>0</v>
      </c>
      <c r="O161">
        <f t="shared" ca="1" si="51"/>
        <v>3.9400000000000546E-2</v>
      </c>
      <c r="P161">
        <f t="shared" ca="1" si="57"/>
        <v>9.2466901102816107E-2</v>
      </c>
      <c r="Q161">
        <f t="shared" ca="1" si="58"/>
        <v>0.12289940093573611</v>
      </c>
      <c r="R161">
        <f t="shared" ca="1" si="55"/>
        <v>0.75237877808018683</v>
      </c>
      <c r="S161">
        <f t="shared" ca="1" si="56"/>
        <v>42.934711803828911</v>
      </c>
      <c r="T161">
        <f>70</f>
        <v>70</v>
      </c>
      <c r="U161">
        <f>30</f>
        <v>30</v>
      </c>
      <c r="V161">
        <f t="shared" ca="1" si="54"/>
        <v>10.359175680853832</v>
      </c>
      <c r="W161">
        <f t="shared" ca="1" si="64"/>
        <v>10.874789535314182</v>
      </c>
      <c r="X161">
        <f t="shared" ca="1" si="63"/>
        <v>-0.45195504775931816</v>
      </c>
      <c r="Y161">
        <f t="shared" ca="1" si="42"/>
        <v>-0.59229891950453983</v>
      </c>
      <c r="Z161">
        <f t="shared" ca="1" si="43"/>
        <v>0.14034387174522167</v>
      </c>
      <c r="AA161">
        <f t="shared" ca="1" si="44"/>
        <v>12.021851999999999</v>
      </c>
      <c r="AB161" s="18">
        <f t="shared" ca="1" si="52"/>
        <v>-3.7344555656657619E-3</v>
      </c>
      <c r="AC161" s="18">
        <f t="shared" ca="1" si="53"/>
        <v>-3.7414460540575322E-3</v>
      </c>
      <c r="AD161" s="18">
        <f t="shared" ca="1" si="48"/>
        <v>-0.12171195561348991</v>
      </c>
    </row>
    <row r="162" spans="1:30" x14ac:dyDescent="0.25">
      <c r="A162" vm="435">
        <f ca="1"/>
        <v>45525</v>
      </c>
      <c r="B162" vm="436">
        <f ca="1"/>
        <v>10.6784</v>
      </c>
      <c r="C162" vm="437">
        <f ca="1"/>
        <v>49730626</v>
      </c>
      <c r="D162">
        <f t="shared" ca="1" si="45"/>
        <v>531043516.67839998</v>
      </c>
      <c r="E162">
        <f ca="1">SUM($D$2:D162)/SUM($C$2:C162)</f>
        <v>11.924414868959397</v>
      </c>
      <c r="F162">
        <f ca="1">_xlfn.STDEV.P($B$2:B162)</f>
        <v>0.92342731061396044</v>
      </c>
      <c r="G162">
        <f t="shared" ca="1" si="46"/>
        <v>12.847842179573357</v>
      </c>
      <c r="H162">
        <f t="shared" ca="1" si="47"/>
        <v>11.000987558345438</v>
      </c>
      <c r="I162">
        <f t="shared" ca="1" si="59"/>
        <v>10.266465</v>
      </c>
      <c r="J162">
        <f t="shared" ca="1" si="60"/>
        <v>0.47209508551049112</v>
      </c>
      <c r="K162">
        <f t="shared" ca="1" si="61"/>
        <v>11.210655171020983</v>
      </c>
      <c r="L162">
        <f t="shared" ca="1" si="62"/>
        <v>9.3222748289790172</v>
      </c>
      <c r="M162">
        <f t="shared" ca="1" si="49"/>
        <v>0.16740000000000066</v>
      </c>
      <c r="N162">
        <f t="shared" ca="1" si="50"/>
        <v>0.16740000000000066</v>
      </c>
      <c r="O162">
        <f t="shared" ca="1" si="51"/>
        <v>0</v>
      </c>
      <c r="P162">
        <f t="shared" ca="1" si="57"/>
        <v>9.7819265309757861E-2</v>
      </c>
      <c r="Q162">
        <f t="shared" ca="1" si="58"/>
        <v>0.11412087229746924</v>
      </c>
      <c r="R162">
        <f t="shared" ca="1" si="55"/>
        <v>0.85715490374784942</v>
      </c>
      <c r="S162">
        <f t="shared" ca="1" si="56"/>
        <v>46.154195431843604</v>
      </c>
      <c r="T162">
        <f>70</f>
        <v>70</v>
      </c>
      <c r="U162">
        <f>30</f>
        <v>30</v>
      </c>
      <c r="V162">
        <f t="shared" ca="1" si="54"/>
        <v>10.408287114568628</v>
      </c>
      <c r="W162">
        <f t="shared" ca="1" si="64"/>
        <v>10.860242162327946</v>
      </c>
      <c r="X162">
        <f t="shared" ca="1" si="63"/>
        <v>-0.39144111034102735</v>
      </c>
      <c r="Y162">
        <f t="shared" ca="1" si="42"/>
        <v>-0.5521273576718374</v>
      </c>
      <c r="Z162">
        <f t="shared" ca="1" si="43"/>
        <v>0.16068624733081005</v>
      </c>
      <c r="AA162">
        <f t="shared" ca="1" si="44"/>
        <v>11.997937</v>
      </c>
      <c r="AB162" s="18">
        <f t="shared" ca="1" si="52"/>
        <v>1.5926172581105513E-2</v>
      </c>
      <c r="AC162" s="18">
        <f t="shared" ca="1" si="53"/>
        <v>1.5800681733700486E-2</v>
      </c>
      <c r="AD162" s="18">
        <f t="shared" ca="1" si="48"/>
        <v>-0.10772418864266864</v>
      </c>
    </row>
    <row r="163" spans="1:30" x14ac:dyDescent="0.25">
      <c r="A163" vm="438">
        <f ca="1"/>
        <v>45526</v>
      </c>
      <c r="B163" vm="439">
        <f ca="1"/>
        <v>10.747199999999999</v>
      </c>
      <c r="C163" vm="440">
        <f ca="1"/>
        <v>51703344</v>
      </c>
      <c r="D163">
        <f t="shared" ca="1" si="45"/>
        <v>555666178.63679993</v>
      </c>
      <c r="E163">
        <f ca="1">SUM($D$2:D163)/SUM($C$2:C163)</f>
        <v>11.917653117747117</v>
      </c>
      <c r="F163">
        <f ca="1">_xlfn.STDEV.P($B$2:B163)</f>
        <v>0.92556097065576126</v>
      </c>
      <c r="G163">
        <f t="shared" ca="1" si="46"/>
        <v>12.843214088402878</v>
      </c>
      <c r="H163">
        <f t="shared" ca="1" si="47"/>
        <v>10.992092147091356</v>
      </c>
      <c r="I163">
        <f t="shared" ca="1" si="59"/>
        <v>10.254655000000001</v>
      </c>
      <c r="J163">
        <f t="shared" ca="1" si="60"/>
        <v>0.45589255714246391</v>
      </c>
      <c r="K163">
        <f t="shared" ca="1" si="61"/>
        <v>11.16644011428493</v>
      </c>
      <c r="L163">
        <f t="shared" ca="1" si="62"/>
        <v>9.3428698857150732</v>
      </c>
      <c r="M163">
        <f t="shared" ca="1" si="49"/>
        <v>6.8799999999999528E-2</v>
      </c>
      <c r="N163">
        <f t="shared" ca="1" si="50"/>
        <v>6.8799999999999528E-2</v>
      </c>
      <c r="O163">
        <f t="shared" ca="1" si="51"/>
        <v>0</v>
      </c>
      <c r="P163">
        <f t="shared" ca="1" si="57"/>
        <v>9.5746460644775114E-2</v>
      </c>
      <c r="Q163">
        <f t="shared" ca="1" si="58"/>
        <v>0.10596938141907859</v>
      </c>
      <c r="R163">
        <f t="shared" ca="1" si="55"/>
        <v>0.90352948523994159</v>
      </c>
      <c r="S163">
        <f t="shared" ca="1" si="56"/>
        <v>47.46600944434811</v>
      </c>
      <c r="T163">
        <f>70</f>
        <v>70</v>
      </c>
      <c r="U163">
        <f>30</f>
        <v>30</v>
      </c>
      <c r="V163">
        <f t="shared" ca="1" si="54"/>
        <v>10.460427558481145</v>
      </c>
      <c r="W163">
        <f t="shared" ca="1" si="64"/>
        <v>10.851868668822172</v>
      </c>
      <c r="X163">
        <f t="shared" ca="1" si="63"/>
        <v>-0.31208755697523038</v>
      </c>
      <c r="Y163">
        <f t="shared" ca="1" si="42"/>
        <v>-0.504119397532516</v>
      </c>
      <c r="Z163">
        <f t="shared" ca="1" si="43"/>
        <v>0.19203184055728562</v>
      </c>
      <c r="AA163">
        <f t="shared" ca="1" si="44"/>
        <v>11.974610999999999</v>
      </c>
      <c r="AB163" s="18">
        <f t="shared" ca="1" si="52"/>
        <v>6.4429127959244603E-3</v>
      </c>
      <c r="AC163" s="18">
        <f t="shared" ca="1" si="53"/>
        <v>6.4222459555451786E-3</v>
      </c>
      <c r="AD163" s="18">
        <f t="shared" ca="1" si="48"/>
        <v>-0.10197533340018061</v>
      </c>
    </row>
    <row r="164" spans="1:30" x14ac:dyDescent="0.25">
      <c r="A164" vm="441">
        <f ca="1"/>
        <v>45527</v>
      </c>
      <c r="B164" vm="30">
        <f ca="1"/>
        <v>11.091699999999999</v>
      </c>
      <c r="C164" vm="442">
        <f ca="1"/>
        <v>65651268</v>
      </c>
      <c r="D164">
        <f t="shared" ca="1" si="45"/>
        <v>728184169.27559996</v>
      </c>
      <c r="E164">
        <f ca="1">SUM($D$2:D164)/SUM($C$2:C164)</f>
        <v>11.911672757331667</v>
      </c>
      <c r="F164">
        <f ca="1">_xlfn.STDEV.P($B$2:B164)</f>
        <v>0.92523284747787449</v>
      </c>
      <c r="G164">
        <f t="shared" ca="1" si="46"/>
        <v>12.836905604809541</v>
      </c>
      <c r="H164">
        <f t="shared" ca="1" si="47"/>
        <v>10.986439909853793</v>
      </c>
      <c r="I164">
        <f t="shared" ca="1" si="59"/>
        <v>10.258590000000002</v>
      </c>
      <c r="J164">
        <f t="shared" ca="1" si="60"/>
        <v>0.46306586765758678</v>
      </c>
      <c r="K164">
        <f t="shared" ca="1" si="61"/>
        <v>11.184721735315176</v>
      </c>
      <c r="L164">
        <f t="shared" ca="1" si="62"/>
        <v>9.3324582646848278</v>
      </c>
      <c r="M164">
        <f t="shared" ca="1" si="49"/>
        <v>0.34450000000000003</v>
      </c>
      <c r="N164">
        <f t="shared" ca="1" si="50"/>
        <v>0.34450000000000003</v>
      </c>
      <c r="O164">
        <f t="shared" ca="1" si="51"/>
        <v>0</v>
      </c>
      <c r="P164">
        <f t="shared" ca="1" si="57"/>
        <v>0.11351457059871975</v>
      </c>
      <c r="Q164">
        <f t="shared" ca="1" si="58"/>
        <v>9.8400139889144408E-2</v>
      </c>
      <c r="R164">
        <f t="shared" ca="1" si="55"/>
        <v>1.153601719739453</v>
      </c>
      <c r="S164">
        <f t="shared" ca="1" si="56"/>
        <v>53.56615892185571</v>
      </c>
      <c r="T164">
        <f>70</f>
        <v>70</v>
      </c>
      <c r="U164">
        <f>30</f>
        <v>30</v>
      </c>
      <c r="V164">
        <f t="shared" ca="1" si="54"/>
        <v>10.557546395637893</v>
      </c>
      <c r="W164">
        <f t="shared" ca="1" si="64"/>
        <v>10.869633952613123</v>
      </c>
      <c r="X164">
        <f t="shared" ca="1" si="63"/>
        <v>-0.25892351878863451</v>
      </c>
      <c r="Y164">
        <f t="shared" ca="1" si="42"/>
        <v>-0.45508022178373975</v>
      </c>
      <c r="Z164">
        <f t="shared" ca="1" si="43"/>
        <v>0.19615670299510524</v>
      </c>
      <c r="AA164">
        <f t="shared" ca="1" si="44"/>
        <v>11.954828999999997</v>
      </c>
      <c r="AB164" s="18">
        <f t="shared" ca="1" si="52"/>
        <v>3.2054860800952767E-2</v>
      </c>
      <c r="AC164" s="18">
        <f t="shared" ca="1" si="53"/>
        <v>3.1551825337290403E-2</v>
      </c>
      <c r="AD164" s="18">
        <f t="shared" ca="1" si="48"/>
        <v>-7.3189277716501411E-2</v>
      </c>
    </row>
    <row r="165" spans="1:30" x14ac:dyDescent="0.25">
      <c r="A165" vm="443">
        <f ca="1"/>
        <v>45530</v>
      </c>
      <c r="B165" vm="444">
        <f ca="1"/>
        <v>10.934200000000001</v>
      </c>
      <c r="C165" vm="445">
        <f ca="1"/>
        <v>53923399</v>
      </c>
      <c r="D165">
        <f t="shared" ca="1" si="45"/>
        <v>589609229.34580004</v>
      </c>
      <c r="E165">
        <f ca="1">SUM($D$2:D165)/SUM($C$2:C165)</f>
        <v>11.905893984576156</v>
      </c>
      <c r="F165">
        <f ca="1">_xlfn.STDEV.P($B$2:B165)</f>
        <v>0.9258544844232226</v>
      </c>
      <c r="G165">
        <f t="shared" ca="1" si="46"/>
        <v>12.831748468999379</v>
      </c>
      <c r="H165">
        <f t="shared" ca="1" si="47"/>
        <v>10.980039500152934</v>
      </c>
      <c r="I165">
        <f t="shared" ca="1" si="59"/>
        <v>10.26351</v>
      </c>
      <c r="J165">
        <f t="shared" ca="1" si="60"/>
        <v>0.4699923469701674</v>
      </c>
      <c r="K165">
        <f t="shared" ca="1" si="61"/>
        <v>11.203494693940335</v>
      </c>
      <c r="L165">
        <f t="shared" ca="1" si="62"/>
        <v>9.3235253060596648</v>
      </c>
      <c r="M165">
        <f t="shared" ca="1" si="49"/>
        <v>-0.15749999999999886</v>
      </c>
      <c r="N165">
        <f t="shared" ca="1" si="50"/>
        <v>0</v>
      </c>
      <c r="O165">
        <f t="shared" ca="1" si="51"/>
        <v>0.15749999999999886</v>
      </c>
      <c r="P165">
        <f t="shared" ca="1" si="57"/>
        <v>0.10540638698452549</v>
      </c>
      <c r="Q165">
        <f t="shared" ca="1" si="58"/>
        <v>0.10262155846849116</v>
      </c>
      <c r="R165">
        <f t="shared" ca="1" si="55"/>
        <v>1.0271368760871955</v>
      </c>
      <c r="S165">
        <f t="shared" ca="1" si="56"/>
        <v>50.669340003808109</v>
      </c>
      <c r="T165">
        <f>70</f>
        <v>70</v>
      </c>
      <c r="U165">
        <f>30</f>
        <v>30</v>
      </c>
      <c r="V165">
        <f t="shared" ca="1" si="54"/>
        <v>10.615493104001294</v>
      </c>
      <c r="W165">
        <f t="shared" ca="1" si="64"/>
        <v>10.874416622789928</v>
      </c>
      <c r="X165">
        <f t="shared" ca="1" si="63"/>
        <v>-0.21195883338559085</v>
      </c>
      <c r="Y165">
        <f t="shared" ca="1" si="42"/>
        <v>-0.40645594410411001</v>
      </c>
      <c r="Z165">
        <f t="shared" ca="1" si="43"/>
        <v>0.19449711071851916</v>
      </c>
      <c r="AA165">
        <f t="shared" ca="1" si="44"/>
        <v>11.929829999999997</v>
      </c>
      <c r="AB165" s="18">
        <f t="shared" ca="1" si="52"/>
        <v>-1.4199807062938885E-2</v>
      </c>
      <c r="AC165" s="18">
        <f t="shared" ca="1" si="53"/>
        <v>-1.4301588994647204E-2</v>
      </c>
      <c r="AD165" s="18">
        <f t="shared" ca="1" si="48"/>
        <v>-8.6349811156790079E-2</v>
      </c>
    </row>
    <row r="166" spans="1:30" x14ac:dyDescent="0.25">
      <c r="A166" vm="446">
        <f ca="1"/>
        <v>45531</v>
      </c>
      <c r="B166" vm="447">
        <f ca="1"/>
        <v>10.963800000000001</v>
      </c>
      <c r="C166" vm="448">
        <f ca="1"/>
        <v>45561783</v>
      </c>
      <c r="D166">
        <f t="shared" ca="1" si="45"/>
        <v>499530276.45540005</v>
      </c>
      <c r="E166">
        <f ca="1">SUM($D$2:D166)/SUM($C$2:C166)</f>
        <v>11.901211410659105</v>
      </c>
      <c r="F166">
        <f ca="1">_xlfn.STDEV.P($B$2:B166)</f>
        <v>0.92623345526461287</v>
      </c>
      <c r="G166">
        <f t="shared" ca="1" si="46"/>
        <v>12.827444865923718</v>
      </c>
      <c r="H166">
        <f t="shared" ca="1" si="47"/>
        <v>10.974977955394492</v>
      </c>
      <c r="I166">
        <f t="shared" ca="1" si="59"/>
        <v>10.278275000000001</v>
      </c>
      <c r="J166">
        <f t="shared" ca="1" si="60"/>
        <v>0.48769017329814934</v>
      </c>
      <c r="K166">
        <f t="shared" ca="1" si="61"/>
        <v>11.2536553465963</v>
      </c>
      <c r="L166">
        <f t="shared" ca="1" si="62"/>
        <v>9.3028946534037011</v>
      </c>
      <c r="M166">
        <f t="shared" ca="1" si="49"/>
        <v>2.9600000000000293E-2</v>
      </c>
      <c r="N166">
        <f t="shared" ca="1" si="50"/>
        <v>2.9600000000000293E-2</v>
      </c>
      <c r="O166">
        <f t="shared" ca="1" si="51"/>
        <v>0</v>
      </c>
      <c r="P166">
        <f t="shared" ca="1" si="57"/>
        <v>9.9991645057059403E-2</v>
      </c>
      <c r="Q166">
        <f t="shared" ca="1" si="58"/>
        <v>9.529144714931323E-2</v>
      </c>
      <c r="R166">
        <f t="shared" ca="1" si="55"/>
        <v>1.049324446719561</v>
      </c>
      <c r="S166">
        <f t="shared" ca="1" si="56"/>
        <v>51.20343186259543</v>
      </c>
      <c r="T166">
        <f>70</f>
        <v>70</v>
      </c>
      <c r="U166">
        <f>30</f>
        <v>30</v>
      </c>
      <c r="V166">
        <f t="shared" ca="1" si="54"/>
        <v>10.669078780308787</v>
      </c>
      <c r="W166">
        <f t="shared" ca="1" si="64"/>
        <v>10.881037613694378</v>
      </c>
      <c r="X166">
        <f t="shared" ca="1" si="63"/>
        <v>-0.1806052042705506</v>
      </c>
      <c r="Y166">
        <f t="shared" ref="Y166:Y229" ca="1" si="65">X166*(2/(9+1)) + Y165*(1-(2/(9+1)))</f>
        <v>-0.36128579613739814</v>
      </c>
      <c r="Z166">
        <f t="shared" ref="Z166:Z229" ca="1" si="66">X166-Y166</f>
        <v>0.18068059186684754</v>
      </c>
      <c r="AA166">
        <f t="shared" ref="AA166:AA229" ca="1" si="67">AVERAGE(B67:B166)</f>
        <v>11.909457999999997</v>
      </c>
      <c r="AB166" s="18">
        <f t="shared" ca="1" si="52"/>
        <v>2.7071024857785453E-3</v>
      </c>
      <c r="AC166" s="18">
        <f t="shared" ca="1" si="53"/>
        <v>2.7034448833603703E-3</v>
      </c>
      <c r="AD166" s="18">
        <f t="shared" ca="1" si="48"/>
        <v>-8.387646645944058E-2</v>
      </c>
    </row>
    <row r="167" spans="1:30" x14ac:dyDescent="0.25">
      <c r="A167" vm="449">
        <f ca="1"/>
        <v>45532</v>
      </c>
      <c r="B167" vm="450">
        <f ca="1"/>
        <v>10.8653</v>
      </c>
      <c r="C167" vm="451">
        <f ca="1"/>
        <v>36011867</v>
      </c>
      <c r="D167">
        <f t="shared" ca="1" si="45"/>
        <v>391279738.5151</v>
      </c>
      <c r="E167">
        <f ca="1">SUM($D$2:D167)/SUM($C$2:C167)</f>
        <v>11.897157677689716</v>
      </c>
      <c r="F167">
        <f ca="1">_xlfn.STDEV.P($B$2:B167)</f>
        <v>0.92722670492172665</v>
      </c>
      <c r="G167">
        <f t="shared" ca="1" si="46"/>
        <v>12.824384382611443</v>
      </c>
      <c r="H167">
        <f t="shared" ca="1" si="47"/>
        <v>10.969930972767989</v>
      </c>
      <c r="I167">
        <f t="shared" ca="1" si="59"/>
        <v>10.289100000000001</v>
      </c>
      <c r="J167">
        <f t="shared" ca="1" si="60"/>
        <v>0.49862750362211372</v>
      </c>
      <c r="K167">
        <f t="shared" ca="1" si="61"/>
        <v>11.286355007244229</v>
      </c>
      <c r="L167">
        <f t="shared" ca="1" si="62"/>
        <v>9.2918449927557738</v>
      </c>
      <c r="M167">
        <f t="shared" ca="1" si="49"/>
        <v>-9.8500000000001364E-2</v>
      </c>
      <c r="N167">
        <f t="shared" ca="1" si="50"/>
        <v>0</v>
      </c>
      <c r="O167">
        <f t="shared" ca="1" si="51"/>
        <v>9.8500000000001364E-2</v>
      </c>
      <c r="P167">
        <f t="shared" ca="1" si="57"/>
        <v>9.2849384695840878E-2</v>
      </c>
      <c r="Q167">
        <f t="shared" ca="1" si="58"/>
        <v>9.552062949579096E-2</v>
      </c>
      <c r="R167">
        <f t="shared" ca="1" si="55"/>
        <v>0.97203489116382147</v>
      </c>
      <c r="S167">
        <f t="shared" ca="1" si="56"/>
        <v>49.290958061607256</v>
      </c>
      <c r="T167">
        <f>70</f>
        <v>70</v>
      </c>
      <c r="U167">
        <f>30</f>
        <v>30</v>
      </c>
      <c r="V167">
        <f t="shared" ca="1" si="54"/>
        <v>10.699266660261282</v>
      </c>
      <c r="W167">
        <f t="shared" ca="1" si="64"/>
        <v>10.879871864531832</v>
      </c>
      <c r="X167">
        <f t="shared" ca="1" si="63"/>
        <v>-0.14848591987249371</v>
      </c>
      <c r="Y167">
        <f t="shared" ca="1" si="65"/>
        <v>-0.31872582088441725</v>
      </c>
      <c r="Z167">
        <f t="shared" ca="1" si="66"/>
        <v>0.17023990101192354</v>
      </c>
      <c r="AA167">
        <f t="shared" ca="1" si="67"/>
        <v>11.887411999999999</v>
      </c>
      <c r="AB167" s="18">
        <f t="shared" ca="1" si="52"/>
        <v>-8.9841113482552748E-3</v>
      </c>
      <c r="AC167" s="18">
        <f t="shared" ca="1" si="53"/>
        <v>-9.0247118323961654E-3</v>
      </c>
      <c r="AD167" s="18">
        <f t="shared" ca="1" si="48"/>
        <v>-9.2107022293526075E-2</v>
      </c>
    </row>
    <row r="168" spans="1:30" x14ac:dyDescent="0.25">
      <c r="A168" vm="452">
        <f ca="1"/>
        <v>45533</v>
      </c>
      <c r="B168" vm="444">
        <f ca="1"/>
        <v>10.934200000000001</v>
      </c>
      <c r="C168" vm="453">
        <f ca="1"/>
        <v>45712339</v>
      </c>
      <c r="D168">
        <f t="shared" ca="1" si="45"/>
        <v>499827857.09380001</v>
      </c>
      <c r="E168">
        <f ca="1">SUM($D$2:D168)/SUM($C$2:C168)</f>
        <v>11.8923980213546</v>
      </c>
      <c r="F168">
        <f ca="1">_xlfn.STDEV.P($B$2:B168)</f>
        <v>0.92770201287105203</v>
      </c>
      <c r="G168">
        <f t="shared" ca="1" si="46"/>
        <v>12.820100034225652</v>
      </c>
      <c r="H168">
        <f t="shared" ca="1" si="47"/>
        <v>10.964696008483548</v>
      </c>
      <c r="I168">
        <f t="shared" ca="1" si="59"/>
        <v>10.309765000000001</v>
      </c>
      <c r="J168">
        <f t="shared" ca="1" si="60"/>
        <v>0.51696687695482113</v>
      </c>
      <c r="K168">
        <f t="shared" ca="1" si="61"/>
        <v>11.343698753909642</v>
      </c>
      <c r="L168">
        <f t="shared" ca="1" si="62"/>
        <v>9.2758312460903589</v>
      </c>
      <c r="M168">
        <f t="shared" ca="1" si="49"/>
        <v>6.8900000000001071E-2</v>
      </c>
      <c r="N168">
        <f t="shared" ca="1" si="50"/>
        <v>6.8900000000001071E-2</v>
      </c>
      <c r="O168">
        <f t="shared" ca="1" si="51"/>
        <v>0</v>
      </c>
      <c r="P168">
        <f t="shared" ca="1" si="57"/>
        <v>9.1138714360423756E-2</v>
      </c>
      <c r="Q168">
        <f t="shared" ca="1" si="58"/>
        <v>8.8697727388948752E-2</v>
      </c>
      <c r="R168">
        <f t="shared" ca="1" si="55"/>
        <v>1.0275202876480818</v>
      </c>
      <c r="S168">
        <f t="shared" ca="1" si="56"/>
        <v>50.678668613471807</v>
      </c>
      <c r="T168">
        <f>70</f>
        <v>70</v>
      </c>
      <c r="U168">
        <f>30</f>
        <v>30</v>
      </c>
      <c r="V168">
        <f t="shared" ca="1" si="54"/>
        <v>10.735410250990315</v>
      </c>
      <c r="W168">
        <f t="shared" ca="1" si="64"/>
        <v>10.883896170862808</v>
      </c>
      <c r="X168">
        <f t="shared" ca="1" si="63"/>
        <v>-0.1153430512429896</v>
      </c>
      <c r="Y168">
        <f t="shared" ca="1" si="65"/>
        <v>-0.27804926695613175</v>
      </c>
      <c r="Z168">
        <f t="shared" ca="1" si="66"/>
        <v>0.16270621571314214</v>
      </c>
      <c r="AA168">
        <f t="shared" ca="1" si="67"/>
        <v>11.864774999999998</v>
      </c>
      <c r="AB168" s="18">
        <f t="shared" ca="1" si="52"/>
        <v>6.3412883215374638E-3</v>
      </c>
      <c r="AC168" s="18">
        <f t="shared" ca="1" si="53"/>
        <v>6.321266949035757E-3</v>
      </c>
      <c r="AD168" s="18">
        <f t="shared" ca="1" si="48"/>
        <v>-8.634981115679019E-2</v>
      </c>
    </row>
    <row r="169" spans="1:30" x14ac:dyDescent="0.25">
      <c r="A169" vm="454">
        <f ca="1"/>
        <v>45534</v>
      </c>
      <c r="B169" vm="382">
        <f ca="1"/>
        <v>11.013</v>
      </c>
      <c r="C169" vm="455">
        <f ca="1"/>
        <v>45700029</v>
      </c>
      <c r="D169">
        <f t="shared" ca="1" si="45"/>
        <v>503294419.37699997</v>
      </c>
      <c r="E169">
        <f ca="1">SUM($D$2:D169)/SUM($C$2:C169)</f>
        <v>11.888073916992335</v>
      </c>
      <c r="F169">
        <f ca="1">_xlfn.STDEV.P($B$2:B169)</f>
        <v>0.92765005133279699</v>
      </c>
      <c r="G169">
        <f t="shared" ca="1" si="46"/>
        <v>12.815723968325132</v>
      </c>
      <c r="H169">
        <f t="shared" ca="1" si="47"/>
        <v>10.960423865659537</v>
      </c>
      <c r="I169">
        <f t="shared" ca="1" si="59"/>
        <v>10.366849999999999</v>
      </c>
      <c r="J169">
        <f t="shared" ca="1" si="60"/>
        <v>0.5288992666004807</v>
      </c>
      <c r="K169">
        <f t="shared" ca="1" si="61"/>
        <v>11.42464853320096</v>
      </c>
      <c r="L169">
        <f t="shared" ca="1" si="62"/>
        <v>9.3090514667990387</v>
      </c>
      <c r="M169">
        <f t="shared" ca="1" si="49"/>
        <v>7.8799999999999315E-2</v>
      </c>
      <c r="N169">
        <f t="shared" ca="1" si="50"/>
        <v>7.8799999999999315E-2</v>
      </c>
      <c r="O169">
        <f t="shared" ca="1" si="51"/>
        <v>0</v>
      </c>
      <c r="P169">
        <f t="shared" ca="1" si="57"/>
        <v>9.0257377620393431E-2</v>
      </c>
      <c r="Q169">
        <f t="shared" ca="1" si="58"/>
        <v>8.2362175432595275E-2</v>
      </c>
      <c r="R169">
        <f t="shared" ca="1" si="55"/>
        <v>1.0958595635233013</v>
      </c>
      <c r="S169">
        <f t="shared" ca="1" si="56"/>
        <v>52.286879454894247</v>
      </c>
      <c r="T169">
        <f>70</f>
        <v>70</v>
      </c>
      <c r="U169">
        <f>30</f>
        <v>30</v>
      </c>
      <c r="V169">
        <f t="shared" ca="1" si="54"/>
        <v>10.778116366222573</v>
      </c>
      <c r="W169">
        <f t="shared" ca="1" si="64"/>
        <v>10.893459417465563</v>
      </c>
      <c r="X169">
        <f t="shared" ca="1" si="63"/>
        <v>-0.10455085443932788</v>
      </c>
      <c r="Y169">
        <f t="shared" ca="1" si="65"/>
        <v>-0.243349584452771</v>
      </c>
      <c r="Z169">
        <f t="shared" ca="1" si="66"/>
        <v>0.13879873001344312</v>
      </c>
      <c r="AA169">
        <f t="shared" ca="1" si="67"/>
        <v>11.841646999999996</v>
      </c>
      <c r="AB169" s="18">
        <f t="shared" ca="1" si="52"/>
        <v>7.20674580673486E-3</v>
      </c>
      <c r="AC169" s="18">
        <f t="shared" ca="1" si="53"/>
        <v>7.1809013097007728E-3</v>
      </c>
      <c r="AD169" s="18">
        <f t="shared" ca="1" si="48"/>
        <v>-7.9765366489521927E-2</v>
      </c>
    </row>
    <row r="170" spans="1:30" x14ac:dyDescent="0.25">
      <c r="A170" vm="456">
        <f ca="1"/>
        <v>45538</v>
      </c>
      <c r="B170" vm="457">
        <f ca="1"/>
        <v>10.8063</v>
      </c>
      <c r="C170" vm="458">
        <f ca="1"/>
        <v>50411047</v>
      </c>
      <c r="D170">
        <f t="shared" ca="1" si="45"/>
        <v>544756897.1961</v>
      </c>
      <c r="E170">
        <f ca="1">SUM($D$2:D170)/SUM($C$2:C170)</f>
        <v>11.882238025861703</v>
      </c>
      <c r="F170">
        <f ca="1">_xlfn.STDEV.P($B$2:B170)</f>
        <v>0.92890226599670711</v>
      </c>
      <c r="G170">
        <f t="shared" ca="1" si="46"/>
        <v>12.811140291858409</v>
      </c>
      <c r="H170">
        <f t="shared" ca="1" si="47"/>
        <v>10.953335759864997</v>
      </c>
      <c r="I170">
        <f t="shared" ca="1" si="59"/>
        <v>10.429345</v>
      </c>
      <c r="J170">
        <f t="shared" ca="1" si="60"/>
        <v>0.50121582962673994</v>
      </c>
      <c r="K170">
        <f t="shared" ca="1" si="61"/>
        <v>11.43177665925348</v>
      </c>
      <c r="L170">
        <f t="shared" ca="1" si="62"/>
        <v>9.4269133407465198</v>
      </c>
      <c r="M170">
        <f t="shared" ca="1" si="49"/>
        <v>-0.20669999999999966</v>
      </c>
      <c r="N170">
        <f t="shared" ca="1" si="50"/>
        <v>0</v>
      </c>
      <c r="O170">
        <f t="shared" ca="1" si="51"/>
        <v>0.20669999999999966</v>
      </c>
      <c r="P170">
        <f t="shared" ca="1" si="57"/>
        <v>8.381042207607961E-2</v>
      </c>
      <c r="Q170">
        <f t="shared" ca="1" si="58"/>
        <v>9.1243448615981312E-2</v>
      </c>
      <c r="R170">
        <f t="shared" ca="1" si="55"/>
        <v>0.91853632614013447</v>
      </c>
      <c r="S170">
        <f t="shared" ca="1" si="56"/>
        <v>47.876931680940316</v>
      </c>
      <c r="T170">
        <f>70</f>
        <v>70</v>
      </c>
      <c r="U170">
        <f>30</f>
        <v>30</v>
      </c>
      <c r="V170">
        <f t="shared" ca="1" si="54"/>
        <v>10.782452309880638</v>
      </c>
      <c r="W170">
        <f t="shared" ca="1" si="64"/>
        <v>10.887003164319966</v>
      </c>
      <c r="X170">
        <f t="shared" ca="1" si="63"/>
        <v>-9.72572432177774E-2</v>
      </c>
      <c r="Y170">
        <f t="shared" ca="1" si="65"/>
        <v>-0.2141311162057723</v>
      </c>
      <c r="Z170">
        <f t="shared" ca="1" si="66"/>
        <v>0.1168738729879949</v>
      </c>
      <c r="AA170">
        <f t="shared" ca="1" si="67"/>
        <v>11.821175999999996</v>
      </c>
      <c r="AB170" s="18">
        <f t="shared" ca="1" si="52"/>
        <v>-1.8768727867066182E-2</v>
      </c>
      <c r="AC170" s="18">
        <f t="shared" ca="1" si="53"/>
        <v>-1.8947095792052275E-2</v>
      </c>
      <c r="AD170" s="18">
        <f t="shared" ca="1" si="48"/>
        <v>-9.703699989972947E-2</v>
      </c>
    </row>
    <row r="171" spans="1:30" x14ac:dyDescent="0.25">
      <c r="A171" vm="459">
        <f ca="1"/>
        <v>45539</v>
      </c>
      <c r="B171" vm="460">
        <f ca="1"/>
        <v>10.7768</v>
      </c>
      <c r="C171" vm="461">
        <f ca="1"/>
        <v>48670623</v>
      </c>
      <c r="D171">
        <f t="shared" ca="1" si="45"/>
        <v>524513569.94639999</v>
      </c>
      <c r="E171">
        <f ca="1">SUM($D$2:D171)/SUM($C$2:C171)</f>
        <v>11.876510195922638</v>
      </c>
      <c r="F171">
        <f ca="1">_xlfn.STDEV.P($B$2:B171)</f>
        <v>0.9303012107676254</v>
      </c>
      <c r="G171">
        <f t="shared" ca="1" si="46"/>
        <v>12.806811406690263</v>
      </c>
      <c r="H171">
        <f t="shared" ca="1" si="47"/>
        <v>10.946208985155012</v>
      </c>
      <c r="I171">
        <f t="shared" ca="1" si="59"/>
        <v>10.48692</v>
      </c>
      <c r="J171">
        <f t="shared" ca="1" si="60"/>
        <v>0.46910148447520617</v>
      </c>
      <c r="K171">
        <f t="shared" ca="1" si="61"/>
        <v>11.425122968950411</v>
      </c>
      <c r="L171">
        <f t="shared" ca="1" si="62"/>
        <v>9.5487170310495877</v>
      </c>
      <c r="M171">
        <f t="shared" ca="1" si="49"/>
        <v>-2.9500000000000526E-2</v>
      </c>
      <c r="N171">
        <f t="shared" ca="1" si="50"/>
        <v>0</v>
      </c>
      <c r="O171">
        <f t="shared" ca="1" si="51"/>
        <v>2.9500000000000526E-2</v>
      </c>
      <c r="P171">
        <f t="shared" ca="1" si="57"/>
        <v>7.7823963356359646E-2</v>
      </c>
      <c r="Q171">
        <f t="shared" ca="1" si="58"/>
        <v>8.683320228626841E-2</v>
      </c>
      <c r="R171">
        <f t="shared" ca="1" si="55"/>
        <v>0.89624661197905098</v>
      </c>
      <c r="S171">
        <f t="shared" ca="1" si="56"/>
        <v>47.264243285511668</v>
      </c>
      <c r="T171">
        <f>70</f>
        <v>70</v>
      </c>
      <c r="U171">
        <f>30</f>
        <v>30</v>
      </c>
      <c r="V171">
        <f t="shared" ca="1" si="54"/>
        <v>10.781582723745155</v>
      </c>
      <c r="W171">
        <f t="shared" ca="1" si="64"/>
        <v>10.878839966962932</v>
      </c>
      <c r="X171">
        <f t="shared" ca="1" si="63"/>
        <v>-0.10457014333516135</v>
      </c>
      <c r="Y171">
        <f t="shared" ca="1" si="65"/>
        <v>-0.19221892163165011</v>
      </c>
      <c r="Z171">
        <f t="shared" ca="1" si="66"/>
        <v>8.7648778296488761E-2</v>
      </c>
      <c r="AA171">
        <f t="shared" ca="1" si="67"/>
        <v>11.800606999999998</v>
      </c>
      <c r="AB171" s="18">
        <f t="shared" ca="1" si="52"/>
        <v>-2.7298890462045255E-3</v>
      </c>
      <c r="AC171" s="18">
        <f t="shared" ca="1" si="53"/>
        <v>-2.7336219885334885E-3</v>
      </c>
      <c r="AD171" s="18">
        <f t="shared" ca="1" si="48"/>
        <v>-9.9501988702831223E-2</v>
      </c>
    </row>
    <row r="172" spans="1:30" x14ac:dyDescent="0.25">
      <c r="A172" vm="462">
        <f ca="1"/>
        <v>45540</v>
      </c>
      <c r="B172" vm="463">
        <f ca="1"/>
        <v>10.599600000000001</v>
      </c>
      <c r="C172" vm="464">
        <f ca="1"/>
        <v>51364527</v>
      </c>
      <c r="D172">
        <f t="shared" ca="1" si="45"/>
        <v>544443440.38919997</v>
      </c>
      <c r="E172">
        <f ca="1">SUM($D$2:D172)/SUM($C$2:C172)</f>
        <v>11.869565646447452</v>
      </c>
      <c r="F172">
        <f ca="1">_xlfn.STDEV.P($B$2:B172)</f>
        <v>0.9329903234641358</v>
      </c>
      <c r="G172">
        <f t="shared" ca="1" si="46"/>
        <v>12.802555969911587</v>
      </c>
      <c r="H172">
        <f t="shared" ca="1" si="47"/>
        <v>10.936575322983316</v>
      </c>
      <c r="I172">
        <f t="shared" ca="1" si="59"/>
        <v>10.53613</v>
      </c>
      <c r="J172">
        <f t="shared" ca="1" si="60"/>
        <v>0.42213648591047193</v>
      </c>
      <c r="K172">
        <f t="shared" ca="1" si="61"/>
        <v>11.380402971820944</v>
      </c>
      <c r="L172">
        <f t="shared" ca="1" si="62"/>
        <v>9.6918570281790561</v>
      </c>
      <c r="M172">
        <f t="shared" ca="1" si="49"/>
        <v>-0.17719999999999914</v>
      </c>
      <c r="N172">
        <f t="shared" ca="1" si="50"/>
        <v>0</v>
      </c>
      <c r="O172">
        <f t="shared" ca="1" si="51"/>
        <v>0.17719999999999914</v>
      </c>
      <c r="P172">
        <f t="shared" ca="1" si="57"/>
        <v>7.2265108830905395E-2</v>
      </c>
      <c r="Q172">
        <f t="shared" ca="1" si="58"/>
        <v>9.3287973551534883E-2</v>
      </c>
      <c r="R172">
        <f t="shared" ca="1" si="55"/>
        <v>0.7746454990898064</v>
      </c>
      <c r="S172">
        <f t="shared" ca="1" si="56"/>
        <v>43.650717818691817</v>
      </c>
      <c r="T172">
        <f>70</f>
        <v>70</v>
      </c>
      <c r="U172">
        <f>30</f>
        <v>30</v>
      </c>
      <c r="V172">
        <f t="shared" ca="1" si="54"/>
        <v>10.753585381630517</v>
      </c>
      <c r="W172">
        <f t="shared" ca="1" si="64"/>
        <v>10.858155524965678</v>
      </c>
      <c r="X172">
        <f t="shared" ca="1" si="63"/>
        <v>-0.1240253198563579</v>
      </c>
      <c r="Y172">
        <f t="shared" ca="1" si="65"/>
        <v>-0.17858020127659169</v>
      </c>
      <c r="Z172">
        <f t="shared" ca="1" si="66"/>
        <v>5.4554881420233792E-2</v>
      </c>
      <c r="AA172">
        <f t="shared" ca="1" si="67"/>
        <v>11.782497999999999</v>
      </c>
      <c r="AB172" s="18">
        <f t="shared" ca="1" si="52"/>
        <v>-1.6442728824882957E-2</v>
      </c>
      <c r="AC172" s="18">
        <f t="shared" ca="1" si="53"/>
        <v>-1.6579410845271234E-2</v>
      </c>
      <c r="AD172" s="18">
        <f t="shared" ca="1" si="48"/>
        <v>-0.11430863330993701</v>
      </c>
    </row>
    <row r="173" spans="1:30" x14ac:dyDescent="0.25">
      <c r="A173" vm="465">
        <f ca="1"/>
        <v>45541</v>
      </c>
      <c r="B173" vm="466">
        <f ca="1"/>
        <v>10.412599999999999</v>
      </c>
      <c r="C173" vm="467">
        <f ca="1"/>
        <v>48272554</v>
      </c>
      <c r="D173">
        <f t="shared" ca="1" si="45"/>
        <v>502642795.78039998</v>
      </c>
      <c r="E173">
        <f ca="1">SUM($D$2:D173)/SUM($C$2:C173)</f>
        <v>11.862156709210069</v>
      </c>
      <c r="F173">
        <f ca="1">_xlfn.STDEV.P($B$2:B173)</f>
        <v>0.93719671570115892</v>
      </c>
      <c r="G173">
        <f t="shared" ca="1" si="46"/>
        <v>12.799353424911228</v>
      </c>
      <c r="H173">
        <f t="shared" ca="1" si="47"/>
        <v>10.92495999350891</v>
      </c>
      <c r="I173">
        <f t="shared" ca="1" si="59"/>
        <v>10.558275</v>
      </c>
      <c r="J173">
        <f t="shared" ca="1" si="60"/>
        <v>0.40199461488275784</v>
      </c>
      <c r="K173">
        <f t="shared" ca="1" si="61"/>
        <v>11.362264229765517</v>
      </c>
      <c r="L173">
        <f t="shared" ca="1" si="62"/>
        <v>9.7542857702344836</v>
      </c>
      <c r="M173">
        <f t="shared" ca="1" si="49"/>
        <v>-0.18700000000000117</v>
      </c>
      <c r="N173">
        <f t="shared" ca="1" si="50"/>
        <v>0</v>
      </c>
      <c r="O173">
        <f t="shared" ca="1" si="51"/>
        <v>0.18700000000000117</v>
      </c>
      <c r="P173">
        <f t="shared" ca="1" si="57"/>
        <v>6.7103315342983583E-2</v>
      </c>
      <c r="Q173">
        <f t="shared" ca="1" si="58"/>
        <v>9.9981689726425321E-2</v>
      </c>
      <c r="R173">
        <f t="shared" ca="1" si="55"/>
        <v>0.67115604393759376</v>
      </c>
      <c r="S173">
        <f t="shared" ca="1" si="56"/>
        <v>40.161183413860599</v>
      </c>
      <c r="T173">
        <f>70</f>
        <v>70</v>
      </c>
      <c r="U173">
        <f>30</f>
        <v>30</v>
      </c>
      <c r="V173">
        <f t="shared" ca="1" si="54"/>
        <v>10.701126092148899</v>
      </c>
      <c r="W173">
        <f t="shared" ca="1" si="64"/>
        <v>10.825151412005257</v>
      </c>
      <c r="X173">
        <f t="shared" ca="1" si="63"/>
        <v>-0.1315685456794462</v>
      </c>
      <c r="Y173">
        <f t="shared" ca="1" si="65"/>
        <v>-0.1691778701571626</v>
      </c>
      <c r="Z173">
        <f t="shared" ca="1" si="66"/>
        <v>3.7609324477716394E-2</v>
      </c>
      <c r="AA173">
        <f t="shared" ca="1" si="67"/>
        <v>11.766259</v>
      </c>
      <c r="AB173" s="18">
        <f t="shared" ca="1" si="52"/>
        <v>-1.7642175176421859E-2</v>
      </c>
      <c r="AC173" s="18">
        <f t="shared" ca="1" si="53"/>
        <v>-1.7799653268568798E-2</v>
      </c>
      <c r="AD173" s="18">
        <f t="shared" ca="1" si="48"/>
        <v>-0.12993415555332755</v>
      </c>
    </row>
    <row r="174" spans="1:30" x14ac:dyDescent="0.25">
      <c r="A174" vm="468">
        <f ca="1"/>
        <v>45544</v>
      </c>
      <c r="B174" vm="469">
        <f ca="1"/>
        <v>10.491400000000001</v>
      </c>
      <c r="C174" vm="470">
        <f ca="1"/>
        <v>39853827</v>
      </c>
      <c r="D174">
        <f t="shared" ca="1" si="45"/>
        <v>418122440.58780003</v>
      </c>
      <c r="E174">
        <f ca="1">SUM($D$2:D174)/SUM($C$2:C174)</f>
        <v>11.856425882919106</v>
      </c>
      <c r="F174">
        <f ca="1">_xlfn.STDEV.P($B$2:B174)</f>
        <v>0.94056044011797535</v>
      </c>
      <c r="G174">
        <f t="shared" ca="1" si="46"/>
        <v>12.796986323037082</v>
      </c>
      <c r="H174">
        <f t="shared" ca="1" si="47"/>
        <v>10.915865442801131</v>
      </c>
      <c r="I174">
        <f t="shared" ca="1" si="59"/>
        <v>10.585835000000001</v>
      </c>
      <c r="J174">
        <f t="shared" ca="1" si="60"/>
        <v>0.37540562101475483</v>
      </c>
      <c r="K174">
        <f t="shared" ca="1" si="61"/>
        <v>11.336646242029511</v>
      </c>
      <c r="L174">
        <f t="shared" ca="1" si="62"/>
        <v>9.8350237579704913</v>
      </c>
      <c r="M174">
        <f t="shared" ca="1" si="49"/>
        <v>7.8800000000001091E-2</v>
      </c>
      <c r="N174">
        <f t="shared" ca="1" si="50"/>
        <v>7.8800000000001091E-2</v>
      </c>
      <c r="O174">
        <f t="shared" ca="1" si="51"/>
        <v>0</v>
      </c>
      <c r="P174">
        <f t="shared" ca="1" si="57"/>
        <v>6.7938792818484833E-2</v>
      </c>
      <c r="Q174">
        <f t="shared" ca="1" si="58"/>
        <v>9.2840140460252088E-2</v>
      </c>
      <c r="R174">
        <f t="shared" ca="1" si="55"/>
        <v>0.73178252942833133</v>
      </c>
      <c r="S174">
        <f t="shared" ca="1" si="56"/>
        <v>42.256029091013858</v>
      </c>
      <c r="T174">
        <f>70</f>
        <v>70</v>
      </c>
      <c r="U174">
        <f>30</f>
        <v>30</v>
      </c>
      <c r="V174">
        <f t="shared" ca="1" si="54"/>
        <v>10.668860539510606</v>
      </c>
      <c r="W174">
        <f t="shared" ca="1" si="64"/>
        <v>10.800429085190052</v>
      </c>
      <c r="X174">
        <f t="shared" ca="1" si="63"/>
        <v>-0.16267883889491941</v>
      </c>
      <c r="Y174">
        <f t="shared" ca="1" si="65"/>
        <v>-0.16787806390471399</v>
      </c>
      <c r="Z174">
        <f t="shared" ca="1" si="66"/>
        <v>5.1992250097945836E-3</v>
      </c>
      <c r="AA174">
        <f t="shared" ca="1" si="67"/>
        <v>11.752186</v>
      </c>
      <c r="AB174" s="18">
        <f t="shared" ca="1" si="52"/>
        <v>7.5677544513379491E-3</v>
      </c>
      <c r="AC174" s="18">
        <f t="shared" ca="1" si="53"/>
        <v>7.5392626532857021E-3</v>
      </c>
      <c r="AD174" s="18">
        <f t="shared" ca="1" si="48"/>
        <v>-0.12334971088605917</v>
      </c>
    </row>
    <row r="175" spans="1:30" x14ac:dyDescent="0.25">
      <c r="A175" vm="471">
        <f ca="1"/>
        <v>45545</v>
      </c>
      <c r="B175" vm="472">
        <f ca="1"/>
        <v>10.156700000000001</v>
      </c>
      <c r="C175" vm="473">
        <f ca="1"/>
        <v>64032208</v>
      </c>
      <c r="D175">
        <f t="shared" ca="1" si="45"/>
        <v>650355926.99360001</v>
      </c>
      <c r="E175">
        <f ca="1">SUM($D$2:D175)/SUM($C$2:C175)</f>
        <v>11.845084742446161</v>
      </c>
      <c r="F175">
        <f ca="1">_xlfn.STDEV.P($B$2:B175)</f>
        <v>0.94697521820330721</v>
      </c>
      <c r="G175">
        <f t="shared" ca="1" si="46"/>
        <v>12.792059960649469</v>
      </c>
      <c r="H175">
        <f t="shared" ca="1" si="47"/>
        <v>10.898109524242853</v>
      </c>
      <c r="I175">
        <f t="shared" ca="1" si="59"/>
        <v>10.608470000000001</v>
      </c>
      <c r="J175">
        <f t="shared" ca="1" si="60"/>
        <v>0.33038536048235051</v>
      </c>
      <c r="K175">
        <f t="shared" ca="1" si="61"/>
        <v>11.269240720964701</v>
      </c>
      <c r="L175">
        <f t="shared" ca="1" si="62"/>
        <v>9.9476992790352998</v>
      </c>
      <c r="M175">
        <f t="shared" ca="1" si="49"/>
        <v>-0.33469999999999978</v>
      </c>
      <c r="N175">
        <f t="shared" ca="1" si="50"/>
        <v>0</v>
      </c>
      <c r="O175">
        <f t="shared" ca="1" si="51"/>
        <v>0.33469999999999978</v>
      </c>
      <c r="P175">
        <f t="shared" ca="1" si="57"/>
        <v>6.3086021902878778E-2</v>
      </c>
      <c r="Q175">
        <f t="shared" ca="1" si="58"/>
        <v>0.11011584471309122</v>
      </c>
      <c r="R175">
        <f t="shared" ca="1" si="55"/>
        <v>0.57290594343848089</v>
      </c>
      <c r="S175">
        <f t="shared" ca="1" si="56"/>
        <v>36.423407631486789</v>
      </c>
      <c r="T175">
        <f>70</f>
        <v>70</v>
      </c>
      <c r="U175">
        <f>30</f>
        <v>30</v>
      </c>
      <c r="V175">
        <f t="shared" ca="1" si="54"/>
        <v>10.590066610355128</v>
      </c>
      <c r="W175">
        <f t="shared" ca="1" si="64"/>
        <v>10.752745449250048</v>
      </c>
      <c r="X175">
        <f t="shared" ca="1" si="63"/>
        <v>-0.17498828413330969</v>
      </c>
      <c r="Y175">
        <f t="shared" ca="1" si="65"/>
        <v>-0.16930010795043315</v>
      </c>
      <c r="Z175">
        <f t="shared" ca="1" si="66"/>
        <v>-5.6881761828765365E-3</v>
      </c>
      <c r="AA175">
        <f t="shared" ca="1" si="67"/>
        <v>11.735257999999998</v>
      </c>
      <c r="AB175" s="18">
        <f t="shared" ca="1" si="52"/>
        <v>-3.190231999542481E-2</v>
      </c>
      <c r="AC175" s="18">
        <f t="shared" ca="1" si="53"/>
        <v>-3.2422287700904821E-2</v>
      </c>
      <c r="AD175" s="18">
        <f t="shared" ca="1" si="48"/>
        <v>-0.15131688893345374</v>
      </c>
    </row>
    <row r="176" spans="1:30" x14ac:dyDescent="0.25">
      <c r="A176" vm="474">
        <f ca="1"/>
        <v>45546</v>
      </c>
      <c r="B176" vm="475">
        <f ca="1"/>
        <v>10.284700000000001</v>
      </c>
      <c r="C176" vm="476">
        <f ca="1"/>
        <v>56737819</v>
      </c>
      <c r="D176">
        <f t="shared" ca="1" si="45"/>
        <v>583531447.06930006</v>
      </c>
      <c r="E176">
        <f ca="1">SUM($D$2:D176)/SUM($C$2:C176)</f>
        <v>11.835913596505112</v>
      </c>
      <c r="F176">
        <f ca="1">_xlfn.STDEV.P($B$2:B176)</f>
        <v>0.95190393147139274</v>
      </c>
      <c r="G176">
        <f t="shared" ca="1" si="46"/>
        <v>12.787817527976504</v>
      </c>
      <c r="H176">
        <f t="shared" ca="1" si="47"/>
        <v>10.884009665033719</v>
      </c>
      <c r="I176">
        <f t="shared" ca="1" si="59"/>
        <v>10.623725000000002</v>
      </c>
      <c r="J176">
        <f t="shared" ca="1" si="60"/>
        <v>0.30596099489107564</v>
      </c>
      <c r="K176">
        <f t="shared" ca="1" si="61"/>
        <v>11.235646989782154</v>
      </c>
      <c r="L176">
        <f t="shared" ca="1" si="62"/>
        <v>10.01180301021785</v>
      </c>
      <c r="M176">
        <f t="shared" ca="1" si="49"/>
        <v>0.12800000000000011</v>
      </c>
      <c r="N176">
        <f t="shared" ca="1" si="50"/>
        <v>0.12800000000000011</v>
      </c>
      <c r="O176">
        <f t="shared" ca="1" si="51"/>
        <v>0</v>
      </c>
      <c r="P176">
        <f t="shared" ca="1" si="57"/>
        <v>6.7722734624101735E-2</v>
      </c>
      <c r="Q176">
        <f t="shared" ca="1" si="58"/>
        <v>0.1022504272335847</v>
      </c>
      <c r="R176">
        <f t="shared" ca="1" si="55"/>
        <v>0.66232226560181884</v>
      </c>
      <c r="S176">
        <f t="shared" ca="1" si="56"/>
        <v>39.843192821702054</v>
      </c>
      <c r="T176">
        <f>70</f>
        <v>70</v>
      </c>
      <c r="U176">
        <f>30</f>
        <v>30</v>
      </c>
      <c r="V176">
        <f t="shared" ca="1" si="54"/>
        <v>10.543087131838956</v>
      </c>
      <c r="W176">
        <f t="shared" ca="1" si="64"/>
        <v>10.718075415972265</v>
      </c>
      <c r="X176">
        <f t="shared" ca="1" si="63"/>
        <v>-0.16929239895959114</v>
      </c>
      <c r="Y176">
        <f t="shared" ca="1" si="65"/>
        <v>-0.16929856615226474</v>
      </c>
      <c r="Z176">
        <f t="shared" ca="1" si="66"/>
        <v>6.1671926736006633E-6</v>
      </c>
      <c r="AA176">
        <f t="shared" ca="1" si="67"/>
        <v>11.719412999999999</v>
      </c>
      <c r="AB176" s="18">
        <f t="shared" ca="1" si="52"/>
        <v>1.2602518534563512E-2</v>
      </c>
      <c r="AC176" s="18">
        <f t="shared" ca="1" si="53"/>
        <v>1.252376774647391E-2</v>
      </c>
      <c r="AD176" s="18">
        <f t="shared" ca="1" si="48"/>
        <v>-0.1406213442962666</v>
      </c>
    </row>
    <row r="177" spans="1:30" x14ac:dyDescent="0.25">
      <c r="A177" vm="477">
        <f ca="1"/>
        <v>45547</v>
      </c>
      <c r="B177" vm="478">
        <f ca="1"/>
        <v>10.452</v>
      </c>
      <c r="C177" vm="479">
        <f ca="1"/>
        <v>44511518</v>
      </c>
      <c r="D177">
        <f t="shared" ca="1" si="45"/>
        <v>465234386.13599998</v>
      </c>
      <c r="E177">
        <f ca="1">SUM($D$2:D177)/SUM($C$2:C177)</f>
        <v>11.829561709844954</v>
      </c>
      <c r="F177">
        <f ca="1">_xlfn.STDEV.P($B$2:B177)</f>
        <v>0.95517923596311638</v>
      </c>
      <c r="G177">
        <f t="shared" ca="1" si="46"/>
        <v>12.784740945808071</v>
      </c>
      <c r="H177">
        <f t="shared" ca="1" si="47"/>
        <v>10.874382473881838</v>
      </c>
      <c r="I177">
        <f t="shared" ca="1" si="59"/>
        <v>10.645375000000001</v>
      </c>
      <c r="J177">
        <f t="shared" ca="1" si="60"/>
        <v>0.27463403184486879</v>
      </c>
      <c r="K177">
        <f t="shared" ca="1" si="61"/>
        <v>11.194643063689739</v>
      </c>
      <c r="L177">
        <f t="shared" ca="1" si="62"/>
        <v>10.096106936310264</v>
      </c>
      <c r="M177">
        <f t="shared" ca="1" si="49"/>
        <v>0.16729999999999912</v>
      </c>
      <c r="N177">
        <f t="shared" ca="1" si="50"/>
        <v>0.16729999999999912</v>
      </c>
      <c r="O177">
        <f t="shared" ca="1" si="51"/>
        <v>0</v>
      </c>
      <c r="P177">
        <f t="shared" ca="1" si="57"/>
        <v>7.4835396436665827E-2</v>
      </c>
      <c r="Q177">
        <f t="shared" ca="1" si="58"/>
        <v>9.4946825288328651E-2</v>
      </c>
      <c r="R177">
        <f t="shared" ca="1" si="55"/>
        <v>0.78818218733917977</v>
      </c>
      <c r="S177">
        <f t="shared" ca="1" si="56"/>
        <v>44.077286582973798</v>
      </c>
      <c r="T177">
        <f>70</f>
        <v>70</v>
      </c>
      <c r="U177">
        <f>30</f>
        <v>30</v>
      </c>
      <c r="V177">
        <f t="shared" ca="1" si="54"/>
        <v>10.529073726940656</v>
      </c>
      <c r="W177">
        <f t="shared" ca="1" si="64"/>
        <v>10.698366125900247</v>
      </c>
      <c r="X177">
        <f t="shared" ca="1" si="63"/>
        <v>-0.15740425645642731</v>
      </c>
      <c r="Y177">
        <f t="shared" ca="1" si="65"/>
        <v>-0.16691970421309726</v>
      </c>
      <c r="Z177">
        <f t="shared" ca="1" si="66"/>
        <v>9.5154477566699591E-3</v>
      </c>
      <c r="AA177">
        <f t="shared" ca="1" si="67"/>
        <v>11.704454</v>
      </c>
      <c r="AB177" s="18">
        <f t="shared" ca="1" si="52"/>
        <v>1.6266881873073569E-2</v>
      </c>
      <c r="AC177" s="18">
        <f t="shared" ca="1" si="53"/>
        <v>1.6135993671130409E-2</v>
      </c>
      <c r="AD177" s="18">
        <f t="shared" ca="1" si="48"/>
        <v>-0.12664193321969319</v>
      </c>
    </row>
    <row r="178" spans="1:30" x14ac:dyDescent="0.25">
      <c r="A178" vm="480">
        <f ca="1"/>
        <v>45548</v>
      </c>
      <c r="B178" vm="394">
        <f ca="1"/>
        <v>10.520899999999999</v>
      </c>
      <c r="C178" vm="481">
        <f ca="1"/>
        <v>35750388</v>
      </c>
      <c r="D178">
        <f t="shared" ca="1" si="45"/>
        <v>376126257.1092</v>
      </c>
      <c r="E178">
        <f ca="1">SUM($D$2:D178)/SUM($C$2:C178)</f>
        <v>11.824755181858173</v>
      </c>
      <c r="F178">
        <f ca="1">_xlfn.STDEV.P($B$2:B178)</f>
        <v>0.95778314310081825</v>
      </c>
      <c r="G178">
        <f t="shared" ca="1" si="46"/>
        <v>12.78253832495899</v>
      </c>
      <c r="H178">
        <f t="shared" ca="1" si="47"/>
        <v>10.866972038757355</v>
      </c>
      <c r="I178">
        <f t="shared" ca="1" si="59"/>
        <v>10.656695000000003</v>
      </c>
      <c r="J178">
        <f t="shared" ca="1" si="60"/>
        <v>0.2638651060375557</v>
      </c>
      <c r="K178">
        <f t="shared" ca="1" si="61"/>
        <v>11.184425212075114</v>
      </c>
      <c r="L178">
        <f t="shared" ca="1" si="62"/>
        <v>10.128964787924891</v>
      </c>
      <c r="M178">
        <f t="shared" ca="1" si="49"/>
        <v>6.8899999999999295E-2</v>
      </c>
      <c r="N178">
        <f t="shared" ca="1" si="50"/>
        <v>6.8899999999999295E-2</v>
      </c>
      <c r="O178">
        <f t="shared" ca="1" si="51"/>
        <v>0</v>
      </c>
      <c r="P178">
        <f t="shared" ca="1" si="57"/>
        <v>7.44114395483325E-2</v>
      </c>
      <c r="Q178">
        <f t="shared" ca="1" si="58"/>
        <v>8.8164909196305166E-2</v>
      </c>
      <c r="R178">
        <f t="shared" ca="1" si="55"/>
        <v>0.8440029057666284</v>
      </c>
      <c r="S178">
        <f t="shared" ca="1" si="56"/>
        <v>45.770150531066626</v>
      </c>
      <c r="T178">
        <f>70</f>
        <v>70</v>
      </c>
      <c r="U178">
        <f>30</f>
        <v>30</v>
      </c>
      <c r="V178">
        <f t="shared" ca="1" si="54"/>
        <v>10.527816230488247</v>
      </c>
      <c r="W178">
        <f t="shared" ca="1" si="64"/>
        <v>10.685220486944674</v>
      </c>
      <c r="X178">
        <f t="shared" ca="1" si="63"/>
        <v>-0.1376650649629898</v>
      </c>
      <c r="Y178">
        <f t="shared" ca="1" si="65"/>
        <v>-0.16106877636307579</v>
      </c>
      <c r="Z178">
        <f t="shared" ca="1" si="66"/>
        <v>2.3403711400085986E-2</v>
      </c>
      <c r="AA178">
        <f t="shared" ca="1" si="67"/>
        <v>11.682900999999999</v>
      </c>
      <c r="AB178" s="18">
        <f t="shared" ca="1" si="52"/>
        <v>6.5920398009948755E-3</v>
      </c>
      <c r="AC178" s="18">
        <f t="shared" ca="1" si="53"/>
        <v>6.5704073226896826E-3</v>
      </c>
      <c r="AD178" s="18">
        <f t="shared" ca="1" si="48"/>
        <v>-0.12088472208295742</v>
      </c>
    </row>
    <row r="179" spans="1:30" x14ac:dyDescent="0.25">
      <c r="A179" vm="482">
        <f ca="1"/>
        <v>45551</v>
      </c>
      <c r="B179" vm="483">
        <f ca="1"/>
        <v>10.629099999999999</v>
      </c>
      <c r="C179" vm="484">
        <f ca="1"/>
        <v>35361785</v>
      </c>
      <c r="D179">
        <f t="shared" ca="1" si="45"/>
        <v>375863948.94349998</v>
      </c>
      <c r="E179">
        <f ca="1">SUM($D$2:D179)/SUM($C$2:C179)</f>
        <v>11.820427168965404</v>
      </c>
      <c r="F179">
        <f ca="1">_xlfn.STDEV.P($B$2:B179)</f>
        <v>0.95948489991637143</v>
      </c>
      <c r="G179">
        <f t="shared" ca="1" si="46"/>
        <v>12.779912068881774</v>
      </c>
      <c r="H179">
        <f t="shared" ca="1" si="47"/>
        <v>10.860942269049033</v>
      </c>
      <c r="I179">
        <f t="shared" ca="1" si="59"/>
        <v>10.670965000000002</v>
      </c>
      <c r="J179">
        <f t="shared" ca="1" si="60"/>
        <v>0.25356345053530172</v>
      </c>
      <c r="K179">
        <f t="shared" ca="1" si="61"/>
        <v>11.178091901070605</v>
      </c>
      <c r="L179">
        <f t="shared" ca="1" si="62"/>
        <v>10.1638380989294</v>
      </c>
      <c r="M179">
        <f t="shared" ca="1" si="49"/>
        <v>0.10820000000000007</v>
      </c>
      <c r="N179">
        <f t="shared" ca="1" si="50"/>
        <v>0.10820000000000007</v>
      </c>
      <c r="O179">
        <f t="shared" ca="1" si="51"/>
        <v>0</v>
      </c>
      <c r="P179">
        <f t="shared" ca="1" si="57"/>
        <v>7.6824908152023044E-2</v>
      </c>
      <c r="Q179">
        <f t="shared" ca="1" si="58"/>
        <v>8.1867415682283368E-2</v>
      </c>
      <c r="R179">
        <f t="shared" ca="1" si="55"/>
        <v>0.9384064161762522</v>
      </c>
      <c r="S179">
        <f t="shared" ca="1" si="56"/>
        <v>48.411231429339551</v>
      </c>
      <c r="T179">
        <f>70</f>
        <v>70</v>
      </c>
      <c r="U179">
        <f>30</f>
        <v>30</v>
      </c>
      <c r="V179">
        <f t="shared" ca="1" si="54"/>
        <v>10.543398348874671</v>
      </c>
      <c r="W179">
        <f t="shared" ca="1" si="64"/>
        <v>10.681063413837661</v>
      </c>
      <c r="X179">
        <f t="shared" ca="1" si="63"/>
        <v>-0.11277350393578978</v>
      </c>
      <c r="Y179">
        <f t="shared" ca="1" si="65"/>
        <v>-0.15140972187761859</v>
      </c>
      <c r="Z179">
        <f t="shared" ca="1" si="66"/>
        <v>3.863621794182881E-2</v>
      </c>
      <c r="AA179">
        <f t="shared" ca="1" si="67"/>
        <v>11.661839000000001</v>
      </c>
      <c r="AB179" s="18">
        <f t="shared" ca="1" si="52"/>
        <v>1.0284291267857348E-2</v>
      </c>
      <c r="AC179" s="18">
        <f t="shared" ca="1" si="53"/>
        <v>1.0231767748918453E-2</v>
      </c>
      <c r="AD179" s="18">
        <f t="shared" ca="1" si="48"/>
        <v>-0.11184364450683515</v>
      </c>
    </row>
    <row r="180" spans="1:30" x14ac:dyDescent="0.25">
      <c r="A180" vm="485">
        <f ca="1"/>
        <v>45552</v>
      </c>
      <c r="B180" vm="486">
        <f ca="1"/>
        <v>10.727600000000001</v>
      </c>
      <c r="C180" vm="487">
        <f ca="1"/>
        <v>52905572</v>
      </c>
      <c r="D180">
        <f t="shared" ca="1" si="45"/>
        <v>567549814.18720007</v>
      </c>
      <c r="E180">
        <f ca="1">SUM($D$2:D180)/SUM($C$2:C180)</f>
        <v>11.814540688909169</v>
      </c>
      <c r="F180">
        <f ca="1">_xlfn.STDEV.P($B$2:B180)</f>
        <v>0.96044894052498997</v>
      </c>
      <c r="G180">
        <f t="shared" ca="1" si="46"/>
        <v>12.77498962943416</v>
      </c>
      <c r="H180">
        <f t="shared" ca="1" si="47"/>
        <v>10.854091748384178</v>
      </c>
      <c r="I180">
        <f t="shared" ca="1" si="59"/>
        <v>10.679825000000001</v>
      </c>
      <c r="J180">
        <f t="shared" ca="1" si="60"/>
        <v>0.25222125390429057</v>
      </c>
      <c r="K180">
        <f t="shared" ca="1" si="61"/>
        <v>11.184267507808583</v>
      </c>
      <c r="L180">
        <f t="shared" ca="1" si="62"/>
        <v>10.175382492191419</v>
      </c>
      <c r="M180">
        <f t="shared" ca="1" si="49"/>
        <v>9.8500000000001364E-2</v>
      </c>
      <c r="N180">
        <f t="shared" ca="1" si="50"/>
        <v>9.8500000000001364E-2</v>
      </c>
      <c r="O180">
        <f t="shared" ca="1" si="51"/>
        <v>0</v>
      </c>
      <c r="P180">
        <f t="shared" ca="1" si="57"/>
        <v>7.8373128998307201E-2</v>
      </c>
      <c r="Q180">
        <f t="shared" ca="1" si="58"/>
        <v>7.6019743133548839E-2</v>
      </c>
      <c r="R180">
        <f t="shared" ca="1" si="55"/>
        <v>1.0309575613880202</v>
      </c>
      <c r="S180">
        <f t="shared" ca="1" si="56"/>
        <v>50.762142005736031</v>
      </c>
      <c r="T180">
        <f>70</f>
        <v>70</v>
      </c>
      <c r="U180">
        <f>30</f>
        <v>30</v>
      </c>
      <c r="V180">
        <f t="shared" ca="1" si="54"/>
        <v>10.571737064432414</v>
      </c>
      <c r="W180">
        <f t="shared" ca="1" si="64"/>
        <v>10.684510568368204</v>
      </c>
      <c r="X180">
        <f t="shared" ca="1" si="63"/>
        <v>-8.5708337843987792E-2</v>
      </c>
      <c r="Y180">
        <f t="shared" ca="1" si="65"/>
        <v>-0.13826944507089242</v>
      </c>
      <c r="Z180">
        <f t="shared" ca="1" si="66"/>
        <v>5.256110722690463E-2</v>
      </c>
      <c r="AA180">
        <f t="shared" ca="1" si="67"/>
        <v>11.641664</v>
      </c>
      <c r="AB180" s="18">
        <f t="shared" ca="1" si="52"/>
        <v>9.2670122587990011E-3</v>
      </c>
      <c r="AC180" s="18">
        <f t="shared" ca="1" si="53"/>
        <v>9.2243369465221849E-3</v>
      </c>
      <c r="AD180" s="18">
        <f t="shared" ca="1" si="48"/>
        <v>-0.10361308867274976</v>
      </c>
    </row>
    <row r="181" spans="1:30" x14ac:dyDescent="0.25">
      <c r="A181" vm="488">
        <f ca="1"/>
        <v>45553</v>
      </c>
      <c r="B181" vm="457">
        <f ca="1"/>
        <v>10.8063</v>
      </c>
      <c r="C181" vm="489">
        <f ca="1"/>
        <v>55901684</v>
      </c>
      <c r="D181">
        <f t="shared" ca="1" si="45"/>
        <v>604090367.80920005</v>
      </c>
      <c r="E181">
        <f ca="1">SUM($D$2:D181)/SUM($C$2:C181)</f>
        <v>11.808834750161198</v>
      </c>
      <c r="F181">
        <f ca="1">_xlfn.STDEV.P($B$2:B181)</f>
        <v>0.96087417632041949</v>
      </c>
      <c r="G181">
        <f t="shared" ca="1" si="46"/>
        <v>12.769708926481618</v>
      </c>
      <c r="H181">
        <f t="shared" ca="1" si="47"/>
        <v>10.847960573840778</v>
      </c>
      <c r="I181">
        <f t="shared" ca="1" si="59"/>
        <v>10.69459</v>
      </c>
      <c r="J181">
        <f t="shared" ca="1" si="60"/>
        <v>0.250455332502519</v>
      </c>
      <c r="K181">
        <f t="shared" ca="1" si="61"/>
        <v>11.195500665005039</v>
      </c>
      <c r="L181">
        <f t="shared" ca="1" si="62"/>
        <v>10.193679334994961</v>
      </c>
      <c r="M181">
        <f t="shared" ca="1" si="49"/>
        <v>7.8699999999999548E-2</v>
      </c>
      <c r="N181">
        <f t="shared" ca="1" si="50"/>
        <v>7.8699999999999548E-2</v>
      </c>
      <c r="O181">
        <f t="shared" ca="1" si="51"/>
        <v>0</v>
      </c>
      <c r="P181">
        <f t="shared" ca="1" si="57"/>
        <v>7.8396476926999512E-2</v>
      </c>
      <c r="Q181">
        <f t="shared" ca="1" si="58"/>
        <v>7.0589761481152494E-2</v>
      </c>
      <c r="R181">
        <f t="shared" ca="1" si="55"/>
        <v>1.1105927443589878</v>
      </c>
      <c r="S181">
        <f t="shared" ca="1" si="56"/>
        <v>52.619945147034421</v>
      </c>
      <c r="T181">
        <f>70</f>
        <v>70</v>
      </c>
      <c r="U181">
        <f>30</f>
        <v>30</v>
      </c>
      <c r="V181">
        <f t="shared" ca="1" si="54"/>
        <v>10.607823669904349</v>
      </c>
      <c r="W181">
        <f t="shared" ca="1" si="64"/>
        <v>10.693532007748336</v>
      </c>
      <c r="X181">
        <f t="shared" ca="1" si="63"/>
        <v>-6.8241232355036985E-2</v>
      </c>
      <c r="Y181">
        <f t="shared" ca="1" si="65"/>
        <v>-0.12426380252772135</v>
      </c>
      <c r="Z181">
        <f t="shared" ca="1" si="66"/>
        <v>5.6022570172684361E-2</v>
      </c>
      <c r="AA181">
        <f t="shared" ca="1" si="67"/>
        <v>11.621390000000002</v>
      </c>
      <c r="AB181" s="18">
        <f t="shared" ca="1" si="52"/>
        <v>7.3362168611803558E-3</v>
      </c>
      <c r="AC181" s="18">
        <f t="shared" ca="1" si="53"/>
        <v>7.3094377142580514E-3</v>
      </c>
      <c r="AD181" s="18">
        <f t="shared" ca="1" si="48"/>
        <v>-9.7036999899729359E-2</v>
      </c>
    </row>
    <row r="182" spans="1:30" x14ac:dyDescent="0.25">
      <c r="A182" vm="490">
        <f ca="1"/>
        <v>45554</v>
      </c>
      <c r="B182" vm="439">
        <f ca="1"/>
        <v>10.747199999999999</v>
      </c>
      <c r="C182" vm="491">
        <f ca="1"/>
        <v>53279309</v>
      </c>
      <c r="D182">
        <f t="shared" ca="1" si="45"/>
        <v>572603389.68479991</v>
      </c>
      <c r="E182">
        <f ca="1">SUM($D$2:D182)/SUM($C$2:C182)</f>
        <v>11.803139202483408</v>
      </c>
      <c r="F182">
        <f ca="1">_xlfn.STDEV.P($B$2:B182)</f>
        <v>0.9616188576496626</v>
      </c>
      <c r="G182">
        <f t="shared" ca="1" si="46"/>
        <v>12.764758060133071</v>
      </c>
      <c r="H182">
        <f t="shared" ca="1" si="47"/>
        <v>10.841520344833745</v>
      </c>
      <c r="I182">
        <f t="shared" ca="1" si="59"/>
        <v>10.698029999999999</v>
      </c>
      <c r="J182">
        <f t="shared" ca="1" si="60"/>
        <v>0.25069362954558061</v>
      </c>
      <c r="K182">
        <f t="shared" ca="1" si="61"/>
        <v>11.19941725909116</v>
      </c>
      <c r="L182">
        <f t="shared" ca="1" si="62"/>
        <v>10.196642740908839</v>
      </c>
      <c r="M182">
        <f t="shared" ca="1" si="49"/>
        <v>-5.9100000000000819E-2</v>
      </c>
      <c r="N182">
        <f t="shared" ca="1" si="50"/>
        <v>0</v>
      </c>
      <c r="O182">
        <f t="shared" ca="1" si="51"/>
        <v>5.9100000000000819E-2</v>
      </c>
      <c r="P182">
        <f t="shared" ca="1" si="57"/>
        <v>7.2796728575070982E-2</v>
      </c>
      <c r="Q182">
        <f t="shared" ca="1" si="58"/>
        <v>6.9769064232498804E-2</v>
      </c>
      <c r="R182">
        <f t="shared" ca="1" si="55"/>
        <v>1.0433955131243093</v>
      </c>
      <c r="S182">
        <f t="shared" ca="1" si="56"/>
        <v>51.06184810638932</v>
      </c>
      <c r="T182">
        <f>70</f>
        <v>70</v>
      </c>
      <c r="U182">
        <f>30</f>
        <v>30</v>
      </c>
      <c r="V182">
        <f t="shared" ca="1" si="54"/>
        <v>10.629266182226756</v>
      </c>
      <c r="W182">
        <f t="shared" ca="1" si="64"/>
        <v>10.697507414581793</v>
      </c>
      <c r="X182">
        <f t="shared" ca="1" si="63"/>
        <v>-5.6913543070473693E-2</v>
      </c>
      <c r="Y182">
        <f t="shared" ca="1" si="65"/>
        <v>-0.11079375063627182</v>
      </c>
      <c r="Z182">
        <f t="shared" ca="1" si="66"/>
        <v>5.388020756579813E-2</v>
      </c>
      <c r="AA182">
        <f t="shared" ca="1" si="67"/>
        <v>11.602985000000004</v>
      </c>
      <c r="AB182" s="18">
        <f t="shared" ca="1" si="52"/>
        <v>-5.4690319535827259E-3</v>
      </c>
      <c r="AC182" s="18">
        <f t="shared" ca="1" si="53"/>
        <v>-5.4840418602917175E-3</v>
      </c>
      <c r="AD182" s="18">
        <f t="shared" ca="1" si="48"/>
        <v>-0.10197533340018061</v>
      </c>
    </row>
    <row r="183" spans="1:30" x14ac:dyDescent="0.25">
      <c r="A183" vm="492">
        <f ca="1"/>
        <v>45555</v>
      </c>
      <c r="B183" vm="493">
        <f ca="1"/>
        <v>10.7079</v>
      </c>
      <c r="C183" vm="494">
        <f ca="1"/>
        <v>69915206</v>
      </c>
      <c r="D183">
        <f t="shared" ca="1" si="45"/>
        <v>748645034.32740009</v>
      </c>
      <c r="E183">
        <f ca="1">SUM($D$2:D183)/SUM($C$2:C183)</f>
        <v>11.795482607443603</v>
      </c>
      <c r="F183">
        <f ca="1">_xlfn.STDEV.P($B$2:B183)</f>
        <v>0.96256403496998766</v>
      </c>
      <c r="G183">
        <f t="shared" ca="1" si="46"/>
        <v>12.758046642413591</v>
      </c>
      <c r="H183">
        <f t="shared" ca="1" si="47"/>
        <v>10.832918572473615</v>
      </c>
      <c r="I183">
        <f t="shared" ca="1" si="59"/>
        <v>10.696064999999997</v>
      </c>
      <c r="J183">
        <f t="shared" ca="1" si="60"/>
        <v>0.25044183330350589</v>
      </c>
      <c r="K183">
        <f t="shared" ca="1" si="61"/>
        <v>11.196948666607009</v>
      </c>
      <c r="L183">
        <f t="shared" ca="1" si="62"/>
        <v>10.195181333392986</v>
      </c>
      <c r="M183">
        <f t="shared" ca="1" si="49"/>
        <v>-3.9299999999999002E-2</v>
      </c>
      <c r="N183">
        <f t="shared" ca="1" si="50"/>
        <v>0</v>
      </c>
      <c r="O183">
        <f t="shared" ca="1" si="51"/>
        <v>3.9299999999999002E-2</v>
      </c>
      <c r="P183">
        <f t="shared" ca="1" si="57"/>
        <v>6.7596962248280199E-2</v>
      </c>
      <c r="Q183">
        <f t="shared" ca="1" si="58"/>
        <v>6.7592702501605956E-2</v>
      </c>
      <c r="R183">
        <f t="shared" ca="1" si="55"/>
        <v>1.0000630208072261</v>
      </c>
      <c r="S183">
        <f t="shared" ca="1" si="56"/>
        <v>50.001575470536942</v>
      </c>
      <c r="T183">
        <f>70</f>
        <v>70</v>
      </c>
      <c r="U183">
        <f>30</f>
        <v>30</v>
      </c>
      <c r="V183">
        <f t="shared" ca="1" si="54"/>
        <v>10.641363692653409</v>
      </c>
      <c r="W183">
        <f t="shared" ca="1" si="64"/>
        <v>10.698277235723882</v>
      </c>
      <c r="X183">
        <f t="shared" ca="1" si="63"/>
        <v>-4.5036709094585348E-2</v>
      </c>
      <c r="Y183">
        <f t="shared" ca="1" si="65"/>
        <v>-9.7642342327934534E-2</v>
      </c>
      <c r="Z183">
        <f t="shared" ca="1" si="66"/>
        <v>5.2605633233349186E-2</v>
      </c>
      <c r="AA183">
        <f t="shared" ca="1" si="67"/>
        <v>11.584581000000005</v>
      </c>
      <c r="AB183" s="18">
        <f t="shared" ca="1" si="52"/>
        <v>-3.6567664135773725E-3</v>
      </c>
      <c r="AC183" s="18">
        <f t="shared" ca="1" si="53"/>
        <v>-3.663468728066905E-3</v>
      </c>
      <c r="AD183" s="18">
        <f t="shared" ca="1" si="48"/>
        <v>-0.10525919983956689</v>
      </c>
    </row>
    <row r="184" spans="1:30" x14ac:dyDescent="0.25">
      <c r="A184" vm="495">
        <f ca="1"/>
        <v>45558</v>
      </c>
      <c r="B184" vm="496">
        <f ca="1"/>
        <v>10.737399999999999</v>
      </c>
      <c r="C184" vm="497">
        <f ca="1"/>
        <v>41071014</v>
      </c>
      <c r="D184">
        <f t="shared" ca="1" si="45"/>
        <v>440995905.72359997</v>
      </c>
      <c r="E184">
        <f ca="1">SUM($D$2:D184)/SUM($C$2:C184)</f>
        <v>11.791155175945388</v>
      </c>
      <c r="F184">
        <f ca="1">_xlfn.STDEV.P($B$2:B184)</f>
        <v>0.96327553522040532</v>
      </c>
      <c r="G184">
        <f t="shared" ca="1" si="46"/>
        <v>12.754430711165794</v>
      </c>
      <c r="H184">
        <f t="shared" ca="1" si="47"/>
        <v>10.827879640724982</v>
      </c>
      <c r="I184">
        <f t="shared" ca="1" si="59"/>
        <v>10.678349999999998</v>
      </c>
      <c r="J184">
        <f t="shared" ca="1" si="60"/>
        <v>0.23290004971638528</v>
      </c>
      <c r="K184">
        <f t="shared" ca="1" si="61"/>
        <v>11.144150099432769</v>
      </c>
      <c r="L184">
        <f t="shared" ca="1" si="62"/>
        <v>10.212549900567227</v>
      </c>
      <c r="M184">
        <f t="shared" ca="1" si="49"/>
        <v>2.9499999999998749E-2</v>
      </c>
      <c r="N184">
        <f t="shared" ca="1" si="50"/>
        <v>2.9499999999998749E-2</v>
      </c>
      <c r="O184">
        <f t="shared" ca="1" si="51"/>
        <v>0</v>
      </c>
      <c r="P184">
        <f t="shared" ca="1" si="57"/>
        <v>6.4875750659117243E-2</v>
      </c>
      <c r="Q184">
        <f t="shared" ca="1" si="58"/>
        <v>6.276465232291982E-2</v>
      </c>
      <c r="R184">
        <f t="shared" ca="1" si="55"/>
        <v>1.0336351474606433</v>
      </c>
      <c r="S184">
        <f t="shared" ca="1" si="56"/>
        <v>50.826971040076749</v>
      </c>
      <c r="T184">
        <f>70</f>
        <v>70</v>
      </c>
      <c r="U184">
        <f>30</f>
        <v>30</v>
      </c>
      <c r="V184">
        <f t="shared" ca="1" si="54"/>
        <v>10.656138509168269</v>
      </c>
      <c r="W184">
        <f t="shared" ca="1" si="64"/>
        <v>10.701175218262854</v>
      </c>
      <c r="X184">
        <f t="shared" ca="1" si="63"/>
        <v>-3.8361278383051811E-2</v>
      </c>
      <c r="Y184">
        <f t="shared" ca="1" si="65"/>
        <v>-8.5786129538958006E-2</v>
      </c>
      <c r="Z184">
        <f t="shared" ca="1" si="66"/>
        <v>4.7424851155906195E-2</v>
      </c>
      <c r="AA184">
        <f t="shared" ca="1" si="67"/>
        <v>11.572377000000003</v>
      </c>
      <c r="AB184" s="18">
        <f t="shared" ca="1" si="52"/>
        <v>2.7549752986111287E-3</v>
      </c>
      <c r="AC184" s="18">
        <f t="shared" ca="1" si="53"/>
        <v>2.7511873097786905E-3</v>
      </c>
      <c r="AD184" s="18">
        <f t="shared" ca="1" si="48"/>
        <v>-0.10279421103646535</v>
      </c>
    </row>
    <row r="185" spans="1:30" x14ac:dyDescent="0.25">
      <c r="A185" vm="498">
        <f ca="1"/>
        <v>45559</v>
      </c>
      <c r="B185" vm="499">
        <f ca="1"/>
        <v>10.698</v>
      </c>
      <c r="C185" vm="500">
        <f ca="1"/>
        <v>38353024</v>
      </c>
      <c r="D185">
        <f t="shared" ca="1" si="45"/>
        <v>410300650.75200003</v>
      </c>
      <c r="E185">
        <f ca="1">SUM($D$2:D185)/SUM($C$2:C185)</f>
        <v>11.786996059101662</v>
      </c>
      <c r="F185">
        <f ca="1">_xlfn.STDEV.P($B$2:B185)</f>
        <v>0.96418609574146652</v>
      </c>
      <c r="G185">
        <f t="shared" ca="1" si="46"/>
        <v>12.751182154843129</v>
      </c>
      <c r="H185">
        <f t="shared" ca="1" si="47"/>
        <v>10.822809963360196</v>
      </c>
      <c r="I185">
        <f t="shared" ca="1" si="59"/>
        <v>10.666539999999999</v>
      </c>
      <c r="J185">
        <f t="shared" ca="1" si="60"/>
        <v>0.22510156865407735</v>
      </c>
      <c r="K185">
        <f t="shared" ca="1" si="61"/>
        <v>11.116743137308154</v>
      </c>
      <c r="L185">
        <f t="shared" ca="1" si="62"/>
        <v>10.216336862691845</v>
      </c>
      <c r="M185">
        <f t="shared" ca="1" si="49"/>
        <v>-3.9399999999998769E-2</v>
      </c>
      <c r="N185">
        <f t="shared" ca="1" si="50"/>
        <v>0</v>
      </c>
      <c r="O185">
        <f t="shared" ca="1" si="51"/>
        <v>3.9399999999998769E-2</v>
      </c>
      <c r="P185">
        <f t="shared" ca="1" si="57"/>
        <v>6.0241768469180293E-2</v>
      </c>
      <c r="Q185">
        <f t="shared" ca="1" si="58"/>
        <v>6.1095748585568314E-2</v>
      </c>
      <c r="R185">
        <f t="shared" ca="1" si="55"/>
        <v>0.98602226609611021</v>
      </c>
      <c r="S185">
        <f t="shared" ca="1" si="56"/>
        <v>49.648097250909338</v>
      </c>
      <c r="T185">
        <f>70</f>
        <v>70</v>
      </c>
      <c r="U185">
        <f>30</f>
        <v>30</v>
      </c>
      <c r="V185">
        <f t="shared" ca="1" si="54"/>
        <v>10.662578738526998</v>
      </c>
      <c r="W185">
        <f t="shared" ca="1" si="64"/>
        <v>10.700940016910049</v>
      </c>
      <c r="X185">
        <f t="shared" ca="1" si="63"/>
        <v>-6.8017151433753753E-2</v>
      </c>
      <c r="Y185">
        <f t="shared" ca="1" si="65"/>
        <v>-8.223233391791715E-2</v>
      </c>
      <c r="Z185">
        <f t="shared" ca="1" si="66"/>
        <v>1.4215182484163397E-2</v>
      </c>
      <c r="AA185">
        <f t="shared" ca="1" si="67"/>
        <v>11.559287000000005</v>
      </c>
      <c r="AB185" s="18">
        <f t="shared" ca="1" si="52"/>
        <v>-3.6694171773425932E-3</v>
      </c>
      <c r="AC185" s="18">
        <f t="shared" ca="1" si="53"/>
        <v>-3.6761660031163542E-3</v>
      </c>
      <c r="AD185" s="18">
        <f t="shared" ca="1" si="48"/>
        <v>-0.10608643337009938</v>
      </c>
    </row>
    <row r="186" spans="1:30" x14ac:dyDescent="0.25">
      <c r="A186" vm="501">
        <f ca="1"/>
        <v>45560</v>
      </c>
      <c r="B186" vm="502">
        <f ca="1"/>
        <v>10.2552</v>
      </c>
      <c r="C186" vm="503">
        <f ca="1"/>
        <v>75300877</v>
      </c>
      <c r="D186">
        <f t="shared" ca="1" si="45"/>
        <v>772225553.81040001</v>
      </c>
      <c r="E186">
        <f ca="1">SUM($D$2:D186)/SUM($C$2:C186)</f>
        <v>11.775638407053775</v>
      </c>
      <c r="F186">
        <f ca="1">_xlfn.STDEV.P($B$2:B186)</f>
        <v>0.96834000240016749</v>
      </c>
      <c r="G186">
        <f t="shared" ca="1" si="46"/>
        <v>12.743978409453941</v>
      </c>
      <c r="H186">
        <f t="shared" ca="1" si="47"/>
        <v>10.807298404653608</v>
      </c>
      <c r="I186">
        <f t="shared" ca="1" si="59"/>
        <v>10.63111</v>
      </c>
      <c r="J186">
        <f t="shared" ca="1" si="60"/>
        <v>0.23152526268888635</v>
      </c>
      <c r="K186">
        <f t="shared" ca="1" si="61"/>
        <v>11.094160525377772</v>
      </c>
      <c r="L186">
        <f t="shared" ca="1" si="62"/>
        <v>10.168059474622227</v>
      </c>
      <c r="M186">
        <f t="shared" ca="1" si="49"/>
        <v>-0.44280000000000008</v>
      </c>
      <c r="N186">
        <f t="shared" ca="1" si="50"/>
        <v>0</v>
      </c>
      <c r="O186">
        <f t="shared" ca="1" si="51"/>
        <v>0.44280000000000008</v>
      </c>
      <c r="P186">
        <f t="shared" ca="1" si="57"/>
        <v>5.5938785007095988E-2</v>
      </c>
      <c r="Q186">
        <f t="shared" ca="1" si="58"/>
        <v>8.8360337972313435E-2</v>
      </c>
      <c r="R186">
        <f t="shared" ca="1" si="55"/>
        <v>0.63307572481924734</v>
      </c>
      <c r="S186">
        <f t="shared" ca="1" si="56"/>
        <v>38.765852385033625</v>
      </c>
      <c r="T186">
        <f>70</f>
        <v>70</v>
      </c>
      <c r="U186">
        <f>30</f>
        <v>30</v>
      </c>
      <c r="V186">
        <f t="shared" ca="1" si="54"/>
        <v>10.59990508644592</v>
      </c>
      <c r="W186">
        <f t="shared" ca="1" si="64"/>
        <v>10.667922237879674</v>
      </c>
      <c r="X186">
        <f t="shared" ca="1" si="63"/>
        <v>-7.0070987568252363E-2</v>
      </c>
      <c r="Y186">
        <f t="shared" ca="1" si="65"/>
        <v>-7.9800064647984198E-2</v>
      </c>
      <c r="Z186">
        <f t="shared" ca="1" si="66"/>
        <v>9.7290770797318349E-3</v>
      </c>
      <c r="AA186">
        <f t="shared" ca="1" si="67"/>
        <v>11.538915000000005</v>
      </c>
      <c r="AB186" s="18">
        <f t="shared" ca="1" si="52"/>
        <v>-4.1390914189568195E-2</v>
      </c>
      <c r="AC186" s="18">
        <f t="shared" ca="1" si="53"/>
        <v>-4.2271914093270579E-2</v>
      </c>
      <c r="AD186" s="18">
        <f t="shared" ca="1" si="48"/>
        <v>-0.14308633309936847</v>
      </c>
    </row>
    <row r="187" spans="1:30" x14ac:dyDescent="0.25">
      <c r="A187" vm="504">
        <f ca="1"/>
        <v>45561</v>
      </c>
      <c r="B187" vm="433">
        <f ca="1"/>
        <v>10.510999999999999</v>
      </c>
      <c r="C187" vm="505">
        <f ca="1"/>
        <v>52234838</v>
      </c>
      <c r="D187">
        <f t="shared" ca="1" si="45"/>
        <v>549040382.21799994</v>
      </c>
      <c r="E187">
        <f ca="1">SUM($D$2:D187)/SUM($C$2:C187)</f>
        <v>11.769167186764873</v>
      </c>
      <c r="F187">
        <f ca="1">_xlfn.STDEV.P($B$2:B187)</f>
        <v>0.97035775813465441</v>
      </c>
      <c r="G187">
        <f t="shared" ca="1" si="46"/>
        <v>12.739524944899527</v>
      </c>
      <c r="H187">
        <f t="shared" ca="1" si="47"/>
        <v>10.79880942863022</v>
      </c>
      <c r="I187">
        <f t="shared" ca="1" si="59"/>
        <v>10.613395000000001</v>
      </c>
      <c r="J187">
        <f t="shared" ca="1" si="60"/>
        <v>0.2261555158339173</v>
      </c>
      <c r="K187">
        <f t="shared" ca="1" si="61"/>
        <v>11.065706031667835</v>
      </c>
      <c r="L187">
        <f t="shared" ca="1" si="62"/>
        <v>10.161083968332166</v>
      </c>
      <c r="M187">
        <f t="shared" ca="1" si="49"/>
        <v>0.25579999999999892</v>
      </c>
      <c r="N187">
        <f t="shared" ca="1" si="50"/>
        <v>0.25579999999999892</v>
      </c>
      <c r="O187">
        <f t="shared" ca="1" si="51"/>
        <v>0</v>
      </c>
      <c r="P187">
        <f t="shared" ca="1" si="57"/>
        <v>7.021458607801763E-2</v>
      </c>
      <c r="Q187">
        <f t="shared" ca="1" si="58"/>
        <v>8.2048885260005325E-2</v>
      </c>
      <c r="R187">
        <f t="shared" ca="1" si="55"/>
        <v>0.85576526549402965</v>
      </c>
      <c r="S187">
        <f t="shared" ca="1" si="56"/>
        <v>46.113874497279888</v>
      </c>
      <c r="T187">
        <f>70</f>
        <v>70</v>
      </c>
      <c r="U187">
        <f>30</f>
        <v>30</v>
      </c>
      <c r="V187">
        <f t="shared" ca="1" si="54"/>
        <v>10.586227380838855</v>
      </c>
      <c r="W187">
        <f t="shared" ca="1" si="64"/>
        <v>10.656298368407107</v>
      </c>
      <c r="X187">
        <f t="shared" ca="1" si="63"/>
        <v>-6.3024038812450556E-2</v>
      </c>
      <c r="Y187">
        <f t="shared" ca="1" si="65"/>
        <v>-7.6444859480877467E-2</v>
      </c>
      <c r="Z187">
        <f t="shared" ca="1" si="66"/>
        <v>1.3420820668426911E-2</v>
      </c>
      <c r="AA187">
        <f t="shared" ca="1" si="67"/>
        <v>11.521691000000002</v>
      </c>
      <c r="AB187" s="18">
        <f t="shared" ca="1" si="52"/>
        <v>2.4943443326312487E-2</v>
      </c>
      <c r="AC187" s="18">
        <f t="shared" ca="1" si="53"/>
        <v>2.4637433825429485E-2</v>
      </c>
      <c r="AD187" s="18">
        <f t="shared" ca="1" si="48"/>
        <v>-0.12171195561348991</v>
      </c>
    </row>
    <row r="188" spans="1:30" x14ac:dyDescent="0.25">
      <c r="A188" vm="506">
        <f ca="1"/>
        <v>45562</v>
      </c>
      <c r="B188" vm="507">
        <f ca="1"/>
        <v>10.609500000000001</v>
      </c>
      <c r="C188" vm="508">
        <f ca="1"/>
        <v>46200502</v>
      </c>
      <c r="D188">
        <f t="shared" ca="1" si="45"/>
        <v>490164225.96900004</v>
      </c>
      <c r="E188">
        <f ca="1">SUM($D$2:D188)/SUM($C$2:C188)</f>
        <v>11.763942280743564</v>
      </c>
      <c r="F188">
        <f ca="1">_xlfn.STDEV.P($B$2:B188)</f>
        <v>0.97163365854419037</v>
      </c>
      <c r="G188">
        <f t="shared" ca="1" si="46"/>
        <v>12.735575939287754</v>
      </c>
      <c r="H188">
        <f t="shared" ca="1" si="47"/>
        <v>10.792308622199373</v>
      </c>
      <c r="I188">
        <f t="shared" ca="1" si="59"/>
        <v>10.597159999999999</v>
      </c>
      <c r="J188">
        <f t="shared" ca="1" si="60"/>
        <v>0.21319719658470862</v>
      </c>
      <c r="K188">
        <f t="shared" ca="1" si="61"/>
        <v>11.023554393169416</v>
      </c>
      <c r="L188">
        <f t="shared" ca="1" si="62"/>
        <v>10.170765606830582</v>
      </c>
      <c r="M188">
        <f t="shared" ca="1" si="49"/>
        <v>9.8500000000001364E-2</v>
      </c>
      <c r="N188">
        <f t="shared" ca="1" si="50"/>
        <v>9.8500000000001364E-2</v>
      </c>
      <c r="O188">
        <f t="shared" ca="1" si="51"/>
        <v>0</v>
      </c>
      <c r="P188">
        <f t="shared" ca="1" si="57"/>
        <v>7.2234972786730758E-2</v>
      </c>
      <c r="Q188">
        <f t="shared" ca="1" si="58"/>
        <v>7.6188250598576368E-2</v>
      </c>
      <c r="R188">
        <f t="shared" ca="1" si="55"/>
        <v>0.94811171301629182</v>
      </c>
      <c r="S188">
        <f t="shared" ca="1" si="56"/>
        <v>48.66824149156804</v>
      </c>
      <c r="T188">
        <f>70</f>
        <v>70</v>
      </c>
      <c r="U188">
        <f>30</f>
        <v>30</v>
      </c>
      <c r="V188">
        <f t="shared" ca="1" si="54"/>
        <v>10.589807783786723</v>
      </c>
      <c r="W188">
        <f t="shared" ca="1" si="64"/>
        <v>10.652831822599174</v>
      </c>
      <c r="X188">
        <f t="shared" ca="1" si="63"/>
        <v>-7.4063334928986535E-2</v>
      </c>
      <c r="Y188">
        <f t="shared" ca="1" si="65"/>
        <v>-7.596855457049928E-2</v>
      </c>
      <c r="Z188">
        <f t="shared" ca="1" si="66"/>
        <v>1.9052196415127454E-3</v>
      </c>
      <c r="AA188">
        <f t="shared" ca="1" si="67"/>
        <v>11.504763000000004</v>
      </c>
      <c r="AB188" s="18">
        <f t="shared" ca="1" si="52"/>
        <v>9.3711350014271666E-3</v>
      </c>
      <c r="AC188" s="18">
        <f t="shared" ca="1" si="53"/>
        <v>9.3274983208000133E-3</v>
      </c>
      <c r="AD188" s="18">
        <f t="shared" ca="1" si="48"/>
        <v>-0.11348139977940441</v>
      </c>
    </row>
    <row r="189" spans="1:30" x14ac:dyDescent="0.25">
      <c r="A189" vm="509">
        <f ca="1"/>
        <v>45565</v>
      </c>
      <c r="B189" vm="510">
        <f ca="1"/>
        <v>10.392899999999999</v>
      </c>
      <c r="C189" vm="511">
        <f ca="1"/>
        <v>60669503</v>
      </c>
      <c r="D189">
        <f t="shared" ca="1" si="45"/>
        <v>630532077.72869992</v>
      </c>
      <c r="E189">
        <f ca="1">SUM($D$2:D189)/SUM($C$2:C189)</f>
        <v>11.75587814648136</v>
      </c>
      <c r="F189">
        <f ca="1">_xlfn.STDEV.P($B$2:B189)</f>
        <v>0.9743723896400428</v>
      </c>
      <c r="G189">
        <f t="shared" ca="1" si="46"/>
        <v>12.730250536121403</v>
      </c>
      <c r="H189">
        <f t="shared" ca="1" si="47"/>
        <v>10.781505756841316</v>
      </c>
      <c r="I189">
        <f t="shared" ca="1" si="59"/>
        <v>10.566154999999998</v>
      </c>
      <c r="J189">
        <f t="shared" ca="1" si="60"/>
        <v>0.19374167411652468</v>
      </c>
      <c r="K189">
        <f t="shared" ca="1" si="61"/>
        <v>10.953638348233047</v>
      </c>
      <c r="L189">
        <f t="shared" ca="1" si="62"/>
        <v>10.178671651766949</v>
      </c>
      <c r="M189">
        <f t="shared" ca="1" si="49"/>
        <v>-0.21660000000000146</v>
      </c>
      <c r="N189">
        <f t="shared" ca="1" si="50"/>
        <v>0</v>
      </c>
      <c r="O189">
        <f t="shared" ca="1" si="51"/>
        <v>0.21660000000000146</v>
      </c>
      <c r="P189">
        <f t="shared" ca="1" si="57"/>
        <v>6.7075331873392846E-2</v>
      </c>
      <c r="Q189">
        <f t="shared" ca="1" si="58"/>
        <v>8.621766127010673E-2</v>
      </c>
      <c r="R189">
        <f t="shared" ca="1" si="55"/>
        <v>0.77797670320998502</v>
      </c>
      <c r="S189">
        <f t="shared" ca="1" si="56"/>
        <v>43.756293420797618</v>
      </c>
      <c r="T189">
        <f>70</f>
        <v>70</v>
      </c>
      <c r="U189">
        <f>30</f>
        <v>30</v>
      </c>
      <c r="V189">
        <f t="shared" ca="1" si="54"/>
        <v>10.559514278588766</v>
      </c>
      <c r="W189">
        <f t="shared" ca="1" si="64"/>
        <v>10.633577613517753</v>
      </c>
      <c r="X189">
        <f t="shared" ca="1" si="63"/>
        <v>-6.6950950576655899E-2</v>
      </c>
      <c r="Y189">
        <f t="shared" ca="1" si="65"/>
        <v>-7.4165033771730615E-2</v>
      </c>
      <c r="Z189">
        <f t="shared" ca="1" si="66"/>
        <v>7.2140831950747164E-3</v>
      </c>
      <c r="AA189">
        <f t="shared" ca="1" si="67"/>
        <v>11.488917000000006</v>
      </c>
      <c r="AB189" s="18">
        <f t="shared" ca="1" si="52"/>
        <v>-2.041566520571203E-2</v>
      </c>
      <c r="AC189" s="18">
        <f t="shared" ca="1" si="53"/>
        <v>-2.0626945462891112E-2</v>
      </c>
      <c r="AD189" s="18">
        <f t="shared" ca="1" si="48"/>
        <v>-0.13158026672014456</v>
      </c>
    </row>
    <row r="190" spans="1:30" x14ac:dyDescent="0.25">
      <c r="A190" vm="512">
        <f ca="1"/>
        <v>45566</v>
      </c>
      <c r="B190" vm="513">
        <f ca="1"/>
        <v>10.5799</v>
      </c>
      <c r="C190" vm="514">
        <f ca="1"/>
        <v>64991124</v>
      </c>
      <c r="D190">
        <f t="shared" ca="1" si="45"/>
        <v>687599592.80760002</v>
      </c>
      <c r="E190">
        <f ca="1">SUM($D$2:D190)/SUM($C$2:C190)</f>
        <v>11.748515024786661</v>
      </c>
      <c r="F190">
        <f ca="1">_xlfn.STDEV.P($B$2:B190)</f>
        <v>0.97571064536961183</v>
      </c>
      <c r="G190">
        <f t="shared" ca="1" si="46"/>
        <v>12.724225670156272</v>
      </c>
      <c r="H190">
        <f t="shared" ca="1" si="47"/>
        <v>10.77280437941705</v>
      </c>
      <c r="I190">
        <f t="shared" ca="1" si="59"/>
        <v>10.554835000000001</v>
      </c>
      <c r="J190">
        <f t="shared" ca="1" si="60"/>
        <v>0.18540671445003781</v>
      </c>
      <c r="K190">
        <f t="shared" ca="1" si="61"/>
        <v>10.925648428900077</v>
      </c>
      <c r="L190">
        <f t="shared" ca="1" si="62"/>
        <v>10.184021571099924</v>
      </c>
      <c r="M190">
        <f t="shared" ca="1" si="49"/>
        <v>0.18700000000000117</v>
      </c>
      <c r="N190">
        <f t="shared" ca="1" si="50"/>
        <v>0.18700000000000117</v>
      </c>
      <c r="O190">
        <f t="shared" ca="1" si="51"/>
        <v>0</v>
      </c>
      <c r="P190">
        <f t="shared" ca="1" si="57"/>
        <v>7.5641379596722014E-2</v>
      </c>
      <c r="Q190">
        <f t="shared" ca="1" si="58"/>
        <v>8.0059256893670536E-2</v>
      </c>
      <c r="R190">
        <f t="shared" ca="1" si="55"/>
        <v>0.94481740815036475</v>
      </c>
      <c r="S190">
        <f t="shared" ca="1" si="56"/>
        <v>48.581291189127178</v>
      </c>
      <c r="T190">
        <f>70</f>
        <v>70</v>
      </c>
      <c r="U190">
        <f>30</f>
        <v>30</v>
      </c>
      <c r="V190">
        <f t="shared" ca="1" si="54"/>
        <v>10.562650543421263</v>
      </c>
      <c r="W190">
        <f t="shared" ca="1" si="64"/>
        <v>10.629601493997919</v>
      </c>
      <c r="X190">
        <f t="shared" ca="1" si="63"/>
        <v>-8.1811037473528359E-2</v>
      </c>
      <c r="Y190">
        <f t="shared" ca="1" si="65"/>
        <v>-7.5694234512090161E-2</v>
      </c>
      <c r="Z190">
        <f t="shared" ca="1" si="66"/>
        <v>-6.1168029614381975E-3</v>
      </c>
      <c r="AA190">
        <f t="shared" ca="1" si="67"/>
        <v>11.475138000000005</v>
      </c>
      <c r="AB190" s="18">
        <f t="shared" ca="1" si="52"/>
        <v>1.7993052949609956E-2</v>
      </c>
      <c r="AC190" s="18">
        <f t="shared" ca="1" si="53"/>
        <v>1.7833093890517411E-2</v>
      </c>
      <c r="AD190" s="18">
        <f t="shared" ca="1" si="48"/>
        <v>-0.11595474447675391</v>
      </c>
    </row>
    <row r="191" spans="1:30" x14ac:dyDescent="0.25">
      <c r="A191" vm="515">
        <f ca="1"/>
        <v>45567</v>
      </c>
      <c r="B191" vm="516">
        <f ca="1"/>
        <v>10.3142</v>
      </c>
      <c r="C191" vm="517">
        <f ca="1"/>
        <v>52284590</v>
      </c>
      <c r="D191">
        <f t="shared" ca="1" si="45"/>
        <v>539273718.17799997</v>
      </c>
      <c r="E191">
        <f ca="1">SUM($D$2:D191)/SUM($C$2:C191)</f>
        <v>11.741326416304563</v>
      </c>
      <c r="F191">
        <f ca="1">_xlfn.STDEV.P($B$2:B191)</f>
        <v>0.97888504560600997</v>
      </c>
      <c r="G191">
        <f t="shared" ca="1" si="46"/>
        <v>12.720211461910573</v>
      </c>
      <c r="H191">
        <f t="shared" ca="1" si="47"/>
        <v>10.762441370698554</v>
      </c>
      <c r="I191">
        <f t="shared" ca="1" si="59"/>
        <v>10.531704999999999</v>
      </c>
      <c r="J191">
        <f t="shared" ca="1" si="60"/>
        <v>0.1851136421228862</v>
      </c>
      <c r="K191">
        <f t="shared" ca="1" si="61"/>
        <v>10.90193228424577</v>
      </c>
      <c r="L191">
        <f t="shared" ca="1" si="62"/>
        <v>10.161477715754227</v>
      </c>
      <c r="M191">
        <f t="shared" ca="1" si="49"/>
        <v>-0.26570000000000071</v>
      </c>
      <c r="N191">
        <f t="shared" ca="1" si="50"/>
        <v>0</v>
      </c>
      <c r="O191">
        <f t="shared" ca="1" si="51"/>
        <v>0.26570000000000071</v>
      </c>
      <c r="P191">
        <f t="shared" ca="1" si="57"/>
        <v>7.0238423911241868E-2</v>
      </c>
      <c r="Q191">
        <f t="shared" ca="1" si="58"/>
        <v>9.3319309972694123E-2</v>
      </c>
      <c r="R191">
        <f t="shared" ca="1" si="55"/>
        <v>0.7526676304378388</v>
      </c>
      <c r="S191">
        <f t="shared" ca="1" si="56"/>
        <v>42.944116577871227</v>
      </c>
      <c r="T191">
        <f>70</f>
        <v>70</v>
      </c>
      <c r="U191">
        <f>30</f>
        <v>30</v>
      </c>
      <c r="V191">
        <f t="shared" ca="1" si="54"/>
        <v>10.524427382894915</v>
      </c>
      <c r="W191">
        <f t="shared" ca="1" si="64"/>
        <v>10.606238420368443</v>
      </c>
      <c r="X191">
        <f t="shared" ca="1" si="63"/>
        <v>-9.4874512535481514E-2</v>
      </c>
      <c r="Y191">
        <f t="shared" ca="1" si="65"/>
        <v>-7.9530290116768432E-2</v>
      </c>
      <c r="Z191">
        <f t="shared" ca="1" si="66"/>
        <v>-1.5344222418713083E-2</v>
      </c>
      <c r="AA191">
        <f t="shared" ca="1" si="67"/>
        <v>11.458899000000006</v>
      </c>
      <c r="AB191" s="18">
        <f t="shared" ca="1" si="52"/>
        <v>-2.5113658919271531E-2</v>
      </c>
      <c r="AC191" s="18">
        <f t="shared" ca="1" si="53"/>
        <v>-2.5434388030014247E-2</v>
      </c>
      <c r="AD191" s="18">
        <f t="shared" ca="1" si="48"/>
        <v>-0.13815635549316496</v>
      </c>
    </row>
    <row r="192" spans="1:30" x14ac:dyDescent="0.25">
      <c r="A192" vm="518">
        <f ca="1"/>
        <v>45568</v>
      </c>
      <c r="B192" vm="475">
        <f ca="1"/>
        <v>10.284700000000001</v>
      </c>
      <c r="C192" vm="519">
        <f ca="1"/>
        <v>45172948</v>
      </c>
      <c r="D192">
        <f t="shared" ca="1" si="45"/>
        <v>464590218.29560006</v>
      </c>
      <c r="E192">
        <f ca="1">SUM($D$2:D192)/SUM($C$2:C192)</f>
        <v>11.735046169914842</v>
      </c>
      <c r="F192">
        <f ca="1">_xlfn.STDEV.P($B$2:B192)</f>
        <v>0.98218670269797304</v>
      </c>
      <c r="G192">
        <f t="shared" ca="1" si="46"/>
        <v>12.717232872612815</v>
      </c>
      <c r="H192">
        <f t="shared" ca="1" si="47"/>
        <v>10.752859467216869</v>
      </c>
      <c r="I192">
        <f t="shared" ca="1" si="59"/>
        <v>10.515959999999998</v>
      </c>
      <c r="J192">
        <f t="shared" ca="1" si="60"/>
        <v>0.19228785822576674</v>
      </c>
      <c r="K192">
        <f t="shared" ca="1" si="61"/>
        <v>10.900535716451531</v>
      </c>
      <c r="L192">
        <f t="shared" ca="1" si="62"/>
        <v>10.131384283548465</v>
      </c>
      <c r="M192">
        <f t="shared" ca="1" si="49"/>
        <v>-2.9499999999998749E-2</v>
      </c>
      <c r="N192">
        <f t="shared" ca="1" si="50"/>
        <v>0</v>
      </c>
      <c r="O192">
        <f t="shared" ca="1" si="51"/>
        <v>2.9499999999998749E-2</v>
      </c>
      <c r="P192">
        <f t="shared" ca="1" si="57"/>
        <v>6.522139363186745E-2</v>
      </c>
      <c r="Q192">
        <f t="shared" ca="1" si="58"/>
        <v>8.8760787831787313E-2</v>
      </c>
      <c r="R192">
        <f t="shared" ca="1" si="55"/>
        <v>0.73479962520691089</v>
      </c>
      <c r="S192">
        <f t="shared" ca="1" si="56"/>
        <v>42.35645515079419</v>
      </c>
      <c r="T192">
        <f>70</f>
        <v>70</v>
      </c>
      <c r="U192">
        <f>30</f>
        <v>30</v>
      </c>
      <c r="V192">
        <f t="shared" ca="1" si="54"/>
        <v>10.487546247064929</v>
      </c>
      <c r="W192">
        <f t="shared" ca="1" si="64"/>
        <v>10.58242075960041</v>
      </c>
      <c r="X192">
        <f t="shared" ca="1" si="63"/>
        <v>-9.4607155247436125E-2</v>
      </c>
      <c r="Y192">
        <f t="shared" ca="1" si="65"/>
        <v>-8.2545663142901973E-2</v>
      </c>
      <c r="Z192">
        <f t="shared" ca="1" si="66"/>
        <v>-1.2061492104534152E-2</v>
      </c>
      <c r="AA192">
        <f t="shared" ca="1" si="67"/>
        <v>11.443743000000005</v>
      </c>
      <c r="AB192" s="18">
        <f t="shared" ca="1" si="52"/>
        <v>-2.8601345717552684E-3</v>
      </c>
      <c r="AC192" s="18">
        <f t="shared" ca="1" si="53"/>
        <v>-2.8642325723936546E-3</v>
      </c>
      <c r="AD192" s="18">
        <f t="shared" ca="1" si="48"/>
        <v>-0.14062134429626649</v>
      </c>
    </row>
    <row r="193" spans="1:30" x14ac:dyDescent="0.25">
      <c r="A193" vm="520">
        <f ca="1"/>
        <v>45569</v>
      </c>
      <c r="B193" vm="521">
        <f ca="1"/>
        <v>10.402799999999999</v>
      </c>
      <c r="C193" vm="522">
        <f ca="1"/>
        <v>46706702</v>
      </c>
      <c r="D193">
        <f t="shared" ca="1" si="45"/>
        <v>485880479.56559998</v>
      </c>
      <c r="E193">
        <f ca="1">SUM($D$2:D193)/SUM($C$2:C193)</f>
        <v>11.729133522036593</v>
      </c>
      <c r="F193">
        <f ca="1">_xlfn.STDEV.P($B$2:B193)</f>
        <v>0.98450135177131159</v>
      </c>
      <c r="G193">
        <f t="shared" ca="1" si="46"/>
        <v>12.713634873807905</v>
      </c>
      <c r="H193">
        <f t="shared" ca="1" si="47"/>
        <v>10.74463217026528</v>
      </c>
      <c r="I193">
        <f t="shared" ca="1" si="59"/>
        <v>10.515469999999999</v>
      </c>
      <c r="J193">
        <f t="shared" ca="1" si="60"/>
        <v>0.19257737774996464</v>
      </c>
      <c r="K193">
        <f t="shared" ca="1" si="61"/>
        <v>10.900624755499928</v>
      </c>
      <c r="L193">
        <f t="shared" ca="1" si="62"/>
        <v>10.130315244500069</v>
      </c>
      <c r="M193">
        <f t="shared" ca="1" si="49"/>
        <v>0.11809999999999832</v>
      </c>
      <c r="N193">
        <f t="shared" ca="1" si="50"/>
        <v>0.11809999999999832</v>
      </c>
      <c r="O193">
        <f t="shared" ca="1" si="51"/>
        <v>0</v>
      </c>
      <c r="P193">
        <f t="shared" ca="1" si="57"/>
        <v>6.8998436943876792E-2</v>
      </c>
      <c r="Q193">
        <f t="shared" ca="1" si="58"/>
        <v>8.2420731558088225E-2</v>
      </c>
      <c r="R193">
        <f t="shared" ca="1" si="55"/>
        <v>0.83714904781266464</v>
      </c>
      <c r="S193">
        <f t="shared" ca="1" si="56"/>
        <v>45.567835054503931</v>
      </c>
      <c r="T193">
        <f>70</f>
        <v>70</v>
      </c>
      <c r="U193">
        <f>30</f>
        <v>30</v>
      </c>
      <c r="V193">
        <f t="shared" ca="1" si="54"/>
        <v>10.474508362901092</v>
      </c>
      <c r="W193">
        <f t="shared" ca="1" si="64"/>
        <v>10.569115518148529</v>
      </c>
      <c r="X193">
        <f t="shared" ca="1" si="63"/>
        <v>-9.9605582953412153E-2</v>
      </c>
      <c r="Y193">
        <f t="shared" ca="1" si="65"/>
        <v>-8.5957647105004018E-2</v>
      </c>
      <c r="Z193">
        <f t="shared" ca="1" si="66"/>
        <v>-1.3647935848408135E-2</v>
      </c>
      <c r="AA193">
        <f t="shared" ca="1" si="67"/>
        <v>11.426422000000004</v>
      </c>
      <c r="AB193" s="18">
        <f t="shared" ca="1" si="52"/>
        <v>1.1483076803406878E-2</v>
      </c>
      <c r="AC193" s="18">
        <f t="shared" ca="1" si="53"/>
        <v>1.1417646693222228E-2</v>
      </c>
      <c r="AD193" s="18">
        <f t="shared" ca="1" si="48"/>
        <v>-0.13075303318961196</v>
      </c>
    </row>
    <row r="194" spans="1:30" x14ac:dyDescent="0.25">
      <c r="A194" vm="523">
        <f ca="1"/>
        <v>45572</v>
      </c>
      <c r="B194" vm="524">
        <f ca="1"/>
        <v>10.324</v>
      </c>
      <c r="C194" vm="525">
        <f ca="1"/>
        <v>38620085</v>
      </c>
      <c r="D194">
        <f t="shared" ca="1" si="45"/>
        <v>398713757.54000002</v>
      </c>
      <c r="E194">
        <f ca="1">SUM($D$2:D194)/SUM($C$2:C194)</f>
        <v>11.723995945129857</v>
      </c>
      <c r="F194">
        <f ca="1">_xlfn.STDEV.P($B$2:B194)</f>
        <v>0.98730941378727954</v>
      </c>
      <c r="G194">
        <f t="shared" ca="1" si="46"/>
        <v>12.711305358917137</v>
      </c>
      <c r="H194">
        <f t="shared" ca="1" si="47"/>
        <v>10.736686531342578</v>
      </c>
      <c r="I194">
        <f t="shared" ca="1" si="59"/>
        <v>10.507099999999999</v>
      </c>
      <c r="J194">
        <f t="shared" ca="1" si="60"/>
        <v>0.19725953248929368</v>
      </c>
      <c r="K194">
        <f t="shared" ca="1" si="61"/>
        <v>10.901619064978586</v>
      </c>
      <c r="L194">
        <f t="shared" ca="1" si="62"/>
        <v>10.112580935021413</v>
      </c>
      <c r="M194">
        <f t="shared" ca="1" si="49"/>
        <v>-7.8799999999999315E-2</v>
      </c>
      <c r="N194">
        <f t="shared" ca="1" si="50"/>
        <v>0</v>
      </c>
      <c r="O194">
        <f t="shared" ca="1" si="51"/>
        <v>7.8799999999999315E-2</v>
      </c>
      <c r="P194">
        <f t="shared" ca="1" si="57"/>
        <v>6.4069977162171304E-2</v>
      </c>
      <c r="Q194">
        <f t="shared" ca="1" si="58"/>
        <v>8.2162107875367596E-2</v>
      </c>
      <c r="R194">
        <f t="shared" ca="1" si="55"/>
        <v>0.77979957937982314</v>
      </c>
      <c r="S194">
        <f t="shared" ca="1" si="56"/>
        <v>43.813898397006412</v>
      </c>
      <c r="T194">
        <f>70</f>
        <v>70</v>
      </c>
      <c r="U194">
        <f>30</f>
        <v>30</v>
      </c>
      <c r="V194">
        <f t="shared" ca="1" si="54"/>
        <v>10.451353230147078</v>
      </c>
      <c r="W194">
        <f t="shared" ca="1" si="64"/>
        <v>10.55095881310049</v>
      </c>
      <c r="X194">
        <f t="shared" ca="1" si="63"/>
        <v>-0.10238662365805595</v>
      </c>
      <c r="Y194">
        <f t="shared" ca="1" si="65"/>
        <v>-8.924344241561441E-2</v>
      </c>
      <c r="Z194">
        <f t="shared" ca="1" si="66"/>
        <v>-1.3143181242441543E-2</v>
      </c>
      <c r="AA194">
        <f t="shared" ca="1" si="67"/>
        <v>11.407230000000004</v>
      </c>
      <c r="AB194" s="18">
        <f t="shared" ca="1" si="52"/>
        <v>-7.5748836851615708E-3</v>
      </c>
      <c r="AC194" s="18">
        <f t="shared" ca="1" si="53"/>
        <v>-7.6037188240904189E-3</v>
      </c>
      <c r="AD194" s="18">
        <f t="shared" ca="1" si="48"/>
        <v>-0.13733747785688011</v>
      </c>
    </row>
    <row r="195" spans="1:30" x14ac:dyDescent="0.25">
      <c r="A195" vm="526">
        <f ca="1"/>
        <v>45573</v>
      </c>
      <c r="B195" vm="524">
        <f ca="1"/>
        <v>10.324</v>
      </c>
      <c r="C195" vm="527">
        <f ca="1"/>
        <v>47100861</v>
      </c>
      <c r="D195">
        <f t="shared" ref="D195:D258" ca="1" si="68">B195*C195</f>
        <v>486269288.96399999</v>
      </c>
      <c r="E195">
        <f ca="1">SUM($D$2:D195)/SUM($C$2:C195)</f>
        <v>11.717780806192357</v>
      </c>
      <c r="F195">
        <f ca="1">_xlfn.STDEV.P($B$2:B195)</f>
        <v>0.99002599424376281</v>
      </c>
      <c r="G195">
        <f t="shared" ref="G195:G258" ca="1" si="69">E195 + F195</f>
        <v>12.707806800436119</v>
      </c>
      <c r="H195">
        <f t="shared" ref="H195:H258" ca="1" si="70">E195 - F195</f>
        <v>10.727754811948595</v>
      </c>
      <c r="I195">
        <f t="shared" ca="1" si="59"/>
        <v>10.515465000000001</v>
      </c>
      <c r="J195">
        <f t="shared" ca="1" si="60"/>
        <v>0.18477028775439547</v>
      </c>
      <c r="K195">
        <f t="shared" ca="1" si="61"/>
        <v>10.885005575508792</v>
      </c>
      <c r="L195">
        <f t="shared" ca="1" si="62"/>
        <v>10.145924424491209</v>
      </c>
      <c r="M195">
        <f t="shared" ca="1" si="49"/>
        <v>0</v>
      </c>
      <c r="N195">
        <f t="shared" ca="1" si="50"/>
        <v>0</v>
      </c>
      <c r="O195">
        <f t="shared" ca="1" si="51"/>
        <v>0</v>
      </c>
      <c r="P195">
        <f t="shared" ca="1" si="57"/>
        <v>5.949355022201621E-2</v>
      </c>
      <c r="Q195">
        <f t="shared" ca="1" si="58"/>
        <v>7.6293385884269913E-2</v>
      </c>
      <c r="R195">
        <f t="shared" ca="1" si="55"/>
        <v>0.77979957937982314</v>
      </c>
      <c r="S195">
        <f t="shared" ca="1" si="56"/>
        <v>43.813898397006412</v>
      </c>
      <c r="T195">
        <f>70</f>
        <v>70</v>
      </c>
      <c r="U195">
        <f>30</f>
        <v>30</v>
      </c>
      <c r="V195">
        <f t="shared" ca="1" si="54"/>
        <v>10.431760425509065</v>
      </c>
      <c r="W195">
        <f t="shared" ca="1" si="64"/>
        <v>10.534147049167121</v>
      </c>
      <c r="X195">
        <f t="shared" ca="1" si="63"/>
        <v>-9.3187876362170741E-2</v>
      </c>
      <c r="Y195">
        <f t="shared" ca="1" si="65"/>
        <v>-9.0032329204925682E-2</v>
      </c>
      <c r="Z195">
        <f t="shared" ca="1" si="66"/>
        <v>-3.1555471572450589E-3</v>
      </c>
      <c r="AA195">
        <f t="shared" ca="1" si="67"/>
        <v>11.389317000000005</v>
      </c>
      <c r="AB195" s="18">
        <f t="shared" ca="1" si="52"/>
        <v>0</v>
      </c>
      <c r="AC195" s="18">
        <f t="shared" ca="1" si="53"/>
        <v>0</v>
      </c>
      <c r="AD195" s="18">
        <f t="shared" ref="AD195:AD258" ca="1" si="71">(1+AD194)*(1+AB195)-1</f>
        <v>-0.13733747785688011</v>
      </c>
    </row>
    <row r="196" spans="1:30" x14ac:dyDescent="0.25">
      <c r="A196" vm="528">
        <f ca="1"/>
        <v>45574</v>
      </c>
      <c r="B196" vm="478">
        <f ca="1"/>
        <v>10.452</v>
      </c>
      <c r="C196" vm="529">
        <f ca="1"/>
        <v>41056505</v>
      </c>
      <c r="D196">
        <f t="shared" ca="1" si="68"/>
        <v>429122590.25999999</v>
      </c>
      <c r="E196">
        <f ca="1">SUM($D$2:D196)/SUM($C$2:C196)</f>
        <v>11.712901496828991</v>
      </c>
      <c r="F196">
        <f ca="1">_xlfn.STDEV.P($B$2:B196)</f>
        <v>0.99176378307942259</v>
      </c>
      <c r="G196">
        <f t="shared" ca="1" si="69"/>
        <v>12.704665279908413</v>
      </c>
      <c r="H196">
        <f t="shared" ca="1" si="70"/>
        <v>10.721137713749568</v>
      </c>
      <c r="I196">
        <f t="shared" ca="1" si="59"/>
        <v>10.52383</v>
      </c>
      <c r="J196">
        <f t="shared" ca="1" si="60"/>
        <v>0.17741372729182756</v>
      </c>
      <c r="K196">
        <f t="shared" ca="1" si="61"/>
        <v>10.878657454583655</v>
      </c>
      <c r="L196">
        <f t="shared" ca="1" si="62"/>
        <v>10.169002545416346</v>
      </c>
      <c r="M196">
        <f t="shared" ref="M196:M259" ca="1" si="72">B196-B195</f>
        <v>0.12800000000000011</v>
      </c>
      <c r="N196">
        <f t="shared" ref="N196:N259" ca="1" si="73">MAX(M196,0)</f>
        <v>0.12800000000000011</v>
      </c>
      <c r="O196">
        <f t="shared" ref="O196:O259" ca="1" si="74">MAX(-M196,0)</f>
        <v>0</v>
      </c>
      <c r="P196">
        <f t="shared" ca="1" si="57"/>
        <v>6.4386868063300767E-2</v>
      </c>
      <c r="Q196">
        <f t="shared" ca="1" si="58"/>
        <v>7.0843858321107775E-2</v>
      </c>
      <c r="R196">
        <f t="shared" ca="1" si="55"/>
        <v>0.90885603338344489</v>
      </c>
      <c r="S196">
        <f t="shared" ca="1" si="56"/>
        <v>47.61260239057939</v>
      </c>
      <c r="T196">
        <f>70</f>
        <v>70</v>
      </c>
      <c r="U196">
        <f>30</f>
        <v>30</v>
      </c>
      <c r="V196">
        <f t="shared" ca="1" si="54"/>
        <v>10.434874206199979</v>
      </c>
      <c r="W196">
        <f t="shared" ca="1" si="64"/>
        <v>10.528062082562149</v>
      </c>
      <c r="X196">
        <f t="shared" ca="1" si="63"/>
        <v>-8.0212357809985591E-2</v>
      </c>
      <c r="Y196">
        <f t="shared" ca="1" si="65"/>
        <v>-8.8068334925937672E-2</v>
      </c>
      <c r="Z196">
        <f t="shared" ca="1" si="66"/>
        <v>7.8559771159520814E-3</v>
      </c>
      <c r="AA196">
        <f t="shared" ca="1" si="67"/>
        <v>11.371996000000003</v>
      </c>
      <c r="AB196" s="18">
        <f t="shared" ref="AB196:AB259" ca="1" si="75">(B196/B195)-1</f>
        <v>1.2398295234405277E-2</v>
      </c>
      <c r="AC196" s="18">
        <f t="shared" ref="AC196:AC259" ca="1" si="76">LN(B196/B195)</f>
        <v>1.2322065801998629E-2</v>
      </c>
      <c r="AD196" s="18">
        <f t="shared" ca="1" si="71"/>
        <v>-0.12664193321969308</v>
      </c>
    </row>
    <row r="197" spans="1:30" x14ac:dyDescent="0.25">
      <c r="A197" vm="530">
        <f ca="1"/>
        <v>45575</v>
      </c>
      <c r="B197" vm="433">
        <f ca="1"/>
        <v>10.510999999999999</v>
      </c>
      <c r="C197" vm="531">
        <f ca="1"/>
        <v>40092602</v>
      </c>
      <c r="D197">
        <f t="shared" ca="1" si="68"/>
        <v>421413339.62199998</v>
      </c>
      <c r="E197">
        <f ca="1">SUM($D$2:D197)/SUM($C$2:C197)</f>
        <v>11.708394167891102</v>
      </c>
      <c r="F197">
        <f ca="1">_xlfn.STDEV.P($B$2:B197)</f>
        <v>0.99305994575250911</v>
      </c>
      <c r="G197">
        <f t="shared" ca="1" si="69"/>
        <v>12.701454113643612</v>
      </c>
      <c r="H197">
        <f t="shared" ca="1" si="70"/>
        <v>10.715334222138592</v>
      </c>
      <c r="I197">
        <f t="shared" ca="1" si="59"/>
        <v>10.52678</v>
      </c>
      <c r="J197">
        <f t="shared" ca="1" si="60"/>
        <v>0.17664534674402213</v>
      </c>
      <c r="K197">
        <f t="shared" ca="1" si="61"/>
        <v>10.880070693488046</v>
      </c>
      <c r="L197">
        <f t="shared" ca="1" si="62"/>
        <v>10.173489306511955</v>
      </c>
      <c r="M197">
        <f t="shared" ca="1" si="72"/>
        <v>5.8999999999999275E-2</v>
      </c>
      <c r="N197">
        <f t="shared" ca="1" si="73"/>
        <v>5.8999999999999275E-2</v>
      </c>
      <c r="O197">
        <f t="shared" ca="1" si="74"/>
        <v>0</v>
      </c>
      <c r="P197">
        <f t="shared" ca="1" si="57"/>
        <v>6.4002091773064942E-2</v>
      </c>
      <c r="Q197">
        <f t="shared" ca="1" si="58"/>
        <v>6.5783582726742937E-2</v>
      </c>
      <c r="R197">
        <f t="shared" ca="1" si="55"/>
        <v>0.97291891259437646</v>
      </c>
      <c r="S197">
        <f t="shared" ca="1" si="56"/>
        <v>49.313679664360556</v>
      </c>
      <c r="T197">
        <f>70</f>
        <v>70</v>
      </c>
      <c r="U197">
        <f>30</f>
        <v>30</v>
      </c>
      <c r="V197">
        <f t="shared" ca="1" si="54"/>
        <v>10.446585866784597</v>
      </c>
      <c r="W197">
        <f t="shared" ca="1" si="64"/>
        <v>10.526798224594582</v>
      </c>
      <c r="X197">
        <f t="shared" ca="1" si="63"/>
        <v>-6.598923235958587E-2</v>
      </c>
      <c r="Y197">
        <f t="shared" ca="1" si="65"/>
        <v>-8.3652514412667314E-2</v>
      </c>
      <c r="Z197">
        <f t="shared" ca="1" si="66"/>
        <v>1.7663282053081444E-2</v>
      </c>
      <c r="AA197">
        <f t="shared" ca="1" si="67"/>
        <v>11.356249000000002</v>
      </c>
      <c r="AB197" s="18">
        <f t="shared" ca="1" si="75"/>
        <v>5.644852659777877E-3</v>
      </c>
      <c r="AC197" s="18">
        <f t="shared" ca="1" si="76"/>
        <v>5.6289801828511288E-3</v>
      </c>
      <c r="AD197" s="18">
        <f t="shared" ca="1" si="71"/>
        <v>-0.1217119556134898</v>
      </c>
    </row>
    <row r="198" spans="1:30" x14ac:dyDescent="0.25">
      <c r="A198" vm="532">
        <f ca="1"/>
        <v>45576</v>
      </c>
      <c r="B198" vm="430">
        <f ca="1"/>
        <v>10.5504</v>
      </c>
      <c r="C198" vm="533">
        <f ca="1"/>
        <v>32428740</v>
      </c>
      <c r="D198">
        <f t="shared" ca="1" si="68"/>
        <v>342136178.49599999</v>
      </c>
      <c r="E198">
        <f ca="1">SUM($D$2:D198)/SUM($C$2:C198)</f>
        <v>11.704892239773105</v>
      </c>
      <c r="F198">
        <f ca="1">_xlfn.STDEV.P($B$2:B198)</f>
        <v>0.99406316013169194</v>
      </c>
      <c r="G198">
        <f t="shared" ca="1" si="69"/>
        <v>12.698955399904797</v>
      </c>
      <c r="H198">
        <f t="shared" ca="1" si="70"/>
        <v>10.710829079641414</v>
      </c>
      <c r="I198">
        <f t="shared" ca="1" si="59"/>
        <v>10.528254999999998</v>
      </c>
      <c r="J198">
        <f t="shared" ca="1" si="60"/>
        <v>0.17671681323220886</v>
      </c>
      <c r="K198">
        <f t="shared" ca="1" si="61"/>
        <v>10.881688626464415</v>
      </c>
      <c r="L198">
        <f t="shared" ca="1" si="62"/>
        <v>10.174821373535581</v>
      </c>
      <c r="M198">
        <f t="shared" ca="1" si="72"/>
        <v>3.9400000000000546E-2</v>
      </c>
      <c r="N198">
        <f t="shared" ca="1" si="73"/>
        <v>3.9400000000000546E-2</v>
      </c>
      <c r="O198">
        <f t="shared" ca="1" si="74"/>
        <v>0</v>
      </c>
      <c r="P198">
        <f t="shared" ca="1" si="57"/>
        <v>6.2244799503560343E-2</v>
      </c>
      <c r="Q198">
        <f t="shared" ca="1" si="58"/>
        <v>6.1084755389118443E-2</v>
      </c>
      <c r="R198">
        <f t="shared" ca="1" si="55"/>
        <v>1.0189907302902705</v>
      </c>
      <c r="S198">
        <f t="shared" ca="1" si="56"/>
        <v>50.470302562695281</v>
      </c>
      <c r="T198">
        <f>70</f>
        <v>70</v>
      </c>
      <c r="U198">
        <f>30</f>
        <v>30</v>
      </c>
      <c r="V198">
        <f t="shared" ca="1" si="54"/>
        <v>10.462557271894658</v>
      </c>
      <c r="W198">
        <f t="shared" ca="1" si="64"/>
        <v>10.528546504254244</v>
      </c>
      <c r="X198">
        <f t="shared" ca="1" si="63"/>
        <v>-3.8394598660730139E-2</v>
      </c>
      <c r="Y198">
        <f t="shared" ca="1" si="65"/>
        <v>-7.4600931262279888E-2</v>
      </c>
      <c r="Z198">
        <f t="shared" ca="1" si="66"/>
        <v>3.6206332601549748E-2</v>
      </c>
      <c r="AA198">
        <f t="shared" ca="1" si="67"/>
        <v>11.342175000000003</v>
      </c>
      <c r="AB198" s="18">
        <f t="shared" ca="1" si="75"/>
        <v>3.7484540005707778E-3</v>
      </c>
      <c r="AC198" s="18">
        <f t="shared" ca="1" si="76"/>
        <v>3.7414460540574745E-3</v>
      </c>
      <c r="AD198" s="18">
        <f t="shared" ca="1" si="71"/>
        <v>-0.11841973327985567</v>
      </c>
    </row>
    <row r="199" spans="1:30" x14ac:dyDescent="0.25">
      <c r="A199" vm="534">
        <f ca="1"/>
        <v>45579</v>
      </c>
      <c r="B199" vm="439">
        <f ca="1"/>
        <v>10.747199999999999</v>
      </c>
      <c r="C199" vm="535">
        <f ca="1"/>
        <v>42614309</v>
      </c>
      <c r="D199">
        <f t="shared" ca="1" si="68"/>
        <v>457984501.68479997</v>
      </c>
      <c r="E199">
        <f ca="1">SUM($D$2:D199)/SUM($C$2:C199)</f>
        <v>11.701101449654177</v>
      </c>
      <c r="F199">
        <f ca="1">_xlfn.STDEV.P($B$2:B199)</f>
        <v>0.99395302591302592</v>
      </c>
      <c r="G199">
        <f t="shared" ca="1" si="69"/>
        <v>12.695054475567202</v>
      </c>
      <c r="H199">
        <f t="shared" ca="1" si="70"/>
        <v>10.707148423741151</v>
      </c>
      <c r="I199">
        <f t="shared" ca="1" si="59"/>
        <v>10.534160000000002</v>
      </c>
      <c r="J199">
        <f t="shared" ca="1" si="60"/>
        <v>0.18215343850143137</v>
      </c>
      <c r="K199">
        <f t="shared" ca="1" si="61"/>
        <v>10.898466877002864</v>
      </c>
      <c r="L199">
        <f t="shared" ca="1" si="62"/>
        <v>10.169853122997139</v>
      </c>
      <c r="M199">
        <f t="shared" ca="1" si="72"/>
        <v>0.19679999999999964</v>
      </c>
      <c r="N199">
        <f t="shared" ca="1" si="73"/>
        <v>0.19679999999999964</v>
      </c>
      <c r="O199">
        <f t="shared" ca="1" si="74"/>
        <v>0</v>
      </c>
      <c r="P199">
        <f t="shared" ca="1" si="57"/>
        <v>7.1855885253305996E-2</v>
      </c>
      <c r="Q199">
        <f t="shared" ca="1" si="58"/>
        <v>5.6721558575609989E-2</v>
      </c>
      <c r="R199">
        <f t="shared" ca="1" si="55"/>
        <v>1.2668178917813393</v>
      </c>
      <c r="S199">
        <f t="shared" ca="1" si="56"/>
        <v>55.885296140213207</v>
      </c>
      <c r="T199">
        <f>70</f>
        <v>70</v>
      </c>
      <c r="U199">
        <f>30</f>
        <v>30</v>
      </c>
      <c r="V199">
        <f t="shared" ca="1" si="54"/>
        <v>10.506348460833941</v>
      </c>
      <c r="W199">
        <f t="shared" ca="1" si="64"/>
        <v>10.544743059494671</v>
      </c>
      <c r="X199">
        <f t="shared" ca="1" si="63"/>
        <v>-2.2615388797969871E-2</v>
      </c>
      <c r="Y199">
        <f t="shared" ca="1" si="65"/>
        <v>-6.4203822769417884E-2</v>
      </c>
      <c r="Z199">
        <f t="shared" ca="1" si="66"/>
        <v>4.1588433971448013E-2</v>
      </c>
      <c r="AA199">
        <f t="shared" ca="1" si="67"/>
        <v>11.330069000000003</v>
      </c>
      <c r="AB199" s="18">
        <f t="shared" ca="1" si="75"/>
        <v>1.8653321201091977E-2</v>
      </c>
      <c r="AC199" s="18">
        <f t="shared" ca="1" si="76"/>
        <v>1.8481481635188229E-2</v>
      </c>
      <c r="AD199" s="18">
        <f t="shared" ca="1" si="71"/>
        <v>-0.1019753334001805</v>
      </c>
    </row>
    <row r="200" spans="1:30" x14ac:dyDescent="0.25">
      <c r="A200" vm="536">
        <f ca="1"/>
        <v>45580</v>
      </c>
      <c r="B200" vm="388">
        <f ca="1"/>
        <v>10.6685</v>
      </c>
      <c r="C200" vm="537">
        <f ca="1"/>
        <v>53950571</v>
      </c>
      <c r="D200">
        <f t="shared" ca="1" si="68"/>
        <v>575571666.71350002</v>
      </c>
      <c r="E200">
        <f ca="1">SUM($D$2:D200)/SUM($C$2:C200)</f>
        <v>11.695952647760853</v>
      </c>
      <c r="F200">
        <f ca="1">_xlfn.STDEV.P($B$2:B200)</f>
        <v>0.9942193629999857</v>
      </c>
      <c r="G200">
        <f t="shared" ca="1" si="69"/>
        <v>12.690172010760838</v>
      </c>
      <c r="H200">
        <f t="shared" ca="1" si="70"/>
        <v>10.701733284760868</v>
      </c>
      <c r="I200">
        <f t="shared" ca="1" si="59"/>
        <v>10.531205</v>
      </c>
      <c r="J200">
        <f t="shared" ca="1" si="60"/>
        <v>0.17930732064486962</v>
      </c>
      <c r="K200">
        <f t="shared" ca="1" si="61"/>
        <v>10.889819641289739</v>
      </c>
      <c r="L200">
        <f t="shared" ca="1" si="62"/>
        <v>10.172590358710261</v>
      </c>
      <c r="M200">
        <f t="shared" ca="1" si="72"/>
        <v>-7.8699999999999548E-2</v>
      </c>
      <c r="N200">
        <f t="shared" ca="1" si="73"/>
        <v>0</v>
      </c>
      <c r="O200">
        <f t="shared" ca="1" si="74"/>
        <v>7.8699999999999548E-2</v>
      </c>
      <c r="P200">
        <f t="shared" ca="1" si="57"/>
        <v>6.6723322020926998E-2</v>
      </c>
      <c r="Q200">
        <f t="shared" ca="1" si="58"/>
        <v>5.8291447248780673E-2</v>
      </c>
      <c r="R200">
        <f t="shared" ca="1" si="55"/>
        <v>1.1446502903961215</v>
      </c>
      <c r="S200">
        <f t="shared" ca="1" si="56"/>
        <v>53.372351451513445</v>
      </c>
      <c r="T200">
        <f>70</f>
        <v>70</v>
      </c>
      <c r="U200">
        <f>30</f>
        <v>30</v>
      </c>
      <c r="V200">
        <f t="shared" ca="1" si="54"/>
        <v>10.531294851474872</v>
      </c>
      <c r="W200">
        <f t="shared" ca="1" si="64"/>
        <v>10.553910240272842</v>
      </c>
      <c r="X200">
        <f t="shared" ca="1" si="63"/>
        <v>4.9223441577304072E-3</v>
      </c>
      <c r="Y200">
        <f t="shared" ca="1" si="65"/>
        <v>-5.0378589383988225E-2</v>
      </c>
      <c r="Z200">
        <f t="shared" ca="1" si="66"/>
        <v>5.5300933541718632E-2</v>
      </c>
      <c r="AA200">
        <f t="shared" ca="1" si="67"/>
        <v>11.318357000000002</v>
      </c>
      <c r="AB200" s="18">
        <f t="shared" ca="1" si="75"/>
        <v>-7.322837576298924E-3</v>
      </c>
      <c r="AC200" s="18">
        <f t="shared" ca="1" si="76"/>
        <v>-7.3497811676617219E-3</v>
      </c>
      <c r="AD200" s="18">
        <f t="shared" ca="1" si="71"/>
        <v>-0.10855142217320102</v>
      </c>
    </row>
    <row r="201" spans="1:30" x14ac:dyDescent="0.25">
      <c r="A201" vm="538">
        <f ca="1"/>
        <v>45581</v>
      </c>
      <c r="B201" vm="44">
        <f ca="1"/>
        <v>10.855499999999999</v>
      </c>
      <c r="C201" vm="539">
        <f ca="1"/>
        <v>47751843</v>
      </c>
      <c r="D201">
        <f t="shared" ca="1" si="68"/>
        <v>518370131.68649995</v>
      </c>
      <c r="E201">
        <f ca="1">SUM($D$2:D201)/SUM($C$2:C201)</f>
        <v>11.692259741183095</v>
      </c>
      <c r="F201">
        <f ca="1">_xlfn.STDEV.P($B$2:B201)</f>
        <v>0.99356682711129185</v>
      </c>
      <c r="G201">
        <f t="shared" ca="1" si="69"/>
        <v>12.685826568294388</v>
      </c>
      <c r="H201">
        <f t="shared" ca="1" si="70"/>
        <v>10.698692914071803</v>
      </c>
      <c r="I201">
        <f t="shared" ca="1" si="59"/>
        <v>10.533664999999999</v>
      </c>
      <c r="J201">
        <f t="shared" ca="1" si="60"/>
        <v>0.18356701708955739</v>
      </c>
      <c r="K201">
        <f t="shared" ca="1" si="61"/>
        <v>10.900799034179114</v>
      </c>
      <c r="L201">
        <f t="shared" ca="1" si="62"/>
        <v>10.166530965820884</v>
      </c>
      <c r="M201">
        <f t="shared" ca="1" si="72"/>
        <v>0.18699999999999939</v>
      </c>
      <c r="N201">
        <f t="shared" ca="1" si="73"/>
        <v>0.18699999999999939</v>
      </c>
      <c r="O201">
        <f t="shared" ca="1" si="74"/>
        <v>0</v>
      </c>
      <c r="P201">
        <f t="shared" ca="1" si="57"/>
        <v>7.5314513305146463E-2</v>
      </c>
      <c r="Q201">
        <f t="shared" ca="1" si="58"/>
        <v>5.4127772445296339E-2</v>
      </c>
      <c r="R201">
        <f t="shared" ca="1" si="55"/>
        <v>1.391420889918614</v>
      </c>
      <c r="S201">
        <f t="shared" ca="1" si="56"/>
        <v>58.183856124379993</v>
      </c>
      <c r="T201">
        <f>70</f>
        <v>70</v>
      </c>
      <c r="U201">
        <f>30</f>
        <v>30</v>
      </c>
      <c r="V201">
        <f t="shared" ca="1" si="54"/>
        <v>10.581172566632583</v>
      </c>
      <c r="W201">
        <f t="shared" ca="1" si="64"/>
        <v>10.576250222474853</v>
      </c>
      <c r="X201">
        <f t="shared" ca="1" si="63"/>
        <v>2.9584415913246787E-2</v>
      </c>
      <c r="Y201">
        <f t="shared" ca="1" si="65"/>
        <v>-3.4385988324541227E-2</v>
      </c>
      <c r="Z201">
        <f t="shared" ca="1" si="66"/>
        <v>6.397040423778802E-2</v>
      </c>
      <c r="AA201">
        <f t="shared" ca="1" si="67"/>
        <v>11.307728000000003</v>
      </c>
      <c r="AB201" s="18">
        <f t="shared" ca="1" si="75"/>
        <v>1.7528237334208052E-2</v>
      </c>
      <c r="AC201" s="18">
        <f t="shared" ca="1" si="76"/>
        <v>1.7376389629353613E-2</v>
      </c>
      <c r="AD201" s="18">
        <f t="shared" ca="1" si="71"/>
        <v>-9.2925899929810596E-2</v>
      </c>
    </row>
    <row r="202" spans="1:30" x14ac:dyDescent="0.25">
      <c r="A202" vm="540">
        <f ca="1"/>
        <v>45582</v>
      </c>
      <c r="B202" vm="541">
        <f ca="1"/>
        <v>10.8949</v>
      </c>
      <c r="C202" vm="542">
        <f ca="1"/>
        <v>38221854</v>
      </c>
      <c r="D202">
        <f t="shared" ca="1" si="68"/>
        <v>416423277.14459997</v>
      </c>
      <c r="E202">
        <f ca="1">SUM($D$2:D202)/SUM($C$2:C202)</f>
        <v>11.689465227517154</v>
      </c>
      <c r="F202">
        <f ca="1">_xlfn.STDEV.P($B$2:B202)</f>
        <v>0.99273873519248523</v>
      </c>
      <c r="G202">
        <f t="shared" ca="1" si="69"/>
        <v>12.682203962709639</v>
      </c>
      <c r="H202">
        <f t="shared" ca="1" si="70"/>
        <v>10.696726492324668</v>
      </c>
      <c r="I202">
        <f t="shared" ca="1" si="59"/>
        <v>10.541049999999998</v>
      </c>
      <c r="J202">
        <f t="shared" ca="1" si="60"/>
        <v>0.19521147911674491</v>
      </c>
      <c r="K202">
        <f t="shared" ca="1" si="61"/>
        <v>10.931472958233488</v>
      </c>
      <c r="L202">
        <f t="shared" ca="1" si="62"/>
        <v>10.150627041766509</v>
      </c>
      <c r="M202">
        <f t="shared" ca="1" si="72"/>
        <v>3.9400000000000546E-2</v>
      </c>
      <c r="N202">
        <f t="shared" ca="1" si="73"/>
        <v>3.9400000000000546E-2</v>
      </c>
      <c r="O202">
        <f t="shared" ca="1" si="74"/>
        <v>0</v>
      </c>
      <c r="P202">
        <f t="shared" ca="1" si="57"/>
        <v>7.2749190926207463E-2</v>
      </c>
      <c r="Q202">
        <f t="shared" ca="1" si="58"/>
        <v>5.0261502984918029E-2</v>
      </c>
      <c r="R202">
        <f t="shared" ca="1" si="55"/>
        <v>1.4474137581607402</v>
      </c>
      <c r="S202">
        <f t="shared" ca="1" si="56"/>
        <v>59.140541861155853</v>
      </c>
      <c r="T202">
        <f>70</f>
        <v>70</v>
      </c>
      <c r="U202">
        <f>30</f>
        <v>30</v>
      </c>
      <c r="V202">
        <f t="shared" ca="1" si="54"/>
        <v>10.629438325612185</v>
      </c>
      <c r="W202">
        <f t="shared" ca="1" si="64"/>
        <v>10.599853909698938</v>
      </c>
      <c r="X202">
        <f t="shared" ca="1" si="63"/>
        <v>5.0922683916422073E-2</v>
      </c>
      <c r="Y202">
        <f t="shared" ca="1" si="65"/>
        <v>-1.7324253876348568E-2</v>
      </c>
      <c r="Z202">
        <f t="shared" ca="1" si="66"/>
        <v>6.8246937792770634E-2</v>
      </c>
      <c r="AA202">
        <f t="shared" ca="1" si="67"/>
        <v>11.297001000000002</v>
      </c>
      <c r="AB202" s="18">
        <f t="shared" ca="1" si="75"/>
        <v>3.6294965685597091E-3</v>
      </c>
      <c r="AC202" s="18">
        <f t="shared" ca="1" si="76"/>
        <v>3.6229258400473606E-3</v>
      </c>
      <c r="AD202" s="18">
        <f t="shared" ca="1" si="71"/>
        <v>-8.9633677596176464E-2</v>
      </c>
    </row>
    <row r="203" spans="1:30" x14ac:dyDescent="0.25">
      <c r="A203" vm="543">
        <f ca="1"/>
        <v>45583</v>
      </c>
      <c r="B203" vm="544">
        <f ca="1"/>
        <v>10.9244</v>
      </c>
      <c r="C203" vm="545">
        <f ca="1"/>
        <v>26494019</v>
      </c>
      <c r="D203">
        <f t="shared" ca="1" si="68"/>
        <v>289431261.16360003</v>
      </c>
      <c r="E203">
        <f ca="1">SUM($D$2:D203)/SUM($C$2:C203)</f>
        <v>11.687611129359233</v>
      </c>
      <c r="F203">
        <f ca="1">_xlfn.STDEV.P($B$2:B203)</f>
        <v>0.99178567985797517</v>
      </c>
      <c r="G203">
        <f t="shared" ca="1" si="69"/>
        <v>12.679396809217208</v>
      </c>
      <c r="H203">
        <f t="shared" ca="1" si="70"/>
        <v>10.695825449501259</v>
      </c>
      <c r="I203">
        <f t="shared" ca="1" si="59"/>
        <v>10.551874999999999</v>
      </c>
      <c r="J203">
        <f t="shared" ca="1" si="60"/>
        <v>0.21036529600473047</v>
      </c>
      <c r="K203">
        <f t="shared" ca="1" si="61"/>
        <v>10.97260559200946</v>
      </c>
      <c r="L203">
        <f t="shared" ca="1" si="62"/>
        <v>10.131144407990538</v>
      </c>
      <c r="M203">
        <f t="shared" ca="1" si="72"/>
        <v>2.9500000000000526E-2</v>
      </c>
      <c r="N203">
        <f t="shared" ca="1" si="73"/>
        <v>2.9500000000000526E-2</v>
      </c>
      <c r="O203">
        <f t="shared" ca="1" si="74"/>
        <v>0</v>
      </c>
      <c r="P203">
        <f t="shared" ca="1" si="57"/>
        <v>6.9659963002906972E-2</v>
      </c>
      <c r="Q203">
        <f t="shared" ca="1" si="58"/>
        <v>4.6671395628852461E-2</v>
      </c>
      <c r="R203">
        <f t="shared" ca="1" si="55"/>
        <v>1.4925622442677262</v>
      </c>
      <c r="S203">
        <f t="shared" ca="1" si="56"/>
        <v>59.880640802461343</v>
      </c>
      <c r="T203">
        <f>70</f>
        <v>70</v>
      </c>
      <c r="U203">
        <f>30</f>
        <v>30</v>
      </c>
      <c r="V203">
        <f t="shared" ca="1" si="54"/>
        <v>10.674817044748773</v>
      </c>
      <c r="W203">
        <f t="shared" ca="1" si="64"/>
        <v>10.623894360832351</v>
      </c>
      <c r="X203">
        <f t="shared" ca="1" si="63"/>
        <v>4.9789729401341631E-2</v>
      </c>
      <c r="Y203">
        <f t="shared" ca="1" si="65"/>
        <v>-3.9014572208105284E-3</v>
      </c>
      <c r="Z203">
        <f t="shared" ca="1" si="66"/>
        <v>5.3691186622152158E-2</v>
      </c>
      <c r="AA203">
        <f t="shared" ca="1" si="67"/>
        <v>11.291293000000003</v>
      </c>
      <c r="AB203" s="18">
        <f t="shared" ca="1" si="75"/>
        <v>2.7076889186683495E-3</v>
      </c>
      <c r="AC203" s="18">
        <f t="shared" ca="1" si="76"/>
        <v>2.7040297328312307E-3</v>
      </c>
      <c r="AD203" s="18">
        <f t="shared" ca="1" si="71"/>
        <v>-8.7168688793074822E-2</v>
      </c>
    </row>
    <row r="204" spans="1:30" x14ac:dyDescent="0.25">
      <c r="A204" vm="546">
        <f ca="1"/>
        <v>45586</v>
      </c>
      <c r="B204" vm="493">
        <f ca="1"/>
        <v>10.7079</v>
      </c>
      <c r="C204" vm="547">
        <f ca="1"/>
        <v>41667733</v>
      </c>
      <c r="D204">
        <f t="shared" ca="1" si="68"/>
        <v>446173918.19069999</v>
      </c>
      <c r="E204">
        <f ca="1">SUM($D$2:D204)/SUM($C$2:C204)</f>
        <v>11.683891221356809</v>
      </c>
      <c r="F204">
        <f ca="1">_xlfn.STDEV.P($B$2:B204)</f>
        <v>0.99177181177333529</v>
      </c>
      <c r="G204">
        <f t="shared" ca="1" si="69"/>
        <v>12.675663033130144</v>
      </c>
      <c r="H204">
        <f t="shared" ca="1" si="70"/>
        <v>10.692119409583475</v>
      </c>
      <c r="I204">
        <f t="shared" ca="1" si="59"/>
        <v>10.5504</v>
      </c>
      <c r="J204">
        <f t="shared" ca="1" si="60"/>
        <v>0.20909559133513428</v>
      </c>
      <c r="K204">
        <f t="shared" ca="1" si="61"/>
        <v>10.968591182670268</v>
      </c>
      <c r="L204">
        <f t="shared" ca="1" si="62"/>
        <v>10.132208817329731</v>
      </c>
      <c r="M204">
        <f t="shared" ca="1" si="72"/>
        <v>-0.21649999999999991</v>
      </c>
      <c r="N204">
        <f t="shared" ca="1" si="73"/>
        <v>0</v>
      </c>
      <c r="O204">
        <f t="shared" ca="1" si="74"/>
        <v>0.21649999999999991</v>
      </c>
      <c r="P204">
        <f t="shared" ca="1" si="57"/>
        <v>6.4684251359842196E-2</v>
      </c>
      <c r="Q204">
        <f t="shared" ca="1" si="58"/>
        <v>5.880201022679156E-2</v>
      </c>
      <c r="R204">
        <f t="shared" ca="1" si="55"/>
        <v>1.1000346945684953</v>
      </c>
      <c r="S204">
        <f t="shared" ca="1" si="56"/>
        <v>52.381739092864123</v>
      </c>
      <c r="T204">
        <f>70</f>
        <v>70</v>
      </c>
      <c r="U204">
        <f>30</f>
        <v>30</v>
      </c>
      <c r="V204">
        <f t="shared" ca="1" si="54"/>
        <v>10.679906730172037</v>
      </c>
      <c r="W204">
        <f t="shared" ca="1" si="64"/>
        <v>10.630117000770696</v>
      </c>
      <c r="X204">
        <f t="shared" ca="1" si="63"/>
        <v>6.6387104303757383E-2</v>
      </c>
      <c r="Y204">
        <f t="shared" ca="1" si="65"/>
        <v>1.0156255084103054E-2</v>
      </c>
      <c r="Z204">
        <f t="shared" ca="1" si="66"/>
        <v>5.6230849219654329E-2</v>
      </c>
      <c r="AA204">
        <f t="shared" ca="1" si="67"/>
        <v>11.284601000000002</v>
      </c>
      <c r="AB204" s="18">
        <f t="shared" ca="1" si="75"/>
        <v>-1.9818022042400463E-2</v>
      </c>
      <c r="AC204" s="18">
        <f t="shared" ca="1" si="76"/>
        <v>-2.0017032762637603E-2</v>
      </c>
      <c r="AD204" s="18">
        <f t="shared" ca="1" si="71"/>
        <v>-0.105259199839567</v>
      </c>
    </row>
    <row r="205" spans="1:30" x14ac:dyDescent="0.25">
      <c r="A205" vm="548">
        <f ca="1"/>
        <v>45587</v>
      </c>
      <c r="B205" vm="444">
        <f ca="1"/>
        <v>10.934200000000001</v>
      </c>
      <c r="C205" vm="549">
        <f ca="1"/>
        <v>52426994</v>
      </c>
      <c r="D205">
        <f t="shared" ca="1" si="68"/>
        <v>573247237.79480004</v>
      </c>
      <c r="E205">
        <f ca="1">SUM($D$2:D205)/SUM($C$2:C205)</f>
        <v>11.680326695075685</v>
      </c>
      <c r="F205">
        <f ca="1">_xlfn.STDEV.P($B$2:B205)</f>
        <v>0.99076176926161807</v>
      </c>
      <c r="G205">
        <f t="shared" ca="1" si="69"/>
        <v>12.671088464337304</v>
      </c>
      <c r="H205">
        <f t="shared" ca="1" si="70"/>
        <v>10.689564925814066</v>
      </c>
      <c r="I205">
        <f t="shared" ca="1" si="59"/>
        <v>10.562209999999999</v>
      </c>
      <c r="J205">
        <f t="shared" ca="1" si="60"/>
        <v>0.22400957662799298</v>
      </c>
      <c r="K205">
        <f t="shared" ca="1" si="61"/>
        <v>11.010229153255985</v>
      </c>
      <c r="L205">
        <f t="shared" ca="1" si="62"/>
        <v>10.114190846744012</v>
      </c>
      <c r="M205">
        <f t="shared" ca="1" si="72"/>
        <v>0.22630000000000017</v>
      </c>
      <c r="N205">
        <f t="shared" ca="1" si="73"/>
        <v>0.22630000000000017</v>
      </c>
      <c r="O205">
        <f t="shared" ca="1" si="74"/>
        <v>0</v>
      </c>
      <c r="P205">
        <f t="shared" ca="1" si="57"/>
        <v>7.6228233405567752E-2</v>
      </c>
      <c r="Q205">
        <f t="shared" ca="1" si="58"/>
        <v>5.4601866639163596E-2</v>
      </c>
      <c r="R205">
        <f t="shared" ca="1" si="55"/>
        <v>1.3960737626301678</v>
      </c>
      <c r="S205">
        <f t="shared" ca="1" si="56"/>
        <v>58.265057795954455</v>
      </c>
      <c r="T205">
        <f>70</f>
        <v>70</v>
      </c>
      <c r="U205">
        <f>30</f>
        <v>30</v>
      </c>
      <c r="V205">
        <f t="shared" ca="1" si="54"/>
        <v>10.719028771684032</v>
      </c>
      <c r="W205">
        <f t="shared" ca="1" si="64"/>
        <v>10.652641667380275</v>
      </c>
      <c r="X205">
        <f t="shared" ca="1" si="63"/>
        <v>7.4709411087090061E-2</v>
      </c>
      <c r="Y205">
        <f t="shared" ca="1" si="65"/>
        <v>2.3066886284700456E-2</v>
      </c>
      <c r="Z205">
        <f t="shared" ca="1" si="66"/>
        <v>5.1642524802389608E-2</v>
      </c>
      <c r="AA205">
        <f t="shared" ca="1" si="67"/>
        <v>11.278105</v>
      </c>
      <c r="AB205" s="18">
        <f t="shared" ca="1" si="75"/>
        <v>2.113392915510981E-2</v>
      </c>
      <c r="AC205" s="18">
        <f t="shared" ca="1" si="76"/>
        <v>2.091370507071022E-2</v>
      </c>
      <c r="AD205" s="18">
        <f t="shared" ca="1" si="71"/>
        <v>-8.634981115679019E-2</v>
      </c>
    </row>
    <row r="206" spans="1:30" x14ac:dyDescent="0.25">
      <c r="A206" vm="550">
        <f ca="1"/>
        <v>45588</v>
      </c>
      <c r="B206" vm="551">
        <f ca="1"/>
        <v>10.885</v>
      </c>
      <c r="C206" vm="552">
        <f ca="1"/>
        <v>37935574</v>
      </c>
      <c r="D206">
        <f t="shared" ca="1" si="68"/>
        <v>412928722.99000001</v>
      </c>
      <c r="E206">
        <f ca="1">SUM($D$2:D206)/SUM($C$2:C206)</f>
        <v>11.677599821094784</v>
      </c>
      <c r="F206">
        <f ca="1">_xlfn.STDEV.P($B$2:B206)</f>
        <v>0.98993520281759517</v>
      </c>
      <c r="G206">
        <f t="shared" ca="1" si="69"/>
        <v>12.667535023912379</v>
      </c>
      <c r="H206">
        <f t="shared" ca="1" si="70"/>
        <v>10.687664618277189</v>
      </c>
      <c r="I206">
        <f t="shared" ca="1" si="59"/>
        <v>10.593699999999998</v>
      </c>
      <c r="J206">
        <f t="shared" ca="1" si="60"/>
        <v>0.22284421747749689</v>
      </c>
      <c r="K206">
        <f t="shared" ca="1" si="61"/>
        <v>11.039388434954992</v>
      </c>
      <c r="L206">
        <f t="shared" ca="1" si="62"/>
        <v>10.148011565045005</v>
      </c>
      <c r="M206">
        <f t="shared" ca="1" si="72"/>
        <v>-4.9200000000000799E-2</v>
      </c>
      <c r="N206">
        <f t="shared" ca="1" si="73"/>
        <v>0</v>
      </c>
      <c r="O206">
        <f t="shared" ca="1" si="74"/>
        <v>4.9200000000000799E-2</v>
      </c>
      <c r="P206">
        <f t="shared" ca="1" si="57"/>
        <v>7.0783359590884345E-2</v>
      </c>
      <c r="Q206">
        <f t="shared" ca="1" si="58"/>
        <v>5.4216019022080543E-2</v>
      </c>
      <c r="R206">
        <f t="shared" ca="1" si="55"/>
        <v>1.3055801747829627</v>
      </c>
      <c r="S206">
        <f t="shared" ca="1" si="56"/>
        <v>56.626969170823322</v>
      </c>
      <c r="T206">
        <f>70</f>
        <v>70</v>
      </c>
      <c r="U206">
        <f>30</f>
        <v>30</v>
      </c>
      <c r="V206">
        <f t="shared" ca="1" si="54"/>
        <v>10.744562806809565</v>
      </c>
      <c r="W206">
        <f t="shared" ca="1" si="64"/>
        <v>10.669853395722475</v>
      </c>
      <c r="X206">
        <f t="shared" ca="1" si="63"/>
        <v>9.4513960149962273E-2</v>
      </c>
      <c r="Y206">
        <f t="shared" ca="1" si="65"/>
        <v>3.7356301057752825E-2</v>
      </c>
      <c r="Z206">
        <f t="shared" ca="1" si="66"/>
        <v>5.7157659092209448E-2</v>
      </c>
      <c r="AA206">
        <f t="shared" ca="1" si="67"/>
        <v>11.267574000000002</v>
      </c>
      <c r="AB206" s="18">
        <f t="shared" ca="1" si="75"/>
        <v>-4.4996433209563147E-3</v>
      </c>
      <c r="AC206" s="18">
        <f t="shared" ca="1" si="76"/>
        <v>-4.5097971865954755E-3</v>
      </c>
      <c r="AD206" s="18">
        <f t="shared" ca="1" si="71"/>
        <v>-9.0460911126709065E-2</v>
      </c>
    </row>
    <row r="207" spans="1:30" x14ac:dyDescent="0.25">
      <c r="A207" vm="553">
        <f ca="1"/>
        <v>45589</v>
      </c>
      <c r="B207" vm="554">
        <f ca="1"/>
        <v>11.062200000000001</v>
      </c>
      <c r="C207" vm="555">
        <f ca="1"/>
        <v>45455550</v>
      </c>
      <c r="D207">
        <f t="shared" ca="1" si="68"/>
        <v>502838385.21000004</v>
      </c>
      <c r="E207">
        <f ca="1">SUM($D$2:D207)/SUM($C$2:C207)</f>
        <v>11.675081932074901</v>
      </c>
      <c r="F207">
        <f ca="1">_xlfn.STDEV.P($B$2:B207)</f>
        <v>0.98848318303957039</v>
      </c>
      <c r="G207">
        <f t="shared" ca="1" si="69"/>
        <v>12.663565115114471</v>
      </c>
      <c r="H207">
        <f t="shared" ca="1" si="70"/>
        <v>10.686598749035332</v>
      </c>
      <c r="I207">
        <f t="shared" ca="1" si="59"/>
        <v>10.621259999999998</v>
      </c>
      <c r="J207">
        <f t="shared" ca="1" si="60"/>
        <v>0.24505565941337978</v>
      </c>
      <c r="K207">
        <f t="shared" ca="1" si="61"/>
        <v>11.111371318826757</v>
      </c>
      <c r="L207">
        <f t="shared" ca="1" si="62"/>
        <v>10.131148681173238</v>
      </c>
      <c r="M207">
        <f t="shared" ca="1" si="72"/>
        <v>0.17720000000000091</v>
      </c>
      <c r="N207">
        <f t="shared" ca="1" si="73"/>
        <v>0.17720000000000091</v>
      </c>
      <c r="O207">
        <f t="shared" ca="1" si="74"/>
        <v>0</v>
      </c>
      <c r="P207">
        <f t="shared" ca="1" si="57"/>
        <v>7.8384548191535536E-2</v>
      </c>
      <c r="Q207">
        <f t="shared" ca="1" si="58"/>
        <v>5.0343446234789077E-2</v>
      </c>
      <c r="R207">
        <f t="shared" ca="1" si="55"/>
        <v>1.5569960750396361</v>
      </c>
      <c r="S207">
        <f t="shared" ca="1" si="56"/>
        <v>60.891609894845111</v>
      </c>
      <c r="T207">
        <f>70</f>
        <v>70</v>
      </c>
      <c r="U207">
        <f>30</f>
        <v>30</v>
      </c>
      <c r="V207">
        <f t="shared" ref="V207:V270" ca="1" si="77">B207*(2/(12+1)) + V206*(1-(2/(12+1)))</f>
        <v>10.793430067300402</v>
      </c>
      <c r="W207">
        <f t="shared" ca="1" si="64"/>
        <v>10.69891610715044</v>
      </c>
      <c r="X207">
        <f t="shared" ca="1" si="63"/>
        <v>9.560739363055859E-2</v>
      </c>
      <c r="Y207">
        <f t="shared" ca="1" si="65"/>
        <v>4.9006519572313986E-2</v>
      </c>
      <c r="Z207">
        <f t="shared" ca="1" si="66"/>
        <v>4.6600874058244604E-2</v>
      </c>
      <c r="AA207">
        <f t="shared" ca="1" si="67"/>
        <v>11.258224</v>
      </c>
      <c r="AB207" s="18">
        <f t="shared" ca="1" si="75"/>
        <v>1.6279283417547141E-2</v>
      </c>
      <c r="AC207" s="18">
        <f t="shared" ca="1" si="76"/>
        <v>1.6148196635752326E-2</v>
      </c>
      <c r="AD207" s="18">
        <f t="shared" ca="1" si="71"/>
        <v>-7.5654266519603164E-2</v>
      </c>
    </row>
    <row r="208" spans="1:30" x14ac:dyDescent="0.25">
      <c r="A208" vm="556">
        <f ca="1"/>
        <v>45590</v>
      </c>
      <c r="B208" vm="541">
        <f ca="1"/>
        <v>10.8949</v>
      </c>
      <c r="C208" vm="557">
        <f ca="1"/>
        <v>39749580</v>
      </c>
      <c r="D208">
        <f t="shared" ca="1" si="68"/>
        <v>433067699.14200002</v>
      </c>
      <c r="E208">
        <f ca="1">SUM($D$2:D208)/SUM($C$2:C208)</f>
        <v>11.672300492325496</v>
      </c>
      <c r="F208">
        <f ca="1">_xlfn.STDEV.P($B$2:B208)</f>
        <v>0.98760838147362184</v>
      </c>
      <c r="G208">
        <f t="shared" ca="1" si="69"/>
        <v>12.659908873799118</v>
      </c>
      <c r="H208">
        <f t="shared" ca="1" si="70"/>
        <v>10.684692110851874</v>
      </c>
      <c r="I208">
        <f t="shared" ca="1" si="59"/>
        <v>10.635529999999999</v>
      </c>
      <c r="J208">
        <f t="shared" ca="1" si="60"/>
        <v>0.25253047153290564</v>
      </c>
      <c r="K208">
        <f t="shared" ca="1" si="61"/>
        <v>11.14059094306581</v>
      </c>
      <c r="L208">
        <f t="shared" ca="1" si="62"/>
        <v>10.130469056934189</v>
      </c>
      <c r="M208">
        <f t="shared" ca="1" si="72"/>
        <v>-0.16730000000000089</v>
      </c>
      <c r="N208">
        <f t="shared" ca="1" si="73"/>
        <v>0</v>
      </c>
      <c r="O208">
        <f t="shared" ca="1" si="74"/>
        <v>0.16730000000000089</v>
      </c>
      <c r="P208">
        <f t="shared" ca="1" si="57"/>
        <v>7.2785651892140146E-2</v>
      </c>
      <c r="Q208">
        <f t="shared" ca="1" si="58"/>
        <v>5.8697485789447064E-2</v>
      </c>
      <c r="R208">
        <f t="shared" ref="R208:R271" ca="1" si="78">IF(Q208=0,NA(),P208/Q208)</f>
        <v>1.2400131098157858</v>
      </c>
      <c r="S208">
        <f t="shared" ref="S208:S271" ca="1" si="79">100-(100/(1+R208))</f>
        <v>55.357404132235729</v>
      </c>
      <c r="T208">
        <f>70</f>
        <v>70</v>
      </c>
      <c r="U208">
        <f>30</f>
        <v>30</v>
      </c>
      <c r="V208">
        <f t="shared" ca="1" si="77"/>
        <v>10.809040826177263</v>
      </c>
      <c r="W208">
        <f t="shared" ca="1" si="64"/>
        <v>10.713433432546704</v>
      </c>
      <c r="X208">
        <f t="shared" ca="1" si="63"/>
        <v>0.1189232472848083</v>
      </c>
      <c r="Y208">
        <f t="shared" ca="1" si="65"/>
        <v>6.298986511481286E-2</v>
      </c>
      <c r="Z208">
        <f t="shared" ca="1" si="66"/>
        <v>5.5933382169995438E-2</v>
      </c>
      <c r="AA208">
        <f t="shared" ca="1" si="67"/>
        <v>11.248775999999998</v>
      </c>
      <c r="AB208" s="18">
        <f t="shared" ca="1" si="75"/>
        <v>-1.5123573972627535E-2</v>
      </c>
      <c r="AC208" s="18">
        <f t="shared" ca="1" si="76"/>
        <v>-1.5239101490060672E-2</v>
      </c>
      <c r="AD208" s="18">
        <f t="shared" ca="1" si="71"/>
        <v>-8.9633677596176575E-2</v>
      </c>
    </row>
    <row r="209" spans="1:30" x14ac:dyDescent="0.25">
      <c r="A209" vm="558">
        <f ca="1"/>
        <v>45593</v>
      </c>
      <c r="B209" vm="41">
        <f ca="1"/>
        <v>11.190099999999999</v>
      </c>
      <c r="C209" vm="559">
        <f ca="1"/>
        <v>99541758</v>
      </c>
      <c r="D209">
        <f t="shared" ca="1" si="68"/>
        <v>1113882226.1957998</v>
      </c>
      <c r="E209">
        <f ca="1">SUM($D$2:D209)/SUM($C$2:C209)</f>
        <v>11.668033576524238</v>
      </c>
      <c r="F209">
        <f ca="1">_xlfn.STDEV.P($B$2:B209)</f>
        <v>0.98581387990513203</v>
      </c>
      <c r="G209">
        <f t="shared" ca="1" si="69"/>
        <v>12.65384745642937</v>
      </c>
      <c r="H209">
        <f t="shared" ca="1" si="70"/>
        <v>10.682219696619105</v>
      </c>
      <c r="I209">
        <f t="shared" ca="1" si="59"/>
        <v>10.675389999999998</v>
      </c>
      <c r="J209">
        <f t="shared" ca="1" si="60"/>
        <v>0.27420347016883578</v>
      </c>
      <c r="K209">
        <f t="shared" ca="1" si="61"/>
        <v>11.223796940337669</v>
      </c>
      <c r="L209">
        <f t="shared" ca="1" si="62"/>
        <v>10.126983059662328</v>
      </c>
      <c r="M209">
        <f t="shared" ca="1" si="72"/>
        <v>0.29519999999999946</v>
      </c>
      <c r="N209">
        <f t="shared" ca="1" si="73"/>
        <v>0.29519999999999946</v>
      </c>
      <c r="O209">
        <f t="shared" ca="1" si="74"/>
        <v>0</v>
      </c>
      <c r="P209">
        <f t="shared" ref="P209:P272" ca="1" si="80">(P208*13+N209)/14</f>
        <v>8.8672391042701526E-2</v>
      </c>
      <c r="Q209">
        <f t="shared" ref="Q209:Q272" ca="1" si="81">(Q208*13+O209)/14</f>
        <v>5.4504808233057984E-2</v>
      </c>
      <c r="R209">
        <f t="shared" ca="1" si="78"/>
        <v>1.626872819431743</v>
      </c>
      <c r="S209">
        <f t="shared" ca="1" si="79"/>
        <v>61.931921766340992</v>
      </c>
      <c r="T209">
        <f>70</f>
        <v>70</v>
      </c>
      <c r="U209">
        <f>30</f>
        <v>30</v>
      </c>
      <c r="V209">
        <f t="shared" ca="1" si="77"/>
        <v>10.867665314457684</v>
      </c>
      <c r="W209">
        <f t="shared" ca="1" si="64"/>
        <v>10.748742067172875</v>
      </c>
      <c r="X209">
        <f t="shared" ca="1" si="63"/>
        <v>6.0466742344010171E-2</v>
      </c>
      <c r="Y209">
        <f t="shared" ca="1" si="65"/>
        <v>6.2485240560652328E-2</v>
      </c>
      <c r="Z209">
        <f t="shared" ca="1" si="66"/>
        <v>-2.0184982166421561E-3</v>
      </c>
      <c r="AA209">
        <f t="shared" ca="1" si="67"/>
        <v>11.241885999999999</v>
      </c>
      <c r="AB209" s="18">
        <f t="shared" ca="1" si="75"/>
        <v>2.709524639969163E-2</v>
      </c>
      <c r="AC209" s="18">
        <f t="shared" ca="1" si="76"/>
        <v>2.6734669002192287E-2</v>
      </c>
      <c r="AD209" s="18">
        <f t="shared" ca="1" si="71"/>
        <v>-6.4967077776663884E-2</v>
      </c>
    </row>
    <row r="210" spans="1:30" x14ac:dyDescent="0.25">
      <c r="A210" vm="560">
        <f ca="1"/>
        <v>45594</v>
      </c>
      <c r="B210" vm="561">
        <f ca="1"/>
        <v>10.2453</v>
      </c>
      <c r="C210" vm="562">
        <f ca="1"/>
        <v>158739237</v>
      </c>
      <c r="D210">
        <f t="shared" ca="1" si="68"/>
        <v>1626331104.8361001</v>
      </c>
      <c r="E210">
        <f ca="1">SUM($D$2:D210)/SUM($C$2:C210)</f>
        <v>11.648236394003773</v>
      </c>
      <c r="F210">
        <f ca="1">_xlfn.STDEV.P($B$2:B210)</f>
        <v>0.98840653752588803</v>
      </c>
      <c r="G210">
        <f t="shared" ca="1" si="69"/>
        <v>12.636642931529661</v>
      </c>
      <c r="H210">
        <f t="shared" ca="1" si="70"/>
        <v>10.659829856477884</v>
      </c>
      <c r="I210">
        <f t="shared" ca="1" si="59"/>
        <v>10.658659999999998</v>
      </c>
      <c r="J210">
        <f t="shared" ca="1" si="60"/>
        <v>0.29008388333104795</v>
      </c>
      <c r="K210">
        <f t="shared" ca="1" si="61"/>
        <v>11.238827766662094</v>
      </c>
      <c r="L210">
        <f t="shared" ca="1" si="62"/>
        <v>10.078492233337901</v>
      </c>
      <c r="M210">
        <f t="shared" ca="1" si="72"/>
        <v>-0.94479999999999897</v>
      </c>
      <c r="N210">
        <f t="shared" ca="1" si="73"/>
        <v>0</v>
      </c>
      <c r="O210">
        <f t="shared" ca="1" si="74"/>
        <v>0.94479999999999897</v>
      </c>
      <c r="P210">
        <f t="shared" ca="1" si="80"/>
        <v>8.2338648825365707E-2</v>
      </c>
      <c r="Q210">
        <f t="shared" ca="1" si="81"/>
        <v>0.11809732193069664</v>
      </c>
      <c r="R210">
        <f t="shared" ca="1" si="78"/>
        <v>0.69721012703137086</v>
      </c>
      <c r="S210">
        <f t="shared" ca="1" si="79"/>
        <v>41.079776506570646</v>
      </c>
      <c r="T210">
        <f>70</f>
        <v>70</v>
      </c>
      <c r="U210">
        <f>30</f>
        <v>30</v>
      </c>
      <c r="V210">
        <f t="shared" ca="1" si="77"/>
        <v>10.771916804541117</v>
      </c>
      <c r="W210">
        <f t="shared" ca="1" si="64"/>
        <v>10.711450062197107</v>
      </c>
      <c r="X210">
        <f t="shared" ca="1" si="63"/>
        <v>1.8692936565958718E-2</v>
      </c>
      <c r="Y210">
        <f t="shared" ca="1" si="65"/>
        <v>5.3726779761713611E-2</v>
      </c>
      <c r="Z210">
        <f t="shared" ca="1" si="66"/>
        <v>-3.5033843195754893E-2</v>
      </c>
      <c r="AA210">
        <f t="shared" ca="1" si="67"/>
        <v>11.225547999999998</v>
      </c>
      <c r="AB210" s="18">
        <f t="shared" ca="1" si="75"/>
        <v>-8.4431774514972968E-2</v>
      </c>
      <c r="AC210" s="18">
        <f t="shared" ca="1" si="76"/>
        <v>-8.8210394995390989E-2</v>
      </c>
      <c r="AD210" s="18">
        <f t="shared" ca="1" si="71"/>
        <v>-0.14391356662990085</v>
      </c>
    </row>
    <row r="211" spans="1:30" x14ac:dyDescent="0.25">
      <c r="A211" vm="563">
        <f ca="1"/>
        <v>45595</v>
      </c>
      <c r="B211" vm="564">
        <f ca="1"/>
        <v>10.304399999999999</v>
      </c>
      <c r="C211" vm="565">
        <f ca="1"/>
        <v>49639031</v>
      </c>
      <c r="D211">
        <f t="shared" ca="1" si="68"/>
        <v>511500431.03639996</v>
      </c>
      <c r="E211">
        <f ca="1">SUM($D$2:D211)/SUM($C$2:C211)</f>
        <v>11.642414295269967</v>
      </c>
      <c r="F211">
        <f ca="1">_xlfn.STDEV.P($B$2:B211)</f>
        <v>0.99052647129347671</v>
      </c>
      <c r="G211">
        <f t="shared" ca="1" si="69"/>
        <v>12.632940766563443</v>
      </c>
      <c r="H211">
        <f t="shared" ca="1" si="70"/>
        <v>10.651887823976491</v>
      </c>
      <c r="I211">
        <f t="shared" ca="1" si="59"/>
        <v>10.658169999999998</v>
      </c>
      <c r="J211">
        <f t="shared" ca="1" si="60"/>
        <v>0.29070397151162486</v>
      </c>
      <c r="K211">
        <f t="shared" ca="1" si="61"/>
        <v>11.239577943023248</v>
      </c>
      <c r="L211">
        <f t="shared" ca="1" si="62"/>
        <v>10.076762056976749</v>
      </c>
      <c r="M211">
        <f t="shared" ca="1" si="72"/>
        <v>5.9099999999999042E-2</v>
      </c>
      <c r="N211">
        <f t="shared" ca="1" si="73"/>
        <v>5.9099999999999042E-2</v>
      </c>
      <c r="O211">
        <f t="shared" ca="1" si="74"/>
        <v>0</v>
      </c>
      <c r="P211">
        <f t="shared" ca="1" si="80"/>
        <v>8.0678745337839516E-2</v>
      </c>
      <c r="Q211">
        <f t="shared" ca="1" si="81"/>
        <v>0.10966179893564687</v>
      </c>
      <c r="R211">
        <f t="shared" ca="1" si="78"/>
        <v>0.7357051053410536</v>
      </c>
      <c r="S211">
        <f t="shared" ca="1" si="79"/>
        <v>42.386526552071921</v>
      </c>
      <c r="T211">
        <f>70</f>
        <v>70</v>
      </c>
      <c r="U211">
        <f>30</f>
        <v>30</v>
      </c>
      <c r="V211">
        <f t="shared" ca="1" si="77"/>
        <v>10.699991142304022</v>
      </c>
      <c r="W211">
        <f t="shared" ca="1" si="64"/>
        <v>10.681298205738063</v>
      </c>
      <c r="X211">
        <f t="shared" ca="1" si="63"/>
        <v>-2.8384466098506422E-2</v>
      </c>
      <c r="Y211">
        <f t="shared" ca="1" si="65"/>
        <v>3.7304530589669607E-2</v>
      </c>
      <c r="Z211">
        <f t="shared" ca="1" si="66"/>
        <v>-6.568899668817603E-2</v>
      </c>
      <c r="AA211">
        <f t="shared" ca="1" si="67"/>
        <v>11.209014</v>
      </c>
      <c r="AB211" s="18">
        <f t="shared" ca="1" si="75"/>
        <v>5.7684987262451859E-3</v>
      </c>
      <c r="AC211" s="18">
        <f t="shared" ca="1" si="76"/>
        <v>5.7519246452987435E-3</v>
      </c>
      <c r="AD211" s="18">
        <f t="shared" ca="1" si="71"/>
        <v>-0.13897523312944959</v>
      </c>
    </row>
    <row r="212" spans="1:30" x14ac:dyDescent="0.25">
      <c r="A212" vm="566">
        <f ca="1"/>
        <v>45596</v>
      </c>
      <c r="B212" vm="567">
        <f ca="1"/>
        <v>10.1272</v>
      </c>
      <c r="C212" vm="568">
        <f ca="1"/>
        <v>73257640</v>
      </c>
      <c r="D212">
        <f t="shared" ca="1" si="68"/>
        <v>741894771.80799997</v>
      </c>
      <c r="E212">
        <f ca="1">SUM($D$2:D212)/SUM($C$2:C212)</f>
        <v>11.632787784992088</v>
      </c>
      <c r="F212">
        <f ca="1">_xlfn.STDEV.P($B$2:B212)</f>
        <v>0.99379873461308921</v>
      </c>
      <c r="G212">
        <f t="shared" ca="1" si="69"/>
        <v>12.626586519605176</v>
      </c>
      <c r="H212">
        <f t="shared" ca="1" si="70"/>
        <v>10.638989050378999</v>
      </c>
      <c r="I212">
        <f t="shared" ca="1" si="59"/>
        <v>10.650294999999998</v>
      </c>
      <c r="J212">
        <f t="shared" ca="1" si="60"/>
        <v>0.30321749788941244</v>
      </c>
      <c r="K212">
        <f t="shared" ca="1" si="61"/>
        <v>11.256729995778823</v>
      </c>
      <c r="L212">
        <f t="shared" ca="1" si="62"/>
        <v>10.043860004221173</v>
      </c>
      <c r="M212">
        <f t="shared" ca="1" si="72"/>
        <v>-0.17719999999999914</v>
      </c>
      <c r="N212">
        <f t="shared" ca="1" si="73"/>
        <v>0</v>
      </c>
      <c r="O212">
        <f t="shared" ca="1" si="74"/>
        <v>0.17719999999999914</v>
      </c>
      <c r="P212">
        <f t="shared" ca="1" si="80"/>
        <v>7.4915977813708109E-2</v>
      </c>
      <c r="Q212">
        <f t="shared" ca="1" si="81"/>
        <v>0.11448595615452918</v>
      </c>
      <c r="R212">
        <f t="shared" ca="1" si="78"/>
        <v>0.6543682765123533</v>
      </c>
      <c r="S212">
        <f t="shared" ca="1" si="79"/>
        <v>39.553966659216648</v>
      </c>
      <c r="T212">
        <f>70</f>
        <v>70</v>
      </c>
      <c r="U212">
        <f>30</f>
        <v>30</v>
      </c>
      <c r="V212">
        <f t="shared" ca="1" si="77"/>
        <v>10.611869428103404</v>
      </c>
      <c r="W212">
        <f t="shared" ca="1" si="64"/>
        <v>10.64025389420191</v>
      </c>
      <c r="X212">
        <f t="shared" ca="1" si="63"/>
        <v>-7.0441297632219957E-2</v>
      </c>
      <c r="Y212">
        <f t="shared" ca="1" si="65"/>
        <v>1.5755364945291696E-2</v>
      </c>
      <c r="Z212">
        <f t="shared" ca="1" si="66"/>
        <v>-8.6196662577511657E-2</v>
      </c>
      <c r="AA212">
        <f t="shared" ca="1" si="67"/>
        <v>11.188444999999996</v>
      </c>
      <c r="AB212" s="18">
        <f t="shared" ca="1" si="75"/>
        <v>-1.7196537401498291E-2</v>
      </c>
      <c r="AC212" s="18">
        <f t="shared" ca="1" si="76"/>
        <v>-1.734611514382076E-2</v>
      </c>
      <c r="AD212" s="18">
        <f t="shared" ca="1" si="71"/>
        <v>-0.15378187773655538</v>
      </c>
    </row>
    <row r="213" spans="1:30" x14ac:dyDescent="0.25">
      <c r="A213" vm="569">
        <f ca="1"/>
        <v>45597</v>
      </c>
      <c r="B213" vm="570">
        <f ca="1"/>
        <v>10.058299999999999</v>
      </c>
      <c r="C213" vm="571">
        <f ca="1"/>
        <v>44171064</v>
      </c>
      <c r="D213">
        <f t="shared" ca="1" si="68"/>
        <v>444285813.03119993</v>
      </c>
      <c r="E213">
        <f ca="1">SUM($D$2:D213)/SUM($C$2:C213)</f>
        <v>11.626779388652668</v>
      </c>
      <c r="F213">
        <f ca="1">_xlfn.STDEV.P($B$2:B213)</f>
        <v>0.99748443330367875</v>
      </c>
      <c r="G213">
        <f t="shared" ca="1" si="69"/>
        <v>12.624263821956347</v>
      </c>
      <c r="H213">
        <f t="shared" ca="1" si="70"/>
        <v>10.629294955348989</v>
      </c>
      <c r="I213">
        <f t="shared" ca="1" si="59"/>
        <v>10.63307</v>
      </c>
      <c r="J213">
        <f t="shared" ca="1" si="60"/>
        <v>0.32687889774268652</v>
      </c>
      <c r="K213">
        <f t="shared" ca="1" si="61"/>
        <v>11.286827795485372</v>
      </c>
      <c r="L213">
        <f t="shared" ca="1" si="62"/>
        <v>9.9793122045146276</v>
      </c>
      <c r="M213">
        <f t="shared" ca="1" si="72"/>
        <v>-6.8900000000001071E-2</v>
      </c>
      <c r="N213">
        <f t="shared" ca="1" si="73"/>
        <v>0</v>
      </c>
      <c r="O213">
        <f t="shared" ca="1" si="74"/>
        <v>6.8900000000001071E-2</v>
      </c>
      <c r="P213">
        <f t="shared" ca="1" si="80"/>
        <v>6.9564836541300384E-2</v>
      </c>
      <c r="Q213">
        <f t="shared" ca="1" si="81"/>
        <v>0.11122981642920574</v>
      </c>
      <c r="R213">
        <f t="shared" ca="1" si="78"/>
        <v>0.62541536770022632</v>
      </c>
      <c r="S213">
        <f t="shared" ca="1" si="79"/>
        <v>38.477264342905549</v>
      </c>
      <c r="T213">
        <f>70</f>
        <v>70</v>
      </c>
      <c r="U213">
        <f>30</f>
        <v>30</v>
      </c>
      <c r="V213">
        <f t="shared" ca="1" si="77"/>
        <v>10.526704900702882</v>
      </c>
      <c r="W213">
        <f t="shared" ca="1" si="64"/>
        <v>10.597146198335102</v>
      </c>
      <c r="X213">
        <f t="shared" ca="1" si="63"/>
        <v>-9.1596464245450093E-2</v>
      </c>
      <c r="Y213">
        <f t="shared" ca="1" si="65"/>
        <v>-5.7150008928566597E-3</v>
      </c>
      <c r="Z213">
        <f t="shared" ca="1" si="66"/>
        <v>-8.5881463352593432E-2</v>
      </c>
      <c r="AA213">
        <f t="shared" ca="1" si="67"/>
        <v>11.169843999999998</v>
      </c>
      <c r="AB213" s="18">
        <f t="shared" ca="1" si="75"/>
        <v>-6.8034599889408298E-3</v>
      </c>
      <c r="AC213" s="18">
        <f t="shared" ca="1" si="76"/>
        <v>-6.8267090321444245E-3</v>
      </c>
      <c r="AD213" s="18">
        <f t="shared" ca="1" si="71"/>
        <v>-0.15953908887329138</v>
      </c>
    </row>
    <row r="214" spans="1:30" x14ac:dyDescent="0.25">
      <c r="A214" vm="572">
        <f ca="1"/>
        <v>45600</v>
      </c>
      <c r="B214" vm="573">
        <f ca="1"/>
        <v>10.196099999999999</v>
      </c>
      <c r="C214" vm="574">
        <f ca="1"/>
        <v>56213140</v>
      </c>
      <c r="D214">
        <f t="shared" ca="1" si="68"/>
        <v>573154796.75399995</v>
      </c>
      <c r="E214">
        <f ca="1">SUM($D$2:D214)/SUM($C$2:C214)</f>
        <v>11.61986493999995</v>
      </c>
      <c r="F214">
        <f ca="1">_xlfn.STDEV.P($B$2:B214)</f>
        <v>1.0000865538594077</v>
      </c>
      <c r="G214">
        <f t="shared" ca="1" si="69"/>
        <v>12.619951493859357</v>
      </c>
      <c r="H214">
        <f t="shared" ca="1" si="70"/>
        <v>10.619778386140542</v>
      </c>
      <c r="I214">
        <f t="shared" ref="I214:I277" ca="1" si="82">AVERAGE(B195:B214)</f>
        <v>10.626675000000001</v>
      </c>
      <c r="J214">
        <f t="shared" ref="J214:J277" ca="1" si="83">_xlfn.STDEV.S(B195:B214)</f>
        <v>0.33440812265852643</v>
      </c>
      <c r="K214">
        <f t="shared" ref="K214:K277" ca="1" si="84">I214 + 2*J214</f>
        <v>11.295491245317054</v>
      </c>
      <c r="L214">
        <f t="shared" ref="L214:L277" ca="1" si="85">I214-2*J214</f>
        <v>9.9578587546829471</v>
      </c>
      <c r="M214">
        <f t="shared" ca="1" si="72"/>
        <v>0.13780000000000037</v>
      </c>
      <c r="N214">
        <f t="shared" ca="1" si="73"/>
        <v>0.13780000000000037</v>
      </c>
      <c r="O214">
        <f t="shared" ca="1" si="74"/>
        <v>0</v>
      </c>
      <c r="P214">
        <f t="shared" ca="1" si="80"/>
        <v>7.4438776788350383E-2</v>
      </c>
      <c r="Q214">
        <f t="shared" ca="1" si="81"/>
        <v>0.10328482954140532</v>
      </c>
      <c r="R214">
        <f t="shared" ca="1" si="78"/>
        <v>0.72071355608433285</v>
      </c>
      <c r="S214">
        <f t="shared" ca="1" si="79"/>
        <v>41.884574776315084</v>
      </c>
      <c r="T214">
        <f>70</f>
        <v>70</v>
      </c>
      <c r="U214">
        <f>30</f>
        <v>30</v>
      </c>
      <c r="V214">
        <f t="shared" ca="1" si="77"/>
        <v>10.475842608287053</v>
      </c>
      <c r="W214">
        <f t="shared" ca="1" si="64"/>
        <v>10.567439072532503</v>
      </c>
      <c r="X214">
        <f t="shared" ca="1" si="63"/>
        <v>-8.8285025389769345E-2</v>
      </c>
      <c r="Y214">
        <f t="shared" ca="1" si="65"/>
        <v>-2.2229005792239197E-2</v>
      </c>
      <c r="Z214">
        <f t="shared" ca="1" si="66"/>
        <v>-6.6056019597530144E-2</v>
      </c>
      <c r="AA214">
        <f t="shared" ca="1" si="67"/>
        <v>11.152915999999998</v>
      </c>
      <c r="AB214" s="18">
        <f t="shared" ca="1" si="75"/>
        <v>1.3700128252289279E-2</v>
      </c>
      <c r="AC214" s="18">
        <f t="shared" ca="1" si="76"/>
        <v>1.3607129925188161E-2</v>
      </c>
      <c r="AD214" s="18">
        <f t="shared" ca="1" si="71"/>
        <v>-0.14802466659981961</v>
      </c>
    </row>
    <row r="215" spans="1:30" x14ac:dyDescent="0.25">
      <c r="A215" vm="575">
        <f ca="1"/>
        <v>45601</v>
      </c>
      <c r="B215" vm="576">
        <f ca="1"/>
        <v>10.4323</v>
      </c>
      <c r="C215" vm="577">
        <f ca="1"/>
        <v>50101574</v>
      </c>
      <c r="D215">
        <f t="shared" ca="1" si="68"/>
        <v>522674650.44019997</v>
      </c>
      <c r="E215">
        <f ca="1">SUM($D$2:D215)/SUM($C$2:C215)</f>
        <v>11.614771403683513</v>
      </c>
      <c r="F215">
        <f ca="1">_xlfn.STDEV.P($B$2:B215)</f>
        <v>1.0011553421188903</v>
      </c>
      <c r="G215">
        <f t="shared" ca="1" si="69"/>
        <v>12.615926745802403</v>
      </c>
      <c r="H215">
        <f t="shared" ca="1" si="70"/>
        <v>10.613616061564622</v>
      </c>
      <c r="I215">
        <f t="shared" ca="1" si="82"/>
        <v>10.63209</v>
      </c>
      <c r="J215">
        <f t="shared" ca="1" si="83"/>
        <v>0.33009807936430052</v>
      </c>
      <c r="K215">
        <f t="shared" ca="1" si="84"/>
        <v>11.292286158728601</v>
      </c>
      <c r="L215">
        <f t="shared" ca="1" si="85"/>
        <v>9.9718938412713989</v>
      </c>
      <c r="M215">
        <f t="shared" ca="1" si="72"/>
        <v>0.23620000000000019</v>
      </c>
      <c r="N215">
        <f t="shared" ca="1" si="73"/>
        <v>0.23620000000000019</v>
      </c>
      <c r="O215">
        <f t="shared" ca="1" si="74"/>
        <v>0</v>
      </c>
      <c r="P215">
        <f t="shared" ca="1" si="80"/>
        <v>8.5993149874896799E-2</v>
      </c>
      <c r="Q215">
        <f t="shared" ca="1" si="81"/>
        <v>9.5907341717019215E-2</v>
      </c>
      <c r="R215">
        <f t="shared" ca="1" si="78"/>
        <v>0.89662739405941538</v>
      </c>
      <c r="S215">
        <f t="shared" ca="1" si="79"/>
        <v>47.274830937685323</v>
      </c>
      <c r="T215">
        <f>70</f>
        <v>70</v>
      </c>
      <c r="U215">
        <f>30</f>
        <v>30</v>
      </c>
      <c r="V215">
        <f t="shared" ca="1" si="77"/>
        <v>10.469143745473659</v>
      </c>
      <c r="W215">
        <f t="shared" ca="1" si="64"/>
        <v>10.557428770863428</v>
      </c>
      <c r="X215">
        <f t="shared" ca="1" si="63"/>
        <v>-3.836084935879569E-2</v>
      </c>
      <c r="Y215">
        <f t="shared" ca="1" si="65"/>
        <v>-2.54553745055505E-2</v>
      </c>
      <c r="Z215">
        <f t="shared" ca="1" si="66"/>
        <v>-1.290547485324519E-2</v>
      </c>
      <c r="AA215">
        <f t="shared" ca="1" si="67"/>
        <v>11.139727999999996</v>
      </c>
      <c r="AB215" s="18">
        <f t="shared" ca="1" si="75"/>
        <v>2.3165720226361097E-2</v>
      </c>
      <c r="AC215" s="18">
        <f t="shared" ca="1" si="76"/>
        <v>2.2901468205989775E-2</v>
      </c>
      <c r="AD215" s="18">
        <f t="shared" ca="1" si="71"/>
        <v>-0.12828804438651031</v>
      </c>
    </row>
    <row r="216" spans="1:30" x14ac:dyDescent="0.25">
      <c r="A216" vm="578">
        <f ca="1"/>
        <v>45602</v>
      </c>
      <c r="B216" vm="382">
        <f ca="1"/>
        <v>11.013</v>
      </c>
      <c r="C216" vm="579">
        <f ca="1"/>
        <v>102401767</v>
      </c>
      <c r="D216">
        <f t="shared" ca="1" si="68"/>
        <v>1127750659.971</v>
      </c>
      <c r="E216">
        <f ca="1">SUM($D$2:D216)/SUM($C$2:C216)</f>
        <v>11.609541916711432</v>
      </c>
      <c r="F216">
        <f ca="1">_xlfn.STDEV.P($B$2:B216)</f>
        <v>0.99972606849223022</v>
      </c>
      <c r="G216">
        <f t="shared" ca="1" si="69"/>
        <v>12.609267985203662</v>
      </c>
      <c r="H216">
        <f t="shared" ca="1" si="70"/>
        <v>10.609815848219203</v>
      </c>
      <c r="I216">
        <f t="shared" ca="1" si="82"/>
        <v>10.66014</v>
      </c>
      <c r="J216">
        <f t="shared" ca="1" si="83"/>
        <v>0.33773658904381004</v>
      </c>
      <c r="K216">
        <f t="shared" ca="1" si="84"/>
        <v>11.33561317808762</v>
      </c>
      <c r="L216">
        <f t="shared" ca="1" si="85"/>
        <v>9.9846668219123806</v>
      </c>
      <c r="M216">
        <f t="shared" ca="1" si="72"/>
        <v>0.58070000000000022</v>
      </c>
      <c r="N216">
        <f t="shared" ca="1" si="73"/>
        <v>0.58070000000000022</v>
      </c>
      <c r="O216">
        <f t="shared" ca="1" si="74"/>
        <v>0</v>
      </c>
      <c r="P216">
        <f t="shared" ca="1" si="80"/>
        <v>0.12132935345526133</v>
      </c>
      <c r="Q216">
        <f t="shared" ca="1" si="81"/>
        <v>8.9056817308660691E-2</v>
      </c>
      <c r="R216">
        <f t="shared" ca="1" si="78"/>
        <v>1.3623814225782147</v>
      </c>
      <c r="S216">
        <f t="shared" ca="1" si="79"/>
        <v>57.669833057329186</v>
      </c>
      <c r="T216">
        <f>70</f>
        <v>70</v>
      </c>
      <c r="U216">
        <f>30</f>
        <v>30</v>
      </c>
      <c r="V216">
        <f t="shared" ca="1" si="77"/>
        <v>10.55281393847771</v>
      </c>
      <c r="W216">
        <f t="shared" ca="1" si="64"/>
        <v>10.591174787836506</v>
      </c>
      <c r="X216">
        <f t="shared" ca="1" si="63"/>
        <v>-1.6869704612490821E-2</v>
      </c>
      <c r="Y216">
        <f t="shared" ca="1" si="65"/>
        <v>-2.3738240526938566E-2</v>
      </c>
      <c r="Z216">
        <f t="shared" ca="1" si="66"/>
        <v>6.8685359144477452E-3</v>
      </c>
      <c r="AA216">
        <f t="shared" ca="1" si="67"/>
        <v>11.134610999999992</v>
      </c>
      <c r="AB216" s="18">
        <f t="shared" ca="1" si="75"/>
        <v>5.5663659979103386E-2</v>
      </c>
      <c r="AC216" s="18">
        <f t="shared" ca="1" si="76"/>
        <v>5.4169630743291987E-2</v>
      </c>
      <c r="AD216" s="18">
        <f t="shared" ca="1" si="71"/>
        <v>-7.9765366489521816E-2</v>
      </c>
    </row>
    <row r="217" spans="1:30" x14ac:dyDescent="0.25">
      <c r="A217" vm="580">
        <f ca="1"/>
        <v>45603</v>
      </c>
      <c r="B217" vm="581">
        <f ca="1"/>
        <v>10.7866</v>
      </c>
      <c r="C217" vm="582">
        <f ca="1"/>
        <v>56298581</v>
      </c>
      <c r="D217">
        <f t="shared" ca="1" si="68"/>
        <v>607270273.81459999</v>
      </c>
      <c r="E217">
        <f ca="1">SUM($D$2:D217)/SUM($C$2:C217)</f>
        <v>11.60562885461689</v>
      </c>
      <c r="F217">
        <f ca="1">_xlfn.STDEV.P($B$2:B217)</f>
        <v>0.99906669871646936</v>
      </c>
      <c r="G217">
        <f t="shared" ca="1" si="69"/>
        <v>12.604695553333359</v>
      </c>
      <c r="H217">
        <f t="shared" ca="1" si="70"/>
        <v>10.606562155900422</v>
      </c>
      <c r="I217">
        <f t="shared" ca="1" si="82"/>
        <v>10.673919999999999</v>
      </c>
      <c r="J217">
        <f t="shared" ca="1" si="83"/>
        <v>0.33695272915382452</v>
      </c>
      <c r="K217">
        <f t="shared" ca="1" si="84"/>
        <v>11.347825458307648</v>
      </c>
      <c r="L217">
        <f t="shared" ca="1" si="85"/>
        <v>10.00001454169235</v>
      </c>
      <c r="M217">
        <f t="shared" ca="1" si="72"/>
        <v>-0.22639999999999993</v>
      </c>
      <c r="N217">
        <f t="shared" ca="1" si="73"/>
        <v>0</v>
      </c>
      <c r="O217">
        <f t="shared" ca="1" si="74"/>
        <v>0.22639999999999993</v>
      </c>
      <c r="P217">
        <f t="shared" ca="1" si="80"/>
        <v>0.11266297106559982</v>
      </c>
      <c r="Q217">
        <f t="shared" ca="1" si="81"/>
        <v>9.8867044643756355E-2</v>
      </c>
      <c r="R217">
        <f t="shared" ca="1" si="78"/>
        <v>1.1395401923012241</v>
      </c>
      <c r="S217">
        <f t="shared" ca="1" si="79"/>
        <v>53.260985533324778</v>
      </c>
      <c r="T217">
        <f>70</f>
        <v>70</v>
      </c>
      <c r="U217">
        <f>30</f>
        <v>30</v>
      </c>
      <c r="V217">
        <f t="shared" ca="1" si="77"/>
        <v>10.588781024865755</v>
      </c>
      <c r="W217">
        <f t="shared" ca="1" si="64"/>
        <v>10.605650729478246</v>
      </c>
      <c r="X217">
        <f t="shared" ca="1" si="63"/>
        <v>9.5007779116329516E-4</v>
      </c>
      <c r="Y217">
        <f t="shared" ca="1" si="65"/>
        <v>-1.8800576863318194E-2</v>
      </c>
      <c r="Z217">
        <f t="shared" ca="1" si="66"/>
        <v>1.9750654654481489E-2</v>
      </c>
      <c r="AA217">
        <f t="shared" ca="1" si="67"/>
        <v>11.125851999999995</v>
      </c>
      <c r="AB217" s="18">
        <f t="shared" ca="1" si="75"/>
        <v>-2.055752292744939E-2</v>
      </c>
      <c r="AC217" s="18">
        <f t="shared" ca="1" si="76"/>
        <v>-2.0771770149440576E-2</v>
      </c>
      <c r="AD217" s="18">
        <f t="shared" ca="1" si="71"/>
        <v>-9.8683111066546481E-2</v>
      </c>
    </row>
    <row r="218" spans="1:30" x14ac:dyDescent="0.25">
      <c r="A218" vm="583">
        <f ca="1"/>
        <v>45604</v>
      </c>
      <c r="B218" vm="584">
        <f ca="1"/>
        <v>10.7965</v>
      </c>
      <c r="C218" vm="585">
        <f ca="1"/>
        <v>46194234</v>
      </c>
      <c r="D218">
        <f t="shared" ca="1" si="68"/>
        <v>498736047.38099998</v>
      </c>
      <c r="E218">
        <f ca="1">SUM($D$2:D218)/SUM($C$2:C218)</f>
        <v>11.602484261651076</v>
      </c>
      <c r="F218">
        <f ca="1">_xlfn.STDEV.P($B$2:B218)</f>
        <v>0.99835963181754506</v>
      </c>
      <c r="G218">
        <f t="shared" ca="1" si="69"/>
        <v>12.600843893468621</v>
      </c>
      <c r="H218">
        <f t="shared" ca="1" si="70"/>
        <v>10.604124629833532</v>
      </c>
      <c r="I218">
        <f t="shared" ca="1" si="82"/>
        <v>10.686225</v>
      </c>
      <c r="J218">
        <f t="shared" ca="1" si="83"/>
        <v>0.33669806069971275</v>
      </c>
      <c r="K218">
        <f t="shared" ca="1" si="84"/>
        <v>11.359621121399426</v>
      </c>
      <c r="L218">
        <f t="shared" ca="1" si="85"/>
        <v>10.012828878600574</v>
      </c>
      <c r="M218">
        <f t="shared" ca="1" si="72"/>
        <v>9.9000000000000199E-3</v>
      </c>
      <c r="N218">
        <f t="shared" ca="1" si="73"/>
        <v>9.9000000000000199E-3</v>
      </c>
      <c r="O218">
        <f t="shared" ca="1" si="74"/>
        <v>0</v>
      </c>
      <c r="P218">
        <f t="shared" ca="1" si="80"/>
        <v>0.10532275884662841</v>
      </c>
      <c r="Q218">
        <f t="shared" ca="1" si="81"/>
        <v>9.1805112883488041E-2</v>
      </c>
      <c r="R218">
        <f t="shared" ca="1" si="78"/>
        <v>1.14724284452758</v>
      </c>
      <c r="S218">
        <f t="shared" ca="1" si="79"/>
        <v>53.428649090689483</v>
      </c>
      <c r="T218">
        <f>70</f>
        <v>70</v>
      </c>
      <c r="U218">
        <f>30</f>
        <v>30</v>
      </c>
      <c r="V218">
        <f t="shared" ca="1" si="77"/>
        <v>10.620737790271022</v>
      </c>
      <c r="W218">
        <f t="shared" ca="1" si="64"/>
        <v>10.619787712479859</v>
      </c>
      <c r="X218">
        <f t="shared" ca="1" si="63"/>
        <v>3.5306316679600158E-2</v>
      </c>
      <c r="Y218">
        <f t="shared" ca="1" si="65"/>
        <v>-7.9791981547345237E-3</v>
      </c>
      <c r="Z218">
        <f t="shared" ca="1" si="66"/>
        <v>4.3285514834334682E-2</v>
      </c>
      <c r="AA218">
        <f t="shared" ca="1" si="67"/>
        <v>11.117880999999993</v>
      </c>
      <c r="AB218" s="18">
        <f t="shared" ca="1" si="75"/>
        <v>9.1780542524988462E-4</v>
      </c>
      <c r="AC218" s="18">
        <f t="shared" ca="1" si="76"/>
        <v>9.1738449938291624E-4</v>
      </c>
      <c r="AD218" s="18">
        <f t="shared" ca="1" si="71"/>
        <v>-9.7855877536013991E-2</v>
      </c>
    </row>
    <row r="219" spans="1:30" x14ac:dyDescent="0.25">
      <c r="A219" vm="586">
        <f ca="1"/>
        <v>45607</v>
      </c>
      <c r="B219" vm="587">
        <f ca="1"/>
        <v>11.052300000000001</v>
      </c>
      <c r="C219" vm="588">
        <f ca="1"/>
        <v>57540749</v>
      </c>
      <c r="D219">
        <f t="shared" ca="1" si="68"/>
        <v>635957620.17270005</v>
      </c>
      <c r="E219">
        <f ca="1">SUM($D$2:D219)/SUM($C$2:C219)</f>
        <v>11.599833654842499</v>
      </c>
      <c r="F219">
        <f ca="1">_xlfn.STDEV.P($B$2:B219)</f>
        <v>0.99682193277365994</v>
      </c>
      <c r="G219">
        <f t="shared" ca="1" si="69"/>
        <v>12.596655587616159</v>
      </c>
      <c r="H219">
        <f t="shared" ca="1" si="70"/>
        <v>10.603011722068839</v>
      </c>
      <c r="I219">
        <f t="shared" ca="1" si="82"/>
        <v>10.70148</v>
      </c>
      <c r="J219">
        <f t="shared" ca="1" si="83"/>
        <v>0.34637861487410759</v>
      </c>
      <c r="K219">
        <f t="shared" ca="1" si="84"/>
        <v>11.394237229748216</v>
      </c>
      <c r="L219">
        <f t="shared" ca="1" si="85"/>
        <v>10.008722770251785</v>
      </c>
      <c r="M219">
        <f t="shared" ca="1" si="72"/>
        <v>0.25580000000000069</v>
      </c>
      <c r="N219">
        <f t="shared" ca="1" si="73"/>
        <v>0.25580000000000069</v>
      </c>
      <c r="O219">
        <f t="shared" ca="1" si="74"/>
        <v>0</v>
      </c>
      <c r="P219">
        <f t="shared" ca="1" si="80"/>
        <v>0.11607113321472642</v>
      </c>
      <c r="Q219">
        <f t="shared" ca="1" si="81"/>
        <v>8.5247604820381753E-2</v>
      </c>
      <c r="R219">
        <f t="shared" ca="1" si="78"/>
        <v>1.3615764743102214</v>
      </c>
      <c r="S219">
        <f t="shared" ca="1" si="79"/>
        <v>57.655404731617516</v>
      </c>
      <c r="T219">
        <f>70</f>
        <v>70</v>
      </c>
      <c r="U219">
        <f>30</f>
        <v>30</v>
      </c>
      <c r="V219">
        <f t="shared" ca="1" si="77"/>
        <v>10.687131976383174</v>
      </c>
      <c r="W219">
        <f t="shared" ca="1" si="64"/>
        <v>10.651825659703574</v>
      </c>
      <c r="X219">
        <f t="shared" ca="1" si="63"/>
        <v>5.1618397669917826E-2</v>
      </c>
      <c r="Y219">
        <f t="shared" ca="1" si="65"/>
        <v>3.9403210101959466E-3</v>
      </c>
      <c r="Z219">
        <f t="shared" ca="1" si="66"/>
        <v>4.7678076659721881E-2</v>
      </c>
      <c r="AA219">
        <f t="shared" ca="1" si="67"/>
        <v>11.110892999999994</v>
      </c>
      <c r="AB219" s="18">
        <f t="shared" ca="1" si="75"/>
        <v>2.3692863427962729E-2</v>
      </c>
      <c r="AC219" s="18">
        <f t="shared" ca="1" si="76"/>
        <v>2.3416543568269936E-2</v>
      </c>
      <c r="AD219" s="18">
        <f t="shared" ca="1" si="71"/>
        <v>-7.6481500050135542E-2</v>
      </c>
    </row>
    <row r="220" spans="1:30" x14ac:dyDescent="0.25">
      <c r="A220" vm="589">
        <f ca="1"/>
        <v>45608</v>
      </c>
      <c r="B220" vm="544">
        <f ca="1"/>
        <v>10.9244</v>
      </c>
      <c r="C220" vm="590">
        <f ca="1"/>
        <v>45643469</v>
      </c>
      <c r="D220">
        <f t="shared" ca="1" si="68"/>
        <v>498627512.74360001</v>
      </c>
      <c r="E220">
        <f ca="1">SUM($D$2:D220)/SUM($C$2:C220)</f>
        <v>11.597262273676765</v>
      </c>
      <c r="F220">
        <f ca="1">_xlfn.STDEV.P($B$2:B220)</f>
        <v>0.99566005308550531</v>
      </c>
      <c r="G220">
        <f t="shared" ca="1" si="69"/>
        <v>12.59292232676227</v>
      </c>
      <c r="H220">
        <f t="shared" ca="1" si="70"/>
        <v>10.601602220591261</v>
      </c>
      <c r="I220">
        <f t="shared" ca="1" si="82"/>
        <v>10.714275000000001</v>
      </c>
      <c r="J220">
        <f t="shared" ca="1" si="83"/>
        <v>0.34980567218024611</v>
      </c>
      <c r="K220">
        <f t="shared" ca="1" si="84"/>
        <v>11.413886344360494</v>
      </c>
      <c r="L220">
        <f t="shared" ca="1" si="85"/>
        <v>10.014663655639508</v>
      </c>
      <c r="M220">
        <f t="shared" ca="1" si="72"/>
        <v>-0.12790000000000035</v>
      </c>
      <c r="N220">
        <f t="shared" ca="1" si="73"/>
        <v>0</v>
      </c>
      <c r="O220">
        <f t="shared" ca="1" si="74"/>
        <v>0.12790000000000035</v>
      </c>
      <c r="P220">
        <f t="shared" ca="1" si="80"/>
        <v>0.10778033798510311</v>
      </c>
      <c r="Q220">
        <f t="shared" ca="1" si="81"/>
        <v>8.8294204476068797E-2</v>
      </c>
      <c r="R220">
        <f t="shared" ca="1" si="78"/>
        <v>1.2206954989250265</v>
      </c>
      <c r="S220">
        <f t="shared" ca="1" si="79"/>
        <v>54.969062598448524</v>
      </c>
      <c r="T220">
        <f>70</f>
        <v>70</v>
      </c>
      <c r="U220">
        <f>30</f>
        <v>30</v>
      </c>
      <c r="V220">
        <f t="shared" ca="1" si="77"/>
        <v>10.723634749247301</v>
      </c>
      <c r="W220">
        <f t="shared" ca="1" si="64"/>
        <v>10.672016351577383</v>
      </c>
      <c r="X220">
        <f t="shared" ref="X220:X283" ca="1" si="86">V221-W221</f>
        <v>6.3810274255835964E-2</v>
      </c>
      <c r="Y220">
        <f t="shared" ca="1" si="65"/>
        <v>1.591431165932395E-2</v>
      </c>
      <c r="Z220">
        <f t="shared" ca="1" si="66"/>
        <v>4.7895962596512014E-2</v>
      </c>
      <c r="AA220">
        <f t="shared" ca="1" si="67"/>
        <v>11.103609999999996</v>
      </c>
      <c r="AB220" s="18">
        <f t="shared" ca="1" si="75"/>
        <v>-1.1572251929462651E-2</v>
      </c>
      <c r="AC220" s="18">
        <f t="shared" ca="1" si="76"/>
        <v>-1.163973153598559E-2</v>
      </c>
      <c r="AD220" s="18">
        <f t="shared" ca="1" si="71"/>
        <v>-8.7168688793074822E-2</v>
      </c>
    </row>
    <row r="221" spans="1:30" x14ac:dyDescent="0.25">
      <c r="A221" vm="591">
        <f ca="1"/>
        <v>45609</v>
      </c>
      <c r="B221" vm="544">
        <f ca="1"/>
        <v>10.9244</v>
      </c>
      <c r="C221" vm="592">
        <f ca="1"/>
        <v>56037372</v>
      </c>
      <c r="D221">
        <f t="shared" ca="1" si="68"/>
        <v>612174666.67680001</v>
      </c>
      <c r="E221">
        <f ca="1">SUM($D$2:D221)/SUM($C$2:C221)</f>
        <v>11.594131988387151</v>
      </c>
      <c r="F221">
        <f ca="1">_xlfn.STDEV.P($B$2:B221)</f>
        <v>0.99449728635640189</v>
      </c>
      <c r="G221">
        <f t="shared" ca="1" si="69"/>
        <v>12.588629274743553</v>
      </c>
      <c r="H221">
        <f t="shared" ca="1" si="70"/>
        <v>10.599634702030748</v>
      </c>
      <c r="I221">
        <f t="shared" ca="1" si="82"/>
        <v>10.717719999999998</v>
      </c>
      <c r="J221">
        <f t="shared" ca="1" si="83"/>
        <v>0.35160435390394512</v>
      </c>
      <c r="K221">
        <f t="shared" ca="1" si="84"/>
        <v>11.420928707807889</v>
      </c>
      <c r="L221">
        <f t="shared" ca="1" si="85"/>
        <v>10.014511292192108</v>
      </c>
      <c r="M221">
        <f t="shared" ca="1" si="72"/>
        <v>0</v>
      </c>
      <c r="N221">
        <f t="shared" ca="1" si="73"/>
        <v>0</v>
      </c>
      <c r="O221">
        <f t="shared" ca="1" si="74"/>
        <v>0</v>
      </c>
      <c r="P221">
        <f t="shared" ca="1" si="80"/>
        <v>0.10008174241473859</v>
      </c>
      <c r="Q221">
        <f t="shared" ca="1" si="81"/>
        <v>8.1987475584921032E-2</v>
      </c>
      <c r="R221">
        <f t="shared" ca="1" si="78"/>
        <v>1.2206954989250263</v>
      </c>
      <c r="S221">
        <f t="shared" ca="1" si="79"/>
        <v>54.969062598448517</v>
      </c>
      <c r="T221">
        <f>70</f>
        <v>70</v>
      </c>
      <c r="U221">
        <f>30</f>
        <v>30</v>
      </c>
      <c r="V221">
        <f t="shared" ca="1" si="77"/>
        <v>10.754521710901562</v>
      </c>
      <c r="W221">
        <f t="shared" ref="W221:W284" ca="1" si="87">B221*(2/(26+1)) + W220*(1-(2/(26+1)))</f>
        <v>10.690711436645726</v>
      </c>
      <c r="X221">
        <f t="shared" ca="1" si="86"/>
        <v>7.0281855350149414E-2</v>
      </c>
      <c r="Y221">
        <f t="shared" ca="1" si="65"/>
        <v>2.6787820397489046E-2</v>
      </c>
      <c r="Z221">
        <f t="shared" ca="1" si="66"/>
        <v>4.3494034952660368E-2</v>
      </c>
      <c r="AA221">
        <f t="shared" ca="1" si="67"/>
        <v>11.092489</v>
      </c>
      <c r="AB221" s="18">
        <f t="shared" ca="1" si="75"/>
        <v>0</v>
      </c>
      <c r="AC221" s="18">
        <f t="shared" ca="1" si="76"/>
        <v>0</v>
      </c>
      <c r="AD221" s="18">
        <f t="shared" ca="1" si="71"/>
        <v>-8.7168688793074822E-2</v>
      </c>
    </row>
    <row r="222" spans="1:30" x14ac:dyDescent="0.25">
      <c r="A222" vm="593">
        <f ca="1"/>
        <v>45610</v>
      </c>
      <c r="B222" vm="541">
        <f ca="1"/>
        <v>10.8949</v>
      </c>
      <c r="C222" vm="594">
        <f ca="1"/>
        <v>57693602</v>
      </c>
      <c r="D222">
        <f t="shared" ca="1" si="68"/>
        <v>628566024.42980003</v>
      </c>
      <c r="E222">
        <f ca="1">SUM($D$2:D222)/SUM($C$2:C222)</f>
        <v>11.590798846873048</v>
      </c>
      <c r="F222">
        <f ca="1">_xlfn.STDEV.P($B$2:B222)</f>
        <v>0.99342841297382445</v>
      </c>
      <c r="G222">
        <f t="shared" ca="1" si="69"/>
        <v>12.584227259846871</v>
      </c>
      <c r="H222">
        <f t="shared" ca="1" si="70"/>
        <v>10.597370433899224</v>
      </c>
      <c r="I222">
        <f t="shared" ca="1" si="82"/>
        <v>10.717720000000002</v>
      </c>
      <c r="J222">
        <f t="shared" ca="1" si="83"/>
        <v>0.35160435390394512</v>
      </c>
      <c r="K222">
        <f t="shared" ca="1" si="84"/>
        <v>11.420928707807892</v>
      </c>
      <c r="L222">
        <f t="shared" ca="1" si="85"/>
        <v>10.014511292192111</v>
      </c>
      <c r="M222">
        <f t="shared" ca="1" si="72"/>
        <v>-2.9500000000000526E-2</v>
      </c>
      <c r="N222">
        <f t="shared" ca="1" si="73"/>
        <v>0</v>
      </c>
      <c r="O222">
        <f t="shared" ca="1" si="74"/>
        <v>2.9500000000000526E-2</v>
      </c>
      <c r="P222">
        <f t="shared" ca="1" si="80"/>
        <v>9.2933046527971547E-2</v>
      </c>
      <c r="Q222">
        <f t="shared" ca="1" si="81"/>
        <v>7.8238370185998135E-2</v>
      </c>
      <c r="R222">
        <f t="shared" ca="1" si="78"/>
        <v>1.1878193053745798</v>
      </c>
      <c r="S222">
        <f t="shared" ca="1" si="79"/>
        <v>54.292386142520648</v>
      </c>
      <c r="T222">
        <f>70</f>
        <v>70</v>
      </c>
      <c r="U222">
        <f>30</f>
        <v>30</v>
      </c>
      <c r="V222">
        <f t="shared" ca="1" si="77"/>
        <v>10.776118370762859</v>
      </c>
      <c r="W222">
        <f t="shared" ca="1" si="87"/>
        <v>10.70583651541271</v>
      </c>
      <c r="X222">
        <f t="shared" ca="1" si="86"/>
        <v>6.9836719679312154E-2</v>
      </c>
      <c r="Y222">
        <f t="shared" ca="1" si="65"/>
        <v>3.5397600253853669E-2</v>
      </c>
      <c r="Z222">
        <f t="shared" ca="1" si="66"/>
        <v>3.4439119425458485E-2</v>
      </c>
      <c r="AA222">
        <f t="shared" ca="1" si="67"/>
        <v>11.082451000000001</v>
      </c>
      <c r="AB222" s="18">
        <f t="shared" ca="1" si="75"/>
        <v>-2.7003771374172203E-3</v>
      </c>
      <c r="AC222" s="18">
        <f t="shared" ca="1" si="76"/>
        <v>-2.7040297328313114E-3</v>
      </c>
      <c r="AD222" s="18">
        <f t="shared" ca="1" si="71"/>
        <v>-8.9633677596176575E-2</v>
      </c>
    </row>
    <row r="223" spans="1:30" x14ac:dyDescent="0.25">
      <c r="A223" vm="595">
        <f ca="1"/>
        <v>45611</v>
      </c>
      <c r="B223" vm="385">
        <f ca="1"/>
        <v>10.835800000000001</v>
      </c>
      <c r="C223" vm="596">
        <f ca="1"/>
        <v>59842137</v>
      </c>
      <c r="D223">
        <f t="shared" ca="1" si="68"/>
        <v>648437428.10460007</v>
      </c>
      <c r="E223">
        <f ca="1">SUM($D$2:D223)/SUM($C$2:C223)</f>
        <v>11.58708421170004</v>
      </c>
      <c r="F223">
        <f ca="1">_xlfn.STDEV.P($B$2:B223)</f>
        <v>0.99255732170846411</v>
      </c>
      <c r="G223">
        <f t="shared" ca="1" si="69"/>
        <v>12.579641533408504</v>
      </c>
      <c r="H223">
        <f t="shared" ca="1" si="70"/>
        <v>10.594526889991576</v>
      </c>
      <c r="I223">
        <f t="shared" ca="1" si="82"/>
        <v>10.713289999999999</v>
      </c>
      <c r="J223">
        <f t="shared" ca="1" si="83"/>
        <v>0.34941459147671877</v>
      </c>
      <c r="K223">
        <f t="shared" ca="1" si="84"/>
        <v>11.412119182953436</v>
      </c>
      <c r="L223">
        <f t="shared" ca="1" si="85"/>
        <v>10.014460817046562</v>
      </c>
      <c r="M223">
        <f t="shared" ca="1" si="72"/>
        <v>-5.9099999999999042E-2</v>
      </c>
      <c r="N223">
        <f t="shared" ca="1" si="73"/>
        <v>0</v>
      </c>
      <c r="O223">
        <f t="shared" ca="1" si="74"/>
        <v>5.9099999999999042E-2</v>
      </c>
      <c r="P223">
        <f t="shared" ca="1" si="80"/>
        <v>8.6294971775973575E-2</v>
      </c>
      <c r="Q223">
        <f t="shared" ca="1" si="81"/>
        <v>7.6871343744141063E-2</v>
      </c>
      <c r="R223">
        <f t="shared" ca="1" si="78"/>
        <v>1.1225896097666532</v>
      </c>
      <c r="S223">
        <f t="shared" ca="1" si="79"/>
        <v>52.887736970033743</v>
      </c>
      <c r="T223">
        <f>70</f>
        <v>70</v>
      </c>
      <c r="U223">
        <f>30</f>
        <v>30</v>
      </c>
      <c r="V223">
        <f t="shared" ca="1" si="77"/>
        <v>10.785300159876266</v>
      </c>
      <c r="W223">
        <f t="shared" ca="1" si="87"/>
        <v>10.715463440196954</v>
      </c>
      <c r="X223">
        <f t="shared" ca="1" si="86"/>
        <v>8.4399229114646701E-2</v>
      </c>
      <c r="Y223">
        <f t="shared" ca="1" si="65"/>
        <v>4.5197926026012275E-2</v>
      </c>
      <c r="Z223">
        <f t="shared" ca="1" si="66"/>
        <v>3.9201303088634426E-2</v>
      </c>
      <c r="AA223">
        <f t="shared" ca="1" si="67"/>
        <v>11.071625000000001</v>
      </c>
      <c r="AB223" s="18">
        <f t="shared" ca="1" si="75"/>
        <v>-5.4245564438406557E-3</v>
      </c>
      <c r="AC223" s="18">
        <f t="shared" ca="1" si="76"/>
        <v>-5.4393227748872827E-3</v>
      </c>
      <c r="AD223" s="18">
        <f t="shared" ca="1" si="71"/>
        <v>-9.4572011096627717E-2</v>
      </c>
    </row>
    <row r="224" spans="1:30" x14ac:dyDescent="0.25">
      <c r="A224" vm="597">
        <f ca="1"/>
        <v>45614</v>
      </c>
      <c r="B224" vm="598">
        <f ca="1"/>
        <v>11.0327</v>
      </c>
      <c r="C224" vm="599">
        <f ca="1"/>
        <v>48576111</v>
      </c>
      <c r="D224">
        <f t="shared" ca="1" si="68"/>
        <v>535925659.82969999</v>
      </c>
      <c r="E224">
        <f ca="1">SUM($D$2:D224)/SUM($C$2:C224)</f>
        <v>11.584878923507064</v>
      </c>
      <c r="F224">
        <f ca="1">_xlfn.STDEV.P($B$2:B224)</f>
        <v>0.99108148938075469</v>
      </c>
      <c r="G224">
        <f t="shared" ca="1" si="69"/>
        <v>12.575960412887818</v>
      </c>
      <c r="H224">
        <f t="shared" ca="1" si="70"/>
        <v>10.59379743412631</v>
      </c>
      <c r="I224">
        <f t="shared" ca="1" si="82"/>
        <v>10.72953</v>
      </c>
      <c r="J224">
        <f t="shared" ca="1" si="83"/>
        <v>0.35662449084952696</v>
      </c>
      <c r="K224">
        <f t="shared" ca="1" si="84"/>
        <v>11.442778981699055</v>
      </c>
      <c r="L224">
        <f t="shared" ca="1" si="85"/>
        <v>10.016281018300946</v>
      </c>
      <c r="M224">
        <f t="shared" ca="1" si="72"/>
        <v>0.19689999999999941</v>
      </c>
      <c r="N224">
        <f t="shared" ca="1" si="73"/>
        <v>0.19689999999999941</v>
      </c>
      <c r="O224">
        <f t="shared" ca="1" si="74"/>
        <v>0</v>
      </c>
      <c r="P224">
        <f t="shared" ca="1" si="80"/>
        <v>9.4195330934832566E-2</v>
      </c>
      <c r="Q224">
        <f t="shared" ca="1" si="81"/>
        <v>7.138053347670241E-2</v>
      </c>
      <c r="R224">
        <f t="shared" ca="1" si="78"/>
        <v>1.3196221203022611</v>
      </c>
      <c r="S224">
        <f t="shared" ca="1" si="79"/>
        <v>56.889529926120304</v>
      </c>
      <c r="T224">
        <f>70</f>
        <v>70</v>
      </c>
      <c r="U224">
        <f>30</f>
        <v>30</v>
      </c>
      <c r="V224">
        <f t="shared" ca="1" si="77"/>
        <v>10.823361673741456</v>
      </c>
      <c r="W224">
        <f t="shared" ca="1" si="87"/>
        <v>10.738962444626809</v>
      </c>
      <c r="X224">
        <f t="shared" ca="1" si="86"/>
        <v>8.2282685462962135E-2</v>
      </c>
      <c r="Y224">
        <f t="shared" ca="1" si="65"/>
        <v>5.2614877913402247E-2</v>
      </c>
      <c r="Z224">
        <f t="shared" ca="1" si="66"/>
        <v>2.9667807549559888E-2</v>
      </c>
      <c r="AA224">
        <f t="shared" ca="1" si="67"/>
        <v>11.061587000000001</v>
      </c>
      <c r="AB224" s="18">
        <f t="shared" ca="1" si="75"/>
        <v>1.8171247162184656E-2</v>
      </c>
      <c r="AC224" s="18">
        <f t="shared" ca="1" si="76"/>
        <v>1.8008123197356587E-2</v>
      </c>
      <c r="AD224" s="18">
        <f t="shared" ca="1" si="71"/>
        <v>-7.8119255322704806E-2</v>
      </c>
    </row>
    <row r="225" spans="1:30" x14ac:dyDescent="0.25">
      <c r="A225" vm="600">
        <f ca="1"/>
        <v>45615</v>
      </c>
      <c r="B225" vm="601">
        <f ca="1"/>
        <v>10.8752</v>
      </c>
      <c r="C225" vm="602">
        <f ca="1"/>
        <v>54083318</v>
      </c>
      <c r="D225">
        <f t="shared" ca="1" si="68"/>
        <v>588166899.91359997</v>
      </c>
      <c r="E225">
        <f ca="1">SUM($D$2:D225)/SUM($C$2:C225)</f>
        <v>11.581749691274167</v>
      </c>
      <c r="F225">
        <f ca="1">_xlfn.STDEV.P($B$2:B225)</f>
        <v>0.9900724162756307</v>
      </c>
      <c r="G225">
        <f t="shared" ca="1" si="69"/>
        <v>12.571822107549798</v>
      </c>
      <c r="H225">
        <f t="shared" ca="1" si="70"/>
        <v>10.591677274998537</v>
      </c>
      <c r="I225">
        <f t="shared" ca="1" si="82"/>
        <v>10.726580000000002</v>
      </c>
      <c r="J225">
        <f t="shared" ca="1" si="83"/>
        <v>0.35508304529029783</v>
      </c>
      <c r="K225">
        <f t="shared" ca="1" si="84"/>
        <v>11.436746090580598</v>
      </c>
      <c r="L225">
        <f t="shared" ca="1" si="85"/>
        <v>10.016413909419406</v>
      </c>
      <c r="M225">
        <f t="shared" ca="1" si="72"/>
        <v>-0.15750000000000064</v>
      </c>
      <c r="N225">
        <f t="shared" ca="1" si="73"/>
        <v>0</v>
      </c>
      <c r="O225">
        <f t="shared" ca="1" si="74"/>
        <v>0.15750000000000064</v>
      </c>
      <c r="P225">
        <f t="shared" ca="1" si="80"/>
        <v>8.7467093010915944E-2</v>
      </c>
      <c r="Q225">
        <f t="shared" ca="1" si="81"/>
        <v>7.7531923942652278E-2</v>
      </c>
      <c r="R225">
        <f t="shared" ca="1" si="78"/>
        <v>1.1281429450352911</v>
      </c>
      <c r="S225">
        <f t="shared" ca="1" si="79"/>
        <v>53.010675230586223</v>
      </c>
      <c r="T225">
        <f>70</f>
        <v>70</v>
      </c>
      <c r="U225">
        <f>30</f>
        <v>30</v>
      </c>
      <c r="V225">
        <f t="shared" ca="1" si="77"/>
        <v>10.831336800858155</v>
      </c>
      <c r="W225">
        <f t="shared" ca="1" si="87"/>
        <v>10.749054115395193</v>
      </c>
      <c r="X225">
        <f t="shared" ca="1" si="86"/>
        <v>5.4566502425737795E-2</v>
      </c>
      <c r="Y225">
        <f t="shared" ca="1" si="65"/>
        <v>5.3005202815869359E-2</v>
      </c>
      <c r="Z225">
        <f t="shared" ca="1" si="66"/>
        <v>1.5612996098684356E-3</v>
      </c>
      <c r="AA225">
        <f t="shared" ca="1" si="67"/>
        <v>11.046923000000003</v>
      </c>
      <c r="AB225" s="18">
        <f t="shared" ca="1" si="75"/>
        <v>-1.4275743924877959E-2</v>
      </c>
      <c r="AC225" s="18">
        <f t="shared" ca="1" si="76"/>
        <v>-1.4378622644434985E-2</v>
      </c>
      <c r="AD225" s="18">
        <f t="shared" ca="1" si="71"/>
        <v>-9.1279788762993697E-2</v>
      </c>
    </row>
    <row r="226" spans="1:30" x14ac:dyDescent="0.25">
      <c r="A226" vm="603">
        <f ca="1"/>
        <v>45616</v>
      </c>
      <c r="B226" vm="604">
        <f ca="1"/>
        <v>10.5603</v>
      </c>
      <c r="C226" vm="605">
        <f ca="1"/>
        <v>69736527</v>
      </c>
      <c r="D226">
        <f t="shared" ca="1" si="68"/>
        <v>736438646.07809997</v>
      </c>
      <c r="E226">
        <f ca="1">SUM($D$2:D226)/SUM($C$2:C226)</f>
        <v>11.575975014983364</v>
      </c>
      <c r="F226">
        <f ca="1">_xlfn.STDEV.P($B$2:B226)</f>
        <v>0.9903092082204541</v>
      </c>
      <c r="G226">
        <f t="shared" ca="1" si="69"/>
        <v>12.566284223203818</v>
      </c>
      <c r="H226">
        <f t="shared" ca="1" si="70"/>
        <v>10.585665806762909</v>
      </c>
      <c r="I226">
        <f t="shared" ca="1" si="82"/>
        <v>10.710345</v>
      </c>
      <c r="J226">
        <f t="shared" ca="1" si="83"/>
        <v>0.35488145162931017</v>
      </c>
      <c r="K226">
        <f t="shared" ca="1" si="84"/>
        <v>11.420107903258621</v>
      </c>
      <c r="L226">
        <f t="shared" ca="1" si="85"/>
        <v>10.000582096741379</v>
      </c>
      <c r="M226">
        <f t="shared" ca="1" si="72"/>
        <v>-0.31489999999999974</v>
      </c>
      <c r="N226">
        <f t="shared" ca="1" si="73"/>
        <v>0</v>
      </c>
      <c r="O226">
        <f t="shared" ca="1" si="74"/>
        <v>0.31489999999999974</v>
      </c>
      <c r="P226">
        <f t="shared" ca="1" si="80"/>
        <v>8.1219443510136227E-2</v>
      </c>
      <c r="Q226">
        <f t="shared" ca="1" si="81"/>
        <v>9.4486786518177102E-2</v>
      </c>
      <c r="R226">
        <f t="shared" ca="1" si="78"/>
        <v>0.85958520236595681</v>
      </c>
      <c r="S226">
        <f t="shared" ca="1" si="79"/>
        <v>46.22456670833386</v>
      </c>
      <c r="T226">
        <f>70</f>
        <v>70</v>
      </c>
      <c r="U226">
        <f>30</f>
        <v>30</v>
      </c>
      <c r="V226">
        <f t="shared" ca="1" si="77"/>
        <v>10.789638831495362</v>
      </c>
      <c r="W226">
        <f t="shared" ca="1" si="87"/>
        <v>10.735072329069624</v>
      </c>
      <c r="X226">
        <f t="shared" ca="1" si="86"/>
        <v>3.7718022810526719E-2</v>
      </c>
      <c r="Y226">
        <f t="shared" ca="1" si="65"/>
        <v>4.9947766814800836E-2</v>
      </c>
      <c r="Z226">
        <f t="shared" ca="1" si="66"/>
        <v>-1.2229744004274117E-2</v>
      </c>
      <c r="AA226">
        <f t="shared" ca="1" si="67"/>
        <v>11.026945000000005</v>
      </c>
      <c r="AB226" s="18">
        <f t="shared" ca="1" si="75"/>
        <v>-2.8955789318817149E-2</v>
      </c>
      <c r="AC226" s="18">
        <f t="shared" ca="1" si="76"/>
        <v>-2.9383280644742816E-2</v>
      </c>
      <c r="AD226" s="18">
        <f t="shared" ca="1" si="71"/>
        <v>-0.11759249974932351</v>
      </c>
    </row>
    <row r="227" spans="1:30" x14ac:dyDescent="0.25">
      <c r="A227" vm="606">
        <f ca="1"/>
        <v>45617</v>
      </c>
      <c r="B227" vm="483">
        <f ca="1"/>
        <v>10.629099999999999</v>
      </c>
      <c r="C227" vm="607">
        <f ca="1"/>
        <v>54268047</v>
      </c>
      <c r="D227">
        <f t="shared" ca="1" si="68"/>
        <v>576820498.36769998</v>
      </c>
      <c r="E227">
        <f ca="1">SUM($D$2:D227)/SUM($C$2:C227)</f>
        <v>11.571827568910606</v>
      </c>
      <c r="F227">
        <f ca="1">_xlfn.STDEV.P($B$2:B227)</f>
        <v>0.99021474778670027</v>
      </c>
      <c r="G227">
        <f t="shared" ca="1" si="69"/>
        <v>12.562042316697307</v>
      </c>
      <c r="H227">
        <f t="shared" ca="1" si="70"/>
        <v>10.581612821123906</v>
      </c>
      <c r="I227">
        <f t="shared" ca="1" si="82"/>
        <v>10.688690000000001</v>
      </c>
      <c r="J227">
        <f t="shared" ca="1" si="83"/>
        <v>0.34536754472209535</v>
      </c>
      <c r="K227">
        <f t="shared" ca="1" si="84"/>
        <v>11.379425089444192</v>
      </c>
      <c r="L227">
        <f t="shared" ca="1" si="85"/>
        <v>9.9979549105558103</v>
      </c>
      <c r="M227">
        <f t="shared" ca="1" si="72"/>
        <v>6.8799999999999528E-2</v>
      </c>
      <c r="N227">
        <f t="shared" ca="1" si="73"/>
        <v>6.8799999999999528E-2</v>
      </c>
      <c r="O227">
        <f t="shared" ca="1" si="74"/>
        <v>0</v>
      </c>
      <c r="P227">
        <f t="shared" ca="1" si="80"/>
        <v>8.0332340402269317E-2</v>
      </c>
      <c r="Q227">
        <f t="shared" ca="1" si="81"/>
        <v>8.7737730338307313E-2</v>
      </c>
      <c r="R227">
        <f t="shared" ca="1" si="78"/>
        <v>0.91559629013101207</v>
      </c>
      <c r="S227">
        <f t="shared" ca="1" si="79"/>
        <v>47.796933771906204</v>
      </c>
      <c r="T227">
        <f>70</f>
        <v>70</v>
      </c>
      <c r="U227">
        <f>30</f>
        <v>30</v>
      </c>
      <c r="V227">
        <f t="shared" ca="1" si="77"/>
        <v>10.764940549726845</v>
      </c>
      <c r="W227">
        <f t="shared" ca="1" si="87"/>
        <v>10.727222526916318</v>
      </c>
      <c r="X227">
        <f t="shared" ca="1" si="86"/>
        <v>5.3922569860597847E-2</v>
      </c>
      <c r="Y227">
        <f t="shared" ca="1" si="65"/>
        <v>5.0742727423960236E-2</v>
      </c>
      <c r="Z227">
        <f t="shared" ca="1" si="66"/>
        <v>3.1798424366376102E-3</v>
      </c>
      <c r="AA227">
        <f t="shared" ca="1" si="67"/>
        <v>11.006572000000004</v>
      </c>
      <c r="AB227" s="18">
        <f t="shared" ca="1" si="75"/>
        <v>6.5149664308778998E-3</v>
      </c>
      <c r="AC227" s="18">
        <f t="shared" ca="1" si="76"/>
        <v>6.4938357644803652E-3</v>
      </c>
      <c r="AD227" s="18">
        <f t="shared" ca="1" si="71"/>
        <v>-0.11184364450683548</v>
      </c>
    </row>
    <row r="228" spans="1:30" x14ac:dyDescent="0.25">
      <c r="A228" vm="608">
        <f ca="1"/>
        <v>45618</v>
      </c>
      <c r="B228" vm="609">
        <f ca="1"/>
        <v>11.0031</v>
      </c>
      <c r="C228" vm="610">
        <f ca="1"/>
        <v>83883698</v>
      </c>
      <c r="D228">
        <f t="shared" ca="1" si="68"/>
        <v>922980717.46379995</v>
      </c>
      <c r="E228">
        <f ca="1">SUM($D$2:D228)/SUM($C$2:C228)</f>
        <v>11.568002887535471</v>
      </c>
      <c r="F228">
        <f ca="1">_xlfn.STDEV.P($B$2:B228)</f>
        <v>0.98881032859633511</v>
      </c>
      <c r="G228">
        <f t="shared" ca="1" si="69"/>
        <v>12.556813216131806</v>
      </c>
      <c r="H228">
        <f t="shared" ca="1" si="70"/>
        <v>10.579192558939136</v>
      </c>
      <c r="I228">
        <f t="shared" ca="1" si="82"/>
        <v>10.694100000000002</v>
      </c>
      <c r="J228">
        <f t="shared" ca="1" si="83"/>
        <v>0.34958936813894897</v>
      </c>
      <c r="K228">
        <f t="shared" ca="1" si="84"/>
        <v>11.3932787362779</v>
      </c>
      <c r="L228">
        <f t="shared" ca="1" si="85"/>
        <v>9.9949212637221052</v>
      </c>
      <c r="M228">
        <f t="shared" ca="1" si="72"/>
        <v>0.37400000000000055</v>
      </c>
      <c r="N228">
        <f t="shared" ca="1" si="73"/>
        <v>0.37400000000000055</v>
      </c>
      <c r="O228">
        <f t="shared" ca="1" si="74"/>
        <v>0</v>
      </c>
      <c r="P228">
        <f t="shared" ca="1" si="80"/>
        <v>0.10130860180210725</v>
      </c>
      <c r="Q228">
        <f t="shared" ca="1" si="81"/>
        <v>8.1470749599856784E-2</v>
      </c>
      <c r="R228">
        <f t="shared" ca="1" si="78"/>
        <v>1.2434966205623981</v>
      </c>
      <c r="S228">
        <f t="shared" ca="1" si="79"/>
        <v>55.426721358317863</v>
      </c>
      <c r="T228">
        <f>70</f>
        <v>70</v>
      </c>
      <c r="U228">
        <f>30</f>
        <v>30</v>
      </c>
      <c r="V228">
        <f t="shared" ca="1" si="77"/>
        <v>10.801580465153485</v>
      </c>
      <c r="W228">
        <f t="shared" ca="1" si="87"/>
        <v>10.747657895292887</v>
      </c>
      <c r="X228">
        <f t="shared" ca="1" si="86"/>
        <v>8.3282570314521465E-2</v>
      </c>
      <c r="Y228">
        <f t="shared" ca="1" si="65"/>
        <v>5.7250696002072485E-2</v>
      </c>
      <c r="Z228">
        <f t="shared" ca="1" si="66"/>
        <v>2.603187431244898E-2</v>
      </c>
      <c r="AA228">
        <f t="shared" ca="1" si="67"/>
        <v>10.989939000000001</v>
      </c>
      <c r="AB228" s="18">
        <f t="shared" ca="1" si="75"/>
        <v>3.5186422180617516E-2</v>
      </c>
      <c r="AC228" s="18">
        <f t="shared" ca="1" si="76"/>
        <v>3.4581528546930002E-2</v>
      </c>
      <c r="AD228" s="18">
        <f t="shared" ca="1" si="71"/>
        <v>-8.0592600020054417E-2</v>
      </c>
    </row>
    <row r="229" spans="1:30" x14ac:dyDescent="0.25">
      <c r="A229" vm="611">
        <f ca="1"/>
        <v>45621</v>
      </c>
      <c r="B229" vm="612">
        <f ca="1"/>
        <v>11.2197</v>
      </c>
      <c r="C229" vm="613">
        <f ca="1"/>
        <v>64489537</v>
      </c>
      <c r="D229">
        <f t="shared" ca="1" si="68"/>
        <v>723553258.27890003</v>
      </c>
      <c r="E229">
        <f ca="1">SUM($D$2:D229)/SUM($C$2:C229)</f>
        <v>11.566211373705766</v>
      </c>
      <c r="F229">
        <f ca="1">_xlfn.STDEV.P($B$2:B229)</f>
        <v>0.98694794914802109</v>
      </c>
      <c r="G229">
        <f t="shared" ca="1" si="69"/>
        <v>12.553159322853787</v>
      </c>
      <c r="H229">
        <f t="shared" ca="1" si="70"/>
        <v>10.579263424557745</v>
      </c>
      <c r="I229">
        <f t="shared" ca="1" si="82"/>
        <v>10.695580000000001</v>
      </c>
      <c r="J229">
        <f t="shared" ca="1" si="83"/>
        <v>0.35185503534088713</v>
      </c>
      <c r="K229">
        <f t="shared" ca="1" si="84"/>
        <v>11.399290070681776</v>
      </c>
      <c r="L229">
        <f t="shared" ca="1" si="85"/>
        <v>9.9918699293182272</v>
      </c>
      <c r="M229">
        <f t="shared" ca="1" si="72"/>
        <v>0.21659999999999968</v>
      </c>
      <c r="N229">
        <f t="shared" ca="1" si="73"/>
        <v>0.21659999999999968</v>
      </c>
      <c r="O229">
        <f t="shared" ca="1" si="74"/>
        <v>0</v>
      </c>
      <c r="P229">
        <f t="shared" ca="1" si="80"/>
        <v>0.10954370167338527</v>
      </c>
      <c r="Q229">
        <f t="shared" ca="1" si="81"/>
        <v>7.5651410342724157E-2</v>
      </c>
      <c r="R229">
        <f t="shared" ca="1" si="78"/>
        <v>1.4480060738738196</v>
      </c>
      <c r="S229">
        <f t="shared" ca="1" si="79"/>
        <v>59.150428151611514</v>
      </c>
      <c r="T229">
        <f>70</f>
        <v>70</v>
      </c>
      <c r="U229">
        <f>30</f>
        <v>30</v>
      </c>
      <c r="V229">
        <f t="shared" ca="1" si="77"/>
        <v>10.865906547437564</v>
      </c>
      <c r="W229">
        <f t="shared" ca="1" si="87"/>
        <v>10.782623977123043</v>
      </c>
      <c r="X229">
        <f t="shared" ca="1" si="86"/>
        <v>8.1779635395918149E-2</v>
      </c>
      <c r="Y229">
        <f t="shared" ca="1" si="65"/>
        <v>6.215648388084162E-2</v>
      </c>
      <c r="Z229">
        <f t="shared" ca="1" si="66"/>
        <v>1.9623151515076528E-2</v>
      </c>
      <c r="AA229">
        <f t="shared" ca="1" si="67"/>
        <v>10.975767000000003</v>
      </c>
      <c r="AB229" s="18">
        <f t="shared" ca="1" si="75"/>
        <v>1.9685361398151358E-2</v>
      </c>
      <c r="AC229" s="18">
        <f t="shared" ca="1" si="76"/>
        <v>1.9494110492265758E-2</v>
      </c>
      <c r="AD229" s="18">
        <f t="shared" ca="1" si="71"/>
        <v>-6.2493733079314495E-2</v>
      </c>
    </row>
    <row r="230" spans="1:30" x14ac:dyDescent="0.25">
      <c r="A230" vm="614">
        <f ca="1"/>
        <v>45622</v>
      </c>
      <c r="B230" vm="544">
        <f ca="1"/>
        <v>10.9244</v>
      </c>
      <c r="C230" vm="615">
        <f ca="1"/>
        <v>48221639</v>
      </c>
      <c r="D230">
        <f t="shared" ca="1" si="68"/>
        <v>526792473.0916</v>
      </c>
      <c r="E230">
        <f ca="1">SUM($D$2:D230)/SUM($C$2:C230)</f>
        <v>11.563752387514043</v>
      </c>
      <c r="F230">
        <f ca="1">_xlfn.STDEV.P($B$2:B230)</f>
        <v>0.98577236030806037</v>
      </c>
      <c r="G230">
        <f t="shared" ca="1" si="69"/>
        <v>12.549524747822103</v>
      </c>
      <c r="H230">
        <f t="shared" ca="1" si="70"/>
        <v>10.577980027205983</v>
      </c>
      <c r="I230">
        <f t="shared" ca="1" si="82"/>
        <v>10.729535</v>
      </c>
      <c r="J230">
        <f t="shared" ca="1" si="83"/>
        <v>0.33863386729467493</v>
      </c>
      <c r="K230">
        <f t="shared" ca="1" si="84"/>
        <v>11.40680273458935</v>
      </c>
      <c r="L230">
        <f t="shared" ca="1" si="85"/>
        <v>10.05226726541065</v>
      </c>
      <c r="M230">
        <f t="shared" ca="1" si="72"/>
        <v>-0.29529999999999923</v>
      </c>
      <c r="N230">
        <f t="shared" ca="1" si="73"/>
        <v>0</v>
      </c>
      <c r="O230">
        <f t="shared" ca="1" si="74"/>
        <v>0.29529999999999923</v>
      </c>
      <c r="P230">
        <f t="shared" ca="1" si="80"/>
        <v>0.10171915155385776</v>
      </c>
      <c r="Q230">
        <f t="shared" ca="1" si="81"/>
        <v>9.1340595318243803E-2</v>
      </c>
      <c r="R230">
        <f t="shared" ca="1" si="78"/>
        <v>1.1136247930008949</v>
      </c>
      <c r="S230">
        <f t="shared" ca="1" si="79"/>
        <v>52.68791304343975</v>
      </c>
      <c r="T230">
        <f>70</f>
        <v>70</v>
      </c>
      <c r="U230">
        <f>30</f>
        <v>30</v>
      </c>
      <c r="V230">
        <f t="shared" ca="1" si="77"/>
        <v>10.874905540139478</v>
      </c>
      <c r="W230">
        <f t="shared" ca="1" si="87"/>
        <v>10.79312590474356</v>
      </c>
      <c r="X230">
        <f t="shared" ca="1" si="86"/>
        <v>7.9670160626120534E-2</v>
      </c>
      <c r="Y230">
        <f t="shared" ref="Y230:Y293" ca="1" si="88">X230*(2/(9+1)) + Y229*(1-(2/(9+1)))</f>
        <v>6.5659219229897411E-2</v>
      </c>
      <c r="Z230">
        <f t="shared" ref="Z230:Z293" ca="1" si="89">X230-Y230</f>
        <v>1.4010941396223123E-2</v>
      </c>
      <c r="AA230">
        <f t="shared" ref="AA230:AA293" ca="1" si="90">AVERAGE(B131:B230)</f>
        <v>10.957264000000002</v>
      </c>
      <c r="AB230" s="18">
        <f t="shared" ca="1" si="75"/>
        <v>-2.6319776821127072E-2</v>
      </c>
      <c r="AC230" s="18">
        <f t="shared" ca="1" si="76"/>
        <v>-2.6672342204136293E-2</v>
      </c>
      <c r="AD230" s="18">
        <f t="shared" ca="1" si="71"/>
        <v>-8.7168688793074933E-2</v>
      </c>
    </row>
    <row r="231" spans="1:30" x14ac:dyDescent="0.25">
      <c r="A231" vm="616">
        <f ca="1"/>
        <v>45623</v>
      </c>
      <c r="B231" vm="544">
        <f ca="1"/>
        <v>10.9244</v>
      </c>
      <c r="C231" vm="617">
        <f ca="1"/>
        <v>28931888</v>
      </c>
      <c r="D231">
        <f t="shared" ca="1" si="68"/>
        <v>316063517.26719999</v>
      </c>
      <c r="E231">
        <f ca="1">SUM($D$2:D231)/SUM($C$2:C231)</f>
        <v>11.562286074766654</v>
      </c>
      <c r="F231">
        <f ca="1">_xlfn.STDEV.P($B$2:B231)</f>
        <v>0.98459710354003827</v>
      </c>
      <c r="G231">
        <f t="shared" ca="1" si="69"/>
        <v>12.546883178306691</v>
      </c>
      <c r="H231">
        <f t="shared" ca="1" si="70"/>
        <v>10.577688971226616</v>
      </c>
      <c r="I231">
        <f t="shared" ca="1" si="82"/>
        <v>10.760535000000001</v>
      </c>
      <c r="J231">
        <f t="shared" ca="1" si="83"/>
        <v>0.32580246077549591</v>
      </c>
      <c r="K231">
        <f t="shared" ca="1" si="84"/>
        <v>11.412139921550992</v>
      </c>
      <c r="L231">
        <f t="shared" ca="1" si="85"/>
        <v>10.10893007844901</v>
      </c>
      <c r="M231">
        <f t="shared" ca="1" si="72"/>
        <v>0</v>
      </c>
      <c r="N231">
        <f t="shared" ca="1" si="73"/>
        <v>0</v>
      </c>
      <c r="O231">
        <f t="shared" ca="1" si="74"/>
        <v>0</v>
      </c>
      <c r="P231">
        <f t="shared" ca="1" si="80"/>
        <v>9.4453497871439349E-2</v>
      </c>
      <c r="Q231">
        <f t="shared" ca="1" si="81"/>
        <v>8.4816267081226387E-2</v>
      </c>
      <c r="R231">
        <f t="shared" ca="1" si="78"/>
        <v>1.1136247930008949</v>
      </c>
      <c r="S231">
        <f t="shared" ca="1" si="79"/>
        <v>52.68791304343975</v>
      </c>
      <c r="T231">
        <f>70</f>
        <v>70</v>
      </c>
      <c r="U231">
        <f>30</f>
        <v>30</v>
      </c>
      <c r="V231">
        <f t="shared" ca="1" si="77"/>
        <v>10.882520072425713</v>
      </c>
      <c r="W231">
        <f t="shared" ca="1" si="87"/>
        <v>10.802849911799592</v>
      </c>
      <c r="X231">
        <f t="shared" ca="1" si="86"/>
        <v>7.9462792522988934E-2</v>
      </c>
      <c r="Y231">
        <f t="shared" ca="1" si="88"/>
        <v>6.8419933888515722E-2</v>
      </c>
      <c r="Z231">
        <f t="shared" ca="1" si="89"/>
        <v>1.1042858634473213E-2</v>
      </c>
      <c r="AA231">
        <f t="shared" ca="1" si="90"/>
        <v>10.939549000000005</v>
      </c>
      <c r="AB231" s="18">
        <f t="shared" ca="1" si="75"/>
        <v>0</v>
      </c>
      <c r="AC231" s="18">
        <f t="shared" ca="1" si="76"/>
        <v>0</v>
      </c>
      <c r="AD231" s="18">
        <f t="shared" ca="1" si="71"/>
        <v>-8.7168688793074933E-2</v>
      </c>
    </row>
    <row r="232" spans="1:30" x14ac:dyDescent="0.25">
      <c r="A232" vm="618">
        <f ca="1"/>
        <v>45625</v>
      </c>
      <c r="B232" vm="619">
        <f ca="1"/>
        <v>10.953900000000001</v>
      </c>
      <c r="C232" vm="620">
        <f ca="1"/>
        <v>29400275</v>
      </c>
      <c r="D232">
        <f t="shared" ca="1" si="68"/>
        <v>322047672.32250005</v>
      </c>
      <c r="E232">
        <f ca="1">SUM($D$2:D232)/SUM($C$2:C232)</f>
        <v>11.560871489182054</v>
      </c>
      <c r="F232">
        <f ca="1">_xlfn.STDEV.P($B$2:B232)</f>
        <v>0.98333867620378612</v>
      </c>
      <c r="G232">
        <f t="shared" ca="1" si="69"/>
        <v>12.54421016538584</v>
      </c>
      <c r="H232">
        <f t="shared" ca="1" si="70"/>
        <v>10.577532812978268</v>
      </c>
      <c r="I232">
        <f t="shared" ca="1" si="82"/>
        <v>10.801869999999999</v>
      </c>
      <c r="J232">
        <f t="shared" ca="1" si="83"/>
        <v>0.2918996566954945</v>
      </c>
      <c r="K232">
        <f t="shared" ca="1" si="84"/>
        <v>11.385669313390988</v>
      </c>
      <c r="L232">
        <f t="shared" ca="1" si="85"/>
        <v>10.218070686609011</v>
      </c>
      <c r="M232">
        <f t="shared" ca="1" si="72"/>
        <v>2.9500000000000526E-2</v>
      </c>
      <c r="N232">
        <f t="shared" ca="1" si="73"/>
        <v>2.9500000000000526E-2</v>
      </c>
      <c r="O232">
        <f t="shared" ca="1" si="74"/>
        <v>0</v>
      </c>
      <c r="P232">
        <f t="shared" ca="1" si="80"/>
        <v>8.9813962309193709E-2</v>
      </c>
      <c r="Q232">
        <f t="shared" ca="1" si="81"/>
        <v>7.8757962289710215E-2</v>
      </c>
      <c r="R232">
        <f t="shared" ca="1" si="78"/>
        <v>1.1403794574929977</v>
      </c>
      <c r="S232">
        <f t="shared" ca="1" si="79"/>
        <v>53.279312390182966</v>
      </c>
      <c r="T232">
        <f>70</f>
        <v>70</v>
      </c>
      <c r="U232">
        <f>30</f>
        <v>30</v>
      </c>
      <c r="V232">
        <f t="shared" ca="1" si="77"/>
        <v>10.893501599744834</v>
      </c>
      <c r="W232">
        <f t="shared" ca="1" si="87"/>
        <v>10.814038807221845</v>
      </c>
      <c r="X232">
        <f t="shared" ca="1" si="86"/>
        <v>6.6620406772409879E-2</v>
      </c>
      <c r="Y232">
        <f t="shared" ca="1" si="88"/>
        <v>6.8060028465294561E-2</v>
      </c>
      <c r="Z232">
        <f t="shared" ca="1" si="89"/>
        <v>-1.4396216928846822E-3</v>
      </c>
      <c r="AA232">
        <f t="shared" ca="1" si="90"/>
        <v>10.919471000000003</v>
      </c>
      <c r="AB232" s="18">
        <f t="shared" ca="1" si="75"/>
        <v>2.7003771374172203E-3</v>
      </c>
      <c r="AC232" s="18">
        <f t="shared" ca="1" si="76"/>
        <v>2.6967376695599971E-3</v>
      </c>
      <c r="AD232" s="18">
        <f t="shared" ca="1" si="71"/>
        <v>-8.470369998997318E-2</v>
      </c>
    </row>
    <row r="233" spans="1:30" x14ac:dyDescent="0.25">
      <c r="A233" vm="621">
        <f ca="1"/>
        <v>45628</v>
      </c>
      <c r="B233" vm="457">
        <f ca="1"/>
        <v>10.8063</v>
      </c>
      <c r="C233" vm="622">
        <f ca="1"/>
        <v>50838648</v>
      </c>
      <c r="D233">
        <f t="shared" ca="1" si="68"/>
        <v>549377681.88240004</v>
      </c>
      <c r="E233">
        <f ca="1">SUM($D$2:D233)/SUM($C$2:C233)</f>
        <v>11.557849796281298</v>
      </c>
      <c r="F233">
        <f ca="1">_xlfn.STDEV.P($B$2:B233)</f>
        <v>0.98253520429126173</v>
      </c>
      <c r="G233">
        <f t="shared" ca="1" si="69"/>
        <v>12.540385000572559</v>
      </c>
      <c r="H233">
        <f t="shared" ca="1" si="70"/>
        <v>10.575314591990036</v>
      </c>
      <c r="I233">
        <f t="shared" ca="1" si="82"/>
        <v>10.839269999999999</v>
      </c>
      <c r="J233">
        <f t="shared" ca="1" si="83"/>
        <v>0.23373971826528953</v>
      </c>
      <c r="K233">
        <f t="shared" ca="1" si="84"/>
        <v>11.306749436530579</v>
      </c>
      <c r="L233">
        <f t="shared" ca="1" si="85"/>
        <v>10.371790563469419</v>
      </c>
      <c r="M233">
        <f t="shared" ca="1" si="72"/>
        <v>-0.14760000000000062</v>
      </c>
      <c r="N233">
        <f t="shared" ca="1" si="73"/>
        <v>0</v>
      </c>
      <c r="O233">
        <f t="shared" ca="1" si="74"/>
        <v>0.14760000000000062</v>
      </c>
      <c r="P233">
        <f t="shared" ca="1" si="80"/>
        <v>8.3398679287108438E-2</v>
      </c>
      <c r="Q233">
        <f t="shared" ca="1" si="81"/>
        <v>8.3675250697588091E-2</v>
      </c>
      <c r="R233">
        <f t="shared" ca="1" si="78"/>
        <v>0.99669470472841226</v>
      </c>
      <c r="S233">
        <f t="shared" ca="1" si="79"/>
        <v>49.917230829937083</v>
      </c>
      <c r="T233">
        <f>70</f>
        <v>70</v>
      </c>
      <c r="U233">
        <f>30</f>
        <v>30</v>
      </c>
      <c r="V233">
        <f t="shared" ca="1" si="77"/>
        <v>10.880085969014859</v>
      </c>
      <c r="W233">
        <f t="shared" ca="1" si="87"/>
        <v>10.813465562242449</v>
      </c>
      <c r="X233">
        <f t="shared" ca="1" si="86"/>
        <v>4.32353990558898E-2</v>
      </c>
      <c r="Y233">
        <f t="shared" ca="1" si="88"/>
        <v>6.3095102583413609E-2</v>
      </c>
      <c r="Z233">
        <f t="shared" ca="1" si="89"/>
        <v>-1.9859703527523809E-2</v>
      </c>
      <c r="AA233">
        <f t="shared" ca="1" si="90"/>
        <v>10.894965000000003</v>
      </c>
      <c r="AB233" s="18">
        <f t="shared" ca="1" si="75"/>
        <v>-1.3474652863363801E-2</v>
      </c>
      <c r="AC233" s="18">
        <f t="shared" ca="1" si="76"/>
        <v>-1.3566259843838998E-2</v>
      </c>
      <c r="AD233" s="18">
        <f t="shared" ca="1" si="71"/>
        <v>-9.7036999899729581E-2</v>
      </c>
    </row>
    <row r="234" spans="1:30" x14ac:dyDescent="0.25">
      <c r="A234" vm="623">
        <f ca="1"/>
        <v>45629</v>
      </c>
      <c r="B234" vm="391">
        <f ca="1"/>
        <v>10.6488</v>
      </c>
      <c r="C234" vm="624">
        <f ca="1"/>
        <v>44609982</v>
      </c>
      <c r="D234">
        <f t="shared" ca="1" si="68"/>
        <v>475042776.32159996</v>
      </c>
      <c r="E234">
        <f ca="1">SUM($D$2:D234)/SUM($C$2:C234)</f>
        <v>11.554666681682539</v>
      </c>
      <c r="F234">
        <f ca="1">_xlfn.STDEV.P($B$2:B234)</f>
        <v>0.9823106646811135</v>
      </c>
      <c r="G234">
        <f t="shared" ca="1" si="69"/>
        <v>12.536977346363653</v>
      </c>
      <c r="H234">
        <f t="shared" ca="1" si="70"/>
        <v>10.572356017001425</v>
      </c>
      <c r="I234">
        <f t="shared" ca="1" si="82"/>
        <v>10.861904999999998</v>
      </c>
      <c r="J234">
        <f t="shared" ca="1" si="83"/>
        <v>0.18501993768809166</v>
      </c>
      <c r="K234">
        <f t="shared" ca="1" si="84"/>
        <v>11.231944875376183</v>
      </c>
      <c r="L234">
        <f t="shared" ca="1" si="85"/>
        <v>10.491865124623814</v>
      </c>
      <c r="M234">
        <f t="shared" ca="1" si="72"/>
        <v>-0.15750000000000064</v>
      </c>
      <c r="N234">
        <f t="shared" ca="1" si="73"/>
        <v>0</v>
      </c>
      <c r="O234">
        <f t="shared" ca="1" si="74"/>
        <v>0.15750000000000064</v>
      </c>
      <c r="P234">
        <f t="shared" ca="1" si="80"/>
        <v>7.7441630766600697E-2</v>
      </c>
      <c r="Q234">
        <f t="shared" ca="1" si="81"/>
        <v>8.8948447076331844E-2</v>
      </c>
      <c r="R234">
        <f t="shared" ca="1" si="78"/>
        <v>0.87063499489927598</v>
      </c>
      <c r="S234">
        <f t="shared" ca="1" si="79"/>
        <v>46.54221680195581</v>
      </c>
      <c r="T234">
        <f>70</f>
        <v>70</v>
      </c>
      <c r="U234">
        <f>30</f>
        <v>30</v>
      </c>
      <c r="V234">
        <f t="shared" ca="1" si="77"/>
        <v>10.844503512243342</v>
      </c>
      <c r="W234">
        <f t="shared" ca="1" si="87"/>
        <v>10.801268113187453</v>
      </c>
      <c r="X234">
        <f t="shared" ca="1" si="86"/>
        <v>1.8143038035187686E-2</v>
      </c>
      <c r="Y234">
        <f t="shared" ca="1" si="88"/>
        <v>5.4104689673768427E-2</v>
      </c>
      <c r="Z234">
        <f t="shared" ca="1" si="89"/>
        <v>-3.5961651638580741E-2</v>
      </c>
      <c r="AA234">
        <f t="shared" ca="1" si="90"/>
        <v>10.863372999999999</v>
      </c>
      <c r="AB234" s="18">
        <f t="shared" ca="1" si="75"/>
        <v>-1.4574831348380224E-2</v>
      </c>
      <c r="AC234" s="18">
        <f t="shared" ca="1" si="76"/>
        <v>-1.4682087640082383E-2</v>
      </c>
      <c r="AD234" s="18">
        <f t="shared" ca="1" si="71"/>
        <v>-0.11019753334001847</v>
      </c>
    </row>
    <row r="235" spans="1:30" x14ac:dyDescent="0.25">
      <c r="A235" vm="625">
        <f ca="1"/>
        <v>45630</v>
      </c>
      <c r="B235" vm="626">
        <f ca="1"/>
        <v>10.5701</v>
      </c>
      <c r="C235" vm="627">
        <f ca="1"/>
        <v>67854157</v>
      </c>
      <c r="D235">
        <f t="shared" ca="1" si="68"/>
        <v>717225224.90569997</v>
      </c>
      <c r="E235">
        <f ca="1">SUM($D$2:D235)/SUM($C$2:C235)</f>
        <v>11.549450566287</v>
      </c>
      <c r="F235">
        <f ca="1">_xlfn.STDEV.P($B$2:B235)</f>
        <v>0.98240134087263931</v>
      </c>
      <c r="G235">
        <f t="shared" ca="1" si="69"/>
        <v>12.531851907159639</v>
      </c>
      <c r="H235">
        <f t="shared" ca="1" si="70"/>
        <v>10.56704922541436</v>
      </c>
      <c r="I235">
        <f t="shared" ca="1" si="82"/>
        <v>10.868794999999999</v>
      </c>
      <c r="J235">
        <f t="shared" ca="1" si="83"/>
        <v>0.1701478350234229</v>
      </c>
      <c r="K235">
        <f t="shared" ca="1" si="84"/>
        <v>11.209090670046844</v>
      </c>
      <c r="L235">
        <f t="shared" ca="1" si="85"/>
        <v>10.528499329953153</v>
      </c>
      <c r="M235">
        <f t="shared" ca="1" si="72"/>
        <v>-7.8699999999999548E-2</v>
      </c>
      <c r="N235">
        <f t="shared" ca="1" si="73"/>
        <v>0</v>
      </c>
      <c r="O235">
        <f t="shared" ca="1" si="74"/>
        <v>7.8699999999999548E-2</v>
      </c>
      <c r="P235">
        <f t="shared" ca="1" si="80"/>
        <v>7.1910085711843513E-2</v>
      </c>
      <c r="Q235">
        <f t="shared" ca="1" si="81"/>
        <v>8.8216415142308116E-2</v>
      </c>
      <c r="R235">
        <f t="shared" ca="1" si="78"/>
        <v>0.81515538344921734</v>
      </c>
      <c r="S235">
        <f t="shared" ca="1" si="79"/>
        <v>44.908297707286778</v>
      </c>
      <c r="T235">
        <f>70</f>
        <v>70</v>
      </c>
      <c r="U235">
        <f>30</f>
        <v>30</v>
      </c>
      <c r="V235">
        <f t="shared" ca="1" si="77"/>
        <v>10.802287587282828</v>
      </c>
      <c r="W235">
        <f t="shared" ca="1" si="87"/>
        <v>10.784144549247641</v>
      </c>
      <c r="X235">
        <f t="shared" ca="1" si="86"/>
        <v>-2.5279672599667791E-2</v>
      </c>
      <c r="Y235">
        <f t="shared" ca="1" si="88"/>
        <v>3.8227817219081188E-2</v>
      </c>
      <c r="Z235">
        <f t="shared" ca="1" si="89"/>
        <v>-6.3507489818748986E-2</v>
      </c>
      <c r="AA235">
        <f t="shared" ca="1" si="90"/>
        <v>10.829024999999996</v>
      </c>
      <c r="AB235" s="18">
        <f t="shared" ca="1" si="75"/>
        <v>-7.3905040943580413E-3</v>
      </c>
      <c r="AC235" s="18">
        <f t="shared" ca="1" si="76"/>
        <v>-7.4179491753410395E-3</v>
      </c>
      <c r="AD235" s="18">
        <f t="shared" ca="1" si="71"/>
        <v>-0.11677362211303899</v>
      </c>
    </row>
    <row r="236" spans="1:30" x14ac:dyDescent="0.25">
      <c r="A236" vm="628">
        <f ca="1"/>
        <v>45631</v>
      </c>
      <c r="B236" vm="629">
        <f ca="1"/>
        <v>10.274800000000001</v>
      </c>
      <c r="C236" vm="630">
        <f ca="1"/>
        <v>69257705</v>
      </c>
      <c r="D236">
        <f t="shared" ca="1" si="68"/>
        <v>711609067.33400011</v>
      </c>
      <c r="E236">
        <f ca="1">SUM($D$2:D236)/SUM($C$2:C236)</f>
        <v>11.542595009532356</v>
      </c>
      <c r="F236">
        <f ca="1">_xlfn.STDEV.P($B$2:B236)</f>
        <v>0.9839346867583475</v>
      </c>
      <c r="G236">
        <f t="shared" ca="1" si="69"/>
        <v>12.526529696290703</v>
      </c>
      <c r="H236">
        <f t="shared" ca="1" si="70"/>
        <v>10.558660322774008</v>
      </c>
      <c r="I236">
        <f t="shared" ca="1" si="82"/>
        <v>10.831884999999998</v>
      </c>
      <c r="J236">
        <f t="shared" ca="1" si="83"/>
        <v>0.21211261228289488</v>
      </c>
      <c r="K236">
        <f t="shared" ca="1" si="84"/>
        <v>11.256110224565788</v>
      </c>
      <c r="L236">
        <f t="shared" ca="1" si="85"/>
        <v>10.407659775434208</v>
      </c>
      <c r="M236">
        <f t="shared" ca="1" si="72"/>
        <v>-0.29529999999999923</v>
      </c>
      <c r="N236">
        <f t="shared" ca="1" si="73"/>
        <v>0</v>
      </c>
      <c r="O236">
        <f t="shared" ca="1" si="74"/>
        <v>0.29529999999999923</v>
      </c>
      <c r="P236">
        <f t="shared" ca="1" si="80"/>
        <v>6.6773651018140409E-2</v>
      </c>
      <c r="Q236">
        <f t="shared" ca="1" si="81"/>
        <v>0.10300809977500035</v>
      </c>
      <c r="R236">
        <f t="shared" ca="1" si="78"/>
        <v>0.6482368975254712</v>
      </c>
      <c r="S236">
        <f t="shared" ca="1" si="79"/>
        <v>39.329109698895913</v>
      </c>
      <c r="T236">
        <f>70</f>
        <v>70</v>
      </c>
      <c r="U236">
        <f>30</f>
        <v>30</v>
      </c>
      <c r="V236">
        <f t="shared" ca="1" si="77"/>
        <v>10.721135650777777</v>
      </c>
      <c r="W236">
        <f t="shared" ca="1" si="87"/>
        <v>10.746415323377445</v>
      </c>
      <c r="X236">
        <f t="shared" ca="1" si="86"/>
        <v>-5.3515931101623337E-2</v>
      </c>
      <c r="Y236">
        <f t="shared" ca="1" si="88"/>
        <v>1.9879067554940285E-2</v>
      </c>
      <c r="Z236">
        <f t="shared" ca="1" si="89"/>
        <v>-7.3394998656563626E-2</v>
      </c>
      <c r="AA236">
        <f t="shared" ca="1" si="90"/>
        <v>10.790148999999996</v>
      </c>
      <c r="AB236" s="18">
        <f t="shared" ca="1" si="75"/>
        <v>-2.7937294822186987E-2</v>
      </c>
      <c r="AC236" s="18">
        <f t="shared" ca="1" si="76"/>
        <v>-2.8334965102667663E-2</v>
      </c>
      <c r="AD236" s="18">
        <f t="shared" ca="1" si="71"/>
        <v>-0.14144857782679932</v>
      </c>
    </row>
    <row r="237" spans="1:30" x14ac:dyDescent="0.25">
      <c r="A237" vm="631">
        <f ca="1"/>
        <v>45632</v>
      </c>
      <c r="B237" vm="427">
        <f ca="1"/>
        <v>10.3437</v>
      </c>
      <c r="C237" vm="632">
        <f ca="1"/>
        <v>57130816</v>
      </c>
      <c r="D237">
        <f t="shared" ca="1" si="68"/>
        <v>590944021.45920002</v>
      </c>
      <c r="E237">
        <f ca="1">SUM($D$2:D237)/SUM($C$2:C237)</f>
        <v>11.537299441823402</v>
      </c>
      <c r="F237">
        <f ca="1">_xlfn.STDEV.P($B$2:B237)</f>
        <v>0.9850514376593833</v>
      </c>
      <c r="G237">
        <f t="shared" ca="1" si="69"/>
        <v>12.522350879482785</v>
      </c>
      <c r="H237">
        <f t="shared" ca="1" si="70"/>
        <v>10.552248004164019</v>
      </c>
      <c r="I237">
        <f t="shared" ca="1" si="82"/>
        <v>10.80974</v>
      </c>
      <c r="J237">
        <f t="shared" ca="1" si="83"/>
        <v>0.23856029669225082</v>
      </c>
      <c r="K237">
        <f t="shared" ca="1" si="84"/>
        <v>11.286860593384501</v>
      </c>
      <c r="L237">
        <f t="shared" ca="1" si="85"/>
        <v>10.332619406615498</v>
      </c>
      <c r="M237">
        <f t="shared" ca="1" si="72"/>
        <v>6.8899999999999295E-2</v>
      </c>
      <c r="N237">
        <f t="shared" ca="1" si="73"/>
        <v>6.8899999999999295E-2</v>
      </c>
      <c r="O237">
        <f t="shared" ca="1" si="74"/>
        <v>0</v>
      </c>
      <c r="P237">
        <f t="shared" ca="1" si="80"/>
        <v>6.692553308827319E-2</v>
      </c>
      <c r="Q237">
        <f t="shared" ca="1" si="81"/>
        <v>9.565037836250033E-2</v>
      </c>
      <c r="R237">
        <f t="shared" ca="1" si="78"/>
        <v>0.69968916207143095</v>
      </c>
      <c r="S237">
        <f t="shared" ca="1" si="79"/>
        <v>41.16571298358528</v>
      </c>
      <c r="T237">
        <f>70</f>
        <v>70</v>
      </c>
      <c r="U237">
        <f>30</f>
        <v>30</v>
      </c>
      <c r="V237">
        <f t="shared" ca="1" si="77"/>
        <v>10.663068627581195</v>
      </c>
      <c r="W237">
        <f t="shared" ca="1" si="87"/>
        <v>10.716584558682818</v>
      </c>
      <c r="X237">
        <f t="shared" ca="1" si="86"/>
        <v>-6.7960681425359937E-2</v>
      </c>
      <c r="Y237">
        <f t="shared" ca="1" si="88"/>
        <v>2.3111177588802413E-3</v>
      </c>
      <c r="Z237">
        <f t="shared" ca="1" si="89"/>
        <v>-7.0271799184240175E-2</v>
      </c>
      <c r="AA237">
        <f t="shared" ca="1" si="90"/>
        <v>10.751076999999995</v>
      </c>
      <c r="AB237" s="18">
        <f t="shared" ca="1" si="75"/>
        <v>6.7057266321484121E-3</v>
      </c>
      <c r="AC237" s="18">
        <f t="shared" ca="1" si="76"/>
        <v>6.6833432561316441E-3</v>
      </c>
      <c r="AD237" s="18">
        <f t="shared" ca="1" si="71"/>
        <v>-0.13569136669006354</v>
      </c>
    </row>
    <row r="238" spans="1:30" x14ac:dyDescent="0.25">
      <c r="A238" vm="633">
        <f ca="1"/>
        <v>45635</v>
      </c>
      <c r="B238" vm="576">
        <f ca="1"/>
        <v>10.4323</v>
      </c>
      <c r="C238" vm="634">
        <f ca="1"/>
        <v>54085688</v>
      </c>
      <c r="D238">
        <f t="shared" ca="1" si="68"/>
        <v>564238122.9224</v>
      </c>
      <c r="E238">
        <f ca="1">SUM($D$2:D238)/SUM($C$2:C238)</f>
        <v>11.532698008851447</v>
      </c>
      <c r="F238">
        <f ca="1">_xlfn.STDEV.P($B$2:B238)</f>
        <v>0.98568792907790193</v>
      </c>
      <c r="G238">
        <f t="shared" ca="1" si="69"/>
        <v>12.518385937929349</v>
      </c>
      <c r="H238">
        <f t="shared" ca="1" si="70"/>
        <v>10.547010079773546</v>
      </c>
      <c r="I238">
        <f t="shared" ca="1" si="82"/>
        <v>10.79153</v>
      </c>
      <c r="J238">
        <f t="shared" ca="1" si="83"/>
        <v>0.25308235210572949</v>
      </c>
      <c r="K238">
        <f t="shared" ca="1" si="84"/>
        <v>11.297694704211459</v>
      </c>
      <c r="L238">
        <f t="shared" ca="1" si="85"/>
        <v>10.285365295788541</v>
      </c>
      <c r="M238">
        <f t="shared" ca="1" si="72"/>
        <v>8.8599999999999568E-2</v>
      </c>
      <c r="N238">
        <f t="shared" ca="1" si="73"/>
        <v>8.8599999999999568E-2</v>
      </c>
      <c r="O238">
        <f t="shared" ca="1" si="74"/>
        <v>0</v>
      </c>
      <c r="P238">
        <f t="shared" ca="1" si="80"/>
        <v>6.847370929625364E-2</v>
      </c>
      <c r="Q238">
        <f t="shared" ca="1" si="81"/>
        <v>8.8818208479464603E-2</v>
      </c>
      <c r="R238">
        <f t="shared" ca="1" si="78"/>
        <v>0.77094224786221899</v>
      </c>
      <c r="S238">
        <f t="shared" ca="1" si="79"/>
        <v>43.53288475628478</v>
      </c>
      <c r="T238">
        <f>70</f>
        <v>70</v>
      </c>
      <c r="U238">
        <f>30</f>
        <v>30</v>
      </c>
      <c r="V238">
        <f t="shared" ca="1" si="77"/>
        <v>10.627565761799472</v>
      </c>
      <c r="W238">
        <f t="shared" ca="1" si="87"/>
        <v>10.695526443224832</v>
      </c>
      <c r="X238">
        <f t="shared" ca="1" si="86"/>
        <v>-8.1646332745377137E-2</v>
      </c>
      <c r="Y238">
        <f t="shared" ca="1" si="88"/>
        <v>-1.4480372341971236E-2</v>
      </c>
      <c r="Z238">
        <f t="shared" ca="1" si="89"/>
        <v>-6.7165960403405903E-2</v>
      </c>
      <c r="AA238">
        <f t="shared" ca="1" si="90"/>
        <v>10.712201999999992</v>
      </c>
      <c r="AB238" s="18">
        <f t="shared" ca="1" si="75"/>
        <v>8.5656003171012962E-3</v>
      </c>
      <c r="AC238" s="18">
        <f t="shared" ca="1" si="76"/>
        <v>8.5291237107197118E-3</v>
      </c>
      <c r="AD238" s="18">
        <f t="shared" ca="1" si="71"/>
        <v>-0.12828804438651054</v>
      </c>
    </row>
    <row r="239" spans="1:30" x14ac:dyDescent="0.25">
      <c r="A239" vm="635">
        <f ca="1"/>
        <v>45636</v>
      </c>
      <c r="B239" vm="510">
        <f ca="1"/>
        <v>10.392899999999999</v>
      </c>
      <c r="C239" vm="636">
        <f ca="1"/>
        <v>45808999</v>
      </c>
      <c r="D239">
        <f t="shared" ca="1" si="68"/>
        <v>476088345.70709997</v>
      </c>
      <c r="E239">
        <f ca="1">SUM($D$2:D239)/SUM($C$2:C239)</f>
        <v>11.528692125137981</v>
      </c>
      <c r="F239">
        <f ca="1">_xlfn.STDEV.P($B$2:B239)</f>
        <v>0.9864870349420457</v>
      </c>
      <c r="G239">
        <f t="shared" ca="1" si="69"/>
        <v>12.515179160080027</v>
      </c>
      <c r="H239">
        <f t="shared" ca="1" si="70"/>
        <v>10.542205090195935</v>
      </c>
      <c r="I239">
        <f t="shared" ca="1" si="82"/>
        <v>10.758559999999999</v>
      </c>
      <c r="J239">
        <f t="shared" ca="1" si="83"/>
        <v>0.2601747720283426</v>
      </c>
      <c r="K239">
        <f t="shared" ca="1" si="84"/>
        <v>11.278909544056685</v>
      </c>
      <c r="L239">
        <f t="shared" ca="1" si="85"/>
        <v>10.238210455943314</v>
      </c>
      <c r="M239">
        <f t="shared" ca="1" si="72"/>
        <v>-3.9400000000000546E-2</v>
      </c>
      <c r="N239">
        <f t="shared" ca="1" si="73"/>
        <v>0</v>
      </c>
      <c r="O239">
        <f t="shared" ca="1" si="74"/>
        <v>3.9400000000000546E-2</v>
      </c>
      <c r="P239">
        <f t="shared" ca="1" si="80"/>
        <v>6.3582730060806961E-2</v>
      </c>
      <c r="Q239">
        <f t="shared" ca="1" si="81"/>
        <v>8.5288336445217175E-2</v>
      </c>
      <c r="R239">
        <f t="shared" ca="1" si="78"/>
        <v>0.74550322718098427</v>
      </c>
      <c r="S239">
        <f t="shared" ca="1" si="79"/>
        <v>42.709931186147614</v>
      </c>
      <c r="T239">
        <f>70</f>
        <v>70</v>
      </c>
      <c r="U239">
        <f>30</f>
        <v>30</v>
      </c>
      <c r="V239">
        <f t="shared" ca="1" si="77"/>
        <v>10.591463336907246</v>
      </c>
      <c r="W239">
        <f t="shared" ca="1" si="87"/>
        <v>10.673109669652623</v>
      </c>
      <c r="X239">
        <f t="shared" ca="1" si="86"/>
        <v>-0.10321262557165412</v>
      </c>
      <c r="Y239">
        <f t="shared" ca="1" si="88"/>
        <v>-3.2226822987907813E-2</v>
      </c>
      <c r="Z239">
        <f t="shared" ca="1" si="89"/>
        <v>-7.0985802583746302E-2</v>
      </c>
      <c r="AA239">
        <f t="shared" ca="1" si="90"/>
        <v>10.678542999999996</v>
      </c>
      <c r="AB239" s="18">
        <f t="shared" ca="1" si="75"/>
        <v>-3.7767318807933048E-3</v>
      </c>
      <c r="AC239" s="18">
        <f t="shared" ca="1" si="76"/>
        <v>-3.7838817403886451E-3</v>
      </c>
      <c r="AD239" s="18">
        <f t="shared" ca="1" si="71"/>
        <v>-0.13158026672014467</v>
      </c>
    </row>
    <row r="240" spans="1:30" x14ac:dyDescent="0.25">
      <c r="A240" vm="637">
        <f ca="1"/>
        <v>45637</v>
      </c>
      <c r="B240" vm="561">
        <f ca="1"/>
        <v>10.2453</v>
      </c>
      <c r="C240" vm="638">
        <f ca="1"/>
        <v>61459387</v>
      </c>
      <c r="D240">
        <f t="shared" ca="1" si="68"/>
        <v>629669857.63110006</v>
      </c>
      <c r="E240">
        <f ca="1">SUM($D$2:D240)/SUM($C$2:C240)</f>
        <v>11.522668967527769</v>
      </c>
      <c r="F240">
        <f ca="1">_xlfn.STDEV.P($B$2:B240)</f>
        <v>0.98802197168657391</v>
      </c>
      <c r="G240">
        <f t="shared" ca="1" si="69"/>
        <v>12.510690939214344</v>
      </c>
      <c r="H240">
        <f t="shared" ca="1" si="70"/>
        <v>10.534646995841195</v>
      </c>
      <c r="I240">
        <f t="shared" ca="1" si="82"/>
        <v>10.724605</v>
      </c>
      <c r="J240">
        <f t="shared" ca="1" si="83"/>
        <v>0.2808822013341461</v>
      </c>
      <c r="K240">
        <f t="shared" ca="1" si="84"/>
        <v>11.286369402668292</v>
      </c>
      <c r="L240">
        <f t="shared" ca="1" si="85"/>
        <v>10.162840597331709</v>
      </c>
      <c r="M240">
        <f t="shared" ca="1" si="72"/>
        <v>-0.14759999999999884</v>
      </c>
      <c r="N240">
        <f t="shared" ca="1" si="73"/>
        <v>0</v>
      </c>
      <c r="O240">
        <f t="shared" ca="1" si="74"/>
        <v>0.14759999999999884</v>
      </c>
      <c r="P240">
        <f t="shared" ca="1" si="80"/>
        <v>5.9041106485035036E-2</v>
      </c>
      <c r="Q240">
        <f t="shared" ca="1" si="81"/>
        <v>8.9739169556273007E-2</v>
      </c>
      <c r="R240">
        <f t="shared" ca="1" si="78"/>
        <v>0.65791901994381563</v>
      </c>
      <c r="S240">
        <f t="shared" ca="1" si="79"/>
        <v>39.683423136439529</v>
      </c>
      <c r="T240">
        <f>70</f>
        <v>70</v>
      </c>
      <c r="U240">
        <f>30</f>
        <v>30</v>
      </c>
      <c r="V240">
        <f t="shared" ca="1" si="77"/>
        <v>10.538207438921516</v>
      </c>
      <c r="W240">
        <f t="shared" ca="1" si="87"/>
        <v>10.64142006449317</v>
      </c>
      <c r="X240">
        <f t="shared" ca="1" si="86"/>
        <v>-0.12050459145467052</v>
      </c>
      <c r="Y240">
        <f t="shared" ca="1" si="88"/>
        <v>-4.988237668126036E-2</v>
      </c>
      <c r="Z240">
        <f t="shared" ca="1" si="89"/>
        <v>-7.0622214773410158E-2</v>
      </c>
      <c r="AA240">
        <f t="shared" ca="1" si="90"/>
        <v>10.64203</v>
      </c>
      <c r="AB240" s="18">
        <f t="shared" ca="1" si="75"/>
        <v>-1.4202003290707976E-2</v>
      </c>
      <c r="AC240" s="18">
        <f t="shared" ca="1" si="76"/>
        <v>-1.4303816860122659E-2</v>
      </c>
      <c r="AD240" s="18">
        <f t="shared" ca="1" si="71"/>
        <v>-0.14391356662990096</v>
      </c>
    </row>
    <row r="241" spans="1:30" x14ac:dyDescent="0.25">
      <c r="A241" vm="639">
        <f ca="1"/>
        <v>45638</v>
      </c>
      <c r="B241" vm="640">
        <f ca="1"/>
        <v>10.2256</v>
      </c>
      <c r="C241" vm="641">
        <f ca="1"/>
        <v>39050396</v>
      </c>
      <c r="D241">
        <f t="shared" ca="1" si="68"/>
        <v>399313729.33759999</v>
      </c>
      <c r="E241">
        <f ca="1">SUM($D$2:D241)/SUM($C$2:C241)</f>
        <v>11.518812656787009</v>
      </c>
      <c r="F241">
        <f ca="1">_xlfn.STDEV.P($B$2:B241)</f>
        <v>0.98962019413375224</v>
      </c>
      <c r="G241">
        <f t="shared" ca="1" si="69"/>
        <v>12.508432850920762</v>
      </c>
      <c r="H241">
        <f t="shared" ca="1" si="70"/>
        <v>10.529192462653256</v>
      </c>
      <c r="I241">
        <f t="shared" ca="1" si="82"/>
        <v>10.689665</v>
      </c>
      <c r="J241">
        <f t="shared" ca="1" si="83"/>
        <v>0.29768168141047652</v>
      </c>
      <c r="K241">
        <f t="shared" ca="1" si="84"/>
        <v>11.285028362820952</v>
      </c>
      <c r="L241">
        <f t="shared" ca="1" si="85"/>
        <v>10.094301637179047</v>
      </c>
      <c r="M241">
        <f t="shared" ca="1" si="72"/>
        <v>-1.9700000000000273E-2</v>
      </c>
      <c r="N241">
        <f t="shared" ca="1" si="73"/>
        <v>0</v>
      </c>
      <c r="O241">
        <f t="shared" ca="1" si="74"/>
        <v>1.9700000000000273E-2</v>
      </c>
      <c r="P241">
        <f t="shared" ca="1" si="80"/>
        <v>5.4823884593246823E-2</v>
      </c>
      <c r="Q241">
        <f t="shared" ca="1" si="81"/>
        <v>8.4736371730824947E-2</v>
      </c>
      <c r="R241">
        <f t="shared" ca="1" si="78"/>
        <v>0.64699353386762115</v>
      </c>
      <c r="S241">
        <f t="shared" ca="1" si="79"/>
        <v>39.28330746680539</v>
      </c>
      <c r="T241">
        <f>70</f>
        <v>70</v>
      </c>
      <c r="U241">
        <f>30</f>
        <v>30</v>
      </c>
      <c r="V241">
        <f t="shared" ca="1" si="77"/>
        <v>10.490113986779745</v>
      </c>
      <c r="W241">
        <f t="shared" ca="1" si="87"/>
        <v>10.610618578234416</v>
      </c>
      <c r="X241">
        <f t="shared" ca="1" si="86"/>
        <v>-0.13267915627521454</v>
      </c>
      <c r="Y241">
        <f t="shared" ca="1" si="88"/>
        <v>-6.6441732600051207E-2</v>
      </c>
      <c r="Z241">
        <f t="shared" ca="1" si="89"/>
        <v>-6.6237423675163332E-2</v>
      </c>
      <c r="AA241">
        <f t="shared" ca="1" si="90"/>
        <v>10.608173999999998</v>
      </c>
      <c r="AB241" s="18">
        <f t="shared" ca="1" si="75"/>
        <v>-1.9228329087483953E-3</v>
      </c>
      <c r="AC241" s="18">
        <f t="shared" ca="1" si="76"/>
        <v>-1.9246839251232763E-3</v>
      </c>
      <c r="AD241" s="18">
        <f t="shared" ca="1" si="71"/>
        <v>-0.14555967779671808</v>
      </c>
    </row>
    <row r="242" spans="1:30" x14ac:dyDescent="0.25">
      <c r="A242" vm="642">
        <f ca="1"/>
        <v>45639</v>
      </c>
      <c r="B242" vm="640">
        <f ca="1"/>
        <v>10.2256</v>
      </c>
      <c r="C242" vm="643">
        <f ca="1"/>
        <v>41212663</v>
      </c>
      <c r="D242">
        <f t="shared" ca="1" si="68"/>
        <v>421424206.77280003</v>
      </c>
      <c r="E242">
        <f ca="1">SUM($D$2:D242)/SUM($C$2:C242)</f>
        <v>11.514767609769718</v>
      </c>
      <c r="F242">
        <f ca="1">_xlfn.STDEV.P($B$2:B242)</f>
        <v>0.99117247486752014</v>
      </c>
      <c r="G242">
        <f t="shared" ca="1" si="69"/>
        <v>12.505940084637238</v>
      </c>
      <c r="H242">
        <f t="shared" ca="1" si="70"/>
        <v>10.523595134902198</v>
      </c>
      <c r="I242">
        <f t="shared" ca="1" si="82"/>
        <v>10.656199999999998</v>
      </c>
      <c r="J242">
        <f t="shared" ca="1" si="83"/>
        <v>0.31073004699459489</v>
      </c>
      <c r="K242">
        <f t="shared" ca="1" si="84"/>
        <v>11.277660093989189</v>
      </c>
      <c r="L242">
        <f t="shared" ca="1" si="85"/>
        <v>10.034739906010808</v>
      </c>
      <c r="M242">
        <f t="shared" ca="1" si="72"/>
        <v>0</v>
      </c>
      <c r="N242">
        <f t="shared" ca="1" si="73"/>
        <v>0</v>
      </c>
      <c r="O242">
        <f t="shared" ca="1" si="74"/>
        <v>0</v>
      </c>
      <c r="P242">
        <f t="shared" ca="1" si="80"/>
        <v>5.0907892836586331E-2</v>
      </c>
      <c r="Q242">
        <f t="shared" ca="1" si="81"/>
        <v>7.8683773750051741E-2</v>
      </c>
      <c r="R242">
        <f t="shared" ca="1" si="78"/>
        <v>0.64699353386762104</v>
      </c>
      <c r="S242">
        <f t="shared" ca="1" si="79"/>
        <v>39.283307466805383</v>
      </c>
      <c r="T242">
        <f>70</f>
        <v>70</v>
      </c>
      <c r="U242">
        <f>30</f>
        <v>30</v>
      </c>
      <c r="V242">
        <f t="shared" ca="1" si="77"/>
        <v>10.44941952727517</v>
      </c>
      <c r="W242">
        <f t="shared" ca="1" si="87"/>
        <v>10.582098683550385</v>
      </c>
      <c r="X242">
        <f t="shared" ca="1" si="86"/>
        <v>-0.17210391040783257</v>
      </c>
      <c r="Y242">
        <f t="shared" ca="1" si="88"/>
        <v>-8.7574168161607485E-2</v>
      </c>
      <c r="Z242">
        <f t="shared" ca="1" si="89"/>
        <v>-8.4529742246225087E-2</v>
      </c>
      <c r="AA242">
        <f t="shared" ca="1" si="90"/>
        <v>10.575893000000001</v>
      </c>
      <c r="AB242" s="18">
        <f t="shared" ca="1" si="75"/>
        <v>0</v>
      </c>
      <c r="AC242" s="18">
        <f t="shared" ca="1" si="76"/>
        <v>0</v>
      </c>
      <c r="AD242" s="18">
        <f t="shared" ca="1" si="71"/>
        <v>-0.14555967779671808</v>
      </c>
    </row>
    <row r="243" spans="1:30" x14ac:dyDescent="0.25">
      <c r="A243" vm="644">
        <f ca="1"/>
        <v>45642</v>
      </c>
      <c r="B243" vm="645">
        <f ca="1"/>
        <v>9.8320000000000007</v>
      </c>
      <c r="C243" vm="646">
        <f ca="1"/>
        <v>97811802</v>
      </c>
      <c r="D243">
        <f t="shared" ca="1" si="68"/>
        <v>961685637.26400006</v>
      </c>
      <c r="E243">
        <f ca="1">SUM($D$2:D243)/SUM($C$2:C243)</f>
        <v>11.502367479835424</v>
      </c>
      <c r="F243">
        <f ca="1">_xlfn.STDEV.P($B$2:B243)</f>
        <v>0.99513371218111013</v>
      </c>
      <c r="G243">
        <f t="shared" ca="1" si="69"/>
        <v>12.497501192016534</v>
      </c>
      <c r="H243">
        <f t="shared" ca="1" si="70"/>
        <v>10.507233767654315</v>
      </c>
      <c r="I243">
        <f t="shared" ca="1" si="82"/>
        <v>10.606009999999998</v>
      </c>
      <c r="J243">
        <f t="shared" ca="1" si="83"/>
        <v>0.35771047083831409</v>
      </c>
      <c r="K243">
        <f t="shared" ca="1" si="84"/>
        <v>11.321430941676626</v>
      </c>
      <c r="L243">
        <f t="shared" ca="1" si="85"/>
        <v>9.8905890583233695</v>
      </c>
      <c r="M243">
        <f t="shared" ca="1" si="72"/>
        <v>-0.39359999999999928</v>
      </c>
      <c r="N243">
        <f t="shared" ca="1" si="73"/>
        <v>0</v>
      </c>
      <c r="O243">
        <f t="shared" ca="1" si="74"/>
        <v>0.39359999999999928</v>
      </c>
      <c r="P243">
        <f t="shared" ca="1" si="80"/>
        <v>4.7271614776830166E-2</v>
      </c>
      <c r="Q243">
        <f t="shared" ca="1" si="81"/>
        <v>0.10117778991076229</v>
      </c>
      <c r="R243">
        <f t="shared" ca="1" si="78"/>
        <v>0.46721335599960445</v>
      </c>
      <c r="S243">
        <f t="shared" ca="1" si="79"/>
        <v>31.843586625565763</v>
      </c>
      <c r="T243">
        <f>70</f>
        <v>70</v>
      </c>
      <c r="U243">
        <f>30</f>
        <v>30</v>
      </c>
      <c r="V243">
        <f t="shared" ca="1" si="77"/>
        <v>10.354431907694375</v>
      </c>
      <c r="W243">
        <f t="shared" ca="1" si="87"/>
        <v>10.526535818102207</v>
      </c>
      <c r="X243">
        <f t="shared" ca="1" si="86"/>
        <v>-0.20260246238742852</v>
      </c>
      <c r="Y243">
        <f t="shared" ca="1" si="88"/>
        <v>-0.1105798270067717</v>
      </c>
      <c r="Z243">
        <f t="shared" ca="1" si="89"/>
        <v>-9.2022635380656817E-2</v>
      </c>
      <c r="AA243">
        <f t="shared" ca="1" si="90"/>
        <v>10.564379000000001</v>
      </c>
      <c r="AB243" s="18">
        <f t="shared" ca="1" si="75"/>
        <v>-3.8491628853074555E-2</v>
      </c>
      <c r="AC243" s="18">
        <f t="shared" ca="1" si="76"/>
        <v>-3.9252007650146491E-2</v>
      </c>
      <c r="AD243" s="18">
        <f t="shared" ca="1" si="71"/>
        <v>-0.1784484775560683</v>
      </c>
    </row>
    <row r="244" spans="1:30" x14ac:dyDescent="0.25">
      <c r="A244" vm="647">
        <f ca="1"/>
        <v>45643</v>
      </c>
      <c r="B244" vm="648">
        <f ca="1"/>
        <v>9.8123000000000005</v>
      </c>
      <c r="C244" vm="649">
        <f ca="1"/>
        <v>77433549</v>
      </c>
      <c r="D244">
        <f t="shared" ca="1" si="68"/>
        <v>759801212.8527</v>
      </c>
      <c r="E244">
        <f ca="1">SUM($D$2:D244)/SUM($C$2:C244)</f>
        <v>11.492565407952565</v>
      </c>
      <c r="F244">
        <f ca="1">_xlfn.STDEV.P($B$2:B244)</f>
        <v>0.99913571190127015</v>
      </c>
      <c r="G244">
        <f t="shared" ca="1" si="69"/>
        <v>12.491701119853834</v>
      </c>
      <c r="H244">
        <f t="shared" ca="1" si="70"/>
        <v>10.493429696051296</v>
      </c>
      <c r="I244">
        <f t="shared" ca="1" si="82"/>
        <v>10.544989999999999</v>
      </c>
      <c r="J244">
        <f t="shared" ca="1" si="83"/>
        <v>0.38420260814479518</v>
      </c>
      <c r="K244">
        <f t="shared" ca="1" si="84"/>
        <v>11.313395216289589</v>
      </c>
      <c r="L244">
        <f t="shared" ca="1" si="85"/>
        <v>9.7765847837104083</v>
      </c>
      <c r="M244">
        <f t="shared" ca="1" si="72"/>
        <v>-1.9700000000000273E-2</v>
      </c>
      <c r="N244">
        <f t="shared" ca="1" si="73"/>
        <v>0</v>
      </c>
      <c r="O244">
        <f t="shared" ca="1" si="74"/>
        <v>1.9700000000000273E-2</v>
      </c>
      <c r="P244">
        <f t="shared" ca="1" si="80"/>
        <v>4.3895070864199436E-2</v>
      </c>
      <c r="Q244">
        <f t="shared" ca="1" si="81"/>
        <v>9.5357947774279292E-2</v>
      </c>
      <c r="R244">
        <f t="shared" ca="1" si="78"/>
        <v>0.46031895493496733</v>
      </c>
      <c r="S244">
        <f t="shared" ca="1" si="79"/>
        <v>31.521809217046481</v>
      </c>
      <c r="T244">
        <f>70</f>
        <v>70</v>
      </c>
      <c r="U244">
        <f>30</f>
        <v>30</v>
      </c>
      <c r="V244">
        <f t="shared" ca="1" si="77"/>
        <v>10.271026998818318</v>
      </c>
      <c r="W244">
        <f t="shared" ca="1" si="87"/>
        <v>10.473629461205746</v>
      </c>
      <c r="X244">
        <f t="shared" ca="1" si="86"/>
        <v>-0.2461736645094792</v>
      </c>
      <c r="Y244">
        <f t="shared" ca="1" si="88"/>
        <v>-0.1376985945073132</v>
      </c>
      <c r="Z244">
        <f t="shared" ca="1" si="89"/>
        <v>-0.108475070002166</v>
      </c>
      <c r="AA244">
        <f t="shared" ca="1" si="90"/>
        <v>10.552372000000002</v>
      </c>
      <c r="AB244" s="18">
        <f t="shared" ca="1" si="75"/>
        <v>-2.0036615134255698E-3</v>
      </c>
      <c r="AC244" s="18">
        <f t="shared" ca="1" si="76"/>
        <v>-2.0056715285311534E-3</v>
      </c>
      <c r="AD244" s="18">
        <f t="shared" ca="1" si="71"/>
        <v>-0.18009458872288542</v>
      </c>
    </row>
    <row r="245" spans="1:30" x14ac:dyDescent="0.25">
      <c r="A245" vm="650">
        <f ca="1"/>
        <v>45644</v>
      </c>
      <c r="B245" vm="651">
        <f ca="1"/>
        <v>9.5366999999999997</v>
      </c>
      <c r="C245" vm="652">
        <f ca="1"/>
        <v>85552952</v>
      </c>
      <c r="D245">
        <f t="shared" ca="1" si="68"/>
        <v>815892837.33840001</v>
      </c>
      <c r="E245">
        <f ca="1">SUM($D$2:D245)/SUM($C$2:C245)</f>
        <v>11.480112104349669</v>
      </c>
      <c r="F245">
        <f ca="1">_xlfn.STDEV.P($B$2:B245)</f>
        <v>1.0051080775319576</v>
      </c>
      <c r="G245">
        <f t="shared" ca="1" si="69"/>
        <v>12.485220181881626</v>
      </c>
      <c r="H245">
        <f t="shared" ca="1" si="70"/>
        <v>10.475004026817711</v>
      </c>
      <c r="I245">
        <f t="shared" ca="1" si="82"/>
        <v>10.478064999999997</v>
      </c>
      <c r="J245">
        <f t="shared" ca="1" si="83"/>
        <v>0.43665307230412514</v>
      </c>
      <c r="K245">
        <f t="shared" ca="1" si="84"/>
        <v>11.351371144608247</v>
      </c>
      <c r="L245">
        <f t="shared" ca="1" si="85"/>
        <v>9.6047588553917471</v>
      </c>
      <c r="M245">
        <f t="shared" ca="1" si="72"/>
        <v>-0.27560000000000073</v>
      </c>
      <c r="N245">
        <f t="shared" ca="1" si="73"/>
        <v>0</v>
      </c>
      <c r="O245">
        <f t="shared" ca="1" si="74"/>
        <v>0.27560000000000073</v>
      </c>
      <c r="P245">
        <f t="shared" ca="1" si="80"/>
        <v>4.0759708659613758E-2</v>
      </c>
      <c r="Q245">
        <f t="shared" ca="1" si="81"/>
        <v>0.10823238007611655</v>
      </c>
      <c r="R245">
        <f t="shared" ca="1" si="78"/>
        <v>0.37659440392005322</v>
      </c>
      <c r="S245">
        <f t="shared" ca="1" si="79"/>
        <v>27.356961705470098</v>
      </c>
      <c r="T245">
        <f>70</f>
        <v>70</v>
      </c>
      <c r="U245">
        <f>30</f>
        <v>30</v>
      </c>
      <c r="V245">
        <f t="shared" ca="1" si="77"/>
        <v>10.15805361438473</v>
      </c>
      <c r="W245">
        <f t="shared" ca="1" si="87"/>
        <v>10.40422727889421</v>
      </c>
      <c r="X245">
        <f t="shared" ca="1" si="86"/>
        <v>-0.27358046201810104</v>
      </c>
      <c r="Y245">
        <f t="shared" ca="1" si="88"/>
        <v>-0.16487496800947077</v>
      </c>
      <c r="Z245">
        <f t="shared" ca="1" si="89"/>
        <v>-0.10870549400863028</v>
      </c>
      <c r="AA245">
        <f t="shared" ca="1" si="90"/>
        <v>10.539381000000002</v>
      </c>
      <c r="AB245" s="18">
        <f t="shared" ca="1" si="75"/>
        <v>-2.8087196681715887E-2</v>
      </c>
      <c r="AC245" s="18">
        <f t="shared" ca="1" si="76"/>
        <v>-2.848918706603178E-2</v>
      </c>
      <c r="AD245" s="18">
        <f t="shared" ca="1" si="71"/>
        <v>-0.20312343326982885</v>
      </c>
    </row>
    <row r="246" spans="1:30" x14ac:dyDescent="0.25">
      <c r="A246" vm="653">
        <f ca="1"/>
        <v>45645</v>
      </c>
      <c r="B246" vm="654">
        <f ca="1"/>
        <v>9.5859000000000005</v>
      </c>
      <c r="C246" vm="655">
        <f ca="1"/>
        <v>82971642</v>
      </c>
      <c r="D246">
        <f t="shared" ca="1" si="68"/>
        <v>795357863.04780006</v>
      </c>
      <c r="E246">
        <f ca="1">SUM($D$2:D246)/SUM($C$2:C246)</f>
        <v>11.468487040139561</v>
      </c>
      <c r="F246">
        <f ca="1">_xlfn.STDEV.P($B$2:B246)</f>
        <v>1.0105462152052009</v>
      </c>
      <c r="G246">
        <f t="shared" ca="1" si="69"/>
        <v>12.479033255344762</v>
      </c>
      <c r="H246">
        <f t="shared" ca="1" si="70"/>
        <v>10.45794082493436</v>
      </c>
      <c r="I246">
        <f t="shared" ca="1" si="82"/>
        <v>10.429345</v>
      </c>
      <c r="J246">
        <f t="shared" ca="1" si="83"/>
        <v>0.47927440933912624</v>
      </c>
      <c r="K246">
        <f t="shared" ca="1" si="84"/>
        <v>11.387893818678252</v>
      </c>
      <c r="L246">
        <f t="shared" ca="1" si="85"/>
        <v>9.4707961813217469</v>
      </c>
      <c r="M246">
        <f t="shared" ca="1" si="72"/>
        <v>4.9200000000000799E-2</v>
      </c>
      <c r="N246">
        <f t="shared" ca="1" si="73"/>
        <v>4.9200000000000799E-2</v>
      </c>
      <c r="O246">
        <f t="shared" ca="1" si="74"/>
        <v>0</v>
      </c>
      <c r="P246">
        <f t="shared" ca="1" si="80"/>
        <v>4.1362586612498545E-2</v>
      </c>
      <c r="Q246">
        <f t="shared" ca="1" si="81"/>
        <v>0.10050149578496537</v>
      </c>
      <c r="R246">
        <f t="shared" ca="1" si="78"/>
        <v>0.41156190054124775</v>
      </c>
      <c r="S246">
        <f t="shared" ca="1" si="79"/>
        <v>29.156489728395101</v>
      </c>
      <c r="T246">
        <f>70</f>
        <v>70</v>
      </c>
      <c r="U246">
        <f>30</f>
        <v>30</v>
      </c>
      <c r="V246">
        <f t="shared" ca="1" si="77"/>
        <v>10.070029981402463</v>
      </c>
      <c r="W246">
        <f t="shared" ca="1" si="87"/>
        <v>10.343610443420564</v>
      </c>
      <c r="X246">
        <f t="shared" ca="1" si="86"/>
        <v>-0.28094270551325451</v>
      </c>
      <c r="Y246">
        <f t="shared" ca="1" si="88"/>
        <v>-0.18808851551022751</v>
      </c>
      <c r="Z246">
        <f t="shared" ca="1" si="89"/>
        <v>-9.2854190003026998E-2</v>
      </c>
      <c r="AA246">
        <f t="shared" ca="1" si="90"/>
        <v>10.528555000000004</v>
      </c>
      <c r="AB246" s="18">
        <f t="shared" ca="1" si="75"/>
        <v>5.1590172701250214E-3</v>
      </c>
      <c r="AC246" s="18">
        <f t="shared" ca="1" si="76"/>
        <v>5.1457551340316236E-3</v>
      </c>
      <c r="AD246" s="18">
        <f t="shared" ca="1" si="71"/>
        <v>-0.19901233329990997</v>
      </c>
    </row>
    <row r="247" spans="1:30" x14ac:dyDescent="0.25">
      <c r="A247" vm="656">
        <f ca="1"/>
        <v>45646</v>
      </c>
      <c r="B247" vm="657">
        <f ca="1"/>
        <v>9.7236999999999991</v>
      </c>
      <c r="C247" vm="658">
        <f ca="1"/>
        <v>89115347</v>
      </c>
      <c r="D247">
        <f t="shared" ca="1" si="68"/>
        <v>866530899.62389994</v>
      </c>
      <c r="E247">
        <f ca="1">SUM($D$2:D247)/SUM($C$2:C247)</f>
        <v>11.45706144834743</v>
      </c>
      <c r="F247">
        <f ca="1">_xlfn.STDEV.P($B$2:B247)</f>
        <v>1.0148349873834608</v>
      </c>
      <c r="G247">
        <f t="shared" ca="1" si="69"/>
        <v>12.471896435730891</v>
      </c>
      <c r="H247">
        <f t="shared" ca="1" si="70"/>
        <v>10.442226460963969</v>
      </c>
      <c r="I247">
        <f t="shared" ca="1" si="82"/>
        <v>10.384074999999998</v>
      </c>
      <c r="J247">
        <f t="shared" ca="1" si="83"/>
        <v>0.5016509888411097</v>
      </c>
      <c r="K247">
        <f t="shared" ca="1" si="84"/>
        <v>11.387376977682218</v>
      </c>
      <c r="L247">
        <f t="shared" ca="1" si="85"/>
        <v>9.3807730223177774</v>
      </c>
      <c r="M247">
        <f t="shared" ca="1" si="72"/>
        <v>0.13779999999999859</v>
      </c>
      <c r="N247">
        <f t="shared" ca="1" si="73"/>
        <v>0.13779999999999859</v>
      </c>
      <c r="O247">
        <f t="shared" ca="1" si="74"/>
        <v>0</v>
      </c>
      <c r="P247">
        <f t="shared" ca="1" si="80"/>
        <v>4.8250973283034258E-2</v>
      </c>
      <c r="Q247">
        <f t="shared" ca="1" si="81"/>
        <v>9.3322817514610704E-2</v>
      </c>
      <c r="R247">
        <f t="shared" ca="1" si="78"/>
        <v>0.51703296758566086</v>
      </c>
      <c r="S247">
        <f t="shared" ca="1" si="79"/>
        <v>34.081854424595164</v>
      </c>
      <c r="T247">
        <f>70</f>
        <v>70</v>
      </c>
      <c r="U247">
        <f>30</f>
        <v>30</v>
      </c>
      <c r="V247">
        <f t="shared" ca="1" si="77"/>
        <v>10.016748445802083</v>
      </c>
      <c r="W247">
        <f t="shared" ca="1" si="87"/>
        <v>10.297691151315338</v>
      </c>
      <c r="X247">
        <f t="shared" ca="1" si="86"/>
        <v>-0.28193770875859059</v>
      </c>
      <c r="Y247">
        <f t="shared" ca="1" si="88"/>
        <v>-0.20685835415990014</v>
      </c>
      <c r="Z247">
        <f t="shared" ca="1" si="89"/>
        <v>-7.5079354598690445E-2</v>
      </c>
      <c r="AA247">
        <f t="shared" ca="1" si="90"/>
        <v>10.519304000000004</v>
      </c>
      <c r="AB247" s="18">
        <f t="shared" ca="1" si="75"/>
        <v>1.437528035969482E-2</v>
      </c>
      <c r="AC247" s="18">
        <f t="shared" ca="1" si="76"/>
        <v>1.4272935673317326E-2</v>
      </c>
      <c r="AD247" s="18">
        <f t="shared" ca="1" si="71"/>
        <v>-0.18749791102643842</v>
      </c>
    </row>
    <row r="248" spans="1:30" x14ac:dyDescent="0.25">
      <c r="A248" vm="659">
        <f ca="1"/>
        <v>45649</v>
      </c>
      <c r="B248" vm="660">
        <f ca="1"/>
        <v>9.7433999999999994</v>
      </c>
      <c r="C248" vm="661">
        <f ca="1"/>
        <v>51460734</v>
      </c>
      <c r="D248">
        <f t="shared" ca="1" si="68"/>
        <v>501402515.65559995</v>
      </c>
      <c r="E248">
        <f ca="1">SUM($D$2:D248)/SUM($C$2:C248)</f>
        <v>11.450605714657186</v>
      </c>
      <c r="F248">
        <f ca="1">_xlfn.STDEV.P($B$2:B248)</f>
        <v>1.0188829191076936</v>
      </c>
      <c r="G248">
        <f t="shared" ca="1" si="69"/>
        <v>12.469488633764879</v>
      </c>
      <c r="H248">
        <f t="shared" ca="1" si="70"/>
        <v>10.431722795549494</v>
      </c>
      <c r="I248">
        <f t="shared" ca="1" si="82"/>
        <v>10.32109</v>
      </c>
      <c r="J248">
        <f t="shared" ca="1" si="83"/>
        <v>0.49891202040566557</v>
      </c>
      <c r="K248">
        <f t="shared" ca="1" si="84"/>
        <v>11.318914040811331</v>
      </c>
      <c r="L248">
        <f t="shared" ca="1" si="85"/>
        <v>9.3232659591886691</v>
      </c>
      <c r="M248">
        <f t="shared" ca="1" si="72"/>
        <v>1.9700000000000273E-2</v>
      </c>
      <c r="N248">
        <f t="shared" ca="1" si="73"/>
        <v>1.9700000000000273E-2</v>
      </c>
      <c r="O248">
        <f t="shared" ca="1" si="74"/>
        <v>0</v>
      </c>
      <c r="P248">
        <f t="shared" ca="1" si="80"/>
        <v>4.6211618048531834E-2</v>
      </c>
      <c r="Q248">
        <f t="shared" ca="1" si="81"/>
        <v>8.6656901977852793E-2</v>
      </c>
      <c r="R248">
        <f t="shared" ca="1" si="78"/>
        <v>0.53327106085955278</v>
      </c>
      <c r="S248">
        <f t="shared" ca="1" si="79"/>
        <v>34.779959947890802</v>
      </c>
      <c r="T248">
        <f>70</f>
        <v>70</v>
      </c>
      <c r="U248">
        <f>30</f>
        <v>30</v>
      </c>
      <c r="V248">
        <f t="shared" ca="1" si="77"/>
        <v>9.9746948387556102</v>
      </c>
      <c r="W248">
        <f t="shared" ca="1" si="87"/>
        <v>10.256632547514201</v>
      </c>
      <c r="X248">
        <f t="shared" ca="1" si="86"/>
        <v>-0.27008322174273225</v>
      </c>
      <c r="Y248">
        <f t="shared" ca="1" si="88"/>
        <v>-0.21950332767646658</v>
      </c>
      <c r="Z248">
        <f t="shared" ca="1" si="89"/>
        <v>-5.0579894066265674E-2</v>
      </c>
      <c r="AA248">
        <f t="shared" ca="1" si="90"/>
        <v>10.511529000000005</v>
      </c>
      <c r="AB248" s="18">
        <f t="shared" ca="1" si="75"/>
        <v>2.0259777656652656E-3</v>
      </c>
      <c r="AC248" s="18">
        <f t="shared" ca="1" si="76"/>
        <v>2.0239282404399509E-3</v>
      </c>
      <c r="AD248" s="18">
        <f t="shared" ca="1" si="71"/>
        <v>-0.18585179985962141</v>
      </c>
    </row>
    <row r="249" spans="1:30" x14ac:dyDescent="0.25">
      <c r="A249" vm="662">
        <f ca="1"/>
        <v>45650</v>
      </c>
      <c r="B249" vm="663">
        <f ca="1"/>
        <v>9.8614999999999995</v>
      </c>
      <c r="C249" vm="664">
        <f ca="1"/>
        <v>29550633</v>
      </c>
      <c r="D249">
        <f t="shared" ca="1" si="68"/>
        <v>291413567.32949996</v>
      </c>
      <c r="E249">
        <f ca="1">SUM($D$2:D249)/SUM($C$2:C249)</f>
        <v>11.447175465246071</v>
      </c>
      <c r="F249">
        <f ca="1">_xlfn.STDEV.P($B$2:B249)</f>
        <v>1.0220508327598281</v>
      </c>
      <c r="G249">
        <f t="shared" ca="1" si="69"/>
        <v>12.469226298005898</v>
      </c>
      <c r="H249">
        <f t="shared" ca="1" si="70"/>
        <v>10.425124632486243</v>
      </c>
      <c r="I249">
        <f t="shared" ca="1" si="82"/>
        <v>10.25318</v>
      </c>
      <c r="J249">
        <f t="shared" ca="1" si="83"/>
        <v>0.46116777127544162</v>
      </c>
      <c r="K249">
        <f t="shared" ca="1" si="84"/>
        <v>11.175515542550883</v>
      </c>
      <c r="L249">
        <f t="shared" ca="1" si="85"/>
        <v>9.3308444574491176</v>
      </c>
      <c r="M249">
        <f t="shared" ca="1" si="72"/>
        <v>0.11810000000000009</v>
      </c>
      <c r="N249">
        <f t="shared" ca="1" si="73"/>
        <v>0.11810000000000009</v>
      </c>
      <c r="O249">
        <f t="shared" ca="1" si="74"/>
        <v>0</v>
      </c>
      <c r="P249">
        <f t="shared" ca="1" si="80"/>
        <v>5.1346502473636708E-2</v>
      </c>
      <c r="Q249">
        <f t="shared" ca="1" si="81"/>
        <v>8.0467123265149029E-2</v>
      </c>
      <c r="R249">
        <f t="shared" ca="1" si="78"/>
        <v>0.63810535769302568</v>
      </c>
      <c r="S249">
        <f t="shared" ca="1" si="79"/>
        <v>38.95386549444423</v>
      </c>
      <c r="T249">
        <f>70</f>
        <v>70</v>
      </c>
      <c r="U249">
        <f>30</f>
        <v>30</v>
      </c>
      <c r="V249">
        <f t="shared" ca="1" si="77"/>
        <v>9.957280248177824</v>
      </c>
      <c r="W249">
        <f t="shared" ca="1" si="87"/>
        <v>10.227363469920556</v>
      </c>
      <c r="X249">
        <f t="shared" ca="1" si="86"/>
        <v>-0.25379286044264227</v>
      </c>
      <c r="Y249">
        <f t="shared" ca="1" si="88"/>
        <v>-0.22636123422970172</v>
      </c>
      <c r="Z249">
        <f t="shared" ca="1" si="89"/>
        <v>-2.7431626212940541E-2</v>
      </c>
      <c r="AA249">
        <f t="shared" ca="1" si="90"/>
        <v>10.511431000000005</v>
      </c>
      <c r="AB249" s="18">
        <f t="shared" ca="1" si="75"/>
        <v>1.2121025514707506E-2</v>
      </c>
      <c r="AC249" s="18">
        <f t="shared" ca="1" si="76"/>
        <v>1.2048154144461325E-2</v>
      </c>
      <c r="AD249" s="18">
        <f t="shared" ca="1" si="71"/>
        <v>-0.17598348875296665</v>
      </c>
    </row>
    <row r="250" spans="1:30" x14ac:dyDescent="0.25">
      <c r="A250" vm="665">
        <f ca="1"/>
        <v>45652</v>
      </c>
      <c r="B250" vm="666">
        <f ca="1"/>
        <v>9.9107000000000003</v>
      </c>
      <c r="C250" vm="667">
        <f ca="1"/>
        <v>36534079</v>
      </c>
      <c r="D250">
        <f t="shared" ca="1" si="68"/>
        <v>362078296.74529999</v>
      </c>
      <c r="E250">
        <f ca="1">SUM($D$2:D250)/SUM($C$2:C250)</f>
        <v>11.443085944233118</v>
      </c>
      <c r="F250">
        <f ca="1">_xlfn.STDEV.P($B$2:B250)</f>
        <v>1.0248353692813765</v>
      </c>
      <c r="G250">
        <f t="shared" ca="1" si="69"/>
        <v>12.467921313514495</v>
      </c>
      <c r="H250">
        <f t="shared" ca="1" si="70"/>
        <v>10.418250574951742</v>
      </c>
      <c r="I250">
        <f t="shared" ca="1" si="82"/>
        <v>10.202495000000001</v>
      </c>
      <c r="J250">
        <f t="shared" ca="1" si="83"/>
        <v>0.43867116502719422</v>
      </c>
      <c r="K250">
        <f t="shared" ca="1" si="84"/>
        <v>11.079837330054389</v>
      </c>
      <c r="L250">
        <f t="shared" ca="1" si="85"/>
        <v>9.3251526699456129</v>
      </c>
      <c r="M250">
        <f t="shared" ca="1" si="72"/>
        <v>4.9200000000000799E-2</v>
      </c>
      <c r="N250">
        <f t="shared" ca="1" si="73"/>
        <v>4.9200000000000799E-2</v>
      </c>
      <c r="O250">
        <f t="shared" ca="1" si="74"/>
        <v>0</v>
      </c>
      <c r="P250">
        <f t="shared" ca="1" si="80"/>
        <v>5.1193180868377E-2</v>
      </c>
      <c r="Q250">
        <f t="shared" ca="1" si="81"/>
        <v>7.4719471603352669E-2</v>
      </c>
      <c r="R250">
        <f t="shared" ca="1" si="78"/>
        <v>0.68513842201849773</v>
      </c>
      <c r="S250">
        <f t="shared" ca="1" si="79"/>
        <v>40.657693935779065</v>
      </c>
      <c r="T250">
        <f>70</f>
        <v>70</v>
      </c>
      <c r="U250">
        <f>30</f>
        <v>30</v>
      </c>
      <c r="V250">
        <f t="shared" ca="1" si="77"/>
        <v>9.9501140561504666</v>
      </c>
      <c r="W250">
        <f t="shared" ca="1" si="87"/>
        <v>10.203906916593109</v>
      </c>
      <c r="X250">
        <f t="shared" ca="1" si="86"/>
        <v>-0.24128055047313879</v>
      </c>
      <c r="Y250">
        <f t="shared" ca="1" si="88"/>
        <v>-0.22934509747838916</v>
      </c>
      <c r="Z250">
        <f t="shared" ca="1" si="89"/>
        <v>-1.1935452994749629E-2</v>
      </c>
      <c r="AA250">
        <f t="shared" ca="1" si="90"/>
        <v>10.514974000000002</v>
      </c>
      <c r="AB250" s="18">
        <f t="shared" ca="1" si="75"/>
        <v>4.9890990214471742E-3</v>
      </c>
      <c r="AC250" s="18">
        <f t="shared" ca="1" si="76"/>
        <v>4.9766947073840292E-3</v>
      </c>
      <c r="AD250" s="18">
        <f t="shared" ca="1" si="71"/>
        <v>-0.17187238878304778</v>
      </c>
    </row>
    <row r="251" spans="1:30" x14ac:dyDescent="0.25">
      <c r="A251" vm="668">
        <f ca="1"/>
        <v>45653</v>
      </c>
      <c r="B251" vm="397">
        <f ca="1"/>
        <v>9.8712999999999997</v>
      </c>
      <c r="C251" vm="669">
        <f ca="1"/>
        <v>53750246</v>
      </c>
      <c r="D251">
        <f t="shared" ca="1" si="68"/>
        <v>530584803.3398</v>
      </c>
      <c r="E251">
        <f ca="1">SUM($D$2:D251)/SUM($C$2:C251)</f>
        <v>11.436955030789191</v>
      </c>
      <c r="F251">
        <f ca="1">_xlfn.STDEV.P($B$2:B251)</f>
        <v>1.0277940908741594</v>
      </c>
      <c r="G251">
        <f t="shared" ca="1" si="69"/>
        <v>12.464749121663351</v>
      </c>
      <c r="H251">
        <f t="shared" ca="1" si="70"/>
        <v>10.409160939915031</v>
      </c>
      <c r="I251">
        <f t="shared" ca="1" si="82"/>
        <v>10.149840000000001</v>
      </c>
      <c r="J251">
        <f t="shared" ca="1" si="83"/>
        <v>0.40970514095665905</v>
      </c>
      <c r="K251">
        <f t="shared" ca="1" si="84"/>
        <v>10.96925028191332</v>
      </c>
      <c r="L251">
        <f t="shared" ca="1" si="85"/>
        <v>9.3304297180866822</v>
      </c>
      <c r="M251">
        <f t="shared" ca="1" si="72"/>
        <v>-3.9400000000000546E-2</v>
      </c>
      <c r="N251">
        <f t="shared" ca="1" si="73"/>
        <v>0</v>
      </c>
      <c r="O251">
        <f t="shared" ca="1" si="74"/>
        <v>3.9400000000000546E-2</v>
      </c>
      <c r="P251">
        <f t="shared" ca="1" si="80"/>
        <v>4.7536525092064359E-2</v>
      </c>
      <c r="Q251">
        <f t="shared" ca="1" si="81"/>
        <v>7.2196652203113221E-2</v>
      </c>
      <c r="R251">
        <f t="shared" ca="1" si="78"/>
        <v>0.65843115492846238</v>
      </c>
      <c r="S251">
        <f t="shared" ca="1" si="79"/>
        <v>39.702049311589555</v>
      </c>
      <c r="T251">
        <f>70</f>
        <v>70</v>
      </c>
      <c r="U251">
        <f>30</f>
        <v>30</v>
      </c>
      <c r="V251">
        <f t="shared" ca="1" si="77"/>
        <v>9.9379888167427026</v>
      </c>
      <c r="W251">
        <f t="shared" ca="1" si="87"/>
        <v>10.179269367215841</v>
      </c>
      <c r="X251">
        <f t="shared" ca="1" si="86"/>
        <v>-0.2405021816882229</v>
      </c>
      <c r="Y251">
        <f t="shared" ca="1" si="88"/>
        <v>-0.23157651432035592</v>
      </c>
      <c r="Z251">
        <f t="shared" ca="1" si="89"/>
        <v>-8.9256673678669851E-3</v>
      </c>
      <c r="AA251">
        <f t="shared" ca="1" si="90"/>
        <v>10.517434000000003</v>
      </c>
      <c r="AB251" s="18">
        <f t="shared" ca="1" si="75"/>
        <v>-3.9755012259478084E-3</v>
      </c>
      <c r="AC251" s="18">
        <f t="shared" ca="1" si="76"/>
        <v>-3.9834245373410607E-3</v>
      </c>
      <c r="AD251" s="18">
        <f t="shared" ca="1" si="71"/>
        <v>-0.17516461111668202</v>
      </c>
    </row>
    <row r="252" spans="1:30" x14ac:dyDescent="0.25">
      <c r="A252" vm="670">
        <f ca="1"/>
        <v>45656</v>
      </c>
      <c r="B252" vm="657">
        <f ca="1"/>
        <v>9.7236999999999991</v>
      </c>
      <c r="C252" vm="671">
        <f ca="1"/>
        <v>47874103</v>
      </c>
      <c r="D252">
        <f t="shared" ca="1" si="68"/>
        <v>465513415.34109998</v>
      </c>
      <c r="E252">
        <f ca="1">SUM($D$2:D252)/SUM($C$2:C252)</f>
        <v>11.431023486298425</v>
      </c>
      <c r="F252">
        <f ca="1">_xlfn.STDEV.P($B$2:B252)</f>
        <v>1.0316317194123621</v>
      </c>
      <c r="G252">
        <f t="shared" ca="1" si="69"/>
        <v>12.462655205710787</v>
      </c>
      <c r="H252">
        <f t="shared" ca="1" si="70"/>
        <v>10.399391766886064</v>
      </c>
      <c r="I252">
        <f t="shared" ca="1" si="82"/>
        <v>10.088330000000001</v>
      </c>
      <c r="J252">
        <f t="shared" ca="1" si="83"/>
        <v>0.37337161973167254</v>
      </c>
      <c r="K252">
        <f t="shared" ca="1" si="84"/>
        <v>10.835073239463346</v>
      </c>
      <c r="L252">
        <f t="shared" ca="1" si="85"/>
        <v>9.3415867605366554</v>
      </c>
      <c r="M252">
        <f t="shared" ca="1" si="72"/>
        <v>-0.14760000000000062</v>
      </c>
      <c r="N252">
        <f t="shared" ca="1" si="73"/>
        <v>0</v>
      </c>
      <c r="O252">
        <f t="shared" ca="1" si="74"/>
        <v>0.14760000000000062</v>
      </c>
      <c r="P252">
        <f t="shared" ca="1" si="80"/>
        <v>4.4141059014059757E-2</v>
      </c>
      <c r="Q252">
        <f t="shared" ca="1" si="81"/>
        <v>7.75826056171766E-2</v>
      </c>
      <c r="R252">
        <f t="shared" ca="1" si="78"/>
        <v>0.56895561399251371</v>
      </c>
      <c r="S252">
        <f t="shared" ca="1" si="79"/>
        <v>36.263333960397709</v>
      </c>
      <c r="T252">
        <f>70</f>
        <v>70</v>
      </c>
      <c r="U252">
        <f>30</f>
        <v>30</v>
      </c>
      <c r="V252">
        <f t="shared" ca="1" si="77"/>
        <v>9.9050213064745947</v>
      </c>
      <c r="W252">
        <f t="shared" ca="1" si="87"/>
        <v>10.145523488162818</v>
      </c>
      <c r="X252">
        <f t="shared" ca="1" si="86"/>
        <v>-0.23558007301983075</v>
      </c>
      <c r="Y252">
        <f t="shared" ca="1" si="88"/>
        <v>-0.23237722606025091</v>
      </c>
      <c r="Z252">
        <f t="shared" ca="1" si="89"/>
        <v>-3.2028469595798414E-3</v>
      </c>
      <c r="AA252">
        <f t="shared" ca="1" si="90"/>
        <v>10.518517000000005</v>
      </c>
      <c r="AB252" s="18">
        <f t="shared" ca="1" si="75"/>
        <v>-1.4952437875457192E-2</v>
      </c>
      <c r="AC252" s="18">
        <f t="shared" ca="1" si="76"/>
        <v>-1.5065352554944221E-2</v>
      </c>
      <c r="AD252" s="18">
        <f t="shared" ca="1" si="71"/>
        <v>-0.18749791102643842</v>
      </c>
    </row>
    <row r="253" spans="1:30" x14ac:dyDescent="0.25">
      <c r="A253" vm="672">
        <f ca="1"/>
        <v>45657</v>
      </c>
      <c r="B253" vm="660">
        <f ca="1"/>
        <v>9.7433999999999994</v>
      </c>
      <c r="C253" vm="673">
        <f ca="1"/>
        <v>54973840</v>
      </c>
      <c r="D253">
        <f t="shared" ca="1" si="68"/>
        <v>535632112.65599996</v>
      </c>
      <c r="E253">
        <f ca="1">SUM($D$2:D253)/SUM($C$2:C253)</f>
        <v>11.424340761000167</v>
      </c>
      <c r="F253">
        <f ca="1">_xlfn.STDEV.P($B$2:B253)</f>
        <v>1.0352484701936371</v>
      </c>
      <c r="G253">
        <f t="shared" ca="1" si="69"/>
        <v>12.459589231193803</v>
      </c>
      <c r="H253">
        <f t="shared" ca="1" si="70"/>
        <v>10.389092290806531</v>
      </c>
      <c r="I253">
        <f t="shared" ca="1" si="82"/>
        <v>10.035185</v>
      </c>
      <c r="J253">
        <f t="shared" ca="1" si="83"/>
        <v>0.33994805528120575</v>
      </c>
      <c r="K253">
        <f t="shared" ca="1" si="84"/>
        <v>10.715081110562412</v>
      </c>
      <c r="L253">
        <f t="shared" ca="1" si="85"/>
        <v>9.3552888894375883</v>
      </c>
      <c r="M253">
        <f t="shared" ca="1" si="72"/>
        <v>1.9700000000000273E-2</v>
      </c>
      <c r="N253">
        <f t="shared" ca="1" si="73"/>
        <v>1.9700000000000273E-2</v>
      </c>
      <c r="O253">
        <f t="shared" ca="1" si="74"/>
        <v>0</v>
      </c>
      <c r="P253">
        <f t="shared" ca="1" si="80"/>
        <v>4.2395269084484079E-2</v>
      </c>
      <c r="Q253">
        <f t="shared" ca="1" si="81"/>
        <v>7.2040990930235416E-2</v>
      </c>
      <c r="R253">
        <f t="shared" ca="1" si="78"/>
        <v>0.58848814455564202</v>
      </c>
      <c r="S253">
        <f t="shared" ca="1" si="79"/>
        <v>37.047059279140143</v>
      </c>
      <c r="T253">
        <f>70</f>
        <v>70</v>
      </c>
      <c r="U253">
        <f>30</f>
        <v>30</v>
      </c>
      <c r="V253">
        <f t="shared" ca="1" si="77"/>
        <v>9.8801564900938885</v>
      </c>
      <c r="W253">
        <f t="shared" ca="1" si="87"/>
        <v>10.115736563113719</v>
      </c>
      <c r="X253">
        <f t="shared" ca="1" si="86"/>
        <v>-0.24867095570961339</v>
      </c>
      <c r="Y253">
        <f t="shared" ca="1" si="88"/>
        <v>-0.23563597199012343</v>
      </c>
      <c r="Z253">
        <f t="shared" ca="1" si="89"/>
        <v>-1.3034983719489968E-2</v>
      </c>
      <c r="AA253">
        <f t="shared" ca="1" si="90"/>
        <v>10.516254000000004</v>
      </c>
      <c r="AB253" s="18">
        <f t="shared" ca="1" si="75"/>
        <v>2.0259777656652656E-3</v>
      </c>
      <c r="AC253" s="18">
        <f t="shared" ca="1" si="76"/>
        <v>2.0239282404399509E-3</v>
      </c>
      <c r="AD253" s="18">
        <f t="shared" ca="1" si="71"/>
        <v>-0.18585179985962141</v>
      </c>
    </row>
    <row r="254" spans="1:30" x14ac:dyDescent="0.25">
      <c r="A254" vm="674">
        <f ca="1"/>
        <v>45659</v>
      </c>
      <c r="B254" vm="675">
        <f ca="1"/>
        <v>9.4972999999999992</v>
      </c>
      <c r="C254" vm="676">
        <f ca="1"/>
        <v>68235708</v>
      </c>
      <c r="D254">
        <f t="shared" ca="1" si="68"/>
        <v>648054989.58839989</v>
      </c>
      <c r="E254">
        <f ca="1">SUM($D$2:D254)/SUM($C$2:C254)</f>
        <v>11.41491546063885</v>
      </c>
      <c r="F254">
        <f ca="1">_xlfn.STDEV.P($B$2:B254)</f>
        <v>1.0404914891881352</v>
      </c>
      <c r="G254">
        <f t="shared" ca="1" si="69"/>
        <v>12.455406949826985</v>
      </c>
      <c r="H254">
        <f t="shared" ca="1" si="70"/>
        <v>10.374423971450716</v>
      </c>
      <c r="I254">
        <f t="shared" ca="1" si="82"/>
        <v>9.9776100000000003</v>
      </c>
      <c r="J254">
        <f t="shared" ca="1" si="83"/>
        <v>0.32785011161231986</v>
      </c>
      <c r="K254">
        <f t="shared" ca="1" si="84"/>
        <v>10.63331022322464</v>
      </c>
      <c r="L254">
        <f t="shared" ca="1" si="85"/>
        <v>9.3219097767753603</v>
      </c>
      <c r="M254">
        <f t="shared" ca="1" si="72"/>
        <v>-0.24610000000000021</v>
      </c>
      <c r="N254">
        <f t="shared" ca="1" si="73"/>
        <v>0</v>
      </c>
      <c r="O254">
        <f t="shared" ca="1" si="74"/>
        <v>0.24610000000000021</v>
      </c>
      <c r="P254">
        <f t="shared" ca="1" si="80"/>
        <v>3.9367035578449505E-2</v>
      </c>
      <c r="Q254">
        <f t="shared" ca="1" si="81"/>
        <v>8.4473777292361482E-2</v>
      </c>
      <c r="R254">
        <f t="shared" ca="1" si="78"/>
        <v>0.46602669893878723</v>
      </c>
      <c r="S254">
        <f t="shared" ca="1" si="79"/>
        <v>31.78841826524237</v>
      </c>
      <c r="T254">
        <f>70</f>
        <v>70</v>
      </c>
      <c r="U254">
        <f>30</f>
        <v>30</v>
      </c>
      <c r="V254">
        <f t="shared" ca="1" si="77"/>
        <v>9.8212554916179045</v>
      </c>
      <c r="W254">
        <f t="shared" ca="1" si="87"/>
        <v>10.069926447327518</v>
      </c>
      <c r="X254">
        <f t="shared" ca="1" si="86"/>
        <v>-0.23803308937585754</v>
      </c>
      <c r="Y254">
        <f t="shared" ca="1" si="88"/>
        <v>-0.23611539546727026</v>
      </c>
      <c r="Z254">
        <f t="shared" ca="1" si="89"/>
        <v>-1.9176939085872868E-3</v>
      </c>
      <c r="AA254">
        <f t="shared" ca="1" si="90"/>
        <v>10.511825000000005</v>
      </c>
      <c r="AB254" s="18">
        <f t="shared" ca="1" si="75"/>
        <v>-2.5258123447667202E-2</v>
      </c>
      <c r="AC254" s="18">
        <f t="shared" ca="1" si="76"/>
        <v>-2.5582585032246249E-2</v>
      </c>
      <c r="AD254" s="18">
        <f t="shared" ca="1" si="71"/>
        <v>-0.2064156556034632</v>
      </c>
    </row>
    <row r="255" spans="1:30" x14ac:dyDescent="0.25">
      <c r="A255" vm="677">
        <f ca="1"/>
        <v>45660</v>
      </c>
      <c r="B255" vm="657">
        <f ca="1"/>
        <v>9.7236999999999991</v>
      </c>
      <c r="C255" vm="678">
        <f ca="1"/>
        <v>78487552</v>
      </c>
      <c r="D255">
        <f t="shared" ca="1" si="68"/>
        <v>763189409.38239992</v>
      </c>
      <c r="E255">
        <f ca="1">SUM($D$2:D255)/SUM($C$2:C255)</f>
        <v>11.405454050648542</v>
      </c>
      <c r="F255">
        <f ca="1">_xlfn.STDEV.P($B$2:B255)</f>
        <v>1.0440481023820576</v>
      </c>
      <c r="G255">
        <f t="shared" ca="1" si="69"/>
        <v>12.4495021530306</v>
      </c>
      <c r="H255">
        <f t="shared" ca="1" si="70"/>
        <v>10.361405948266484</v>
      </c>
      <c r="I255">
        <f t="shared" ca="1" si="82"/>
        <v>9.9352899999999984</v>
      </c>
      <c r="J255">
        <f t="shared" ca="1" si="83"/>
        <v>0.30086143497070483</v>
      </c>
      <c r="K255">
        <f t="shared" ca="1" si="84"/>
        <v>10.537012869941409</v>
      </c>
      <c r="L255">
        <f t="shared" ca="1" si="85"/>
        <v>9.3335671300585883</v>
      </c>
      <c r="M255">
        <f t="shared" ca="1" si="72"/>
        <v>0.22639999999999993</v>
      </c>
      <c r="N255">
        <f t="shared" ca="1" si="73"/>
        <v>0.22639999999999993</v>
      </c>
      <c r="O255">
        <f t="shared" ca="1" si="74"/>
        <v>0</v>
      </c>
      <c r="P255">
        <f t="shared" ca="1" si="80"/>
        <v>5.2726533037131672E-2</v>
      </c>
      <c r="Q255">
        <f t="shared" ca="1" si="81"/>
        <v>7.8439936057192808E-2</v>
      </c>
      <c r="R255">
        <f t="shared" ca="1" si="78"/>
        <v>0.67218990335085493</v>
      </c>
      <c r="S255">
        <f t="shared" ca="1" si="79"/>
        <v>40.198179764383951</v>
      </c>
      <c r="T255">
        <f>70</f>
        <v>70</v>
      </c>
      <c r="U255">
        <f>30</f>
        <v>30</v>
      </c>
      <c r="V255">
        <f t="shared" ca="1" si="77"/>
        <v>9.8062469544459194</v>
      </c>
      <c r="W255">
        <f t="shared" ca="1" si="87"/>
        <v>10.044280043821777</v>
      </c>
      <c r="X255">
        <f t="shared" ca="1" si="86"/>
        <v>-0.22384293097333163</v>
      </c>
      <c r="Y255">
        <f t="shared" ca="1" si="88"/>
        <v>-0.23366090256848254</v>
      </c>
      <c r="Z255">
        <f t="shared" ca="1" si="89"/>
        <v>9.8179715951509094E-3</v>
      </c>
      <c r="AA255">
        <f t="shared" ca="1" si="90"/>
        <v>10.512022000000004</v>
      </c>
      <c r="AB255" s="18">
        <f t="shared" ca="1" si="75"/>
        <v>2.383835405852186E-2</v>
      </c>
      <c r="AC255" s="18">
        <f t="shared" ca="1" si="76"/>
        <v>2.3558656791806128E-2</v>
      </c>
      <c r="AD255" s="18">
        <f t="shared" ca="1" si="71"/>
        <v>-0.18749791102643865</v>
      </c>
    </row>
    <row r="256" spans="1:30" x14ac:dyDescent="0.25">
      <c r="A256" vm="679">
        <f ca="1"/>
        <v>45663</v>
      </c>
      <c r="B256" vm="680">
        <f ca="1"/>
        <v>9.7630999999999997</v>
      </c>
      <c r="C256" vm="681">
        <f ca="1"/>
        <v>64867023</v>
      </c>
      <c r="D256">
        <f t="shared" ca="1" si="68"/>
        <v>633303232.25129998</v>
      </c>
      <c r="E256">
        <f ca="1">SUM($D$2:D256)/SUM($C$2:C256)</f>
        <v>11.397895413186621</v>
      </c>
      <c r="F256">
        <f ca="1">_xlfn.STDEV.P($B$2:B256)</f>
        <v>1.0472716912953119</v>
      </c>
      <c r="G256">
        <f t="shared" ca="1" si="69"/>
        <v>12.445167104481932</v>
      </c>
      <c r="H256">
        <f t="shared" ca="1" si="70"/>
        <v>10.35062372189131</v>
      </c>
      <c r="I256">
        <f t="shared" ca="1" si="82"/>
        <v>9.9097049999999989</v>
      </c>
      <c r="J256">
        <f t="shared" ca="1" si="83"/>
        <v>0.29209992607973989</v>
      </c>
      <c r="K256">
        <f t="shared" ca="1" si="84"/>
        <v>10.493904852159478</v>
      </c>
      <c r="L256">
        <f t="shared" ca="1" si="85"/>
        <v>9.32550514784052</v>
      </c>
      <c r="M256">
        <f t="shared" ca="1" si="72"/>
        <v>3.9400000000000546E-2</v>
      </c>
      <c r="N256">
        <f t="shared" ca="1" si="73"/>
        <v>3.9400000000000546E-2</v>
      </c>
      <c r="O256">
        <f t="shared" ca="1" si="74"/>
        <v>0</v>
      </c>
      <c r="P256">
        <f t="shared" ca="1" si="80"/>
        <v>5.1774637820193738E-2</v>
      </c>
      <c r="Q256">
        <f t="shared" ca="1" si="81"/>
        <v>7.2837083481679041E-2</v>
      </c>
      <c r="R256">
        <f t="shared" ca="1" si="78"/>
        <v>0.71082799235387817</v>
      </c>
      <c r="S256">
        <f t="shared" ca="1" si="79"/>
        <v>41.548770275606188</v>
      </c>
      <c r="T256">
        <f>70</f>
        <v>70</v>
      </c>
      <c r="U256">
        <f>30</f>
        <v>30</v>
      </c>
      <c r="V256">
        <f t="shared" ca="1" si="77"/>
        <v>9.7996089614542399</v>
      </c>
      <c r="W256">
        <f t="shared" ca="1" si="87"/>
        <v>10.023451892427572</v>
      </c>
      <c r="X256">
        <f t="shared" ca="1" si="86"/>
        <v>-0.22273847147308246</v>
      </c>
      <c r="Y256">
        <f t="shared" ca="1" si="88"/>
        <v>-0.23147641634940255</v>
      </c>
      <c r="Z256">
        <f t="shared" ca="1" si="89"/>
        <v>8.7379448763200973E-3</v>
      </c>
      <c r="AA256">
        <f t="shared" ca="1" si="90"/>
        <v>10.509857000000004</v>
      </c>
      <c r="AB256" s="18">
        <f t="shared" ca="1" si="75"/>
        <v>4.0519555313307531E-3</v>
      </c>
      <c r="AC256" s="18">
        <f t="shared" ca="1" si="76"/>
        <v>4.0437684678101184E-3</v>
      </c>
      <c r="AD256" s="18">
        <f t="shared" ca="1" si="71"/>
        <v>-0.1842056886928044</v>
      </c>
    </row>
    <row r="257" spans="1:30" x14ac:dyDescent="0.25">
      <c r="A257" vm="682">
        <f ca="1"/>
        <v>45664</v>
      </c>
      <c r="B257" vm="683">
        <f ca="1"/>
        <v>9.6056000000000008</v>
      </c>
      <c r="C257" vm="684">
        <f ca="1"/>
        <v>63407119</v>
      </c>
      <c r="D257">
        <f t="shared" ca="1" si="68"/>
        <v>609063422.2664001</v>
      </c>
      <c r="E257">
        <f ca="1">SUM($D$2:D257)/SUM($C$2:C257)</f>
        <v>11.389868455363288</v>
      </c>
      <c r="F257">
        <f ca="1">_xlfn.STDEV.P($B$2:B257)</f>
        <v>1.0514408735835266</v>
      </c>
      <c r="G257">
        <f t="shared" ca="1" si="69"/>
        <v>12.441309328946815</v>
      </c>
      <c r="H257">
        <f t="shared" ca="1" si="70"/>
        <v>10.338427581779762</v>
      </c>
      <c r="I257">
        <f t="shared" ca="1" si="82"/>
        <v>9.8727999999999998</v>
      </c>
      <c r="J257">
        <f t="shared" ca="1" si="83"/>
        <v>0.28078963656089589</v>
      </c>
      <c r="K257">
        <f t="shared" ca="1" si="84"/>
        <v>10.434379273121792</v>
      </c>
      <c r="L257">
        <f t="shared" ca="1" si="85"/>
        <v>9.3112207268782079</v>
      </c>
      <c r="M257">
        <f t="shared" ca="1" si="72"/>
        <v>-0.15749999999999886</v>
      </c>
      <c r="N257">
        <f t="shared" ca="1" si="73"/>
        <v>0</v>
      </c>
      <c r="O257">
        <f t="shared" ca="1" si="74"/>
        <v>0.15749999999999886</v>
      </c>
      <c r="P257">
        <f t="shared" ca="1" si="80"/>
        <v>4.8076449404465614E-2</v>
      </c>
      <c r="Q257">
        <f t="shared" ca="1" si="81"/>
        <v>7.8884434661559019E-2</v>
      </c>
      <c r="R257">
        <f t="shared" ca="1" si="78"/>
        <v>0.60945419220825869</v>
      </c>
      <c r="S257">
        <f t="shared" ca="1" si="79"/>
        <v>37.867135029923055</v>
      </c>
      <c r="T257">
        <f>70</f>
        <v>70</v>
      </c>
      <c r="U257">
        <f>30</f>
        <v>30</v>
      </c>
      <c r="V257">
        <f t="shared" ca="1" si="77"/>
        <v>9.7697614289228181</v>
      </c>
      <c r="W257">
        <f t="shared" ca="1" si="87"/>
        <v>9.9924999003959005</v>
      </c>
      <c r="X257">
        <f t="shared" ca="1" si="86"/>
        <v>-0.22090633401307613</v>
      </c>
      <c r="Y257">
        <f t="shared" ca="1" si="88"/>
        <v>-0.22936239988213727</v>
      </c>
      <c r="Z257">
        <f t="shared" ca="1" si="89"/>
        <v>8.4560658690611412E-3</v>
      </c>
      <c r="AA257">
        <f t="shared" ca="1" si="90"/>
        <v>10.505723000000003</v>
      </c>
      <c r="AB257" s="18">
        <f t="shared" ca="1" si="75"/>
        <v>-1.6132171134168316E-2</v>
      </c>
      <c r="AC257" s="18">
        <f t="shared" ca="1" si="76"/>
        <v>-1.6263711209958537E-2</v>
      </c>
      <c r="AD257" s="18">
        <f t="shared" ca="1" si="71"/>
        <v>-0.19736622213309307</v>
      </c>
    </row>
    <row r="258" spans="1:30" x14ac:dyDescent="0.25">
      <c r="A258" vm="685">
        <f ca="1"/>
        <v>45665</v>
      </c>
      <c r="B258" vm="654">
        <f ca="1"/>
        <v>9.5859000000000005</v>
      </c>
      <c r="C258" vm="686">
        <f ca="1"/>
        <v>62670278</v>
      </c>
      <c r="D258">
        <f t="shared" ca="1" si="68"/>
        <v>600751017.88020003</v>
      </c>
      <c r="E258">
        <f ca="1">SUM($D$2:D258)/SUM($C$2:C258)</f>
        <v>11.381918297635147</v>
      </c>
      <c r="F258">
        <f ca="1">_xlfn.STDEV.P($B$2:B258)</f>
        <v>1.0556460613915635</v>
      </c>
      <c r="G258">
        <f t="shared" ca="1" si="69"/>
        <v>12.437564359026711</v>
      </c>
      <c r="H258">
        <f t="shared" ca="1" si="70"/>
        <v>10.326272236243584</v>
      </c>
      <c r="I258">
        <f t="shared" ca="1" si="82"/>
        <v>9.8304800000000014</v>
      </c>
      <c r="J258">
        <f t="shared" ca="1" si="83"/>
        <v>0.25458586515524007</v>
      </c>
      <c r="K258">
        <f t="shared" ca="1" si="84"/>
        <v>10.339651730310482</v>
      </c>
      <c r="L258">
        <f t="shared" ca="1" si="85"/>
        <v>9.3213082696895206</v>
      </c>
      <c r="M258">
        <f t="shared" ca="1" si="72"/>
        <v>-1.9700000000000273E-2</v>
      </c>
      <c r="N258">
        <f t="shared" ca="1" si="73"/>
        <v>0</v>
      </c>
      <c r="O258">
        <f t="shared" ca="1" si="74"/>
        <v>1.9700000000000273E-2</v>
      </c>
      <c r="P258">
        <f t="shared" ca="1" si="80"/>
        <v>4.4642417304146642E-2</v>
      </c>
      <c r="Q258">
        <f t="shared" ca="1" si="81"/>
        <v>7.4656975042876259E-2</v>
      </c>
      <c r="R258">
        <f t="shared" ca="1" si="78"/>
        <v>0.59796713272280388</v>
      </c>
      <c r="S258">
        <f t="shared" ca="1" si="79"/>
        <v>37.420490101314996</v>
      </c>
      <c r="T258">
        <f>70</f>
        <v>70</v>
      </c>
      <c r="U258">
        <f>30</f>
        <v>30</v>
      </c>
      <c r="V258">
        <f t="shared" ca="1" si="77"/>
        <v>9.7414750552423861</v>
      </c>
      <c r="W258">
        <f t="shared" ca="1" si="87"/>
        <v>9.9623813892554622</v>
      </c>
      <c r="X258">
        <f t="shared" ca="1" si="86"/>
        <v>-0.22402125384910754</v>
      </c>
      <c r="Y258">
        <f t="shared" ca="1" si="88"/>
        <v>-0.22829417067553134</v>
      </c>
      <c r="Z258">
        <f t="shared" ca="1" si="89"/>
        <v>4.272916826423806E-3</v>
      </c>
      <c r="AA258">
        <f t="shared" ca="1" si="90"/>
        <v>10.498637000000006</v>
      </c>
      <c r="AB258" s="18">
        <f t="shared" ca="1" si="75"/>
        <v>-2.0508869825934806E-3</v>
      </c>
      <c r="AC258" s="18">
        <f t="shared" ca="1" si="76"/>
        <v>-2.0529929311688239E-3</v>
      </c>
      <c r="AD258" s="18">
        <f t="shared" ca="1" si="71"/>
        <v>-0.19901233329991019</v>
      </c>
    </row>
    <row r="259" spans="1:30" x14ac:dyDescent="0.25">
      <c r="A259" vm="687">
        <f ca="1"/>
        <v>45667</v>
      </c>
      <c r="B259" vm="675">
        <f ca="1"/>
        <v>9.4972999999999992</v>
      </c>
      <c r="C259" vm="688">
        <f ca="1"/>
        <v>74552875</v>
      </c>
      <c r="D259">
        <f t="shared" ref="D259:D322" ca="1" si="91">B259*C259</f>
        <v>708051019.73749995</v>
      </c>
      <c r="E259">
        <f ca="1">SUM($D$2:D259)/SUM($C$2:C259)</f>
        <v>11.372089461734571</v>
      </c>
      <c r="F259">
        <f ca="1">_xlfn.STDEV.P($B$2:B259)</f>
        <v>1.0603608605202126</v>
      </c>
      <c r="G259">
        <f t="shared" ref="G259:G322" ca="1" si="92">E259 + F259</f>
        <v>12.432450322254784</v>
      </c>
      <c r="H259">
        <f t="shared" ref="H259:H322" ca="1" si="93">E259 - F259</f>
        <v>10.311728601214359</v>
      </c>
      <c r="I259">
        <f t="shared" ca="1" si="82"/>
        <v>9.7857000000000021</v>
      </c>
      <c r="J259">
        <f t="shared" ca="1" si="83"/>
        <v>0.22781028348860366</v>
      </c>
      <c r="K259">
        <f t="shared" ca="1" si="84"/>
        <v>10.24132056697721</v>
      </c>
      <c r="L259">
        <f t="shared" ca="1" si="85"/>
        <v>9.3300794330227941</v>
      </c>
      <c r="M259">
        <f t="shared" ca="1" si="72"/>
        <v>-8.8600000000001344E-2</v>
      </c>
      <c r="N259">
        <f t="shared" ca="1" si="73"/>
        <v>0</v>
      </c>
      <c r="O259">
        <f t="shared" ca="1" si="74"/>
        <v>8.8600000000001344E-2</v>
      </c>
      <c r="P259">
        <f t="shared" ca="1" si="80"/>
        <v>4.145367321099331E-2</v>
      </c>
      <c r="Q259">
        <f t="shared" ca="1" si="81"/>
        <v>7.5652905396956613E-2</v>
      </c>
      <c r="R259">
        <f t="shared" ca="1" si="78"/>
        <v>0.5479455546813794</v>
      </c>
      <c r="S259">
        <f t="shared" ca="1" si="79"/>
        <v>35.398244662045983</v>
      </c>
      <c r="T259">
        <f>70</f>
        <v>70</v>
      </c>
      <c r="U259">
        <f>30</f>
        <v>30</v>
      </c>
      <c r="V259">
        <f t="shared" ca="1" si="77"/>
        <v>9.7039096621281722</v>
      </c>
      <c r="W259">
        <f t="shared" ca="1" si="87"/>
        <v>9.9279309159772797</v>
      </c>
      <c r="X259">
        <f t="shared" ca="1" si="86"/>
        <v>-0.21919423943176142</v>
      </c>
      <c r="Y259">
        <f t="shared" ca="1" si="88"/>
        <v>-0.22647418442677736</v>
      </c>
      <c r="Z259">
        <f t="shared" ca="1" si="89"/>
        <v>7.2799449950159412E-3</v>
      </c>
      <c r="AA259">
        <f t="shared" ca="1" si="90"/>
        <v>10.490173000000004</v>
      </c>
      <c r="AB259" s="18">
        <f t="shared" ca="1" si="75"/>
        <v>-9.2427419438969594E-3</v>
      </c>
      <c r="AC259" s="18">
        <f t="shared" ca="1" si="76"/>
        <v>-9.2857211184888856E-3</v>
      </c>
      <c r="AD259" s="18">
        <f t="shared" ref="AD259:AD322" ca="1" si="94">(1+AD258)*(1+AB259)-1</f>
        <v>-0.20641565560346331</v>
      </c>
    </row>
    <row r="260" spans="1:30" x14ac:dyDescent="0.25">
      <c r="A260" vm="689">
        <f ca="1"/>
        <v>45670</v>
      </c>
      <c r="B260" vm="400">
        <f ca="1"/>
        <v>9.5564</v>
      </c>
      <c r="C260" vm="690">
        <f ca="1"/>
        <v>67084313</v>
      </c>
      <c r="D260">
        <f t="shared" ca="1" si="91"/>
        <v>641084528.75320005</v>
      </c>
      <c r="E260">
        <f ca="1">SUM($D$2:D260)/SUM($C$2:C260)</f>
        <v>11.363608530739949</v>
      </c>
      <c r="F260">
        <f ca="1">_xlfn.STDEV.P($B$2:B260)</f>
        <v>1.0645641107346491</v>
      </c>
      <c r="G260">
        <f t="shared" ca="1" si="92"/>
        <v>12.428172641474598</v>
      </c>
      <c r="H260">
        <f t="shared" ca="1" si="93"/>
        <v>10.2990444200053</v>
      </c>
      <c r="I260">
        <f t="shared" ca="1" si="82"/>
        <v>9.7512550000000005</v>
      </c>
      <c r="J260">
        <f t="shared" ca="1" si="83"/>
        <v>0.20566581855294444</v>
      </c>
      <c r="K260">
        <f t="shared" ca="1" si="84"/>
        <v>10.162586637105889</v>
      </c>
      <c r="L260">
        <f t="shared" ca="1" si="85"/>
        <v>9.3399233628941118</v>
      </c>
      <c r="M260">
        <f t="shared" ref="M260:M323" ca="1" si="95">B260-B259</f>
        <v>5.9100000000000819E-2</v>
      </c>
      <c r="N260">
        <f t="shared" ref="N260:N323" ca="1" si="96">MAX(M260,0)</f>
        <v>5.9100000000000819E-2</v>
      </c>
      <c r="O260">
        <f t="shared" ref="O260:O323" ca="1" si="97">MAX(-M260,0)</f>
        <v>0</v>
      </c>
      <c r="P260">
        <f t="shared" ca="1" si="80"/>
        <v>4.2714125124493844E-2</v>
      </c>
      <c r="Q260">
        <f t="shared" ca="1" si="81"/>
        <v>7.0249126440031145E-2</v>
      </c>
      <c r="R260">
        <f t="shared" ca="1" si="78"/>
        <v>0.60803781184321448</v>
      </c>
      <c r="S260">
        <f t="shared" ca="1" si="79"/>
        <v>37.812407604162658</v>
      </c>
      <c r="T260">
        <f>70</f>
        <v>70</v>
      </c>
      <c r="U260">
        <f>30</f>
        <v>30</v>
      </c>
      <c r="V260">
        <f t="shared" ca="1" si="77"/>
        <v>9.6812158679546076</v>
      </c>
      <c r="W260">
        <f t="shared" ca="1" si="87"/>
        <v>9.9004101073863691</v>
      </c>
      <c r="X260">
        <f t="shared" ca="1" si="86"/>
        <v>-0.20741815418248244</v>
      </c>
      <c r="Y260">
        <f t="shared" ca="1" si="88"/>
        <v>-0.22266297837791837</v>
      </c>
      <c r="Z260">
        <f t="shared" ca="1" si="89"/>
        <v>1.5244824195435935E-2</v>
      </c>
      <c r="AA260">
        <f t="shared" ca="1" si="90"/>
        <v>10.480233000000004</v>
      </c>
      <c r="AB260" s="18">
        <f t="shared" ref="AB260:AB323" ca="1" si="98">(B260/B259)-1</f>
        <v>6.2228212228738755E-3</v>
      </c>
      <c r="AC260" s="18">
        <f t="shared" ref="AC260:AC323" ca="1" si="99">LN(B260/B259)</f>
        <v>6.2035394210145671E-3</v>
      </c>
      <c r="AD260" s="18">
        <f t="shared" ca="1" si="94"/>
        <v>-0.20147732210301206</v>
      </c>
    </row>
    <row r="261" spans="1:30" x14ac:dyDescent="0.25">
      <c r="A261" vm="691">
        <f ca="1"/>
        <v>45671</v>
      </c>
      <c r="B261" vm="403">
        <f ca="1"/>
        <v>9.6252999999999993</v>
      </c>
      <c r="C261" vm="692">
        <f ca="1"/>
        <v>46150035</v>
      </c>
      <c r="D261">
        <f t="shared" ca="1" si="91"/>
        <v>444207931.88549995</v>
      </c>
      <c r="E261">
        <f ca="1">SUM($D$2:D261)/SUM($C$2:C261)</f>
        <v>11.358040692754912</v>
      </c>
      <c r="F261">
        <f ca="1">_xlfn.STDEV.P($B$2:B261)</f>
        <v>1.068222410875884</v>
      </c>
      <c r="G261">
        <f t="shared" ca="1" si="92"/>
        <v>12.426263103630795</v>
      </c>
      <c r="H261">
        <f t="shared" ca="1" si="93"/>
        <v>10.289818281879029</v>
      </c>
      <c r="I261">
        <f t="shared" ca="1" si="82"/>
        <v>9.7212400000000017</v>
      </c>
      <c r="J261">
        <f t="shared" ca="1" si="83"/>
        <v>0.17419191291881442</v>
      </c>
      <c r="K261">
        <f t="shared" ca="1" si="84"/>
        <v>10.069623825837631</v>
      </c>
      <c r="L261">
        <f t="shared" ca="1" si="85"/>
        <v>9.3728561741623722</v>
      </c>
      <c r="M261">
        <f t="shared" ca="1" si="95"/>
        <v>6.8899999999999295E-2</v>
      </c>
      <c r="N261">
        <f t="shared" ca="1" si="96"/>
        <v>6.8899999999999295E-2</v>
      </c>
      <c r="O261">
        <f t="shared" ca="1" si="97"/>
        <v>0</v>
      </c>
      <c r="P261">
        <f t="shared" ca="1" si="80"/>
        <v>4.4584544758458522E-2</v>
      </c>
      <c r="Q261">
        <f t="shared" ca="1" si="81"/>
        <v>6.5231331694314637E-2</v>
      </c>
      <c r="R261">
        <f t="shared" ca="1" si="78"/>
        <v>0.68348358987042379</v>
      </c>
      <c r="S261">
        <f t="shared" ca="1" si="79"/>
        <v>40.599361584690648</v>
      </c>
      <c r="T261">
        <f>70</f>
        <v>70</v>
      </c>
      <c r="U261">
        <f>30</f>
        <v>30</v>
      </c>
      <c r="V261">
        <f t="shared" ca="1" si="77"/>
        <v>9.6726134267308215</v>
      </c>
      <c r="W261">
        <f t="shared" ca="1" si="87"/>
        <v>9.8800315809133039</v>
      </c>
      <c r="X261">
        <f t="shared" ca="1" si="86"/>
        <v>-0.18248226797085465</v>
      </c>
      <c r="Y261">
        <f t="shared" ca="1" si="88"/>
        <v>-0.21462683629650564</v>
      </c>
      <c r="Z261">
        <f t="shared" ca="1" si="89"/>
        <v>3.2144568325650991E-2</v>
      </c>
      <c r="AA261">
        <f t="shared" ca="1" si="90"/>
        <v>10.471376000000003</v>
      </c>
      <c r="AB261" s="18">
        <f t="shared" ca="1" si="98"/>
        <v>7.2098279686909628E-3</v>
      </c>
      <c r="AC261" s="18">
        <f t="shared" ca="1" si="99"/>
        <v>7.1839614135504231E-3</v>
      </c>
      <c r="AD261" s="18">
        <f t="shared" ca="1" si="94"/>
        <v>-0.19572011096627639</v>
      </c>
    </row>
    <row r="262" spans="1:30" x14ac:dyDescent="0.25">
      <c r="A262" vm="693">
        <f ca="1"/>
        <v>45672</v>
      </c>
      <c r="B262" vm="694">
        <f ca="1"/>
        <v>9.7926000000000002</v>
      </c>
      <c r="C262" vm="695">
        <f ca="1"/>
        <v>69778271</v>
      </c>
      <c r="D262">
        <f t="shared" ca="1" si="91"/>
        <v>683310696.59459996</v>
      </c>
      <c r="E262">
        <f ca="1">SUM($D$2:D262)/SUM($C$2:C262)</f>
        <v>11.350495916995397</v>
      </c>
      <c r="F262">
        <f ca="1">_xlfn.STDEV.P($B$2:B262)</f>
        <v>1.0707890527710944</v>
      </c>
      <c r="G262">
        <f t="shared" ca="1" si="92"/>
        <v>12.421284969766491</v>
      </c>
      <c r="H262">
        <f t="shared" ca="1" si="93"/>
        <v>10.279706864224304</v>
      </c>
      <c r="I262">
        <f t="shared" ca="1" si="82"/>
        <v>9.6995900000000006</v>
      </c>
      <c r="J262">
        <f t="shared" ca="1" si="83"/>
        <v>0.1293409240402239</v>
      </c>
      <c r="K262">
        <f t="shared" ca="1" si="84"/>
        <v>9.9582718480804484</v>
      </c>
      <c r="L262">
        <f t="shared" ca="1" si="85"/>
        <v>9.4409081519195528</v>
      </c>
      <c r="M262">
        <f t="shared" ca="1" si="95"/>
        <v>0.16730000000000089</v>
      </c>
      <c r="N262">
        <f t="shared" ca="1" si="96"/>
        <v>0.16730000000000089</v>
      </c>
      <c r="O262">
        <f t="shared" ca="1" si="97"/>
        <v>0</v>
      </c>
      <c r="P262">
        <f t="shared" ca="1" si="80"/>
        <v>5.3349934418568688E-2</v>
      </c>
      <c r="Q262">
        <f t="shared" ca="1" si="81"/>
        <v>6.0571950859006449E-2</v>
      </c>
      <c r="R262">
        <f t="shared" ca="1" si="78"/>
        <v>0.88076962458665931</v>
      </c>
      <c r="S262">
        <f t="shared" ca="1" si="79"/>
        <v>46.830276981968368</v>
      </c>
      <c r="T262">
        <f>70</f>
        <v>70</v>
      </c>
      <c r="U262">
        <f>30</f>
        <v>30</v>
      </c>
      <c r="V262">
        <f t="shared" ca="1" si="77"/>
        <v>9.6910728995414637</v>
      </c>
      <c r="W262">
        <f t="shared" ca="1" si="87"/>
        <v>9.8735551675123183</v>
      </c>
      <c r="X262">
        <f t="shared" ca="1" si="86"/>
        <v>-0.15615948227261711</v>
      </c>
      <c r="Y262">
        <f t="shared" ca="1" si="88"/>
        <v>-0.20293336549172794</v>
      </c>
      <c r="Z262">
        <f t="shared" ca="1" si="89"/>
        <v>4.6773883219110829E-2</v>
      </c>
      <c r="AA262">
        <f t="shared" ca="1" si="90"/>
        <v>10.462518000000003</v>
      </c>
      <c r="AB262" s="18">
        <f t="shared" ca="1" si="98"/>
        <v>1.7381276427747894E-2</v>
      </c>
      <c r="AC262" s="18">
        <f t="shared" ca="1" si="99"/>
        <v>1.7231949883289452E-2</v>
      </c>
      <c r="AD262" s="18">
        <f t="shared" ca="1" si="94"/>
        <v>-0.18174069988970287</v>
      </c>
    </row>
    <row r="263" spans="1:30" x14ac:dyDescent="0.25">
      <c r="A263" vm="696">
        <f ca="1"/>
        <v>45673</v>
      </c>
      <c r="B263" vm="697">
        <f ca="1"/>
        <v>9.8515999999999995</v>
      </c>
      <c r="C263" vm="698">
        <f ca="1"/>
        <v>46505753</v>
      </c>
      <c r="D263">
        <f t="shared" ca="1" si="91"/>
        <v>458156076.25479996</v>
      </c>
      <c r="E263">
        <f ca="1">SUM($D$2:D263)/SUM($C$2:C263)</f>
        <v>11.345696650278642</v>
      </c>
      <c r="F263">
        <f ca="1">_xlfn.STDEV.P($B$2:B263)</f>
        <v>1.0729665237939521</v>
      </c>
      <c r="G263">
        <f t="shared" ca="1" si="92"/>
        <v>12.418663174072593</v>
      </c>
      <c r="H263">
        <f t="shared" ca="1" si="93"/>
        <v>10.27273012648469</v>
      </c>
      <c r="I263">
        <f t="shared" ca="1" si="82"/>
        <v>9.700569999999999</v>
      </c>
      <c r="J263">
        <f t="shared" ca="1" si="83"/>
        <v>0.1304663380662654</v>
      </c>
      <c r="K263">
        <f t="shared" ca="1" si="84"/>
        <v>9.9615026761325289</v>
      </c>
      <c r="L263">
        <f t="shared" ca="1" si="85"/>
        <v>9.4396373238674691</v>
      </c>
      <c r="M263">
        <f t="shared" ca="1" si="95"/>
        <v>5.8999999999999275E-2</v>
      </c>
      <c r="N263">
        <f t="shared" ca="1" si="96"/>
        <v>5.8999999999999275E-2</v>
      </c>
      <c r="O263">
        <f t="shared" ca="1" si="97"/>
        <v>0</v>
      </c>
      <c r="P263">
        <f t="shared" ca="1" si="80"/>
        <v>5.3753510531528013E-2</v>
      </c>
      <c r="Q263">
        <f t="shared" ca="1" si="81"/>
        <v>5.6245382940505982E-2</v>
      </c>
      <c r="R263">
        <f t="shared" ca="1" si="78"/>
        <v>0.95569640957705337</v>
      </c>
      <c r="S263">
        <f t="shared" ca="1" si="79"/>
        <v>48.867319329166023</v>
      </c>
      <c r="T263">
        <f>70</f>
        <v>70</v>
      </c>
      <c r="U263">
        <f>30</f>
        <v>30</v>
      </c>
      <c r="V263">
        <f t="shared" ca="1" si="77"/>
        <v>9.7157693765350857</v>
      </c>
      <c r="W263">
        <f t="shared" ca="1" si="87"/>
        <v>9.8719288588077028</v>
      </c>
      <c r="X263">
        <f t="shared" ca="1" si="86"/>
        <v>-0.12040277573100511</v>
      </c>
      <c r="Y263">
        <f t="shared" ca="1" si="88"/>
        <v>-0.1864272475395834</v>
      </c>
      <c r="Z263">
        <f t="shared" ca="1" si="89"/>
        <v>6.6024471808578289E-2</v>
      </c>
      <c r="AA263">
        <f t="shared" ca="1" si="90"/>
        <v>10.453562000000002</v>
      </c>
      <c r="AB263" s="18">
        <f t="shared" ca="1" si="98"/>
        <v>6.0249576210607003E-3</v>
      </c>
      <c r="AC263" s="18">
        <f t="shared" ca="1" si="99"/>
        <v>6.0068801382650574E-3</v>
      </c>
      <c r="AD263" s="18">
        <f t="shared" ca="1" si="94"/>
        <v>-0.17681072228349959</v>
      </c>
    </row>
    <row r="264" spans="1:30" x14ac:dyDescent="0.25">
      <c r="A264" vm="699">
        <f ca="1"/>
        <v>45674</v>
      </c>
      <c r="B264" vm="421">
        <f ca="1"/>
        <v>10.019</v>
      </c>
      <c r="C264" vm="700">
        <f ca="1"/>
        <v>61780110</v>
      </c>
      <c r="D264">
        <f t="shared" ca="1" si="91"/>
        <v>618974922.09000003</v>
      </c>
      <c r="E264">
        <f ca="1">SUM($D$2:D264)/SUM($C$2:C264)</f>
        <v>11.340077460637842</v>
      </c>
      <c r="F264">
        <f ca="1">_xlfn.STDEV.P($B$2:B264)</f>
        <v>1.0742340716225105</v>
      </c>
      <c r="G264">
        <f t="shared" ca="1" si="92"/>
        <v>12.414311532260353</v>
      </c>
      <c r="H264">
        <f t="shared" ca="1" si="93"/>
        <v>10.26584338901533</v>
      </c>
      <c r="I264">
        <f t="shared" ca="1" si="82"/>
        <v>9.7109049999999986</v>
      </c>
      <c r="J264">
        <f t="shared" ca="1" si="83"/>
        <v>0.14693100233568282</v>
      </c>
      <c r="K264">
        <f t="shared" ca="1" si="84"/>
        <v>10.004767004671365</v>
      </c>
      <c r="L264">
        <f t="shared" ca="1" si="85"/>
        <v>9.4170429953286323</v>
      </c>
      <c r="M264">
        <f t="shared" ca="1" si="95"/>
        <v>0.16740000000000066</v>
      </c>
      <c r="N264">
        <f t="shared" ca="1" si="96"/>
        <v>0.16740000000000066</v>
      </c>
      <c r="O264">
        <f t="shared" ca="1" si="97"/>
        <v>0</v>
      </c>
      <c r="P264">
        <f t="shared" ca="1" si="80"/>
        <v>6.18711169221332E-2</v>
      </c>
      <c r="Q264">
        <f t="shared" ca="1" si="81"/>
        <v>5.2227855587612691E-2</v>
      </c>
      <c r="R264">
        <f t="shared" ca="1" si="78"/>
        <v>1.1846382782908607</v>
      </c>
      <c r="S264">
        <f t="shared" ca="1" si="79"/>
        <v>54.225831803041359</v>
      </c>
      <c r="T264">
        <f>70</f>
        <v>70</v>
      </c>
      <c r="U264">
        <f>30</f>
        <v>30</v>
      </c>
      <c r="V264">
        <f t="shared" ca="1" si="77"/>
        <v>9.7624202416835342</v>
      </c>
      <c r="W264">
        <f t="shared" ca="1" si="87"/>
        <v>9.8828230174145393</v>
      </c>
      <c r="X264">
        <f t="shared" ca="1" si="86"/>
        <v>-7.1392219030530057E-2</v>
      </c>
      <c r="Y264">
        <f t="shared" ca="1" si="88"/>
        <v>-0.16342024183777273</v>
      </c>
      <c r="Z264">
        <f t="shared" ca="1" si="89"/>
        <v>9.2028022807242676E-2</v>
      </c>
      <c r="AA264">
        <f t="shared" ca="1" si="90"/>
        <v>10.442835000000002</v>
      </c>
      <c r="AB264" s="18">
        <f t="shared" ca="1" si="98"/>
        <v>1.6992163709448338E-2</v>
      </c>
      <c r="AC264" s="18">
        <f t="shared" ca="1" si="99"/>
        <v>1.6849411736292806E-2</v>
      </c>
      <c r="AD264" s="18">
        <f t="shared" ca="1" si="94"/>
        <v>-0.16282295531267832</v>
      </c>
    </row>
    <row r="265" spans="1:30" x14ac:dyDescent="0.25">
      <c r="A265" vm="701">
        <f ca="1"/>
        <v>45678</v>
      </c>
      <c r="B265" vm="702">
        <f ca="1"/>
        <v>10.265000000000001</v>
      </c>
      <c r="C265" vm="703">
        <f ca="1"/>
        <v>66726387</v>
      </c>
      <c r="D265">
        <f t="shared" ca="1" si="91"/>
        <v>684946362.55500007</v>
      </c>
      <c r="E265">
        <f ca="1">SUM($D$2:D265)/SUM($C$2:C265)</f>
        <v>11.335181830915456</v>
      </c>
      <c r="F265">
        <f ca="1">_xlfn.STDEV.P($B$2:B265)</f>
        <v>1.0743940975376669</v>
      </c>
      <c r="G265">
        <f t="shared" ca="1" si="92"/>
        <v>12.409575928453123</v>
      </c>
      <c r="H265">
        <f t="shared" ca="1" si="93"/>
        <v>10.260787733377789</v>
      </c>
      <c r="I265">
        <f t="shared" ca="1" si="82"/>
        <v>9.7473199999999984</v>
      </c>
      <c r="J265">
        <f t="shared" ca="1" si="83"/>
        <v>0.18642601354509475</v>
      </c>
      <c r="K265">
        <f t="shared" ca="1" si="84"/>
        <v>10.120172027090188</v>
      </c>
      <c r="L265">
        <f t="shared" ca="1" si="85"/>
        <v>9.3744679729098088</v>
      </c>
      <c r="M265">
        <f t="shared" ca="1" si="95"/>
        <v>0.24600000000000044</v>
      </c>
      <c r="N265">
        <f t="shared" ca="1" si="96"/>
        <v>0.24600000000000044</v>
      </c>
      <c r="O265">
        <f t="shared" ca="1" si="97"/>
        <v>0</v>
      </c>
      <c r="P265">
        <f t="shared" ca="1" si="80"/>
        <v>7.502317999912371E-2</v>
      </c>
      <c r="Q265">
        <f t="shared" ca="1" si="81"/>
        <v>4.8497294474211784E-2</v>
      </c>
      <c r="R265">
        <f t="shared" ca="1" si="78"/>
        <v>1.5469559861533502</v>
      </c>
      <c r="S265">
        <f t="shared" ca="1" si="79"/>
        <v>60.737444799338952</v>
      </c>
      <c r="T265">
        <f>70</f>
        <v>70</v>
      </c>
      <c r="U265">
        <f>30</f>
        <v>30</v>
      </c>
      <c r="V265">
        <f t="shared" ca="1" si="77"/>
        <v>9.8397402045014513</v>
      </c>
      <c r="W265">
        <f t="shared" ca="1" si="87"/>
        <v>9.9111324235319813</v>
      </c>
      <c r="X265">
        <f t="shared" ca="1" si="86"/>
        <v>-6.3586315985649122E-2</v>
      </c>
      <c r="Y265">
        <f t="shared" ca="1" si="88"/>
        <v>-0.14345345666734802</v>
      </c>
      <c r="Z265">
        <f t="shared" ca="1" si="89"/>
        <v>7.9867140681698895E-2</v>
      </c>
      <c r="AA265">
        <f t="shared" ca="1" si="90"/>
        <v>10.436143000000001</v>
      </c>
      <c r="AB265" s="18">
        <f t="shared" ca="1" si="98"/>
        <v>2.4553348637588623E-2</v>
      </c>
      <c r="AC265" s="18">
        <f t="shared" ca="1" si="99"/>
        <v>2.4256760193770998E-2</v>
      </c>
      <c r="AD265" s="18">
        <f t="shared" ca="1" si="94"/>
        <v>-0.14226745546308439</v>
      </c>
    </row>
    <row r="266" spans="1:30" x14ac:dyDescent="0.25">
      <c r="A266" vm="704">
        <f ca="1"/>
        <v>45679</v>
      </c>
      <c r="B266" vm="397">
        <f ca="1"/>
        <v>9.8712999999999997</v>
      </c>
      <c r="C266" vm="705">
        <f ca="1"/>
        <v>65993172</v>
      </c>
      <c r="D266">
        <f t="shared" ca="1" si="91"/>
        <v>651438398.76359999</v>
      </c>
      <c r="E266">
        <f ca="1">SUM($D$2:D266)/SUM($C$2:C266)</f>
        <v>11.328618494340335</v>
      </c>
      <c r="F266">
        <f ca="1">_xlfn.STDEV.P($B$2:B266)</f>
        <v>1.0763398397528681</v>
      </c>
      <c r="G266">
        <f t="shared" ca="1" si="92"/>
        <v>12.404958334093202</v>
      </c>
      <c r="H266">
        <f t="shared" ca="1" si="93"/>
        <v>10.252278654587467</v>
      </c>
      <c r="I266">
        <f t="shared" ca="1" si="82"/>
        <v>9.7615899999999964</v>
      </c>
      <c r="J266">
        <f t="shared" ca="1" si="83"/>
        <v>0.18433100633028865</v>
      </c>
      <c r="K266">
        <f t="shared" ca="1" si="84"/>
        <v>10.130252012660574</v>
      </c>
      <c r="L266">
        <f t="shared" ca="1" si="85"/>
        <v>9.3929279873394194</v>
      </c>
      <c r="M266">
        <f t="shared" ca="1" si="95"/>
        <v>-0.39370000000000083</v>
      </c>
      <c r="N266">
        <f t="shared" ca="1" si="96"/>
        <v>0</v>
      </c>
      <c r="O266">
        <f t="shared" ca="1" si="97"/>
        <v>0.39370000000000083</v>
      </c>
      <c r="P266">
        <f t="shared" ca="1" si="80"/>
        <v>6.9664381427757729E-2</v>
      </c>
      <c r="Q266">
        <f t="shared" ca="1" si="81"/>
        <v>7.3154630583196711E-2</v>
      </c>
      <c r="R266">
        <f t="shared" ca="1" si="78"/>
        <v>0.95228942956017504</v>
      </c>
      <c r="S266">
        <f t="shared" ca="1" si="79"/>
        <v>48.778086647465649</v>
      </c>
      <c r="T266">
        <f>70</f>
        <v>70</v>
      </c>
      <c r="U266">
        <f>30</f>
        <v>30</v>
      </c>
      <c r="V266">
        <f t="shared" ca="1" si="77"/>
        <v>9.8445955576550741</v>
      </c>
      <c r="W266">
        <f t="shared" ca="1" si="87"/>
        <v>9.9081818736407232</v>
      </c>
      <c r="X266">
        <f t="shared" ca="1" si="86"/>
        <v>-4.6535123389395139E-2</v>
      </c>
      <c r="Y266">
        <f t="shared" ca="1" si="88"/>
        <v>-0.12406979001175744</v>
      </c>
      <c r="Z266">
        <f t="shared" ca="1" si="89"/>
        <v>7.7534666622362303E-2</v>
      </c>
      <c r="AA266">
        <f t="shared" ca="1" si="90"/>
        <v>10.425218000000003</v>
      </c>
      <c r="AB266" s="18">
        <f t="shared" ca="1" si="98"/>
        <v>-3.8353628835850029E-2</v>
      </c>
      <c r="AC266" s="18">
        <f t="shared" ca="1" si="99"/>
        <v>-3.9108493439432956E-2</v>
      </c>
      <c r="AD266" s="18">
        <f t="shared" ca="1" si="94"/>
        <v>-0.17516461111668247</v>
      </c>
    </row>
    <row r="267" spans="1:30" x14ac:dyDescent="0.25">
      <c r="A267" vm="706">
        <f ca="1"/>
        <v>45680</v>
      </c>
      <c r="B267" vm="707">
        <f ca="1"/>
        <v>9.9992999999999999</v>
      </c>
      <c r="C267" vm="708">
        <f ca="1"/>
        <v>57145140</v>
      </c>
      <c r="D267">
        <f t="shared" ca="1" si="91"/>
        <v>571411398.40199995</v>
      </c>
      <c r="E267">
        <f ca="1">SUM($D$2:D267)/SUM($C$2:C267)</f>
        <v>11.323477523213297</v>
      </c>
      <c r="F267">
        <f ca="1">_xlfn.STDEV.P($B$2:B267)</f>
        <v>1.0775984640511482</v>
      </c>
      <c r="G267">
        <f t="shared" ca="1" si="92"/>
        <v>12.401075987264445</v>
      </c>
      <c r="H267">
        <f t="shared" ca="1" si="93"/>
        <v>10.245879059162149</v>
      </c>
      <c r="I267">
        <f t="shared" ca="1" si="82"/>
        <v>9.775369999999997</v>
      </c>
      <c r="J267">
        <f t="shared" ca="1" si="83"/>
        <v>0.1915110415945557</v>
      </c>
      <c r="K267">
        <f t="shared" ca="1" si="84"/>
        <v>10.158392083189108</v>
      </c>
      <c r="L267">
        <f t="shared" ca="1" si="85"/>
        <v>9.3923479168108859</v>
      </c>
      <c r="M267">
        <f t="shared" ca="1" si="95"/>
        <v>0.12800000000000011</v>
      </c>
      <c r="N267">
        <f t="shared" ca="1" si="96"/>
        <v>0.12800000000000011</v>
      </c>
      <c r="O267">
        <f t="shared" ca="1" si="97"/>
        <v>0</v>
      </c>
      <c r="P267">
        <f t="shared" ca="1" si="80"/>
        <v>7.3831211325775054E-2</v>
      </c>
      <c r="Q267">
        <f t="shared" ca="1" si="81"/>
        <v>6.7929299827254083E-2</v>
      </c>
      <c r="R267">
        <f t="shared" ca="1" si="78"/>
        <v>1.0868831492968378</v>
      </c>
      <c r="S267">
        <f t="shared" ca="1" si="79"/>
        <v>52.081648637733082</v>
      </c>
      <c r="T267">
        <f>70</f>
        <v>70</v>
      </c>
      <c r="U267">
        <f>30</f>
        <v>30</v>
      </c>
      <c r="V267">
        <f t="shared" ca="1" si="77"/>
        <v>9.8683962410927553</v>
      </c>
      <c r="W267">
        <f t="shared" ca="1" si="87"/>
        <v>9.9149313644821504</v>
      </c>
      <c r="X267">
        <f t="shared" ca="1" si="86"/>
        <v>-3.5788632057409231E-2</v>
      </c>
      <c r="Y267">
        <f t="shared" ca="1" si="88"/>
        <v>-0.10641355842088782</v>
      </c>
      <c r="Z267">
        <f t="shared" ca="1" si="89"/>
        <v>7.0624926363478585E-2</v>
      </c>
      <c r="AA267">
        <f t="shared" ca="1" si="90"/>
        <v>10.416558</v>
      </c>
      <c r="AB267" s="18">
        <f t="shared" ca="1" si="98"/>
        <v>1.2966883794434336E-2</v>
      </c>
      <c r="AC267" s="18">
        <f t="shared" ca="1" si="99"/>
        <v>1.2883533512467318E-2</v>
      </c>
      <c r="AD267" s="18">
        <f t="shared" ca="1" si="94"/>
        <v>-0.16446906647949544</v>
      </c>
    </row>
    <row r="268" spans="1:30" x14ac:dyDescent="0.25">
      <c r="A268" vm="709">
        <f ca="1"/>
        <v>45681</v>
      </c>
      <c r="B268" vm="710">
        <f ca="1"/>
        <v>9.9598999999999993</v>
      </c>
      <c r="C268" vm="711">
        <f ca="1"/>
        <v>43598838</v>
      </c>
      <c r="D268">
        <f t="shared" ca="1" si="91"/>
        <v>434240066.59619999</v>
      </c>
      <c r="E268">
        <f ca="1">SUM($D$2:D268)/SUM($C$2:C268)</f>
        <v>11.319465974978202</v>
      </c>
      <c r="F268">
        <f ca="1">_xlfn.STDEV.P($B$2:B268)</f>
        <v>1.0790109134010095</v>
      </c>
      <c r="G268">
        <f t="shared" ca="1" si="92"/>
        <v>12.398476888379212</v>
      </c>
      <c r="H268">
        <f t="shared" ca="1" si="93"/>
        <v>10.240455061577192</v>
      </c>
      <c r="I268">
        <f t="shared" ca="1" si="82"/>
        <v>9.7861949999999993</v>
      </c>
      <c r="J268">
        <f t="shared" ca="1" si="83"/>
        <v>0.19568217108093272</v>
      </c>
      <c r="K268">
        <f t="shared" ca="1" si="84"/>
        <v>10.177559342161866</v>
      </c>
      <c r="L268">
        <f t="shared" ca="1" si="85"/>
        <v>9.3948306578381331</v>
      </c>
      <c r="M268">
        <f t="shared" ca="1" si="95"/>
        <v>-3.9400000000000546E-2</v>
      </c>
      <c r="N268">
        <f t="shared" ca="1" si="96"/>
        <v>0</v>
      </c>
      <c r="O268">
        <f t="shared" ca="1" si="97"/>
        <v>3.9400000000000546E-2</v>
      </c>
      <c r="P268">
        <f t="shared" ca="1" si="80"/>
        <v>6.8557553373933974E-2</v>
      </c>
      <c r="Q268">
        <f t="shared" ca="1" si="81"/>
        <v>6.589149269673597E-2</v>
      </c>
      <c r="R268">
        <f t="shared" ca="1" si="78"/>
        <v>1.0404613792780273</v>
      </c>
      <c r="S268">
        <f t="shared" ca="1" si="79"/>
        <v>50.991476233976641</v>
      </c>
      <c r="T268">
        <f>70</f>
        <v>70</v>
      </c>
      <c r="U268">
        <f>30</f>
        <v>30</v>
      </c>
      <c r="V268">
        <f t="shared" ca="1" si="77"/>
        <v>9.8824737424631</v>
      </c>
      <c r="W268">
        <f t="shared" ca="1" si="87"/>
        <v>9.9182623745205092</v>
      </c>
      <c r="X268">
        <f t="shared" ca="1" si="86"/>
        <v>-6.5474934690161746E-3</v>
      </c>
      <c r="Y268">
        <f t="shared" ca="1" si="88"/>
        <v>-8.6440345430513488E-2</v>
      </c>
      <c r="Z268">
        <f t="shared" ca="1" si="89"/>
        <v>7.9892851961497313E-2</v>
      </c>
      <c r="AA268">
        <f t="shared" ca="1" si="90"/>
        <v>10.406815000000002</v>
      </c>
      <c r="AB268" s="18">
        <f t="shared" ca="1" si="98"/>
        <v>-3.9402758193074483E-3</v>
      </c>
      <c r="AC268" s="18">
        <f t="shared" ca="1" si="99"/>
        <v>-3.9480591584698964E-3</v>
      </c>
      <c r="AD268" s="18">
        <f t="shared" ca="1" si="94"/>
        <v>-0.16776128881312968</v>
      </c>
    </row>
    <row r="269" spans="1:30" x14ac:dyDescent="0.25">
      <c r="A269" vm="712">
        <f ca="1"/>
        <v>45684</v>
      </c>
      <c r="B269" vm="713">
        <f ca="1"/>
        <v>10.2158</v>
      </c>
      <c r="C269" vm="714">
        <f ca="1"/>
        <v>74257329</v>
      </c>
      <c r="D269">
        <f t="shared" ca="1" si="91"/>
        <v>758598021.59819996</v>
      </c>
      <c r="E269">
        <f ca="1">SUM($D$2:D269)/SUM($C$2:C269)</f>
        <v>11.313963430379367</v>
      </c>
      <c r="F269">
        <f ca="1">_xlfn.STDEV.P($B$2:B269)</f>
        <v>1.0792626764798239</v>
      </c>
      <c r="G269">
        <f t="shared" ca="1" si="92"/>
        <v>12.39322610685919</v>
      </c>
      <c r="H269">
        <f t="shared" ca="1" si="93"/>
        <v>10.234700753899544</v>
      </c>
      <c r="I269">
        <f t="shared" ca="1" si="82"/>
        <v>9.8039099999999983</v>
      </c>
      <c r="J269">
        <f t="shared" ca="1" si="83"/>
        <v>0.21766124307474255</v>
      </c>
      <c r="K269">
        <f t="shared" ca="1" si="84"/>
        <v>10.239232486149483</v>
      </c>
      <c r="L269">
        <f t="shared" ca="1" si="85"/>
        <v>9.3685875138505139</v>
      </c>
      <c r="M269">
        <f t="shared" ca="1" si="95"/>
        <v>0.25590000000000046</v>
      </c>
      <c r="N269">
        <f t="shared" ca="1" si="96"/>
        <v>0.25590000000000046</v>
      </c>
      <c r="O269">
        <f t="shared" ca="1" si="97"/>
        <v>0</v>
      </c>
      <c r="P269">
        <f t="shared" ca="1" si="80"/>
        <v>8.1939156704367286E-2</v>
      </c>
      <c r="Q269">
        <f t="shared" ca="1" si="81"/>
        <v>6.1184957504111973E-2</v>
      </c>
      <c r="R269">
        <f t="shared" ca="1" si="78"/>
        <v>1.3392042758035831</v>
      </c>
      <c r="S269">
        <f t="shared" ca="1" si="79"/>
        <v>57.250420138853777</v>
      </c>
      <c r="T269">
        <f>70</f>
        <v>70</v>
      </c>
      <c r="U269">
        <f>30</f>
        <v>30</v>
      </c>
      <c r="V269">
        <f t="shared" ca="1" si="77"/>
        <v>9.9337547051610855</v>
      </c>
      <c r="W269">
        <f t="shared" ca="1" si="87"/>
        <v>9.9403021986301017</v>
      </c>
      <c r="X269">
        <f t="shared" ca="1" si="86"/>
        <v>-7.1198493502588889E-3</v>
      </c>
      <c r="Y269">
        <f t="shared" ca="1" si="88"/>
        <v>-7.0576246214462568E-2</v>
      </c>
      <c r="Z269">
        <f t="shared" ca="1" si="89"/>
        <v>6.3456396864203679E-2</v>
      </c>
      <c r="AA269">
        <f t="shared" ca="1" si="90"/>
        <v>10.398842999999999</v>
      </c>
      <c r="AB269" s="18">
        <f t="shared" ca="1" si="98"/>
        <v>2.5693029046476523E-2</v>
      </c>
      <c r="AC269" s="18">
        <f t="shared" ca="1" si="99"/>
        <v>2.5368510019234587E-2</v>
      </c>
      <c r="AD269" s="18">
        <f t="shared" ca="1" si="94"/>
        <v>-0.14637855543300327</v>
      </c>
    </row>
    <row r="270" spans="1:30" x14ac:dyDescent="0.25">
      <c r="A270" vm="715">
        <f ca="1"/>
        <v>45685</v>
      </c>
      <c r="B270" vm="716">
        <f ca="1"/>
        <v>9.9205000000000005</v>
      </c>
      <c r="C270" vm="717">
        <f ca="1"/>
        <v>93659287</v>
      </c>
      <c r="D270">
        <f t="shared" ca="1" si="91"/>
        <v>929146956.68350005</v>
      </c>
      <c r="E270">
        <f ca="1">SUM($D$2:D270)/SUM($C$2:C270)</f>
        <v>11.305255587840993</v>
      </c>
      <c r="F270">
        <f ca="1">_xlfn.STDEV.P($B$2:B270)</f>
        <v>1.0808019275952749</v>
      </c>
      <c r="G270">
        <f t="shared" ca="1" si="92"/>
        <v>12.386057515436267</v>
      </c>
      <c r="H270">
        <f t="shared" ca="1" si="93"/>
        <v>10.224453660245718</v>
      </c>
      <c r="I270">
        <f t="shared" ca="1" si="82"/>
        <v>9.8043999999999993</v>
      </c>
      <c r="J270">
        <f t="shared" ca="1" si="83"/>
        <v>0.21792517305862499</v>
      </c>
      <c r="K270">
        <f t="shared" ca="1" si="84"/>
        <v>10.24025034611725</v>
      </c>
      <c r="L270">
        <f t="shared" ca="1" si="85"/>
        <v>9.3685496538827486</v>
      </c>
      <c r="M270">
        <f t="shared" ca="1" si="95"/>
        <v>-0.29529999999999923</v>
      </c>
      <c r="N270">
        <f t="shared" ca="1" si="96"/>
        <v>0</v>
      </c>
      <c r="O270">
        <f t="shared" ca="1" si="97"/>
        <v>0.29529999999999923</v>
      </c>
      <c r="P270">
        <f t="shared" ca="1" si="80"/>
        <v>7.6086359796912473E-2</v>
      </c>
      <c r="Q270">
        <f t="shared" ca="1" si="81"/>
        <v>7.7907460539532486E-2</v>
      </c>
      <c r="R270">
        <f t="shared" ca="1" si="78"/>
        <v>0.9766248221927869</v>
      </c>
      <c r="S270">
        <f t="shared" ca="1" si="79"/>
        <v>49.408709798016154</v>
      </c>
      <c r="T270">
        <f>70</f>
        <v>70</v>
      </c>
      <c r="U270">
        <f>30</f>
        <v>30</v>
      </c>
      <c r="V270">
        <f t="shared" ca="1" si="77"/>
        <v>9.9317155197516875</v>
      </c>
      <c r="W270">
        <f t="shared" ca="1" si="87"/>
        <v>9.9388353691019464</v>
      </c>
      <c r="X270">
        <f t="shared" ca="1" si="86"/>
        <v>2.7236877724181596E-3</v>
      </c>
      <c r="Y270">
        <f t="shared" ca="1" si="88"/>
        <v>-5.5916259417086431E-2</v>
      </c>
      <c r="Z270">
        <f t="shared" ca="1" si="89"/>
        <v>5.863994718950459E-2</v>
      </c>
      <c r="AA270">
        <f t="shared" ca="1" si="90"/>
        <v>10.389984999999999</v>
      </c>
      <c r="AB270" s="18">
        <f t="shared" ca="1" si="98"/>
        <v>-2.8906204115194067E-2</v>
      </c>
      <c r="AC270" s="18">
        <f t="shared" ca="1" si="99"/>
        <v>-2.9332218152307969E-2</v>
      </c>
      <c r="AD270" s="18">
        <f t="shared" ca="1" si="94"/>
        <v>-0.1710535111467637</v>
      </c>
    </row>
    <row r="271" spans="1:30" x14ac:dyDescent="0.25">
      <c r="A271" vm="718">
        <f ca="1"/>
        <v>45686</v>
      </c>
      <c r="B271" vm="719">
        <f ca="1"/>
        <v>10.048500000000001</v>
      </c>
      <c r="C271" vm="720">
        <f ca="1"/>
        <v>71111881</v>
      </c>
      <c r="D271">
        <f t="shared" ca="1" si="91"/>
        <v>714567736.22850001</v>
      </c>
      <c r="E271">
        <f ca="1">SUM($D$2:D271)/SUM($C$2:C271)</f>
        <v>11.299320851588654</v>
      </c>
      <c r="F271">
        <f ca="1">_xlfn.STDEV.P($B$2:B271)</f>
        <v>1.0817042105428702</v>
      </c>
      <c r="G271">
        <f t="shared" ca="1" si="92"/>
        <v>12.381025062131524</v>
      </c>
      <c r="H271">
        <f t="shared" ca="1" si="93"/>
        <v>10.217616641045783</v>
      </c>
      <c r="I271">
        <f t="shared" ca="1" si="82"/>
        <v>9.8132599999999996</v>
      </c>
      <c r="J271">
        <f t="shared" ca="1" si="83"/>
        <v>0.22429720039550927</v>
      </c>
      <c r="K271">
        <f t="shared" ca="1" si="84"/>
        <v>10.261854400791018</v>
      </c>
      <c r="L271">
        <f t="shared" ca="1" si="85"/>
        <v>9.3646655992089816</v>
      </c>
      <c r="M271">
        <f t="shared" ca="1" si="95"/>
        <v>0.12800000000000011</v>
      </c>
      <c r="N271">
        <f t="shared" ca="1" si="96"/>
        <v>0.12800000000000011</v>
      </c>
      <c r="O271">
        <f t="shared" ca="1" si="97"/>
        <v>0</v>
      </c>
      <c r="P271">
        <f t="shared" ca="1" si="80"/>
        <v>7.979447695427587E-2</v>
      </c>
      <c r="Q271">
        <f t="shared" ca="1" si="81"/>
        <v>7.2342641929565882E-2</v>
      </c>
      <c r="R271">
        <f t="shared" ca="1" si="78"/>
        <v>1.1030075046466403</v>
      </c>
      <c r="S271">
        <f t="shared" ca="1" si="79"/>
        <v>52.449052236357765</v>
      </c>
      <c r="T271">
        <f>70</f>
        <v>70</v>
      </c>
      <c r="U271">
        <f>30</f>
        <v>30</v>
      </c>
      <c r="V271">
        <f t="shared" ref="V271:V334" ca="1" si="100">B271*(2/(12+1)) + V270*(1-(2/(12+1)))</f>
        <v>9.9496823628668132</v>
      </c>
      <c r="W271">
        <f t="shared" ca="1" si="87"/>
        <v>9.946958675094395</v>
      </c>
      <c r="X271">
        <f t="shared" ca="1" si="86"/>
        <v>6.4800352300995456E-3</v>
      </c>
      <c r="Y271">
        <f t="shared" ca="1" si="88"/>
        <v>-4.3437000487649237E-2</v>
      </c>
      <c r="Z271">
        <f t="shared" ca="1" si="89"/>
        <v>4.9917035717748783E-2</v>
      </c>
      <c r="AA271">
        <f t="shared" ca="1" si="90"/>
        <v>10.382702000000002</v>
      </c>
      <c r="AB271" s="18">
        <f t="shared" ca="1" si="98"/>
        <v>1.290257547502649E-2</v>
      </c>
      <c r="AC271" s="18">
        <f t="shared" ca="1" si="99"/>
        <v>1.2820046381906956E-2</v>
      </c>
      <c r="AD271" s="18">
        <f t="shared" ca="1" si="94"/>
        <v>-0.16035796650957657</v>
      </c>
    </row>
    <row r="272" spans="1:30" x14ac:dyDescent="0.25">
      <c r="A272" vm="721">
        <f ca="1"/>
        <v>45687</v>
      </c>
      <c r="B272" vm="707">
        <f ca="1"/>
        <v>9.9992999999999999</v>
      </c>
      <c r="C272" vm="722">
        <f ca="1"/>
        <v>70782906</v>
      </c>
      <c r="D272">
        <f t="shared" ca="1" si="91"/>
        <v>707779511.96580005</v>
      </c>
      <c r="E272">
        <f ca="1">SUM($D$2:D272)/SUM($C$2:C272)</f>
        <v>11.2932387936343</v>
      </c>
      <c r="F272">
        <f ca="1">_xlfn.STDEV.P($B$2:B272)</f>
        <v>1.0827989823663295</v>
      </c>
      <c r="G272">
        <f t="shared" ca="1" si="92"/>
        <v>12.376037776000629</v>
      </c>
      <c r="H272">
        <f t="shared" ca="1" si="93"/>
        <v>10.210439811267971</v>
      </c>
      <c r="I272">
        <f t="shared" ca="1" si="82"/>
        <v>9.8270400000000002</v>
      </c>
      <c r="J272">
        <f t="shared" ca="1" si="83"/>
        <v>0.22695554491666672</v>
      </c>
      <c r="K272">
        <f t="shared" ca="1" si="84"/>
        <v>10.280951089833334</v>
      </c>
      <c r="L272">
        <f t="shared" ca="1" si="85"/>
        <v>9.3731289101666668</v>
      </c>
      <c r="M272">
        <f t="shared" ca="1" si="95"/>
        <v>-4.9200000000000799E-2</v>
      </c>
      <c r="N272">
        <f t="shared" ca="1" si="96"/>
        <v>0</v>
      </c>
      <c r="O272">
        <f t="shared" ca="1" si="97"/>
        <v>4.9200000000000799E-2</v>
      </c>
      <c r="P272">
        <f t="shared" ca="1" si="80"/>
        <v>7.4094871457541886E-2</v>
      </c>
      <c r="Q272">
        <f t="shared" ca="1" si="81"/>
        <v>7.0689596077454092E-2</v>
      </c>
      <c r="R272">
        <f t="shared" ref="R272:R335" ca="1" si="101">IF(Q272=0,NA(),P272/Q272)</f>
        <v>1.0481722285745791</v>
      </c>
      <c r="S272">
        <f t="shared" ref="S272:S335" ca="1" si="102">100-(100/(1+R272))</f>
        <v>51.17598090391315</v>
      </c>
      <c r="T272">
        <f>70</f>
        <v>70</v>
      </c>
      <c r="U272">
        <f>30</f>
        <v>30</v>
      </c>
      <c r="V272">
        <f t="shared" ca="1" si="100"/>
        <v>9.9573158455026878</v>
      </c>
      <c r="W272">
        <f t="shared" ca="1" si="87"/>
        <v>9.9508358102725882</v>
      </c>
      <c r="X272">
        <f t="shared" ca="1" si="86"/>
        <v>3.0631560561449334E-3</v>
      </c>
      <c r="Y272">
        <f t="shared" ca="1" si="88"/>
        <v>-3.4136969178890406E-2</v>
      </c>
      <c r="Z272">
        <f t="shared" ca="1" si="89"/>
        <v>3.7200125235035339E-2</v>
      </c>
      <c r="AA272">
        <f t="shared" ca="1" si="90"/>
        <v>10.376698999999999</v>
      </c>
      <c r="AB272" s="18">
        <f t="shared" ca="1" si="98"/>
        <v>-4.8962531721152835E-3</v>
      </c>
      <c r="AC272" s="18">
        <f t="shared" ca="1" si="99"/>
        <v>-4.9082790903635957E-3</v>
      </c>
      <c r="AD272" s="18">
        <f t="shared" ca="1" si="94"/>
        <v>-0.16446906647949533</v>
      </c>
    </row>
    <row r="273" spans="1:30" x14ac:dyDescent="0.25">
      <c r="A273" vm="723">
        <f ca="1"/>
        <v>45688</v>
      </c>
      <c r="B273" vm="716">
        <f ca="1"/>
        <v>9.9205000000000005</v>
      </c>
      <c r="C273" vm="724">
        <f ca="1"/>
        <v>105393560</v>
      </c>
      <c r="D273">
        <f t="shared" ca="1" si="91"/>
        <v>1045556811.98</v>
      </c>
      <c r="E273">
        <f ca="1">SUM($D$2:D273)/SUM($C$2:C273)</f>
        <v>11.283742393515222</v>
      </c>
      <c r="F273">
        <f ca="1">_xlfn.STDEV.P($B$2:B273)</f>
        <v>1.0842302825031516</v>
      </c>
      <c r="G273">
        <f t="shared" ca="1" si="92"/>
        <v>12.367972676018374</v>
      </c>
      <c r="H273">
        <f t="shared" ca="1" si="93"/>
        <v>10.199512111012071</v>
      </c>
      <c r="I273">
        <f t="shared" ca="1" si="82"/>
        <v>9.8358950000000007</v>
      </c>
      <c r="J273">
        <f t="shared" ca="1" si="83"/>
        <v>0.22697536030197329</v>
      </c>
      <c r="K273">
        <f t="shared" ca="1" si="84"/>
        <v>10.289845720603948</v>
      </c>
      <c r="L273">
        <f t="shared" ca="1" si="85"/>
        <v>9.3819442793960537</v>
      </c>
      <c r="M273">
        <f t="shared" ca="1" si="95"/>
        <v>-7.8799999999999315E-2</v>
      </c>
      <c r="N273">
        <f t="shared" ca="1" si="96"/>
        <v>0</v>
      </c>
      <c r="O273">
        <f t="shared" ca="1" si="97"/>
        <v>7.8799999999999315E-2</v>
      </c>
      <c r="P273">
        <f t="shared" ref="P273:P336" ca="1" si="103">(P272*13+N273)/14</f>
        <v>6.8802380639146038E-2</v>
      </c>
      <c r="Q273">
        <f t="shared" ref="Q273:Q336" ca="1" si="104">(Q272*13+O273)/14</f>
        <v>7.1268910643350183E-2</v>
      </c>
      <c r="R273">
        <f t="shared" ca="1" si="101"/>
        <v>0.96539122063269134</v>
      </c>
      <c r="S273">
        <f t="shared" ca="1" si="102"/>
        <v>49.119544775513766</v>
      </c>
      <c r="T273">
        <f>70</f>
        <v>70</v>
      </c>
      <c r="U273">
        <f>30</f>
        <v>30</v>
      </c>
      <c r="V273">
        <f t="shared" ca="1" si="100"/>
        <v>9.9516518692715046</v>
      </c>
      <c r="W273">
        <f t="shared" ca="1" si="87"/>
        <v>9.9485887132153596</v>
      </c>
      <c r="X273">
        <f t="shared" ca="1" si="86"/>
        <v>-1.4566172710413383E-2</v>
      </c>
      <c r="Y273">
        <f t="shared" ca="1" si="88"/>
        <v>-3.0222809885195004E-2</v>
      </c>
      <c r="Z273">
        <f t="shared" ca="1" si="89"/>
        <v>1.5656637174781621E-2</v>
      </c>
      <c r="AA273">
        <f t="shared" ca="1" si="90"/>
        <v>10.371777999999997</v>
      </c>
      <c r="AB273" s="18">
        <f t="shared" ca="1" si="98"/>
        <v>-7.8805516386146746E-3</v>
      </c>
      <c r="AC273" s="18">
        <f t="shared" ca="1" si="99"/>
        <v>-7.9117672915433434E-3</v>
      </c>
      <c r="AD273" s="18">
        <f t="shared" ca="1" si="94"/>
        <v>-0.17105351114676359</v>
      </c>
    </row>
    <row r="274" spans="1:30" x14ac:dyDescent="0.25">
      <c r="A274" vm="725">
        <f ca="1"/>
        <v>45691</v>
      </c>
      <c r="B274" vm="726">
        <f ca="1"/>
        <v>9.7334999999999994</v>
      </c>
      <c r="C274" vm="727">
        <f ca="1"/>
        <v>133542924</v>
      </c>
      <c r="D274">
        <f t="shared" ca="1" si="91"/>
        <v>1299840050.7539999</v>
      </c>
      <c r="E274">
        <f ca="1">SUM($D$2:D274)/SUM($C$2:C274)</f>
        <v>11.270271782909246</v>
      </c>
      <c r="F274">
        <f ca="1">_xlfn.STDEV.P($B$2:B274)</f>
        <v>1.0865736456437667</v>
      </c>
      <c r="G274">
        <f t="shared" ca="1" si="92"/>
        <v>12.356845428553013</v>
      </c>
      <c r="H274">
        <f t="shared" ca="1" si="93"/>
        <v>10.183698137265479</v>
      </c>
      <c r="I274">
        <f t="shared" ca="1" si="82"/>
        <v>9.8477050000000013</v>
      </c>
      <c r="J274">
        <f t="shared" ca="1" si="83"/>
        <v>0.214216701582398</v>
      </c>
      <c r="K274">
        <f t="shared" ca="1" si="84"/>
        <v>10.276138403164797</v>
      </c>
      <c r="L274">
        <f t="shared" ca="1" si="85"/>
        <v>9.4192715968352054</v>
      </c>
      <c r="M274">
        <f t="shared" ca="1" si="95"/>
        <v>-0.18700000000000117</v>
      </c>
      <c r="N274">
        <f t="shared" ca="1" si="96"/>
        <v>0</v>
      </c>
      <c r="O274">
        <f t="shared" ca="1" si="97"/>
        <v>0.18700000000000117</v>
      </c>
      <c r="P274">
        <f t="shared" ca="1" si="103"/>
        <v>6.3887924879207039E-2</v>
      </c>
      <c r="Q274">
        <f t="shared" ca="1" si="104"/>
        <v>7.9535417025968114E-2</v>
      </c>
      <c r="R274">
        <f t="shared" ca="1" si="101"/>
        <v>0.80326384481454083</v>
      </c>
      <c r="S274">
        <f t="shared" ca="1" si="102"/>
        <v>44.544998066944196</v>
      </c>
      <c r="T274">
        <f>70</f>
        <v>70</v>
      </c>
      <c r="U274">
        <f>30</f>
        <v>30</v>
      </c>
      <c r="V274">
        <f t="shared" ca="1" si="100"/>
        <v>9.9180900432297339</v>
      </c>
      <c r="W274">
        <f t="shared" ca="1" si="87"/>
        <v>9.9326562159401472</v>
      </c>
      <c r="X274">
        <f t="shared" ca="1" si="86"/>
        <v>-7.0089098043197851E-3</v>
      </c>
      <c r="Y274">
        <f t="shared" ca="1" si="88"/>
        <v>-2.5580029869019961E-2</v>
      </c>
      <c r="Z274">
        <f t="shared" ca="1" si="89"/>
        <v>1.8571120064700176E-2</v>
      </c>
      <c r="AA274">
        <f t="shared" ca="1" si="90"/>
        <v>10.364198999999999</v>
      </c>
      <c r="AB274" s="18">
        <f t="shared" ca="1" si="98"/>
        <v>-1.8849856358046591E-2</v>
      </c>
      <c r="AC274" s="18">
        <f t="shared" ca="1" si="99"/>
        <v>-1.9029779505192308E-2</v>
      </c>
      <c r="AD274" s="18">
        <f t="shared" ca="1" si="94"/>
        <v>-0.18667903339015413</v>
      </c>
    </row>
    <row r="275" spans="1:30" x14ac:dyDescent="0.25">
      <c r="A275" vm="728">
        <f ca="1"/>
        <v>45692</v>
      </c>
      <c r="B275" vm="707">
        <f ca="1"/>
        <v>9.9992999999999999</v>
      </c>
      <c r="C275" vm="729">
        <f ca="1"/>
        <v>69821048</v>
      </c>
      <c r="D275">
        <f t="shared" ca="1" si="91"/>
        <v>698161605.26639998</v>
      </c>
      <c r="E275">
        <f ca="1">SUM($D$2:D275)/SUM($C$2:C275)</f>
        <v>11.264523733598367</v>
      </c>
      <c r="F275">
        <f ca="1">_xlfn.STDEV.P($B$2:B275)</f>
        <v>1.0875619078222363</v>
      </c>
      <c r="G275">
        <f t="shared" ca="1" si="92"/>
        <v>12.352085641420603</v>
      </c>
      <c r="H275">
        <f t="shared" ca="1" si="93"/>
        <v>10.176961825776131</v>
      </c>
      <c r="I275">
        <f t="shared" ca="1" si="82"/>
        <v>9.8614850000000001</v>
      </c>
      <c r="J275">
        <f t="shared" ca="1" si="83"/>
        <v>0.21468375094788306</v>
      </c>
      <c r="K275">
        <f t="shared" ca="1" si="84"/>
        <v>10.290852501895767</v>
      </c>
      <c r="L275">
        <f t="shared" ca="1" si="85"/>
        <v>9.4321174981042333</v>
      </c>
      <c r="M275">
        <f t="shared" ca="1" si="95"/>
        <v>0.26580000000000048</v>
      </c>
      <c r="N275">
        <f t="shared" ca="1" si="96"/>
        <v>0.26580000000000048</v>
      </c>
      <c r="O275">
        <f t="shared" ca="1" si="97"/>
        <v>0</v>
      </c>
      <c r="P275">
        <f t="shared" ca="1" si="103"/>
        <v>7.8310215959263713E-2</v>
      </c>
      <c r="Q275">
        <f t="shared" ca="1" si="104"/>
        <v>7.3854315809827528E-2</v>
      </c>
      <c r="R275">
        <f t="shared" ca="1" si="101"/>
        <v>1.0603336460513693</v>
      </c>
      <c r="S275">
        <f t="shared" ca="1" si="102"/>
        <v>51.464171741479802</v>
      </c>
      <c r="T275">
        <f>70</f>
        <v>70</v>
      </c>
      <c r="U275">
        <f>30</f>
        <v>30</v>
      </c>
      <c r="V275">
        <f t="shared" ca="1" si="100"/>
        <v>9.9305838827328525</v>
      </c>
      <c r="W275">
        <f t="shared" ca="1" si="87"/>
        <v>9.9375927925371723</v>
      </c>
      <c r="X275">
        <f t="shared" ca="1" si="86"/>
        <v>-1.2790439894370564E-2</v>
      </c>
      <c r="Y275">
        <f t="shared" ca="1" si="88"/>
        <v>-2.3022111874090083E-2</v>
      </c>
      <c r="Z275">
        <f t="shared" ca="1" si="89"/>
        <v>1.0231671979719519E-2</v>
      </c>
      <c r="AA275">
        <f t="shared" ca="1" si="90"/>
        <v>10.362624999999998</v>
      </c>
      <c r="AB275" s="18">
        <f t="shared" ca="1" si="98"/>
        <v>2.7307751579596307E-2</v>
      </c>
      <c r="AC275" s="18">
        <f t="shared" ca="1" si="99"/>
        <v>2.6941546796735622E-2</v>
      </c>
      <c r="AD275" s="18">
        <f t="shared" ca="1" si="94"/>
        <v>-0.16446906647949533</v>
      </c>
    </row>
    <row r="276" spans="1:30" x14ac:dyDescent="0.25">
      <c r="A276" vm="730">
        <f ca="1"/>
        <v>45693</v>
      </c>
      <c r="B276" vm="697">
        <f ca="1"/>
        <v>9.8515999999999995</v>
      </c>
      <c r="C276" vm="731">
        <f ca="1"/>
        <v>126184045</v>
      </c>
      <c r="D276">
        <f t="shared" ca="1" si="91"/>
        <v>1243114737.7219999</v>
      </c>
      <c r="E276">
        <f ca="1">SUM($D$2:D276)/SUM($C$2:C276)</f>
        <v>11.253068969631119</v>
      </c>
      <c r="F276">
        <f ca="1">_xlfn.STDEV.P($B$2:B276)</f>
        <v>1.0892094346265417</v>
      </c>
      <c r="G276">
        <f t="shared" ca="1" si="92"/>
        <v>12.342278404257661</v>
      </c>
      <c r="H276">
        <f t="shared" ca="1" si="93"/>
        <v>10.163859535004578</v>
      </c>
      <c r="I276">
        <f t="shared" ca="1" si="82"/>
        <v>9.8659099999999995</v>
      </c>
      <c r="J276">
        <f t="shared" ca="1" si="83"/>
        <v>0.21345770417973733</v>
      </c>
      <c r="K276">
        <f t="shared" ca="1" si="84"/>
        <v>10.292825408359475</v>
      </c>
      <c r="L276">
        <f t="shared" ca="1" si="85"/>
        <v>9.4389945916405242</v>
      </c>
      <c r="M276">
        <f t="shared" ca="1" si="95"/>
        <v>-0.14770000000000039</v>
      </c>
      <c r="N276">
        <f t="shared" ca="1" si="96"/>
        <v>0</v>
      </c>
      <c r="O276">
        <f t="shared" ca="1" si="97"/>
        <v>0.14770000000000039</v>
      </c>
      <c r="P276">
        <f t="shared" ca="1" si="103"/>
        <v>7.27166291050306E-2</v>
      </c>
      <c r="Q276">
        <f t="shared" ca="1" si="104"/>
        <v>7.9129007537697013E-2</v>
      </c>
      <c r="R276">
        <f t="shared" ca="1" si="101"/>
        <v>0.91896298674526455</v>
      </c>
      <c r="S276">
        <f t="shared" ca="1" si="102"/>
        <v>47.888520679802653</v>
      </c>
      <c r="T276">
        <f>70</f>
        <v>70</v>
      </c>
      <c r="U276">
        <f>30</f>
        <v>30</v>
      </c>
      <c r="V276">
        <f t="shared" ca="1" si="100"/>
        <v>9.9184325161585676</v>
      </c>
      <c r="W276">
        <f t="shared" ca="1" si="87"/>
        <v>9.9312229560529381</v>
      </c>
      <c r="X276">
        <f t="shared" ca="1" si="86"/>
        <v>-7.6054140792336966E-2</v>
      </c>
      <c r="Y276">
        <f t="shared" ca="1" si="88"/>
        <v>-3.3628517657739457E-2</v>
      </c>
      <c r="Z276">
        <f t="shared" ca="1" si="89"/>
        <v>-4.2425623134597509E-2</v>
      </c>
      <c r="AA276">
        <f t="shared" ca="1" si="90"/>
        <v>10.358293999999999</v>
      </c>
      <c r="AB276" s="18">
        <f t="shared" ca="1" si="98"/>
        <v>-1.4771033972378111E-2</v>
      </c>
      <c r="AC276" s="18">
        <f t="shared" ca="1" si="99"/>
        <v>-1.4881212003098136E-2</v>
      </c>
      <c r="AD276" s="18">
        <f t="shared" ca="1" si="94"/>
        <v>-0.17681072228349948</v>
      </c>
    </row>
    <row r="277" spans="1:30" x14ac:dyDescent="0.25">
      <c r="A277" vm="732">
        <f ca="1"/>
        <v>45694</v>
      </c>
      <c r="B277" vm="733">
        <f ca="1"/>
        <v>9.1135000000000002</v>
      </c>
      <c r="C277" vm="734">
        <f ca="1"/>
        <v>226339032</v>
      </c>
      <c r="D277">
        <f t="shared" ca="1" si="91"/>
        <v>2062740768.132</v>
      </c>
      <c r="E277">
        <f ca="1">SUM($D$2:D277)/SUM($C$2:C277)</f>
        <v>11.222401445343307</v>
      </c>
      <c r="F277">
        <f ca="1">_xlfn.STDEV.P($B$2:B277)</f>
        <v>1.0952997683181596</v>
      </c>
      <c r="G277">
        <f t="shared" ca="1" si="92"/>
        <v>12.317701213661467</v>
      </c>
      <c r="H277">
        <f t="shared" ca="1" si="93"/>
        <v>10.127101677025147</v>
      </c>
      <c r="I277">
        <f t="shared" ca="1" si="82"/>
        <v>9.8413050000000002</v>
      </c>
      <c r="J277">
        <f t="shared" ca="1" si="83"/>
        <v>0.26675151353588278</v>
      </c>
      <c r="K277">
        <f t="shared" ca="1" si="84"/>
        <v>10.374808027071765</v>
      </c>
      <c r="L277">
        <f t="shared" ca="1" si="85"/>
        <v>9.3078019729282353</v>
      </c>
      <c r="M277">
        <f t="shared" ca="1" si="95"/>
        <v>-0.73809999999999931</v>
      </c>
      <c r="N277">
        <f t="shared" ca="1" si="96"/>
        <v>0</v>
      </c>
      <c r="O277">
        <f t="shared" ca="1" si="97"/>
        <v>0.73809999999999931</v>
      </c>
      <c r="P277">
        <f t="shared" ca="1" si="103"/>
        <v>6.7522584168956984E-2</v>
      </c>
      <c r="Q277">
        <f t="shared" ca="1" si="104"/>
        <v>0.12619836414214719</v>
      </c>
      <c r="R277">
        <f t="shared" ca="1" si="101"/>
        <v>0.53505118412550068</v>
      </c>
      <c r="S277">
        <f t="shared" ca="1" si="102"/>
        <v>34.855592416634153</v>
      </c>
      <c r="T277">
        <f>70</f>
        <v>70</v>
      </c>
      <c r="U277">
        <f>30</f>
        <v>30</v>
      </c>
      <c r="V277">
        <f t="shared" ca="1" si="100"/>
        <v>9.7945967444418649</v>
      </c>
      <c r="W277">
        <f t="shared" ca="1" si="87"/>
        <v>9.8706508852342019</v>
      </c>
      <c r="X277">
        <f t="shared" ca="1" si="86"/>
        <v>-0.12632451453527693</v>
      </c>
      <c r="Y277">
        <f t="shared" ca="1" si="88"/>
        <v>-5.2167717033246956E-2</v>
      </c>
      <c r="Z277">
        <f t="shared" ca="1" si="89"/>
        <v>-7.415679750202997E-2</v>
      </c>
      <c r="AA277">
        <f t="shared" ca="1" si="90"/>
        <v>10.344908999999998</v>
      </c>
      <c r="AB277" s="18">
        <f t="shared" ca="1" si="98"/>
        <v>-7.4921840107190607E-2</v>
      </c>
      <c r="AC277" s="18">
        <f t="shared" ca="1" si="99"/>
        <v>-7.7877047857982051E-2</v>
      </c>
      <c r="AD277" s="18">
        <f t="shared" ca="1" si="94"/>
        <v>-0.2384855777265289</v>
      </c>
    </row>
    <row r="278" spans="1:30" x14ac:dyDescent="0.25">
      <c r="A278" vm="735">
        <f ca="1"/>
        <v>45695</v>
      </c>
      <c r="B278" vm="736">
        <f ca="1"/>
        <v>9.0937999999999999</v>
      </c>
      <c r="C278" vm="737">
        <f ca="1"/>
        <v>143116839</v>
      </c>
      <c r="D278">
        <f t="shared" ca="1" si="91"/>
        <v>1301475910.4981999</v>
      </c>
      <c r="E278">
        <f ca="1">SUM($D$2:D278)/SUM($C$2:C278)</f>
        <v>11.203282687433729</v>
      </c>
      <c r="F278">
        <f ca="1">_xlfn.STDEV.P($B$2:B278)</f>
        <v>1.1013975168321664</v>
      </c>
      <c r="G278">
        <f t="shared" ca="1" si="92"/>
        <v>12.304680204265896</v>
      </c>
      <c r="H278">
        <f t="shared" ca="1" si="93"/>
        <v>10.101885170601562</v>
      </c>
      <c r="I278">
        <f t="shared" ref="I278:I341" ca="1" si="105">AVERAGE(B259:B278)</f>
        <v>9.8166999999999991</v>
      </c>
      <c r="J278">
        <f t="shared" ref="J278:J341" ca="1" si="106">_xlfn.STDEV.S(B259:B278)</f>
        <v>0.31063558951556769</v>
      </c>
      <c r="K278">
        <f t="shared" ref="K278:K341" ca="1" si="107">I278 + 2*J278</f>
        <v>10.437971179031134</v>
      </c>
      <c r="L278">
        <f t="shared" ref="L278:L341" ca="1" si="108">I278-2*J278</f>
        <v>9.1954288209688642</v>
      </c>
      <c r="M278">
        <f t="shared" ca="1" si="95"/>
        <v>-1.9700000000000273E-2</v>
      </c>
      <c r="N278">
        <f t="shared" ca="1" si="96"/>
        <v>0</v>
      </c>
      <c r="O278">
        <f t="shared" ca="1" si="97"/>
        <v>1.9700000000000273E-2</v>
      </c>
      <c r="P278">
        <f t="shared" ca="1" si="103"/>
        <v>6.269954244260291E-2</v>
      </c>
      <c r="Q278">
        <f t="shared" ca="1" si="104"/>
        <v>0.11859133813199384</v>
      </c>
      <c r="R278">
        <f t="shared" ca="1" si="101"/>
        <v>0.52870254632608527</v>
      </c>
      <c r="S278">
        <f t="shared" ca="1" si="102"/>
        <v>34.585050413941588</v>
      </c>
      <c r="T278">
        <f>70</f>
        <v>70</v>
      </c>
      <c r="U278">
        <f>30</f>
        <v>30</v>
      </c>
      <c r="V278">
        <f t="shared" ca="1" si="100"/>
        <v>9.6867818606815774</v>
      </c>
      <c r="W278">
        <f t="shared" ca="1" si="87"/>
        <v>9.8131063752168544</v>
      </c>
      <c r="X278">
        <f t="shared" ca="1" si="86"/>
        <v>-0.16427053938190639</v>
      </c>
      <c r="Y278">
        <f t="shared" ca="1" si="88"/>
        <v>-7.4588281502978845E-2</v>
      </c>
      <c r="Z278">
        <f t="shared" ca="1" si="89"/>
        <v>-8.9682257878927543E-2</v>
      </c>
      <c r="AA278">
        <f t="shared" ca="1" si="90"/>
        <v>10.330637999999999</v>
      </c>
      <c r="AB278" s="18">
        <f t="shared" ca="1" si="98"/>
        <v>-2.1616283535415004E-3</v>
      </c>
      <c r="AC278" s="18">
        <f t="shared" ca="1" si="99"/>
        <v>-2.1639680444137336E-3</v>
      </c>
      <c r="AD278" s="18">
        <f t="shared" ca="1" si="94"/>
        <v>-0.24013168889334602</v>
      </c>
    </row>
    <row r="279" spans="1:30" x14ac:dyDescent="0.25">
      <c r="A279" vm="738">
        <f ca="1"/>
        <v>45698</v>
      </c>
      <c r="B279" vm="736">
        <f ca="1"/>
        <v>9.0937999999999999</v>
      </c>
      <c r="C279" vm="739">
        <f ca="1"/>
        <v>73328062</v>
      </c>
      <c r="D279">
        <f t="shared" ca="1" si="91"/>
        <v>666830730.21560001</v>
      </c>
      <c r="E279">
        <f ca="1">SUM($D$2:D279)/SUM($C$2:C279)</f>
        <v>11.193619359269846</v>
      </c>
      <c r="F279">
        <f ca="1">_xlfn.STDEV.P($B$2:B279)</f>
        <v>1.1073608110254127</v>
      </c>
      <c r="G279">
        <f t="shared" ca="1" si="92"/>
        <v>12.300980170295258</v>
      </c>
      <c r="H279">
        <f t="shared" ca="1" si="93"/>
        <v>10.086258548244434</v>
      </c>
      <c r="I279">
        <f t="shared" ca="1" si="105"/>
        <v>9.796524999999999</v>
      </c>
      <c r="J279">
        <f t="shared" ca="1" si="106"/>
        <v>0.3438039800678962</v>
      </c>
      <c r="K279">
        <f t="shared" ca="1" si="107"/>
        <v>10.484132960135792</v>
      </c>
      <c r="L279">
        <f t="shared" ca="1" si="108"/>
        <v>9.1089170398642061</v>
      </c>
      <c r="M279">
        <f t="shared" ca="1" si="95"/>
        <v>0</v>
      </c>
      <c r="N279">
        <f t="shared" ca="1" si="96"/>
        <v>0</v>
      </c>
      <c r="O279">
        <f t="shared" ca="1" si="97"/>
        <v>0</v>
      </c>
      <c r="P279">
        <f t="shared" ca="1" si="103"/>
        <v>5.8221003696702703E-2</v>
      </c>
      <c r="Q279">
        <f t="shared" ca="1" si="104"/>
        <v>0.11012052826542285</v>
      </c>
      <c r="R279">
        <f t="shared" ca="1" si="101"/>
        <v>0.52870254632608527</v>
      </c>
      <c r="S279">
        <f t="shared" ca="1" si="102"/>
        <v>34.585050413941588</v>
      </c>
      <c r="T279">
        <f>70</f>
        <v>70</v>
      </c>
      <c r="U279">
        <f>30</f>
        <v>30</v>
      </c>
      <c r="V279">
        <f t="shared" ca="1" si="100"/>
        <v>9.5955538821151816</v>
      </c>
      <c r="W279">
        <f t="shared" ca="1" si="87"/>
        <v>9.759824421497088</v>
      </c>
      <c r="X279">
        <f t="shared" ca="1" si="86"/>
        <v>-0.19448157834286306</v>
      </c>
      <c r="Y279">
        <f t="shared" ca="1" si="88"/>
        <v>-9.8566940870955688E-2</v>
      </c>
      <c r="Z279">
        <f t="shared" ca="1" si="89"/>
        <v>-9.5914637471907371E-2</v>
      </c>
      <c r="AA279">
        <f t="shared" ca="1" si="90"/>
        <v>10.315284999999999</v>
      </c>
      <c r="AB279" s="18">
        <f t="shared" ca="1" si="98"/>
        <v>0</v>
      </c>
      <c r="AC279" s="18">
        <f t="shared" ca="1" si="99"/>
        <v>0</v>
      </c>
      <c r="AD279" s="18">
        <f t="shared" ca="1" si="94"/>
        <v>-0.24013168889334602</v>
      </c>
    </row>
    <row r="280" spans="1:30" x14ac:dyDescent="0.25">
      <c r="A280" vm="740">
        <f ca="1"/>
        <v>45699</v>
      </c>
      <c r="B280" vm="741">
        <f ca="1"/>
        <v>9.0642999999999994</v>
      </c>
      <c r="C280" vm="742">
        <f ca="1"/>
        <v>55726170</v>
      </c>
      <c r="D280">
        <f t="shared" ca="1" si="91"/>
        <v>505118722.73099995</v>
      </c>
      <c r="E280">
        <f ca="1">SUM($D$2:D280)/SUM($C$2:C280)</f>
        <v>11.186232305232387</v>
      </c>
      <c r="F280">
        <f ca="1">_xlfn.STDEV.P($B$2:B280)</f>
        <v>1.113403462582808</v>
      </c>
      <c r="G280">
        <f t="shared" ca="1" si="92"/>
        <v>12.299635767815195</v>
      </c>
      <c r="H280">
        <f t="shared" ca="1" si="93"/>
        <v>10.07282884264958</v>
      </c>
      <c r="I280">
        <f t="shared" ca="1" si="105"/>
        <v>9.7719199999999979</v>
      </c>
      <c r="J280">
        <f t="shared" ca="1" si="106"/>
        <v>0.37781976154050811</v>
      </c>
      <c r="K280">
        <f t="shared" ca="1" si="107"/>
        <v>10.527559523081013</v>
      </c>
      <c r="L280">
        <f t="shared" ca="1" si="108"/>
        <v>9.0162804769189826</v>
      </c>
      <c r="M280">
        <f t="shared" ca="1" si="95"/>
        <v>-2.9500000000000526E-2</v>
      </c>
      <c r="N280">
        <f t="shared" ca="1" si="96"/>
        <v>0</v>
      </c>
      <c r="O280">
        <f t="shared" ca="1" si="97"/>
        <v>2.9500000000000526E-2</v>
      </c>
      <c r="P280">
        <f t="shared" ca="1" si="103"/>
        <v>5.4062360575509658E-2</v>
      </c>
      <c r="Q280">
        <f t="shared" ca="1" si="104"/>
        <v>0.10436191910360695</v>
      </c>
      <c r="R280">
        <f t="shared" ca="1" si="101"/>
        <v>0.51802765836299336</v>
      </c>
      <c r="S280">
        <f t="shared" ca="1" si="102"/>
        <v>34.125047426449569</v>
      </c>
      <c r="T280">
        <f>70</f>
        <v>70</v>
      </c>
      <c r="U280">
        <f>30</f>
        <v>30</v>
      </c>
      <c r="V280">
        <f t="shared" ca="1" si="100"/>
        <v>9.5138225156359226</v>
      </c>
      <c r="W280">
        <f t="shared" ca="1" si="87"/>
        <v>9.7083040939787857</v>
      </c>
      <c r="X280">
        <f t="shared" ca="1" si="86"/>
        <v>-0.21436337150779572</v>
      </c>
      <c r="Y280">
        <f t="shared" ca="1" si="88"/>
        <v>-0.12172622699832369</v>
      </c>
      <c r="Z280">
        <f t="shared" ca="1" si="89"/>
        <v>-9.2637144509472025E-2</v>
      </c>
      <c r="AA280">
        <f t="shared" ca="1" si="90"/>
        <v>10.298651999999997</v>
      </c>
      <c r="AB280" s="18">
        <f t="shared" ca="1" si="98"/>
        <v>-3.2439684180430861E-3</v>
      </c>
      <c r="AC280" s="18">
        <f t="shared" ca="1" si="99"/>
        <v>-3.2492414904667943E-3</v>
      </c>
      <c r="AD280" s="18">
        <f t="shared" ca="1" si="94"/>
        <v>-0.24259667769644777</v>
      </c>
    </row>
    <row r="281" spans="1:30" x14ac:dyDescent="0.25">
      <c r="A281" vm="743">
        <f ca="1"/>
        <v>45700</v>
      </c>
      <c r="B281" vm="744">
        <f ca="1"/>
        <v>9.0839999999999996</v>
      </c>
      <c r="C281" vm="745">
        <f ca="1"/>
        <v>68421994</v>
      </c>
      <c r="D281">
        <f t="shared" ca="1" si="91"/>
        <v>621545393.49599993</v>
      </c>
      <c r="E281">
        <f ca="1">SUM($D$2:D281)/SUM($C$2:C281)</f>
        <v>11.177315655111096</v>
      </c>
      <c r="F281">
        <f ca="1">_xlfn.STDEV.P($B$2:B281)</f>
        <v>1.1191752699051862</v>
      </c>
      <c r="G281">
        <f t="shared" ca="1" si="92"/>
        <v>12.296490925016283</v>
      </c>
      <c r="H281">
        <f t="shared" ca="1" si="93"/>
        <v>10.05814038520591</v>
      </c>
      <c r="I281">
        <f t="shared" ca="1" si="105"/>
        <v>9.7448549999999976</v>
      </c>
      <c r="J281">
        <f t="shared" ca="1" si="106"/>
        <v>0.40712689664732826</v>
      </c>
      <c r="K281">
        <f t="shared" ca="1" si="107"/>
        <v>10.559108793294655</v>
      </c>
      <c r="L281">
        <f t="shared" ca="1" si="108"/>
        <v>8.9306012067053402</v>
      </c>
      <c r="M281">
        <f t="shared" ca="1" si="95"/>
        <v>1.9700000000000273E-2</v>
      </c>
      <c r="N281">
        <f t="shared" ca="1" si="96"/>
        <v>1.9700000000000273E-2</v>
      </c>
      <c r="O281">
        <f t="shared" ca="1" si="97"/>
        <v>0</v>
      </c>
      <c r="P281">
        <f t="shared" ca="1" si="103"/>
        <v>5.1607906248687559E-2</v>
      </c>
      <c r="Q281">
        <f t="shared" ca="1" si="104"/>
        <v>9.6907496310492183E-2</v>
      </c>
      <c r="R281">
        <f t="shared" ca="1" si="101"/>
        <v>0.53254813315303828</v>
      </c>
      <c r="S281">
        <f t="shared" ca="1" si="102"/>
        <v>34.749194601632695</v>
      </c>
      <c r="T281">
        <f>70</f>
        <v>70</v>
      </c>
      <c r="U281">
        <f>30</f>
        <v>30</v>
      </c>
      <c r="V281">
        <f t="shared" ca="1" si="100"/>
        <v>9.4476959747688571</v>
      </c>
      <c r="W281">
        <f t="shared" ca="1" si="87"/>
        <v>9.6620593462766529</v>
      </c>
      <c r="X281">
        <f t="shared" ca="1" si="86"/>
        <v>-0.21807630493892205</v>
      </c>
      <c r="Y281">
        <f t="shared" ca="1" si="88"/>
        <v>-0.14099624258644339</v>
      </c>
      <c r="Z281">
        <f t="shared" ca="1" si="89"/>
        <v>-7.7080062352478662E-2</v>
      </c>
      <c r="AA281">
        <f t="shared" ca="1" si="90"/>
        <v>10.281428999999997</v>
      </c>
      <c r="AB281" s="18">
        <f t="shared" ca="1" si="98"/>
        <v>2.1733614289023429E-3</v>
      </c>
      <c r="AC281" s="18">
        <f t="shared" ca="1" si="99"/>
        <v>2.1710030953413385E-3</v>
      </c>
      <c r="AD281" s="18">
        <f t="shared" ca="1" si="94"/>
        <v>-0.24095056652963076</v>
      </c>
    </row>
    <row r="282" spans="1:30" x14ac:dyDescent="0.25">
      <c r="A282" vm="746">
        <f ca="1"/>
        <v>45701</v>
      </c>
      <c r="B282" vm="747">
        <f ca="1"/>
        <v>9.2020999999999997</v>
      </c>
      <c r="C282" vm="748">
        <f ca="1"/>
        <v>73218126</v>
      </c>
      <c r="D282">
        <f t="shared" ca="1" si="91"/>
        <v>673760517.26460004</v>
      </c>
      <c r="E282">
        <f ca="1">SUM($D$2:D282)/SUM($C$2:C282)</f>
        <v>11.16839099484495</v>
      </c>
      <c r="F282">
        <f ca="1">_xlfn.STDEV.P($B$2:B282)</f>
        <v>1.124025535101737</v>
      </c>
      <c r="G282">
        <f t="shared" ca="1" si="92"/>
        <v>12.292416529946687</v>
      </c>
      <c r="H282">
        <f t="shared" ca="1" si="93"/>
        <v>10.044365459743213</v>
      </c>
      <c r="I282">
        <f t="shared" ca="1" si="105"/>
        <v>9.715329999999998</v>
      </c>
      <c r="J282">
        <f t="shared" ca="1" si="106"/>
        <v>0.42452219469595909</v>
      </c>
      <c r="K282">
        <f t="shared" ca="1" si="107"/>
        <v>10.564374389391917</v>
      </c>
      <c r="L282">
        <f t="shared" ca="1" si="108"/>
        <v>8.8662856106080792</v>
      </c>
      <c r="M282">
        <f t="shared" ca="1" si="95"/>
        <v>0.11810000000000009</v>
      </c>
      <c r="N282">
        <f t="shared" ca="1" si="96"/>
        <v>0.11810000000000009</v>
      </c>
      <c r="O282">
        <f t="shared" ca="1" si="97"/>
        <v>0</v>
      </c>
      <c r="P282">
        <f t="shared" ca="1" si="103"/>
        <v>5.6357341516638453E-2</v>
      </c>
      <c r="Q282">
        <f t="shared" ca="1" si="104"/>
        <v>8.9985532288314171E-2</v>
      </c>
      <c r="R282">
        <f t="shared" ca="1" si="101"/>
        <v>0.62629336164917271</v>
      </c>
      <c r="S282">
        <f t="shared" ca="1" si="102"/>
        <v>38.510478885191318</v>
      </c>
      <c r="T282">
        <f>70</f>
        <v>70</v>
      </c>
      <c r="U282">
        <f>30</f>
        <v>30</v>
      </c>
      <c r="V282">
        <f t="shared" ca="1" si="100"/>
        <v>9.4099119786505714</v>
      </c>
      <c r="W282">
        <f t="shared" ca="1" si="87"/>
        <v>9.6279882835894934</v>
      </c>
      <c r="X282">
        <f t="shared" ca="1" si="86"/>
        <v>-0.20829724930873361</v>
      </c>
      <c r="Y282">
        <f t="shared" ca="1" si="88"/>
        <v>-0.15445644393090144</v>
      </c>
      <c r="Z282">
        <f t="shared" ca="1" si="89"/>
        <v>-5.3840805377832174E-2</v>
      </c>
      <c r="AA282">
        <f t="shared" ca="1" si="90"/>
        <v>10.265977999999997</v>
      </c>
      <c r="AB282" s="18">
        <f t="shared" ca="1" si="98"/>
        <v>1.3000880669308712E-2</v>
      </c>
      <c r="AC282" s="18">
        <f t="shared" ca="1" si="99"/>
        <v>1.2917094633699239E-2</v>
      </c>
      <c r="AD282" s="18">
        <f t="shared" ca="1" si="94"/>
        <v>-0.23108225542297611</v>
      </c>
    </row>
    <row r="283" spans="1:30" x14ac:dyDescent="0.25">
      <c r="A283" vm="749">
        <f ca="1"/>
        <v>45702</v>
      </c>
      <c r="B283" vm="750">
        <f ca="1"/>
        <v>9.33</v>
      </c>
      <c r="C283" vm="751">
        <f ca="1"/>
        <v>54642783</v>
      </c>
      <c r="D283">
        <f t="shared" ca="1" si="91"/>
        <v>509817165.38999999</v>
      </c>
      <c r="E283">
        <f ca="1">SUM($D$2:D283)/SUM($C$2:C283)</f>
        <v>11.162212719368215</v>
      </c>
      <c r="F283">
        <f ca="1">_xlfn.STDEV.P($B$2:B283)</f>
        <v>1.1279683710634516</v>
      </c>
      <c r="G283">
        <f t="shared" ca="1" si="92"/>
        <v>12.290181090431666</v>
      </c>
      <c r="H283">
        <f t="shared" ca="1" si="93"/>
        <v>10.034244348304764</v>
      </c>
      <c r="I283">
        <f t="shared" ca="1" si="105"/>
        <v>9.6892499999999995</v>
      </c>
      <c r="J283">
        <f t="shared" ca="1" si="106"/>
        <v>0.43167172895494033</v>
      </c>
      <c r="K283">
        <f t="shared" ca="1" si="107"/>
        <v>10.552593457909881</v>
      </c>
      <c r="L283">
        <f t="shared" ca="1" si="108"/>
        <v>8.8259065420901184</v>
      </c>
      <c r="M283">
        <f t="shared" ca="1" si="95"/>
        <v>0.12790000000000035</v>
      </c>
      <c r="N283">
        <f t="shared" ca="1" si="96"/>
        <v>0.12790000000000035</v>
      </c>
      <c r="O283">
        <f t="shared" ca="1" si="97"/>
        <v>0</v>
      </c>
      <c r="P283">
        <f t="shared" ca="1" si="103"/>
        <v>6.1467531408307165E-2</v>
      </c>
      <c r="Q283">
        <f t="shared" ca="1" si="104"/>
        <v>8.3557994267720301E-2</v>
      </c>
      <c r="R283">
        <f t="shared" ca="1" si="101"/>
        <v>0.73562717663333133</v>
      </c>
      <c r="S283">
        <f t="shared" ca="1" si="102"/>
        <v>42.383939738732266</v>
      </c>
      <c r="T283">
        <f>70</f>
        <v>70</v>
      </c>
      <c r="U283">
        <f>30</f>
        <v>30</v>
      </c>
      <c r="V283">
        <f t="shared" ca="1" si="100"/>
        <v>9.3976178280889453</v>
      </c>
      <c r="W283">
        <f t="shared" ca="1" si="87"/>
        <v>9.6059150773976789</v>
      </c>
      <c r="X283">
        <f t="shared" ca="1" si="86"/>
        <v>-0.20145272140122295</v>
      </c>
      <c r="Y283">
        <f t="shared" ca="1" si="88"/>
        <v>-0.16385569942496575</v>
      </c>
      <c r="Z283">
        <f t="shared" ca="1" si="89"/>
        <v>-3.7597021976257194E-2</v>
      </c>
      <c r="AA283">
        <f t="shared" ca="1" si="90"/>
        <v>10.252198999999996</v>
      </c>
      <c r="AB283" s="18">
        <f t="shared" ca="1" si="98"/>
        <v>1.3899001314917392E-2</v>
      </c>
      <c r="AC283" s="18">
        <f t="shared" ca="1" si="99"/>
        <v>1.3803295982241363E-2</v>
      </c>
      <c r="AD283" s="18">
        <f t="shared" ca="1" si="94"/>
        <v>-0.22039506668003672</v>
      </c>
    </row>
    <row r="284" spans="1:30" x14ac:dyDescent="0.25">
      <c r="A284" vm="752">
        <f ca="1"/>
        <v>45706</v>
      </c>
      <c r="B284" vm="753">
        <f ca="1"/>
        <v>9.2899999999999991</v>
      </c>
      <c r="C284" vm="754">
        <f ca="1"/>
        <v>62175764</v>
      </c>
      <c r="D284">
        <f t="shared" ca="1" si="91"/>
        <v>577612847.55999994</v>
      </c>
      <c r="E284">
        <f ca="1">SUM($D$2:D284)/SUM($C$2:C284)</f>
        <v>11.155080653881221</v>
      </c>
      <c r="F284">
        <f ca="1">_xlfn.STDEV.P($B$2:B284)</f>
        <v>1.132071759153479</v>
      </c>
      <c r="G284">
        <f t="shared" ca="1" si="92"/>
        <v>12.287152413034701</v>
      </c>
      <c r="H284">
        <f t="shared" ca="1" si="93"/>
        <v>10.023008894727742</v>
      </c>
      <c r="I284">
        <f t="shared" ca="1" si="105"/>
        <v>9.6528000000000009</v>
      </c>
      <c r="J284">
        <f t="shared" ca="1" si="106"/>
        <v>0.43313803561305608</v>
      </c>
      <c r="K284">
        <f t="shared" ca="1" si="107"/>
        <v>10.519076071226113</v>
      </c>
      <c r="L284">
        <f t="shared" ca="1" si="108"/>
        <v>8.7865239287738888</v>
      </c>
      <c r="M284">
        <f t="shared" ca="1" si="95"/>
        <v>-4.0000000000000924E-2</v>
      </c>
      <c r="N284">
        <f t="shared" ca="1" si="96"/>
        <v>0</v>
      </c>
      <c r="O284">
        <f t="shared" ca="1" si="97"/>
        <v>4.0000000000000924E-2</v>
      </c>
      <c r="P284">
        <f t="shared" ca="1" si="103"/>
        <v>5.7076993450570941E-2</v>
      </c>
      <c r="Q284">
        <f t="shared" ca="1" si="104"/>
        <v>8.0446708962883196E-2</v>
      </c>
      <c r="R284">
        <f t="shared" ca="1" si="101"/>
        <v>0.70950066430816128</v>
      </c>
      <c r="S284">
        <f t="shared" ca="1" si="102"/>
        <v>41.50338628825849</v>
      </c>
      <c r="T284">
        <f>70</f>
        <v>70</v>
      </c>
      <c r="U284">
        <f>30</f>
        <v>30</v>
      </c>
      <c r="V284">
        <f t="shared" ca="1" si="100"/>
        <v>9.3810612391521833</v>
      </c>
      <c r="W284">
        <f t="shared" ca="1" si="87"/>
        <v>9.5825139605534062</v>
      </c>
      <c r="X284">
        <f t="shared" ref="X284:X347" ca="1" si="109">V285-W285</f>
        <v>-0.18980583803891271</v>
      </c>
      <c r="Y284">
        <f t="shared" ca="1" si="88"/>
        <v>-0.16904572714775515</v>
      </c>
      <c r="Z284">
        <f t="shared" ca="1" si="89"/>
        <v>-2.0760110891157563E-2</v>
      </c>
      <c r="AA284">
        <f t="shared" ca="1" si="90"/>
        <v>10.237724999999998</v>
      </c>
      <c r="AB284" s="18">
        <f t="shared" ca="1" si="98"/>
        <v>-4.2872454448018571E-3</v>
      </c>
      <c r="AC284" s="18">
        <f t="shared" ca="1" si="99"/>
        <v>-4.296462033505451E-3</v>
      </c>
      <c r="AD284" s="18">
        <f t="shared" ca="1" si="94"/>
        <v>-0.22373742437915778</v>
      </c>
    </row>
    <row r="285" spans="1:30" x14ac:dyDescent="0.25">
      <c r="A285" vm="755">
        <f ca="1"/>
        <v>45707</v>
      </c>
      <c r="B285" vm="756">
        <f ca="1"/>
        <v>9.34</v>
      </c>
      <c r="C285" vm="757">
        <f ca="1"/>
        <v>50191726</v>
      </c>
      <c r="D285">
        <f t="shared" ca="1" si="91"/>
        <v>468790720.83999997</v>
      </c>
      <c r="E285">
        <f ca="1">SUM($D$2:D285)/SUM($C$2:C285)</f>
        <v>11.149516058735964</v>
      </c>
      <c r="F285">
        <f ca="1">_xlfn.STDEV.P($B$2:B285)</f>
        <v>1.1357885875105507</v>
      </c>
      <c r="G285">
        <f t="shared" ca="1" si="92"/>
        <v>12.285304646246514</v>
      </c>
      <c r="H285">
        <f t="shared" ca="1" si="93"/>
        <v>10.013727471225414</v>
      </c>
      <c r="I285">
        <f t="shared" ca="1" si="105"/>
        <v>9.6065500000000021</v>
      </c>
      <c r="J285">
        <f t="shared" ca="1" si="106"/>
        <v>0.41325641014546388</v>
      </c>
      <c r="K285">
        <f t="shared" ca="1" si="107"/>
        <v>10.43306282029093</v>
      </c>
      <c r="L285">
        <f t="shared" ca="1" si="108"/>
        <v>8.7800371797090744</v>
      </c>
      <c r="M285">
        <f t="shared" ca="1" si="95"/>
        <v>5.0000000000000711E-2</v>
      </c>
      <c r="N285">
        <f t="shared" ca="1" si="96"/>
        <v>5.0000000000000711E-2</v>
      </c>
      <c r="O285">
        <f t="shared" ca="1" si="97"/>
        <v>0</v>
      </c>
      <c r="P285">
        <f t="shared" ca="1" si="103"/>
        <v>5.6571493918387353E-2</v>
      </c>
      <c r="Q285">
        <f t="shared" ca="1" si="104"/>
        <v>7.4700515465534398E-2</v>
      </c>
      <c r="R285">
        <f t="shared" ca="1" si="101"/>
        <v>0.75731062317084707</v>
      </c>
      <c r="S285">
        <f t="shared" ca="1" si="102"/>
        <v>43.094864003290141</v>
      </c>
      <c r="T285">
        <f>70</f>
        <v>70</v>
      </c>
      <c r="U285">
        <f>30</f>
        <v>30</v>
      </c>
      <c r="V285">
        <f t="shared" ca="1" si="100"/>
        <v>9.3747441254364627</v>
      </c>
      <c r="W285">
        <f t="shared" ref="W285:W348" ca="1" si="110">B285*(2/(26+1)) + W284*(1-(2/(26+1)))</f>
        <v>9.5645499634753754</v>
      </c>
      <c r="X285">
        <f t="shared" ca="1" si="109"/>
        <v>-0.17452915348965092</v>
      </c>
      <c r="Y285">
        <f t="shared" ca="1" si="88"/>
        <v>-0.17014241241613431</v>
      </c>
      <c r="Z285">
        <f t="shared" ca="1" si="89"/>
        <v>-4.386741073516609E-3</v>
      </c>
      <c r="AA285">
        <f t="shared" ca="1" si="90"/>
        <v>10.224144999999998</v>
      </c>
      <c r="AB285" s="18">
        <f t="shared" ca="1" si="98"/>
        <v>5.3821313240043356E-3</v>
      </c>
      <c r="AC285" s="18">
        <f t="shared" ca="1" si="99"/>
        <v>5.3676994150041336E-3</v>
      </c>
      <c r="AD285" s="18">
        <f t="shared" ca="1" si="94"/>
        <v>-0.2195594772552566</v>
      </c>
    </row>
    <row r="286" spans="1:30" x14ac:dyDescent="0.25">
      <c r="A286" vm="758">
        <f ca="1"/>
        <v>45708</v>
      </c>
      <c r="B286" vm="759">
        <f ca="1"/>
        <v>9.39</v>
      </c>
      <c r="C286" vm="760">
        <f ca="1"/>
        <v>39787792</v>
      </c>
      <c r="D286">
        <f t="shared" ca="1" si="91"/>
        <v>373607366.88</v>
      </c>
      <c r="E286">
        <f ca="1">SUM($D$2:D286)/SUM($C$2:C286)</f>
        <v>11.145250318419862</v>
      </c>
      <c r="F286">
        <f ca="1">_xlfn.STDEV.P($B$2:B286)</f>
        <v>1.1391377901066662</v>
      </c>
      <c r="G286">
        <f t="shared" ca="1" si="92"/>
        <v>12.284388108526528</v>
      </c>
      <c r="H286">
        <f t="shared" ca="1" si="93"/>
        <v>10.006112528313196</v>
      </c>
      <c r="I286">
        <f t="shared" ca="1" si="105"/>
        <v>9.5824850000000019</v>
      </c>
      <c r="J286">
        <f t="shared" ca="1" si="106"/>
        <v>0.41103561156386953</v>
      </c>
      <c r="K286">
        <f t="shared" ca="1" si="107"/>
        <v>10.404556223127742</v>
      </c>
      <c r="L286">
        <f t="shared" ca="1" si="108"/>
        <v>8.7604137768722623</v>
      </c>
      <c r="M286">
        <f t="shared" ca="1" si="95"/>
        <v>5.0000000000000711E-2</v>
      </c>
      <c r="N286">
        <f t="shared" ca="1" si="96"/>
        <v>5.0000000000000711E-2</v>
      </c>
      <c r="O286">
        <f t="shared" ca="1" si="97"/>
        <v>0</v>
      </c>
      <c r="P286">
        <f t="shared" ca="1" si="103"/>
        <v>5.610210149564545E-2</v>
      </c>
      <c r="Q286">
        <f t="shared" ca="1" si="104"/>
        <v>6.936476436085337E-2</v>
      </c>
      <c r="R286">
        <f t="shared" ca="1" si="101"/>
        <v>0.80879827117681635</v>
      </c>
      <c r="S286">
        <f t="shared" ca="1" si="102"/>
        <v>44.714675155599679</v>
      </c>
      <c r="T286">
        <f>70</f>
        <v>70</v>
      </c>
      <c r="U286">
        <f>30</f>
        <v>30</v>
      </c>
      <c r="V286">
        <f t="shared" ca="1" si="100"/>
        <v>9.3770911830616228</v>
      </c>
      <c r="W286">
        <f t="shared" ca="1" si="110"/>
        <v>9.5516203365512737</v>
      </c>
      <c r="X286">
        <f t="shared" ca="1" si="109"/>
        <v>-0.16934623364632984</v>
      </c>
      <c r="Y286">
        <f t="shared" ca="1" si="88"/>
        <v>-0.16998317666217344</v>
      </c>
      <c r="Z286">
        <f t="shared" ca="1" si="89"/>
        <v>6.3694301584360513E-4</v>
      </c>
      <c r="AA286">
        <f t="shared" ca="1" si="90"/>
        <v>10.215492999999999</v>
      </c>
      <c r="AB286" s="18">
        <f t="shared" ca="1" si="98"/>
        <v>5.3533190578158862E-3</v>
      </c>
      <c r="AC286" s="18">
        <f t="shared" ca="1" si="99"/>
        <v>5.3390409794203276E-3</v>
      </c>
      <c r="AD286" s="18">
        <f t="shared" ca="1" si="94"/>
        <v>-0.21538153013135541</v>
      </c>
    </row>
    <row r="287" spans="1:30" x14ac:dyDescent="0.25">
      <c r="A287" vm="761">
        <f ca="1"/>
        <v>45709</v>
      </c>
      <c r="B287" vm="762">
        <f ca="1"/>
        <v>9.2799999999999994</v>
      </c>
      <c r="C287" vm="763">
        <f ca="1"/>
        <v>58437662</v>
      </c>
      <c r="D287">
        <f t="shared" ca="1" si="91"/>
        <v>542301503.36000001</v>
      </c>
      <c r="E287">
        <f ca="1">SUM($D$2:D287)/SUM($C$2:C287)</f>
        <v>11.13863215300484</v>
      </c>
      <c r="F287">
        <f ca="1">_xlfn.STDEV.P($B$2:B287)</f>
        <v>1.1430581728419447</v>
      </c>
      <c r="G287">
        <f t="shared" ca="1" si="92"/>
        <v>12.281690325846785</v>
      </c>
      <c r="H287">
        <f t="shared" ca="1" si="93"/>
        <v>9.9955739801628951</v>
      </c>
      <c r="I287">
        <f t="shared" ca="1" si="105"/>
        <v>9.5465200000000028</v>
      </c>
      <c r="J287">
        <f t="shared" ca="1" si="106"/>
        <v>0.40405497359172626</v>
      </c>
      <c r="K287">
        <f t="shared" ca="1" si="107"/>
        <v>10.354629947183454</v>
      </c>
      <c r="L287">
        <f t="shared" ca="1" si="108"/>
        <v>8.7384100528165511</v>
      </c>
      <c r="M287">
        <f t="shared" ca="1" si="95"/>
        <v>-0.11000000000000121</v>
      </c>
      <c r="N287">
        <f t="shared" ca="1" si="96"/>
        <v>0</v>
      </c>
      <c r="O287">
        <f t="shared" ca="1" si="97"/>
        <v>0.11000000000000121</v>
      </c>
      <c r="P287">
        <f t="shared" ca="1" si="103"/>
        <v>5.2094808531670769E-2</v>
      </c>
      <c r="Q287">
        <f t="shared" ca="1" si="104"/>
        <v>7.2267281192221075E-2</v>
      </c>
      <c r="R287">
        <f t="shared" ca="1" si="101"/>
        <v>0.72086299183036529</v>
      </c>
      <c r="S287">
        <f t="shared" ca="1" si="102"/>
        <v>41.889621384886205</v>
      </c>
      <c r="T287">
        <f>70</f>
        <v>70</v>
      </c>
      <c r="U287">
        <f>30</f>
        <v>30</v>
      </c>
      <c r="V287">
        <f t="shared" ca="1" si="100"/>
        <v>9.3621540779752195</v>
      </c>
      <c r="W287">
        <f t="shared" ca="1" si="110"/>
        <v>9.5315003116215493</v>
      </c>
      <c r="X287">
        <f t="shared" ca="1" si="109"/>
        <v>-0.15777162426884139</v>
      </c>
      <c r="Y287">
        <f t="shared" ca="1" si="88"/>
        <v>-0.16754086618350703</v>
      </c>
      <c r="Z287">
        <f t="shared" ca="1" si="89"/>
        <v>9.7692419146656329E-3</v>
      </c>
      <c r="AA287">
        <f t="shared" ca="1" si="90"/>
        <v>10.203182999999997</v>
      </c>
      <c r="AB287" s="18">
        <f t="shared" ca="1" si="98"/>
        <v>-1.1714589989350488E-2</v>
      </c>
      <c r="AC287" s="18">
        <f t="shared" ca="1" si="99"/>
        <v>-1.178374642206245E-2</v>
      </c>
      <c r="AD287" s="18">
        <f t="shared" ca="1" si="94"/>
        <v>-0.22457301380393813</v>
      </c>
    </row>
    <row r="288" spans="1:30" x14ac:dyDescent="0.25">
      <c r="A288" vm="764">
        <f ca="1"/>
        <v>45712</v>
      </c>
      <c r="B288" vm="765">
        <f ca="1"/>
        <v>9.35</v>
      </c>
      <c r="C288" vm="766">
        <f ca="1"/>
        <v>72562637</v>
      </c>
      <c r="D288">
        <f t="shared" ca="1" si="91"/>
        <v>678460655.94999993</v>
      </c>
      <c r="E288">
        <f ca="1">SUM($D$2:D288)/SUM($C$2:C288)</f>
        <v>11.13078643744231</v>
      </c>
      <c r="F288">
        <f ca="1">_xlfn.STDEV.P($B$2:B288)</f>
        <v>1.146489054218887</v>
      </c>
      <c r="G288">
        <f t="shared" ca="1" si="92"/>
        <v>12.277275491661197</v>
      </c>
      <c r="H288">
        <f t="shared" ca="1" si="93"/>
        <v>9.9842973832234243</v>
      </c>
      <c r="I288">
        <f t="shared" ca="1" si="105"/>
        <v>9.5160250000000026</v>
      </c>
      <c r="J288">
        <f t="shared" ca="1" si="106"/>
        <v>0.39410699839537305</v>
      </c>
      <c r="K288">
        <f t="shared" ca="1" si="107"/>
        <v>10.304238996790749</v>
      </c>
      <c r="L288">
        <f t="shared" ca="1" si="108"/>
        <v>8.727811003209256</v>
      </c>
      <c r="M288">
        <f t="shared" ca="1" si="95"/>
        <v>7.0000000000000284E-2</v>
      </c>
      <c r="N288">
        <f t="shared" ca="1" si="96"/>
        <v>7.0000000000000284E-2</v>
      </c>
      <c r="O288">
        <f t="shared" ca="1" si="97"/>
        <v>0</v>
      </c>
      <c r="P288">
        <f t="shared" ca="1" si="103"/>
        <v>5.3373750779408591E-2</v>
      </c>
      <c r="Q288">
        <f t="shared" ca="1" si="104"/>
        <v>6.710533253563386E-2</v>
      </c>
      <c r="R288">
        <f t="shared" ca="1" si="101"/>
        <v>0.79537271871898396</v>
      </c>
      <c r="S288">
        <f t="shared" ca="1" si="102"/>
        <v>44.301259032525017</v>
      </c>
      <c r="T288">
        <f>70</f>
        <v>70</v>
      </c>
      <c r="U288">
        <f>30</f>
        <v>30</v>
      </c>
      <c r="V288">
        <f t="shared" ca="1" si="100"/>
        <v>9.3602842198251857</v>
      </c>
      <c r="W288">
        <f t="shared" ca="1" si="110"/>
        <v>9.5180558440940271</v>
      </c>
      <c r="X288">
        <f t="shared" ca="1" si="109"/>
        <v>-0.1413211853062073</v>
      </c>
      <c r="Y288">
        <f t="shared" ca="1" si="88"/>
        <v>-0.16229693000804707</v>
      </c>
      <c r="Z288">
        <f t="shared" ca="1" si="89"/>
        <v>2.0975744701839771E-2</v>
      </c>
      <c r="AA288">
        <f t="shared" ca="1" si="90"/>
        <v>10.190587999999996</v>
      </c>
      <c r="AB288" s="18">
        <f t="shared" ca="1" si="98"/>
        <v>7.5431034482758008E-3</v>
      </c>
      <c r="AC288" s="18">
        <f t="shared" ca="1" si="99"/>
        <v>7.514796502486364E-3</v>
      </c>
      <c r="AD288" s="18">
        <f t="shared" ca="1" si="94"/>
        <v>-0.21872388783047647</v>
      </c>
    </row>
    <row r="289" spans="1:30" x14ac:dyDescent="0.25">
      <c r="A289" vm="767">
        <f ca="1"/>
        <v>45713</v>
      </c>
      <c r="B289" vm="768">
        <f ca="1"/>
        <v>9.42</v>
      </c>
      <c r="C289" vm="769">
        <f ca="1"/>
        <v>88876827</v>
      </c>
      <c r="D289">
        <f t="shared" ca="1" si="91"/>
        <v>837219710.34000003</v>
      </c>
      <c r="E289">
        <f ca="1">SUM($D$2:D289)/SUM($C$2:C289)</f>
        <v>11.121644131504443</v>
      </c>
      <c r="F289">
        <f ca="1">_xlfn.STDEV.P($B$2:B289)</f>
        <v>1.1494591388062718</v>
      </c>
      <c r="G289">
        <f t="shared" ca="1" si="92"/>
        <v>12.271103270310714</v>
      </c>
      <c r="H289">
        <f t="shared" ca="1" si="93"/>
        <v>9.9721849926981712</v>
      </c>
      <c r="I289">
        <f t="shared" ca="1" si="105"/>
        <v>9.4762350000000009</v>
      </c>
      <c r="J289">
        <f t="shared" ca="1" si="106"/>
        <v>0.35828223698936751</v>
      </c>
      <c r="K289">
        <f t="shared" ca="1" si="107"/>
        <v>10.192799473978736</v>
      </c>
      <c r="L289">
        <f t="shared" ca="1" si="108"/>
        <v>8.7596705260212655</v>
      </c>
      <c r="M289">
        <f t="shared" ca="1" si="95"/>
        <v>7.0000000000000284E-2</v>
      </c>
      <c r="N289">
        <f t="shared" ca="1" si="96"/>
        <v>7.0000000000000284E-2</v>
      </c>
      <c r="O289">
        <f t="shared" ca="1" si="97"/>
        <v>0</v>
      </c>
      <c r="P289">
        <f t="shared" ca="1" si="103"/>
        <v>5.456134000945085E-2</v>
      </c>
      <c r="Q289">
        <f t="shared" ca="1" si="104"/>
        <v>6.23120944973743E-2</v>
      </c>
      <c r="R289">
        <f t="shared" ca="1" si="101"/>
        <v>0.87561396306057326</v>
      </c>
      <c r="S289">
        <f t="shared" ca="1" si="102"/>
        <v>46.684124788225155</v>
      </c>
      <c r="T289">
        <f>70</f>
        <v>70</v>
      </c>
      <c r="U289">
        <f>30</f>
        <v>30</v>
      </c>
      <c r="V289">
        <f t="shared" ca="1" si="100"/>
        <v>9.3694712629290038</v>
      </c>
      <c r="W289">
        <f t="shared" ca="1" si="110"/>
        <v>9.5107924482352111</v>
      </c>
      <c r="X289">
        <f t="shared" ca="1" si="109"/>
        <v>-0.12283356292458514</v>
      </c>
      <c r="Y289">
        <f t="shared" ca="1" si="88"/>
        <v>-0.15440425659135468</v>
      </c>
      <c r="Z289">
        <f t="shared" ca="1" si="89"/>
        <v>3.1570693666769539E-2</v>
      </c>
      <c r="AA289">
        <f t="shared" ca="1" si="90"/>
        <v>10.180858999999996</v>
      </c>
      <c r="AB289" s="18">
        <f t="shared" ca="1" si="98"/>
        <v>7.4866310160428551E-3</v>
      </c>
      <c r="AC289" s="18">
        <f t="shared" ca="1" si="99"/>
        <v>7.458745287676133E-3</v>
      </c>
      <c r="AD289" s="18">
        <f t="shared" ca="1" si="94"/>
        <v>-0.2128747618570147</v>
      </c>
    </row>
    <row r="290" spans="1:30" x14ac:dyDescent="0.25">
      <c r="A290" vm="770">
        <f ca="1"/>
        <v>45714</v>
      </c>
      <c r="B290" vm="771">
        <f ca="1"/>
        <v>9.4700000000000006</v>
      </c>
      <c r="C290" vm="772">
        <f ca="1"/>
        <v>87948083</v>
      </c>
      <c r="D290">
        <f t="shared" ca="1" si="91"/>
        <v>832868346.01000011</v>
      </c>
      <c r="E290">
        <f ca="1">SUM($D$2:D290)/SUM($C$2:C290)</f>
        <v>11.112956053035676</v>
      </c>
      <c r="F290">
        <f ca="1">_xlfn.STDEV.P($B$2:B290)</f>
        <v>1.1521003155876226</v>
      </c>
      <c r="G290">
        <f t="shared" ca="1" si="92"/>
        <v>12.265056368623299</v>
      </c>
      <c r="H290">
        <f t="shared" ca="1" si="93"/>
        <v>9.9608557374480533</v>
      </c>
      <c r="I290">
        <f t="shared" ca="1" si="105"/>
        <v>9.4537100000000009</v>
      </c>
      <c r="J290">
        <f t="shared" ca="1" si="106"/>
        <v>0.34270418715670359</v>
      </c>
      <c r="K290">
        <f t="shared" ca="1" si="107"/>
        <v>10.139118374313409</v>
      </c>
      <c r="L290">
        <f t="shared" ca="1" si="108"/>
        <v>8.7683016256865933</v>
      </c>
      <c r="M290">
        <f t="shared" ca="1" si="95"/>
        <v>5.0000000000000711E-2</v>
      </c>
      <c r="N290">
        <f t="shared" ca="1" si="96"/>
        <v>5.0000000000000711E-2</v>
      </c>
      <c r="O290">
        <f t="shared" ca="1" si="97"/>
        <v>0</v>
      </c>
      <c r="P290">
        <f t="shared" ca="1" si="103"/>
        <v>5.4235530008775838E-2</v>
      </c>
      <c r="Q290">
        <f t="shared" ca="1" si="104"/>
        <v>5.786123060470471E-2</v>
      </c>
      <c r="R290">
        <f t="shared" ca="1" si="101"/>
        <v>0.93733799716948873</v>
      </c>
      <c r="S290">
        <f t="shared" ca="1" si="102"/>
        <v>48.382780833234506</v>
      </c>
      <c r="T290">
        <f>70</f>
        <v>70</v>
      </c>
      <c r="U290">
        <f>30</f>
        <v>30</v>
      </c>
      <c r="V290">
        <f t="shared" ca="1" si="100"/>
        <v>9.3849372224783885</v>
      </c>
      <c r="W290">
        <f t="shared" ca="1" si="110"/>
        <v>9.5077707854029736</v>
      </c>
      <c r="X290">
        <f t="shared" ca="1" si="109"/>
        <v>-0.12130812017061388</v>
      </c>
      <c r="Y290">
        <f t="shared" ca="1" si="88"/>
        <v>-0.14778502930720652</v>
      </c>
      <c r="Z290">
        <f t="shared" ca="1" si="89"/>
        <v>2.6476909136592647E-2</v>
      </c>
      <c r="AA290">
        <f t="shared" ca="1" si="90"/>
        <v>10.169759999999997</v>
      </c>
      <c r="AB290" s="18">
        <f t="shared" ca="1" si="98"/>
        <v>5.3078556263270738E-3</v>
      </c>
      <c r="AC290" s="18">
        <f t="shared" ca="1" si="99"/>
        <v>5.2938186097152952E-3</v>
      </c>
      <c r="AD290" s="18">
        <f t="shared" ca="1" si="94"/>
        <v>-0.20869681473311341</v>
      </c>
    </row>
    <row r="291" spans="1:30" x14ac:dyDescent="0.25">
      <c r="A291" vm="773">
        <f ca="1"/>
        <v>45715</v>
      </c>
      <c r="B291" vm="753">
        <f ca="1"/>
        <v>9.2899999999999991</v>
      </c>
      <c r="C291" vm="774">
        <f ca="1"/>
        <v>70518755</v>
      </c>
      <c r="D291">
        <f t="shared" ca="1" si="91"/>
        <v>655119233.94999993</v>
      </c>
      <c r="E291">
        <f ca="1">SUM($D$2:D291)/SUM($C$2:C291)</f>
        <v>11.10529949108737</v>
      </c>
      <c r="F291">
        <f ca="1">_xlfn.STDEV.P($B$2:B291)</f>
        <v>1.1556715918254794</v>
      </c>
      <c r="G291">
        <f t="shared" ca="1" si="92"/>
        <v>12.26097108291285</v>
      </c>
      <c r="H291">
        <f t="shared" ca="1" si="93"/>
        <v>9.9496278992618912</v>
      </c>
      <c r="I291">
        <f t="shared" ca="1" si="105"/>
        <v>9.4157849999999979</v>
      </c>
      <c r="J291">
        <f t="shared" ca="1" si="106"/>
        <v>0.31420214290367787</v>
      </c>
      <c r="K291">
        <f t="shared" ca="1" si="107"/>
        <v>10.044189285807354</v>
      </c>
      <c r="L291">
        <f t="shared" ca="1" si="108"/>
        <v>8.7873807141926417</v>
      </c>
      <c r="M291">
        <f t="shared" ca="1" si="95"/>
        <v>-0.18000000000000149</v>
      </c>
      <c r="N291">
        <f t="shared" ca="1" si="96"/>
        <v>0</v>
      </c>
      <c r="O291">
        <f t="shared" ca="1" si="97"/>
        <v>0.18000000000000149</v>
      </c>
      <c r="P291">
        <f t="shared" ca="1" si="103"/>
        <v>5.0361563579577565E-2</v>
      </c>
      <c r="Q291">
        <f t="shared" ca="1" si="104"/>
        <v>6.6585428418654474E-2</v>
      </c>
      <c r="R291">
        <f t="shared" ca="1" si="101"/>
        <v>0.75634511597537979</v>
      </c>
      <c r="S291">
        <f t="shared" ca="1" si="102"/>
        <v>43.063581815203008</v>
      </c>
      <c r="T291">
        <f>70</f>
        <v>70</v>
      </c>
      <c r="U291">
        <f>30</f>
        <v>30</v>
      </c>
      <c r="V291">
        <f t="shared" ca="1" si="100"/>
        <v>9.3703314959432511</v>
      </c>
      <c r="W291">
        <f t="shared" ca="1" si="110"/>
        <v>9.491639616113865</v>
      </c>
      <c r="X291">
        <f t="shared" ca="1" si="109"/>
        <v>-9.798980325316542E-2</v>
      </c>
      <c r="Y291">
        <f t="shared" ca="1" si="88"/>
        <v>-0.13782598409639829</v>
      </c>
      <c r="Z291">
        <f t="shared" ca="1" si="89"/>
        <v>3.9836180843232871E-2</v>
      </c>
      <c r="AA291">
        <f t="shared" ca="1" si="90"/>
        <v>10.159517999999997</v>
      </c>
      <c r="AB291" s="18">
        <f t="shared" ca="1" si="98"/>
        <v>-1.9007391763463777E-2</v>
      </c>
      <c r="AC291" s="18">
        <f t="shared" ca="1" si="99"/>
        <v>-1.919035437223994E-2</v>
      </c>
      <c r="AD291" s="18">
        <f t="shared" ca="1" si="94"/>
        <v>-0.22373742437915789</v>
      </c>
    </row>
    <row r="292" spans="1:30" x14ac:dyDescent="0.25">
      <c r="A292" vm="775">
        <f ca="1"/>
        <v>45716</v>
      </c>
      <c r="B292" vm="776">
        <f ca="1"/>
        <v>9.5500000000000007</v>
      </c>
      <c r="C292" vm="777">
        <f ca="1"/>
        <v>137992574</v>
      </c>
      <c r="D292">
        <f t="shared" ca="1" si="91"/>
        <v>1317829081.7</v>
      </c>
      <c r="E292">
        <f ca="1">SUM($D$2:D292)/SUM($C$2:C292)</f>
        <v>11.092620989847738</v>
      </c>
      <c r="F292">
        <f ca="1">_xlfn.STDEV.P($B$2:B292)</f>
        <v>1.1577901408557796</v>
      </c>
      <c r="G292">
        <f t="shared" ca="1" si="92"/>
        <v>12.250411130703517</v>
      </c>
      <c r="H292">
        <f t="shared" ca="1" si="93"/>
        <v>9.9348308489919592</v>
      </c>
      <c r="I292">
        <f t="shared" ca="1" si="105"/>
        <v>9.3933199999999992</v>
      </c>
      <c r="J292">
        <f t="shared" ca="1" si="106"/>
        <v>0.28499003971514891</v>
      </c>
      <c r="K292">
        <f t="shared" ca="1" si="107"/>
        <v>9.9633000794302973</v>
      </c>
      <c r="L292">
        <f t="shared" ca="1" si="108"/>
        <v>8.8233399205697012</v>
      </c>
      <c r="M292">
        <f t="shared" ca="1" si="95"/>
        <v>0.26000000000000156</v>
      </c>
      <c r="N292">
        <f t="shared" ca="1" si="96"/>
        <v>0.26000000000000156</v>
      </c>
      <c r="O292">
        <f t="shared" ca="1" si="97"/>
        <v>0</v>
      </c>
      <c r="P292">
        <f t="shared" ca="1" si="103"/>
        <v>6.5335737609607855E-2</v>
      </c>
      <c r="Q292">
        <f t="shared" ca="1" si="104"/>
        <v>6.1829326388750584E-2</v>
      </c>
      <c r="R292">
        <f t="shared" ca="1" si="101"/>
        <v>1.0567111341115183</v>
      </c>
      <c r="S292">
        <f t="shared" ca="1" si="102"/>
        <v>51.378684958984699</v>
      </c>
      <c r="T292">
        <f>70</f>
        <v>70</v>
      </c>
      <c r="U292">
        <f>30</f>
        <v>30</v>
      </c>
      <c r="V292">
        <f t="shared" ca="1" si="100"/>
        <v>9.3979728042596733</v>
      </c>
      <c r="W292">
        <f t="shared" ca="1" si="110"/>
        <v>9.4959626075128387</v>
      </c>
      <c r="X292">
        <f t="shared" ca="1" si="109"/>
        <v>-9.1367306485896194E-2</v>
      </c>
      <c r="Y292">
        <f t="shared" ca="1" si="88"/>
        <v>-0.12853424857429788</v>
      </c>
      <c r="Z292">
        <f t="shared" ca="1" si="89"/>
        <v>3.7166942088401683E-2</v>
      </c>
      <c r="AA292">
        <f t="shared" ca="1" si="90"/>
        <v>10.152170999999996</v>
      </c>
      <c r="AB292" s="18">
        <f t="shared" ca="1" si="98"/>
        <v>2.7987082884822545E-2</v>
      </c>
      <c r="AC292" s="18">
        <f t="shared" ca="1" si="99"/>
        <v>2.7602601666891883E-2</v>
      </c>
      <c r="AD292" s="18">
        <f t="shared" ca="1" si="94"/>
        <v>-0.20201209933487152</v>
      </c>
    </row>
    <row r="293" spans="1:30" x14ac:dyDescent="0.25">
      <c r="A293" vm="778">
        <f ca="1"/>
        <v>45719</v>
      </c>
      <c r="B293" vm="759">
        <f ca="1"/>
        <v>9.39</v>
      </c>
      <c r="C293" vm="779">
        <f ca="1"/>
        <v>154435905</v>
      </c>
      <c r="D293">
        <f t="shared" ca="1" si="91"/>
        <v>1450153147.95</v>
      </c>
      <c r="E293">
        <f ca="1">SUM($D$2:D293)/SUM($C$2:C293)</f>
        <v>11.077228096927465</v>
      </c>
      <c r="F293">
        <f ca="1">_xlfn.STDEV.P($B$2:B293)</f>
        <v>1.160680870364976</v>
      </c>
      <c r="G293">
        <f t="shared" ca="1" si="92"/>
        <v>12.237908967292441</v>
      </c>
      <c r="H293">
        <f t="shared" ca="1" si="93"/>
        <v>9.9165472265624892</v>
      </c>
      <c r="I293">
        <f t="shared" ca="1" si="105"/>
        <v>9.3667949999999998</v>
      </c>
      <c r="J293">
        <f t="shared" ca="1" si="106"/>
        <v>0.25661643397142464</v>
      </c>
      <c r="K293">
        <f t="shared" ca="1" si="107"/>
        <v>9.8800278679428484</v>
      </c>
      <c r="L293">
        <f t="shared" ca="1" si="108"/>
        <v>8.8535621320571511</v>
      </c>
      <c r="M293">
        <f t="shared" ca="1" si="95"/>
        <v>-0.16000000000000014</v>
      </c>
      <c r="N293">
        <f t="shared" ca="1" si="96"/>
        <v>0</v>
      </c>
      <c r="O293">
        <f t="shared" ca="1" si="97"/>
        <v>0.16000000000000014</v>
      </c>
      <c r="P293">
        <f t="shared" ca="1" si="103"/>
        <v>6.066889920892158E-2</v>
      </c>
      <c r="Q293">
        <f t="shared" ca="1" si="104"/>
        <v>6.8841517360982693E-2</v>
      </c>
      <c r="R293">
        <f t="shared" ca="1" si="101"/>
        <v>0.88128358488662384</v>
      </c>
      <c r="S293">
        <f t="shared" ca="1" si="102"/>
        <v>46.844802770111592</v>
      </c>
      <c r="T293">
        <f>70</f>
        <v>70</v>
      </c>
      <c r="U293">
        <f>30</f>
        <v>30</v>
      </c>
      <c r="V293">
        <f t="shared" ca="1" si="100"/>
        <v>9.3967462189889552</v>
      </c>
      <c r="W293">
        <f t="shared" ca="1" si="110"/>
        <v>9.4881135254748514</v>
      </c>
      <c r="X293">
        <f t="shared" ca="1" si="109"/>
        <v>-0.10667597931511708</v>
      </c>
      <c r="Y293">
        <f t="shared" ca="1" si="88"/>
        <v>-0.12416259472246173</v>
      </c>
      <c r="Z293">
        <f t="shared" ca="1" si="89"/>
        <v>1.7486615407344655E-2</v>
      </c>
      <c r="AA293">
        <f t="shared" ca="1" si="90"/>
        <v>10.142042999999996</v>
      </c>
      <c r="AB293" s="18">
        <f t="shared" ca="1" si="98"/>
        <v>-1.6753926701570721E-2</v>
      </c>
      <c r="AC293" s="18">
        <f t="shared" ca="1" si="99"/>
        <v>-1.689586127246738E-2</v>
      </c>
      <c r="AD293" s="18">
        <f t="shared" ca="1" si="94"/>
        <v>-0.21538153013135541</v>
      </c>
    </row>
    <row r="294" spans="1:30" x14ac:dyDescent="0.25">
      <c r="A294" vm="780">
        <f ca="1"/>
        <v>45720</v>
      </c>
      <c r="B294" vm="781">
        <f ca="1"/>
        <v>9.1199999999999992</v>
      </c>
      <c r="C294" vm="782">
        <f ca="1"/>
        <v>167499954</v>
      </c>
      <c r="D294">
        <f t="shared" ca="1" si="91"/>
        <v>1527599580.4799998</v>
      </c>
      <c r="E294">
        <f ca="1">SUM($D$2:D294)/SUM($C$2:C294)</f>
        <v>11.058222898860933</v>
      </c>
      <c r="F294">
        <f ca="1">_xlfn.STDEV.P($B$2:B294)</f>
        <v>1.1650481149041567</v>
      </c>
      <c r="G294">
        <f t="shared" ca="1" si="92"/>
        <v>12.223271013765089</v>
      </c>
      <c r="H294">
        <f t="shared" ca="1" si="93"/>
        <v>9.893174783956777</v>
      </c>
      <c r="I294">
        <f t="shared" ca="1" si="105"/>
        <v>9.3361199999999993</v>
      </c>
      <c r="J294">
        <f t="shared" ca="1" si="106"/>
        <v>0.24696089526375173</v>
      </c>
      <c r="K294">
        <f t="shared" ca="1" si="107"/>
        <v>9.8300417905275026</v>
      </c>
      <c r="L294">
        <f t="shared" ca="1" si="108"/>
        <v>8.842198209472496</v>
      </c>
      <c r="M294">
        <f t="shared" ca="1" si="95"/>
        <v>-0.27000000000000135</v>
      </c>
      <c r="N294">
        <f t="shared" ca="1" si="96"/>
        <v>0</v>
      </c>
      <c r="O294">
        <f t="shared" ca="1" si="97"/>
        <v>0.27000000000000135</v>
      </c>
      <c r="P294">
        <f t="shared" ca="1" si="103"/>
        <v>5.6335406408284328E-2</v>
      </c>
      <c r="Q294">
        <f t="shared" ca="1" si="104"/>
        <v>8.3209980406626888E-2</v>
      </c>
      <c r="R294">
        <f t="shared" ca="1" si="101"/>
        <v>0.67702703609575354</v>
      </c>
      <c r="S294">
        <f t="shared" ca="1" si="102"/>
        <v>40.370669137924217</v>
      </c>
      <c r="T294">
        <f>70</f>
        <v>70</v>
      </c>
      <c r="U294">
        <f>30</f>
        <v>30</v>
      </c>
      <c r="V294">
        <f t="shared" ca="1" si="100"/>
        <v>9.35416987760604</v>
      </c>
      <c r="W294">
        <f t="shared" ca="1" si="110"/>
        <v>9.4608458569211571</v>
      </c>
      <c r="X294">
        <f t="shared" ca="1" si="109"/>
        <v>-7.5175070798811916E-2</v>
      </c>
      <c r="Y294">
        <f t="shared" ref="Y294:Y357" ca="1" si="111">X294*(2/(9+1)) + Y293*(1-(2/(9+1)))</f>
        <v>-0.11436508993773177</v>
      </c>
      <c r="Z294">
        <f t="shared" ref="Z294:Z357" ca="1" si="112">X294-Y294</f>
        <v>3.9190019138919854E-2</v>
      </c>
      <c r="AA294">
        <f t="shared" ref="AA294:AA357" ca="1" si="113">AVERAGE(B195:B294)</f>
        <v>10.130002999999995</v>
      </c>
      <c r="AB294" s="18">
        <f t="shared" ca="1" si="98"/>
        <v>-2.8753993610223794E-2</v>
      </c>
      <c r="AC294" s="18">
        <f t="shared" ca="1" si="99"/>
        <v>-2.9175489133931674E-2</v>
      </c>
      <c r="AD294" s="18">
        <f t="shared" ca="1" si="94"/>
        <v>-0.23794244460042202</v>
      </c>
    </row>
    <row r="295" spans="1:30" x14ac:dyDescent="0.25">
      <c r="A295" vm="783">
        <f ca="1"/>
        <v>45721</v>
      </c>
      <c r="B295" vm="784">
        <f ca="1"/>
        <v>9.65</v>
      </c>
      <c r="C295" vm="785">
        <f ca="1"/>
        <v>157774904</v>
      </c>
      <c r="D295">
        <f t="shared" ca="1" si="91"/>
        <v>1522527823.6000001</v>
      </c>
      <c r="E295">
        <f ca="1">SUM($D$2:D295)/SUM($C$2:C295)</f>
        <v>11.045459351876376</v>
      </c>
      <c r="F295">
        <f ca="1">_xlfn.STDEV.P($B$2:B295)</f>
        <v>1.1665414370197513</v>
      </c>
      <c r="G295">
        <f t="shared" ca="1" si="92"/>
        <v>12.212000788896127</v>
      </c>
      <c r="H295">
        <f t="shared" ca="1" si="93"/>
        <v>9.8789179148566255</v>
      </c>
      <c r="I295">
        <f t="shared" ca="1" si="105"/>
        <v>9.3186549999999997</v>
      </c>
      <c r="J295">
        <f t="shared" ca="1" si="106"/>
        <v>0.20665460753583392</v>
      </c>
      <c r="K295">
        <f t="shared" ca="1" si="107"/>
        <v>9.7319642150716668</v>
      </c>
      <c r="L295">
        <f t="shared" ca="1" si="108"/>
        <v>8.9053457849283326</v>
      </c>
      <c r="M295">
        <f t="shared" ca="1" si="95"/>
        <v>0.53000000000000114</v>
      </c>
      <c r="N295">
        <f t="shared" ca="1" si="96"/>
        <v>0.53000000000000114</v>
      </c>
      <c r="O295">
        <f t="shared" ca="1" si="97"/>
        <v>0</v>
      </c>
      <c r="P295">
        <f t="shared" ca="1" si="103"/>
        <v>9.0168591664835526E-2</v>
      </c>
      <c r="Q295">
        <f t="shared" ca="1" si="104"/>
        <v>7.7266410377582112E-2</v>
      </c>
      <c r="R295">
        <f t="shared" ca="1" si="101"/>
        <v>1.1669830554338372</v>
      </c>
      <c r="S295">
        <f t="shared" ca="1" si="102"/>
        <v>53.852892504514912</v>
      </c>
      <c r="T295">
        <f>70</f>
        <v>70</v>
      </c>
      <c r="U295">
        <f>30</f>
        <v>30</v>
      </c>
      <c r="V295">
        <f t="shared" ca="1" si="100"/>
        <v>9.3996822041281867</v>
      </c>
      <c r="W295">
        <f t="shared" ca="1" si="110"/>
        <v>9.4748572749269986</v>
      </c>
      <c r="X295">
        <f t="shared" ca="1" si="109"/>
        <v>-5.2829059046162641E-2</v>
      </c>
      <c r="Y295">
        <f t="shared" ca="1" si="111"/>
        <v>-0.10205788375941796</v>
      </c>
      <c r="Z295">
        <f t="shared" ca="1" si="112"/>
        <v>4.922882471325532E-2</v>
      </c>
      <c r="AA295">
        <f t="shared" ca="1" si="113"/>
        <v>10.123262999999994</v>
      </c>
      <c r="AB295" s="18">
        <f t="shared" ca="1" si="98"/>
        <v>5.8114035087719396E-2</v>
      </c>
      <c r="AC295" s="18">
        <f t="shared" ca="1" si="99"/>
        <v>5.6488111264654632E-2</v>
      </c>
      <c r="AD295" s="18">
        <f t="shared" ca="1" si="94"/>
        <v>-0.19365620508706927</v>
      </c>
    </row>
    <row r="296" spans="1:30" x14ac:dyDescent="0.25">
      <c r="A296" vm="786">
        <f ca="1"/>
        <v>45722</v>
      </c>
      <c r="B296" vm="787">
        <f ca="1"/>
        <v>9.61</v>
      </c>
      <c r="C296" vm="788">
        <f ca="1"/>
        <v>136680746</v>
      </c>
      <c r="D296">
        <f t="shared" ca="1" si="91"/>
        <v>1313501969.0599999</v>
      </c>
      <c r="E296">
        <f ca="1">SUM($D$2:D296)/SUM($C$2:C296)</f>
        <v>11.034276215598751</v>
      </c>
      <c r="F296">
        <f ca="1">_xlfn.STDEV.P($B$2:B296)</f>
        <v>1.1681798420791385</v>
      </c>
      <c r="G296">
        <f t="shared" ca="1" si="92"/>
        <v>12.202456057677891</v>
      </c>
      <c r="H296">
        <f t="shared" ca="1" si="93"/>
        <v>9.8660963735196123</v>
      </c>
      <c r="I296">
        <f t="shared" ca="1" si="105"/>
        <v>9.3065750000000005</v>
      </c>
      <c r="J296">
        <f t="shared" ca="1" si="106"/>
        <v>0.17908384062690944</v>
      </c>
      <c r="K296">
        <f t="shared" ca="1" si="107"/>
        <v>9.66474268125382</v>
      </c>
      <c r="L296">
        <f t="shared" ca="1" si="108"/>
        <v>8.948407318746181</v>
      </c>
      <c r="M296">
        <f t="shared" ca="1" si="95"/>
        <v>-4.0000000000000924E-2</v>
      </c>
      <c r="N296">
        <f t="shared" ca="1" si="96"/>
        <v>0</v>
      </c>
      <c r="O296">
        <f t="shared" ca="1" si="97"/>
        <v>4.0000000000000924E-2</v>
      </c>
      <c r="P296">
        <f t="shared" ca="1" si="103"/>
        <v>8.3727977974490136E-2</v>
      </c>
      <c r="Q296">
        <f t="shared" ca="1" si="104"/>
        <v>7.4604523922040603E-2</v>
      </c>
      <c r="R296">
        <f t="shared" ca="1" si="101"/>
        <v>1.1222908956832598</v>
      </c>
      <c r="S296">
        <f t="shared" ca="1" si="102"/>
        <v>52.881105882610136</v>
      </c>
      <c r="T296">
        <f>70</f>
        <v>70</v>
      </c>
      <c r="U296">
        <f>30</f>
        <v>30</v>
      </c>
      <c r="V296">
        <f t="shared" ca="1" si="100"/>
        <v>9.432038788108466</v>
      </c>
      <c r="W296">
        <f t="shared" ca="1" si="110"/>
        <v>9.4848678471546286</v>
      </c>
      <c r="X296">
        <f t="shared" ca="1" si="109"/>
        <v>-1.1585556287862175E-2</v>
      </c>
      <c r="Y296">
        <f t="shared" ca="1" si="111"/>
        <v>-8.396341826510681E-2</v>
      </c>
      <c r="Z296">
        <f t="shared" ca="1" si="112"/>
        <v>7.2377861977244634E-2</v>
      </c>
      <c r="AA296">
        <f t="shared" ca="1" si="113"/>
        <v>10.114842999999995</v>
      </c>
      <c r="AB296" s="18">
        <f t="shared" ca="1" si="98"/>
        <v>-4.1450777202073352E-3</v>
      </c>
      <c r="AC296" s="18">
        <f t="shared" ca="1" si="99"/>
        <v>-4.1536923686935163E-3</v>
      </c>
      <c r="AD296" s="18">
        <f t="shared" ca="1" si="94"/>
        <v>-0.19699856278619032</v>
      </c>
    </row>
    <row r="297" spans="1:30" x14ac:dyDescent="0.25">
      <c r="A297" vm="789">
        <f ca="1"/>
        <v>45723</v>
      </c>
      <c r="B297" vm="790">
        <f ca="1"/>
        <v>9.9</v>
      </c>
      <c r="C297" vm="791">
        <f ca="1"/>
        <v>150644884</v>
      </c>
      <c r="D297">
        <f t="shared" ca="1" si="91"/>
        <v>1491384351.6000001</v>
      </c>
      <c r="E297">
        <f ca="1">SUM($D$2:D297)/SUM($C$2:C297)</f>
        <v>11.024619589650591</v>
      </c>
      <c r="F297">
        <f ca="1">_xlfn.STDEV.P($B$2:B297)</f>
        <v>1.1685863308501068</v>
      </c>
      <c r="G297">
        <f t="shared" ca="1" si="92"/>
        <v>12.193205920500699</v>
      </c>
      <c r="H297">
        <f t="shared" ca="1" si="93"/>
        <v>9.8560332588004833</v>
      </c>
      <c r="I297">
        <f t="shared" ca="1" si="105"/>
        <v>9.3458999999999985</v>
      </c>
      <c r="J297">
        <f t="shared" ca="1" si="106"/>
        <v>0.21683071009915864</v>
      </c>
      <c r="K297">
        <f t="shared" ca="1" si="107"/>
        <v>9.7795614201983163</v>
      </c>
      <c r="L297">
        <f t="shared" ca="1" si="108"/>
        <v>8.9122385798016808</v>
      </c>
      <c r="M297">
        <f t="shared" ca="1" si="95"/>
        <v>0.29000000000000092</v>
      </c>
      <c r="N297">
        <f t="shared" ca="1" si="96"/>
        <v>0.29000000000000092</v>
      </c>
      <c r="O297">
        <f t="shared" ca="1" si="97"/>
        <v>0</v>
      </c>
      <c r="P297">
        <f t="shared" ca="1" si="103"/>
        <v>9.8461693833455183E-2</v>
      </c>
      <c r="Q297">
        <f t="shared" ca="1" si="104"/>
        <v>6.9275629356180563E-2</v>
      </c>
      <c r="R297">
        <f t="shared" ca="1" si="101"/>
        <v>1.421303490831018</v>
      </c>
      <c r="S297">
        <f t="shared" ca="1" si="102"/>
        <v>58.699931512642017</v>
      </c>
      <c r="T297">
        <f>70</f>
        <v>70</v>
      </c>
      <c r="U297">
        <f>30</f>
        <v>30</v>
      </c>
      <c r="V297">
        <f t="shared" ca="1" si="100"/>
        <v>9.5040328207071632</v>
      </c>
      <c r="W297">
        <f t="shared" ca="1" si="110"/>
        <v>9.5156183769950253</v>
      </c>
      <c r="X297">
        <f t="shared" ca="1" si="109"/>
        <v>2.5646083266794406E-2</v>
      </c>
      <c r="Y297">
        <f t="shared" ca="1" si="111"/>
        <v>-6.2041517958726568E-2</v>
      </c>
      <c r="Z297">
        <f t="shared" ca="1" si="112"/>
        <v>8.7687601225520967E-2</v>
      </c>
      <c r="AA297">
        <f t="shared" ca="1" si="113"/>
        <v>10.108732999999994</v>
      </c>
      <c r="AB297" s="18">
        <f t="shared" ca="1" si="98"/>
        <v>3.0176899063475648E-2</v>
      </c>
      <c r="AC297" s="18">
        <f t="shared" ca="1" si="99"/>
        <v>2.9730534158343216E-2</v>
      </c>
      <c r="AD297" s="18">
        <f t="shared" ca="1" si="94"/>
        <v>-0.17276646946756335</v>
      </c>
    </row>
    <row r="298" spans="1:30" x14ac:dyDescent="0.25">
      <c r="A298" vm="792">
        <f ca="1"/>
        <v>45726</v>
      </c>
      <c r="B298" vm="793">
        <f ca="1"/>
        <v>9.9600000000000009</v>
      </c>
      <c r="C298" vm="794">
        <f ca="1"/>
        <v>167183809</v>
      </c>
      <c r="D298">
        <f t="shared" ca="1" si="91"/>
        <v>1665150737.6400001</v>
      </c>
      <c r="E298">
        <f ca="1">SUM($D$2:D298)/SUM($C$2:C298)</f>
        <v>11.014655058889204</v>
      </c>
      <c r="F298">
        <f ca="1">_xlfn.STDEV.P($B$2:B298)</f>
        <v>1.1687585418801221</v>
      </c>
      <c r="G298">
        <f t="shared" ca="1" si="92"/>
        <v>12.183413600769326</v>
      </c>
      <c r="H298">
        <f t="shared" ca="1" si="93"/>
        <v>9.8458965170090824</v>
      </c>
      <c r="I298">
        <f t="shared" ca="1" si="105"/>
        <v>9.3892100000000003</v>
      </c>
      <c r="J298">
        <f t="shared" ca="1" si="106"/>
        <v>0.24808157168666617</v>
      </c>
      <c r="K298">
        <f t="shared" ca="1" si="107"/>
        <v>9.8853731433733323</v>
      </c>
      <c r="L298">
        <f t="shared" ca="1" si="108"/>
        <v>8.8930468566266683</v>
      </c>
      <c r="M298">
        <f t="shared" ca="1" si="95"/>
        <v>6.0000000000000497E-2</v>
      </c>
      <c r="N298">
        <f t="shared" ca="1" si="96"/>
        <v>6.0000000000000497E-2</v>
      </c>
      <c r="O298">
        <f t="shared" ca="1" si="97"/>
        <v>0</v>
      </c>
      <c r="P298">
        <f t="shared" ca="1" si="103"/>
        <v>9.5714429988208422E-2</v>
      </c>
      <c r="Q298">
        <f t="shared" ca="1" si="104"/>
        <v>6.4327370116453383E-2</v>
      </c>
      <c r="R298">
        <f t="shared" ca="1" si="101"/>
        <v>1.4879269868321103</v>
      </c>
      <c r="S298">
        <f t="shared" ca="1" si="102"/>
        <v>59.805894413593506</v>
      </c>
      <c r="T298">
        <f>70</f>
        <v>70</v>
      </c>
      <c r="U298">
        <f>30</f>
        <v>30</v>
      </c>
      <c r="V298">
        <f t="shared" ca="1" si="100"/>
        <v>9.5741816175214467</v>
      </c>
      <c r="W298">
        <f t="shared" ca="1" si="110"/>
        <v>9.5485355342546523</v>
      </c>
      <c r="X298">
        <f t="shared" ca="1" si="109"/>
        <v>3.2985446641333738E-2</v>
      </c>
      <c r="Y298">
        <f t="shared" ca="1" si="111"/>
        <v>-4.3036125038714512E-2</v>
      </c>
      <c r="Z298">
        <f t="shared" ca="1" si="112"/>
        <v>7.602157168004825E-2</v>
      </c>
      <c r="AA298">
        <f t="shared" ca="1" si="113"/>
        <v>10.102828999999993</v>
      </c>
      <c r="AB298" s="18">
        <f t="shared" ca="1" si="98"/>
        <v>6.0606060606060996E-3</v>
      </c>
      <c r="AC298" s="18">
        <f t="shared" ca="1" si="99"/>
        <v>6.0423144559626617E-3</v>
      </c>
      <c r="AD298" s="18">
        <f t="shared" ca="1" si="94"/>
        <v>-0.16775293291888194</v>
      </c>
    </row>
    <row r="299" spans="1:30" x14ac:dyDescent="0.25">
      <c r="A299" vm="795">
        <f ca="1"/>
        <v>45727</v>
      </c>
      <c r="B299" vm="796">
        <f ca="1"/>
        <v>9.69</v>
      </c>
      <c r="C299" vm="797">
        <f ca="1"/>
        <v>210126974</v>
      </c>
      <c r="D299">
        <f t="shared" ca="1" si="91"/>
        <v>2036130378.0599999</v>
      </c>
      <c r="E299">
        <f ca="1">SUM($D$2:D299)/SUM($C$2:C299)</f>
        <v>10.999253182696268</v>
      </c>
      <c r="F299">
        <f ca="1">_xlfn.STDEV.P($B$2:B299)</f>
        <v>1.1699589329514004</v>
      </c>
      <c r="G299">
        <f t="shared" ca="1" si="92"/>
        <v>12.169212115647669</v>
      </c>
      <c r="H299">
        <f t="shared" ca="1" si="93"/>
        <v>9.8292942497448674</v>
      </c>
      <c r="I299">
        <f t="shared" ca="1" si="105"/>
        <v>9.4190199999999997</v>
      </c>
      <c r="J299">
        <f t="shared" ca="1" si="106"/>
        <v>0.24653169882657269</v>
      </c>
      <c r="K299">
        <f t="shared" ca="1" si="107"/>
        <v>9.9120833976531451</v>
      </c>
      <c r="L299">
        <f t="shared" ca="1" si="108"/>
        <v>8.9259566023468544</v>
      </c>
      <c r="M299">
        <f t="shared" ca="1" si="95"/>
        <v>-0.27000000000000135</v>
      </c>
      <c r="N299">
        <f t="shared" ca="1" si="96"/>
        <v>0</v>
      </c>
      <c r="O299">
        <f t="shared" ca="1" si="97"/>
        <v>0.27000000000000135</v>
      </c>
      <c r="P299">
        <f t="shared" ca="1" si="103"/>
        <v>8.8877684989050673E-2</v>
      </c>
      <c r="Q299">
        <f t="shared" ca="1" si="104"/>
        <v>7.9018272250992519E-2</v>
      </c>
      <c r="R299">
        <f t="shared" ca="1" si="101"/>
        <v>1.1247738334083142</v>
      </c>
      <c r="S299">
        <f t="shared" ca="1" si="102"/>
        <v>52.936167403948275</v>
      </c>
      <c r="T299">
        <f>70</f>
        <v>70</v>
      </c>
      <c r="U299">
        <f>30</f>
        <v>30</v>
      </c>
      <c r="V299">
        <f t="shared" ca="1" si="100"/>
        <v>9.5919998302104563</v>
      </c>
      <c r="W299">
        <f t="shared" ca="1" si="110"/>
        <v>9.5590143835691226</v>
      </c>
      <c r="X299">
        <f t="shared" ca="1" si="109"/>
        <v>3.0382549608377829E-2</v>
      </c>
      <c r="Y299">
        <f t="shared" ca="1" si="111"/>
        <v>-2.8352390109296046E-2</v>
      </c>
      <c r="Z299">
        <f t="shared" ca="1" si="112"/>
        <v>5.8734939717673879E-2</v>
      </c>
      <c r="AA299">
        <f t="shared" ca="1" si="113"/>
        <v>10.092256999999995</v>
      </c>
      <c r="AB299" s="18">
        <f t="shared" ca="1" si="98"/>
        <v>-2.7108433734939874E-2</v>
      </c>
      <c r="AC299" s="18">
        <f t="shared" ca="1" si="99"/>
        <v>-2.748264569383212E-2</v>
      </c>
      <c r="AD299" s="18">
        <f t="shared" ca="1" si="94"/>
        <v>-0.19031384738794843</v>
      </c>
    </row>
    <row r="300" spans="1:30" x14ac:dyDescent="0.25">
      <c r="A300" vm="798">
        <f ca="1"/>
        <v>45728</v>
      </c>
      <c r="B300" vm="799">
        <f ca="1"/>
        <v>9.59</v>
      </c>
      <c r="C300" vm="800">
        <f ca="1"/>
        <v>129994592</v>
      </c>
      <c r="D300">
        <f t="shared" ca="1" si="91"/>
        <v>1246648137.28</v>
      </c>
      <c r="E300">
        <f ca="1">SUM($D$2:D300)/SUM($C$2:C300)</f>
        <v>10.989188719877799</v>
      </c>
      <c r="F300">
        <f ca="1">_xlfn.STDEV.P($B$2:B300)</f>
        <v>1.1715648924537201</v>
      </c>
      <c r="G300">
        <f t="shared" ca="1" si="92"/>
        <v>12.160753612331519</v>
      </c>
      <c r="H300">
        <f t="shared" ca="1" si="93"/>
        <v>9.8176238274240788</v>
      </c>
      <c r="I300">
        <f t="shared" ca="1" si="105"/>
        <v>9.4453050000000012</v>
      </c>
      <c r="J300">
        <f t="shared" ca="1" si="106"/>
        <v>0.23445003389792243</v>
      </c>
      <c r="K300">
        <f t="shared" ca="1" si="107"/>
        <v>9.9142050677958462</v>
      </c>
      <c r="L300">
        <f t="shared" ca="1" si="108"/>
        <v>8.9764049322041561</v>
      </c>
      <c r="M300">
        <f t="shared" ca="1" si="95"/>
        <v>-9.9999999999999645E-2</v>
      </c>
      <c r="N300">
        <f t="shared" ca="1" si="96"/>
        <v>0</v>
      </c>
      <c r="O300">
        <f t="shared" ca="1" si="97"/>
        <v>9.9999999999999645E-2</v>
      </c>
      <c r="P300">
        <f t="shared" ca="1" si="103"/>
        <v>8.2529278918404197E-2</v>
      </c>
      <c r="Q300">
        <f t="shared" ca="1" si="104"/>
        <v>8.0516967090207309E-2</v>
      </c>
      <c r="R300">
        <f t="shared" ca="1" si="101"/>
        <v>1.0249923947823618</v>
      </c>
      <c r="S300">
        <f t="shared" ca="1" si="102"/>
        <v>50.617098485079687</v>
      </c>
      <c r="T300">
        <f>70</f>
        <v>70</v>
      </c>
      <c r="U300">
        <f>30</f>
        <v>30</v>
      </c>
      <c r="V300">
        <f t="shared" ca="1" si="100"/>
        <v>9.5916921640242325</v>
      </c>
      <c r="W300">
        <f t="shared" ca="1" si="110"/>
        <v>9.5613096144158547</v>
      </c>
      <c r="X300">
        <f t="shared" ca="1" si="109"/>
        <v>2.3210678148272379E-2</v>
      </c>
      <c r="Y300">
        <f t="shared" ca="1" si="111"/>
        <v>-1.8039776457782361E-2</v>
      </c>
      <c r="Z300">
        <f t="shared" ca="1" si="112"/>
        <v>4.125045460605474E-2</v>
      </c>
      <c r="AA300">
        <f t="shared" ca="1" si="113"/>
        <v>10.081471999999996</v>
      </c>
      <c r="AB300" s="18">
        <f t="shared" ca="1" si="98"/>
        <v>-1.0319917440660409E-2</v>
      </c>
      <c r="AC300" s="18">
        <f t="shared" ca="1" si="99"/>
        <v>-1.0373537007327944E-2</v>
      </c>
      <c r="AD300" s="18">
        <f t="shared" ca="1" si="94"/>
        <v>-0.1986697416357508</v>
      </c>
    </row>
    <row r="301" spans="1:30" x14ac:dyDescent="0.25">
      <c r="A301" vm="801">
        <f ca="1"/>
        <v>45729</v>
      </c>
      <c r="B301" vm="802">
        <f ca="1"/>
        <v>9.5299999999999994</v>
      </c>
      <c r="C301" vm="803">
        <f ca="1"/>
        <v>137747632</v>
      </c>
      <c r="D301">
        <f t="shared" ca="1" si="91"/>
        <v>1312734932.9599998</v>
      </c>
      <c r="E301">
        <f ca="1">SUM($D$2:D301)/SUM($C$2:C301)</f>
        <v>10.97822904464314</v>
      </c>
      <c r="F301">
        <f ca="1">_xlfn.STDEV.P($B$2:B301)</f>
        <v>1.1734072642812206</v>
      </c>
      <c r="G301">
        <f t="shared" ca="1" si="92"/>
        <v>12.15163630892436</v>
      </c>
      <c r="H301">
        <f t="shared" ca="1" si="93"/>
        <v>9.8048217803619195</v>
      </c>
      <c r="I301">
        <f t="shared" ca="1" si="105"/>
        <v>9.4676050000000007</v>
      </c>
      <c r="J301">
        <f t="shared" ca="1" si="106"/>
        <v>0.21897556815171995</v>
      </c>
      <c r="K301">
        <f t="shared" ca="1" si="107"/>
        <v>9.9055561363034403</v>
      </c>
      <c r="L301">
        <f t="shared" ca="1" si="108"/>
        <v>9.0296538636965611</v>
      </c>
      <c r="M301">
        <f t="shared" ca="1" si="95"/>
        <v>-6.0000000000000497E-2</v>
      </c>
      <c r="N301">
        <f t="shared" ca="1" si="96"/>
        <v>0</v>
      </c>
      <c r="O301">
        <f t="shared" ca="1" si="97"/>
        <v>6.0000000000000497E-2</v>
      </c>
      <c r="P301">
        <f t="shared" ca="1" si="103"/>
        <v>7.6634330424232469E-2</v>
      </c>
      <c r="Q301">
        <f t="shared" ca="1" si="104"/>
        <v>7.9051469440906824E-2</v>
      </c>
      <c r="R301">
        <f t="shared" ca="1" si="101"/>
        <v>0.96942322471967157</v>
      </c>
      <c r="S301">
        <f t="shared" ca="1" si="102"/>
        <v>49.223712432743334</v>
      </c>
      <c r="T301">
        <f>70</f>
        <v>70</v>
      </c>
      <c r="U301">
        <f>30</f>
        <v>30</v>
      </c>
      <c r="V301">
        <f t="shared" ca="1" si="100"/>
        <v>9.5822010618666571</v>
      </c>
      <c r="W301">
        <f t="shared" ca="1" si="110"/>
        <v>9.5589903837183847</v>
      </c>
      <c r="X301">
        <f t="shared" ca="1" si="109"/>
        <v>3.3281597338808311E-2</v>
      </c>
      <c r="Y301">
        <f t="shared" ca="1" si="111"/>
        <v>-7.7755016984642272E-3</v>
      </c>
      <c r="Z301">
        <f t="shared" ca="1" si="112"/>
        <v>4.1057099037272539E-2</v>
      </c>
      <c r="AA301">
        <f t="shared" ca="1" si="113"/>
        <v>10.068216999999995</v>
      </c>
      <c r="AB301" s="18">
        <f t="shared" ca="1" si="98"/>
        <v>-6.2565172054224183E-3</v>
      </c>
      <c r="AC301" s="18">
        <f t="shared" ca="1" si="99"/>
        <v>-6.2761712292362121E-3</v>
      </c>
      <c r="AD301" s="18">
        <f t="shared" ca="1" si="94"/>
        <v>-0.20368327818443233</v>
      </c>
    </row>
    <row r="302" spans="1:30" x14ac:dyDescent="0.25">
      <c r="A302" vm="804">
        <f ca="1"/>
        <v>45730</v>
      </c>
      <c r="B302" vm="805">
        <f ca="1"/>
        <v>9.73</v>
      </c>
      <c r="C302" vm="806">
        <f ca="1"/>
        <v>91313759</v>
      </c>
      <c r="D302">
        <f t="shared" ca="1" si="91"/>
        <v>888482875.07000005</v>
      </c>
      <c r="E302">
        <f ca="1">SUM($D$2:D302)/SUM($C$2:C302)</f>
        <v>10.972044957273676</v>
      </c>
      <c r="F302">
        <f ca="1">_xlfn.STDEV.P($B$2:B302)</f>
        <v>1.174346487137895</v>
      </c>
      <c r="G302">
        <f t="shared" ca="1" si="92"/>
        <v>12.14639144441157</v>
      </c>
      <c r="H302">
        <f t="shared" ca="1" si="93"/>
        <v>9.7976984701357814</v>
      </c>
      <c r="I302">
        <f t="shared" ca="1" si="105"/>
        <v>9.4940000000000015</v>
      </c>
      <c r="J302">
        <f t="shared" ca="1" si="106"/>
        <v>0.21709566166966487</v>
      </c>
      <c r="K302">
        <f t="shared" ca="1" si="107"/>
        <v>9.9281913233393304</v>
      </c>
      <c r="L302">
        <f t="shared" ca="1" si="108"/>
        <v>9.0598086766606727</v>
      </c>
      <c r="M302">
        <f t="shared" ca="1" si="95"/>
        <v>0.20000000000000107</v>
      </c>
      <c r="N302">
        <f t="shared" ca="1" si="96"/>
        <v>0.20000000000000107</v>
      </c>
      <c r="O302">
        <f t="shared" ca="1" si="97"/>
        <v>0</v>
      </c>
      <c r="P302">
        <f t="shared" ca="1" si="103"/>
        <v>8.5446163965358785E-2</v>
      </c>
      <c r="Q302">
        <f t="shared" ca="1" si="104"/>
        <v>7.340493590941348E-2</v>
      </c>
      <c r="R302">
        <f t="shared" ca="1" si="101"/>
        <v>1.1640383975105566</v>
      </c>
      <c r="S302">
        <f t="shared" ca="1" si="102"/>
        <v>53.790099050443409</v>
      </c>
      <c r="T302">
        <f>70</f>
        <v>70</v>
      </c>
      <c r="U302">
        <f>30</f>
        <v>30</v>
      </c>
      <c r="V302">
        <f t="shared" ca="1" si="100"/>
        <v>9.6049393600410173</v>
      </c>
      <c r="W302">
        <f t="shared" ca="1" si="110"/>
        <v>9.571657762702209</v>
      </c>
      <c r="X302">
        <f t="shared" ca="1" si="109"/>
        <v>5.594933633608079E-2</v>
      </c>
      <c r="Y302">
        <f t="shared" ca="1" si="111"/>
        <v>4.9694659084447762E-3</v>
      </c>
      <c r="Z302">
        <f t="shared" ca="1" si="112"/>
        <v>5.0979870427636013E-2</v>
      </c>
      <c r="AA302">
        <f t="shared" ca="1" si="113"/>
        <v>10.056567999999997</v>
      </c>
      <c r="AB302" s="18">
        <f t="shared" ca="1" si="98"/>
        <v>2.0986358866736721E-2</v>
      </c>
      <c r="AC302" s="18">
        <f t="shared" ca="1" si="99"/>
        <v>2.0769178531803049E-2</v>
      </c>
      <c r="AD302" s="18">
        <f t="shared" ca="1" si="94"/>
        <v>-0.18697148968882749</v>
      </c>
    </row>
    <row r="303" spans="1:30" x14ac:dyDescent="0.25">
      <c r="A303" vm="807">
        <f ca="1"/>
        <v>45733</v>
      </c>
      <c r="B303" vm="808">
        <f ca="1"/>
        <v>9.92</v>
      </c>
      <c r="C303" vm="809">
        <f ca="1"/>
        <v>98583068</v>
      </c>
      <c r="D303">
        <f t="shared" ca="1" si="91"/>
        <v>977944034.55999994</v>
      </c>
      <c r="E303">
        <f ca="1">SUM($D$2:D303)/SUM($C$2:C303)</f>
        <v>10.966447832043126</v>
      </c>
      <c r="F303">
        <f ca="1">_xlfn.STDEV.P($B$2:B303)</f>
        <v>1.1745492780220288</v>
      </c>
      <c r="G303">
        <f t="shared" ca="1" si="92"/>
        <v>12.140997110065156</v>
      </c>
      <c r="H303">
        <f t="shared" ca="1" si="93"/>
        <v>9.7918985540210972</v>
      </c>
      <c r="I303">
        <f t="shared" ca="1" si="105"/>
        <v>9.5235000000000003</v>
      </c>
      <c r="J303">
        <f t="shared" ca="1" si="106"/>
        <v>0.23313142893632957</v>
      </c>
      <c r="K303">
        <f t="shared" ca="1" si="107"/>
        <v>9.9897628578726589</v>
      </c>
      <c r="L303">
        <f t="shared" ca="1" si="108"/>
        <v>9.0572371421273417</v>
      </c>
      <c r="M303">
        <f t="shared" ca="1" si="95"/>
        <v>0.1899999999999995</v>
      </c>
      <c r="N303">
        <f t="shared" ca="1" si="96"/>
        <v>0.1899999999999995</v>
      </c>
      <c r="O303">
        <f t="shared" ca="1" si="97"/>
        <v>0</v>
      </c>
      <c r="P303">
        <f t="shared" ca="1" si="103"/>
        <v>9.291429511069027E-2</v>
      </c>
      <c r="Q303">
        <f t="shared" ca="1" si="104"/>
        <v>6.816172620159823E-2</v>
      </c>
      <c r="R303">
        <f t="shared" ca="1" si="101"/>
        <v>1.3631446896735377</v>
      </c>
      <c r="S303">
        <f t="shared" ca="1" si="102"/>
        <v>57.683505188243579</v>
      </c>
      <c r="T303">
        <f>70</f>
        <v>70</v>
      </c>
      <c r="U303">
        <f>30</f>
        <v>30</v>
      </c>
      <c r="V303">
        <f t="shared" ca="1" si="100"/>
        <v>9.6534102277270151</v>
      </c>
      <c r="W303">
        <f t="shared" ca="1" si="110"/>
        <v>9.5974608913909343</v>
      </c>
      <c r="X303">
        <f t="shared" ca="1" si="109"/>
        <v>7.5464524025269597E-2</v>
      </c>
      <c r="Y303">
        <f t="shared" ca="1" si="111"/>
        <v>1.9068477531809742E-2</v>
      </c>
      <c r="Z303">
        <f t="shared" ca="1" si="112"/>
        <v>5.6396046493459855E-2</v>
      </c>
      <c r="AA303">
        <f t="shared" ca="1" si="113"/>
        <v>10.046523999999996</v>
      </c>
      <c r="AB303" s="18">
        <f t="shared" ca="1" si="98"/>
        <v>1.9527235354573458E-2</v>
      </c>
      <c r="AC303" s="18">
        <f t="shared" ca="1" si="99"/>
        <v>1.9339025098867705E-2</v>
      </c>
      <c r="AD303" s="18">
        <f t="shared" ca="1" si="94"/>
        <v>-0.17109529061800299</v>
      </c>
    </row>
    <row r="304" spans="1:30" x14ac:dyDescent="0.25">
      <c r="A304" vm="810">
        <f ca="1"/>
        <v>45734</v>
      </c>
      <c r="B304" vm="811">
        <f ca="1"/>
        <v>9.9499999999999993</v>
      </c>
      <c r="C304" vm="812">
        <f ca="1"/>
        <v>102730930</v>
      </c>
      <c r="D304">
        <f t="shared" ca="1" si="91"/>
        <v>1022172753.4999999</v>
      </c>
      <c r="E304">
        <f ca="1">SUM($D$2:D304)/SUM($C$2:C304)</f>
        <v>10.960843632444792</v>
      </c>
      <c r="F304">
        <f ca="1">_xlfn.STDEV.P($B$2:B304)</f>
        <v>1.1746343345357348</v>
      </c>
      <c r="G304">
        <f t="shared" ca="1" si="92"/>
        <v>12.135477966980527</v>
      </c>
      <c r="H304">
        <f t="shared" ca="1" si="93"/>
        <v>9.7862092979090569</v>
      </c>
      <c r="I304">
        <f t="shared" ca="1" si="105"/>
        <v>9.556499999999998</v>
      </c>
      <c r="J304">
        <f t="shared" ca="1" si="106"/>
        <v>0.24476143057013072</v>
      </c>
      <c r="K304">
        <f t="shared" ca="1" si="107"/>
        <v>10.04602286114026</v>
      </c>
      <c r="L304">
        <f t="shared" ca="1" si="108"/>
        <v>9.0669771388597358</v>
      </c>
      <c r="M304">
        <f t="shared" ca="1" si="95"/>
        <v>2.9999999999999361E-2</v>
      </c>
      <c r="N304">
        <f t="shared" ca="1" si="96"/>
        <v>2.9999999999999361E-2</v>
      </c>
      <c r="O304">
        <f t="shared" ca="1" si="97"/>
        <v>0</v>
      </c>
      <c r="P304">
        <f t="shared" ca="1" si="103"/>
        <v>8.8420416888498068E-2</v>
      </c>
      <c r="Q304">
        <f t="shared" ca="1" si="104"/>
        <v>6.3293031472912639E-2</v>
      </c>
      <c r="R304">
        <f t="shared" ca="1" si="101"/>
        <v>1.3970008203247324</v>
      </c>
      <c r="S304">
        <f t="shared" ca="1" si="102"/>
        <v>58.281199091766453</v>
      </c>
      <c r="T304">
        <f>70</f>
        <v>70</v>
      </c>
      <c r="U304">
        <f>30</f>
        <v>30</v>
      </c>
      <c r="V304">
        <f t="shared" ca="1" si="100"/>
        <v>9.6990394234613202</v>
      </c>
      <c r="W304">
        <f t="shared" ca="1" si="110"/>
        <v>9.6235748994360506</v>
      </c>
      <c r="X304">
        <f t="shared" ca="1" si="109"/>
        <v>0.10744406396380413</v>
      </c>
      <c r="Y304">
        <f t="shared" ca="1" si="111"/>
        <v>3.6743594818208616E-2</v>
      </c>
      <c r="Z304">
        <f t="shared" ca="1" si="112"/>
        <v>7.070046914559551E-2</v>
      </c>
      <c r="AA304">
        <f t="shared" ca="1" si="113"/>
        <v>10.038944999999996</v>
      </c>
      <c r="AB304" s="18">
        <f t="shared" ca="1" si="98"/>
        <v>3.0241935483870108E-3</v>
      </c>
      <c r="AC304" s="18">
        <f t="shared" ca="1" si="99"/>
        <v>3.0196298737198914E-3</v>
      </c>
      <c r="AD304" s="18">
        <f t="shared" ca="1" si="94"/>
        <v>-0.16858852234366239</v>
      </c>
    </row>
    <row r="305" spans="1:30" x14ac:dyDescent="0.25">
      <c r="A305" vm="813">
        <f ca="1"/>
        <v>45735</v>
      </c>
      <c r="B305" vm="814">
        <f ca="1"/>
        <v>10.17</v>
      </c>
      <c r="C305" vm="815">
        <f ca="1"/>
        <v>124697379</v>
      </c>
      <c r="D305">
        <f t="shared" ca="1" si="91"/>
        <v>1268172344.4300001</v>
      </c>
      <c r="E305">
        <f ca="1">SUM($D$2:D305)/SUM($C$2:C305)</f>
        <v>10.955586142866645</v>
      </c>
      <c r="F305">
        <f ca="1">_xlfn.STDEV.P($B$2:B305)</f>
        <v>1.1740372669542818</v>
      </c>
      <c r="G305">
        <f t="shared" ca="1" si="92"/>
        <v>12.129623409820926</v>
      </c>
      <c r="H305">
        <f t="shared" ca="1" si="93"/>
        <v>9.7815488759123639</v>
      </c>
      <c r="I305">
        <f t="shared" ca="1" si="105"/>
        <v>9.597999999999999</v>
      </c>
      <c r="J305">
        <f t="shared" ca="1" si="106"/>
        <v>0.27465959793322753</v>
      </c>
      <c r="K305">
        <f t="shared" ca="1" si="107"/>
        <v>10.147319195866453</v>
      </c>
      <c r="L305">
        <f t="shared" ca="1" si="108"/>
        <v>9.0486808041335447</v>
      </c>
      <c r="M305">
        <f t="shared" ca="1" si="95"/>
        <v>0.22000000000000064</v>
      </c>
      <c r="N305">
        <f t="shared" ca="1" si="96"/>
        <v>0.22000000000000064</v>
      </c>
      <c r="O305">
        <f t="shared" ca="1" si="97"/>
        <v>0</v>
      </c>
      <c r="P305">
        <f t="shared" ca="1" si="103"/>
        <v>9.7818958539319684E-2</v>
      </c>
      <c r="Q305">
        <f t="shared" ca="1" si="104"/>
        <v>5.8772100653418875E-2</v>
      </c>
      <c r="R305">
        <f t="shared" ca="1" si="101"/>
        <v>1.6643774418777626</v>
      </c>
      <c r="S305">
        <f t="shared" ca="1" si="102"/>
        <v>62.467780116947921</v>
      </c>
      <c r="T305">
        <f>70</f>
        <v>70</v>
      </c>
      <c r="U305">
        <f>30</f>
        <v>30</v>
      </c>
      <c r="V305">
        <f t="shared" ca="1" si="100"/>
        <v>9.7714948967749624</v>
      </c>
      <c r="W305">
        <f t="shared" ca="1" si="110"/>
        <v>9.6640508328111583</v>
      </c>
      <c r="X305">
        <f t="shared" ca="1" si="109"/>
        <v>0.11851129253144776</v>
      </c>
      <c r="Y305">
        <f t="shared" ca="1" si="111"/>
        <v>5.3097134360856446E-2</v>
      </c>
      <c r="Z305">
        <f t="shared" ca="1" si="112"/>
        <v>6.5414158170591319E-2</v>
      </c>
      <c r="AA305">
        <f t="shared" ca="1" si="113"/>
        <v>10.031302999999996</v>
      </c>
      <c r="AB305" s="18">
        <f t="shared" ca="1" si="98"/>
        <v>2.2110552763819236E-2</v>
      </c>
      <c r="AC305" s="18">
        <f t="shared" ca="1" si="99"/>
        <v>2.1869658889967319E-2</v>
      </c>
      <c r="AD305" s="18">
        <f t="shared" ca="1" si="94"/>
        <v>-0.15020555499849697</v>
      </c>
    </row>
    <row r="306" spans="1:30" x14ac:dyDescent="0.25">
      <c r="A306" vm="816">
        <f ca="1"/>
        <v>45736</v>
      </c>
      <c r="B306" vm="817">
        <f ca="1"/>
        <v>10.01</v>
      </c>
      <c r="C306" vm="818">
        <f ca="1"/>
        <v>109103733</v>
      </c>
      <c r="D306">
        <f t="shared" ca="1" si="91"/>
        <v>1092128367.3299999</v>
      </c>
      <c r="E306">
        <f ca="1">SUM($D$2:D306)/SUM($C$2:C306)</f>
        <v>10.950117842289547</v>
      </c>
      <c r="F306">
        <f ca="1">_xlfn.STDEV.P($B$2:B306)</f>
        <v>1.1739050133893991</v>
      </c>
      <c r="G306">
        <f t="shared" ca="1" si="92"/>
        <v>12.124022855678946</v>
      </c>
      <c r="H306">
        <f t="shared" ca="1" si="93"/>
        <v>9.7762128289001478</v>
      </c>
      <c r="I306">
        <f t="shared" ca="1" si="105"/>
        <v>9.6289999999999978</v>
      </c>
      <c r="J306">
        <f t="shared" ca="1" si="106"/>
        <v>0.28475104546732916</v>
      </c>
      <c r="K306">
        <f t="shared" ca="1" si="107"/>
        <v>10.198502090934657</v>
      </c>
      <c r="L306">
        <f t="shared" ca="1" si="108"/>
        <v>9.0594979090653389</v>
      </c>
      <c r="M306">
        <f t="shared" ca="1" si="95"/>
        <v>-0.16000000000000014</v>
      </c>
      <c r="N306">
        <f t="shared" ca="1" si="96"/>
        <v>0</v>
      </c>
      <c r="O306">
        <f t="shared" ca="1" si="97"/>
        <v>0.16000000000000014</v>
      </c>
      <c r="P306">
        <f t="shared" ca="1" si="103"/>
        <v>9.0831890072225432E-2</v>
      </c>
      <c r="Q306">
        <f t="shared" ca="1" si="104"/>
        <v>6.60026648924604E-2</v>
      </c>
      <c r="R306">
        <f t="shared" ca="1" si="101"/>
        <v>1.376185192222463</v>
      </c>
      <c r="S306">
        <f t="shared" ca="1" si="102"/>
        <v>57.91573807996452</v>
      </c>
      <c r="T306">
        <f>70</f>
        <v>70</v>
      </c>
      <c r="U306">
        <f>30</f>
        <v>30</v>
      </c>
      <c r="V306">
        <f t="shared" ca="1" si="100"/>
        <v>9.8081879895788155</v>
      </c>
      <c r="W306">
        <f t="shared" ca="1" si="110"/>
        <v>9.6896766970473678</v>
      </c>
      <c r="X306">
        <f t="shared" ca="1" si="109"/>
        <v>0.12503392126642154</v>
      </c>
      <c r="Y306">
        <f t="shared" ca="1" si="111"/>
        <v>6.7484491741969466E-2</v>
      </c>
      <c r="Z306">
        <f t="shared" ca="1" si="112"/>
        <v>5.7549429524452078E-2</v>
      </c>
      <c r="AA306">
        <f t="shared" ca="1" si="113"/>
        <v>10.022552999999995</v>
      </c>
      <c r="AB306" s="18">
        <f t="shared" ca="1" si="98"/>
        <v>-1.5732546705997996E-2</v>
      </c>
      <c r="AC306" s="18">
        <f t="shared" ca="1" si="99"/>
        <v>-1.5857616733339328E-2</v>
      </c>
      <c r="AD306" s="18">
        <f t="shared" ca="1" si="94"/>
        <v>-0.16357498579498075</v>
      </c>
    </row>
    <row r="307" spans="1:30" x14ac:dyDescent="0.25">
      <c r="A307" vm="819">
        <f ca="1"/>
        <v>45737</v>
      </c>
      <c r="B307" vm="820">
        <f ca="1"/>
        <v>10</v>
      </c>
      <c r="C307" vm="821">
        <f ca="1"/>
        <v>240638631</v>
      </c>
      <c r="D307">
        <f t="shared" ca="1" si="91"/>
        <v>2406386310</v>
      </c>
      <c r="E307">
        <f ca="1">SUM($D$2:D307)/SUM($C$2:C307)</f>
        <v>10.938151810881676</v>
      </c>
      <c r="F307">
        <f ca="1">_xlfn.STDEV.P($B$2:B307)</f>
        <v>1.1737934580845273</v>
      </c>
      <c r="G307">
        <f t="shared" ca="1" si="92"/>
        <v>12.111945268966203</v>
      </c>
      <c r="H307">
        <f t="shared" ca="1" si="93"/>
        <v>9.7643583527971494</v>
      </c>
      <c r="I307">
        <f t="shared" ca="1" si="105"/>
        <v>9.6649999999999974</v>
      </c>
      <c r="J307">
        <f t="shared" ca="1" si="106"/>
        <v>0.2838179549974727</v>
      </c>
      <c r="K307">
        <f t="shared" ca="1" si="107"/>
        <v>10.232635909994944</v>
      </c>
      <c r="L307">
        <f t="shared" ca="1" si="108"/>
        <v>9.0973640900050512</v>
      </c>
      <c r="M307">
        <f t="shared" ca="1" si="95"/>
        <v>-9.9999999999997868E-3</v>
      </c>
      <c r="N307">
        <f t="shared" ca="1" si="96"/>
        <v>0</v>
      </c>
      <c r="O307">
        <f t="shared" ca="1" si="97"/>
        <v>9.9999999999997868E-3</v>
      </c>
      <c r="P307">
        <f t="shared" ca="1" si="103"/>
        <v>8.4343897924209335E-2</v>
      </c>
      <c r="Q307">
        <f t="shared" ca="1" si="104"/>
        <v>6.2002474542998932E-2</v>
      </c>
      <c r="R307">
        <f t="shared" ca="1" si="101"/>
        <v>1.3603311568753043</v>
      </c>
      <c r="S307">
        <f t="shared" ca="1" si="102"/>
        <v>57.633063602658289</v>
      </c>
      <c r="T307">
        <f>70</f>
        <v>70</v>
      </c>
      <c r="U307">
        <f>30</f>
        <v>30</v>
      </c>
      <c r="V307">
        <f t="shared" ca="1" si="100"/>
        <v>9.8376975296436129</v>
      </c>
      <c r="W307">
        <f t="shared" ca="1" si="110"/>
        <v>9.7126636083771913</v>
      </c>
      <c r="X307">
        <f t="shared" ca="1" si="109"/>
        <v>0.14866237487625433</v>
      </c>
      <c r="Y307">
        <f t="shared" ca="1" si="111"/>
        <v>8.372006836882645E-2</v>
      </c>
      <c r="Z307">
        <f t="shared" ca="1" si="112"/>
        <v>6.4942306507427883E-2</v>
      </c>
      <c r="AA307">
        <f t="shared" ca="1" si="113"/>
        <v>10.011930999999997</v>
      </c>
      <c r="AB307" s="18">
        <f t="shared" ca="1" si="98"/>
        <v>-9.9900099900096517E-4</v>
      </c>
      <c r="AC307" s="18">
        <f t="shared" ca="1" si="99"/>
        <v>-9.9950033308349932E-4</v>
      </c>
      <c r="AD307" s="18">
        <f t="shared" ca="1" si="94"/>
        <v>-0.16441057521976099</v>
      </c>
    </row>
    <row r="308" spans="1:30" x14ac:dyDescent="0.25">
      <c r="A308" vm="822">
        <f ca="1"/>
        <v>45740</v>
      </c>
      <c r="B308" vm="823">
        <f ca="1"/>
        <v>10.25</v>
      </c>
      <c r="C308" vm="824">
        <f ca="1"/>
        <v>102847191</v>
      </c>
      <c r="D308">
        <f t="shared" ca="1" si="91"/>
        <v>1054183707.75</v>
      </c>
      <c r="E308">
        <f ca="1">SUM($D$2:D308)/SUM($C$2:C308)</f>
        <v>10.934467531102928</v>
      </c>
      <c r="F308">
        <f ca="1">_xlfn.STDEV.P($B$2:B308)</f>
        <v>1.1729705302293456</v>
      </c>
      <c r="G308">
        <f t="shared" ca="1" si="92"/>
        <v>12.107438061332275</v>
      </c>
      <c r="H308">
        <f t="shared" ca="1" si="93"/>
        <v>9.7614970008735824</v>
      </c>
      <c r="I308">
        <f t="shared" ca="1" si="105"/>
        <v>9.7099999999999973</v>
      </c>
      <c r="J308">
        <f t="shared" ca="1" si="106"/>
        <v>0.30201080496530175</v>
      </c>
      <c r="K308">
        <f t="shared" ca="1" si="107"/>
        <v>10.314021609930601</v>
      </c>
      <c r="L308">
        <f t="shared" ca="1" si="108"/>
        <v>9.105978390069394</v>
      </c>
      <c r="M308">
        <f t="shared" ca="1" si="95"/>
        <v>0.25</v>
      </c>
      <c r="N308">
        <f t="shared" ca="1" si="96"/>
        <v>0.25</v>
      </c>
      <c r="O308">
        <f t="shared" ca="1" si="97"/>
        <v>0</v>
      </c>
      <c r="P308">
        <f t="shared" ca="1" si="103"/>
        <v>9.6176476643908673E-2</v>
      </c>
      <c r="Q308">
        <f t="shared" ca="1" si="104"/>
        <v>5.7573726361356152E-2</v>
      </c>
      <c r="R308">
        <f t="shared" ca="1" si="101"/>
        <v>1.6704924749922549</v>
      </c>
      <c r="S308">
        <f t="shared" ca="1" si="102"/>
        <v>62.553723353858153</v>
      </c>
      <c r="T308">
        <f>70</f>
        <v>70</v>
      </c>
      <c r="U308">
        <f>30</f>
        <v>30</v>
      </c>
      <c r="V308">
        <f t="shared" ca="1" si="100"/>
        <v>9.9011286789292097</v>
      </c>
      <c r="W308">
        <f t="shared" ca="1" si="110"/>
        <v>9.7524663040529553</v>
      </c>
      <c r="X308">
        <f t="shared" ca="1" si="109"/>
        <v>0.16867142115317613</v>
      </c>
      <c r="Y308">
        <f t="shared" ca="1" si="111"/>
        <v>0.10071033892569639</v>
      </c>
      <c r="Z308">
        <f t="shared" ca="1" si="112"/>
        <v>6.7961082227479735E-2</v>
      </c>
      <c r="AA308">
        <f t="shared" ca="1" si="113"/>
        <v>10.005481999999995</v>
      </c>
      <c r="AB308" s="18">
        <f t="shared" ca="1" si="98"/>
        <v>2.4999999999999911E-2</v>
      </c>
      <c r="AC308" s="18">
        <f t="shared" ca="1" si="99"/>
        <v>2.4692612590371414E-2</v>
      </c>
      <c r="AD308" s="18">
        <f t="shared" ca="1" si="94"/>
        <v>-0.14352083960025508</v>
      </c>
    </row>
    <row r="309" spans="1:30" x14ac:dyDescent="0.25">
      <c r="A309" vm="825">
        <f ca="1"/>
        <v>45741</v>
      </c>
      <c r="B309" vm="826">
        <f ca="1"/>
        <v>10.29</v>
      </c>
      <c r="C309" vm="827">
        <f ca="1"/>
        <v>83674856</v>
      </c>
      <c r="D309">
        <f t="shared" ca="1" si="91"/>
        <v>861014268.23999989</v>
      </c>
      <c r="E309">
        <f ca="1">SUM($D$2:D309)/SUM($C$2:C309)</f>
        <v>10.931672514951941</v>
      </c>
      <c r="F309">
        <f ca="1">_xlfn.STDEV.P($B$2:B309)</f>
        <v>1.1720498375584185</v>
      </c>
      <c r="G309">
        <f t="shared" ca="1" si="92"/>
        <v>12.10372235251036</v>
      </c>
      <c r="H309">
        <f t="shared" ca="1" si="93"/>
        <v>9.7596226773935228</v>
      </c>
      <c r="I309">
        <f t="shared" ca="1" si="105"/>
        <v>9.7534999999999989</v>
      </c>
      <c r="J309">
        <f t="shared" ca="1" si="106"/>
        <v>0.32015251299802</v>
      </c>
      <c r="K309">
        <f t="shared" ca="1" si="107"/>
        <v>10.39380502599604</v>
      </c>
      <c r="L309">
        <f t="shared" ca="1" si="108"/>
        <v>9.1131949740039584</v>
      </c>
      <c r="M309">
        <f t="shared" ca="1" si="95"/>
        <v>3.9999999999999147E-2</v>
      </c>
      <c r="N309">
        <f t="shared" ca="1" si="96"/>
        <v>3.9999999999999147E-2</v>
      </c>
      <c r="O309">
        <f t="shared" ca="1" si="97"/>
        <v>0</v>
      </c>
      <c r="P309">
        <f t="shared" ca="1" si="103"/>
        <v>9.21638711693437E-2</v>
      </c>
      <c r="Q309">
        <f t="shared" ca="1" si="104"/>
        <v>5.3461317335544996E-2</v>
      </c>
      <c r="R309">
        <f t="shared" ca="1" si="101"/>
        <v>1.7239356559600976</v>
      </c>
      <c r="S309">
        <f t="shared" ca="1" si="102"/>
        <v>63.288413299633071</v>
      </c>
      <c r="T309">
        <f>70</f>
        <v>70</v>
      </c>
      <c r="U309">
        <f>30</f>
        <v>30</v>
      </c>
      <c r="V309">
        <f t="shared" ca="1" si="100"/>
        <v>9.9609550360170243</v>
      </c>
      <c r="W309">
        <f t="shared" ca="1" si="110"/>
        <v>9.7922836148638481</v>
      </c>
      <c r="X309">
        <f t="shared" ca="1" si="109"/>
        <v>0.18322356372166837</v>
      </c>
      <c r="Y309">
        <f t="shared" ca="1" si="111"/>
        <v>0.11721298388489079</v>
      </c>
      <c r="Z309">
        <f t="shared" ca="1" si="112"/>
        <v>6.6010579836777578E-2</v>
      </c>
      <c r="AA309">
        <f t="shared" ca="1" si="113"/>
        <v>9.9964809999999957</v>
      </c>
      <c r="AB309" s="18">
        <f t="shared" ca="1" si="98"/>
        <v>3.9024390243902474E-3</v>
      </c>
      <c r="AC309" s="18">
        <f t="shared" ca="1" si="99"/>
        <v>3.8948442615410572E-3</v>
      </c>
      <c r="AD309" s="18">
        <f t="shared" ca="1" si="94"/>
        <v>-0.14017848190113413</v>
      </c>
    </row>
    <row r="310" spans="1:30" x14ac:dyDescent="0.25">
      <c r="A310" vm="828">
        <f ca="1"/>
        <v>45742</v>
      </c>
      <c r="B310" vm="829">
        <f ca="1"/>
        <v>10.3</v>
      </c>
      <c r="C310" vm="830">
        <f ca="1"/>
        <v>140975582</v>
      </c>
      <c r="D310">
        <f t="shared" ca="1" si="91"/>
        <v>1452048494.6000001</v>
      </c>
      <c r="E310">
        <f ca="1">SUM($D$2:D310)/SUM($C$2:C310)</f>
        <v>10.927090437974815</v>
      </c>
      <c r="F310">
        <f ca="1">_xlfn.STDEV.P($B$2:B310)</f>
        <v>1.1711049818221779</v>
      </c>
      <c r="G310">
        <f t="shared" ca="1" si="92"/>
        <v>12.098195419796994</v>
      </c>
      <c r="H310">
        <f t="shared" ca="1" si="93"/>
        <v>9.7559854561526365</v>
      </c>
      <c r="I310">
        <f t="shared" ca="1" si="105"/>
        <v>9.7949999999999982</v>
      </c>
      <c r="J310">
        <f t="shared" ca="1" si="106"/>
        <v>0.3349234005120072</v>
      </c>
      <c r="K310">
        <f t="shared" ca="1" si="107"/>
        <v>10.464846801024013</v>
      </c>
      <c r="L310">
        <f t="shared" ca="1" si="108"/>
        <v>9.1251531989759833</v>
      </c>
      <c r="M310">
        <f t="shared" ca="1" si="95"/>
        <v>1.0000000000001563E-2</v>
      </c>
      <c r="N310">
        <f t="shared" ca="1" si="96"/>
        <v>1.0000000000001563E-2</v>
      </c>
      <c r="O310">
        <f t="shared" ca="1" si="97"/>
        <v>0</v>
      </c>
      <c r="P310">
        <f t="shared" ca="1" si="103"/>
        <v>8.629502322867641E-2</v>
      </c>
      <c r="Q310">
        <f t="shared" ca="1" si="104"/>
        <v>4.9642651811577496E-2</v>
      </c>
      <c r="R310">
        <f t="shared" ca="1" si="101"/>
        <v>1.7383242046822118</v>
      </c>
      <c r="S310">
        <f t="shared" ca="1" si="102"/>
        <v>63.481314656236918</v>
      </c>
      <c r="T310">
        <f>70</f>
        <v>70</v>
      </c>
      <c r="U310">
        <f>30</f>
        <v>30</v>
      </c>
      <c r="V310">
        <f t="shared" ca="1" si="100"/>
        <v>10.013115799706712</v>
      </c>
      <c r="W310">
        <f t="shared" ca="1" si="110"/>
        <v>9.829892235985044</v>
      </c>
      <c r="X310">
        <f t="shared" ca="1" si="109"/>
        <v>0.1606279652927487</v>
      </c>
      <c r="Y310">
        <f t="shared" ca="1" si="111"/>
        <v>0.12589598016646236</v>
      </c>
      <c r="Z310">
        <f t="shared" ca="1" si="112"/>
        <v>3.4731985126286335E-2</v>
      </c>
      <c r="AA310">
        <f t="shared" ca="1" si="113"/>
        <v>9.9970279999999949</v>
      </c>
      <c r="AB310" s="18">
        <f t="shared" ca="1" si="98"/>
        <v>9.7181729834816544E-4</v>
      </c>
      <c r="AC310" s="18">
        <f t="shared" ca="1" si="99"/>
        <v>9.7134538963210271E-4</v>
      </c>
      <c r="AD310" s="18">
        <f t="shared" ca="1" si="94"/>
        <v>-0.13934289247635367</v>
      </c>
    </row>
    <row r="311" spans="1:30" x14ac:dyDescent="0.25">
      <c r="A311" vm="831">
        <f ca="1"/>
        <v>45743</v>
      </c>
      <c r="B311" vm="790">
        <f ca="1"/>
        <v>9.9</v>
      </c>
      <c r="C311" vm="832">
        <f ca="1"/>
        <v>229032469</v>
      </c>
      <c r="D311">
        <f t="shared" ca="1" si="91"/>
        <v>2267421443.0999999</v>
      </c>
      <c r="E311">
        <f ca="1">SUM($D$2:D311)/SUM($C$2:C311)</f>
        <v>10.915127328451787</v>
      </c>
      <c r="F311">
        <f ca="1">_xlfn.STDEV.P($B$2:B311)</f>
        <v>1.1712898746928024</v>
      </c>
      <c r="G311">
        <f t="shared" ca="1" si="92"/>
        <v>12.086417203144588</v>
      </c>
      <c r="H311">
        <f t="shared" ca="1" si="93"/>
        <v>9.7438374537589851</v>
      </c>
      <c r="I311">
        <f t="shared" ca="1" si="105"/>
        <v>9.8255000000000017</v>
      </c>
      <c r="J311">
        <f t="shared" ca="1" si="106"/>
        <v>0.31361181167336899</v>
      </c>
      <c r="K311">
        <f t="shared" ca="1" si="107"/>
        <v>10.45272362334674</v>
      </c>
      <c r="L311">
        <f t="shared" ca="1" si="108"/>
        <v>9.1982763766532631</v>
      </c>
      <c r="M311">
        <f t="shared" ca="1" si="95"/>
        <v>-0.40000000000000036</v>
      </c>
      <c r="N311">
        <f t="shared" ca="1" si="96"/>
        <v>0</v>
      </c>
      <c r="O311">
        <f t="shared" ca="1" si="97"/>
        <v>0.40000000000000036</v>
      </c>
      <c r="P311">
        <f t="shared" ca="1" si="103"/>
        <v>8.0131092998056666E-2</v>
      </c>
      <c r="Q311">
        <f t="shared" ca="1" si="104"/>
        <v>7.4668176682179135E-2</v>
      </c>
      <c r="R311">
        <f t="shared" ca="1" si="101"/>
        <v>1.0731625782042344</v>
      </c>
      <c r="S311">
        <f t="shared" ca="1" si="102"/>
        <v>51.76451617864933</v>
      </c>
      <c r="T311">
        <f>70</f>
        <v>70</v>
      </c>
      <c r="U311">
        <f>30</f>
        <v>30</v>
      </c>
      <c r="V311">
        <f t="shared" ca="1" si="100"/>
        <v>9.995713368982603</v>
      </c>
      <c r="W311">
        <f t="shared" ca="1" si="110"/>
        <v>9.8350854036898543</v>
      </c>
      <c r="X311">
        <f t="shared" ca="1" si="109"/>
        <v>0.12673536862857482</v>
      </c>
      <c r="Y311">
        <f t="shared" ca="1" si="111"/>
        <v>0.12606385785888485</v>
      </c>
      <c r="Z311">
        <f t="shared" ca="1" si="112"/>
        <v>6.715107696899647E-4</v>
      </c>
      <c r="AA311">
        <f t="shared" ca="1" si="113"/>
        <v>9.9929839999999928</v>
      </c>
      <c r="AB311" s="18">
        <f t="shared" ca="1" si="98"/>
        <v>-3.8834951456310662E-2</v>
      </c>
      <c r="AC311" s="18">
        <f t="shared" ca="1" si="99"/>
        <v>-3.9609138095045827E-2</v>
      </c>
      <c r="AD311" s="18">
        <f t="shared" ca="1" si="94"/>
        <v>-0.17276646946756324</v>
      </c>
    </row>
    <row r="312" spans="1:30" x14ac:dyDescent="0.25">
      <c r="A312" vm="833">
        <f ca="1"/>
        <v>45744</v>
      </c>
      <c r="B312" vm="834">
        <f ca="1"/>
        <v>9.7200000000000006</v>
      </c>
      <c r="C312" vm="835">
        <f ca="1"/>
        <v>136868327</v>
      </c>
      <c r="D312">
        <f t="shared" ca="1" si="91"/>
        <v>1330360138.4400001</v>
      </c>
      <c r="E312">
        <f ca="1">SUM($D$2:D312)/SUM($C$2:C312)</f>
        <v>10.906866130415565</v>
      </c>
      <c r="F312">
        <f ca="1">_xlfn.STDEV.P($B$2:B312)</f>
        <v>1.1721077414659831</v>
      </c>
      <c r="G312">
        <f t="shared" ca="1" si="92"/>
        <v>12.078973871881548</v>
      </c>
      <c r="H312">
        <f t="shared" ca="1" si="93"/>
        <v>9.734758388949583</v>
      </c>
      <c r="I312">
        <f t="shared" ca="1" si="105"/>
        <v>9.8339999999999996</v>
      </c>
      <c r="J312">
        <f t="shared" ca="1" si="106"/>
        <v>0.30800546816745428</v>
      </c>
      <c r="K312">
        <f t="shared" ca="1" si="107"/>
        <v>10.450010936334909</v>
      </c>
      <c r="L312">
        <f t="shared" ca="1" si="108"/>
        <v>9.2179890636650903</v>
      </c>
      <c r="M312">
        <f t="shared" ca="1" si="95"/>
        <v>-0.17999999999999972</v>
      </c>
      <c r="N312">
        <f t="shared" ca="1" si="96"/>
        <v>0</v>
      </c>
      <c r="O312">
        <f t="shared" ca="1" si="97"/>
        <v>0.17999999999999972</v>
      </c>
      <c r="P312">
        <f t="shared" ca="1" si="103"/>
        <v>7.4407443498195475E-2</v>
      </c>
      <c r="Q312">
        <f t="shared" ca="1" si="104"/>
        <v>8.2191878347737751E-2</v>
      </c>
      <c r="R312">
        <f t="shared" ca="1" si="101"/>
        <v>0.9052894883773327</v>
      </c>
      <c r="S312">
        <f t="shared" ca="1" si="102"/>
        <v>47.514537496784044</v>
      </c>
      <c r="T312">
        <f>70</f>
        <v>70</v>
      </c>
      <c r="U312">
        <f>30</f>
        <v>30</v>
      </c>
      <c r="V312">
        <f t="shared" ca="1" si="100"/>
        <v>9.9532959276006636</v>
      </c>
      <c r="W312">
        <f t="shared" ca="1" si="110"/>
        <v>9.8265605589720888</v>
      </c>
      <c r="X312">
        <f t="shared" ca="1" si="109"/>
        <v>0.12346640692726041</v>
      </c>
      <c r="Y312">
        <f t="shared" ca="1" si="111"/>
        <v>0.12554436767255997</v>
      </c>
      <c r="Z312">
        <f t="shared" ca="1" si="112"/>
        <v>-2.0779607452995619E-3</v>
      </c>
      <c r="AA312">
        <f t="shared" ca="1" si="113"/>
        <v>9.9889119999999938</v>
      </c>
      <c r="AB312" s="18">
        <f t="shared" ca="1" si="98"/>
        <v>-1.8181818181818188E-2</v>
      </c>
      <c r="AC312" s="18">
        <f t="shared" ca="1" si="99"/>
        <v>-1.8349138668196541E-2</v>
      </c>
      <c r="AD312" s="18">
        <f t="shared" ca="1" si="94"/>
        <v>-0.1878070791136075</v>
      </c>
    </row>
    <row r="313" spans="1:30" x14ac:dyDescent="0.25">
      <c r="A313" vm="836">
        <f ca="1"/>
        <v>45747</v>
      </c>
      <c r="B313" vm="837">
        <f ca="1"/>
        <v>10.029999999999999</v>
      </c>
      <c r="C313" vm="838">
        <f ca="1"/>
        <v>139951868</v>
      </c>
      <c r="D313">
        <f t="shared" ca="1" si="91"/>
        <v>1403717236.04</v>
      </c>
      <c r="E313">
        <f ca="1">SUM($D$2:D313)/SUM($C$2:C313)</f>
        <v>10.900711825079672</v>
      </c>
      <c r="F313">
        <f ca="1">_xlfn.STDEV.P($B$2:B313)</f>
        <v>1.1718503099941753</v>
      </c>
      <c r="G313">
        <f t="shared" ca="1" si="92"/>
        <v>12.072562135073847</v>
      </c>
      <c r="H313">
        <f t="shared" ca="1" si="93"/>
        <v>9.7288615150854962</v>
      </c>
      <c r="I313">
        <f t="shared" ca="1" si="105"/>
        <v>9.8660000000000014</v>
      </c>
      <c r="J313">
        <f t="shared" ca="1" si="106"/>
        <v>0.29229401203870786</v>
      </c>
      <c r="K313">
        <f t="shared" ca="1" si="107"/>
        <v>10.450588024077417</v>
      </c>
      <c r="L313">
        <f t="shared" ca="1" si="108"/>
        <v>9.2814119759225857</v>
      </c>
      <c r="M313">
        <f t="shared" ca="1" si="95"/>
        <v>0.30999999999999872</v>
      </c>
      <c r="N313">
        <f t="shared" ca="1" si="96"/>
        <v>0.30999999999999872</v>
      </c>
      <c r="O313">
        <f t="shared" ca="1" si="97"/>
        <v>0</v>
      </c>
      <c r="P313">
        <f t="shared" ca="1" si="103"/>
        <v>9.1235483248324284E-2</v>
      </c>
      <c r="Q313">
        <f t="shared" ca="1" si="104"/>
        <v>7.6321029894327902E-2</v>
      </c>
      <c r="R313">
        <f t="shared" ca="1" si="101"/>
        <v>1.1954173492502203</v>
      </c>
      <c r="S313">
        <f t="shared" ca="1" si="102"/>
        <v>54.450574040442909</v>
      </c>
      <c r="T313">
        <f>70</f>
        <v>70</v>
      </c>
      <c r="U313">
        <f>30</f>
        <v>30</v>
      </c>
      <c r="V313">
        <f t="shared" ca="1" si="100"/>
        <v>9.9650965541236385</v>
      </c>
      <c r="W313">
        <f t="shared" ca="1" si="110"/>
        <v>9.8416301471963781</v>
      </c>
      <c r="X313">
        <f t="shared" ca="1" si="109"/>
        <v>0.11231874283731536</v>
      </c>
      <c r="Y313">
        <f t="shared" ca="1" si="111"/>
        <v>0.12289924270551104</v>
      </c>
      <c r="Z313">
        <f t="shared" ca="1" si="112"/>
        <v>-1.0580499868195689E-2</v>
      </c>
      <c r="AA313">
        <f t="shared" ca="1" si="113"/>
        <v>9.9886289999999924</v>
      </c>
      <c r="AB313" s="18">
        <f t="shared" ca="1" si="98"/>
        <v>3.1893004115226109E-2</v>
      </c>
      <c r="AC313" s="18">
        <f t="shared" ca="1" si="99"/>
        <v>3.1394983501496235E-2</v>
      </c>
      <c r="AD313" s="18">
        <f t="shared" ca="1" si="94"/>
        <v>-0.16190380694542028</v>
      </c>
    </row>
    <row r="314" spans="1:30" x14ac:dyDescent="0.25">
      <c r="A314" vm="839">
        <f ca="1"/>
        <v>45748</v>
      </c>
      <c r="B314" vm="840">
        <f ca="1"/>
        <v>9.94</v>
      </c>
      <c r="C314" vm="841">
        <f ca="1"/>
        <v>135388684</v>
      </c>
      <c r="D314">
        <f t="shared" ca="1" si="91"/>
        <v>1345763518.96</v>
      </c>
      <c r="E314">
        <f ca="1">SUM($D$2:D314)/SUM($C$2:C314)</f>
        <v>10.894232887564616</v>
      </c>
      <c r="F314">
        <f ca="1">_xlfn.STDEV.P($B$2:B314)</f>
        <v>1.1718610657796582</v>
      </c>
      <c r="G314">
        <f t="shared" ca="1" si="92"/>
        <v>12.066093953344275</v>
      </c>
      <c r="H314">
        <f t="shared" ca="1" si="93"/>
        <v>9.7223718217849573</v>
      </c>
      <c r="I314">
        <f t="shared" ca="1" si="105"/>
        <v>9.907</v>
      </c>
      <c r="J314">
        <f t="shared" ca="1" si="106"/>
        <v>0.23380378638147797</v>
      </c>
      <c r="K314">
        <f t="shared" ca="1" si="107"/>
        <v>10.374607572762956</v>
      </c>
      <c r="L314">
        <f t="shared" ca="1" si="108"/>
        <v>9.4393924272370437</v>
      </c>
      <c r="M314">
        <f t="shared" ca="1" si="95"/>
        <v>-8.9999999999999858E-2</v>
      </c>
      <c r="N314">
        <f t="shared" ca="1" si="96"/>
        <v>0</v>
      </c>
      <c r="O314">
        <f t="shared" ca="1" si="97"/>
        <v>8.9999999999999858E-2</v>
      </c>
      <c r="P314">
        <f t="shared" ca="1" si="103"/>
        <v>8.4718663016301127E-2</v>
      </c>
      <c r="Q314">
        <f t="shared" ca="1" si="104"/>
        <v>7.7298099187590188E-2</v>
      </c>
      <c r="R314">
        <f t="shared" ca="1" si="101"/>
        <v>1.0959993053736343</v>
      </c>
      <c r="S314">
        <f t="shared" ca="1" si="102"/>
        <v>52.290060524531555</v>
      </c>
      <c r="T314">
        <f>70</f>
        <v>70</v>
      </c>
      <c r="U314">
        <f>30</f>
        <v>30</v>
      </c>
      <c r="V314">
        <f t="shared" ca="1" si="100"/>
        <v>9.9612355457969262</v>
      </c>
      <c r="W314">
        <f t="shared" ca="1" si="110"/>
        <v>9.8489168029596108</v>
      </c>
      <c r="X314">
        <f t="shared" ca="1" si="109"/>
        <v>0.1190569690592973</v>
      </c>
      <c r="Y314">
        <f t="shared" ca="1" si="111"/>
        <v>0.12213078797626831</v>
      </c>
      <c r="Z314">
        <f t="shared" ca="1" si="112"/>
        <v>-3.0738189169710051E-3</v>
      </c>
      <c r="AA314">
        <f t="shared" ca="1" si="113"/>
        <v>9.9860679999999942</v>
      </c>
      <c r="AB314" s="18">
        <f t="shared" ca="1" si="98"/>
        <v>-8.9730807577268479E-3</v>
      </c>
      <c r="AC314" s="18">
        <f t="shared" ca="1" si="99"/>
        <v>-9.0135813053615239E-3</v>
      </c>
      <c r="AD314" s="18">
        <f t="shared" ca="1" si="94"/>
        <v>-0.16942411176844241</v>
      </c>
    </row>
    <row r="315" spans="1:30" x14ac:dyDescent="0.25">
      <c r="A315" vm="842">
        <f ca="1"/>
        <v>45749</v>
      </c>
      <c r="B315" vm="843">
        <f ca="1"/>
        <v>10.15</v>
      </c>
      <c r="C315" vm="844">
        <f ca="1"/>
        <v>136908485</v>
      </c>
      <c r="D315">
        <f t="shared" ca="1" si="91"/>
        <v>1389621122.75</v>
      </c>
      <c r="E315">
        <f ca="1">SUM($D$2:D315)/SUM($C$2:C315)</f>
        <v>10.889191897392465</v>
      </c>
      <c r="F315">
        <f ca="1">_xlfn.STDEV.P($B$2:B315)</f>
        <v>1.1712518771462226</v>
      </c>
      <c r="G315">
        <f t="shared" ca="1" si="92"/>
        <v>12.060443774538687</v>
      </c>
      <c r="H315">
        <f t="shared" ca="1" si="93"/>
        <v>9.7179400202462425</v>
      </c>
      <c r="I315">
        <f t="shared" ca="1" si="105"/>
        <v>9.9320000000000004</v>
      </c>
      <c r="J315">
        <f t="shared" ca="1" si="106"/>
        <v>0.23159856376247703</v>
      </c>
      <c r="K315">
        <f t="shared" ca="1" si="107"/>
        <v>10.395197127524954</v>
      </c>
      <c r="L315">
        <f t="shared" ca="1" si="108"/>
        <v>9.468802872475047</v>
      </c>
      <c r="M315">
        <f t="shared" ca="1" si="95"/>
        <v>0.21000000000000085</v>
      </c>
      <c r="N315">
        <f t="shared" ca="1" si="96"/>
        <v>0.21000000000000085</v>
      </c>
      <c r="O315">
        <f t="shared" ca="1" si="97"/>
        <v>0</v>
      </c>
      <c r="P315">
        <f t="shared" ca="1" si="103"/>
        <v>9.3667329943708258E-2</v>
      </c>
      <c r="Q315">
        <f t="shared" ca="1" si="104"/>
        <v>7.1776806388476611E-2</v>
      </c>
      <c r="R315">
        <f t="shared" ca="1" si="101"/>
        <v>1.3049804617490763</v>
      </c>
      <c r="S315">
        <f t="shared" ca="1" si="102"/>
        <v>56.615684315121037</v>
      </c>
      <c r="T315">
        <f>70</f>
        <v>70</v>
      </c>
      <c r="U315">
        <f>30</f>
        <v>30</v>
      </c>
      <c r="V315">
        <f t="shared" ca="1" si="100"/>
        <v>9.990276231058937</v>
      </c>
      <c r="W315">
        <f t="shared" ca="1" si="110"/>
        <v>9.8712192619996397</v>
      </c>
      <c r="X315">
        <f t="shared" ca="1" si="109"/>
        <v>7.4318462890657244E-2</v>
      </c>
      <c r="Y315">
        <f t="shared" ca="1" si="111"/>
        <v>0.11256832295914609</v>
      </c>
      <c r="Z315">
        <f t="shared" ca="1" si="112"/>
        <v>-3.824986006848885E-2</v>
      </c>
      <c r="AA315">
        <f t="shared" ca="1" si="113"/>
        <v>9.983244999999993</v>
      </c>
      <c r="AB315" s="18">
        <f t="shared" ca="1" si="98"/>
        <v>2.1126760563380476E-2</v>
      </c>
      <c r="AC315" s="18">
        <f t="shared" ca="1" si="99"/>
        <v>2.0906684819313862E-2</v>
      </c>
      <c r="AD315" s="18">
        <f t="shared" ca="1" si="94"/>
        <v>-0.15187673384805722</v>
      </c>
    </row>
    <row r="316" spans="1:30" x14ac:dyDescent="0.25">
      <c r="A316" vm="845">
        <f ca="1"/>
        <v>45750</v>
      </c>
      <c r="B316" vm="846">
        <f ca="1"/>
        <v>9.5399999999999991</v>
      </c>
      <c r="C316" vm="847">
        <f ca="1"/>
        <v>220270980</v>
      </c>
      <c r="D316">
        <f t="shared" ca="1" si="91"/>
        <v>2101385149.1999998</v>
      </c>
      <c r="E316">
        <f ca="1">SUM($D$2:D316)/SUM($C$2:C316)</f>
        <v>10.874647342383033</v>
      </c>
      <c r="F316">
        <f ca="1">_xlfn.STDEV.P($B$2:B316)</f>
        <v>1.1727228210085183</v>
      </c>
      <c r="G316">
        <f t="shared" ca="1" si="92"/>
        <v>12.047370163391552</v>
      </c>
      <c r="H316">
        <f t="shared" ca="1" si="93"/>
        <v>9.7019245213745151</v>
      </c>
      <c r="I316">
        <f t="shared" ca="1" si="105"/>
        <v>9.9285000000000014</v>
      </c>
      <c r="J316">
        <f t="shared" ca="1" si="106"/>
        <v>0.23718247472313278</v>
      </c>
      <c r="K316">
        <f t="shared" ca="1" si="107"/>
        <v>10.402864949446267</v>
      </c>
      <c r="L316">
        <f t="shared" ca="1" si="108"/>
        <v>9.4541350505537363</v>
      </c>
      <c r="M316">
        <f t="shared" ca="1" si="95"/>
        <v>-0.61000000000000121</v>
      </c>
      <c r="N316">
        <f t="shared" ca="1" si="96"/>
        <v>0</v>
      </c>
      <c r="O316">
        <f t="shared" ca="1" si="97"/>
        <v>0.61000000000000121</v>
      </c>
      <c r="P316">
        <f t="shared" ca="1" si="103"/>
        <v>8.6976806376300536E-2</v>
      </c>
      <c r="Q316">
        <f t="shared" ca="1" si="104"/>
        <v>0.11022132021787123</v>
      </c>
      <c r="R316">
        <f t="shared" ca="1" si="101"/>
        <v>0.78911054779942802</v>
      </c>
      <c r="S316">
        <f t="shared" ca="1" si="102"/>
        <v>44.106304597556537</v>
      </c>
      <c r="T316">
        <f>70</f>
        <v>70</v>
      </c>
      <c r="U316">
        <f>30</f>
        <v>30</v>
      </c>
      <c r="V316">
        <f t="shared" ca="1" si="100"/>
        <v>9.9210029647421756</v>
      </c>
      <c r="W316">
        <f t="shared" ca="1" si="110"/>
        <v>9.8466845018515183</v>
      </c>
      <c r="X316">
        <f t="shared" ca="1" si="109"/>
        <v>4.1610875859493746E-2</v>
      </c>
      <c r="Y316">
        <f t="shared" ca="1" si="111"/>
        <v>9.8376833539215627E-2</v>
      </c>
      <c r="Z316">
        <f t="shared" ca="1" si="112"/>
        <v>-5.6765957679721882E-2</v>
      </c>
      <c r="AA316">
        <f t="shared" ca="1" si="113"/>
        <v>9.9685149999999929</v>
      </c>
      <c r="AB316" s="18">
        <f t="shared" ca="1" si="98"/>
        <v>-6.0098522167487789E-2</v>
      </c>
      <c r="AC316" s="18">
        <f t="shared" ca="1" si="99"/>
        <v>-6.1980220027601292E-2</v>
      </c>
      <c r="AD316" s="18">
        <f t="shared" ca="1" si="94"/>
        <v>-0.20284768875965187</v>
      </c>
    </row>
    <row r="317" spans="1:30" x14ac:dyDescent="0.25">
      <c r="A317" vm="848">
        <f ca="1"/>
        <v>45751</v>
      </c>
      <c r="B317" vm="849">
        <f ca="1"/>
        <v>9.58</v>
      </c>
      <c r="C317" vm="850">
        <f ca="1"/>
        <v>177466228</v>
      </c>
      <c r="D317">
        <f t="shared" ca="1" si="91"/>
        <v>1700126464.24</v>
      </c>
      <c r="E317">
        <f ca="1">SUM($D$2:D317)/SUM($C$2:C317)</f>
        <v>10.863499753638086</v>
      </c>
      <c r="F317">
        <f ca="1">_xlfn.STDEV.P($B$2:B317)</f>
        <v>1.17399559072633</v>
      </c>
      <c r="G317">
        <f t="shared" ca="1" si="92"/>
        <v>12.037495344364416</v>
      </c>
      <c r="H317">
        <f t="shared" ca="1" si="93"/>
        <v>9.6895041629117564</v>
      </c>
      <c r="I317">
        <f t="shared" ca="1" si="105"/>
        <v>9.9125000000000014</v>
      </c>
      <c r="J317">
        <f t="shared" ca="1" si="106"/>
        <v>0.24967083593361383</v>
      </c>
      <c r="K317">
        <f t="shared" ca="1" si="107"/>
        <v>10.411841671867229</v>
      </c>
      <c r="L317">
        <f t="shared" ca="1" si="108"/>
        <v>9.4131583281327735</v>
      </c>
      <c r="M317">
        <f t="shared" ca="1" si="95"/>
        <v>4.0000000000000924E-2</v>
      </c>
      <c r="N317">
        <f t="shared" ca="1" si="96"/>
        <v>4.0000000000000924E-2</v>
      </c>
      <c r="O317">
        <f t="shared" ca="1" si="97"/>
        <v>0</v>
      </c>
      <c r="P317">
        <f t="shared" ca="1" si="103"/>
        <v>8.3621320206564848E-2</v>
      </c>
      <c r="Q317">
        <f t="shared" ca="1" si="104"/>
        <v>0.10234836877373757</v>
      </c>
      <c r="R317">
        <f t="shared" ca="1" si="101"/>
        <v>0.81702640900342272</v>
      </c>
      <c r="S317">
        <f t="shared" ca="1" si="102"/>
        <v>44.965026647660778</v>
      </c>
      <c r="T317">
        <f>70</f>
        <v>70</v>
      </c>
      <c r="U317">
        <f>30</f>
        <v>30</v>
      </c>
      <c r="V317">
        <f t="shared" ca="1" si="100"/>
        <v>9.868540970166455</v>
      </c>
      <c r="W317">
        <f t="shared" ca="1" si="110"/>
        <v>9.8269300943069613</v>
      </c>
      <c r="X317">
        <f t="shared" ca="1" si="109"/>
        <v>-1.1611431653349769E-2</v>
      </c>
      <c r="Y317">
        <f t="shared" ca="1" si="111"/>
        <v>7.6379180500702554E-2</v>
      </c>
      <c r="Z317">
        <f t="shared" ca="1" si="112"/>
        <v>-8.7990612154052322E-2</v>
      </c>
      <c r="AA317">
        <f t="shared" ca="1" si="113"/>
        <v>9.9564489999999939</v>
      </c>
      <c r="AB317" s="18">
        <f t="shared" ca="1" si="98"/>
        <v>4.1928721174004924E-3</v>
      </c>
      <c r="AC317" s="18">
        <f t="shared" ca="1" si="99"/>
        <v>4.1841065225740907E-3</v>
      </c>
      <c r="AD317" s="18">
        <f t="shared" ca="1" si="94"/>
        <v>-0.19950533106053081</v>
      </c>
    </row>
    <row r="318" spans="1:30" x14ac:dyDescent="0.25">
      <c r="A318" vm="851">
        <f ca="1"/>
        <v>45754</v>
      </c>
      <c r="B318" vm="852">
        <f ca="1"/>
        <v>9.24</v>
      </c>
      <c r="C318" vm="853">
        <f ca="1"/>
        <v>274938497</v>
      </c>
      <c r="D318">
        <f t="shared" ca="1" si="91"/>
        <v>2540431712.2800002</v>
      </c>
      <c r="E318">
        <f ca="1">SUM($D$2:D318)/SUM($C$2:C318)</f>
        <v>10.84212769205436</v>
      </c>
      <c r="F318">
        <f ca="1">_xlfn.STDEV.P($B$2:B318)</f>
        <v>1.176776209979228</v>
      </c>
      <c r="G318">
        <f t="shared" ca="1" si="92"/>
        <v>12.018903902033589</v>
      </c>
      <c r="H318">
        <f t="shared" ca="1" si="93"/>
        <v>9.6653514820751312</v>
      </c>
      <c r="I318">
        <f t="shared" ca="1" si="105"/>
        <v>9.8765000000000018</v>
      </c>
      <c r="J318">
        <f t="shared" ca="1" si="106"/>
        <v>0.29095622749099131</v>
      </c>
      <c r="K318">
        <f t="shared" ca="1" si="107"/>
        <v>10.458412454981984</v>
      </c>
      <c r="L318">
        <f t="shared" ca="1" si="108"/>
        <v>9.29458754501802</v>
      </c>
      <c r="M318">
        <f t="shared" ca="1" si="95"/>
        <v>-0.33999999999999986</v>
      </c>
      <c r="N318">
        <f t="shared" ca="1" si="96"/>
        <v>0</v>
      </c>
      <c r="O318">
        <f t="shared" ca="1" si="97"/>
        <v>0.33999999999999986</v>
      </c>
      <c r="P318">
        <f t="shared" ca="1" si="103"/>
        <v>7.7648368763238787E-2</v>
      </c>
      <c r="Q318">
        <f t="shared" ca="1" si="104"/>
        <v>0.11932348528989915</v>
      </c>
      <c r="R318">
        <f t="shared" ca="1" si="101"/>
        <v>0.65073835695119275</v>
      </c>
      <c r="S318">
        <f t="shared" ca="1" si="102"/>
        <v>39.421047812390114</v>
      </c>
      <c r="T318">
        <f>70</f>
        <v>70</v>
      </c>
      <c r="U318">
        <f>30</f>
        <v>30</v>
      </c>
      <c r="V318">
        <f t="shared" ca="1" si="100"/>
        <v>9.7718423593716146</v>
      </c>
      <c r="W318">
        <f t="shared" ca="1" si="110"/>
        <v>9.7834537910249644</v>
      </c>
      <c r="X318">
        <f t="shared" ca="1" si="109"/>
        <v>-9.7052140597561731E-2</v>
      </c>
      <c r="Y318">
        <f t="shared" ca="1" si="111"/>
        <v>4.1692916281049694E-2</v>
      </c>
      <c r="Z318">
        <f t="shared" ca="1" si="112"/>
        <v>-0.13874505687861144</v>
      </c>
      <c r="AA318">
        <f t="shared" ca="1" si="113"/>
        <v>9.9408839999999952</v>
      </c>
      <c r="AB318" s="18">
        <f t="shared" ca="1" si="98"/>
        <v>-3.5490605427974886E-2</v>
      </c>
      <c r="AC318" s="18">
        <f t="shared" ca="1" si="99"/>
        <v>-3.6135706329176322E-2</v>
      </c>
      <c r="AD318" s="18">
        <f t="shared" ca="1" si="94"/>
        <v>-0.22791537150305885</v>
      </c>
    </row>
    <row r="319" spans="1:30" x14ac:dyDescent="0.25">
      <c r="A319" vm="854">
        <f ca="1"/>
        <v>45755</v>
      </c>
      <c r="B319" vm="855">
        <f ca="1"/>
        <v>8.69</v>
      </c>
      <c r="C319" vm="856">
        <f ca="1"/>
        <v>199286778</v>
      </c>
      <c r="D319">
        <f t="shared" ca="1" si="91"/>
        <v>1731802100.8199999</v>
      </c>
      <c r="E319">
        <f ca="1">SUM($D$2:D319)/SUM($C$2:C319)</f>
        <v>10.821786294530304</v>
      </c>
      <c r="F319">
        <f ca="1">_xlfn.STDEV.P($B$2:B319)</f>
        <v>1.1826127096450181</v>
      </c>
      <c r="G319">
        <f t="shared" ca="1" si="92"/>
        <v>12.004399004175323</v>
      </c>
      <c r="H319">
        <f t="shared" ca="1" si="93"/>
        <v>9.6391735848852846</v>
      </c>
      <c r="I319">
        <f t="shared" ca="1" si="105"/>
        <v>9.8265000000000011</v>
      </c>
      <c r="J319">
        <f t="shared" ca="1" si="106"/>
        <v>0.39279397304841368</v>
      </c>
      <c r="K319">
        <f t="shared" ca="1" si="107"/>
        <v>10.612087946096828</v>
      </c>
      <c r="L319">
        <f t="shared" ca="1" si="108"/>
        <v>9.040912053903174</v>
      </c>
      <c r="M319">
        <f t="shared" ca="1" si="95"/>
        <v>-0.55000000000000071</v>
      </c>
      <c r="N319">
        <f t="shared" ca="1" si="96"/>
        <v>0</v>
      </c>
      <c r="O319">
        <f t="shared" ca="1" si="97"/>
        <v>0.55000000000000071</v>
      </c>
      <c r="P319">
        <f t="shared" ca="1" si="103"/>
        <v>7.2102056708721732E-2</v>
      </c>
      <c r="Q319">
        <f t="shared" ca="1" si="104"/>
        <v>0.15008609348347784</v>
      </c>
      <c r="R319">
        <f t="shared" ca="1" si="101"/>
        <v>0.48040464666141136</v>
      </c>
      <c r="S319">
        <f t="shared" ca="1" si="102"/>
        <v>32.45090102525775</v>
      </c>
      <c r="T319">
        <f>70</f>
        <v>70</v>
      </c>
      <c r="U319">
        <f>30</f>
        <v>30</v>
      </c>
      <c r="V319">
        <f t="shared" ca="1" si="100"/>
        <v>9.6054050733144418</v>
      </c>
      <c r="W319">
        <f t="shared" ca="1" si="110"/>
        <v>9.7024572139120036</v>
      </c>
      <c r="X319">
        <f t="shared" ca="1" si="109"/>
        <v>-9.8271475062711389E-2</v>
      </c>
      <c r="Y319">
        <f t="shared" ca="1" si="111"/>
        <v>1.3700038012297477E-2</v>
      </c>
      <c r="Z319">
        <f t="shared" ca="1" si="112"/>
        <v>-0.11197151307500887</v>
      </c>
      <c r="AA319">
        <f t="shared" ca="1" si="113"/>
        <v>9.9172609999999963</v>
      </c>
      <c r="AB319" s="18">
        <f t="shared" ca="1" si="98"/>
        <v>-5.9523809523809645E-2</v>
      </c>
      <c r="AC319" s="18">
        <f t="shared" ca="1" si="99"/>
        <v>-6.1368946376292248E-2</v>
      </c>
      <c r="AD319" s="18">
        <f t="shared" ca="1" si="94"/>
        <v>-0.27387278986597208</v>
      </c>
    </row>
    <row r="320" spans="1:30" x14ac:dyDescent="0.25">
      <c r="A320" vm="857">
        <f ca="1"/>
        <v>45756</v>
      </c>
      <c r="B320" vm="858">
        <f ca="1"/>
        <v>9.5</v>
      </c>
      <c r="C320" vm="859">
        <f ca="1"/>
        <v>199662988</v>
      </c>
      <c r="D320">
        <f t="shared" ca="1" si="91"/>
        <v>1896798386</v>
      </c>
      <c r="E320">
        <f ca="1">SUM($D$2:D320)/SUM($C$2:C320)</f>
        <v>10.809386918534898</v>
      </c>
      <c r="F320">
        <f ca="1">_xlfn.STDEV.P($B$2:B320)</f>
        <v>1.1840858324764436</v>
      </c>
      <c r="G320">
        <f t="shared" ca="1" si="92"/>
        <v>11.993472751011341</v>
      </c>
      <c r="H320">
        <f t="shared" ca="1" si="93"/>
        <v>9.6253010860584549</v>
      </c>
      <c r="I320">
        <f t="shared" ca="1" si="105"/>
        <v>9.8219999999999992</v>
      </c>
      <c r="J320">
        <f t="shared" ca="1" si="106"/>
        <v>0.39614723472333796</v>
      </c>
      <c r="K320">
        <f t="shared" ca="1" si="107"/>
        <v>10.614294469446675</v>
      </c>
      <c r="L320">
        <f t="shared" ca="1" si="108"/>
        <v>9.0297055305533238</v>
      </c>
      <c r="M320">
        <f t="shared" ca="1" si="95"/>
        <v>0.8100000000000005</v>
      </c>
      <c r="N320">
        <f t="shared" ca="1" si="96"/>
        <v>0.8100000000000005</v>
      </c>
      <c r="O320">
        <f t="shared" ca="1" si="97"/>
        <v>0</v>
      </c>
      <c r="P320">
        <f t="shared" ca="1" si="103"/>
        <v>0.12480905265809879</v>
      </c>
      <c r="Q320">
        <f t="shared" ca="1" si="104"/>
        <v>0.13936565823465799</v>
      </c>
      <c r="R320">
        <f t="shared" ca="1" si="101"/>
        <v>0.89555098608260142</v>
      </c>
      <c r="S320">
        <f t="shared" ca="1" si="102"/>
        <v>47.244890412226376</v>
      </c>
      <c r="T320">
        <f>70</f>
        <v>70</v>
      </c>
      <c r="U320">
        <f>30</f>
        <v>30</v>
      </c>
      <c r="V320">
        <f t="shared" ca="1" si="100"/>
        <v>9.5891889081891435</v>
      </c>
      <c r="W320">
        <f t="shared" ca="1" si="110"/>
        <v>9.6874603832518549</v>
      </c>
      <c r="X320">
        <f t="shared" ca="1" si="109"/>
        <v>-0.12682483995634541</v>
      </c>
      <c r="Y320">
        <f t="shared" ca="1" si="111"/>
        <v>-1.4404937581431101E-2</v>
      </c>
      <c r="Z320">
        <f t="shared" ca="1" si="112"/>
        <v>-0.11241990237491431</v>
      </c>
      <c r="AA320">
        <f t="shared" ca="1" si="113"/>
        <v>9.9030169999999984</v>
      </c>
      <c r="AB320" s="18">
        <f t="shared" ca="1" si="98"/>
        <v>9.321058688147299E-2</v>
      </c>
      <c r="AC320" s="18">
        <f t="shared" ca="1" si="99"/>
        <v>8.9118859329194514E-2</v>
      </c>
      <c r="AD320" s="18">
        <f t="shared" ca="1" si="94"/>
        <v>-0.2061900464587727</v>
      </c>
    </row>
    <row r="321" spans="1:30" x14ac:dyDescent="0.25">
      <c r="A321" vm="860">
        <f ca="1"/>
        <v>45757</v>
      </c>
      <c r="B321" vm="861">
        <f ca="1"/>
        <v>9.14</v>
      </c>
      <c r="C321" vm="862">
        <f ca="1"/>
        <v>163535434</v>
      </c>
      <c r="D321">
        <f t="shared" ca="1" si="91"/>
        <v>1494713866.76</v>
      </c>
      <c r="E321">
        <f ca="1">SUM($D$2:D321)/SUM($C$2:C321)</f>
        <v>10.79665816747657</v>
      </c>
      <c r="F321">
        <f ca="1">_xlfn.STDEV.P($B$2:B321)</f>
        <v>1.1871929441303455</v>
      </c>
      <c r="G321">
        <f t="shared" ca="1" si="92"/>
        <v>11.983851111606915</v>
      </c>
      <c r="H321">
        <f t="shared" ca="1" si="93"/>
        <v>9.6094652233462252</v>
      </c>
      <c r="I321">
        <f t="shared" ca="1" si="105"/>
        <v>9.8025000000000002</v>
      </c>
      <c r="J321">
        <f t="shared" ca="1" si="106"/>
        <v>0.42014878317091436</v>
      </c>
      <c r="K321">
        <f t="shared" ca="1" si="107"/>
        <v>10.642797566341828</v>
      </c>
      <c r="L321">
        <f t="shared" ca="1" si="108"/>
        <v>8.962202433658172</v>
      </c>
      <c r="M321">
        <f t="shared" ca="1" si="95"/>
        <v>-0.35999999999999943</v>
      </c>
      <c r="N321">
        <f t="shared" ca="1" si="96"/>
        <v>0</v>
      </c>
      <c r="O321">
        <f t="shared" ca="1" si="97"/>
        <v>0.35999999999999943</v>
      </c>
      <c r="P321">
        <f t="shared" ca="1" si="103"/>
        <v>0.11589412032537745</v>
      </c>
      <c r="Q321">
        <f t="shared" ca="1" si="104"/>
        <v>0.15512525407503949</v>
      </c>
      <c r="R321">
        <f t="shared" ca="1" si="101"/>
        <v>0.74710027723348915</v>
      </c>
      <c r="S321">
        <f t="shared" ca="1" si="102"/>
        <v>42.762300880434459</v>
      </c>
      <c r="T321">
        <f>70</f>
        <v>70</v>
      </c>
      <c r="U321">
        <f>30</f>
        <v>30</v>
      </c>
      <c r="V321">
        <f t="shared" ca="1" si="100"/>
        <v>9.5200829223138896</v>
      </c>
      <c r="W321">
        <f t="shared" ca="1" si="110"/>
        <v>9.6469077622702351</v>
      </c>
      <c r="X321">
        <f t="shared" ca="1" si="109"/>
        <v>-0.13259371740911874</v>
      </c>
      <c r="Y321">
        <f t="shared" ca="1" si="111"/>
        <v>-3.8042693546968626E-2</v>
      </c>
      <c r="Z321">
        <f t="shared" ca="1" si="112"/>
        <v>-9.4551023862150113E-2</v>
      </c>
      <c r="AA321">
        <f t="shared" ca="1" si="113"/>
        <v>9.8851729999999982</v>
      </c>
      <c r="AB321" s="18">
        <f t="shared" ca="1" si="98"/>
        <v>-3.7894736842105203E-2</v>
      </c>
      <c r="AC321" s="18">
        <f t="shared" ca="1" si="99"/>
        <v>-3.8631413140436451E-2</v>
      </c>
      <c r="AD321" s="18">
        <f t="shared" ca="1" si="94"/>
        <v>-0.23627126575086121</v>
      </c>
    </row>
    <row r="322" spans="1:30" x14ac:dyDescent="0.25">
      <c r="A322" vm="863">
        <f ca="1"/>
        <v>45758</v>
      </c>
      <c r="B322" vm="750">
        <f ca="1"/>
        <v>9.33</v>
      </c>
      <c r="C322" vm="864">
        <f ca="1"/>
        <v>146073701</v>
      </c>
      <c r="D322">
        <f t="shared" ca="1" si="91"/>
        <v>1362867630.3299999</v>
      </c>
      <c r="E322">
        <f ca="1">SUM($D$2:D322)/SUM($C$2:C322)</f>
        <v>10.786736833860251</v>
      </c>
      <c r="F322">
        <f ca="1">_xlfn.STDEV.P($B$2:B322)</f>
        <v>1.1893289999243593</v>
      </c>
      <c r="G322">
        <f t="shared" ca="1" si="92"/>
        <v>11.976065833784611</v>
      </c>
      <c r="H322">
        <f t="shared" ca="1" si="93"/>
        <v>9.5974078339358915</v>
      </c>
      <c r="I322">
        <f t="shared" ca="1" si="105"/>
        <v>9.7825000000000006</v>
      </c>
      <c r="J322">
        <f t="shared" ca="1" si="106"/>
        <v>0.43310233384149222</v>
      </c>
      <c r="K322">
        <f t="shared" ca="1" si="107"/>
        <v>10.648704667682985</v>
      </c>
      <c r="L322">
        <f t="shared" ca="1" si="108"/>
        <v>8.9162953323170164</v>
      </c>
      <c r="M322">
        <f t="shared" ca="1" si="95"/>
        <v>0.1899999999999995</v>
      </c>
      <c r="N322">
        <f t="shared" ca="1" si="96"/>
        <v>0.1899999999999995</v>
      </c>
      <c r="O322">
        <f t="shared" ca="1" si="97"/>
        <v>0</v>
      </c>
      <c r="P322">
        <f t="shared" ca="1" si="103"/>
        <v>0.12118739744499331</v>
      </c>
      <c r="Q322">
        <f t="shared" ca="1" si="104"/>
        <v>0.14404487878396524</v>
      </c>
      <c r="R322">
        <f t="shared" ca="1" si="101"/>
        <v>0.84131694558018277</v>
      </c>
      <c r="S322">
        <f t="shared" ca="1" si="102"/>
        <v>45.691044531993441</v>
      </c>
      <c r="T322">
        <f>70</f>
        <v>70</v>
      </c>
      <c r="U322">
        <f>30</f>
        <v>30</v>
      </c>
      <c r="V322">
        <f t="shared" ca="1" si="100"/>
        <v>9.4908393958040609</v>
      </c>
      <c r="W322">
        <f t="shared" ca="1" si="110"/>
        <v>9.6234331132131796</v>
      </c>
      <c r="X322">
        <f t="shared" ca="1" si="109"/>
        <v>-0.105289063363184</v>
      </c>
      <c r="Y322">
        <f t="shared" ca="1" si="111"/>
        <v>-5.1491967510211706E-2</v>
      </c>
      <c r="Z322">
        <f t="shared" ca="1" si="112"/>
        <v>-5.3797095852972293E-2</v>
      </c>
      <c r="AA322">
        <f t="shared" ca="1" si="113"/>
        <v>9.8695239999999984</v>
      </c>
      <c r="AB322" s="18">
        <f t="shared" ca="1" si="98"/>
        <v>2.0787746170678245E-2</v>
      </c>
      <c r="AC322" s="18">
        <f t="shared" ca="1" si="99"/>
        <v>2.0574629393193728E-2</v>
      </c>
      <c r="AD322" s="18">
        <f t="shared" ca="1" si="94"/>
        <v>-0.22039506668003672</v>
      </c>
    </row>
    <row r="323" spans="1:30" x14ac:dyDescent="0.25">
      <c r="A323" vm="865">
        <f ca="1"/>
        <v>45761</v>
      </c>
      <c r="B323" vm="866">
        <f ca="1"/>
        <v>9.7100000000000009</v>
      </c>
      <c r="C323" vm="867">
        <f ca="1"/>
        <v>189955001</v>
      </c>
      <c r="D323">
        <f t="shared" ref="D323:D386" ca="1" si="114">B323*C323</f>
        <v>1844463059.7100003</v>
      </c>
      <c r="E323">
        <f ca="1">SUM($D$2:D323)/SUM($C$2:C323)</f>
        <v>10.777347694960543</v>
      </c>
      <c r="F323">
        <f ca="1">_xlfn.STDEV.P($B$2:B323)</f>
        <v>1.1898913437285441</v>
      </c>
      <c r="G323">
        <f t="shared" ref="G323:G386" ca="1" si="115">E323 + F323</f>
        <v>11.967239038689087</v>
      </c>
      <c r="H323">
        <f t="shared" ref="H323:H386" ca="1" si="116">E323 - F323</f>
        <v>9.5874563512319995</v>
      </c>
      <c r="I323">
        <f t="shared" ca="1" si="105"/>
        <v>9.772000000000002</v>
      </c>
      <c r="J323">
        <f t="shared" ca="1" si="106"/>
        <v>0.43213789222276822</v>
      </c>
      <c r="K323">
        <f t="shared" ca="1" si="107"/>
        <v>10.636275784445539</v>
      </c>
      <c r="L323">
        <f t="shared" ca="1" si="108"/>
        <v>8.9077242155544649</v>
      </c>
      <c r="M323">
        <f t="shared" ca="1" si="95"/>
        <v>0.38000000000000078</v>
      </c>
      <c r="N323">
        <f t="shared" ca="1" si="96"/>
        <v>0.38000000000000078</v>
      </c>
      <c r="O323">
        <f t="shared" ca="1" si="97"/>
        <v>0</v>
      </c>
      <c r="P323">
        <f t="shared" ca="1" si="103"/>
        <v>0.13967401191320813</v>
      </c>
      <c r="Q323">
        <f t="shared" ca="1" si="104"/>
        <v>0.13375595887082486</v>
      </c>
      <c r="R323">
        <f t="shared" ca="1" si="101"/>
        <v>1.0442451543269085</v>
      </c>
      <c r="S323">
        <f t="shared" ca="1" si="102"/>
        <v>51.082188069108497</v>
      </c>
      <c r="T323">
        <f>70</f>
        <v>70</v>
      </c>
      <c r="U323">
        <f>30</f>
        <v>30</v>
      </c>
      <c r="V323">
        <f t="shared" ca="1" si="100"/>
        <v>9.5245564118342045</v>
      </c>
      <c r="W323">
        <f t="shared" ca="1" si="110"/>
        <v>9.6298454751973885</v>
      </c>
      <c r="X323">
        <f t="shared" ca="1" si="109"/>
        <v>-0.10343739351678849</v>
      </c>
      <c r="Y323">
        <f t="shared" ca="1" si="111"/>
        <v>-6.1881052711527065E-2</v>
      </c>
      <c r="Z323">
        <f t="shared" ca="1" si="112"/>
        <v>-4.1556340805261424E-2</v>
      </c>
      <c r="AA323">
        <f t="shared" ca="1" si="113"/>
        <v>9.8582659999999986</v>
      </c>
      <c r="AB323" s="18">
        <f t="shared" ca="1" si="98"/>
        <v>4.0728831725616477E-2</v>
      </c>
      <c r="AC323" s="18">
        <f t="shared" ca="1" si="99"/>
        <v>3.9921267443981265E-2</v>
      </c>
      <c r="AD323" s="18">
        <f t="shared" ref="AD323:AD386" ca="1" si="117">(1+AD322)*(1+AB323)-1</f>
        <v>-0.18864266853838751</v>
      </c>
    </row>
    <row r="324" spans="1:30" x14ac:dyDescent="0.25">
      <c r="A324" vm="868">
        <f ca="1"/>
        <v>45762</v>
      </c>
      <c r="B324" vm="869">
        <f ca="1"/>
        <v>9.4499999999999993</v>
      </c>
      <c r="C324" vm="870">
        <f ca="1"/>
        <v>125469023</v>
      </c>
      <c r="D324">
        <f t="shared" ca="1" si="114"/>
        <v>1185682267.3499999</v>
      </c>
      <c r="E324">
        <f ca="1">SUM($D$2:D324)/SUM($C$2:C324)</f>
        <v>10.769746315091142</v>
      </c>
      <c r="F324">
        <f ca="1">_xlfn.STDEV.P($B$2:B324)</f>
        <v>1.1914365742830713</v>
      </c>
      <c r="G324">
        <f t="shared" ca="1" si="115"/>
        <v>11.961182889374214</v>
      </c>
      <c r="H324">
        <f t="shared" ca="1" si="116"/>
        <v>9.57830974080807</v>
      </c>
      <c r="I324">
        <f t="shared" ca="1" si="105"/>
        <v>9.7470000000000034</v>
      </c>
      <c r="J324">
        <f t="shared" ca="1" si="106"/>
        <v>0.43574618396734732</v>
      </c>
      <c r="K324">
        <f t="shared" ca="1" si="107"/>
        <v>10.618492367934698</v>
      </c>
      <c r="L324">
        <f t="shared" ca="1" si="108"/>
        <v>8.8755076320653092</v>
      </c>
      <c r="M324">
        <f t="shared" ref="M324:M387" ca="1" si="118">B324-B323</f>
        <v>-0.26000000000000156</v>
      </c>
      <c r="N324">
        <f t="shared" ref="N324:N387" ca="1" si="119">MAX(M324,0)</f>
        <v>0</v>
      </c>
      <c r="O324">
        <f t="shared" ref="O324:O387" ca="1" si="120">MAX(-M324,0)</f>
        <v>0.26000000000000156</v>
      </c>
      <c r="P324">
        <f t="shared" ca="1" si="103"/>
        <v>0.12969729677655042</v>
      </c>
      <c r="Q324">
        <f t="shared" ca="1" si="104"/>
        <v>0.14277339038005177</v>
      </c>
      <c r="R324">
        <f t="shared" ca="1" si="101"/>
        <v>0.90841365069013358</v>
      </c>
      <c r="S324">
        <f t="shared" ca="1" si="102"/>
        <v>47.600458651174861</v>
      </c>
      <c r="T324">
        <f>70</f>
        <v>70</v>
      </c>
      <c r="U324">
        <f>30</f>
        <v>30</v>
      </c>
      <c r="V324">
        <f t="shared" ca="1" si="100"/>
        <v>9.5130861946289418</v>
      </c>
      <c r="W324">
        <f t="shared" ca="1" si="110"/>
        <v>9.6165235881457303</v>
      </c>
      <c r="X324">
        <f t="shared" ca="1" si="109"/>
        <v>-0.10479648530645846</v>
      </c>
      <c r="Y324">
        <f t="shared" ca="1" si="111"/>
        <v>-7.0464139230513353E-2</v>
      </c>
      <c r="Z324">
        <f t="shared" ca="1" si="112"/>
        <v>-3.4332346075945111E-2</v>
      </c>
      <c r="AA324">
        <f t="shared" ca="1" si="113"/>
        <v>9.8424389999999988</v>
      </c>
      <c r="AB324" s="18">
        <f t="shared" ref="AB324:AB387" ca="1" si="121">(B324/B323)-1</f>
        <v>-2.6776519052523318E-2</v>
      </c>
      <c r="AC324" s="18">
        <f t="shared" ref="AC324:AC387" ca="1" si="122">LN(B324/B323)</f>
        <v>-2.7141540797582308E-2</v>
      </c>
      <c r="AD324" s="18">
        <f t="shared" ca="1" si="117"/>
        <v>-0.21036799358267388</v>
      </c>
    </row>
    <row r="325" spans="1:30" x14ac:dyDescent="0.25">
      <c r="A325" vm="871">
        <f ca="1"/>
        <v>45763</v>
      </c>
      <c r="B325" vm="872">
        <f ca="1"/>
        <v>9.4</v>
      </c>
      <c r="C325" vm="873">
        <f ca="1"/>
        <v>133804943</v>
      </c>
      <c r="D325">
        <f t="shared" ca="1" si="114"/>
        <v>1257766464.2</v>
      </c>
      <c r="E325">
        <f ca="1">SUM($D$2:D325)/SUM($C$2:C325)</f>
        <v>10.761431755431685</v>
      </c>
      <c r="F325">
        <f ca="1">_xlfn.STDEV.P($B$2:B325)</f>
        <v>1.1931604894955834</v>
      </c>
      <c r="G325">
        <f t="shared" ca="1" si="115"/>
        <v>11.954592244927269</v>
      </c>
      <c r="H325">
        <f t="shared" ca="1" si="116"/>
        <v>9.5682712659361009</v>
      </c>
      <c r="I325">
        <f t="shared" ca="1" si="105"/>
        <v>9.708499999999999</v>
      </c>
      <c r="J325">
        <f t="shared" ca="1" si="106"/>
        <v>0.43038874716262104</v>
      </c>
      <c r="K325">
        <f t="shared" ca="1" si="107"/>
        <v>10.569277494325242</v>
      </c>
      <c r="L325">
        <f t="shared" ca="1" si="108"/>
        <v>8.8477225056747564</v>
      </c>
      <c r="M325">
        <f t="shared" ca="1" si="118"/>
        <v>-4.9999999999998934E-2</v>
      </c>
      <c r="N325">
        <f t="shared" ca="1" si="119"/>
        <v>0</v>
      </c>
      <c r="O325">
        <f t="shared" ca="1" si="120"/>
        <v>4.9999999999998934E-2</v>
      </c>
      <c r="P325">
        <f t="shared" ca="1" si="103"/>
        <v>0.12043320414965397</v>
      </c>
      <c r="Q325">
        <f t="shared" ca="1" si="104"/>
        <v>0.13614671963861943</v>
      </c>
      <c r="R325">
        <f t="shared" ca="1" si="101"/>
        <v>0.88458395816899171</v>
      </c>
      <c r="S325">
        <f t="shared" ca="1" si="102"/>
        <v>46.937890685879999</v>
      </c>
      <c r="T325">
        <f>70</f>
        <v>70</v>
      </c>
      <c r="U325">
        <f>30</f>
        <v>30</v>
      </c>
      <c r="V325">
        <f t="shared" ca="1" si="100"/>
        <v>9.4956883185321814</v>
      </c>
      <c r="W325">
        <f t="shared" ca="1" si="110"/>
        <v>9.6004848038386399</v>
      </c>
      <c r="X325">
        <f t="shared" ca="1" si="109"/>
        <v>-8.6319460522792824E-2</v>
      </c>
      <c r="Y325">
        <f t="shared" ca="1" si="111"/>
        <v>-7.363520348896925E-2</v>
      </c>
      <c r="Z325">
        <f t="shared" ca="1" si="112"/>
        <v>-1.2684257033823573E-2</v>
      </c>
      <c r="AA325">
        <f t="shared" ca="1" si="113"/>
        <v>9.8276869999999992</v>
      </c>
      <c r="AB325" s="18">
        <f t="shared" ca="1" si="121"/>
        <v>-5.2910052910051242E-3</v>
      </c>
      <c r="AC325" s="18">
        <f t="shared" ca="1" si="122"/>
        <v>-5.3050522296930061E-3</v>
      </c>
      <c r="AD325" s="18">
        <f t="shared" ca="1" si="117"/>
        <v>-0.21454594070657496</v>
      </c>
    </row>
    <row r="326" spans="1:30" x14ac:dyDescent="0.25">
      <c r="A326" vm="874">
        <f ca="1"/>
        <v>45764</v>
      </c>
      <c r="B326" vm="875">
        <f ca="1"/>
        <v>9.6300000000000008</v>
      </c>
      <c r="C326" vm="876">
        <f ca="1"/>
        <v>129204565</v>
      </c>
      <c r="D326">
        <f t="shared" ca="1" si="114"/>
        <v>1244239960.95</v>
      </c>
      <c r="E326">
        <f ca="1">SUM($D$2:D326)/SUM($C$2:C326)</f>
        <v>10.754838574177178</v>
      </c>
      <c r="F326">
        <f ca="1">_xlfn.STDEV.P($B$2:B326)</f>
        <v>1.1939391719605741</v>
      </c>
      <c r="G326">
        <f t="shared" ca="1" si="115"/>
        <v>11.948777746137752</v>
      </c>
      <c r="H326">
        <f t="shared" ca="1" si="116"/>
        <v>9.5608994022166041</v>
      </c>
      <c r="I326">
        <f t="shared" ca="1" si="105"/>
        <v>9.6894999999999989</v>
      </c>
      <c r="J326">
        <f t="shared" ca="1" si="106"/>
        <v>0.4247287059809009</v>
      </c>
      <c r="K326">
        <f t="shared" ca="1" si="107"/>
        <v>10.538957411961801</v>
      </c>
      <c r="L326">
        <f t="shared" ca="1" si="108"/>
        <v>8.8400425880381963</v>
      </c>
      <c r="M326">
        <f t="shared" ca="1" si="118"/>
        <v>0.23000000000000043</v>
      </c>
      <c r="N326">
        <f t="shared" ca="1" si="119"/>
        <v>0.23000000000000043</v>
      </c>
      <c r="O326">
        <f t="shared" ca="1" si="120"/>
        <v>0</v>
      </c>
      <c r="P326">
        <f t="shared" ca="1" si="103"/>
        <v>0.12825940385325013</v>
      </c>
      <c r="Q326">
        <f t="shared" ca="1" si="104"/>
        <v>0.1264219539501466</v>
      </c>
      <c r="R326">
        <f t="shared" ca="1" si="101"/>
        <v>1.0145342628055576</v>
      </c>
      <c r="S326">
        <f t="shared" ca="1" si="102"/>
        <v>50.360735061048707</v>
      </c>
      <c r="T326">
        <f>70</f>
        <v>70</v>
      </c>
      <c r="U326">
        <f>30</f>
        <v>30</v>
      </c>
      <c r="V326">
        <f t="shared" ca="1" si="100"/>
        <v>9.5163516541426141</v>
      </c>
      <c r="W326">
        <f t="shared" ca="1" si="110"/>
        <v>9.6026711146654069</v>
      </c>
      <c r="X326">
        <f t="shared" ca="1" si="109"/>
        <v>-8.3622994261824957E-2</v>
      </c>
      <c r="Y326">
        <f t="shared" ca="1" si="111"/>
        <v>-7.5632761643540394E-2</v>
      </c>
      <c r="Z326">
        <f t="shared" ca="1" si="112"/>
        <v>-7.9902326182845623E-3</v>
      </c>
      <c r="AA326">
        <f t="shared" ca="1" si="113"/>
        <v>9.818384</v>
      </c>
      <c r="AB326" s="18">
        <f t="shared" ca="1" si="121"/>
        <v>2.4468085106382986E-2</v>
      </c>
      <c r="AC326" s="18">
        <f t="shared" ca="1" si="122"/>
        <v>2.4173536534075984E-2</v>
      </c>
      <c r="AD326" s="18">
        <f t="shared" ca="1" si="117"/>
        <v>-0.19532738393662941</v>
      </c>
    </row>
    <row r="327" spans="1:30" x14ac:dyDescent="0.25">
      <c r="A327" vm="877">
        <f ca="1"/>
        <v>45768</v>
      </c>
      <c r="B327" vm="771">
        <f ca="1"/>
        <v>9.4700000000000006</v>
      </c>
      <c r="C327" vm="878">
        <f ca="1"/>
        <v>94138882</v>
      </c>
      <c r="D327">
        <f t="shared" ca="1" si="114"/>
        <v>891495212.54000008</v>
      </c>
      <c r="E327">
        <f ca="1">SUM($D$2:D327)/SUM($C$2:C327)</f>
        <v>10.749406491399471</v>
      </c>
      <c r="F327">
        <f ca="1">_xlfn.STDEV.P($B$2:B327)</f>
        <v>1.1953115108230021</v>
      </c>
      <c r="G327">
        <f t="shared" ca="1" si="115"/>
        <v>11.944718002222473</v>
      </c>
      <c r="H327">
        <f t="shared" ca="1" si="116"/>
        <v>9.554094980576469</v>
      </c>
      <c r="I327">
        <f t="shared" ca="1" si="105"/>
        <v>9.6630000000000003</v>
      </c>
      <c r="J327">
        <f t="shared" ca="1" si="106"/>
        <v>0.42085251823562037</v>
      </c>
      <c r="K327">
        <f t="shared" ca="1" si="107"/>
        <v>10.504705036471242</v>
      </c>
      <c r="L327">
        <f t="shared" ca="1" si="108"/>
        <v>8.821294963528759</v>
      </c>
      <c r="M327">
        <f t="shared" ca="1" si="118"/>
        <v>-0.16000000000000014</v>
      </c>
      <c r="N327">
        <f t="shared" ca="1" si="119"/>
        <v>0</v>
      </c>
      <c r="O327">
        <f t="shared" ca="1" si="120"/>
        <v>0.16000000000000014</v>
      </c>
      <c r="P327">
        <f t="shared" ca="1" si="103"/>
        <v>0.11909801786373227</v>
      </c>
      <c r="Q327">
        <f t="shared" ca="1" si="104"/>
        <v>0.12882038581085042</v>
      </c>
      <c r="R327">
        <f t="shared" ca="1" si="101"/>
        <v>0.9245277221774999</v>
      </c>
      <c r="S327">
        <f t="shared" ca="1" si="102"/>
        <v>48.039200034564658</v>
      </c>
      <c r="T327">
        <f>70</f>
        <v>70</v>
      </c>
      <c r="U327">
        <f>30</f>
        <v>30</v>
      </c>
      <c r="V327">
        <f t="shared" ca="1" si="100"/>
        <v>9.5092206304283664</v>
      </c>
      <c r="W327">
        <f t="shared" ca="1" si="110"/>
        <v>9.5928436246901914</v>
      </c>
      <c r="X327">
        <f t="shared" ca="1" si="109"/>
        <v>-6.6198435290846902E-2</v>
      </c>
      <c r="Y327">
        <f t="shared" ca="1" si="111"/>
        <v>-7.3745896373001704E-2</v>
      </c>
      <c r="Z327">
        <f t="shared" ca="1" si="112"/>
        <v>7.5474610821548022E-3</v>
      </c>
      <c r="AA327">
        <f t="shared" ca="1" si="113"/>
        <v>9.806792999999999</v>
      </c>
      <c r="AB327" s="18">
        <f t="shared" ca="1" si="121"/>
        <v>-1.6614745586708168E-2</v>
      </c>
      <c r="AC327" s="18">
        <f t="shared" ca="1" si="122"/>
        <v>-1.6754318612047275E-2</v>
      </c>
      <c r="AD327" s="18">
        <f t="shared" ca="1" si="117"/>
        <v>-0.20869681473311319</v>
      </c>
    </row>
    <row r="328" spans="1:30" x14ac:dyDescent="0.25">
      <c r="A328" vm="879">
        <f ca="1"/>
        <v>45769</v>
      </c>
      <c r="B328" vm="784">
        <f ca="1"/>
        <v>9.65</v>
      </c>
      <c r="C328" vm="880">
        <f ca="1"/>
        <v>121387081</v>
      </c>
      <c r="D328">
        <f t="shared" ca="1" si="114"/>
        <v>1171385331.6500001</v>
      </c>
      <c r="E328">
        <f ca="1">SUM($D$2:D328)/SUM($C$2:C328)</f>
        <v>10.743445501491232</v>
      </c>
      <c r="F328">
        <f ca="1">_xlfn.STDEV.P($B$2:B328)</f>
        <v>1.1959723094916763</v>
      </c>
      <c r="G328">
        <f t="shared" ca="1" si="115"/>
        <v>11.939417810982908</v>
      </c>
      <c r="H328">
        <f t="shared" ca="1" si="116"/>
        <v>9.5474731919995559</v>
      </c>
      <c r="I328">
        <f t="shared" ca="1" si="105"/>
        <v>9.6329999999999991</v>
      </c>
      <c r="J328">
        <f t="shared" ca="1" si="106"/>
        <v>0.39754642231409509</v>
      </c>
      <c r="K328">
        <f t="shared" ca="1" si="107"/>
        <v>10.428092844628189</v>
      </c>
      <c r="L328">
        <f t="shared" ca="1" si="108"/>
        <v>8.8379071553718092</v>
      </c>
      <c r="M328">
        <f t="shared" ca="1" si="118"/>
        <v>0.17999999999999972</v>
      </c>
      <c r="N328">
        <f t="shared" ca="1" si="119"/>
        <v>0.17999999999999972</v>
      </c>
      <c r="O328">
        <f t="shared" ca="1" si="120"/>
        <v>0</v>
      </c>
      <c r="P328">
        <f t="shared" ca="1" si="103"/>
        <v>0.12344815944489422</v>
      </c>
      <c r="Q328">
        <f t="shared" ca="1" si="104"/>
        <v>0.11961892968150398</v>
      </c>
      <c r="R328">
        <f t="shared" ca="1" si="101"/>
        <v>1.0320119045838807</v>
      </c>
      <c r="S328">
        <f t="shared" ca="1" si="102"/>
        <v>50.78768988783154</v>
      </c>
      <c r="T328">
        <f>70</f>
        <v>70</v>
      </c>
      <c r="U328">
        <f>30</f>
        <v>30</v>
      </c>
      <c r="V328">
        <f t="shared" ca="1" si="100"/>
        <v>9.530878994977849</v>
      </c>
      <c r="W328">
        <f t="shared" ca="1" si="110"/>
        <v>9.5970774302686959</v>
      </c>
      <c r="X328">
        <f t="shared" ca="1" si="109"/>
        <v>-4.1421946805996868E-2</v>
      </c>
      <c r="Y328">
        <f t="shared" ca="1" si="111"/>
        <v>-6.728110645960074E-2</v>
      </c>
      <c r="Z328">
        <f t="shared" ca="1" si="112"/>
        <v>2.5859159653603872E-2</v>
      </c>
      <c r="AA328">
        <f t="shared" ca="1" si="113"/>
        <v>9.7932619999999986</v>
      </c>
      <c r="AB328" s="18">
        <f t="shared" ca="1" si="121"/>
        <v>1.9007391763463444E-2</v>
      </c>
      <c r="AC328" s="18">
        <f t="shared" ca="1" si="122"/>
        <v>1.8829008152907559E-2</v>
      </c>
      <c r="AD328" s="18">
        <f t="shared" ca="1" si="117"/>
        <v>-0.19365620508706893</v>
      </c>
    </row>
    <row r="329" spans="1:30" x14ac:dyDescent="0.25">
      <c r="A329" vm="881">
        <f ca="1"/>
        <v>45770</v>
      </c>
      <c r="B329" vm="882">
        <f ca="1"/>
        <v>9.7799999999999994</v>
      </c>
      <c r="C329" vm="883">
        <f ca="1"/>
        <v>158691527</v>
      </c>
      <c r="D329">
        <f t="shared" ca="1" si="114"/>
        <v>1552003134.0599999</v>
      </c>
      <c r="E329">
        <f ca="1">SUM($D$2:D329)/SUM($C$2:C329)</f>
        <v>10.73666438869177</v>
      </c>
      <c r="F329">
        <f ca="1">_xlfn.STDEV.P($B$2:B329)</f>
        <v>1.1961751155867266</v>
      </c>
      <c r="G329">
        <f t="shared" ca="1" si="115"/>
        <v>11.932839504278496</v>
      </c>
      <c r="H329">
        <f t="shared" ca="1" si="116"/>
        <v>9.5404892731050435</v>
      </c>
      <c r="I329">
        <f t="shared" ca="1" si="105"/>
        <v>9.6074999999999982</v>
      </c>
      <c r="J329">
        <f t="shared" ca="1" si="106"/>
        <v>0.36848016443079723</v>
      </c>
      <c r="K329">
        <f t="shared" ca="1" si="107"/>
        <v>10.344460328861592</v>
      </c>
      <c r="L329">
        <f t="shared" ca="1" si="108"/>
        <v>8.8705396711384044</v>
      </c>
      <c r="M329">
        <f t="shared" ca="1" si="118"/>
        <v>0.12999999999999901</v>
      </c>
      <c r="N329">
        <f t="shared" ca="1" si="119"/>
        <v>0.12999999999999901</v>
      </c>
      <c r="O329">
        <f t="shared" ca="1" si="120"/>
        <v>0</v>
      </c>
      <c r="P329">
        <f t="shared" ca="1" si="103"/>
        <v>0.12391614805597313</v>
      </c>
      <c r="Q329">
        <f t="shared" ca="1" si="104"/>
        <v>0.1110747204185394</v>
      </c>
      <c r="R329">
        <f t="shared" ca="1" si="101"/>
        <v>1.1156107131221766</v>
      </c>
      <c r="S329">
        <f t="shared" ca="1" si="102"/>
        <v>52.732324817725107</v>
      </c>
      <c r="T329">
        <f>70</f>
        <v>70</v>
      </c>
      <c r="U329">
        <f>30</f>
        <v>30</v>
      </c>
      <c r="V329">
        <f t="shared" ca="1" si="100"/>
        <v>9.5692053034427946</v>
      </c>
      <c r="W329">
        <f t="shared" ca="1" si="110"/>
        <v>9.6106272502487915</v>
      </c>
      <c r="X329">
        <f t="shared" ca="1" si="109"/>
        <v>7.9805923547837665E-4</v>
      </c>
      <c r="Y329">
        <f t="shared" ca="1" si="111"/>
        <v>-5.3665273320584919E-2</v>
      </c>
      <c r="Z329">
        <f t="shared" ca="1" si="112"/>
        <v>5.4463332556063296E-2</v>
      </c>
      <c r="AA329">
        <f t="shared" ca="1" si="113"/>
        <v>9.7788649999999997</v>
      </c>
      <c r="AB329" s="18">
        <f t="shared" ca="1" si="121"/>
        <v>1.3471502590673534E-2</v>
      </c>
      <c r="AC329" s="18">
        <f t="shared" ca="1" si="122"/>
        <v>1.3381568695831368E-2</v>
      </c>
      <c r="AD329" s="18">
        <f t="shared" ca="1" si="117"/>
        <v>-0.18279354256492586</v>
      </c>
    </row>
    <row r="330" spans="1:30" x14ac:dyDescent="0.25">
      <c r="A330" vm="884">
        <f ca="1"/>
        <v>45771</v>
      </c>
      <c r="B330" vm="885">
        <f ca="1"/>
        <v>10.06</v>
      </c>
      <c r="C330" vm="886">
        <f ca="1"/>
        <v>87031042</v>
      </c>
      <c r="D330">
        <f t="shared" ca="1" si="114"/>
        <v>875532282.5200001</v>
      </c>
      <c r="E330">
        <f ca="1">SUM($D$2:D330)/SUM($C$2:C330)</f>
        <v>10.734062465906359</v>
      </c>
      <c r="F330">
        <f ca="1">_xlfn.STDEV.P($B$2:B330)</f>
        <v>1.1955706348725283</v>
      </c>
      <c r="G330">
        <f t="shared" ca="1" si="115"/>
        <v>11.929633100778887</v>
      </c>
      <c r="H330">
        <f t="shared" ca="1" si="116"/>
        <v>9.5384918310338307</v>
      </c>
      <c r="I330">
        <f t="shared" ca="1" si="105"/>
        <v>9.5954999999999995</v>
      </c>
      <c r="J330">
        <f t="shared" ca="1" si="106"/>
        <v>0.34808460858940904</v>
      </c>
      <c r="K330">
        <f t="shared" ca="1" si="107"/>
        <v>10.291669217178818</v>
      </c>
      <c r="L330">
        <f t="shared" ca="1" si="108"/>
        <v>8.8993307828211812</v>
      </c>
      <c r="M330">
        <f t="shared" ca="1" si="118"/>
        <v>0.28000000000000114</v>
      </c>
      <c r="N330">
        <f t="shared" ca="1" si="119"/>
        <v>0.28000000000000114</v>
      </c>
      <c r="O330">
        <f t="shared" ca="1" si="120"/>
        <v>0</v>
      </c>
      <c r="P330">
        <f t="shared" ca="1" si="103"/>
        <v>0.13506499462340371</v>
      </c>
      <c r="Q330">
        <f t="shared" ca="1" si="104"/>
        <v>0.10314081181721516</v>
      </c>
      <c r="R330">
        <f t="shared" ca="1" si="101"/>
        <v>1.3095203755305338</v>
      </c>
      <c r="S330">
        <f t="shared" ca="1" si="102"/>
        <v>56.700966547208573</v>
      </c>
      <c r="T330">
        <f>70</f>
        <v>70</v>
      </c>
      <c r="U330">
        <f>30</f>
        <v>30</v>
      </c>
      <c r="V330">
        <f t="shared" ca="1" si="100"/>
        <v>9.6447121798362119</v>
      </c>
      <c r="W330">
        <f t="shared" ca="1" si="110"/>
        <v>9.6439141206007335</v>
      </c>
      <c r="X330">
        <f t="shared" ca="1" si="109"/>
        <v>3.2271875259590743E-2</v>
      </c>
      <c r="Y330">
        <f t="shared" ca="1" si="111"/>
        <v>-3.6477843604549788E-2</v>
      </c>
      <c r="Z330">
        <f t="shared" ca="1" si="112"/>
        <v>6.8749718864140524E-2</v>
      </c>
      <c r="AA330">
        <f t="shared" ca="1" si="113"/>
        <v>9.7702209999999994</v>
      </c>
      <c r="AB330" s="18">
        <f t="shared" ca="1" si="121"/>
        <v>2.8629856850715951E-2</v>
      </c>
      <c r="AC330" s="18">
        <f t="shared" ca="1" si="122"/>
        <v>2.8227680624867382E-2</v>
      </c>
      <c r="AD330" s="18">
        <f t="shared" ca="1" si="117"/>
        <v>-0.15939703867107902</v>
      </c>
    </row>
    <row r="331" spans="1:30" x14ac:dyDescent="0.25">
      <c r="A331" vm="887">
        <f ca="1"/>
        <v>45772</v>
      </c>
      <c r="B331" vm="888">
        <f ca="1"/>
        <v>10.039999999999999</v>
      </c>
      <c r="C331" vm="889">
        <f ca="1"/>
        <v>88682432</v>
      </c>
      <c r="D331">
        <f t="shared" ca="1" si="114"/>
        <v>890371617.27999997</v>
      </c>
      <c r="E331">
        <f ca="1">SUM($D$2:D331)/SUM($C$2:C331)</f>
        <v>10.731353617297817</v>
      </c>
      <c r="F331">
        <f ca="1">_xlfn.STDEV.P($B$2:B331)</f>
        <v>1.1950120221379679</v>
      </c>
      <c r="G331">
        <f t="shared" ca="1" si="115"/>
        <v>11.926365639435785</v>
      </c>
      <c r="H331">
        <f t="shared" ca="1" si="116"/>
        <v>9.5363415951598487</v>
      </c>
      <c r="I331">
        <f t="shared" ca="1" si="105"/>
        <v>9.6024999999999991</v>
      </c>
      <c r="J331">
        <f t="shared" ca="1" si="106"/>
        <v>0.35585146221126407</v>
      </c>
      <c r="K331">
        <f t="shared" ca="1" si="107"/>
        <v>10.314202924422528</v>
      </c>
      <c r="L331">
        <f t="shared" ca="1" si="108"/>
        <v>8.8907970755774706</v>
      </c>
      <c r="M331">
        <f t="shared" ca="1" si="118"/>
        <v>-2.000000000000135E-2</v>
      </c>
      <c r="N331">
        <f t="shared" ca="1" si="119"/>
        <v>0</v>
      </c>
      <c r="O331">
        <f t="shared" ca="1" si="120"/>
        <v>2.000000000000135E-2</v>
      </c>
      <c r="P331">
        <f t="shared" ca="1" si="103"/>
        <v>0.12541749500744631</v>
      </c>
      <c r="Q331">
        <f t="shared" ca="1" si="104"/>
        <v>9.720218240169988E-2</v>
      </c>
      <c r="R331">
        <f t="shared" ca="1" si="101"/>
        <v>1.2902744764427532</v>
      </c>
      <c r="S331">
        <f t="shared" ca="1" si="102"/>
        <v>56.337111106735257</v>
      </c>
      <c r="T331">
        <f>70</f>
        <v>70</v>
      </c>
      <c r="U331">
        <f>30</f>
        <v>30</v>
      </c>
      <c r="V331">
        <f t="shared" ca="1" si="100"/>
        <v>9.7055256906306404</v>
      </c>
      <c r="W331">
        <f t="shared" ca="1" si="110"/>
        <v>9.6732538153710497</v>
      </c>
      <c r="X331">
        <f t="shared" ca="1" si="109"/>
        <v>5.4967635674383786E-2</v>
      </c>
      <c r="Y331">
        <f t="shared" ca="1" si="111"/>
        <v>-1.8188747748763074E-2</v>
      </c>
      <c r="Z331">
        <f t="shared" ca="1" si="112"/>
        <v>7.3156383423146856E-2</v>
      </c>
      <c r="AA331">
        <f t="shared" ca="1" si="113"/>
        <v>9.7613769999999995</v>
      </c>
      <c r="AB331" s="18">
        <f t="shared" ca="1" si="121"/>
        <v>-1.9880715705766772E-3</v>
      </c>
      <c r="AC331" s="18">
        <f t="shared" ca="1" si="122"/>
        <v>-1.9900504080101475E-3</v>
      </c>
      <c r="AD331" s="18">
        <f t="shared" ca="1" si="117"/>
        <v>-0.1610682175206396</v>
      </c>
    </row>
    <row r="332" spans="1:30" x14ac:dyDescent="0.25">
      <c r="A332" vm="890">
        <f ca="1"/>
        <v>45775</v>
      </c>
      <c r="B332" vm="891">
        <f ca="1"/>
        <v>10.02</v>
      </c>
      <c r="C332" vm="892">
        <f ca="1"/>
        <v>77051524</v>
      </c>
      <c r="D332">
        <f t="shared" ca="1" si="114"/>
        <v>772056270.48000002</v>
      </c>
      <c r="E332">
        <f ca="1">SUM($D$2:D332)/SUM($C$2:C332)</f>
        <v>10.728949558143505</v>
      </c>
      <c r="F332">
        <f ca="1">_xlfn.STDEV.P($B$2:B332)</f>
        <v>1.1944995459132963</v>
      </c>
      <c r="G332">
        <f t="shared" ca="1" si="115"/>
        <v>11.9234491040568</v>
      </c>
      <c r="H332">
        <f t="shared" ca="1" si="116"/>
        <v>9.5344500122302094</v>
      </c>
      <c r="I332">
        <f t="shared" ca="1" si="105"/>
        <v>9.6175000000000015</v>
      </c>
      <c r="J332">
        <f t="shared" ca="1" si="106"/>
        <v>0.36720673941757137</v>
      </c>
      <c r="K332">
        <f t="shared" ca="1" si="107"/>
        <v>10.351913478835144</v>
      </c>
      <c r="L332">
        <f t="shared" ca="1" si="108"/>
        <v>8.8830865211648593</v>
      </c>
      <c r="M332">
        <f t="shared" ca="1" si="118"/>
        <v>-1.9999999999999574E-2</v>
      </c>
      <c r="N332">
        <f t="shared" ca="1" si="119"/>
        <v>0</v>
      </c>
      <c r="O332">
        <f t="shared" ca="1" si="120"/>
        <v>1.9999999999999574E-2</v>
      </c>
      <c r="P332">
        <f t="shared" ca="1" si="103"/>
        <v>0.11645910250691442</v>
      </c>
      <c r="Q332">
        <f t="shared" ca="1" si="104"/>
        <v>9.1687740801578418E-2</v>
      </c>
      <c r="R332">
        <f t="shared" ca="1" si="101"/>
        <v>1.2701709245835138</v>
      </c>
      <c r="S332">
        <f t="shared" ca="1" si="102"/>
        <v>55.950453370225411</v>
      </c>
      <c r="T332">
        <f>70</f>
        <v>70</v>
      </c>
      <c r="U332">
        <f>30</f>
        <v>30</v>
      </c>
      <c r="V332">
        <f t="shared" ca="1" si="100"/>
        <v>9.7539063536105424</v>
      </c>
      <c r="W332">
        <f t="shared" ca="1" si="110"/>
        <v>9.6989387179361586</v>
      </c>
      <c r="X332">
        <f t="shared" ca="1" si="109"/>
        <v>8.2493172914757551E-2</v>
      </c>
      <c r="Y332">
        <f t="shared" ca="1" si="111"/>
        <v>1.9476363839410517E-3</v>
      </c>
      <c r="Z332">
        <f t="shared" ca="1" si="112"/>
        <v>8.0545536530816503E-2</v>
      </c>
      <c r="AA332">
        <f t="shared" ca="1" si="113"/>
        <v>9.7520379999999989</v>
      </c>
      <c r="AB332" s="18">
        <f t="shared" ca="1" si="121"/>
        <v>-1.9920318725099584E-3</v>
      </c>
      <c r="AC332" s="18">
        <f t="shared" ca="1" si="122"/>
        <v>-1.9940186068643953E-3</v>
      </c>
      <c r="AD332" s="18">
        <f t="shared" ca="1" si="117"/>
        <v>-0.16273939637020007</v>
      </c>
    </row>
    <row r="333" spans="1:30" x14ac:dyDescent="0.25">
      <c r="A333" vm="893">
        <f ca="1"/>
        <v>45776</v>
      </c>
      <c r="B333" vm="843">
        <f ca="1"/>
        <v>10.15</v>
      </c>
      <c r="C333" vm="894">
        <f ca="1"/>
        <v>141980313</v>
      </c>
      <c r="D333">
        <f t="shared" ca="1" si="114"/>
        <v>1441100176.95</v>
      </c>
      <c r="E333">
        <f ca="1">SUM($D$2:D333)/SUM($C$2:C333)</f>
        <v>10.725366522810026</v>
      </c>
      <c r="F333">
        <f ca="1">_xlfn.STDEV.P($B$2:B333)</f>
        <v>1.193673224488681</v>
      </c>
      <c r="G333">
        <f t="shared" ca="1" si="115"/>
        <v>11.919039747298706</v>
      </c>
      <c r="H333">
        <f t="shared" ca="1" si="116"/>
        <v>9.5316932983213452</v>
      </c>
      <c r="I333">
        <f t="shared" ca="1" si="105"/>
        <v>9.6235000000000017</v>
      </c>
      <c r="J333">
        <f t="shared" ca="1" si="106"/>
        <v>0.37519503700005641</v>
      </c>
      <c r="K333">
        <f t="shared" ca="1" si="107"/>
        <v>10.373890074000114</v>
      </c>
      <c r="L333">
        <f t="shared" ca="1" si="108"/>
        <v>8.8731099259998896</v>
      </c>
      <c r="M333">
        <f t="shared" ca="1" si="118"/>
        <v>0.13000000000000078</v>
      </c>
      <c r="N333">
        <f t="shared" ca="1" si="119"/>
        <v>0.13000000000000078</v>
      </c>
      <c r="O333">
        <f t="shared" ca="1" si="120"/>
        <v>0</v>
      </c>
      <c r="P333">
        <f t="shared" ca="1" si="103"/>
        <v>0.1174263094707063</v>
      </c>
      <c r="Q333">
        <f t="shared" ca="1" si="104"/>
        <v>8.5138616458608526E-2</v>
      </c>
      <c r="R333">
        <f t="shared" ca="1" si="101"/>
        <v>1.3792367594767638</v>
      </c>
      <c r="S333">
        <f t="shared" ca="1" si="102"/>
        <v>57.969714614701999</v>
      </c>
      <c r="T333">
        <f>70</f>
        <v>70</v>
      </c>
      <c r="U333">
        <f>30</f>
        <v>30</v>
      </c>
      <c r="V333">
        <f t="shared" ca="1" si="100"/>
        <v>9.814843837670459</v>
      </c>
      <c r="W333">
        <f t="shared" ca="1" si="110"/>
        <v>9.7323506647557014</v>
      </c>
      <c r="X333">
        <f t="shared" ca="1" si="109"/>
        <v>9.1950580463031173E-2</v>
      </c>
      <c r="Y333">
        <f t="shared" ca="1" si="111"/>
        <v>1.9948225199759077E-2</v>
      </c>
      <c r="Z333">
        <f t="shared" ca="1" si="112"/>
        <v>7.2002355263272089E-2</v>
      </c>
      <c r="AA333">
        <f t="shared" ca="1" si="113"/>
        <v>9.745474999999999</v>
      </c>
      <c r="AB333" s="18">
        <f t="shared" ca="1" si="121"/>
        <v>1.2974051896207595E-2</v>
      </c>
      <c r="AC333" s="18">
        <f t="shared" ca="1" si="122"/>
        <v>1.2890609831077609E-2</v>
      </c>
      <c r="AD333" s="18">
        <f t="shared" ca="1" si="117"/>
        <v>-0.151876733848057</v>
      </c>
    </row>
    <row r="334" spans="1:30" x14ac:dyDescent="0.25">
      <c r="A334" vm="895">
        <f ca="1"/>
        <v>45777</v>
      </c>
      <c r="B334" vm="817">
        <f ca="1"/>
        <v>10.01</v>
      </c>
      <c r="C334" vm="896">
        <f ca="1"/>
        <v>136406235</v>
      </c>
      <c r="D334">
        <f t="shared" ca="1" si="114"/>
        <v>1365426412.3499999</v>
      </c>
      <c r="E334">
        <f ca="1">SUM($D$2:D334)/SUM($C$2:C334)</f>
        <v>10.721138177459068</v>
      </c>
      <c r="F334">
        <f ca="1">_xlfn.STDEV.P($B$2:B334)</f>
        <v>1.1931782294988602</v>
      </c>
      <c r="G334">
        <f t="shared" ca="1" si="115"/>
        <v>11.914316406957928</v>
      </c>
      <c r="H334">
        <f t="shared" ca="1" si="116"/>
        <v>9.5279599479602073</v>
      </c>
      <c r="I334">
        <f t="shared" ca="1" si="105"/>
        <v>9.6269999999999989</v>
      </c>
      <c r="J334">
        <f t="shared" ca="1" si="106"/>
        <v>0.37861381518987336</v>
      </c>
      <c r="K334">
        <f t="shared" ca="1" si="107"/>
        <v>10.384227630379746</v>
      </c>
      <c r="L334">
        <f t="shared" ca="1" si="108"/>
        <v>8.869772369620252</v>
      </c>
      <c r="M334">
        <f t="shared" ca="1" si="118"/>
        <v>-0.14000000000000057</v>
      </c>
      <c r="N334">
        <f t="shared" ca="1" si="119"/>
        <v>0</v>
      </c>
      <c r="O334">
        <f t="shared" ca="1" si="120"/>
        <v>0.14000000000000057</v>
      </c>
      <c r="P334">
        <f t="shared" ca="1" si="103"/>
        <v>0.10903871593708443</v>
      </c>
      <c r="Q334">
        <f t="shared" ca="1" si="104"/>
        <v>8.9057286711565098E-2</v>
      </c>
      <c r="R334">
        <f t="shared" ca="1" si="101"/>
        <v>1.2243660228526199</v>
      </c>
      <c r="S334">
        <f t="shared" ca="1" si="102"/>
        <v>55.043370123161736</v>
      </c>
      <c r="T334">
        <f>70</f>
        <v>70</v>
      </c>
      <c r="U334">
        <f>30</f>
        <v>30</v>
      </c>
      <c r="V334">
        <f t="shared" ca="1" si="100"/>
        <v>9.8448678626442359</v>
      </c>
      <c r="W334">
        <f t="shared" ca="1" si="110"/>
        <v>9.7529172821812047</v>
      </c>
      <c r="X334">
        <f t="shared" ca="1" si="109"/>
        <v>0.11187361394998874</v>
      </c>
      <c r="Y334">
        <f t="shared" ca="1" si="111"/>
        <v>3.8333302949805012E-2</v>
      </c>
      <c r="Z334">
        <f t="shared" ca="1" si="112"/>
        <v>7.3540311000183725E-2</v>
      </c>
      <c r="AA334">
        <f t="shared" ca="1" si="113"/>
        <v>9.7390869999999978</v>
      </c>
      <c r="AB334" s="18">
        <f t="shared" ca="1" si="121"/>
        <v>-1.379310344827589E-2</v>
      </c>
      <c r="AC334" s="18">
        <f t="shared" ca="1" si="122"/>
        <v>-1.388911216066715E-2</v>
      </c>
      <c r="AD334" s="18">
        <f t="shared" ca="1" si="117"/>
        <v>-0.16357498579498042</v>
      </c>
    </row>
    <row r="335" spans="1:30" x14ac:dyDescent="0.25">
      <c r="A335" vm="897">
        <f ca="1"/>
        <v>45778</v>
      </c>
      <c r="B335" vm="898">
        <f ca="1"/>
        <v>10.18</v>
      </c>
      <c r="C335" vm="899">
        <f ca="1"/>
        <v>126532486</v>
      </c>
      <c r="D335">
        <f t="shared" ca="1" si="114"/>
        <v>1288100707.48</v>
      </c>
      <c r="E335">
        <f ca="1">SUM($D$2:D335)/SUM($C$2:C335)</f>
        <v>10.718187354548785</v>
      </c>
      <c r="F335">
        <f ca="1">_xlfn.STDEV.P($B$2:B335)</f>
        <v>1.1922828812213173</v>
      </c>
      <c r="G335">
        <f t="shared" ca="1" si="115"/>
        <v>11.910470235770102</v>
      </c>
      <c r="H335">
        <f t="shared" ca="1" si="116"/>
        <v>9.5259044733274685</v>
      </c>
      <c r="I335">
        <f t="shared" ca="1" si="105"/>
        <v>9.6284999999999989</v>
      </c>
      <c r="J335">
        <f t="shared" ca="1" si="106"/>
        <v>0.38084773860428783</v>
      </c>
      <c r="K335">
        <f t="shared" ca="1" si="107"/>
        <v>10.390195477208575</v>
      </c>
      <c r="L335">
        <f t="shared" ca="1" si="108"/>
        <v>8.8668045227914227</v>
      </c>
      <c r="M335">
        <f t="shared" ca="1" si="118"/>
        <v>0.16999999999999993</v>
      </c>
      <c r="N335">
        <f t="shared" ca="1" si="119"/>
        <v>0.16999999999999993</v>
      </c>
      <c r="O335">
        <f t="shared" ca="1" si="120"/>
        <v>0</v>
      </c>
      <c r="P335">
        <f t="shared" ca="1" si="103"/>
        <v>0.11339309337014983</v>
      </c>
      <c r="Q335">
        <f t="shared" ca="1" si="104"/>
        <v>8.2696051946453311E-2</v>
      </c>
      <c r="R335">
        <f t="shared" ca="1" si="101"/>
        <v>1.3712032279796527</v>
      </c>
      <c r="S335">
        <f t="shared" ca="1" si="102"/>
        <v>57.827317869669287</v>
      </c>
      <c r="T335">
        <f>70</f>
        <v>70</v>
      </c>
      <c r="U335">
        <f>30</f>
        <v>30</v>
      </c>
      <c r="V335">
        <f t="shared" ref="V335:V398" ca="1" si="123">B335*(2/(12+1)) + V334*(1-(2/(12+1)))</f>
        <v>9.8964266530066602</v>
      </c>
      <c r="W335">
        <f t="shared" ca="1" si="110"/>
        <v>9.7845530390566715</v>
      </c>
      <c r="X335">
        <f t="shared" ca="1" si="109"/>
        <v>0.13418512321811704</v>
      </c>
      <c r="Y335">
        <f t="shared" ca="1" si="111"/>
        <v>5.7503667003467415E-2</v>
      </c>
      <c r="Z335">
        <f t="shared" ca="1" si="112"/>
        <v>7.6681456214649626E-2</v>
      </c>
      <c r="AA335">
        <f t="shared" ca="1" si="113"/>
        <v>9.735185999999997</v>
      </c>
      <c r="AB335" s="18">
        <f t="shared" ca="1" si="121"/>
        <v>1.6983016983016963E-2</v>
      </c>
      <c r="AC335" s="18">
        <f t="shared" ca="1" si="122"/>
        <v>1.6840417795247448E-2</v>
      </c>
      <c r="AD335" s="18">
        <f t="shared" ca="1" si="117"/>
        <v>-0.1493699655737164</v>
      </c>
    </row>
    <row r="336" spans="1:30" x14ac:dyDescent="0.25">
      <c r="A336" vm="900">
        <f ca="1"/>
        <v>45779</v>
      </c>
      <c r="B336" vm="901">
        <f ca="1"/>
        <v>10.28</v>
      </c>
      <c r="C336" vm="902">
        <f ca="1"/>
        <v>82228655</v>
      </c>
      <c r="D336">
        <f t="shared" ca="1" si="114"/>
        <v>845310573.39999998</v>
      </c>
      <c r="E336">
        <f ca="1">SUM($D$2:D336)/SUM($C$2:C336)</f>
        <v>10.716640036211931</v>
      </c>
      <c r="F336">
        <f ca="1">_xlfn.STDEV.P($B$2:B336)</f>
        <v>1.191189151287241</v>
      </c>
      <c r="G336">
        <f t="shared" ca="1" si="115"/>
        <v>11.907829187499171</v>
      </c>
      <c r="H336">
        <f t="shared" ca="1" si="116"/>
        <v>9.5254508849246911</v>
      </c>
      <c r="I336">
        <f t="shared" ca="1" si="105"/>
        <v>9.6654999999999998</v>
      </c>
      <c r="J336">
        <f t="shared" ca="1" si="106"/>
        <v>0.40685539911555013</v>
      </c>
      <c r="K336">
        <f t="shared" ca="1" si="107"/>
        <v>10.479210798231101</v>
      </c>
      <c r="L336">
        <f t="shared" ca="1" si="108"/>
        <v>8.8517892017688986</v>
      </c>
      <c r="M336">
        <f t="shared" ca="1" si="118"/>
        <v>9.9999999999999645E-2</v>
      </c>
      <c r="N336">
        <f t="shared" ca="1" si="119"/>
        <v>9.9999999999999645E-2</v>
      </c>
      <c r="O336">
        <f t="shared" ca="1" si="120"/>
        <v>0</v>
      </c>
      <c r="P336">
        <f t="shared" ca="1" si="103"/>
        <v>0.11243644384371053</v>
      </c>
      <c r="Q336">
        <f t="shared" ca="1" si="104"/>
        <v>7.6789191093135215E-2</v>
      </c>
      <c r="R336">
        <f t="shared" ref="R336:R399" ca="1" si="124">IF(Q336=0,NA(),P336/Q336)</f>
        <v>1.4642222719515285</v>
      </c>
      <c r="S336">
        <f t="shared" ref="S336:S399" ca="1" si="125">100-(100/(1+R336))</f>
        <v>59.419245115090405</v>
      </c>
      <c r="T336">
        <f>70</f>
        <v>70</v>
      </c>
      <c r="U336">
        <f>30</f>
        <v>30</v>
      </c>
      <c r="V336">
        <f t="shared" ca="1" si="123"/>
        <v>9.9554379371594806</v>
      </c>
      <c r="W336">
        <f t="shared" ca="1" si="110"/>
        <v>9.8212528139413635</v>
      </c>
      <c r="X336">
        <f t="shared" ca="1" si="109"/>
        <v>0.14136154645419552</v>
      </c>
      <c r="Y336">
        <f t="shared" ca="1" si="111"/>
        <v>7.4275242893613036E-2</v>
      </c>
      <c r="Z336">
        <f t="shared" ca="1" si="112"/>
        <v>6.7086303560582483E-2</v>
      </c>
      <c r="AA336">
        <f t="shared" ca="1" si="113"/>
        <v>9.7352379999999972</v>
      </c>
      <c r="AB336" s="18">
        <f t="shared" ca="1" si="121"/>
        <v>9.8231827111983083E-3</v>
      </c>
      <c r="AC336" s="18">
        <f t="shared" ca="1" si="122"/>
        <v>9.7752489046422468E-3</v>
      </c>
      <c r="AD336" s="18">
        <f t="shared" ca="1" si="117"/>
        <v>-0.14101407132591415</v>
      </c>
    </row>
    <row r="337" spans="1:30" x14ac:dyDescent="0.25">
      <c r="A337" vm="903">
        <f ca="1"/>
        <v>45782</v>
      </c>
      <c r="B337" vm="814">
        <f ca="1"/>
        <v>10.17</v>
      </c>
      <c r="C337" vm="904">
        <f ca="1"/>
        <v>105766259</v>
      </c>
      <c r="D337">
        <f t="shared" ca="1" si="114"/>
        <v>1075642854.03</v>
      </c>
      <c r="E337">
        <f ca="1">SUM($D$2:D337)/SUM($C$2:C337)</f>
        <v>10.714168442162139</v>
      </c>
      <c r="F337">
        <f ca="1">_xlfn.STDEV.P($B$2:B337)</f>
        <v>1.1903146932880488</v>
      </c>
      <c r="G337">
        <f t="shared" ca="1" si="115"/>
        <v>11.904483135450187</v>
      </c>
      <c r="H337">
        <f t="shared" ca="1" si="116"/>
        <v>9.5238537488740906</v>
      </c>
      <c r="I337">
        <f t="shared" ca="1" si="105"/>
        <v>9.6950000000000003</v>
      </c>
      <c r="J337">
        <f t="shared" ca="1" si="106"/>
        <v>0.4214573712600998</v>
      </c>
      <c r="K337">
        <f t="shared" ca="1" si="107"/>
        <v>10.537914742520201</v>
      </c>
      <c r="L337">
        <f t="shared" ca="1" si="108"/>
        <v>8.8520852574797999</v>
      </c>
      <c r="M337">
        <f t="shared" ca="1" si="118"/>
        <v>-0.10999999999999943</v>
      </c>
      <c r="N337">
        <f t="shared" ca="1" si="119"/>
        <v>0</v>
      </c>
      <c r="O337">
        <f t="shared" ca="1" si="120"/>
        <v>0.10999999999999943</v>
      </c>
      <c r="P337">
        <f t="shared" ref="P337:P400" ca="1" si="126">(P336*13+N337)/14</f>
        <v>0.1044052692834455</v>
      </c>
      <c r="Q337">
        <f t="shared" ref="Q337:Q400" ca="1" si="127">(Q336*13+O337)/14</f>
        <v>7.9161391729339795E-2</v>
      </c>
      <c r="R337">
        <f t="shared" ca="1" si="124"/>
        <v>1.318891280239449</v>
      </c>
      <c r="S337">
        <f t="shared" ca="1" si="125"/>
        <v>56.87594289039977</v>
      </c>
      <c r="T337">
        <f>70</f>
        <v>70</v>
      </c>
      <c r="U337">
        <f>30</f>
        <v>30</v>
      </c>
      <c r="V337">
        <f t="shared" ca="1" si="123"/>
        <v>9.9884474852887912</v>
      </c>
      <c r="W337">
        <f t="shared" ca="1" si="110"/>
        <v>9.8470859388345957</v>
      </c>
      <c r="X337">
        <f t="shared" ca="1" si="109"/>
        <v>0.16691160401574834</v>
      </c>
      <c r="Y337">
        <f t="shared" ca="1" si="111"/>
        <v>9.2802515118040108E-2</v>
      </c>
      <c r="Z337">
        <f t="shared" ca="1" si="112"/>
        <v>7.4109088897708231E-2</v>
      </c>
      <c r="AA337">
        <f t="shared" ca="1" si="113"/>
        <v>9.7335009999999968</v>
      </c>
      <c r="AB337" s="18">
        <f t="shared" ca="1" si="121"/>
        <v>-1.0700389105058328E-2</v>
      </c>
      <c r="AC337" s="18">
        <f t="shared" ca="1" si="122"/>
        <v>-1.0758049966550427E-2</v>
      </c>
      <c r="AD337" s="18">
        <f t="shared" ca="1" si="117"/>
        <v>-0.15020555499849675</v>
      </c>
    </row>
    <row r="338" spans="1:30" x14ac:dyDescent="0.25">
      <c r="A338" vm="905">
        <f ca="1"/>
        <v>45783</v>
      </c>
      <c r="B338" vm="906">
        <f ca="1"/>
        <v>10.44</v>
      </c>
      <c r="C338" vm="907">
        <f ca="1"/>
        <v>131814035</v>
      </c>
      <c r="D338">
        <f t="shared" ca="1" si="114"/>
        <v>1376138525.3999999</v>
      </c>
      <c r="E338">
        <f ca="1">SUM($D$2:D338)/SUM($C$2:C338)</f>
        <v>10.712632172972596</v>
      </c>
      <c r="F338">
        <f ca="1">_xlfn.STDEV.P($B$2:B338)</f>
        <v>1.1889613364467204</v>
      </c>
      <c r="G338">
        <f t="shared" ca="1" si="115"/>
        <v>11.901593509419316</v>
      </c>
      <c r="H338">
        <f t="shared" ca="1" si="116"/>
        <v>9.5236708365258753</v>
      </c>
      <c r="I338">
        <f t="shared" ca="1" si="105"/>
        <v>9.754999999999999</v>
      </c>
      <c r="J338">
        <f t="shared" ca="1" si="106"/>
        <v>0.43835217756838762</v>
      </c>
      <c r="K338">
        <f t="shared" ca="1" si="107"/>
        <v>10.631704355136774</v>
      </c>
      <c r="L338">
        <f t="shared" ca="1" si="108"/>
        <v>8.8782956448632238</v>
      </c>
      <c r="M338">
        <f t="shared" ca="1" si="118"/>
        <v>0.26999999999999957</v>
      </c>
      <c r="N338">
        <f t="shared" ca="1" si="119"/>
        <v>0.26999999999999957</v>
      </c>
      <c r="O338">
        <f t="shared" ca="1" si="120"/>
        <v>0</v>
      </c>
      <c r="P338">
        <f t="shared" ca="1" si="126"/>
        <v>0.11623346433462793</v>
      </c>
      <c r="Q338">
        <f t="shared" ca="1" si="127"/>
        <v>7.3507006605815522E-2</v>
      </c>
      <c r="R338">
        <f t="shared" ca="1" si="124"/>
        <v>1.5812569400075678</v>
      </c>
      <c r="S338">
        <f t="shared" ca="1" si="125"/>
        <v>61.259184062588197</v>
      </c>
      <c r="T338">
        <f>70</f>
        <v>70</v>
      </c>
      <c r="U338">
        <f>30</f>
        <v>30</v>
      </c>
      <c r="V338">
        <f t="shared" ca="1" si="123"/>
        <v>10.057917102936671</v>
      </c>
      <c r="W338">
        <f t="shared" ca="1" si="110"/>
        <v>9.8910054989209222</v>
      </c>
      <c r="X338">
        <f t="shared" ca="1" si="109"/>
        <v>0.1722637960766118</v>
      </c>
      <c r="Y338">
        <f t="shared" ca="1" si="111"/>
        <v>0.10869477130975444</v>
      </c>
      <c r="Z338">
        <f t="shared" ca="1" si="112"/>
        <v>6.3569024766857357E-2</v>
      </c>
      <c r="AA338">
        <f t="shared" ca="1" si="113"/>
        <v>9.7335779999999996</v>
      </c>
      <c r="AB338" s="18">
        <f t="shared" ca="1" si="121"/>
        <v>2.6548672566371723E-2</v>
      </c>
      <c r="AC338" s="18">
        <f t="shared" ca="1" si="122"/>
        <v>2.6202372394024117E-2</v>
      </c>
      <c r="AD338" s="18">
        <f t="shared" ca="1" si="117"/>
        <v>-0.12764464052943025</v>
      </c>
    </row>
    <row r="339" spans="1:30" x14ac:dyDescent="0.25">
      <c r="A339" vm="908">
        <f ca="1"/>
        <v>45784</v>
      </c>
      <c r="B339" vm="901">
        <f ca="1"/>
        <v>10.28</v>
      </c>
      <c r="C339" vm="909">
        <f ca="1"/>
        <v>116936644</v>
      </c>
      <c r="D339">
        <f t="shared" ca="1" si="114"/>
        <v>1202108700.3199999</v>
      </c>
      <c r="E339">
        <f ca="1">SUM($D$2:D339)/SUM($C$2:C339)</f>
        <v>10.710492220464756</v>
      </c>
      <c r="F339">
        <f ca="1">_xlfn.STDEV.P($B$2:B339)</f>
        <v>1.1878723245171203</v>
      </c>
      <c r="G339">
        <f t="shared" ca="1" si="115"/>
        <v>11.898364544981877</v>
      </c>
      <c r="H339">
        <f t="shared" ca="1" si="116"/>
        <v>9.5226198959476349</v>
      </c>
      <c r="I339">
        <f t="shared" ca="1" si="105"/>
        <v>9.8344999999999985</v>
      </c>
      <c r="J339">
        <f t="shared" ca="1" si="106"/>
        <v>0.3745801158068785</v>
      </c>
      <c r="K339">
        <f t="shared" ca="1" si="107"/>
        <v>10.583660231613756</v>
      </c>
      <c r="L339">
        <f t="shared" ca="1" si="108"/>
        <v>9.0853397683862411</v>
      </c>
      <c r="M339">
        <f t="shared" ca="1" si="118"/>
        <v>-0.16000000000000014</v>
      </c>
      <c r="N339">
        <f t="shared" ca="1" si="119"/>
        <v>0</v>
      </c>
      <c r="O339">
        <f t="shared" ca="1" si="120"/>
        <v>0.16000000000000014</v>
      </c>
      <c r="P339">
        <f t="shared" ca="1" si="126"/>
        <v>0.10793107402501165</v>
      </c>
      <c r="Q339">
        <f t="shared" ca="1" si="127"/>
        <v>7.9685077562542991E-2</v>
      </c>
      <c r="R339">
        <f t="shared" ca="1" si="124"/>
        <v>1.3544703390706876</v>
      </c>
      <c r="S339">
        <f t="shared" ca="1" si="125"/>
        <v>57.527602560722798</v>
      </c>
      <c r="T339">
        <f>70</f>
        <v>70</v>
      </c>
      <c r="U339">
        <f>30</f>
        <v>30</v>
      </c>
      <c r="V339">
        <f t="shared" ca="1" si="123"/>
        <v>10.092083702484874</v>
      </c>
      <c r="W339">
        <f t="shared" ca="1" si="110"/>
        <v>9.9198199064082626</v>
      </c>
      <c r="X339">
        <f t="shared" ca="1" si="109"/>
        <v>0.1744939887616006</v>
      </c>
      <c r="Y339">
        <f t="shared" ca="1" si="111"/>
        <v>0.12185461480012369</v>
      </c>
      <c r="Z339">
        <f t="shared" ca="1" si="112"/>
        <v>5.2639373961476915E-2</v>
      </c>
      <c r="AA339">
        <f t="shared" ca="1" si="113"/>
        <v>9.732448999999999</v>
      </c>
      <c r="AB339" s="18">
        <f t="shared" ca="1" si="121"/>
        <v>-1.5325670498084309E-2</v>
      </c>
      <c r="AC339" s="18">
        <f t="shared" ca="1" si="122"/>
        <v>-1.5444322427473631E-2</v>
      </c>
      <c r="AD339" s="18">
        <f t="shared" ca="1" si="117"/>
        <v>-0.14101407132591415</v>
      </c>
    </row>
    <row r="340" spans="1:30" x14ac:dyDescent="0.25">
      <c r="A340" vm="910">
        <f ca="1"/>
        <v>45785</v>
      </c>
      <c r="B340" vm="901">
        <f ca="1"/>
        <v>10.28</v>
      </c>
      <c r="C340" vm="911">
        <f ca="1"/>
        <v>107173416</v>
      </c>
      <c r="D340">
        <f t="shared" ca="1" si="114"/>
        <v>1101742716.48</v>
      </c>
      <c r="E340">
        <f ca="1">SUM($D$2:D340)/SUM($C$2:C340)</f>
        <v>10.708549444568947</v>
      </c>
      <c r="F340">
        <f ca="1">_xlfn.STDEV.P($B$2:B340)</f>
        <v>1.1867847968092242</v>
      </c>
      <c r="G340">
        <f t="shared" ca="1" si="115"/>
        <v>11.895334241378171</v>
      </c>
      <c r="H340">
        <f t="shared" ca="1" si="116"/>
        <v>9.5217646477597224</v>
      </c>
      <c r="I340">
        <f t="shared" ca="1" si="105"/>
        <v>9.8734999999999999</v>
      </c>
      <c r="J340">
        <f t="shared" ca="1" si="106"/>
        <v>0.3785050232580523</v>
      </c>
      <c r="K340">
        <f t="shared" ca="1" si="107"/>
        <v>10.630510046516104</v>
      </c>
      <c r="L340">
        <f t="shared" ca="1" si="108"/>
        <v>9.1164899534838959</v>
      </c>
      <c r="M340">
        <f t="shared" ca="1" si="118"/>
        <v>0</v>
      </c>
      <c r="N340">
        <f t="shared" ca="1" si="119"/>
        <v>0</v>
      </c>
      <c r="O340">
        <f t="shared" ca="1" si="120"/>
        <v>0</v>
      </c>
      <c r="P340">
        <f t="shared" ca="1" si="126"/>
        <v>0.10022171159465366</v>
      </c>
      <c r="Q340">
        <f t="shared" ca="1" si="127"/>
        <v>7.399328630807564E-2</v>
      </c>
      <c r="R340">
        <f t="shared" ca="1" si="124"/>
        <v>1.3544703390706874</v>
      </c>
      <c r="S340">
        <f t="shared" ca="1" si="125"/>
        <v>57.527602560722791</v>
      </c>
      <c r="T340">
        <f>70</f>
        <v>70</v>
      </c>
      <c r="U340">
        <f>30</f>
        <v>30</v>
      </c>
      <c r="V340">
        <f t="shared" ca="1" si="123"/>
        <v>10.120993902102585</v>
      </c>
      <c r="W340">
        <f t="shared" ca="1" si="110"/>
        <v>9.9464999133409844</v>
      </c>
      <c r="X340">
        <f t="shared" ca="1" si="109"/>
        <v>0.18621856720412389</v>
      </c>
      <c r="Y340">
        <f t="shared" ca="1" si="111"/>
        <v>0.13472740528092375</v>
      </c>
      <c r="Z340">
        <f t="shared" ca="1" si="112"/>
        <v>5.1491161923200135E-2</v>
      </c>
      <c r="AA340">
        <f t="shared" ca="1" si="113"/>
        <v>9.7327959999999969</v>
      </c>
      <c r="AB340" s="18">
        <f t="shared" ca="1" si="121"/>
        <v>0</v>
      </c>
      <c r="AC340" s="18">
        <f t="shared" ca="1" si="122"/>
        <v>0</v>
      </c>
      <c r="AD340" s="18">
        <f t="shared" ca="1" si="117"/>
        <v>-0.14101407132591415</v>
      </c>
    </row>
    <row r="341" spans="1:30" x14ac:dyDescent="0.25">
      <c r="A341" vm="912">
        <f ca="1"/>
        <v>45786</v>
      </c>
      <c r="B341" vm="913">
        <f ca="1"/>
        <v>10.43</v>
      </c>
      <c r="C341" vm="914">
        <f ca="1"/>
        <v>76350701</v>
      </c>
      <c r="D341">
        <f t="shared" ca="1" si="114"/>
        <v>796337811.42999995</v>
      </c>
      <c r="E341">
        <f ca="1">SUM($D$2:D341)/SUM($C$2:C341)</f>
        <v>10.707656773157478</v>
      </c>
      <c r="F341">
        <f ca="1">_xlfn.STDEV.P($B$2:B341)</f>
        <v>1.1854554715751215</v>
      </c>
      <c r="G341">
        <f t="shared" ca="1" si="115"/>
        <v>11.893112244732599</v>
      </c>
      <c r="H341">
        <f t="shared" ca="1" si="116"/>
        <v>9.5222013015823563</v>
      </c>
      <c r="I341">
        <f t="shared" ca="1" si="105"/>
        <v>9.9380000000000006</v>
      </c>
      <c r="J341">
        <f t="shared" ca="1" si="106"/>
        <v>0.3561874137083037</v>
      </c>
      <c r="K341">
        <f t="shared" ca="1" si="107"/>
        <v>10.650374827416607</v>
      </c>
      <c r="L341">
        <f t="shared" ca="1" si="108"/>
        <v>9.2256251725833938</v>
      </c>
      <c r="M341">
        <f t="shared" ca="1" si="118"/>
        <v>0.15000000000000036</v>
      </c>
      <c r="N341">
        <f t="shared" ca="1" si="119"/>
        <v>0.15000000000000036</v>
      </c>
      <c r="O341">
        <f t="shared" ca="1" si="120"/>
        <v>0</v>
      </c>
      <c r="P341">
        <f t="shared" ca="1" si="126"/>
        <v>0.103777303623607</v>
      </c>
      <c r="Q341">
        <f t="shared" ca="1" si="127"/>
        <v>6.8708051571784529E-2</v>
      </c>
      <c r="R341">
        <f t="shared" ca="1" si="124"/>
        <v>1.51040964267751</v>
      </c>
      <c r="S341">
        <f t="shared" ca="1" si="125"/>
        <v>60.16586365030701</v>
      </c>
      <c r="T341">
        <f>70</f>
        <v>70</v>
      </c>
      <c r="U341">
        <f>30</f>
        <v>30</v>
      </c>
      <c r="V341">
        <f t="shared" ca="1" si="123"/>
        <v>10.16853330177911</v>
      </c>
      <c r="W341">
        <f t="shared" ca="1" si="110"/>
        <v>9.9823147345749863</v>
      </c>
      <c r="X341">
        <f t="shared" ca="1" si="109"/>
        <v>0.2028549911439459</v>
      </c>
      <c r="Y341">
        <f t="shared" ca="1" si="111"/>
        <v>0.14835292245352819</v>
      </c>
      <c r="Z341">
        <f t="shared" ca="1" si="112"/>
        <v>5.450206869041771E-2</v>
      </c>
      <c r="AA341">
        <f t="shared" ca="1" si="113"/>
        <v>9.7348399999999984</v>
      </c>
      <c r="AB341" s="18">
        <f t="shared" ca="1" si="121"/>
        <v>1.4591439688715901E-2</v>
      </c>
      <c r="AC341" s="18">
        <f t="shared" ca="1" si="122"/>
        <v>1.4486008985661977E-2</v>
      </c>
      <c r="AD341" s="18">
        <f t="shared" ca="1" si="117"/>
        <v>-0.1284802299542106</v>
      </c>
    </row>
    <row r="342" spans="1:30" x14ac:dyDescent="0.25">
      <c r="A342" vm="915">
        <f ca="1"/>
        <v>45789</v>
      </c>
      <c r="B342" vm="916">
        <f ca="1"/>
        <v>10.55</v>
      </c>
      <c r="C342" vm="917">
        <f ca="1"/>
        <v>102035764</v>
      </c>
      <c r="D342">
        <f t="shared" ca="1" si="114"/>
        <v>1076477310.2</v>
      </c>
      <c r="E342">
        <f ca="1">SUM($D$2:D342)/SUM($C$2:C342)</f>
        <v>10.706984438767439</v>
      </c>
      <c r="F342">
        <f ca="1">_xlfn.STDEV.P($B$2:B342)</f>
        <v>1.1839762130336731</v>
      </c>
      <c r="G342">
        <f t="shared" ca="1" si="115"/>
        <v>11.890960651801112</v>
      </c>
      <c r="H342">
        <f t="shared" ca="1" si="116"/>
        <v>9.5230082257337649</v>
      </c>
      <c r="I342">
        <f t="shared" ref="I342:I405" ca="1" si="128">AVERAGE(B323:B342)</f>
        <v>9.9990000000000006</v>
      </c>
      <c r="J342">
        <f t="shared" ref="J342:J405" ca="1" si="129">_xlfn.STDEV.S(B323:B342)</f>
        <v>0.35101207056768058</v>
      </c>
      <c r="K342">
        <f t="shared" ref="K342:K405" ca="1" si="130">I342 + 2*J342</f>
        <v>10.701024141135361</v>
      </c>
      <c r="L342">
        <f t="shared" ref="L342:L405" ca="1" si="131">I342-2*J342</f>
        <v>9.2969758588646396</v>
      </c>
      <c r="M342">
        <f t="shared" ca="1" si="118"/>
        <v>0.12000000000000099</v>
      </c>
      <c r="N342">
        <f t="shared" ca="1" si="119"/>
        <v>0.12000000000000099</v>
      </c>
      <c r="O342">
        <f t="shared" ca="1" si="120"/>
        <v>0</v>
      </c>
      <c r="P342">
        <f t="shared" ca="1" si="126"/>
        <v>0.10493606765049228</v>
      </c>
      <c r="Q342">
        <f t="shared" ca="1" si="127"/>
        <v>6.3800333602371348E-2</v>
      </c>
      <c r="R342">
        <f t="shared" ca="1" si="124"/>
        <v>1.6447573504003119</v>
      </c>
      <c r="S342">
        <f t="shared" ca="1" si="125"/>
        <v>62.18934792454062</v>
      </c>
      <c r="T342">
        <f>70</f>
        <v>70</v>
      </c>
      <c r="U342">
        <f>30</f>
        <v>30</v>
      </c>
      <c r="V342">
        <f t="shared" ca="1" si="123"/>
        <v>10.227220486120785</v>
      </c>
      <c r="W342">
        <f t="shared" ca="1" si="110"/>
        <v>10.024365494976839</v>
      </c>
      <c r="X342">
        <f t="shared" ca="1" si="109"/>
        <v>0.21756609262222426</v>
      </c>
      <c r="Y342">
        <f t="shared" ca="1" si="111"/>
        <v>0.16219555648726741</v>
      </c>
      <c r="Z342">
        <f t="shared" ca="1" si="112"/>
        <v>5.5370536134956849E-2</v>
      </c>
      <c r="AA342">
        <f t="shared" ca="1" si="113"/>
        <v>9.7380839999999971</v>
      </c>
      <c r="AB342" s="18">
        <f t="shared" ca="1" si="121"/>
        <v>1.1505273250239867E-2</v>
      </c>
      <c r="AC342" s="18">
        <f t="shared" ca="1" si="122"/>
        <v>1.1439590909394596E-2</v>
      </c>
      <c r="AD342" s="18">
        <f t="shared" ca="1" si="117"/>
        <v>-0.11845315685684754</v>
      </c>
    </row>
    <row r="343" spans="1:30" x14ac:dyDescent="0.25">
      <c r="A343" vm="918">
        <f ca="1"/>
        <v>45790</v>
      </c>
      <c r="B343" vm="919">
        <f ca="1"/>
        <v>10.6</v>
      </c>
      <c r="C343" vm="920">
        <f ca="1"/>
        <v>83671012</v>
      </c>
      <c r="D343">
        <f t="shared" ca="1" si="114"/>
        <v>886912727.19999993</v>
      </c>
      <c r="E343">
        <f ca="1">SUM($D$2:D343)/SUM($C$2:C343)</f>
        <v>10.706611618229044</v>
      </c>
      <c r="F343">
        <f ca="1">_xlfn.STDEV.P($B$2:B343)</f>
        <v>1.1824489109665348</v>
      </c>
      <c r="G343">
        <f t="shared" ca="1" si="115"/>
        <v>11.889060529195579</v>
      </c>
      <c r="H343">
        <f t="shared" ca="1" si="116"/>
        <v>9.5241627072625086</v>
      </c>
      <c r="I343">
        <f t="shared" ca="1" si="128"/>
        <v>10.0435</v>
      </c>
      <c r="J343">
        <f t="shared" ca="1" si="129"/>
        <v>0.36842874052129149</v>
      </c>
      <c r="K343">
        <f t="shared" ca="1" si="130"/>
        <v>10.780357481042582</v>
      </c>
      <c r="L343">
        <f t="shared" ca="1" si="131"/>
        <v>9.3066425189574176</v>
      </c>
      <c r="M343">
        <f t="shared" ca="1" si="118"/>
        <v>4.9999999999998934E-2</v>
      </c>
      <c r="N343">
        <f t="shared" ca="1" si="119"/>
        <v>4.9999999999998934E-2</v>
      </c>
      <c r="O343">
        <f t="shared" ca="1" si="120"/>
        <v>0</v>
      </c>
      <c r="P343">
        <f t="shared" ca="1" si="126"/>
        <v>0.10101206281831418</v>
      </c>
      <c r="Q343">
        <f t="shared" ca="1" si="127"/>
        <v>5.9243166916487677E-2</v>
      </c>
      <c r="R343">
        <f t="shared" ca="1" si="124"/>
        <v>1.7050415782246442</v>
      </c>
      <c r="S343">
        <f t="shared" ca="1" si="125"/>
        <v>63.031991520946839</v>
      </c>
      <c r="T343">
        <f>70</f>
        <v>70</v>
      </c>
      <c r="U343">
        <f>30</f>
        <v>30</v>
      </c>
      <c r="V343">
        <f t="shared" ca="1" si="123"/>
        <v>10.284571180563741</v>
      </c>
      <c r="W343">
        <f t="shared" ca="1" si="110"/>
        <v>10.067005087941517</v>
      </c>
      <c r="X343">
        <f t="shared" ca="1" si="109"/>
        <v>0.23060110269640433</v>
      </c>
      <c r="Y343">
        <f t="shared" ca="1" si="111"/>
        <v>0.1758766657290948</v>
      </c>
      <c r="Z343">
        <f t="shared" ca="1" si="112"/>
        <v>5.4724436967309525E-2</v>
      </c>
      <c r="AA343">
        <f t="shared" ca="1" si="113"/>
        <v>9.7457639999999977</v>
      </c>
      <c r="AB343" s="18">
        <f t="shared" ca="1" si="121"/>
        <v>4.7393364928909332E-3</v>
      </c>
      <c r="AC343" s="18">
        <f t="shared" ca="1" si="122"/>
        <v>4.7281411959458957E-3</v>
      </c>
      <c r="AD343" s="18">
        <f t="shared" ca="1" si="117"/>
        <v>-0.11427520973294636</v>
      </c>
    </row>
    <row r="344" spans="1:30" x14ac:dyDescent="0.25">
      <c r="A344" vm="921">
        <f ca="1"/>
        <v>45791</v>
      </c>
      <c r="B344" vm="922">
        <f ca="1"/>
        <v>10.65</v>
      </c>
      <c r="C344" vm="923">
        <f ca="1"/>
        <v>84453089</v>
      </c>
      <c r="D344">
        <f t="shared" ca="1" si="114"/>
        <v>899425397.85000002</v>
      </c>
      <c r="E344">
        <f ca="1">SUM($D$2:D344)/SUM($C$2:C344)</f>
        <v>10.706413191394995</v>
      </c>
      <c r="F344">
        <f ca="1">_xlfn.STDEV.P($B$2:B344)</f>
        <v>1.1808804078254389</v>
      </c>
      <c r="G344">
        <f t="shared" ca="1" si="115"/>
        <v>11.887293599220435</v>
      </c>
      <c r="H344">
        <f t="shared" ca="1" si="116"/>
        <v>9.525532783569556</v>
      </c>
      <c r="I344">
        <f t="shared" ca="1" si="128"/>
        <v>10.1035</v>
      </c>
      <c r="J344">
        <f t="shared" ca="1" si="129"/>
        <v>0.36437798477607503</v>
      </c>
      <c r="K344">
        <f t="shared" ca="1" si="130"/>
        <v>10.832255969552151</v>
      </c>
      <c r="L344">
        <f t="shared" ca="1" si="131"/>
        <v>9.3747440304478502</v>
      </c>
      <c r="M344">
        <f t="shared" ca="1" si="118"/>
        <v>5.0000000000000711E-2</v>
      </c>
      <c r="N344">
        <f t="shared" ca="1" si="119"/>
        <v>5.0000000000000711E-2</v>
      </c>
      <c r="O344">
        <f t="shared" ca="1" si="120"/>
        <v>0</v>
      </c>
      <c r="P344">
        <f t="shared" ca="1" si="126"/>
        <v>9.7368344045577496E-2</v>
      </c>
      <c r="Q344">
        <f t="shared" ca="1" si="127"/>
        <v>5.5011512136738556E-2</v>
      </c>
      <c r="R344">
        <f t="shared" ca="1" si="124"/>
        <v>1.7699630543431581</v>
      </c>
      <c r="S344">
        <f t="shared" ca="1" si="125"/>
        <v>63.898435452702088</v>
      </c>
      <c r="T344">
        <f>70</f>
        <v>70</v>
      </c>
      <c r="U344">
        <f>30</f>
        <v>30</v>
      </c>
      <c r="V344">
        <f t="shared" ca="1" si="123"/>
        <v>10.34079099893855</v>
      </c>
      <c r="W344">
        <f t="shared" ca="1" si="110"/>
        <v>10.110189896242145</v>
      </c>
      <c r="X344">
        <f t="shared" ca="1" si="109"/>
        <v>0.24616299260983432</v>
      </c>
      <c r="Y344">
        <f t="shared" ca="1" si="111"/>
        <v>0.18993393110524273</v>
      </c>
      <c r="Z344">
        <f t="shared" ca="1" si="112"/>
        <v>5.6229061504591588E-2</v>
      </c>
      <c r="AA344">
        <f t="shared" ca="1" si="113"/>
        <v>9.7541409999999971</v>
      </c>
      <c r="AB344" s="18">
        <f t="shared" ca="1" si="121"/>
        <v>4.7169811320755262E-3</v>
      </c>
      <c r="AC344" s="18">
        <f t="shared" ca="1" si="122"/>
        <v>4.7058910374127138E-3</v>
      </c>
      <c r="AD344" s="18">
        <f t="shared" ca="1" si="117"/>
        <v>-0.11009726260904507</v>
      </c>
    </row>
    <row r="345" spans="1:30" x14ac:dyDescent="0.25">
      <c r="A345" vm="924">
        <f ca="1"/>
        <v>45792</v>
      </c>
      <c r="B345" vm="925">
        <f ca="1"/>
        <v>10.75</v>
      </c>
      <c r="C345" vm="926">
        <f ca="1"/>
        <v>71096528</v>
      </c>
      <c r="D345">
        <f t="shared" ca="1" si="114"/>
        <v>764287676</v>
      </c>
      <c r="E345">
        <f ca="1">SUM($D$2:D345)/SUM($C$2:C345)</f>
        <v>10.70654142538781</v>
      </c>
      <c r="F345">
        <f ca="1">_xlfn.STDEV.P($B$2:B345)</f>
        <v>1.1792429692085455</v>
      </c>
      <c r="G345">
        <f t="shared" ca="1" si="115"/>
        <v>11.885784394596355</v>
      </c>
      <c r="H345">
        <f t="shared" ca="1" si="116"/>
        <v>9.5272984561792651</v>
      </c>
      <c r="I345">
        <f t="shared" ca="1" si="128"/>
        <v>10.171000000000003</v>
      </c>
      <c r="J345">
        <f t="shared" ca="1" si="129"/>
        <v>0.35203020205359459</v>
      </c>
      <c r="K345">
        <f t="shared" ca="1" si="130"/>
        <v>10.875060404107192</v>
      </c>
      <c r="L345">
        <f t="shared" ca="1" si="131"/>
        <v>9.4669395958928142</v>
      </c>
      <c r="M345">
        <f t="shared" ca="1" si="118"/>
        <v>9.9999999999999645E-2</v>
      </c>
      <c r="N345">
        <f t="shared" ca="1" si="119"/>
        <v>9.9999999999999645E-2</v>
      </c>
      <c r="O345">
        <f t="shared" ca="1" si="120"/>
        <v>0</v>
      </c>
      <c r="P345">
        <f t="shared" ca="1" si="126"/>
        <v>9.7556319470893368E-2</v>
      </c>
      <c r="Q345">
        <f t="shared" ca="1" si="127"/>
        <v>5.1082118412685798E-2</v>
      </c>
      <c r="R345">
        <f t="shared" ca="1" si="124"/>
        <v>1.9097939259830325</v>
      </c>
      <c r="S345">
        <f t="shared" ca="1" si="125"/>
        <v>65.633305126164075</v>
      </c>
      <c r="T345">
        <f>70</f>
        <v>70</v>
      </c>
      <c r="U345">
        <f>30</f>
        <v>30</v>
      </c>
      <c r="V345">
        <f t="shared" ca="1" si="123"/>
        <v>10.40374622987108</v>
      </c>
      <c r="W345">
        <f t="shared" ca="1" si="110"/>
        <v>10.157583237261246</v>
      </c>
      <c r="X345">
        <f t="shared" ca="1" si="109"/>
        <v>0.2595386842216687</v>
      </c>
      <c r="Y345">
        <f t="shared" ca="1" si="111"/>
        <v>0.20385488172852795</v>
      </c>
      <c r="Z345">
        <f t="shared" ca="1" si="112"/>
        <v>5.5683802493140755E-2</v>
      </c>
      <c r="AA345">
        <f t="shared" ca="1" si="113"/>
        <v>9.7662739999999957</v>
      </c>
      <c r="AB345" s="18">
        <f t="shared" ca="1" si="121"/>
        <v>9.3896713615022609E-3</v>
      </c>
      <c r="AC345" s="18">
        <f t="shared" ca="1" si="122"/>
        <v>9.345862418237599E-3</v>
      </c>
      <c r="AD345" s="18">
        <f t="shared" ca="1" si="117"/>
        <v>-0.1017413683612427</v>
      </c>
    </row>
    <row r="346" spans="1:30" x14ac:dyDescent="0.25">
      <c r="A346" vm="927">
        <f ca="1"/>
        <v>45793</v>
      </c>
      <c r="B346" vm="928">
        <f ca="1"/>
        <v>10.8</v>
      </c>
      <c r="C346" vm="929">
        <f ca="1"/>
        <v>64913005</v>
      </c>
      <c r="D346">
        <f t="shared" ca="1" si="114"/>
        <v>701060454</v>
      </c>
      <c r="E346">
        <f ca="1">SUM($D$2:D346)/SUM($C$2:C346)</f>
        <v>10.706791797267178</v>
      </c>
      <c r="F346">
        <f ca="1">_xlfn.STDEV.P($B$2:B346)</f>
        <v>1.1775841120338311</v>
      </c>
      <c r="G346">
        <f t="shared" ca="1" si="115"/>
        <v>11.884375909301008</v>
      </c>
      <c r="H346">
        <f t="shared" ca="1" si="116"/>
        <v>9.5292076852333469</v>
      </c>
      <c r="I346">
        <f t="shared" ca="1" si="128"/>
        <v>10.229500000000002</v>
      </c>
      <c r="J346">
        <f t="shared" ca="1" si="129"/>
        <v>0.35460096179404704</v>
      </c>
      <c r="K346">
        <f t="shared" ca="1" si="130"/>
        <v>10.938701923588095</v>
      </c>
      <c r="L346">
        <f t="shared" ca="1" si="131"/>
        <v>9.5202980764119083</v>
      </c>
      <c r="M346">
        <f t="shared" ca="1" si="118"/>
        <v>5.0000000000000711E-2</v>
      </c>
      <c r="N346">
        <f t="shared" ca="1" si="119"/>
        <v>5.0000000000000711E-2</v>
      </c>
      <c r="O346">
        <f t="shared" ca="1" si="120"/>
        <v>0</v>
      </c>
      <c r="P346">
        <f t="shared" ca="1" si="126"/>
        <v>9.4159439508686757E-2</v>
      </c>
      <c r="Q346">
        <f t="shared" ca="1" si="127"/>
        <v>4.7433395668922525E-2</v>
      </c>
      <c r="R346">
        <f t="shared" ca="1" si="124"/>
        <v>1.9850874722506586</v>
      </c>
      <c r="S346">
        <f t="shared" ca="1" si="125"/>
        <v>66.500144156712679</v>
      </c>
      <c r="T346">
        <f>70</f>
        <v>70</v>
      </c>
      <c r="U346">
        <f>30</f>
        <v>30</v>
      </c>
      <c r="V346">
        <f t="shared" ca="1" si="123"/>
        <v>10.464708348352453</v>
      </c>
      <c r="W346">
        <f t="shared" ca="1" si="110"/>
        <v>10.205169664130784</v>
      </c>
      <c r="X346">
        <f t="shared" ca="1" si="109"/>
        <v>0.26307190489507981</v>
      </c>
      <c r="Y346">
        <f t="shared" ca="1" si="111"/>
        <v>0.21569828636183833</v>
      </c>
      <c r="Z346">
        <f t="shared" ca="1" si="112"/>
        <v>4.7373618533241485E-2</v>
      </c>
      <c r="AA346">
        <f t="shared" ca="1" si="113"/>
        <v>9.7784149999999936</v>
      </c>
      <c r="AB346" s="18">
        <f t="shared" ca="1" si="121"/>
        <v>4.6511627906977715E-3</v>
      </c>
      <c r="AC346" s="18">
        <f t="shared" ca="1" si="122"/>
        <v>4.6403795565023009E-3</v>
      </c>
      <c r="AD346" s="18">
        <f t="shared" ca="1" si="117"/>
        <v>-9.7563421237341408E-2</v>
      </c>
    </row>
    <row r="347" spans="1:30" x14ac:dyDescent="0.25">
      <c r="A347" vm="930">
        <f ca="1"/>
        <v>45796</v>
      </c>
      <c r="B347" vm="925">
        <f ca="1"/>
        <v>10.75</v>
      </c>
      <c r="C347" vm="931">
        <f ca="1"/>
        <v>60195734</v>
      </c>
      <c r="D347">
        <f t="shared" ca="1" si="114"/>
        <v>647104140.5</v>
      </c>
      <c r="E347">
        <f ca="1">SUM($D$2:D347)/SUM($C$2:C347)</f>
        <v>10.706898872500043</v>
      </c>
      <c r="F347">
        <f ca="1">_xlfn.STDEV.P($B$2:B347)</f>
        <v>1.1759603021373088</v>
      </c>
      <c r="G347">
        <f t="shared" ca="1" si="115"/>
        <v>11.882859174637352</v>
      </c>
      <c r="H347">
        <f t="shared" ca="1" si="116"/>
        <v>9.5309385703627338</v>
      </c>
      <c r="I347">
        <f t="shared" ca="1" si="128"/>
        <v>10.2935</v>
      </c>
      <c r="J347">
        <f t="shared" ca="1" si="129"/>
        <v>0.32454462023936842</v>
      </c>
      <c r="K347">
        <f t="shared" ca="1" si="130"/>
        <v>10.942589240478737</v>
      </c>
      <c r="L347">
        <f t="shared" ca="1" si="131"/>
        <v>9.6444107595212625</v>
      </c>
      <c r="M347">
        <f t="shared" ca="1" si="118"/>
        <v>-5.0000000000000711E-2</v>
      </c>
      <c r="N347">
        <f t="shared" ca="1" si="119"/>
        <v>0</v>
      </c>
      <c r="O347">
        <f t="shared" ca="1" si="120"/>
        <v>5.0000000000000711E-2</v>
      </c>
      <c r="P347">
        <f t="shared" ca="1" si="126"/>
        <v>8.7433765258066273E-2</v>
      </c>
      <c r="Q347">
        <f t="shared" ca="1" si="127"/>
        <v>4.7616724549713822E-2</v>
      </c>
      <c r="R347">
        <f t="shared" ca="1" si="124"/>
        <v>1.8361986483715784</v>
      </c>
      <c r="S347">
        <f t="shared" ca="1" si="125"/>
        <v>64.741538799683283</v>
      </c>
      <c r="T347">
        <f>70</f>
        <v>70</v>
      </c>
      <c r="U347">
        <f>30</f>
        <v>30</v>
      </c>
      <c r="V347">
        <f t="shared" ca="1" si="123"/>
        <v>10.508599371682843</v>
      </c>
      <c r="W347">
        <f t="shared" ca="1" si="110"/>
        <v>10.245527466787763</v>
      </c>
      <c r="X347">
        <f t="shared" ca="1" si="109"/>
        <v>0.26044896491105796</v>
      </c>
      <c r="Y347">
        <f t="shared" ca="1" si="111"/>
        <v>0.22464842207168226</v>
      </c>
      <c r="Z347">
        <f t="shared" ca="1" si="112"/>
        <v>3.5800542839375699E-2</v>
      </c>
      <c r="AA347">
        <f t="shared" ca="1" si="113"/>
        <v>9.7886779999999955</v>
      </c>
      <c r="AB347" s="18">
        <f t="shared" ca="1" si="121"/>
        <v>-4.6296296296296502E-3</v>
      </c>
      <c r="AC347" s="18">
        <f t="shared" ca="1" si="122"/>
        <v>-4.6403795565022254E-3</v>
      </c>
      <c r="AD347" s="18">
        <f t="shared" ca="1" si="117"/>
        <v>-0.10174136836124259</v>
      </c>
    </row>
    <row r="348" spans="1:30" x14ac:dyDescent="0.25">
      <c r="A348" vm="932">
        <f ca="1"/>
        <v>45797</v>
      </c>
      <c r="B348" vm="933">
        <f ca="1"/>
        <v>10.72</v>
      </c>
      <c r="C348" vm="934">
        <f ca="1"/>
        <v>61063828</v>
      </c>
      <c r="D348">
        <f t="shared" ca="1" si="114"/>
        <v>654604236.16000009</v>
      </c>
      <c r="E348">
        <f ca="1">SUM($D$2:D348)/SUM($C$2:C348)</f>
        <v>10.706931724319299</v>
      </c>
      <c r="F348">
        <f ca="1">_xlfn.STDEV.P($B$2:B348)</f>
        <v>1.1743628719397228</v>
      </c>
      <c r="G348">
        <f t="shared" ca="1" si="115"/>
        <v>11.881294596259021</v>
      </c>
      <c r="H348">
        <f t="shared" ca="1" si="116"/>
        <v>9.5325688523795762</v>
      </c>
      <c r="I348">
        <f t="shared" ca="1" si="128"/>
        <v>10.347000000000001</v>
      </c>
      <c r="J348">
        <f t="shared" ca="1" si="129"/>
        <v>0.30015960666566105</v>
      </c>
      <c r="K348">
        <f t="shared" ca="1" si="130"/>
        <v>10.947319213331323</v>
      </c>
      <c r="L348">
        <f t="shared" ca="1" si="131"/>
        <v>9.74668078666868</v>
      </c>
      <c r="M348">
        <f t="shared" ca="1" si="118"/>
        <v>-2.9999999999999361E-2</v>
      </c>
      <c r="N348">
        <f t="shared" ca="1" si="119"/>
        <v>0</v>
      </c>
      <c r="O348">
        <f t="shared" ca="1" si="120"/>
        <v>2.9999999999999361E-2</v>
      </c>
      <c r="P348">
        <f t="shared" ca="1" si="126"/>
        <v>8.1188496311061537E-2</v>
      </c>
      <c r="Q348">
        <f t="shared" ca="1" si="127"/>
        <v>4.6358387081877075E-2</v>
      </c>
      <c r="R348">
        <f t="shared" ca="1" si="124"/>
        <v>1.7513227146507138</v>
      </c>
      <c r="S348">
        <f t="shared" ca="1" si="125"/>
        <v>63.653845669392801</v>
      </c>
      <c r="T348">
        <f>70</f>
        <v>70</v>
      </c>
      <c r="U348">
        <f>30</f>
        <v>30</v>
      </c>
      <c r="V348">
        <f t="shared" ca="1" si="123"/>
        <v>10.541122545270097</v>
      </c>
      <c r="W348">
        <f t="shared" ca="1" si="110"/>
        <v>10.280673580359039</v>
      </c>
      <c r="X348">
        <f t="shared" ref="X348:X411" ca="1" si="132">V349-W349</f>
        <v>0.23628057643456124</v>
      </c>
      <c r="Y348">
        <f t="shared" ca="1" si="111"/>
        <v>0.22697485294425807</v>
      </c>
      <c r="Z348">
        <f t="shared" ca="1" si="112"/>
        <v>9.3057234903031749E-3</v>
      </c>
      <c r="AA348">
        <f t="shared" ca="1" si="113"/>
        <v>9.7984439999999946</v>
      </c>
      <c r="AB348" s="18">
        <f t="shared" ca="1" si="121"/>
        <v>-2.7906976744185297E-3</v>
      </c>
      <c r="AC348" s="18">
        <f t="shared" ca="1" si="122"/>
        <v>-2.7945989310158002E-3</v>
      </c>
      <c r="AD348" s="18">
        <f t="shared" ca="1" si="117"/>
        <v>-0.10424813663558319</v>
      </c>
    </row>
    <row r="349" spans="1:30" x14ac:dyDescent="0.25">
      <c r="A349" vm="935">
        <f ca="1"/>
        <v>45798</v>
      </c>
      <c r="B349" vm="936">
        <f ca="1"/>
        <v>10.48</v>
      </c>
      <c r="C349" vm="937">
        <f ca="1"/>
        <v>89090498</v>
      </c>
      <c r="D349">
        <f t="shared" ca="1" si="114"/>
        <v>933668419.04000008</v>
      </c>
      <c r="E349">
        <f ca="1">SUM($D$2:D349)/SUM($C$2:C349)</f>
        <v>10.706104530318283</v>
      </c>
      <c r="F349">
        <f ca="1">_xlfn.STDEV.P($B$2:B349)</f>
        <v>1.1730079335194366</v>
      </c>
      <c r="G349">
        <f t="shared" ca="1" si="115"/>
        <v>11.879112463837719</v>
      </c>
      <c r="H349">
        <f t="shared" ca="1" si="116"/>
        <v>9.5330965967988472</v>
      </c>
      <c r="I349">
        <f t="shared" ca="1" si="128"/>
        <v>10.382000000000001</v>
      </c>
      <c r="J349">
        <f t="shared" ca="1" si="129"/>
        <v>0.26984595995727506</v>
      </c>
      <c r="K349">
        <f t="shared" ca="1" si="130"/>
        <v>10.921691919914551</v>
      </c>
      <c r="L349">
        <f t="shared" ca="1" si="131"/>
        <v>9.8423080800854521</v>
      </c>
      <c r="M349">
        <f t="shared" ca="1" si="118"/>
        <v>-0.24000000000000021</v>
      </c>
      <c r="N349">
        <f t="shared" ca="1" si="119"/>
        <v>0</v>
      </c>
      <c r="O349">
        <f t="shared" ca="1" si="120"/>
        <v>0.24000000000000021</v>
      </c>
      <c r="P349">
        <f t="shared" ca="1" si="126"/>
        <v>7.5389318003128564E-2</v>
      </c>
      <c r="Q349">
        <f t="shared" ca="1" si="127"/>
        <v>6.0189930861743013E-2</v>
      </c>
      <c r="R349">
        <f t="shared" ca="1" si="124"/>
        <v>1.2525237514609997</v>
      </c>
      <c r="S349">
        <f t="shared" ca="1" si="125"/>
        <v>55.605351581691679</v>
      </c>
      <c r="T349">
        <f>70</f>
        <v>70</v>
      </c>
      <c r="U349">
        <f>30</f>
        <v>30</v>
      </c>
      <c r="V349">
        <f t="shared" ca="1" si="123"/>
        <v>10.531719076767004</v>
      </c>
      <c r="W349">
        <f t="shared" ref="W349:W412" ca="1" si="133">B349*(2/(26+1)) + W348*(1-(2/(26+1)))</f>
        <v>10.295438500332443</v>
      </c>
      <c r="X349">
        <f t="shared" ca="1" si="132"/>
        <v>0.21146169000500237</v>
      </c>
      <c r="Y349">
        <f t="shared" ca="1" si="111"/>
        <v>0.22387222035640691</v>
      </c>
      <c r="Z349">
        <f t="shared" ca="1" si="112"/>
        <v>-1.2410530351404547E-2</v>
      </c>
      <c r="AA349">
        <f t="shared" ca="1" si="113"/>
        <v>9.8046289999999949</v>
      </c>
      <c r="AB349" s="18">
        <f t="shared" ca="1" si="121"/>
        <v>-2.2388059701492602E-2</v>
      </c>
      <c r="AC349" s="18">
        <f t="shared" ca="1" si="122"/>
        <v>-2.2642476749759891E-2</v>
      </c>
      <c r="AD349" s="18">
        <f t="shared" ca="1" si="117"/>
        <v>-0.12430228283030897</v>
      </c>
    </row>
    <row r="350" spans="1:30" x14ac:dyDescent="0.25">
      <c r="A350" vm="938">
        <f ca="1"/>
        <v>45799</v>
      </c>
      <c r="B350" vm="906">
        <f ca="1"/>
        <v>10.44</v>
      </c>
      <c r="C350" vm="939">
        <f ca="1"/>
        <v>94081143</v>
      </c>
      <c r="D350">
        <f t="shared" ca="1" si="114"/>
        <v>982207132.91999996</v>
      </c>
      <c r="E350">
        <f ca="1">SUM($D$2:D350)/SUM($C$2:C350)</f>
        <v>10.705084138181563</v>
      </c>
      <c r="F350">
        <f ca="1">_xlfn.STDEV.P($B$2:B350)</f>
        <v>1.1717100739283954</v>
      </c>
      <c r="G350">
        <f t="shared" ca="1" si="115"/>
        <v>11.876794212109958</v>
      </c>
      <c r="H350">
        <f t="shared" ca="1" si="116"/>
        <v>9.5333740642531684</v>
      </c>
      <c r="I350">
        <f t="shared" ca="1" si="128"/>
        <v>10.401</v>
      </c>
      <c r="J350">
        <f t="shared" ca="1" si="129"/>
        <v>0.25914637197009588</v>
      </c>
      <c r="K350">
        <f t="shared" ca="1" si="130"/>
        <v>10.919292743940192</v>
      </c>
      <c r="L350">
        <f t="shared" ca="1" si="131"/>
        <v>9.8827072560598079</v>
      </c>
      <c r="M350">
        <f t="shared" ca="1" si="118"/>
        <v>-4.0000000000000924E-2</v>
      </c>
      <c r="N350">
        <f t="shared" ca="1" si="119"/>
        <v>0</v>
      </c>
      <c r="O350">
        <f t="shared" ca="1" si="120"/>
        <v>4.0000000000000924E-2</v>
      </c>
      <c r="P350">
        <f t="shared" ca="1" si="126"/>
        <v>7.0004366717190805E-2</v>
      </c>
      <c r="Q350">
        <f t="shared" ca="1" si="127"/>
        <v>5.8747792943047154E-2</v>
      </c>
      <c r="R350">
        <f t="shared" ca="1" si="124"/>
        <v>1.1916084538708764</v>
      </c>
      <c r="S350">
        <f t="shared" ca="1" si="125"/>
        <v>54.371411634511006</v>
      </c>
      <c r="T350">
        <f>70</f>
        <v>70</v>
      </c>
      <c r="U350">
        <f>30</f>
        <v>30</v>
      </c>
      <c r="V350">
        <f t="shared" ca="1" si="123"/>
        <v>10.51760844957208</v>
      </c>
      <c r="W350">
        <f t="shared" ca="1" si="133"/>
        <v>10.306146759567078</v>
      </c>
      <c r="X350">
        <f t="shared" ca="1" si="132"/>
        <v>0.18322510730372521</v>
      </c>
      <c r="Y350">
        <f t="shared" ca="1" si="111"/>
        <v>0.2157427977458706</v>
      </c>
      <c r="Z350">
        <f t="shared" ca="1" si="112"/>
        <v>-3.2517690442145392E-2</v>
      </c>
      <c r="AA350">
        <f t="shared" ca="1" si="113"/>
        <v>9.8099219999999949</v>
      </c>
      <c r="AB350" s="18">
        <f t="shared" ca="1" si="121"/>
        <v>-3.8167938931298329E-3</v>
      </c>
      <c r="AC350" s="18">
        <f t="shared" ca="1" si="122"/>
        <v>-3.8240964384035057E-3</v>
      </c>
      <c r="AD350" s="18">
        <f t="shared" ca="1" si="117"/>
        <v>-0.12764464052943003</v>
      </c>
    </row>
    <row r="351" spans="1:30" x14ac:dyDescent="0.25">
      <c r="A351" vm="940">
        <f ca="1"/>
        <v>45800</v>
      </c>
      <c r="B351" vm="941">
        <f ca="1"/>
        <v>10.36</v>
      </c>
      <c r="C351" vm="942">
        <f ca="1"/>
        <v>80519024</v>
      </c>
      <c r="D351">
        <f t="shared" ca="1" si="114"/>
        <v>834177088.63999999</v>
      </c>
      <c r="E351">
        <f ca="1">SUM($D$2:D351)/SUM($C$2:C351)</f>
        <v>10.703955349048741</v>
      </c>
      <c r="F351">
        <f ca="1">_xlfn.STDEV.P($B$2:B351)</f>
        <v>1.1705327441377982</v>
      </c>
      <c r="G351">
        <f t="shared" ca="1" si="115"/>
        <v>11.874488093186539</v>
      </c>
      <c r="H351">
        <f t="shared" ca="1" si="116"/>
        <v>9.5334226049109425</v>
      </c>
      <c r="I351">
        <f t="shared" ca="1" si="128"/>
        <v>10.416999999999998</v>
      </c>
      <c r="J351">
        <f t="shared" ca="1" si="129"/>
        <v>0.24518736122660009</v>
      </c>
      <c r="K351">
        <f t="shared" ca="1" si="130"/>
        <v>10.907374722453199</v>
      </c>
      <c r="L351">
        <f t="shared" ca="1" si="131"/>
        <v>9.9266252775467976</v>
      </c>
      <c r="M351">
        <f t="shared" ca="1" si="118"/>
        <v>-8.0000000000000071E-2</v>
      </c>
      <c r="N351">
        <f t="shared" ca="1" si="119"/>
        <v>0</v>
      </c>
      <c r="O351">
        <f t="shared" ca="1" si="120"/>
        <v>8.0000000000000071E-2</v>
      </c>
      <c r="P351">
        <f t="shared" ca="1" si="126"/>
        <v>6.500405480882003E-2</v>
      </c>
      <c r="Q351">
        <f t="shared" ca="1" si="127"/>
        <v>6.026580773282951E-2</v>
      </c>
      <c r="R351">
        <f t="shared" ca="1" si="124"/>
        <v>1.0786224768942967</v>
      </c>
      <c r="S351">
        <f t="shared" ca="1" si="125"/>
        <v>51.891215883794537</v>
      </c>
      <c r="T351">
        <f>70</f>
        <v>70</v>
      </c>
      <c r="U351">
        <f>30</f>
        <v>30</v>
      </c>
      <c r="V351">
        <f t="shared" ca="1" si="123"/>
        <v>10.493360995791761</v>
      </c>
      <c r="W351">
        <f t="shared" ca="1" si="133"/>
        <v>10.310135888488036</v>
      </c>
      <c r="X351">
        <f t="shared" ca="1" si="132"/>
        <v>0.15502578914969334</v>
      </c>
      <c r="Y351">
        <f t="shared" ca="1" si="111"/>
        <v>0.20359939602663518</v>
      </c>
      <c r="Z351">
        <f t="shared" ca="1" si="112"/>
        <v>-4.8573606876941844E-2</v>
      </c>
      <c r="AA351">
        <f t="shared" ca="1" si="113"/>
        <v>9.8148089999999968</v>
      </c>
      <c r="AB351" s="18">
        <f t="shared" ca="1" si="121"/>
        <v>-7.6628352490420992E-3</v>
      </c>
      <c r="AC351" s="18">
        <f t="shared" ca="1" si="122"/>
        <v>-7.6923456231556137E-3</v>
      </c>
      <c r="AD351" s="18">
        <f t="shared" ca="1" si="117"/>
        <v>-0.13432935592767192</v>
      </c>
    </row>
    <row r="352" spans="1:30" x14ac:dyDescent="0.25">
      <c r="A352" vm="943">
        <f ca="1"/>
        <v>45804</v>
      </c>
      <c r="B352" vm="944">
        <f ca="1"/>
        <v>10.31</v>
      </c>
      <c r="C352" vm="945">
        <f ca="1"/>
        <v>89066847</v>
      </c>
      <c r="D352">
        <f t="shared" ca="1" si="114"/>
        <v>918279192.57000005</v>
      </c>
      <c r="E352">
        <f ca="1">SUM($D$2:D352)/SUM($C$2:C352)</f>
        <v>10.702535036821951</v>
      </c>
      <c r="F352">
        <f ca="1">_xlfn.STDEV.P($B$2:B352)</f>
        <v>1.1694386064746116</v>
      </c>
      <c r="G352">
        <f t="shared" ca="1" si="115"/>
        <v>11.871973643296563</v>
      </c>
      <c r="H352">
        <f t="shared" ca="1" si="116"/>
        <v>9.5330964303473387</v>
      </c>
      <c r="I352">
        <f t="shared" ca="1" si="128"/>
        <v>10.4315</v>
      </c>
      <c r="J352">
        <f t="shared" ca="1" si="129"/>
        <v>0.2284795280475741</v>
      </c>
      <c r="K352">
        <f t="shared" ca="1" si="130"/>
        <v>10.888459056095147</v>
      </c>
      <c r="L352">
        <f t="shared" ca="1" si="131"/>
        <v>9.9745409439048522</v>
      </c>
      <c r="M352">
        <f t="shared" ca="1" si="118"/>
        <v>-4.9999999999998934E-2</v>
      </c>
      <c r="N352">
        <f t="shared" ca="1" si="119"/>
        <v>0</v>
      </c>
      <c r="O352">
        <f t="shared" ca="1" si="120"/>
        <v>4.9999999999998934E-2</v>
      </c>
      <c r="P352">
        <f t="shared" ca="1" si="126"/>
        <v>6.036090803676146E-2</v>
      </c>
      <c r="Q352">
        <f t="shared" ca="1" si="127"/>
        <v>5.9532535751913036E-2</v>
      </c>
      <c r="R352">
        <f t="shared" ca="1" si="124"/>
        <v>1.0139146144941726</v>
      </c>
      <c r="S352">
        <f t="shared" ca="1" si="125"/>
        <v>50.34546187792742</v>
      </c>
      <c r="T352">
        <f>70</f>
        <v>70</v>
      </c>
      <c r="U352">
        <f>30</f>
        <v>30</v>
      </c>
      <c r="V352">
        <f t="shared" ca="1" si="123"/>
        <v>10.465151611823799</v>
      </c>
      <c r="W352">
        <f t="shared" ca="1" si="133"/>
        <v>10.310125822674106</v>
      </c>
      <c r="X352">
        <f t="shared" ca="1" si="132"/>
        <v>0.11999753943756097</v>
      </c>
      <c r="Y352">
        <f t="shared" ca="1" si="111"/>
        <v>0.18687902470882037</v>
      </c>
      <c r="Z352">
        <f t="shared" ca="1" si="112"/>
        <v>-6.6881485271259394E-2</v>
      </c>
      <c r="AA352">
        <f t="shared" ca="1" si="113"/>
        <v>9.8206719999999965</v>
      </c>
      <c r="AB352" s="18">
        <f t="shared" ca="1" si="121"/>
        <v>-4.8262548262547611E-3</v>
      </c>
      <c r="AC352" s="18">
        <f t="shared" ca="1" si="122"/>
        <v>-4.8379388024683773E-3</v>
      </c>
      <c r="AD352" s="18">
        <f t="shared" ca="1" si="117"/>
        <v>-0.13850730305157311</v>
      </c>
    </row>
    <row r="353" spans="1:30" x14ac:dyDescent="0.25">
      <c r="A353" vm="946">
        <f ca="1"/>
        <v>45805</v>
      </c>
      <c r="B353" vm="814">
        <f ca="1"/>
        <v>10.17</v>
      </c>
      <c r="C353" vm="947">
        <f ca="1"/>
        <v>102335584</v>
      </c>
      <c r="D353">
        <f t="shared" ca="1" si="114"/>
        <v>1040752889.28</v>
      </c>
      <c r="E353">
        <f ca="1">SUM($D$2:D353)/SUM($C$2:C353)</f>
        <v>10.700338187260401</v>
      </c>
      <c r="F353">
        <f ca="1">_xlfn.STDEV.P($B$2:B353)</f>
        <v>1.1686029010020145</v>
      </c>
      <c r="G353">
        <f t="shared" ca="1" si="115"/>
        <v>11.868941088262416</v>
      </c>
      <c r="H353">
        <f t="shared" ca="1" si="116"/>
        <v>9.5317352862583871</v>
      </c>
      <c r="I353">
        <f t="shared" ca="1" si="128"/>
        <v>10.432499999999997</v>
      </c>
      <c r="J353">
        <f t="shared" ca="1" si="129"/>
        <v>0.22722293712980399</v>
      </c>
      <c r="K353">
        <f t="shared" ca="1" si="130"/>
        <v>10.886945874259606</v>
      </c>
      <c r="L353">
        <f t="shared" ca="1" si="131"/>
        <v>9.978054125740389</v>
      </c>
      <c r="M353">
        <f t="shared" ca="1" si="118"/>
        <v>-0.14000000000000057</v>
      </c>
      <c r="N353">
        <f t="shared" ca="1" si="119"/>
        <v>0</v>
      </c>
      <c r="O353">
        <f t="shared" ca="1" si="120"/>
        <v>0.14000000000000057</v>
      </c>
      <c r="P353">
        <f t="shared" ca="1" si="126"/>
        <v>5.6049414605564216E-2</v>
      </c>
      <c r="Q353">
        <f t="shared" ca="1" si="127"/>
        <v>6.528021176963357E-2</v>
      </c>
      <c r="R353">
        <f t="shared" ca="1" si="124"/>
        <v>0.8585973158812078</v>
      </c>
      <c r="S353">
        <f t="shared" ca="1" si="125"/>
        <v>46.195983850010307</v>
      </c>
      <c r="T353">
        <f>70</f>
        <v>70</v>
      </c>
      <c r="U353">
        <f>30</f>
        <v>30</v>
      </c>
      <c r="V353">
        <f t="shared" ca="1" si="123"/>
        <v>10.419743671543214</v>
      </c>
      <c r="W353">
        <f t="shared" ca="1" si="133"/>
        <v>10.299746132105653</v>
      </c>
      <c r="X353">
        <f t="shared" ca="1" si="132"/>
        <v>9.5174864712243235E-2</v>
      </c>
      <c r="Y353">
        <f t="shared" ca="1" si="111"/>
        <v>0.16853819270950496</v>
      </c>
      <c r="Z353">
        <f t="shared" ca="1" si="112"/>
        <v>-7.3363327997261724E-2</v>
      </c>
      <c r="AA353">
        <f t="shared" ca="1" si="113"/>
        <v>9.824937999999996</v>
      </c>
      <c r="AB353" s="18">
        <f t="shared" ca="1" si="121"/>
        <v>-1.357904946653743E-2</v>
      </c>
      <c r="AC353" s="18">
        <f t="shared" ca="1" si="122"/>
        <v>-1.3672087968400063E-2</v>
      </c>
      <c r="AD353" s="18">
        <f t="shared" ca="1" si="117"/>
        <v>-0.15020555499849653</v>
      </c>
    </row>
    <row r="354" spans="1:30" x14ac:dyDescent="0.25">
      <c r="A354" vm="948">
        <f ca="1"/>
        <v>45806</v>
      </c>
      <c r="B354" vm="949">
        <f ca="1"/>
        <v>10.220000000000001</v>
      </c>
      <c r="C354" vm="950">
        <f ca="1"/>
        <v>101688883</v>
      </c>
      <c r="D354">
        <f t="shared" ca="1" si="114"/>
        <v>1039260384.2600001</v>
      </c>
      <c r="E354">
        <f ca="1">SUM($D$2:D354)/SUM($C$2:C354)</f>
        <v>10.698377224120261</v>
      </c>
      <c r="F354">
        <f ca="1">_xlfn.STDEV.P($B$2:B354)</f>
        <v>1.1676701029639094</v>
      </c>
      <c r="G354">
        <f t="shared" ca="1" si="115"/>
        <v>11.86604732708417</v>
      </c>
      <c r="H354">
        <f t="shared" ca="1" si="116"/>
        <v>9.5307071211563521</v>
      </c>
      <c r="I354">
        <f t="shared" ca="1" si="128"/>
        <v>10.442999999999998</v>
      </c>
      <c r="J354">
        <f t="shared" ca="1" si="129"/>
        <v>0.21094025095672067</v>
      </c>
      <c r="K354">
        <f t="shared" ca="1" si="130"/>
        <v>10.86488050191344</v>
      </c>
      <c r="L354">
        <f t="shared" ca="1" si="131"/>
        <v>10.021119498086556</v>
      </c>
      <c r="M354">
        <f t="shared" ca="1" si="118"/>
        <v>5.0000000000000711E-2</v>
      </c>
      <c r="N354">
        <f t="shared" ca="1" si="119"/>
        <v>5.0000000000000711E-2</v>
      </c>
      <c r="O354">
        <f t="shared" ca="1" si="120"/>
        <v>0</v>
      </c>
      <c r="P354">
        <f t="shared" ca="1" si="126"/>
        <v>5.561731356230968E-2</v>
      </c>
      <c r="Q354">
        <f t="shared" ca="1" si="127"/>
        <v>6.0617339500374026E-2</v>
      </c>
      <c r="R354">
        <f t="shared" ca="1" si="124"/>
        <v>0.91751492263969292</v>
      </c>
      <c r="S354">
        <f t="shared" ca="1" si="125"/>
        <v>47.849167263669678</v>
      </c>
      <c r="T354">
        <f>70</f>
        <v>70</v>
      </c>
      <c r="U354">
        <f>30</f>
        <v>30</v>
      </c>
      <c r="V354">
        <f t="shared" ca="1" si="123"/>
        <v>10.389013875921181</v>
      </c>
      <c r="W354">
        <f t="shared" ca="1" si="133"/>
        <v>10.293839011208938</v>
      </c>
      <c r="X354">
        <f t="shared" ca="1" si="132"/>
        <v>8.7405819104517946E-2</v>
      </c>
      <c r="Y354">
        <f t="shared" ca="1" si="111"/>
        <v>0.15231171798850757</v>
      </c>
      <c r="Z354">
        <f t="shared" ca="1" si="112"/>
        <v>-6.4905898883989621E-2</v>
      </c>
      <c r="AA354">
        <f t="shared" ca="1" si="113"/>
        <v>9.8321649999999963</v>
      </c>
      <c r="AB354" s="18">
        <f t="shared" ca="1" si="121"/>
        <v>4.9164208456244918E-3</v>
      </c>
      <c r="AC354" s="18">
        <f t="shared" ca="1" si="122"/>
        <v>4.9043747150898983E-3</v>
      </c>
      <c r="AD354" s="18">
        <f t="shared" ca="1" si="117"/>
        <v>-0.14602760787459523</v>
      </c>
    </row>
    <row r="355" spans="1:30" x14ac:dyDescent="0.25">
      <c r="A355" vm="951">
        <f ca="1"/>
        <v>45807</v>
      </c>
      <c r="B355" vm="952">
        <f ca="1"/>
        <v>10.38</v>
      </c>
      <c r="C355" vm="953">
        <f ca="1"/>
        <v>152191621</v>
      </c>
      <c r="D355">
        <f t="shared" ca="1" si="114"/>
        <v>1579749025.98</v>
      </c>
      <c r="E355">
        <f ca="1">SUM($D$2:D355)/SUM($C$2:C355)</f>
        <v>10.696443759997688</v>
      </c>
      <c r="F355">
        <f ca="1">_xlfn.STDEV.P($B$2:B355)</f>
        <v>1.1664707439503448</v>
      </c>
      <c r="G355">
        <f t="shared" ca="1" si="115"/>
        <v>11.862914503948033</v>
      </c>
      <c r="H355">
        <f t="shared" ca="1" si="116"/>
        <v>9.529973016047343</v>
      </c>
      <c r="I355">
        <f t="shared" ca="1" si="128"/>
        <v>10.452999999999999</v>
      </c>
      <c r="J355">
        <f t="shared" ca="1" si="129"/>
        <v>0.20238316967678197</v>
      </c>
      <c r="K355">
        <f t="shared" ca="1" si="130"/>
        <v>10.857766339353564</v>
      </c>
      <c r="L355">
        <f t="shared" ca="1" si="131"/>
        <v>10.048233660646435</v>
      </c>
      <c r="M355">
        <f t="shared" ca="1" si="118"/>
        <v>0.16000000000000014</v>
      </c>
      <c r="N355">
        <f t="shared" ca="1" si="119"/>
        <v>0.16000000000000014</v>
      </c>
      <c r="O355">
        <f t="shared" ca="1" si="120"/>
        <v>0</v>
      </c>
      <c r="P355">
        <f t="shared" ca="1" si="126"/>
        <v>6.307321973643043E-2</v>
      </c>
      <c r="Q355">
        <f t="shared" ca="1" si="127"/>
        <v>5.6287529536061594E-2</v>
      </c>
      <c r="R355">
        <f t="shared" ca="1" si="124"/>
        <v>1.1205540597766237</v>
      </c>
      <c r="S355">
        <f t="shared" ca="1" si="125"/>
        <v>52.842513238953288</v>
      </c>
      <c r="T355">
        <f>70</f>
        <v>70</v>
      </c>
      <c r="U355">
        <f>30</f>
        <v>30</v>
      </c>
      <c r="V355">
        <f t="shared" ca="1" si="123"/>
        <v>10.38762712577946</v>
      </c>
      <c r="W355">
        <f t="shared" ca="1" si="133"/>
        <v>10.300221306674942</v>
      </c>
      <c r="X355">
        <f t="shared" ca="1" si="132"/>
        <v>4.8414050390721997E-2</v>
      </c>
      <c r="Y355">
        <f t="shared" ca="1" si="111"/>
        <v>0.13153218446895046</v>
      </c>
      <c r="Z355">
        <f t="shared" ca="1" si="112"/>
        <v>-8.3118134078228462E-2</v>
      </c>
      <c r="AA355">
        <f t="shared" ca="1" si="113"/>
        <v>9.8387279999999961</v>
      </c>
      <c r="AB355" s="18">
        <f t="shared" ca="1" si="121"/>
        <v>1.5655577299412915E-2</v>
      </c>
      <c r="AC355" s="18">
        <f t="shared" ca="1" si="122"/>
        <v>1.5534292962184204E-2</v>
      </c>
      <c r="AD355" s="18">
        <f t="shared" ca="1" si="117"/>
        <v>-0.13265817707811145</v>
      </c>
    </row>
    <row r="356" spans="1:30" x14ac:dyDescent="0.25">
      <c r="A356" vm="954">
        <f ca="1"/>
        <v>45810</v>
      </c>
      <c r="B356" vm="955">
        <f ca="1"/>
        <v>9.98</v>
      </c>
      <c r="C356" vm="956">
        <f ca="1"/>
        <v>170340783</v>
      </c>
      <c r="D356">
        <f t="shared" ca="1" si="114"/>
        <v>1700001014.3400002</v>
      </c>
      <c r="E356">
        <f ca="1">SUM($D$2:D356)/SUM($C$2:C356)</f>
        <v>10.691606914869295</v>
      </c>
      <c r="F356">
        <f ca="1">_xlfn.STDEV.P($B$2:B356)</f>
        <v>1.1660545797204995</v>
      </c>
      <c r="G356">
        <f t="shared" ca="1" si="115"/>
        <v>11.857661494589795</v>
      </c>
      <c r="H356">
        <f t="shared" ca="1" si="116"/>
        <v>9.5255523351487952</v>
      </c>
      <c r="I356">
        <f t="shared" ca="1" si="128"/>
        <v>10.437999999999999</v>
      </c>
      <c r="J356">
        <f t="shared" ca="1" si="129"/>
        <v>0.22565926806395065</v>
      </c>
      <c r="K356">
        <f t="shared" ca="1" si="130"/>
        <v>10.889318536127901</v>
      </c>
      <c r="L356">
        <f t="shared" ca="1" si="131"/>
        <v>9.9866814638720971</v>
      </c>
      <c r="M356">
        <f t="shared" ca="1" si="118"/>
        <v>-0.40000000000000036</v>
      </c>
      <c r="N356">
        <f t="shared" ca="1" si="119"/>
        <v>0</v>
      </c>
      <c r="O356">
        <f t="shared" ca="1" si="120"/>
        <v>0.40000000000000036</v>
      </c>
      <c r="P356">
        <f t="shared" ca="1" si="126"/>
        <v>5.856798975525683E-2</v>
      </c>
      <c r="Q356">
        <f t="shared" ca="1" si="127"/>
        <v>8.0838420283485785E-2</v>
      </c>
      <c r="R356">
        <f t="shared" ca="1" si="124"/>
        <v>0.72450685639166912</v>
      </c>
      <c r="S356">
        <f t="shared" ca="1" si="125"/>
        <v>42.012407993994046</v>
      </c>
      <c r="T356">
        <f>70</f>
        <v>70</v>
      </c>
      <c r="U356">
        <f>30</f>
        <v>30</v>
      </c>
      <c r="V356">
        <f t="shared" ca="1" si="123"/>
        <v>10.324915260274928</v>
      </c>
      <c r="W356">
        <f t="shared" ca="1" si="133"/>
        <v>10.276501209884206</v>
      </c>
      <c r="X356">
        <f t="shared" ca="1" si="132"/>
        <v>3.4065353530731812E-2</v>
      </c>
      <c r="Y356">
        <f t="shared" ca="1" si="111"/>
        <v>0.11203881828130674</v>
      </c>
      <c r="Z356">
        <f t="shared" ca="1" si="112"/>
        <v>-7.7973464750574928E-2</v>
      </c>
      <c r="AA356">
        <f t="shared" ca="1" si="113"/>
        <v>9.8408969999999965</v>
      </c>
      <c r="AB356" s="18">
        <f t="shared" ca="1" si="121"/>
        <v>-3.8535645472061675E-2</v>
      </c>
      <c r="AC356" s="18">
        <f t="shared" ca="1" si="122"/>
        <v>-3.929778741436999E-2</v>
      </c>
      <c r="AD356" s="18">
        <f t="shared" ca="1" si="117"/>
        <v>-0.16608175406932102</v>
      </c>
    </row>
    <row r="357" spans="1:30" x14ac:dyDescent="0.25">
      <c r="A357" vm="957">
        <f ca="1"/>
        <v>45811</v>
      </c>
      <c r="B357" vm="958">
        <f ca="1"/>
        <v>10.19</v>
      </c>
      <c r="C357" vm="959">
        <f ca="1"/>
        <v>121584328</v>
      </c>
      <c r="D357">
        <f t="shared" ca="1" si="114"/>
        <v>1238944302.3199999</v>
      </c>
      <c r="E357">
        <f ca="1">SUM($D$2:D357)/SUM($C$2:C357)</f>
        <v>10.68920136259382</v>
      </c>
      <c r="F357">
        <f ca="1">_xlfn.STDEV.P($B$2:B357)</f>
        <v>1.1651786657990926</v>
      </c>
      <c r="G357">
        <f t="shared" ca="1" si="115"/>
        <v>11.854380028392914</v>
      </c>
      <c r="H357">
        <f t="shared" ca="1" si="116"/>
        <v>9.5240226967947272</v>
      </c>
      <c r="I357">
        <f t="shared" ca="1" si="128"/>
        <v>10.439</v>
      </c>
      <c r="J357">
        <f t="shared" ca="1" si="129"/>
        <v>0.22445020547293371</v>
      </c>
      <c r="K357">
        <f t="shared" ca="1" si="130"/>
        <v>10.887900410945868</v>
      </c>
      <c r="L357">
        <f t="shared" ca="1" si="131"/>
        <v>9.9900995890541324</v>
      </c>
      <c r="M357">
        <f t="shared" ca="1" si="118"/>
        <v>0.20999999999999908</v>
      </c>
      <c r="N357">
        <f t="shared" ca="1" si="119"/>
        <v>0.20999999999999908</v>
      </c>
      <c r="O357">
        <f t="shared" ca="1" si="120"/>
        <v>0</v>
      </c>
      <c r="P357">
        <f t="shared" ca="1" si="126"/>
        <v>6.9384561915595569E-2</v>
      </c>
      <c r="Q357">
        <f t="shared" ca="1" si="127"/>
        <v>7.5064247406093951E-2</v>
      </c>
      <c r="R357">
        <f t="shared" ca="1" si="124"/>
        <v>0.92433567661350735</v>
      </c>
      <c r="S357">
        <f t="shared" ca="1" si="125"/>
        <v>48.034014431420601</v>
      </c>
      <c r="T357">
        <f>70</f>
        <v>70</v>
      </c>
      <c r="U357">
        <f>30</f>
        <v>30</v>
      </c>
      <c r="V357">
        <f t="shared" ca="1" si="123"/>
        <v>10.304159066386477</v>
      </c>
      <c r="W357">
        <f t="shared" ca="1" si="133"/>
        <v>10.270093712855745</v>
      </c>
      <c r="X357">
        <f t="shared" ca="1" si="132"/>
        <v>2.6423891848052605E-2</v>
      </c>
      <c r="Y357">
        <f t="shared" ca="1" si="111"/>
        <v>9.4915832994655919E-2</v>
      </c>
      <c r="Z357">
        <f t="shared" ca="1" si="112"/>
        <v>-6.8491941146603313E-2</v>
      </c>
      <c r="AA357">
        <f t="shared" ca="1" si="113"/>
        <v>9.846740999999998</v>
      </c>
      <c r="AB357" s="18">
        <f t="shared" ca="1" si="121"/>
        <v>2.1042084168336528E-2</v>
      </c>
      <c r="AC357" s="18">
        <f t="shared" ca="1" si="122"/>
        <v>2.0823756911260698E-2</v>
      </c>
      <c r="AD357" s="18">
        <f t="shared" ca="1" si="117"/>
        <v>-0.14853437614893616</v>
      </c>
    </row>
    <row r="358" spans="1:30" x14ac:dyDescent="0.25">
      <c r="A358" vm="960">
        <f ca="1"/>
        <v>45812</v>
      </c>
      <c r="B358" vm="961">
        <f ca="1"/>
        <v>10.24</v>
      </c>
      <c r="C358" vm="962">
        <f ca="1"/>
        <v>123191229</v>
      </c>
      <c r="D358">
        <f t="shared" ca="1" si="114"/>
        <v>1261478184.96</v>
      </c>
      <c r="E358">
        <f ca="1">SUM($D$2:D358)/SUM($C$2:C358)</f>
        <v>10.68702921475756</v>
      </c>
      <c r="F358">
        <f ca="1">_xlfn.STDEV.P($B$2:B358)</f>
        <v>1.1642104523435117</v>
      </c>
      <c r="G358">
        <f t="shared" ca="1" si="115"/>
        <v>11.851239667101073</v>
      </c>
      <c r="H358">
        <f t="shared" ca="1" si="116"/>
        <v>9.5228187624140475</v>
      </c>
      <c r="I358">
        <f t="shared" ca="1" si="128"/>
        <v>10.428999999999998</v>
      </c>
      <c r="J358">
        <f t="shared" ca="1" si="129"/>
        <v>0.22881617535756341</v>
      </c>
      <c r="K358">
        <f t="shared" ca="1" si="130"/>
        <v>10.886632350715125</v>
      </c>
      <c r="L358">
        <f t="shared" ca="1" si="131"/>
        <v>9.971367649284872</v>
      </c>
      <c r="M358">
        <f t="shared" ca="1" si="118"/>
        <v>5.0000000000000711E-2</v>
      </c>
      <c r="N358">
        <f t="shared" ca="1" si="119"/>
        <v>5.0000000000000711E-2</v>
      </c>
      <c r="O358">
        <f t="shared" ca="1" si="120"/>
        <v>0</v>
      </c>
      <c r="P358">
        <f t="shared" ca="1" si="126"/>
        <v>6.7999950350195931E-2</v>
      </c>
      <c r="Q358">
        <f t="shared" ca="1" si="127"/>
        <v>6.9702515448515814E-2</v>
      </c>
      <c r="R358">
        <f t="shared" ca="1" si="124"/>
        <v>0.97557383564474875</v>
      </c>
      <c r="S358">
        <f t="shared" ca="1" si="125"/>
        <v>49.381795711338739</v>
      </c>
      <c r="T358">
        <f>70</f>
        <v>70</v>
      </c>
      <c r="U358">
        <f>30</f>
        <v>30</v>
      </c>
      <c r="V358">
        <f t="shared" ca="1" si="123"/>
        <v>10.294288440788558</v>
      </c>
      <c r="W358">
        <f t="shared" ca="1" si="133"/>
        <v>10.267864548940505</v>
      </c>
      <c r="X358">
        <f t="shared" ca="1" si="132"/>
        <v>8.9677735285960125E-3</v>
      </c>
      <c r="Y358">
        <f t="shared" ref="Y358:Y421" ca="1" si="134">X358*(2/(9+1)) + Y357*(1-(2/(9+1)))</f>
        <v>7.7726221101443949E-2</v>
      </c>
      <c r="Z358">
        <f t="shared" ref="Z358:Z421" ca="1" si="135">X358-Y358</f>
        <v>-6.8758447572847936E-2</v>
      </c>
      <c r="AA358">
        <f t="shared" ref="AA358:AA421" ca="1" si="136">AVERAGE(B259:B358)</f>
        <v>9.8532819999999983</v>
      </c>
      <c r="AB358" s="18">
        <f t="shared" ca="1" si="121"/>
        <v>4.9067713444554961E-3</v>
      </c>
      <c r="AC358" s="18">
        <f t="shared" ca="1" si="122"/>
        <v>4.8947723767284275E-3</v>
      </c>
      <c r="AD358" s="18">
        <f t="shared" ca="1" si="117"/>
        <v>-0.14435642902503487</v>
      </c>
    </row>
    <row r="359" spans="1:30" x14ac:dyDescent="0.25">
      <c r="A359" vm="963">
        <f ca="1"/>
        <v>45813</v>
      </c>
      <c r="B359" vm="964">
        <f ca="1"/>
        <v>10.1</v>
      </c>
      <c r="C359" vm="965">
        <f ca="1"/>
        <v>133269444</v>
      </c>
      <c r="D359">
        <f t="shared" ca="1" si="114"/>
        <v>1346021384.3999999</v>
      </c>
      <c r="E359">
        <f ca="1">SUM($D$2:D359)/SUM($C$2:C359)</f>
        <v>10.683974343726014</v>
      </c>
      <c r="F359">
        <f ca="1">_xlfn.STDEV.P($B$2:B359)</f>
        <v>1.1635154122630105</v>
      </c>
      <c r="G359">
        <f t="shared" ca="1" si="115"/>
        <v>11.847489755989024</v>
      </c>
      <c r="H359">
        <f t="shared" ca="1" si="116"/>
        <v>9.5204589314630041</v>
      </c>
      <c r="I359">
        <f t="shared" ca="1" si="128"/>
        <v>10.419999999999998</v>
      </c>
      <c r="J359">
        <f t="shared" ca="1" si="129"/>
        <v>0.2383275057562598</v>
      </c>
      <c r="K359">
        <f t="shared" ca="1" si="130"/>
        <v>10.896655011512518</v>
      </c>
      <c r="L359">
        <f t="shared" ca="1" si="131"/>
        <v>9.9433449884874783</v>
      </c>
      <c r="M359">
        <f t="shared" ca="1" si="118"/>
        <v>-0.14000000000000057</v>
      </c>
      <c r="N359">
        <f t="shared" ca="1" si="119"/>
        <v>0</v>
      </c>
      <c r="O359">
        <f t="shared" ca="1" si="120"/>
        <v>0.14000000000000057</v>
      </c>
      <c r="P359">
        <f t="shared" ca="1" si="126"/>
        <v>6.3142811039467645E-2</v>
      </c>
      <c r="Q359">
        <f t="shared" ca="1" si="127"/>
        <v>7.4723764345050445E-2</v>
      </c>
      <c r="R359">
        <f t="shared" ca="1" si="124"/>
        <v>0.84501646287376986</v>
      </c>
      <c r="S359">
        <f t="shared" ca="1" si="125"/>
        <v>45.799941619902128</v>
      </c>
      <c r="T359">
        <f>70</f>
        <v>70</v>
      </c>
      <c r="U359">
        <f>30</f>
        <v>30</v>
      </c>
      <c r="V359">
        <f t="shared" ca="1" si="123"/>
        <v>10.264397911436472</v>
      </c>
      <c r="W359">
        <f t="shared" ca="1" si="133"/>
        <v>10.255430137907876</v>
      </c>
      <c r="X359">
        <f t="shared" ca="1" si="132"/>
        <v>7.9526634660194162E-3</v>
      </c>
      <c r="Y359">
        <f t="shared" ca="1" si="134"/>
        <v>6.377150957435905E-2</v>
      </c>
      <c r="Z359">
        <f t="shared" ca="1" si="135"/>
        <v>-5.5818846108339634E-2</v>
      </c>
      <c r="AA359">
        <f t="shared" ca="1" si="136"/>
        <v>9.8593089999999979</v>
      </c>
      <c r="AB359" s="18">
        <f t="shared" ca="1" si="121"/>
        <v>-1.3671875E-2</v>
      </c>
      <c r="AC359" s="18">
        <f t="shared" ca="1" si="122"/>
        <v>-1.3766195764147959E-2</v>
      </c>
      <c r="AD359" s="18">
        <f t="shared" ca="1" si="117"/>
        <v>-0.15605468097195818</v>
      </c>
    </row>
    <row r="360" spans="1:30" x14ac:dyDescent="0.25">
      <c r="A360" vm="966">
        <f ca="1"/>
        <v>45814</v>
      </c>
      <c r="B360" vm="967">
        <f ca="1"/>
        <v>10.26</v>
      </c>
      <c r="C360" vm="968">
        <f ca="1"/>
        <v>105916694</v>
      </c>
      <c r="D360">
        <f t="shared" ca="1" si="114"/>
        <v>1086705280.4400001</v>
      </c>
      <c r="E360">
        <f ca="1">SUM($D$2:D360)/SUM($C$2:C360)</f>
        <v>10.682228062880503</v>
      </c>
      <c r="F360">
        <f ca="1">_xlfn.STDEV.P($B$2:B360)</f>
        <v>1.1625129266928744</v>
      </c>
      <c r="G360">
        <f t="shared" ca="1" si="115"/>
        <v>11.844740989573378</v>
      </c>
      <c r="H360">
        <f t="shared" ca="1" si="116"/>
        <v>9.519715136187628</v>
      </c>
      <c r="I360">
        <f t="shared" ca="1" si="128"/>
        <v>10.418999999999999</v>
      </c>
      <c r="J360">
        <f t="shared" ca="1" si="129"/>
        <v>0.23898689680002397</v>
      </c>
      <c r="K360">
        <f t="shared" ca="1" si="130"/>
        <v>10.896973793600047</v>
      </c>
      <c r="L360">
        <f t="shared" ca="1" si="131"/>
        <v>9.9410262063999504</v>
      </c>
      <c r="M360">
        <f t="shared" ca="1" si="118"/>
        <v>0.16000000000000014</v>
      </c>
      <c r="N360">
        <f t="shared" ca="1" si="119"/>
        <v>0.16000000000000014</v>
      </c>
      <c r="O360">
        <f t="shared" ca="1" si="120"/>
        <v>0</v>
      </c>
      <c r="P360">
        <f t="shared" ca="1" si="126"/>
        <v>7.0061181679505674E-2</v>
      </c>
      <c r="Q360">
        <f t="shared" ca="1" si="127"/>
        <v>6.9386352606118265E-2</v>
      </c>
      <c r="R360">
        <f t="shared" ca="1" si="124"/>
        <v>1.0097256744019703</v>
      </c>
      <c r="S360">
        <f t="shared" ca="1" si="125"/>
        <v>50.241965222563628</v>
      </c>
      <c r="T360">
        <f>70</f>
        <v>70</v>
      </c>
      <c r="U360">
        <f>30</f>
        <v>30</v>
      </c>
      <c r="V360">
        <f t="shared" ca="1" si="123"/>
        <v>10.263721309677015</v>
      </c>
      <c r="W360">
        <f t="shared" ca="1" si="133"/>
        <v>10.255768646210996</v>
      </c>
      <c r="X360">
        <f t="shared" ca="1" si="132"/>
        <v>1.3448487052707847E-2</v>
      </c>
      <c r="Y360">
        <f t="shared" ca="1" si="134"/>
        <v>5.3706905070028815E-2</v>
      </c>
      <c r="Z360">
        <f t="shared" ca="1" si="135"/>
        <v>-4.0258418017320968E-2</v>
      </c>
      <c r="AA360">
        <f t="shared" ca="1" si="136"/>
        <v>9.866344999999999</v>
      </c>
      <c r="AB360" s="18">
        <f t="shared" ca="1" si="121"/>
        <v>1.5841584158415856E-2</v>
      </c>
      <c r="AC360" s="18">
        <f t="shared" ca="1" si="122"/>
        <v>1.5717415895409724E-2</v>
      </c>
      <c r="AD360" s="18">
        <f t="shared" ca="1" si="117"/>
        <v>-0.14268525017547429</v>
      </c>
    </row>
    <row r="361" spans="1:30" x14ac:dyDescent="0.25">
      <c r="A361" vm="969">
        <f ca="1"/>
        <v>45817</v>
      </c>
      <c r="B361" vm="970">
        <f ca="1"/>
        <v>10.34</v>
      </c>
      <c r="C361" vm="971">
        <f ca="1"/>
        <v>63638928</v>
      </c>
      <c r="D361">
        <f t="shared" ca="1" si="114"/>
        <v>658026515.51999998</v>
      </c>
      <c r="E361">
        <f ca="1">SUM($D$2:D361)/SUM($C$2:C361)</f>
        <v>10.681383221602228</v>
      </c>
      <c r="F361">
        <f ca="1">_xlfn.STDEV.P($B$2:B361)</f>
        <v>1.161382399245412</v>
      </c>
      <c r="G361">
        <f t="shared" ca="1" si="115"/>
        <v>11.84276562084764</v>
      </c>
      <c r="H361">
        <f t="shared" ca="1" si="116"/>
        <v>9.5200008223568169</v>
      </c>
      <c r="I361">
        <f t="shared" ca="1" si="128"/>
        <v>10.4145</v>
      </c>
      <c r="J361">
        <f t="shared" ca="1" si="129"/>
        <v>0.23961537161832819</v>
      </c>
      <c r="K361">
        <f t="shared" ca="1" si="130"/>
        <v>10.893730743236656</v>
      </c>
      <c r="L361">
        <f t="shared" ca="1" si="131"/>
        <v>9.9352692567633447</v>
      </c>
      <c r="M361">
        <f t="shared" ca="1" si="118"/>
        <v>8.0000000000000071E-2</v>
      </c>
      <c r="N361">
        <f t="shared" ca="1" si="119"/>
        <v>8.0000000000000071E-2</v>
      </c>
      <c r="O361">
        <f t="shared" ca="1" si="120"/>
        <v>0</v>
      </c>
      <c r="P361">
        <f t="shared" ca="1" si="126"/>
        <v>7.0771097273826702E-2</v>
      </c>
      <c r="Q361">
        <f t="shared" ca="1" si="127"/>
        <v>6.4430184562824108E-2</v>
      </c>
      <c r="R361">
        <f t="shared" ca="1" si="124"/>
        <v>1.098415249840232</v>
      </c>
      <c r="S361">
        <f t="shared" ca="1" si="125"/>
        <v>52.34498986432083</v>
      </c>
      <c r="T361">
        <f>70</f>
        <v>70</v>
      </c>
      <c r="U361">
        <f>30</f>
        <v>30</v>
      </c>
      <c r="V361">
        <f t="shared" ca="1" si="123"/>
        <v>10.275456492803629</v>
      </c>
      <c r="W361">
        <f t="shared" ca="1" si="133"/>
        <v>10.262008005750921</v>
      </c>
      <c r="X361">
        <f t="shared" ca="1" si="132"/>
        <v>3.8341813372159805E-2</v>
      </c>
      <c r="Y361">
        <f t="shared" ca="1" si="134"/>
        <v>5.0633886730455012E-2</v>
      </c>
      <c r="Z361">
        <f t="shared" ca="1" si="135"/>
        <v>-1.2292073358295207E-2</v>
      </c>
      <c r="AA361">
        <f t="shared" ca="1" si="136"/>
        <v>9.8734919999999988</v>
      </c>
      <c r="AB361" s="18">
        <f t="shared" ca="1" si="121"/>
        <v>7.7972709551656916E-3</v>
      </c>
      <c r="AC361" s="18">
        <f t="shared" ca="1" si="122"/>
        <v>7.7670293376595964E-3</v>
      </c>
      <c r="AD361" s="18">
        <f t="shared" ca="1" si="117"/>
        <v>-0.1360005347772324</v>
      </c>
    </row>
    <row r="362" spans="1:30" x14ac:dyDescent="0.25">
      <c r="A362" vm="972">
        <f ca="1"/>
        <v>45818</v>
      </c>
      <c r="B362" vm="919">
        <f ca="1"/>
        <v>10.6</v>
      </c>
      <c r="C362" vm="973">
        <f ca="1"/>
        <v>87955501</v>
      </c>
      <c r="D362">
        <f t="shared" ca="1" si="114"/>
        <v>932328310.60000002</v>
      </c>
      <c r="E362">
        <f ca="1">SUM($D$2:D362)/SUM($C$2:C362)</f>
        <v>10.681106492218255</v>
      </c>
      <c r="F362">
        <f ca="1">_xlfn.STDEV.P($B$2:B362)</f>
        <v>1.1599410853684458</v>
      </c>
      <c r="G362">
        <f t="shared" ca="1" si="115"/>
        <v>11.841047577586702</v>
      </c>
      <c r="H362">
        <f t="shared" ca="1" si="116"/>
        <v>9.5211654068498088</v>
      </c>
      <c r="I362">
        <f t="shared" ca="1" si="128"/>
        <v>10.416999999999998</v>
      </c>
      <c r="J362">
        <f t="shared" ca="1" si="129"/>
        <v>0.24135800009638453</v>
      </c>
      <c r="K362">
        <f t="shared" ca="1" si="130"/>
        <v>10.899716000192766</v>
      </c>
      <c r="L362">
        <f t="shared" ca="1" si="131"/>
        <v>9.9342839998072296</v>
      </c>
      <c r="M362">
        <f t="shared" ca="1" si="118"/>
        <v>0.25999999999999979</v>
      </c>
      <c r="N362">
        <f t="shared" ca="1" si="119"/>
        <v>0.25999999999999979</v>
      </c>
      <c r="O362">
        <f t="shared" ca="1" si="120"/>
        <v>0</v>
      </c>
      <c r="P362">
        <f t="shared" ca="1" si="126"/>
        <v>8.428744746855335E-2</v>
      </c>
      <c r="Q362">
        <f t="shared" ca="1" si="127"/>
        <v>5.9828028522622381E-2</v>
      </c>
      <c r="R362">
        <f t="shared" ca="1" si="124"/>
        <v>1.4088287638741479</v>
      </c>
      <c r="S362">
        <f t="shared" ca="1" si="125"/>
        <v>58.486048697305982</v>
      </c>
      <c r="T362">
        <f>70</f>
        <v>70</v>
      </c>
      <c r="U362">
        <f>30</f>
        <v>30</v>
      </c>
      <c r="V362">
        <f t="shared" ca="1" si="123"/>
        <v>10.325386263141532</v>
      </c>
      <c r="W362">
        <f t="shared" ca="1" si="133"/>
        <v>10.287044449769372</v>
      </c>
      <c r="X362">
        <f t="shared" ca="1" si="132"/>
        <v>6.2194512757804077E-2</v>
      </c>
      <c r="Y362">
        <f t="shared" ca="1" si="134"/>
        <v>5.2946011935924825E-2</v>
      </c>
      <c r="Z362">
        <f t="shared" ca="1" si="135"/>
        <v>9.2485008218792519E-3</v>
      </c>
      <c r="AA362">
        <f t="shared" ca="1" si="136"/>
        <v>9.8815659999999994</v>
      </c>
      <c r="AB362" s="18">
        <f t="shared" ca="1" si="121"/>
        <v>2.5145067698259194E-2</v>
      </c>
      <c r="AC362" s="18">
        <f t="shared" ca="1" si="122"/>
        <v>2.4834132037738394E-2</v>
      </c>
      <c r="AD362" s="18">
        <f t="shared" ca="1" si="117"/>
        <v>-0.11427520973294614</v>
      </c>
    </row>
    <row r="363" spans="1:30" x14ac:dyDescent="0.25">
      <c r="A363" vm="974">
        <f ca="1"/>
        <v>45819</v>
      </c>
      <c r="B363" vm="975">
        <f ca="1"/>
        <v>10.66</v>
      </c>
      <c r="C363" vm="976">
        <f ca="1"/>
        <v>93094876</v>
      </c>
      <c r="D363">
        <f t="shared" ca="1" si="114"/>
        <v>992391378.15999997</v>
      </c>
      <c r="E363">
        <f ca="1">SUM($D$2:D363)/SUM($C$2:C363)</f>
        <v>10.681030802130797</v>
      </c>
      <c r="F363">
        <f ca="1">_xlfn.STDEV.P($B$2:B363)</f>
        <v>1.1584558087363099</v>
      </c>
      <c r="G363">
        <f t="shared" ca="1" si="115"/>
        <v>11.839486610867107</v>
      </c>
      <c r="H363">
        <f t="shared" ca="1" si="116"/>
        <v>9.5225749933944872</v>
      </c>
      <c r="I363">
        <f t="shared" ca="1" si="128"/>
        <v>10.419999999999998</v>
      </c>
      <c r="J363">
        <f t="shared" ca="1" si="129"/>
        <v>0.24410955262793499</v>
      </c>
      <c r="K363">
        <f t="shared" ca="1" si="130"/>
        <v>10.908219105255869</v>
      </c>
      <c r="L363">
        <f t="shared" ca="1" si="131"/>
        <v>9.9317808947441275</v>
      </c>
      <c r="M363">
        <f t="shared" ca="1" si="118"/>
        <v>6.0000000000000497E-2</v>
      </c>
      <c r="N363">
        <f t="shared" ca="1" si="119"/>
        <v>6.0000000000000497E-2</v>
      </c>
      <c r="O363">
        <f t="shared" ca="1" si="120"/>
        <v>0</v>
      </c>
      <c r="P363">
        <f t="shared" ca="1" si="126"/>
        <v>8.2552629792228147E-2</v>
      </c>
      <c r="Q363">
        <f t="shared" ca="1" si="127"/>
        <v>5.5554597913863642E-2</v>
      </c>
      <c r="R363">
        <f t="shared" ca="1" si="124"/>
        <v>1.48597295079382</v>
      </c>
      <c r="S363">
        <f t="shared" ca="1" si="125"/>
        <v>59.774300855498836</v>
      </c>
      <c r="T363">
        <f>70</f>
        <v>70</v>
      </c>
      <c r="U363">
        <f>30</f>
        <v>30</v>
      </c>
      <c r="V363">
        <f t="shared" ca="1" si="123"/>
        <v>10.376865299581297</v>
      </c>
      <c r="W363">
        <f t="shared" ca="1" si="133"/>
        <v>10.314670786823493</v>
      </c>
      <c r="X363">
        <f t="shared" ca="1" si="132"/>
        <v>6.9803385350455827E-2</v>
      </c>
      <c r="Y363">
        <f t="shared" ca="1" si="134"/>
        <v>5.6317486618831028E-2</v>
      </c>
      <c r="Z363">
        <f t="shared" ca="1" si="135"/>
        <v>1.3485898731624799E-2</v>
      </c>
      <c r="AA363">
        <f t="shared" ca="1" si="136"/>
        <v>9.8896499999999978</v>
      </c>
      <c r="AB363" s="18">
        <f t="shared" ca="1" si="121"/>
        <v>5.6603773584906758E-3</v>
      </c>
      <c r="AC363" s="18">
        <f t="shared" ca="1" si="122"/>
        <v>5.6444176196771313E-3</v>
      </c>
      <c r="AD363" s="18">
        <f t="shared" ca="1" si="117"/>
        <v>-0.10926167318426461</v>
      </c>
    </row>
    <row r="364" spans="1:30" x14ac:dyDescent="0.25">
      <c r="A364" vm="977">
        <f ca="1"/>
        <v>45820</v>
      </c>
      <c r="B364" vm="978">
        <f ca="1"/>
        <v>10.53</v>
      </c>
      <c r="C364" vm="979">
        <f ca="1"/>
        <v>76393291</v>
      </c>
      <c r="D364">
        <f t="shared" ca="1" si="114"/>
        <v>804421354.2299999</v>
      </c>
      <c r="E364">
        <f ca="1">SUM($D$2:D364)/SUM($C$2:C364)</f>
        <v>10.680587661291909</v>
      </c>
      <c r="F364">
        <f ca="1">_xlfn.STDEV.P($B$2:B364)</f>
        <v>1.1570931909779849</v>
      </c>
      <c r="G364">
        <f t="shared" ca="1" si="115"/>
        <v>11.837680852269894</v>
      </c>
      <c r="H364">
        <f t="shared" ca="1" si="116"/>
        <v>9.5234944703139242</v>
      </c>
      <c r="I364">
        <f t="shared" ca="1" si="128"/>
        <v>10.414</v>
      </c>
      <c r="J364">
        <f t="shared" ca="1" si="129"/>
        <v>0.23959175805172392</v>
      </c>
      <c r="K364">
        <f t="shared" ca="1" si="130"/>
        <v>10.893183516103447</v>
      </c>
      <c r="L364">
        <f t="shared" ca="1" si="131"/>
        <v>9.9348164838965527</v>
      </c>
      <c r="M364">
        <f t="shared" ca="1" si="118"/>
        <v>-0.13000000000000078</v>
      </c>
      <c r="N364">
        <f t="shared" ca="1" si="119"/>
        <v>0</v>
      </c>
      <c r="O364">
        <f t="shared" ca="1" si="120"/>
        <v>0.13000000000000078</v>
      </c>
      <c r="P364">
        <f t="shared" ca="1" si="126"/>
        <v>7.6656013378497562E-2</v>
      </c>
      <c r="Q364">
        <f t="shared" ca="1" si="127"/>
        <v>6.0872126634302012E-2</v>
      </c>
      <c r="R364">
        <f t="shared" ca="1" si="124"/>
        <v>1.2592957995211749</v>
      </c>
      <c r="S364">
        <f t="shared" ca="1" si="125"/>
        <v>55.738420785275856</v>
      </c>
      <c r="T364">
        <f>70</f>
        <v>70</v>
      </c>
      <c r="U364">
        <f>30</f>
        <v>30</v>
      </c>
      <c r="V364">
        <f t="shared" ca="1" si="123"/>
        <v>10.400424484261096</v>
      </c>
      <c r="W364">
        <f t="shared" ca="1" si="133"/>
        <v>10.33062109891064</v>
      </c>
      <c r="X364">
        <f t="shared" ca="1" si="132"/>
        <v>6.6992064614208147E-2</v>
      </c>
      <c r="Y364">
        <f t="shared" ca="1" si="134"/>
        <v>5.845240221790645E-2</v>
      </c>
      <c r="Z364">
        <f t="shared" ca="1" si="135"/>
        <v>8.5396623963016963E-3</v>
      </c>
      <c r="AA364">
        <f t="shared" ca="1" si="136"/>
        <v>9.894759999999998</v>
      </c>
      <c r="AB364" s="18">
        <f t="shared" ca="1" si="121"/>
        <v>-1.2195121951219634E-2</v>
      </c>
      <c r="AC364" s="18">
        <f t="shared" ca="1" si="122"/>
        <v>-1.227009259181447E-2</v>
      </c>
      <c r="AD364" s="18">
        <f t="shared" ca="1" si="117"/>
        <v>-0.12012433570640779</v>
      </c>
    </row>
    <row r="365" spans="1:30" x14ac:dyDescent="0.25">
      <c r="A365" vm="980">
        <f ca="1"/>
        <v>45821</v>
      </c>
      <c r="B365" vm="913">
        <f ca="1"/>
        <v>10.43</v>
      </c>
      <c r="C365" vm="981">
        <f ca="1"/>
        <v>90106172</v>
      </c>
      <c r="D365">
        <f t="shared" ca="1" si="114"/>
        <v>939807373.95999992</v>
      </c>
      <c r="E365">
        <f ca="1">SUM($D$2:D365)/SUM($C$2:C365)</f>
        <v>10.679723420340235</v>
      </c>
      <c r="F365">
        <f ca="1">_xlfn.STDEV.P($B$2:B365)</f>
        <v>1.1558520138234525</v>
      </c>
      <c r="G365">
        <f t="shared" ca="1" si="115"/>
        <v>11.835575434163687</v>
      </c>
      <c r="H365">
        <f t="shared" ca="1" si="116"/>
        <v>9.5238714065167827</v>
      </c>
      <c r="I365">
        <f t="shared" ca="1" si="128"/>
        <v>10.398</v>
      </c>
      <c r="J365">
        <f t="shared" ca="1" si="129"/>
        <v>0.22628812560422545</v>
      </c>
      <c r="K365">
        <f t="shared" ca="1" si="130"/>
        <v>10.85057625120845</v>
      </c>
      <c r="L365">
        <f t="shared" ca="1" si="131"/>
        <v>9.9454237487915496</v>
      </c>
      <c r="M365">
        <f t="shared" ca="1" si="118"/>
        <v>-9.9999999999999645E-2</v>
      </c>
      <c r="N365">
        <f t="shared" ca="1" si="119"/>
        <v>0</v>
      </c>
      <c r="O365">
        <f t="shared" ca="1" si="120"/>
        <v>9.9999999999999645E-2</v>
      </c>
      <c r="P365">
        <f t="shared" ca="1" si="126"/>
        <v>7.1180583851462018E-2</v>
      </c>
      <c r="Q365">
        <f t="shared" ca="1" si="127"/>
        <v>6.3666974731851844E-2</v>
      </c>
      <c r="R365">
        <f t="shared" ca="1" si="124"/>
        <v>1.1180142318879682</v>
      </c>
      <c r="S365">
        <f t="shared" ca="1" si="125"/>
        <v>52.78596409106212</v>
      </c>
      <c r="T365">
        <f>70</f>
        <v>70</v>
      </c>
      <c r="U365">
        <f>30</f>
        <v>30</v>
      </c>
      <c r="V365">
        <f t="shared" ca="1" si="123"/>
        <v>10.404974563605542</v>
      </c>
      <c r="W365">
        <f t="shared" ca="1" si="133"/>
        <v>10.337982498991334</v>
      </c>
      <c r="X365">
        <f t="shared" ca="1" si="132"/>
        <v>7.9182715722684094E-2</v>
      </c>
      <c r="Y365">
        <f t="shared" ca="1" si="134"/>
        <v>6.2598464918861979E-2</v>
      </c>
      <c r="Z365">
        <f t="shared" ca="1" si="135"/>
        <v>1.6584250803822115E-2</v>
      </c>
      <c r="AA365">
        <f t="shared" ca="1" si="136"/>
        <v>9.8964099999999977</v>
      </c>
      <c r="AB365" s="18">
        <f t="shared" ca="1" si="121"/>
        <v>-9.4966761633428209E-3</v>
      </c>
      <c r="AC365" s="18">
        <f t="shared" ca="1" si="122"/>
        <v>-9.5420571332030472E-3</v>
      </c>
      <c r="AD365" s="18">
        <f t="shared" ca="1" si="117"/>
        <v>-0.12848022995421016</v>
      </c>
    </row>
    <row r="366" spans="1:30" x14ac:dyDescent="0.25">
      <c r="A366" vm="982">
        <f ca="1"/>
        <v>45824</v>
      </c>
      <c r="B366" vm="983">
        <f ca="1"/>
        <v>10.62</v>
      </c>
      <c r="C366" vm="984">
        <f ca="1"/>
        <v>75195179</v>
      </c>
      <c r="D366">
        <f t="shared" ca="1" si="114"/>
        <v>798572800.9799999</v>
      </c>
      <c r="E366">
        <f ca="1">SUM($D$2:D366)/SUM($C$2:C366)</f>
        <v>10.679552021796987</v>
      </c>
      <c r="F366">
        <f ca="1">_xlfn.STDEV.P($B$2:B366)</f>
        <v>1.1544136898437141</v>
      </c>
      <c r="G366">
        <f t="shared" ca="1" si="115"/>
        <v>11.833965711640701</v>
      </c>
      <c r="H366">
        <f t="shared" ca="1" si="116"/>
        <v>9.5251383319532721</v>
      </c>
      <c r="I366">
        <f t="shared" ca="1" si="128"/>
        <v>10.388999999999999</v>
      </c>
      <c r="J366">
        <f t="shared" ca="1" si="129"/>
        <v>0.21262519531845353</v>
      </c>
      <c r="K366">
        <f t="shared" ca="1" si="130"/>
        <v>10.814250390636907</v>
      </c>
      <c r="L366">
        <f t="shared" ca="1" si="131"/>
        <v>9.9637496093630915</v>
      </c>
      <c r="M366">
        <f t="shared" ca="1" si="118"/>
        <v>0.1899999999999995</v>
      </c>
      <c r="N366">
        <f t="shared" ca="1" si="119"/>
        <v>0.1899999999999995</v>
      </c>
      <c r="O366">
        <f t="shared" ca="1" si="120"/>
        <v>0</v>
      </c>
      <c r="P366">
        <f t="shared" ca="1" si="126"/>
        <v>7.9667685004928976E-2</v>
      </c>
      <c r="Q366">
        <f t="shared" ca="1" si="127"/>
        <v>5.9119333679576717E-2</v>
      </c>
      <c r="R366">
        <f t="shared" ca="1" si="124"/>
        <v>1.3475741360131543</v>
      </c>
      <c r="S366">
        <f t="shared" ca="1" si="125"/>
        <v>57.402836201872489</v>
      </c>
      <c r="T366">
        <f>70</f>
        <v>70</v>
      </c>
      <c r="U366">
        <f>30</f>
        <v>30</v>
      </c>
      <c r="V366">
        <f t="shared" ca="1" si="123"/>
        <v>10.438055399973919</v>
      </c>
      <c r="W366">
        <f t="shared" ca="1" si="133"/>
        <v>10.358872684251235</v>
      </c>
      <c r="X366">
        <f t="shared" ca="1" si="132"/>
        <v>7.1877012565821019E-2</v>
      </c>
      <c r="Y366">
        <f t="shared" ca="1" si="134"/>
        <v>6.4454174448253784E-2</v>
      </c>
      <c r="Z366">
        <f t="shared" ca="1" si="135"/>
        <v>7.4228381175672348E-3</v>
      </c>
      <c r="AA366">
        <f t="shared" ca="1" si="136"/>
        <v>9.9038969999999971</v>
      </c>
      <c r="AB366" s="18">
        <f t="shared" ca="1" si="121"/>
        <v>1.8216682646212901E-2</v>
      </c>
      <c r="AC366" s="18">
        <f t="shared" ca="1" si="122"/>
        <v>1.8052746801111748E-2</v>
      </c>
      <c r="AD366" s="18">
        <f t="shared" ca="1" si="117"/>
        <v>-0.11260403088338555</v>
      </c>
    </row>
    <row r="367" spans="1:30" x14ac:dyDescent="0.25">
      <c r="A367" vm="985">
        <f ca="1"/>
        <v>45825</v>
      </c>
      <c r="B367" vm="986">
        <f ca="1"/>
        <v>10.42</v>
      </c>
      <c r="C367" vm="987">
        <f ca="1"/>
        <v>100969375</v>
      </c>
      <c r="D367">
        <f t="shared" ca="1" si="114"/>
        <v>1052100887.5</v>
      </c>
      <c r="E367">
        <f ca="1">SUM($D$2:D367)/SUM($C$2:C367)</f>
        <v>10.678555662040152</v>
      </c>
      <c r="F367">
        <f ca="1">_xlfn.STDEV.P($B$2:B367)</f>
        <v>1.1531935195998908</v>
      </c>
      <c r="G367">
        <f t="shared" ca="1" si="115"/>
        <v>11.831749181640042</v>
      </c>
      <c r="H367">
        <f t="shared" ca="1" si="116"/>
        <v>9.5253621424402617</v>
      </c>
      <c r="I367">
        <f t="shared" ca="1" si="128"/>
        <v>10.372499999999999</v>
      </c>
      <c r="J367">
        <f t="shared" ca="1" si="129"/>
        <v>0.19522928490421332</v>
      </c>
      <c r="K367">
        <f t="shared" ca="1" si="130"/>
        <v>10.762958569808426</v>
      </c>
      <c r="L367">
        <f t="shared" ca="1" si="131"/>
        <v>9.9820414301915719</v>
      </c>
      <c r="M367">
        <f t="shared" ca="1" si="118"/>
        <v>-0.19999999999999929</v>
      </c>
      <c r="N367">
        <f t="shared" ca="1" si="119"/>
        <v>0</v>
      </c>
      <c r="O367">
        <f t="shared" ca="1" si="120"/>
        <v>0.19999999999999929</v>
      </c>
      <c r="P367">
        <f t="shared" ca="1" si="126"/>
        <v>7.3977136076005465E-2</v>
      </c>
      <c r="Q367">
        <f t="shared" ca="1" si="127"/>
        <v>6.9182238416749767E-2</v>
      </c>
      <c r="R367">
        <f t="shared" ca="1" si="124"/>
        <v>1.0693082179615454</v>
      </c>
      <c r="S367">
        <f t="shared" ca="1" si="125"/>
        <v>51.674671210406252</v>
      </c>
      <c r="T367">
        <f>70</f>
        <v>70</v>
      </c>
      <c r="U367">
        <f>30</f>
        <v>30</v>
      </c>
      <c r="V367">
        <f t="shared" ca="1" si="123"/>
        <v>10.435277646131778</v>
      </c>
      <c r="W367">
        <f t="shared" ca="1" si="133"/>
        <v>10.363400633565957</v>
      </c>
      <c r="X367">
        <f t="shared" ca="1" si="132"/>
        <v>6.6131780604562707E-2</v>
      </c>
      <c r="Y367">
        <f t="shared" ca="1" si="134"/>
        <v>6.4789695679515577E-2</v>
      </c>
      <c r="Z367">
        <f t="shared" ca="1" si="135"/>
        <v>1.3420849250471295E-3</v>
      </c>
      <c r="AA367">
        <f t="shared" ca="1" si="136"/>
        <v>9.908103999999998</v>
      </c>
      <c r="AB367" s="18">
        <f t="shared" ca="1" si="121"/>
        <v>-1.883239171374762E-2</v>
      </c>
      <c r="AC367" s="18">
        <f t="shared" ca="1" si="122"/>
        <v>-1.901197948857189E-2</v>
      </c>
      <c r="AD367" s="18">
        <f t="shared" ca="1" si="117"/>
        <v>-0.12931581937899028</v>
      </c>
    </row>
    <row r="368" spans="1:30" x14ac:dyDescent="0.25">
      <c r="A368" vm="988">
        <f ca="1"/>
        <v>45826</v>
      </c>
      <c r="B368" vm="913">
        <f ca="1"/>
        <v>10.43</v>
      </c>
      <c r="C368" vm="989">
        <f ca="1"/>
        <v>82770168</v>
      </c>
      <c r="D368">
        <f t="shared" ca="1" si="114"/>
        <v>863292852.24000001</v>
      </c>
      <c r="E368">
        <f ca="1">SUM($D$2:D368)/SUM($C$2:C368)</f>
        <v>10.677775948496842</v>
      </c>
      <c r="F368">
        <f ca="1">_xlfn.STDEV.P($B$2:B368)</f>
        <v>1.1519639392908345</v>
      </c>
      <c r="G368">
        <f t="shared" ca="1" si="115"/>
        <v>11.829739887787676</v>
      </c>
      <c r="H368">
        <f t="shared" ca="1" si="116"/>
        <v>9.5258120092060086</v>
      </c>
      <c r="I368">
        <f t="shared" ca="1" si="128"/>
        <v>10.358000000000001</v>
      </c>
      <c r="J368">
        <f t="shared" ca="1" si="129"/>
        <v>0.17807745210264092</v>
      </c>
      <c r="K368">
        <f t="shared" ca="1" si="130"/>
        <v>10.714154904205282</v>
      </c>
      <c r="L368">
        <f t="shared" ca="1" si="131"/>
        <v>10.001845095794719</v>
      </c>
      <c r="M368">
        <f t="shared" ca="1" si="118"/>
        <v>9.9999999999997868E-3</v>
      </c>
      <c r="N368">
        <f t="shared" ca="1" si="119"/>
        <v>9.9999999999997868E-3</v>
      </c>
      <c r="O368">
        <f t="shared" ca="1" si="120"/>
        <v>0</v>
      </c>
      <c r="P368">
        <f t="shared" ca="1" si="126"/>
        <v>6.9407340642005058E-2</v>
      </c>
      <c r="Q368">
        <f t="shared" ca="1" si="127"/>
        <v>6.4240649958410501E-2</v>
      </c>
      <c r="R368">
        <f t="shared" ca="1" si="124"/>
        <v>1.0804271234325848</v>
      </c>
      <c r="S368">
        <f t="shared" ca="1" si="125"/>
        <v>51.932947386781919</v>
      </c>
      <c r="T368">
        <f>70</f>
        <v>70</v>
      </c>
      <c r="U368">
        <f>30</f>
        <v>30</v>
      </c>
      <c r="V368">
        <f t="shared" ca="1" si="123"/>
        <v>10.434465700573043</v>
      </c>
      <c r="W368">
        <f t="shared" ca="1" si="133"/>
        <v>10.36833391996848</v>
      </c>
      <c r="X368">
        <f t="shared" ca="1" si="132"/>
        <v>7.3640424730591292E-2</v>
      </c>
      <c r="Y368">
        <f t="shared" ca="1" si="134"/>
        <v>6.6559841489730723E-2</v>
      </c>
      <c r="Z368">
        <f t="shared" ca="1" si="135"/>
        <v>7.080583240860569E-3</v>
      </c>
      <c r="AA368">
        <f t="shared" ca="1" si="136"/>
        <v>9.912804999999997</v>
      </c>
      <c r="AB368" s="18">
        <f t="shared" ca="1" si="121"/>
        <v>9.596928982724684E-4</v>
      </c>
      <c r="AC368" s="18">
        <f t="shared" ca="1" si="122"/>
        <v>9.5923268746013425E-4</v>
      </c>
      <c r="AD368" s="18">
        <f t="shared" ca="1" si="117"/>
        <v>-0.12848022995421016</v>
      </c>
    </row>
    <row r="369" spans="1:30" x14ac:dyDescent="0.25">
      <c r="A369" vm="990">
        <f ca="1"/>
        <v>45828</v>
      </c>
      <c r="B369" vm="991">
        <f ca="1"/>
        <v>10.59</v>
      </c>
      <c r="C369" vm="992">
        <f ca="1"/>
        <v>116743402</v>
      </c>
      <c r="D369">
        <f t="shared" ca="1" si="114"/>
        <v>1236312627.1800001</v>
      </c>
      <c r="E369">
        <f ca="1">SUM($D$2:D369)/SUM($C$2:C369)</f>
        <v>10.677389289487753</v>
      </c>
      <c r="F369">
        <f ca="1">_xlfn.STDEV.P($B$2:B369)</f>
        <v>1.1505654993255587</v>
      </c>
      <c r="G369">
        <f t="shared" ca="1" si="115"/>
        <v>11.827954788813312</v>
      </c>
      <c r="H369">
        <f t="shared" ca="1" si="116"/>
        <v>9.5268237901621937</v>
      </c>
      <c r="I369">
        <f t="shared" ca="1" si="128"/>
        <v>10.3635</v>
      </c>
      <c r="J369">
        <f t="shared" ca="1" si="129"/>
        <v>0.18365514021207177</v>
      </c>
      <c r="K369">
        <f t="shared" ca="1" si="130"/>
        <v>10.730810280424144</v>
      </c>
      <c r="L369">
        <f t="shared" ca="1" si="131"/>
        <v>9.996189719575856</v>
      </c>
      <c r="M369">
        <f t="shared" ca="1" si="118"/>
        <v>0.16000000000000014</v>
      </c>
      <c r="N369">
        <f t="shared" ca="1" si="119"/>
        <v>0.16000000000000014</v>
      </c>
      <c r="O369">
        <f t="shared" ca="1" si="120"/>
        <v>0</v>
      </c>
      <c r="P369">
        <f t="shared" ca="1" si="126"/>
        <v>7.5878244881861859E-2</v>
      </c>
      <c r="Q369">
        <f t="shared" ca="1" si="127"/>
        <v>5.965203210423832E-2</v>
      </c>
      <c r="R369">
        <f t="shared" ca="1" si="124"/>
        <v>1.272014417702807</v>
      </c>
      <c r="S369">
        <f t="shared" ca="1" si="125"/>
        <v>55.986194796638571</v>
      </c>
      <c r="T369">
        <f>70</f>
        <v>70</v>
      </c>
      <c r="U369">
        <f>30</f>
        <v>30</v>
      </c>
      <c r="V369">
        <f t="shared" ca="1" si="123"/>
        <v>10.458394054331036</v>
      </c>
      <c r="W369">
        <f t="shared" ca="1" si="133"/>
        <v>10.384753629600445</v>
      </c>
      <c r="X369">
        <f t="shared" ca="1" si="132"/>
        <v>9.1447591214169677E-2</v>
      </c>
      <c r="Y369">
        <f t="shared" ca="1" si="134"/>
        <v>7.1537391434618514E-2</v>
      </c>
      <c r="Z369">
        <f t="shared" ca="1" si="135"/>
        <v>1.9910199779551163E-2</v>
      </c>
      <c r="AA369">
        <f t="shared" ca="1" si="136"/>
        <v>9.916546999999996</v>
      </c>
      <c r="AB369" s="18">
        <f t="shared" ca="1" si="121"/>
        <v>1.5340364333652934E-2</v>
      </c>
      <c r="AC369" s="18">
        <f t="shared" ca="1" si="122"/>
        <v>1.5223890600634022E-2</v>
      </c>
      <c r="AD369" s="18">
        <f t="shared" ca="1" si="117"/>
        <v>-0.11511079915772626</v>
      </c>
    </row>
    <row r="370" spans="1:30" x14ac:dyDescent="0.25">
      <c r="A370" vm="993">
        <f ca="1"/>
        <v>45831</v>
      </c>
      <c r="B370" vm="925">
        <f ca="1"/>
        <v>10.75</v>
      </c>
      <c r="C370" vm="994">
        <f ca="1"/>
        <v>77576511</v>
      </c>
      <c r="D370">
        <f t="shared" ca="1" si="114"/>
        <v>833947493.25</v>
      </c>
      <c r="E370">
        <f ca="1">SUM($D$2:D370)/SUM($C$2:C370)</f>
        <v>10.677601214288334</v>
      </c>
      <c r="F370">
        <f ca="1">_xlfn.STDEV.P($B$2:B370)</f>
        <v>1.149060495062862</v>
      </c>
      <c r="G370">
        <f t="shared" ca="1" si="115"/>
        <v>11.826661709351196</v>
      </c>
      <c r="H370">
        <f t="shared" ca="1" si="116"/>
        <v>9.5285407192254716</v>
      </c>
      <c r="I370">
        <f t="shared" ca="1" si="128"/>
        <v>10.379000000000001</v>
      </c>
      <c r="J370">
        <f t="shared" ca="1" si="129"/>
        <v>0.20255993265152275</v>
      </c>
      <c r="K370">
        <f t="shared" ca="1" si="130"/>
        <v>10.784119865303047</v>
      </c>
      <c r="L370">
        <f t="shared" ca="1" si="131"/>
        <v>9.9738801346969552</v>
      </c>
      <c r="M370">
        <f t="shared" ca="1" si="118"/>
        <v>0.16000000000000014</v>
      </c>
      <c r="N370">
        <f t="shared" ca="1" si="119"/>
        <v>0.16000000000000014</v>
      </c>
      <c r="O370">
        <f t="shared" ca="1" si="120"/>
        <v>0</v>
      </c>
      <c r="P370">
        <f t="shared" ca="1" si="126"/>
        <v>8.1886941676014596E-2</v>
      </c>
      <c r="Q370">
        <f t="shared" ca="1" si="127"/>
        <v>5.53911726682213E-2</v>
      </c>
      <c r="R370">
        <f t="shared" ca="1" si="124"/>
        <v>1.4783391961476615</v>
      </c>
      <c r="S370">
        <f t="shared" ca="1" si="125"/>
        <v>59.650398074871951</v>
      </c>
      <c r="T370">
        <f>70</f>
        <v>70</v>
      </c>
      <c r="U370">
        <f>30</f>
        <v>30</v>
      </c>
      <c r="V370">
        <f t="shared" ca="1" si="123"/>
        <v>10.503256507510876</v>
      </c>
      <c r="W370">
        <f t="shared" ca="1" si="133"/>
        <v>10.411808916296707</v>
      </c>
      <c r="X370">
        <f t="shared" ca="1" si="132"/>
        <v>0.10276149553931901</v>
      </c>
      <c r="Y370">
        <f t="shared" ca="1" si="134"/>
        <v>7.7782212255558619E-2</v>
      </c>
      <c r="Z370">
        <f t="shared" ca="1" si="135"/>
        <v>2.4979283283760395E-2</v>
      </c>
      <c r="AA370">
        <f t="shared" ca="1" si="136"/>
        <v>9.9248419999999946</v>
      </c>
      <c r="AB370" s="18">
        <f t="shared" ca="1" si="121"/>
        <v>1.510859301227585E-2</v>
      </c>
      <c r="AC370" s="18">
        <f t="shared" ca="1" si="122"/>
        <v>1.4995594960356831E-2</v>
      </c>
      <c r="AD370" s="18">
        <f t="shared" ca="1" si="117"/>
        <v>-0.10174136836124237</v>
      </c>
    </row>
    <row r="371" spans="1:30" x14ac:dyDescent="0.25">
      <c r="A371" vm="995">
        <f ca="1"/>
        <v>45832</v>
      </c>
      <c r="B371" vm="996">
        <f ca="1"/>
        <v>10.73</v>
      </c>
      <c r="C371" vm="997">
        <f ca="1"/>
        <v>77244413</v>
      </c>
      <c r="D371">
        <f t="shared" ca="1" si="114"/>
        <v>828832551.49000001</v>
      </c>
      <c r="E371">
        <f ca="1">SUM($D$2:D371)/SUM($C$2:C371)</f>
        <v>10.677753051723535</v>
      </c>
      <c r="F371">
        <f ca="1">_xlfn.STDEV.P($B$2:B371)</f>
        <v>1.1475719796404076</v>
      </c>
      <c r="G371">
        <f t="shared" ca="1" si="115"/>
        <v>11.825325031363942</v>
      </c>
      <c r="H371">
        <f t="shared" ca="1" si="116"/>
        <v>9.5301810720831277</v>
      </c>
      <c r="I371">
        <f t="shared" ca="1" si="128"/>
        <v>10.397499999999999</v>
      </c>
      <c r="J371">
        <f t="shared" ca="1" si="129"/>
        <v>0.21710717702505702</v>
      </c>
      <c r="K371">
        <f t="shared" ca="1" si="130"/>
        <v>10.831714354050114</v>
      </c>
      <c r="L371">
        <f t="shared" ca="1" si="131"/>
        <v>9.9632856459498846</v>
      </c>
      <c r="M371">
        <f t="shared" ca="1" si="118"/>
        <v>-1.9999999999999574E-2</v>
      </c>
      <c r="N371">
        <f t="shared" ca="1" si="119"/>
        <v>0</v>
      </c>
      <c r="O371">
        <f t="shared" ca="1" si="120"/>
        <v>1.9999999999999574E-2</v>
      </c>
      <c r="P371">
        <f t="shared" ca="1" si="126"/>
        <v>7.6037874413442119E-2</v>
      </c>
      <c r="Q371">
        <f t="shared" ca="1" si="127"/>
        <v>5.2863231763348319E-2</v>
      </c>
      <c r="R371">
        <f t="shared" ca="1" si="124"/>
        <v>1.4383886848583003</v>
      </c>
      <c r="S371">
        <f t="shared" ca="1" si="125"/>
        <v>58.989311006497232</v>
      </c>
      <c r="T371">
        <f>70</f>
        <v>70</v>
      </c>
      <c r="U371">
        <f>30</f>
        <v>30</v>
      </c>
      <c r="V371">
        <f t="shared" ca="1" si="123"/>
        <v>10.538140121739973</v>
      </c>
      <c r="W371">
        <f t="shared" ca="1" si="133"/>
        <v>10.435378626200654</v>
      </c>
      <c r="X371">
        <f t="shared" ca="1" si="132"/>
        <v>9.0511574477375234E-2</v>
      </c>
      <c r="Y371">
        <f t="shared" ca="1" si="134"/>
        <v>8.0328084699921948E-2</v>
      </c>
      <c r="Z371">
        <f t="shared" ca="1" si="135"/>
        <v>1.0183489777453286E-2</v>
      </c>
      <c r="AA371">
        <f t="shared" ca="1" si="136"/>
        <v>9.931656999999996</v>
      </c>
      <c r="AB371" s="18">
        <f t="shared" ca="1" si="121"/>
        <v>-1.8604651162790198E-3</v>
      </c>
      <c r="AC371" s="18">
        <f t="shared" ca="1" si="122"/>
        <v>-1.8621979310646511E-3</v>
      </c>
      <c r="AD371" s="18">
        <f t="shared" ca="1" si="117"/>
        <v>-0.10341254721080284</v>
      </c>
    </row>
    <row r="372" spans="1:30" x14ac:dyDescent="0.25">
      <c r="A372" vm="998">
        <f ca="1"/>
        <v>45833</v>
      </c>
      <c r="B372" vm="936">
        <f ca="1"/>
        <v>10.48</v>
      </c>
      <c r="C372" vm="999">
        <f ca="1"/>
        <v>91927326</v>
      </c>
      <c r="D372">
        <f t="shared" ca="1" si="114"/>
        <v>963398376.48000002</v>
      </c>
      <c r="E372">
        <f ca="1">SUM($D$2:D372)/SUM($C$2:C372)</f>
        <v>10.677073436222777</v>
      </c>
      <c r="F372">
        <f ca="1">_xlfn.STDEV.P($B$2:B372)</f>
        <v>1.1463004110200254</v>
      </c>
      <c r="G372">
        <f t="shared" ca="1" si="115"/>
        <v>11.823373847242802</v>
      </c>
      <c r="H372">
        <f t="shared" ca="1" si="116"/>
        <v>9.5307730252027518</v>
      </c>
      <c r="I372">
        <f t="shared" ca="1" si="128"/>
        <v>10.405999999999999</v>
      </c>
      <c r="J372">
        <f t="shared" ca="1" si="129"/>
        <v>0.21682881921484801</v>
      </c>
      <c r="K372">
        <f t="shared" ca="1" si="130"/>
        <v>10.839657638429696</v>
      </c>
      <c r="L372">
        <f t="shared" ca="1" si="131"/>
        <v>9.972342361570302</v>
      </c>
      <c r="M372">
        <f t="shared" ca="1" si="118"/>
        <v>-0.25</v>
      </c>
      <c r="N372">
        <f t="shared" ca="1" si="119"/>
        <v>0</v>
      </c>
      <c r="O372">
        <f t="shared" ca="1" si="120"/>
        <v>0.25</v>
      </c>
      <c r="P372">
        <f t="shared" ca="1" si="126"/>
        <v>7.0606597669624821E-2</v>
      </c>
      <c r="Q372">
        <f t="shared" ca="1" si="127"/>
        <v>6.694442949453773E-2</v>
      </c>
      <c r="R372">
        <f t="shared" ca="1" si="124"/>
        <v>1.0547045990643016</v>
      </c>
      <c r="S372">
        <f t="shared" ca="1" si="125"/>
        <v>51.331203499744284</v>
      </c>
      <c r="T372">
        <f>70</f>
        <v>70</v>
      </c>
      <c r="U372">
        <f>30</f>
        <v>30</v>
      </c>
      <c r="V372">
        <f t="shared" ca="1" si="123"/>
        <v>10.529195487626129</v>
      </c>
      <c r="W372">
        <f t="shared" ca="1" si="133"/>
        <v>10.438683913148754</v>
      </c>
      <c r="X372">
        <f t="shared" ca="1" si="132"/>
        <v>9.1848399007451675E-2</v>
      </c>
      <c r="Y372">
        <f t="shared" ca="1" si="134"/>
        <v>8.2632147561427893E-2</v>
      </c>
      <c r="Z372">
        <f t="shared" ca="1" si="135"/>
        <v>9.2162514460237821E-3</v>
      </c>
      <c r="AA372">
        <f t="shared" ca="1" si="136"/>
        <v>9.9364639999999955</v>
      </c>
      <c r="AB372" s="18">
        <f t="shared" ca="1" si="121"/>
        <v>-2.3299161230195709E-2</v>
      </c>
      <c r="AC372" s="18">
        <f t="shared" ca="1" si="122"/>
        <v>-2.3574877749710996E-2</v>
      </c>
      <c r="AD372" s="18">
        <f t="shared" ca="1" si="117"/>
        <v>-0.12430228283030886</v>
      </c>
    </row>
    <row r="373" spans="1:30" x14ac:dyDescent="0.25">
      <c r="A373" vm="1000">
        <f ca="1"/>
        <v>45834</v>
      </c>
      <c r="B373" vm="1001">
        <f ca="1"/>
        <v>10.63</v>
      </c>
      <c r="C373" vm="1002">
        <f ca="1"/>
        <v>88416356</v>
      </c>
      <c r="D373">
        <f t="shared" ca="1" si="114"/>
        <v>939865864.28000009</v>
      </c>
      <c r="E373">
        <f ca="1">SUM($D$2:D373)/SUM($C$2:C373)</f>
        <v>10.67691835086204</v>
      </c>
      <c r="F373">
        <f ca="1">_xlfn.STDEV.P($B$2:B373)</f>
        <v>1.1448891828215739</v>
      </c>
      <c r="G373">
        <f t="shared" ca="1" si="115"/>
        <v>11.821807533683614</v>
      </c>
      <c r="H373">
        <f t="shared" ca="1" si="116"/>
        <v>9.5320291680404665</v>
      </c>
      <c r="I373">
        <f t="shared" ca="1" si="128"/>
        <v>10.428999999999998</v>
      </c>
      <c r="J373">
        <f t="shared" ca="1" si="129"/>
        <v>0.21486593127122927</v>
      </c>
      <c r="K373">
        <f t="shared" ca="1" si="130"/>
        <v>10.858731862542458</v>
      </c>
      <c r="L373">
        <f t="shared" ca="1" si="131"/>
        <v>9.9992681374575394</v>
      </c>
      <c r="M373">
        <f t="shared" ca="1" si="118"/>
        <v>0.15000000000000036</v>
      </c>
      <c r="N373">
        <f t="shared" ca="1" si="119"/>
        <v>0.15000000000000036</v>
      </c>
      <c r="O373">
        <f t="shared" ca="1" si="120"/>
        <v>0</v>
      </c>
      <c r="P373">
        <f t="shared" ca="1" si="126"/>
        <v>7.6277554978937373E-2</v>
      </c>
      <c r="Q373">
        <f t="shared" ca="1" si="127"/>
        <v>6.2162684530642179E-2</v>
      </c>
      <c r="R373">
        <f t="shared" ca="1" si="124"/>
        <v>1.2270633991255233</v>
      </c>
      <c r="S373">
        <f t="shared" ca="1" si="125"/>
        <v>55.097820726942068</v>
      </c>
      <c r="T373">
        <f>70</f>
        <v>70</v>
      </c>
      <c r="U373">
        <f>30</f>
        <v>30</v>
      </c>
      <c r="V373">
        <f t="shared" ca="1" si="123"/>
        <v>10.544703874145187</v>
      </c>
      <c r="W373">
        <f t="shared" ca="1" si="133"/>
        <v>10.452855475137735</v>
      </c>
      <c r="X373">
        <f t="shared" ca="1" si="132"/>
        <v>0.1054103168129803</v>
      </c>
      <c r="Y373">
        <f t="shared" ca="1" si="134"/>
        <v>8.7187781411738385E-2</v>
      </c>
      <c r="Z373">
        <f t="shared" ca="1" si="135"/>
        <v>1.8222535401241913E-2</v>
      </c>
      <c r="AA373">
        <f t="shared" ca="1" si="136"/>
        <v>9.9435589999999952</v>
      </c>
      <c r="AB373" s="18">
        <f t="shared" ca="1" si="121"/>
        <v>1.4312977099236734E-2</v>
      </c>
      <c r="AC373" s="18">
        <f t="shared" ca="1" si="122"/>
        <v>1.4211513460960548E-2</v>
      </c>
      <c r="AD373" s="18">
        <f t="shared" ca="1" si="117"/>
        <v>-0.11176844145860521</v>
      </c>
    </row>
    <row r="374" spans="1:30" x14ac:dyDescent="0.25">
      <c r="A374" vm="1003">
        <f ca="1"/>
        <v>45835</v>
      </c>
      <c r="B374" vm="928">
        <f ca="1"/>
        <v>10.8</v>
      </c>
      <c r="C374" vm="1004">
        <f ca="1"/>
        <v>182008244</v>
      </c>
      <c r="D374">
        <f t="shared" ca="1" si="114"/>
        <v>1965689035.2</v>
      </c>
      <c r="E374">
        <f ca="1">SUM($D$2:D374)/SUM($C$2:C374)</f>
        <v>10.677747459127776</v>
      </c>
      <c r="F374">
        <f ca="1">_xlfn.STDEV.P($B$2:B374)</f>
        <v>1.1433845119637422</v>
      </c>
      <c r="G374">
        <f t="shared" ca="1" si="115"/>
        <v>11.821131971091518</v>
      </c>
      <c r="H374">
        <f t="shared" ca="1" si="116"/>
        <v>9.5343629471640341</v>
      </c>
      <c r="I374">
        <f t="shared" ca="1" si="128"/>
        <v>10.457999999999998</v>
      </c>
      <c r="J374">
        <f t="shared" ca="1" si="129"/>
        <v>0.22411463232250736</v>
      </c>
      <c r="K374">
        <f t="shared" ca="1" si="130"/>
        <v>10.906229264645013</v>
      </c>
      <c r="L374">
        <f t="shared" ca="1" si="131"/>
        <v>10.009770735354984</v>
      </c>
      <c r="M374">
        <f t="shared" ca="1" si="118"/>
        <v>0.16999999999999993</v>
      </c>
      <c r="N374">
        <f t="shared" ca="1" si="119"/>
        <v>0.16999999999999993</v>
      </c>
      <c r="O374">
        <f t="shared" ca="1" si="120"/>
        <v>0</v>
      </c>
      <c r="P374">
        <f t="shared" ca="1" si="126"/>
        <v>8.2972015337584706E-2</v>
      </c>
      <c r="Q374">
        <f t="shared" ca="1" si="127"/>
        <v>5.7722492778453448E-2</v>
      </c>
      <c r="R374">
        <f t="shared" ca="1" si="124"/>
        <v>1.4374295243284496</v>
      </c>
      <c r="S374">
        <f t="shared" ca="1" si="125"/>
        <v>58.973172761763614</v>
      </c>
      <c r="T374">
        <f>70</f>
        <v>70</v>
      </c>
      <c r="U374">
        <f>30</f>
        <v>30</v>
      </c>
      <c r="V374">
        <f t="shared" ca="1" si="123"/>
        <v>10.583980201199772</v>
      </c>
      <c r="W374">
        <f t="shared" ca="1" si="133"/>
        <v>10.478569884386792</v>
      </c>
      <c r="X374">
        <f t="shared" ca="1" si="132"/>
        <v>0.1188230978080469</v>
      </c>
      <c r="Y374">
        <f t="shared" ca="1" si="134"/>
        <v>9.351484469100009E-2</v>
      </c>
      <c r="Z374">
        <f t="shared" ca="1" si="135"/>
        <v>2.5308253117046806E-2</v>
      </c>
      <c r="AA374">
        <f t="shared" ca="1" si="136"/>
        <v>9.9542239999999964</v>
      </c>
      <c r="AB374" s="18">
        <f t="shared" ca="1" si="121"/>
        <v>1.5992474129821188E-2</v>
      </c>
      <c r="AC374" s="18">
        <f t="shared" ca="1" si="122"/>
        <v>1.5865941776317376E-2</v>
      </c>
      <c r="AD374" s="18">
        <f t="shared" ca="1" si="117"/>
        <v>-9.7563421237341186E-2</v>
      </c>
    </row>
    <row r="375" spans="1:30" x14ac:dyDescent="0.25">
      <c r="A375" vm="1005">
        <f ca="1"/>
        <v>45838</v>
      </c>
      <c r="B375" vm="1006">
        <f ca="1"/>
        <v>10.85</v>
      </c>
      <c r="C375" vm="1007">
        <f ca="1"/>
        <v>88472231</v>
      </c>
      <c r="D375">
        <f t="shared" ca="1" si="114"/>
        <v>959923706.35000002</v>
      </c>
      <c r="E375">
        <f ca="1">SUM($D$2:D375)/SUM($C$2:C375)</f>
        <v>10.678309644778883</v>
      </c>
      <c r="F375">
        <f ca="1">_xlfn.STDEV.P($B$2:B375)</f>
        <v>1.1418696929299015</v>
      </c>
      <c r="G375">
        <f t="shared" ca="1" si="115"/>
        <v>11.820179337708785</v>
      </c>
      <c r="H375">
        <f t="shared" ca="1" si="116"/>
        <v>9.5364399518489815</v>
      </c>
      <c r="I375">
        <f t="shared" ca="1" si="128"/>
        <v>10.481499999999999</v>
      </c>
      <c r="J375">
        <f t="shared" ca="1" si="129"/>
        <v>0.23961097857283506</v>
      </c>
      <c r="K375">
        <f t="shared" ca="1" si="130"/>
        <v>10.960721957145669</v>
      </c>
      <c r="L375">
        <f t="shared" ca="1" si="131"/>
        <v>10.002278042854329</v>
      </c>
      <c r="M375">
        <f t="shared" ca="1" si="118"/>
        <v>4.9999999999998934E-2</v>
      </c>
      <c r="N375">
        <f t="shared" ca="1" si="119"/>
        <v>4.9999999999998934E-2</v>
      </c>
      <c r="O375">
        <f t="shared" ca="1" si="120"/>
        <v>0</v>
      </c>
      <c r="P375">
        <f t="shared" ca="1" si="126"/>
        <v>8.0616871384900007E-2</v>
      </c>
      <c r="Q375">
        <f t="shared" ca="1" si="127"/>
        <v>5.3599457579992481E-2</v>
      </c>
      <c r="R375">
        <f t="shared" ca="1" si="124"/>
        <v>1.5040613286913662</v>
      </c>
      <c r="S375">
        <f t="shared" ca="1" si="125"/>
        <v>60.064875866175193</v>
      </c>
      <c r="T375">
        <f>70</f>
        <v>70</v>
      </c>
      <c r="U375">
        <f>30</f>
        <v>30</v>
      </c>
      <c r="V375">
        <f t="shared" ca="1" si="123"/>
        <v>10.624906324092114</v>
      </c>
      <c r="W375">
        <f t="shared" ca="1" si="133"/>
        <v>10.506083226284067</v>
      </c>
      <c r="X375">
        <f t="shared" ca="1" si="132"/>
        <v>0.1678636174160566</v>
      </c>
      <c r="Y375">
        <f t="shared" ca="1" si="134"/>
        <v>0.1083845992360114</v>
      </c>
      <c r="Z375">
        <f t="shared" ca="1" si="135"/>
        <v>5.9479018180045196E-2</v>
      </c>
      <c r="AA375">
        <f t="shared" ca="1" si="136"/>
        <v>9.9627309999999962</v>
      </c>
      <c r="AB375" s="18">
        <f t="shared" ca="1" si="121"/>
        <v>4.6296296296295392E-3</v>
      </c>
      <c r="AC375" s="18">
        <f t="shared" ca="1" si="122"/>
        <v>4.6189458562944583E-3</v>
      </c>
      <c r="AD375" s="18">
        <f t="shared" ca="1" si="117"/>
        <v>-9.3385474113440115E-2</v>
      </c>
    </row>
    <row r="376" spans="1:30" x14ac:dyDescent="0.25">
      <c r="A376" vm="1008">
        <f ca="1"/>
        <v>45839</v>
      </c>
      <c r="B376" vm="1009">
        <f ca="1"/>
        <v>11.35</v>
      </c>
      <c r="C376" vm="1010">
        <f ca="1"/>
        <v>140150738</v>
      </c>
      <c r="D376">
        <f t="shared" ca="1" si="114"/>
        <v>1590710876.3</v>
      </c>
      <c r="E376">
        <f ca="1">SUM($D$2:D376)/SUM($C$2:C376)</f>
        <v>10.68176451757836</v>
      </c>
      <c r="F376">
        <f ca="1">_xlfn.STDEV.P($B$2:B376)</f>
        <v>1.1405214916846</v>
      </c>
      <c r="G376">
        <f t="shared" ca="1" si="115"/>
        <v>11.82228600926296</v>
      </c>
      <c r="H376">
        <f t="shared" ca="1" si="116"/>
        <v>9.5412430258937597</v>
      </c>
      <c r="I376">
        <f t="shared" ca="1" si="128"/>
        <v>10.549999999999999</v>
      </c>
      <c r="J376">
        <f t="shared" ca="1" si="129"/>
        <v>0.28095701113384441</v>
      </c>
      <c r="K376">
        <f t="shared" ca="1" si="130"/>
        <v>11.111914022267687</v>
      </c>
      <c r="L376">
        <f t="shared" ca="1" si="131"/>
        <v>9.988085977732311</v>
      </c>
      <c r="M376">
        <f t="shared" ca="1" si="118"/>
        <v>0.5</v>
      </c>
      <c r="N376">
        <f t="shared" ca="1" si="119"/>
        <v>0.5</v>
      </c>
      <c r="O376">
        <f t="shared" ca="1" si="120"/>
        <v>0</v>
      </c>
      <c r="P376">
        <f t="shared" ca="1" si="126"/>
        <v>0.11057280914312143</v>
      </c>
      <c r="Q376">
        <f t="shared" ca="1" si="127"/>
        <v>4.9770924895707301E-2</v>
      </c>
      <c r="R376">
        <f t="shared" ca="1" si="124"/>
        <v>2.2216346064458654</v>
      </c>
      <c r="S376">
        <f t="shared" ca="1" si="125"/>
        <v>68.959856651676319</v>
      </c>
      <c r="T376">
        <f>70</f>
        <v>70</v>
      </c>
      <c r="U376">
        <f>30</f>
        <v>30</v>
      </c>
      <c r="V376">
        <f t="shared" ca="1" si="123"/>
        <v>10.736459197308712</v>
      </c>
      <c r="W376">
        <f t="shared" ca="1" si="133"/>
        <v>10.568595579892655</v>
      </c>
      <c r="X376">
        <f t="shared" ca="1" si="132"/>
        <v>0.23787697474522496</v>
      </c>
      <c r="Y376">
        <f t="shared" ca="1" si="134"/>
        <v>0.13428307433785414</v>
      </c>
      <c r="Z376">
        <f t="shared" ca="1" si="135"/>
        <v>0.10359390040737082</v>
      </c>
      <c r="AA376">
        <f t="shared" ca="1" si="136"/>
        <v>9.9777149999999963</v>
      </c>
      <c r="AB376" s="18">
        <f t="shared" ca="1" si="121"/>
        <v>4.6082949308755783E-2</v>
      </c>
      <c r="AC376" s="18">
        <f t="shared" ca="1" si="122"/>
        <v>4.5052663940943143E-2</v>
      </c>
      <c r="AD376" s="18">
        <f t="shared" ca="1" si="117"/>
        <v>-5.160600287442807E-2</v>
      </c>
    </row>
    <row r="377" spans="1:30" x14ac:dyDescent="0.25">
      <c r="A377" vm="1011">
        <f ca="1"/>
        <v>45840</v>
      </c>
      <c r="B377" vm="1012">
        <f ca="1"/>
        <v>11.77</v>
      </c>
      <c r="C377" vm="1013">
        <f ca="1"/>
        <v>122331588</v>
      </c>
      <c r="D377">
        <f t="shared" ca="1" si="114"/>
        <v>1439842790.76</v>
      </c>
      <c r="E377">
        <f ca="1">SUM($D$2:D377)/SUM($C$2:C377)</f>
        <v>10.686628406166781</v>
      </c>
      <c r="F377">
        <f ca="1">_xlfn.STDEV.P($B$2:B377)</f>
        <v>1.1397613476487329</v>
      </c>
      <c r="G377">
        <f t="shared" ca="1" si="115"/>
        <v>11.826389753815514</v>
      </c>
      <c r="H377">
        <f t="shared" ca="1" si="116"/>
        <v>9.546867058518048</v>
      </c>
      <c r="I377">
        <f t="shared" ca="1" si="128"/>
        <v>10.629</v>
      </c>
      <c r="J377">
        <f t="shared" ca="1" si="129"/>
        <v>0.37931933498667958</v>
      </c>
      <c r="K377">
        <f t="shared" ca="1" si="130"/>
        <v>11.387638669973359</v>
      </c>
      <c r="L377">
        <f t="shared" ca="1" si="131"/>
        <v>9.8703613300266397</v>
      </c>
      <c r="M377">
        <f t="shared" ca="1" si="118"/>
        <v>0.41999999999999993</v>
      </c>
      <c r="N377">
        <f t="shared" ca="1" si="119"/>
        <v>0.41999999999999993</v>
      </c>
      <c r="O377">
        <f t="shared" ca="1" si="120"/>
        <v>0</v>
      </c>
      <c r="P377">
        <f t="shared" ca="1" si="126"/>
        <v>0.13267475134718418</v>
      </c>
      <c r="Q377">
        <f t="shared" ca="1" si="127"/>
        <v>4.6215858831728206E-2</v>
      </c>
      <c r="R377">
        <f t="shared" ca="1" si="124"/>
        <v>2.8707624330914747</v>
      </c>
      <c r="S377">
        <f t="shared" ca="1" si="125"/>
        <v>74.165296442609971</v>
      </c>
      <c r="T377">
        <f>70</f>
        <v>70</v>
      </c>
      <c r="U377">
        <f>30</f>
        <v>30</v>
      </c>
      <c r="V377">
        <f t="shared" ca="1" si="123"/>
        <v>10.895465474645832</v>
      </c>
      <c r="W377">
        <f t="shared" ca="1" si="133"/>
        <v>10.657588499900607</v>
      </c>
      <c r="X377">
        <f t="shared" ca="1" si="132"/>
        <v>0.29321077920830341</v>
      </c>
      <c r="Y377">
        <f t="shared" ca="1" si="134"/>
        <v>0.166068615311944</v>
      </c>
      <c r="Z377">
        <f t="shared" ca="1" si="135"/>
        <v>0.12714216389635941</v>
      </c>
      <c r="AA377">
        <f t="shared" ca="1" si="136"/>
        <v>10.004279999999996</v>
      </c>
      <c r="AB377" s="18">
        <f t="shared" ca="1" si="121"/>
        <v>3.7004405286343633E-2</v>
      </c>
      <c r="AC377" s="18">
        <f t="shared" ca="1" si="122"/>
        <v>3.6336177344773686E-2</v>
      </c>
      <c r="AD377" s="18">
        <f t="shared" ca="1" si="117"/>
        <v>-1.6511247033658027E-2</v>
      </c>
    </row>
    <row r="378" spans="1:30" x14ac:dyDescent="0.25">
      <c r="A378" vm="1014">
        <f ca="1"/>
        <v>45841</v>
      </c>
      <c r="B378" vm="1015">
        <f ca="1"/>
        <v>11.81</v>
      </c>
      <c r="C378" vm="1016">
        <f ca="1"/>
        <v>60311463</v>
      </c>
      <c r="D378">
        <f t="shared" ca="1" si="114"/>
        <v>712278378.02999997</v>
      </c>
      <c r="E378">
        <f ca="1">SUM($D$2:D378)/SUM($C$2:C378)</f>
        <v>10.689098363717992</v>
      </c>
      <c r="F378">
        <f ca="1">_xlfn.STDEV.P($B$2:B378)</f>
        <v>1.1390773276632662</v>
      </c>
      <c r="G378">
        <f t="shared" ca="1" si="115"/>
        <v>11.828175691381258</v>
      </c>
      <c r="H378">
        <f t="shared" ca="1" si="116"/>
        <v>9.5500210360547264</v>
      </c>
      <c r="I378">
        <f t="shared" ca="1" si="128"/>
        <v>10.7075</v>
      </c>
      <c r="J378">
        <f t="shared" ca="1" si="129"/>
        <v>0.45037849579402017</v>
      </c>
      <c r="K378">
        <f t="shared" ca="1" si="130"/>
        <v>11.608256991588039</v>
      </c>
      <c r="L378">
        <f t="shared" ca="1" si="131"/>
        <v>9.80674300841196</v>
      </c>
      <c r="M378">
        <f t="shared" ca="1" si="118"/>
        <v>4.0000000000000924E-2</v>
      </c>
      <c r="N378">
        <f t="shared" ca="1" si="119"/>
        <v>4.0000000000000924E-2</v>
      </c>
      <c r="O378">
        <f t="shared" ca="1" si="120"/>
        <v>0</v>
      </c>
      <c r="P378">
        <f t="shared" ca="1" si="126"/>
        <v>0.1260551262509568</v>
      </c>
      <c r="Q378">
        <f t="shared" ca="1" si="127"/>
        <v>4.2914726058033328E-2</v>
      </c>
      <c r="R378">
        <f t="shared" ca="1" si="124"/>
        <v>2.9373396460807695</v>
      </c>
      <c r="S378">
        <f t="shared" ca="1" si="125"/>
        <v>74.602140280293042</v>
      </c>
      <c r="T378">
        <f>70</f>
        <v>70</v>
      </c>
      <c r="U378">
        <f>30</f>
        <v>30</v>
      </c>
      <c r="V378">
        <f t="shared" ca="1" si="123"/>
        <v>11.036163093931089</v>
      </c>
      <c r="W378">
        <f t="shared" ca="1" si="133"/>
        <v>10.742952314722785</v>
      </c>
      <c r="X378">
        <f t="shared" ca="1" si="132"/>
        <v>0.31567218408156172</v>
      </c>
      <c r="Y378">
        <f t="shared" ca="1" si="134"/>
        <v>0.19598932906586758</v>
      </c>
      <c r="Z378">
        <f t="shared" ca="1" si="135"/>
        <v>0.11968285501569415</v>
      </c>
      <c r="AA378">
        <f t="shared" ca="1" si="136"/>
        <v>10.031441999999997</v>
      </c>
      <c r="AB378" s="18">
        <f t="shared" ca="1" si="121"/>
        <v>3.3984706881904359E-3</v>
      </c>
      <c r="AC378" s="18">
        <f t="shared" ca="1" si="122"/>
        <v>3.3927089370857089E-3</v>
      </c>
      <c r="AD378" s="18">
        <f t="shared" ca="1" si="117"/>
        <v>-1.3168889334536971E-2</v>
      </c>
    </row>
    <row r="379" spans="1:30" x14ac:dyDescent="0.25">
      <c r="A379" vm="1017">
        <f ca="1"/>
        <v>45845</v>
      </c>
      <c r="B379" vm="1018">
        <f ca="1"/>
        <v>11.59</v>
      </c>
      <c r="C379" vm="1019">
        <f ca="1"/>
        <v>73842100</v>
      </c>
      <c r="D379">
        <f t="shared" ca="1" si="114"/>
        <v>855829939</v>
      </c>
      <c r="E379">
        <f ca="1">SUM($D$2:D379)/SUM($C$2:C379)</f>
        <v>10.691517052921714</v>
      </c>
      <c r="F379">
        <f ca="1">_xlfn.STDEV.P($B$2:B379)</f>
        <v>1.1380186684533113</v>
      </c>
      <c r="G379">
        <f t="shared" ca="1" si="115"/>
        <v>11.829535721375025</v>
      </c>
      <c r="H379">
        <f t="shared" ca="1" si="116"/>
        <v>9.5534983844684032</v>
      </c>
      <c r="I379">
        <f t="shared" ca="1" si="128"/>
        <v>10.782</v>
      </c>
      <c r="J379">
        <f t="shared" ca="1" si="129"/>
        <v>0.46750851385436382</v>
      </c>
      <c r="K379">
        <f t="shared" ca="1" si="130"/>
        <v>11.717017027708728</v>
      </c>
      <c r="L379">
        <f t="shared" ca="1" si="131"/>
        <v>9.8469829722912721</v>
      </c>
      <c r="M379">
        <f t="shared" ca="1" si="118"/>
        <v>-0.22000000000000064</v>
      </c>
      <c r="N379">
        <f t="shared" ca="1" si="119"/>
        <v>0</v>
      </c>
      <c r="O379">
        <f t="shared" ca="1" si="120"/>
        <v>0.22000000000000064</v>
      </c>
      <c r="P379">
        <f t="shared" ca="1" si="126"/>
        <v>0.11705118866160273</v>
      </c>
      <c r="Q379">
        <f t="shared" ca="1" si="127"/>
        <v>5.556367419674528E-2</v>
      </c>
      <c r="R379">
        <f t="shared" ca="1" si="124"/>
        <v>2.106613544797928</v>
      </c>
      <c r="S379">
        <f t="shared" ca="1" si="125"/>
        <v>67.810608381769427</v>
      </c>
      <c r="T379">
        <f>70</f>
        <v>70</v>
      </c>
      <c r="U379">
        <f>30</f>
        <v>30</v>
      </c>
      <c r="V379">
        <f t="shared" ca="1" si="123"/>
        <v>11.121368771787845</v>
      </c>
      <c r="W379">
        <f t="shared" ca="1" si="133"/>
        <v>10.805696587706283</v>
      </c>
      <c r="X379">
        <f t="shared" ca="1" si="132"/>
        <v>0.33685223423489496</v>
      </c>
      <c r="Y379">
        <f t="shared" ca="1" si="134"/>
        <v>0.22416191009967307</v>
      </c>
      <c r="Z379">
        <f t="shared" ca="1" si="135"/>
        <v>0.1126903241352219</v>
      </c>
      <c r="AA379">
        <f t="shared" ca="1" si="136"/>
        <v>10.056403999999997</v>
      </c>
      <c r="AB379" s="18">
        <f t="shared" ca="1" si="121"/>
        <v>-1.8628281117696877E-2</v>
      </c>
      <c r="AC379" s="18">
        <f t="shared" ca="1" si="122"/>
        <v>-1.8803972857610606E-2</v>
      </c>
      <c r="AD379" s="18">
        <f t="shared" ca="1" si="117"/>
        <v>-3.1551856679702284E-2</v>
      </c>
    </row>
    <row r="380" spans="1:30" x14ac:dyDescent="0.25">
      <c r="A380" vm="1020">
        <f ca="1"/>
        <v>45846</v>
      </c>
      <c r="B380" vm="1021">
        <f ca="1"/>
        <v>11.68</v>
      </c>
      <c r="C380" vm="1022">
        <f ca="1"/>
        <v>74190215</v>
      </c>
      <c r="D380">
        <f t="shared" ca="1" si="114"/>
        <v>866541711.19999993</v>
      </c>
      <c r="E380">
        <f ca="1">SUM($D$2:D380)/SUM($C$2:C380)</f>
        <v>10.694176213560562</v>
      </c>
      <c r="F380">
        <f ca="1">_xlfn.STDEV.P($B$2:B380)</f>
        <v>1.137100911792325</v>
      </c>
      <c r="G380">
        <f t="shared" ca="1" si="115"/>
        <v>11.831277125352887</v>
      </c>
      <c r="H380">
        <f t="shared" ca="1" si="116"/>
        <v>9.5570753017682364</v>
      </c>
      <c r="I380">
        <f t="shared" ca="1" si="128"/>
        <v>10.853000000000002</v>
      </c>
      <c r="J380">
        <f t="shared" ca="1" si="129"/>
        <v>0.49128296059238719</v>
      </c>
      <c r="K380">
        <f t="shared" ca="1" si="130"/>
        <v>11.835565921184775</v>
      </c>
      <c r="L380">
        <f t="shared" ca="1" si="131"/>
        <v>9.8704340788152276</v>
      </c>
      <c r="M380">
        <f t="shared" ca="1" si="118"/>
        <v>8.9999999999999858E-2</v>
      </c>
      <c r="N380">
        <f t="shared" ca="1" si="119"/>
        <v>8.9999999999999858E-2</v>
      </c>
      <c r="O380">
        <f t="shared" ca="1" si="120"/>
        <v>0</v>
      </c>
      <c r="P380">
        <f t="shared" ca="1" si="126"/>
        <v>0.11511896090005967</v>
      </c>
      <c r="Q380">
        <f t="shared" ca="1" si="127"/>
        <v>5.1594840325549188E-2</v>
      </c>
      <c r="R380">
        <f t="shared" ca="1" si="124"/>
        <v>2.2312107213374599</v>
      </c>
      <c r="S380">
        <f t="shared" ca="1" si="125"/>
        <v>69.051848169590102</v>
      </c>
      <c r="T380">
        <f>70</f>
        <v>70</v>
      </c>
      <c r="U380">
        <f>30</f>
        <v>30</v>
      </c>
      <c r="V380">
        <f t="shared" ca="1" si="123"/>
        <v>11.207312037666638</v>
      </c>
      <c r="W380">
        <f t="shared" ca="1" si="133"/>
        <v>10.870459803431743</v>
      </c>
      <c r="X380">
        <f t="shared" ca="1" si="132"/>
        <v>0.36157333068853426</v>
      </c>
      <c r="Y380">
        <f t="shared" ca="1" si="134"/>
        <v>0.25164419421744533</v>
      </c>
      <c r="Z380">
        <f t="shared" ca="1" si="135"/>
        <v>0.10992913647108893</v>
      </c>
      <c r="AA380">
        <f t="shared" ca="1" si="136"/>
        <v>10.082560999999997</v>
      </c>
      <c r="AB380" s="18">
        <f t="shared" ca="1" si="121"/>
        <v>7.7653149266609933E-3</v>
      </c>
      <c r="AC380" s="18">
        <f t="shared" ca="1" si="122"/>
        <v>7.7353200484207366E-3</v>
      </c>
      <c r="AD380" s="18">
        <f t="shared" ca="1" si="117"/>
        <v>-2.4031551856680045E-2</v>
      </c>
    </row>
    <row r="381" spans="1:30" x14ac:dyDescent="0.25">
      <c r="A381" vm="1023">
        <f ca="1"/>
        <v>45847</v>
      </c>
      <c r="B381" vm="1024">
        <f ca="1"/>
        <v>11.83</v>
      </c>
      <c r="C381" vm="1025">
        <f ca="1"/>
        <v>63886882</v>
      </c>
      <c r="D381">
        <f t="shared" ca="1" si="114"/>
        <v>755781814.06000006</v>
      </c>
      <c r="E381">
        <f ca="1">SUM($D$2:D381)/SUM($C$2:C381)</f>
        <v>10.696801317576625</v>
      </c>
      <c r="F381">
        <f ca="1">_xlfn.STDEV.P($B$2:B381)</f>
        <v>1.1364557423202488</v>
      </c>
      <c r="G381">
        <f t="shared" ca="1" si="115"/>
        <v>11.833257059896875</v>
      </c>
      <c r="H381">
        <f t="shared" ca="1" si="116"/>
        <v>9.5603455752563757</v>
      </c>
      <c r="I381">
        <f t="shared" ca="1" si="128"/>
        <v>10.927500000000002</v>
      </c>
      <c r="J381">
        <f t="shared" ca="1" si="129"/>
        <v>0.52144409802817893</v>
      </c>
      <c r="K381">
        <f t="shared" ca="1" si="130"/>
        <v>11.97038819605636</v>
      </c>
      <c r="L381">
        <f t="shared" ca="1" si="131"/>
        <v>9.8846118039436437</v>
      </c>
      <c r="M381">
        <f t="shared" ca="1" si="118"/>
        <v>0.15000000000000036</v>
      </c>
      <c r="N381">
        <f t="shared" ca="1" si="119"/>
        <v>0.15000000000000036</v>
      </c>
      <c r="O381">
        <f t="shared" ca="1" si="120"/>
        <v>0</v>
      </c>
      <c r="P381">
        <f t="shared" ca="1" si="126"/>
        <v>0.11761046369291259</v>
      </c>
      <c r="Q381">
        <f t="shared" ca="1" si="127"/>
        <v>4.7909494588009964E-2</v>
      </c>
      <c r="R381">
        <f t="shared" ca="1" si="124"/>
        <v>2.4548466792289285</v>
      </c>
      <c r="S381">
        <f t="shared" ca="1" si="125"/>
        <v>71.055155471524841</v>
      </c>
      <c r="T381">
        <f>70</f>
        <v>70</v>
      </c>
      <c r="U381">
        <f>30</f>
        <v>30</v>
      </c>
      <c r="V381">
        <f t="shared" ca="1" si="123"/>
        <v>11.303110185717925</v>
      </c>
      <c r="W381">
        <f t="shared" ca="1" si="133"/>
        <v>10.941536855029391</v>
      </c>
      <c r="X381">
        <f t="shared" ca="1" si="132"/>
        <v>0.38320298368567407</v>
      </c>
      <c r="Y381">
        <f t="shared" ca="1" si="134"/>
        <v>0.27795595211109109</v>
      </c>
      <c r="Z381">
        <f t="shared" ca="1" si="135"/>
        <v>0.10524703157458298</v>
      </c>
      <c r="AA381">
        <f t="shared" ca="1" si="136"/>
        <v>10.110020999999996</v>
      </c>
      <c r="AB381" s="18">
        <f t="shared" ca="1" si="121"/>
        <v>1.2842465753424737E-2</v>
      </c>
      <c r="AC381" s="18">
        <f t="shared" ca="1" si="122"/>
        <v>1.2760700590214488E-2</v>
      </c>
      <c r="AD381" s="18">
        <f t="shared" ca="1" si="117"/>
        <v>-1.1497710484976387E-2</v>
      </c>
    </row>
    <row r="382" spans="1:30" x14ac:dyDescent="0.25">
      <c r="A382" vm="1026">
        <f ca="1"/>
        <v>45848</v>
      </c>
      <c r="B382" vm="1027">
        <f ca="1"/>
        <v>11.91</v>
      </c>
      <c r="C382" vm="1028">
        <f ca="1"/>
        <v>67263023</v>
      </c>
      <c r="D382">
        <f t="shared" ca="1" si="114"/>
        <v>801102603.93000007</v>
      </c>
      <c r="E382">
        <f ca="1">SUM($D$2:D382)/SUM($C$2:C382)</f>
        <v>10.699746259127636</v>
      </c>
      <c r="F382">
        <f ca="1">_xlfn.STDEV.P($B$2:B382)</f>
        <v>1.135974428849988</v>
      </c>
      <c r="G382">
        <f t="shared" ca="1" si="115"/>
        <v>11.835720687977624</v>
      </c>
      <c r="H382">
        <f t="shared" ca="1" si="116"/>
        <v>9.5637718302776484</v>
      </c>
      <c r="I382">
        <f t="shared" ca="1" si="128"/>
        <v>10.993</v>
      </c>
      <c r="J382">
        <f t="shared" ca="1" si="129"/>
        <v>0.55906030180350996</v>
      </c>
      <c r="K382">
        <f t="shared" ca="1" si="130"/>
        <v>12.11112060360702</v>
      </c>
      <c r="L382">
        <f t="shared" ca="1" si="131"/>
        <v>9.8748793963929806</v>
      </c>
      <c r="M382">
        <f t="shared" ca="1" si="118"/>
        <v>8.0000000000000071E-2</v>
      </c>
      <c r="N382">
        <f t="shared" ca="1" si="119"/>
        <v>8.0000000000000071E-2</v>
      </c>
      <c r="O382">
        <f t="shared" ca="1" si="120"/>
        <v>0</v>
      </c>
      <c r="P382">
        <f t="shared" ca="1" si="126"/>
        <v>0.1149240020005617</v>
      </c>
      <c r="Q382">
        <f t="shared" ca="1" si="127"/>
        <v>4.4487387831723534E-2</v>
      </c>
      <c r="R382">
        <f t="shared" ca="1" si="124"/>
        <v>2.5832939986332595</v>
      </c>
      <c r="S382">
        <f t="shared" ca="1" si="125"/>
        <v>72.092716914062308</v>
      </c>
      <c r="T382">
        <f>70</f>
        <v>70</v>
      </c>
      <c r="U382">
        <f>30</f>
        <v>30</v>
      </c>
      <c r="V382">
        <f t="shared" ca="1" si="123"/>
        <v>11.396477849453628</v>
      </c>
      <c r="W382">
        <f t="shared" ca="1" si="133"/>
        <v>11.013274865767954</v>
      </c>
      <c r="X382">
        <f t="shared" ca="1" si="132"/>
        <v>0.38541193707447974</v>
      </c>
      <c r="Y382">
        <f t="shared" ca="1" si="134"/>
        <v>0.29944714910376879</v>
      </c>
      <c r="Z382">
        <f t="shared" ca="1" si="135"/>
        <v>8.5964787970710943E-2</v>
      </c>
      <c r="AA382">
        <f t="shared" ca="1" si="136"/>
        <v>10.137099999999997</v>
      </c>
      <c r="AB382" s="18">
        <f t="shared" ca="1" si="121"/>
        <v>6.762468300929747E-3</v>
      </c>
      <c r="AC382" s="18">
        <f t="shared" ca="1" si="122"/>
        <v>6.7397053769132353E-3</v>
      </c>
      <c r="AD382" s="18">
        <f t="shared" ca="1" si="117"/>
        <v>-4.8129950867346061E-3</v>
      </c>
    </row>
    <row r="383" spans="1:30" x14ac:dyDescent="0.25">
      <c r="A383" vm="1029">
        <f ca="1"/>
        <v>45849</v>
      </c>
      <c r="B383" vm="1030">
        <f ca="1"/>
        <v>11.78</v>
      </c>
      <c r="C383" vm="1031">
        <f ca="1"/>
        <v>65340737</v>
      </c>
      <c r="D383">
        <f t="shared" ca="1" si="114"/>
        <v>769713881.86000001</v>
      </c>
      <c r="E383">
        <f ca="1">SUM($D$2:D383)/SUM($C$2:C383)</f>
        <v>10.702287555369971</v>
      </c>
      <c r="F383">
        <f ca="1">_xlfn.STDEV.P($B$2:B383)</f>
        <v>1.1352303344832788</v>
      </c>
      <c r="G383">
        <f t="shared" ca="1" si="115"/>
        <v>11.837517889853249</v>
      </c>
      <c r="H383">
        <f t="shared" ca="1" si="116"/>
        <v>9.5670572208866922</v>
      </c>
      <c r="I383">
        <f t="shared" ca="1" si="128"/>
        <v>11.049000000000001</v>
      </c>
      <c r="J383">
        <f t="shared" ca="1" si="129"/>
        <v>0.57966324161896843</v>
      </c>
      <c r="K383">
        <f t="shared" ca="1" si="130"/>
        <v>12.208326483237938</v>
      </c>
      <c r="L383">
        <f t="shared" ca="1" si="131"/>
        <v>9.8896735167620644</v>
      </c>
      <c r="M383">
        <f t="shared" ca="1" si="118"/>
        <v>-0.13000000000000078</v>
      </c>
      <c r="N383">
        <f t="shared" ca="1" si="119"/>
        <v>0</v>
      </c>
      <c r="O383">
        <f t="shared" ca="1" si="120"/>
        <v>0.13000000000000078</v>
      </c>
      <c r="P383">
        <f t="shared" ca="1" si="126"/>
        <v>0.10671514471480729</v>
      </c>
      <c r="Q383">
        <f t="shared" ca="1" si="127"/>
        <v>5.059543155802905E-2</v>
      </c>
      <c r="R383">
        <f t="shared" ca="1" si="124"/>
        <v>2.109185383514582</v>
      </c>
      <c r="S383">
        <f t="shared" ca="1" si="125"/>
        <v>67.83723462415054</v>
      </c>
      <c r="T383">
        <f>70</f>
        <v>70</v>
      </c>
      <c r="U383">
        <f>30</f>
        <v>30</v>
      </c>
      <c r="V383">
        <f t="shared" ca="1" si="123"/>
        <v>11.455481257229993</v>
      </c>
      <c r="W383">
        <f t="shared" ca="1" si="133"/>
        <v>11.070069320155513</v>
      </c>
      <c r="X383">
        <f t="shared" ca="1" si="132"/>
        <v>0.39072764771158397</v>
      </c>
      <c r="Y383">
        <f t="shared" ca="1" si="134"/>
        <v>0.31770324882533185</v>
      </c>
      <c r="Z383">
        <f t="shared" ca="1" si="135"/>
        <v>7.3024398886252118E-2</v>
      </c>
      <c r="AA383">
        <f t="shared" ca="1" si="136"/>
        <v>10.161599999999995</v>
      </c>
      <c r="AB383" s="18">
        <f t="shared" ca="1" si="121"/>
        <v>-1.0915197313182246E-2</v>
      </c>
      <c r="AC383" s="18">
        <f t="shared" ca="1" si="122"/>
        <v>-1.0975205143768135E-2</v>
      </c>
      <c r="AD383" s="18">
        <f t="shared" ca="1" si="117"/>
        <v>-1.5675657608877791E-2</v>
      </c>
    </row>
    <row r="384" spans="1:30" x14ac:dyDescent="0.25">
      <c r="A384" vm="1032">
        <f ca="1"/>
        <v>45852</v>
      </c>
      <c r="B384" vm="1033">
        <f ca="1"/>
        <v>11.88</v>
      </c>
      <c r="C384" vm="1034">
        <f ca="1"/>
        <v>62098074</v>
      </c>
      <c r="D384">
        <f t="shared" ca="1" si="114"/>
        <v>737725119.12</v>
      </c>
      <c r="E384">
        <f ca="1">SUM($D$2:D384)/SUM($C$2:C384)</f>
        <v>10.70491475449286</v>
      </c>
      <c r="F384">
        <f ca="1">_xlfn.STDEV.P($B$2:B384)</f>
        <v>1.1346813171427084</v>
      </c>
      <c r="G384">
        <f t="shared" ca="1" si="115"/>
        <v>11.839596071635569</v>
      </c>
      <c r="H384">
        <f t="shared" ca="1" si="116"/>
        <v>9.5702334373501508</v>
      </c>
      <c r="I384">
        <f t="shared" ca="1" si="128"/>
        <v>11.1165</v>
      </c>
      <c r="J384">
        <f t="shared" ca="1" si="129"/>
        <v>0.59445928548998461</v>
      </c>
      <c r="K384">
        <f t="shared" ca="1" si="130"/>
        <v>12.30541857097997</v>
      </c>
      <c r="L384">
        <f t="shared" ca="1" si="131"/>
        <v>9.9275814290200302</v>
      </c>
      <c r="M384">
        <f t="shared" ca="1" si="118"/>
        <v>0.10000000000000142</v>
      </c>
      <c r="N384">
        <f t="shared" ca="1" si="119"/>
        <v>0.10000000000000142</v>
      </c>
      <c r="O384">
        <f t="shared" ca="1" si="120"/>
        <v>0</v>
      </c>
      <c r="P384">
        <f t="shared" ca="1" si="126"/>
        <v>0.10623549152089259</v>
      </c>
      <c r="Q384">
        <f t="shared" ca="1" si="127"/>
        <v>4.698147216102698E-2</v>
      </c>
      <c r="R384">
        <f t="shared" ca="1" si="124"/>
        <v>2.2612210012656693</v>
      </c>
      <c r="S384">
        <f t="shared" ca="1" si="125"/>
        <v>69.336638037964818</v>
      </c>
      <c r="T384">
        <f>70</f>
        <v>70</v>
      </c>
      <c r="U384">
        <f>30</f>
        <v>30</v>
      </c>
      <c r="V384">
        <f t="shared" ca="1" si="123"/>
        <v>11.520791833040763</v>
      </c>
      <c r="W384">
        <f t="shared" ca="1" si="133"/>
        <v>11.130064185329179</v>
      </c>
      <c r="X384">
        <f t="shared" ca="1" si="132"/>
        <v>0.36571029681231693</v>
      </c>
      <c r="Y384">
        <f t="shared" ca="1" si="134"/>
        <v>0.32730465842272888</v>
      </c>
      <c r="Z384">
        <f t="shared" ca="1" si="135"/>
        <v>3.8405638389588048E-2</v>
      </c>
      <c r="AA384">
        <f t="shared" ca="1" si="136"/>
        <v>10.187499999999995</v>
      </c>
      <c r="AB384" s="18">
        <f t="shared" ca="1" si="121"/>
        <v>8.4889643463499365E-3</v>
      </c>
      <c r="AC384" s="18">
        <f t="shared" ca="1" si="122"/>
        <v>8.4531357110584106E-3</v>
      </c>
      <c r="AD384" s="18">
        <f t="shared" ca="1" si="117"/>
        <v>-7.3197633610752044E-3</v>
      </c>
    </row>
    <row r="385" spans="1:30" x14ac:dyDescent="0.25">
      <c r="A385" vm="1035">
        <f ca="1"/>
        <v>45853</v>
      </c>
      <c r="B385" vm="1036">
        <f ca="1"/>
        <v>11.57</v>
      </c>
      <c r="C385" vm="1037">
        <f ca="1"/>
        <v>65101902</v>
      </c>
      <c r="D385">
        <f t="shared" ca="1" si="114"/>
        <v>753229006.13999999</v>
      </c>
      <c r="E385">
        <f ca="1">SUM($D$2:D385)/SUM($C$2:C385)</f>
        <v>10.706933184487044</v>
      </c>
      <c r="F385">
        <f ca="1">_xlfn.STDEV.P($B$2:B385)</f>
        <v>1.1336012640335675</v>
      </c>
      <c r="G385">
        <f t="shared" ca="1" si="115"/>
        <v>11.840534448520611</v>
      </c>
      <c r="H385">
        <f t="shared" ca="1" si="116"/>
        <v>9.5733319204534766</v>
      </c>
      <c r="I385">
        <f t="shared" ca="1" si="128"/>
        <v>11.173500000000001</v>
      </c>
      <c r="J385">
        <f t="shared" ca="1" si="129"/>
        <v>0.57963940696372873</v>
      </c>
      <c r="K385">
        <f t="shared" ca="1" si="130"/>
        <v>12.332778813927458</v>
      </c>
      <c r="L385">
        <f t="shared" ca="1" si="131"/>
        <v>10.014221186072543</v>
      </c>
      <c r="M385">
        <f t="shared" ca="1" si="118"/>
        <v>-0.3100000000000005</v>
      </c>
      <c r="N385">
        <f t="shared" ca="1" si="119"/>
        <v>0</v>
      </c>
      <c r="O385">
        <f t="shared" ca="1" si="120"/>
        <v>0.3100000000000005</v>
      </c>
      <c r="P385">
        <f t="shared" ca="1" si="126"/>
        <v>9.8647242126543119E-2</v>
      </c>
      <c r="Q385">
        <f t="shared" ca="1" si="127"/>
        <v>6.5768509863810803E-2</v>
      </c>
      <c r="R385">
        <f t="shared" ca="1" si="124"/>
        <v>1.4999160286710993</v>
      </c>
      <c r="S385">
        <f t="shared" ca="1" si="125"/>
        <v>59.998656413608494</v>
      </c>
      <c r="T385">
        <f>70</f>
        <v>70</v>
      </c>
      <c r="U385">
        <f>30</f>
        <v>30</v>
      </c>
      <c r="V385">
        <f t="shared" ca="1" si="123"/>
        <v>11.528362320265259</v>
      </c>
      <c r="W385">
        <f t="shared" ca="1" si="133"/>
        <v>11.162652023452942</v>
      </c>
      <c r="X385">
        <f t="shared" ca="1" si="132"/>
        <v>0.31561738318112909</v>
      </c>
      <c r="Y385">
        <f t="shared" ca="1" si="134"/>
        <v>0.32496720337440893</v>
      </c>
      <c r="Z385">
        <f t="shared" ca="1" si="135"/>
        <v>-9.3498201932798453E-3</v>
      </c>
      <c r="AA385">
        <f t="shared" ca="1" si="136"/>
        <v>10.209799999999996</v>
      </c>
      <c r="AB385" s="18">
        <f t="shared" ca="1" si="121"/>
        <v>-2.609427609427617E-2</v>
      </c>
      <c r="AC385" s="18">
        <f t="shared" ca="1" si="122"/>
        <v>-2.644077272891374E-2</v>
      </c>
      <c r="AD385" s="18">
        <f t="shared" ca="1" si="117"/>
        <v>-3.3223035529262757E-2</v>
      </c>
    </row>
    <row r="386" spans="1:30" x14ac:dyDescent="0.25">
      <c r="A386" vm="1038">
        <f ca="1"/>
        <v>45854</v>
      </c>
      <c r="B386" vm="1039">
        <f ca="1"/>
        <v>11.24</v>
      </c>
      <c r="C386" vm="1040">
        <f ca="1"/>
        <v>107978145</v>
      </c>
      <c r="D386">
        <f t="shared" ca="1" si="114"/>
        <v>1213674349.8</v>
      </c>
      <c r="E386">
        <f ca="1">SUM($D$2:D386)/SUM($C$2:C386)</f>
        <v>10.708988134193934</v>
      </c>
      <c r="F386">
        <f ca="1">_xlfn.STDEV.P($B$2:B386)</f>
        <v>1.1322043075873593</v>
      </c>
      <c r="G386">
        <f t="shared" ca="1" si="115"/>
        <v>11.841192441781294</v>
      </c>
      <c r="H386">
        <f t="shared" ca="1" si="116"/>
        <v>9.5767838266065741</v>
      </c>
      <c r="I386">
        <f t="shared" ca="1" si="128"/>
        <v>11.204499999999999</v>
      </c>
      <c r="J386">
        <f t="shared" ca="1" si="129"/>
        <v>0.56487050216003154</v>
      </c>
      <c r="K386">
        <f t="shared" ca="1" si="130"/>
        <v>12.334241004320063</v>
      </c>
      <c r="L386">
        <f t="shared" ca="1" si="131"/>
        <v>10.074758995679936</v>
      </c>
      <c r="M386">
        <f t="shared" ca="1" si="118"/>
        <v>-0.33000000000000007</v>
      </c>
      <c r="N386">
        <f t="shared" ca="1" si="119"/>
        <v>0</v>
      </c>
      <c r="O386">
        <f t="shared" ca="1" si="120"/>
        <v>0.33000000000000007</v>
      </c>
      <c r="P386">
        <f t="shared" ca="1" si="126"/>
        <v>9.1601010546075751E-2</v>
      </c>
      <c r="Q386">
        <f t="shared" ca="1" si="127"/>
        <v>8.4642187730681454E-2</v>
      </c>
      <c r="R386">
        <f t="shared" ca="1" si="124"/>
        <v>1.0822145906428626</v>
      </c>
      <c r="S386">
        <f t="shared" ca="1" si="125"/>
        <v>51.974210319443578</v>
      </c>
      <c r="T386">
        <f>70</f>
        <v>70</v>
      </c>
      <c r="U386">
        <f>30</f>
        <v>30</v>
      </c>
      <c r="V386">
        <f t="shared" ca="1" si="123"/>
        <v>11.483998886378297</v>
      </c>
      <c r="W386">
        <f t="shared" ca="1" si="133"/>
        <v>11.168381503197168</v>
      </c>
      <c r="X386">
        <f t="shared" ca="1" si="132"/>
        <v>0.26559453195235072</v>
      </c>
      <c r="Y386">
        <f t="shared" ca="1" si="134"/>
        <v>0.31309266908999733</v>
      </c>
      <c r="Z386">
        <f t="shared" ca="1" si="135"/>
        <v>-4.7498137137646612E-2</v>
      </c>
      <c r="AA386">
        <f t="shared" ca="1" si="136"/>
        <v>10.228299999999996</v>
      </c>
      <c r="AB386" s="18">
        <f t="shared" ca="1" si="121"/>
        <v>-2.8522039757994833E-2</v>
      </c>
      <c r="AC386" s="18">
        <f t="shared" ca="1" si="122"/>
        <v>-2.8936696740040211E-2</v>
      </c>
      <c r="AD386" s="18">
        <f t="shared" ca="1" si="117"/>
        <v>-6.0797486547010671E-2</v>
      </c>
    </row>
    <row r="387" spans="1:30" x14ac:dyDescent="0.25">
      <c r="A387" vm="1041">
        <f ca="1"/>
        <v>45855</v>
      </c>
      <c r="B387" vm="1042">
        <f ca="1"/>
        <v>11.15</v>
      </c>
      <c r="C387" vm="1043">
        <f ca="1"/>
        <v>70345257</v>
      </c>
      <c r="D387">
        <f t="shared" ref="D387:D450" ca="1" si="137">B387*C387</f>
        <v>784349615.55000007</v>
      </c>
      <c r="E387">
        <f ca="1">SUM($D$2:D387)/SUM($C$2:C387)</f>
        <v>10.710092923486082</v>
      </c>
      <c r="F387">
        <f ca="1">_xlfn.STDEV.P($B$2:B387)</f>
        <v>1.1307687966350646</v>
      </c>
      <c r="G387">
        <f t="shared" ref="G387:G450" ca="1" si="138">E387 + F387</f>
        <v>11.840861720121147</v>
      </c>
      <c r="H387">
        <f t="shared" ref="H387:H450" ca="1" si="139">E387 - F387</f>
        <v>9.5793241268510165</v>
      </c>
      <c r="I387">
        <f t="shared" ca="1" si="128"/>
        <v>11.241000000000001</v>
      </c>
      <c r="J387">
        <f t="shared" ca="1" si="129"/>
        <v>0.53426683654479146</v>
      </c>
      <c r="K387">
        <f t="shared" ca="1" si="130"/>
        <v>12.309533673089584</v>
      </c>
      <c r="L387">
        <f t="shared" ca="1" si="131"/>
        <v>10.172466326910419</v>
      </c>
      <c r="M387">
        <f t="shared" ca="1" si="118"/>
        <v>-8.9999999999999858E-2</v>
      </c>
      <c r="N387">
        <f t="shared" ca="1" si="119"/>
        <v>0</v>
      </c>
      <c r="O387">
        <f t="shared" ca="1" si="120"/>
        <v>8.9999999999999858E-2</v>
      </c>
      <c r="P387">
        <f t="shared" ca="1" si="126"/>
        <v>8.5058081221356052E-2</v>
      </c>
      <c r="Q387">
        <f t="shared" ca="1" si="127"/>
        <v>8.5024888607061339E-2</v>
      </c>
      <c r="R387">
        <f t="shared" ca="1" si="124"/>
        <v>1.0003903870365314</v>
      </c>
      <c r="S387">
        <f t="shared" ca="1" si="125"/>
        <v>50.009757771259579</v>
      </c>
      <c r="T387">
        <f>70</f>
        <v>70</v>
      </c>
      <c r="U387">
        <f>30</f>
        <v>30</v>
      </c>
      <c r="V387">
        <f t="shared" ca="1" si="123"/>
        <v>11.432614442320098</v>
      </c>
      <c r="W387">
        <f t="shared" ca="1" si="133"/>
        <v>11.167019910367747</v>
      </c>
      <c r="X387">
        <f t="shared" ca="1" si="132"/>
        <v>0.22417384187906464</v>
      </c>
      <c r="Y387">
        <f t="shared" ca="1" si="134"/>
        <v>0.29530890364781082</v>
      </c>
      <c r="Z387">
        <f t="shared" ca="1" si="135"/>
        <v>-7.1135061768746177E-2</v>
      </c>
      <c r="AA387">
        <f t="shared" ca="1" si="136"/>
        <v>10.246999999999996</v>
      </c>
      <c r="AB387" s="18">
        <f t="shared" ca="1" si="121"/>
        <v>-8.0071174377224219E-3</v>
      </c>
      <c r="AC387" s="18">
        <f t="shared" ca="1" si="122"/>
        <v>-8.0393465594172531E-3</v>
      </c>
      <c r="AD387" s="18">
        <f t="shared" ref="AD387:AD450" ca="1" si="140">(1+AD386)*(1+AB387)-1</f>
        <v>-6.8317791370032799E-2</v>
      </c>
    </row>
    <row r="388" spans="1:30" x14ac:dyDescent="0.25">
      <c r="A388" vm="1044">
        <f ca="1"/>
        <v>45856</v>
      </c>
      <c r="B388" vm="1045">
        <f ca="1"/>
        <v>11.16</v>
      </c>
      <c r="C388" vm="1046">
        <f ca="1"/>
        <v>68812553</v>
      </c>
      <c r="D388">
        <f t="shared" ca="1" si="137"/>
        <v>767948091.48000002</v>
      </c>
      <c r="E388">
        <f ca="1">SUM($D$2:D388)/SUM($C$2:C388)</f>
        <v>10.711192744216168</v>
      </c>
      <c r="F388">
        <f ca="1">_xlfn.STDEV.P($B$2:B388)</f>
        <v>1.1293426534396585</v>
      </c>
      <c r="G388">
        <f t="shared" ca="1" si="138"/>
        <v>11.840535397655827</v>
      </c>
      <c r="H388">
        <f t="shared" ca="1" si="139"/>
        <v>9.5818500907765092</v>
      </c>
      <c r="I388">
        <f t="shared" ca="1" si="128"/>
        <v>11.2775</v>
      </c>
      <c r="J388">
        <f t="shared" ca="1" si="129"/>
        <v>0.49976705099792024</v>
      </c>
      <c r="K388">
        <f t="shared" ca="1" si="130"/>
        <v>12.27703410199584</v>
      </c>
      <c r="L388">
        <f t="shared" ca="1" si="131"/>
        <v>10.27796589800416</v>
      </c>
      <c r="M388">
        <f t="shared" ref="M388:M451" ca="1" si="141">B388-B387</f>
        <v>9.9999999999997868E-3</v>
      </c>
      <c r="N388">
        <f t="shared" ref="N388:N451" ca="1" si="142">MAX(M388,0)</f>
        <v>9.9999999999997868E-3</v>
      </c>
      <c r="O388">
        <f t="shared" ref="O388:O451" ca="1" si="143">MAX(-M388,0)</f>
        <v>0</v>
      </c>
      <c r="P388">
        <f t="shared" ca="1" si="126"/>
        <v>7.9696789705544877E-2</v>
      </c>
      <c r="Q388">
        <f t="shared" ca="1" si="127"/>
        <v>7.8951682277985533E-2</v>
      </c>
      <c r="R388">
        <f t="shared" ca="1" si="124"/>
        <v>1.0094375117294632</v>
      </c>
      <c r="S388">
        <f t="shared" ca="1" si="125"/>
        <v>50.234829689263158</v>
      </c>
      <c r="T388">
        <f>70</f>
        <v>70</v>
      </c>
      <c r="U388">
        <f>30</f>
        <v>30</v>
      </c>
      <c r="V388">
        <f t="shared" ca="1" si="123"/>
        <v>11.390673758886237</v>
      </c>
      <c r="W388">
        <f t="shared" ca="1" si="133"/>
        <v>11.166499917007172</v>
      </c>
      <c r="X388">
        <f t="shared" ca="1" si="132"/>
        <v>0.20113285858085916</v>
      </c>
      <c r="Y388">
        <f t="shared" ca="1" si="134"/>
        <v>0.27647369463442051</v>
      </c>
      <c r="Z388">
        <f t="shared" ca="1" si="135"/>
        <v>-7.5340836053561344E-2</v>
      </c>
      <c r="AA388">
        <f t="shared" ca="1" si="136"/>
        <v>10.265099999999997</v>
      </c>
      <c r="AB388" s="18">
        <f t="shared" ref="AB388:AB451" ca="1" si="144">(B388/B387)-1</f>
        <v>8.9686098654717661E-4</v>
      </c>
      <c r="AC388" s="18">
        <f t="shared" ref="AC388:AC451" ca="1" si="145">LN(B388/B387)</f>
        <v>8.9645904703720568E-4</v>
      </c>
      <c r="AD388" s="18">
        <f t="shared" ca="1" si="140"/>
        <v>-6.7482201945252451E-2</v>
      </c>
    </row>
    <row r="389" spans="1:30" x14ac:dyDescent="0.25">
      <c r="A389" vm="1047">
        <f ca="1"/>
        <v>45859</v>
      </c>
      <c r="B389" vm="1048">
        <f ca="1"/>
        <v>11.31</v>
      </c>
      <c r="C389" vm="1049">
        <f ca="1"/>
        <v>65515630</v>
      </c>
      <c r="D389">
        <f t="shared" ca="1" si="137"/>
        <v>740981775.30000007</v>
      </c>
      <c r="E389">
        <f ca="1">SUM($D$2:D389)/SUM($C$2:C389)</f>
        <v>10.712583189063592</v>
      </c>
      <c r="F389">
        <f ca="1">_xlfn.STDEV.P($B$2:B389)</f>
        <v>1.1280078748812192</v>
      </c>
      <c r="G389">
        <f t="shared" ca="1" si="138"/>
        <v>11.84059106394481</v>
      </c>
      <c r="H389">
        <f t="shared" ca="1" si="139"/>
        <v>9.5845753141823735</v>
      </c>
      <c r="I389">
        <f t="shared" ca="1" si="128"/>
        <v>11.313500000000001</v>
      </c>
      <c r="J389">
        <f t="shared" ca="1" si="129"/>
        <v>0.47284441638372243</v>
      </c>
      <c r="K389">
        <f t="shared" ca="1" si="130"/>
        <v>12.259188832767446</v>
      </c>
      <c r="L389">
        <f t="shared" ca="1" si="131"/>
        <v>10.367811167232556</v>
      </c>
      <c r="M389">
        <f t="shared" ca="1" si="141"/>
        <v>0.15000000000000036</v>
      </c>
      <c r="N389">
        <f t="shared" ca="1" si="142"/>
        <v>0.15000000000000036</v>
      </c>
      <c r="O389">
        <f t="shared" ca="1" si="143"/>
        <v>0</v>
      </c>
      <c r="P389">
        <f t="shared" ca="1" si="126"/>
        <v>8.4718447583720269E-2</v>
      </c>
      <c r="Q389">
        <f t="shared" ca="1" si="127"/>
        <v>7.3312276400986573E-2</v>
      </c>
      <c r="R389">
        <f t="shared" ca="1" si="124"/>
        <v>1.1555833721537556</v>
      </c>
      <c r="S389">
        <f t="shared" ca="1" si="125"/>
        <v>53.608846082309135</v>
      </c>
      <c r="T389">
        <f>70</f>
        <v>70</v>
      </c>
      <c r="U389">
        <f>30</f>
        <v>30</v>
      </c>
      <c r="V389">
        <f t="shared" ca="1" si="123"/>
        <v>11.378262411365277</v>
      </c>
      <c r="W389">
        <f t="shared" ca="1" si="133"/>
        <v>11.177129552784418</v>
      </c>
      <c r="X389">
        <f t="shared" ca="1" si="132"/>
        <v>0.17121604421809522</v>
      </c>
      <c r="Y389">
        <f t="shared" ca="1" si="134"/>
        <v>0.25542216455115546</v>
      </c>
      <c r="Z389">
        <f t="shared" ca="1" si="135"/>
        <v>-8.4206120333060241E-2</v>
      </c>
      <c r="AA389">
        <f t="shared" ca="1" si="136"/>
        <v>10.283999999999997</v>
      </c>
      <c r="AB389" s="18">
        <f t="shared" ca="1" si="144"/>
        <v>1.3440860215053752E-2</v>
      </c>
      <c r="AC389" s="18">
        <f t="shared" ca="1" si="145"/>
        <v>1.3351333174864196E-2</v>
      </c>
      <c r="AD389" s="18">
        <f t="shared" ca="1" si="140"/>
        <v>-5.4948360573548904E-2</v>
      </c>
    </row>
    <row r="390" spans="1:30" x14ac:dyDescent="0.25">
      <c r="A390" vm="1050">
        <f ca="1"/>
        <v>45860</v>
      </c>
      <c r="B390" vm="1051">
        <f ca="1"/>
        <v>11.19</v>
      </c>
      <c r="C390" vm="1052">
        <f ca="1"/>
        <v>79403755</v>
      </c>
      <c r="D390">
        <f t="shared" ca="1" si="137"/>
        <v>888528018.44999993</v>
      </c>
      <c r="E390">
        <f ca="1">SUM($D$2:D390)/SUM($C$2:C390)</f>
        <v>10.713922989276442</v>
      </c>
      <c r="F390">
        <f ca="1">_xlfn.STDEV.P($B$2:B390)</f>
        <v>1.1266052057503164</v>
      </c>
      <c r="G390">
        <f t="shared" ca="1" si="138"/>
        <v>11.840528195026758</v>
      </c>
      <c r="H390">
        <f t="shared" ca="1" si="139"/>
        <v>9.5873177835261263</v>
      </c>
      <c r="I390">
        <f t="shared" ca="1" si="128"/>
        <v>11.3355</v>
      </c>
      <c r="J390">
        <f t="shared" ca="1" si="129"/>
        <v>0.45515150745311389</v>
      </c>
      <c r="K390">
        <f t="shared" ca="1" si="130"/>
        <v>12.245803014906228</v>
      </c>
      <c r="L390">
        <f t="shared" ca="1" si="131"/>
        <v>10.425196985093772</v>
      </c>
      <c r="M390">
        <f t="shared" ca="1" si="141"/>
        <v>-0.12000000000000099</v>
      </c>
      <c r="N390">
        <f t="shared" ca="1" si="142"/>
        <v>0</v>
      </c>
      <c r="O390">
        <f t="shared" ca="1" si="143"/>
        <v>0.12000000000000099</v>
      </c>
      <c r="P390">
        <f t="shared" ca="1" si="126"/>
        <v>7.8667129899168825E-2</v>
      </c>
      <c r="Q390">
        <f t="shared" ca="1" si="127"/>
        <v>7.664711380091617E-2</v>
      </c>
      <c r="R390">
        <f t="shared" ca="1" si="124"/>
        <v>1.0263547575124545</v>
      </c>
      <c r="S390">
        <f t="shared" ca="1" si="125"/>
        <v>50.650299692458773</v>
      </c>
      <c r="T390">
        <f>70</f>
        <v>70</v>
      </c>
      <c r="U390">
        <f>30</f>
        <v>30</v>
      </c>
      <c r="V390">
        <f t="shared" ca="1" si="123"/>
        <v>11.349298963462926</v>
      </c>
      <c r="W390">
        <f t="shared" ca="1" si="133"/>
        <v>11.178082919244831</v>
      </c>
      <c r="X390">
        <f t="shared" ca="1" si="132"/>
        <v>0.16098245981173598</v>
      </c>
      <c r="Y390">
        <f t="shared" ca="1" si="134"/>
        <v>0.23653422360327159</v>
      </c>
      <c r="Z390">
        <f t="shared" ca="1" si="135"/>
        <v>-7.5551763791535609E-2</v>
      </c>
      <c r="AA390">
        <f t="shared" ca="1" si="136"/>
        <v>10.301199999999996</v>
      </c>
      <c r="AB390" s="18">
        <f t="shared" ca="1" si="144"/>
        <v>-1.0610079575596898E-2</v>
      </c>
      <c r="AC390" s="18">
        <f t="shared" ca="1" si="145"/>
        <v>-1.0666767804195303E-2</v>
      </c>
      <c r="AD390" s="18">
        <f t="shared" ca="1" si="140"/>
        <v>-6.4975433670911853E-2</v>
      </c>
    </row>
    <row r="391" spans="1:30" x14ac:dyDescent="0.25">
      <c r="A391" vm="1053">
        <f ca="1"/>
        <v>45861</v>
      </c>
      <c r="B391" vm="1054">
        <f ca="1"/>
        <v>11.38</v>
      </c>
      <c r="C391" vm="1055">
        <f ca="1"/>
        <v>76163207</v>
      </c>
      <c r="D391">
        <f t="shared" ca="1" si="137"/>
        <v>866737295.66000009</v>
      </c>
      <c r="E391">
        <f ca="1">SUM($D$2:D391)/SUM($C$2:C391)</f>
        <v>10.715711137386762</v>
      </c>
      <c r="F391">
        <f ca="1">_xlfn.STDEV.P($B$2:B391)</f>
        <v>1.1253373666305646</v>
      </c>
      <c r="G391">
        <f t="shared" ca="1" si="138"/>
        <v>11.841048504017326</v>
      </c>
      <c r="H391">
        <f t="shared" ca="1" si="139"/>
        <v>9.590373770756198</v>
      </c>
      <c r="I391">
        <f t="shared" ca="1" si="128"/>
        <v>11.367999999999999</v>
      </c>
      <c r="J391">
        <f t="shared" ca="1" si="129"/>
        <v>0.43227184429294135</v>
      </c>
      <c r="K391">
        <f t="shared" ca="1" si="130"/>
        <v>12.232543688585881</v>
      </c>
      <c r="L391">
        <f t="shared" ca="1" si="131"/>
        <v>10.503456311414116</v>
      </c>
      <c r="M391">
        <f t="shared" ca="1" si="141"/>
        <v>0.19000000000000128</v>
      </c>
      <c r="N391">
        <f t="shared" ca="1" si="142"/>
        <v>0.19000000000000128</v>
      </c>
      <c r="O391">
        <f t="shared" ca="1" si="143"/>
        <v>0</v>
      </c>
      <c r="P391">
        <f t="shared" ca="1" si="126"/>
        <v>8.6619477763514002E-2</v>
      </c>
      <c r="Q391">
        <f t="shared" ca="1" si="127"/>
        <v>7.1172319957993585E-2</v>
      </c>
      <c r="R391">
        <f t="shared" ca="1" si="124"/>
        <v>1.2170388405863044</v>
      </c>
      <c r="S391">
        <f t="shared" ca="1" si="125"/>
        <v>54.894791119872927</v>
      </c>
      <c r="T391">
        <f>70</f>
        <v>70</v>
      </c>
      <c r="U391">
        <f>30</f>
        <v>30</v>
      </c>
      <c r="V391">
        <f t="shared" ca="1" si="123"/>
        <v>11.354022199853246</v>
      </c>
      <c r="W391">
        <f t="shared" ca="1" si="133"/>
        <v>11.19303974004151</v>
      </c>
      <c r="X391">
        <f t="shared" ca="1" si="132"/>
        <v>0.14155748673197444</v>
      </c>
      <c r="Y391">
        <f t="shared" ca="1" si="134"/>
        <v>0.21753887622901219</v>
      </c>
      <c r="Z391">
        <f t="shared" ca="1" si="135"/>
        <v>-7.5981389497037755E-2</v>
      </c>
      <c r="AA391">
        <f t="shared" ca="1" si="136"/>
        <v>10.322099999999999</v>
      </c>
      <c r="AB391" s="18">
        <f t="shared" ca="1" si="144"/>
        <v>1.6979445933869686E-2</v>
      </c>
      <c r="AC391" s="18">
        <f t="shared" ca="1" si="145"/>
        <v>1.6836906374351153E-2</v>
      </c>
      <c r="AD391" s="18">
        <f t="shared" ca="1" si="140"/>
        <v>-4.9099234600087138E-2</v>
      </c>
    </row>
    <row r="392" spans="1:30" x14ac:dyDescent="0.25">
      <c r="A392" vm="1056">
        <f ca="1"/>
        <v>45862</v>
      </c>
      <c r="B392" vm="1057">
        <f ca="1"/>
        <v>11.26</v>
      </c>
      <c r="C392" vm="1058">
        <f ca="1"/>
        <v>63557796</v>
      </c>
      <c r="D392">
        <f t="shared" ca="1" si="137"/>
        <v>715660782.96000004</v>
      </c>
      <c r="E392">
        <f ca="1">SUM($D$2:D392)/SUM($C$2:C392)</f>
        <v>10.716927772212099</v>
      </c>
      <c r="F392">
        <f ca="1">_xlfn.STDEV.P($B$2:B392)</f>
        <v>1.1239826853392805</v>
      </c>
      <c r="G392">
        <f t="shared" ca="1" si="138"/>
        <v>11.840910457551379</v>
      </c>
      <c r="H392">
        <f t="shared" ca="1" si="139"/>
        <v>9.5929450868728185</v>
      </c>
      <c r="I392">
        <f t="shared" ca="1" si="128"/>
        <v>11.407</v>
      </c>
      <c r="J392">
        <f t="shared" ca="1" si="129"/>
        <v>0.3799598316719946</v>
      </c>
      <c r="K392">
        <f t="shared" ca="1" si="130"/>
        <v>12.16691966334399</v>
      </c>
      <c r="L392">
        <f t="shared" ca="1" si="131"/>
        <v>10.647080336656011</v>
      </c>
      <c r="M392">
        <f t="shared" ca="1" si="141"/>
        <v>-0.12000000000000099</v>
      </c>
      <c r="N392">
        <f t="shared" ca="1" si="142"/>
        <v>0</v>
      </c>
      <c r="O392">
        <f t="shared" ca="1" si="143"/>
        <v>0.12000000000000099</v>
      </c>
      <c r="P392">
        <f t="shared" ca="1" si="126"/>
        <v>8.0432372208977282E-2</v>
      </c>
      <c r="Q392">
        <f t="shared" ca="1" si="127"/>
        <v>7.4660011389565545E-2</v>
      </c>
      <c r="R392">
        <f t="shared" ca="1" si="124"/>
        <v>1.0773152951891791</v>
      </c>
      <c r="S392">
        <f t="shared" ca="1" si="125"/>
        <v>51.860942712168743</v>
      </c>
      <c r="T392">
        <f>70</f>
        <v>70</v>
      </c>
      <c r="U392">
        <f>30</f>
        <v>30</v>
      </c>
      <c r="V392">
        <f t="shared" ca="1" si="123"/>
        <v>11.339557246029669</v>
      </c>
      <c r="W392">
        <f t="shared" ca="1" si="133"/>
        <v>11.197999759297694</v>
      </c>
      <c r="X392">
        <f t="shared" ca="1" si="132"/>
        <v>0.14147743674946334</v>
      </c>
      <c r="Y392">
        <f t="shared" ca="1" si="134"/>
        <v>0.20232658833310244</v>
      </c>
      <c r="Z392">
        <f t="shared" ca="1" si="135"/>
        <v>-6.0849151583639099E-2</v>
      </c>
      <c r="AA392">
        <f t="shared" ca="1" si="136"/>
        <v>10.339199999999998</v>
      </c>
      <c r="AB392" s="18">
        <f t="shared" ca="1" si="144"/>
        <v>-1.0544815465729385E-2</v>
      </c>
      <c r="AC392" s="18">
        <f t="shared" ca="1" si="145"/>
        <v>-1.0600805986640574E-2</v>
      </c>
      <c r="AD392" s="18">
        <f t="shared" ca="1" si="140"/>
        <v>-5.9126307697450087E-2</v>
      </c>
    </row>
    <row r="393" spans="1:30" x14ac:dyDescent="0.25">
      <c r="A393" vm="1059">
        <f ca="1"/>
        <v>45863</v>
      </c>
      <c r="B393" vm="1060">
        <f ca="1"/>
        <v>11.47</v>
      </c>
      <c r="C393" vm="1061">
        <f ca="1"/>
        <v>52312257</v>
      </c>
      <c r="D393">
        <f t="shared" ca="1" si="137"/>
        <v>600021587.79000008</v>
      </c>
      <c r="E393">
        <f ca="1">SUM($D$2:D393)/SUM($C$2:C393)</f>
        <v>10.71831071363639</v>
      </c>
      <c r="F393">
        <f ca="1">_xlfn.STDEV.P($B$2:B393)</f>
        <v>1.1228129753249791</v>
      </c>
      <c r="G393">
        <f t="shared" ca="1" si="138"/>
        <v>11.841123688961369</v>
      </c>
      <c r="H393">
        <f t="shared" ca="1" si="139"/>
        <v>9.5954977383114102</v>
      </c>
      <c r="I393">
        <f t="shared" ca="1" si="128"/>
        <v>11.449</v>
      </c>
      <c r="J393">
        <f t="shared" ca="1" si="129"/>
        <v>0.33308604862628766</v>
      </c>
      <c r="K393">
        <f t="shared" ca="1" si="130"/>
        <v>12.115172097252575</v>
      </c>
      <c r="L393">
        <f t="shared" ca="1" si="131"/>
        <v>10.782827902747425</v>
      </c>
      <c r="M393">
        <f t="shared" ca="1" si="141"/>
        <v>0.21000000000000085</v>
      </c>
      <c r="N393">
        <f t="shared" ca="1" si="142"/>
        <v>0.21000000000000085</v>
      </c>
      <c r="O393">
        <f t="shared" ca="1" si="143"/>
        <v>0</v>
      </c>
      <c r="P393">
        <f t="shared" ca="1" si="126"/>
        <v>8.9687202765478966E-2</v>
      </c>
      <c r="Q393">
        <f t="shared" ca="1" si="127"/>
        <v>6.9327153433168004E-2</v>
      </c>
      <c r="R393">
        <f t="shared" ca="1" si="124"/>
        <v>1.2936807343739885</v>
      </c>
      <c r="S393">
        <f t="shared" ca="1" si="125"/>
        <v>56.401953200652017</v>
      </c>
      <c r="T393">
        <f>70</f>
        <v>70</v>
      </c>
      <c r="U393">
        <f>30</f>
        <v>30</v>
      </c>
      <c r="V393">
        <f t="shared" ca="1" si="123"/>
        <v>11.359625362025106</v>
      </c>
      <c r="W393">
        <f t="shared" ca="1" si="133"/>
        <v>11.218147925275643</v>
      </c>
      <c r="X393">
        <f t="shared" ca="1" si="132"/>
        <v>0.12464574588852706</v>
      </c>
      <c r="Y393">
        <f t="shared" ca="1" si="134"/>
        <v>0.18679041984418737</v>
      </c>
      <c r="Z393">
        <f t="shared" ca="1" si="135"/>
        <v>-6.2144673955660312E-2</v>
      </c>
      <c r="AA393">
        <f t="shared" ca="1" si="136"/>
        <v>10.359999999999998</v>
      </c>
      <c r="AB393" s="18">
        <f t="shared" ca="1" si="144"/>
        <v>1.8650088809946785E-2</v>
      </c>
      <c r="AC393" s="18">
        <f t="shared" ca="1" si="145"/>
        <v>1.8478308429735069E-2</v>
      </c>
      <c r="AD393" s="18">
        <f t="shared" ca="1" si="140"/>
        <v>-4.157892977706501E-2</v>
      </c>
    </row>
    <row r="394" spans="1:30" x14ac:dyDescent="0.25">
      <c r="A394" vm="1062">
        <f ca="1"/>
        <v>45866</v>
      </c>
      <c r="B394" vm="1063">
        <f ca="1"/>
        <v>11.28</v>
      </c>
      <c r="C394" vm="1064">
        <f ca="1"/>
        <v>54173647</v>
      </c>
      <c r="D394">
        <f t="shared" ca="1" si="137"/>
        <v>611078738.15999997</v>
      </c>
      <c r="E394">
        <f ca="1">SUM($D$2:D394)/SUM($C$2:C394)</f>
        <v>10.719376874600858</v>
      </c>
      <c r="F394">
        <f ca="1">_xlfn.STDEV.P($B$2:B394)</f>
        <v>1.1214801755630122</v>
      </c>
      <c r="G394">
        <f t="shared" ca="1" si="138"/>
        <v>11.840857050163869</v>
      </c>
      <c r="H394">
        <f t="shared" ca="1" si="139"/>
        <v>9.5978966990378467</v>
      </c>
      <c r="I394">
        <f t="shared" ca="1" si="128"/>
        <v>11.473000000000001</v>
      </c>
      <c r="J394">
        <f t="shared" ca="1" si="129"/>
        <v>0.29945740405290588</v>
      </c>
      <c r="K394">
        <f t="shared" ca="1" si="130"/>
        <v>12.071914808105813</v>
      </c>
      <c r="L394">
        <f t="shared" ca="1" si="131"/>
        <v>10.874085191894189</v>
      </c>
      <c r="M394">
        <f t="shared" ca="1" si="141"/>
        <v>-0.19000000000000128</v>
      </c>
      <c r="N394">
        <f t="shared" ca="1" si="142"/>
        <v>0</v>
      </c>
      <c r="O394">
        <f t="shared" ca="1" si="143"/>
        <v>0.19000000000000128</v>
      </c>
      <c r="P394">
        <f t="shared" ca="1" si="126"/>
        <v>8.3280973996516169E-2</v>
      </c>
      <c r="Q394">
        <f t="shared" ca="1" si="127"/>
        <v>7.7946642473656097E-2</v>
      </c>
      <c r="R394">
        <f t="shared" ca="1" si="124"/>
        <v>1.0684356805318835</v>
      </c>
      <c r="S394">
        <f t="shared" ca="1" si="125"/>
        <v>51.654285921868393</v>
      </c>
      <c r="T394">
        <f>70</f>
        <v>70</v>
      </c>
      <c r="U394">
        <f>30</f>
        <v>30</v>
      </c>
      <c r="V394">
        <f t="shared" ca="1" si="123"/>
        <v>11.347375306328937</v>
      </c>
      <c r="W394">
        <f t="shared" ca="1" si="133"/>
        <v>11.22272956044041</v>
      </c>
      <c r="X394">
        <f t="shared" ca="1" si="132"/>
        <v>9.4083643409005546E-2</v>
      </c>
      <c r="Y394">
        <f t="shared" ca="1" si="134"/>
        <v>0.16824906455715102</v>
      </c>
      <c r="Z394">
        <f t="shared" ca="1" si="135"/>
        <v>-7.4165421148145477E-2</v>
      </c>
      <c r="AA394">
        <f t="shared" ca="1" si="136"/>
        <v>10.381599999999997</v>
      </c>
      <c r="AB394" s="18">
        <f t="shared" ca="1" si="144"/>
        <v>-1.6564952048823134E-2</v>
      </c>
      <c r="AC394" s="18">
        <f t="shared" ca="1" si="145"/>
        <v>-1.6703685071366603E-2</v>
      </c>
      <c r="AD394" s="18">
        <f t="shared" ca="1" si="140"/>
        <v>-5.7455128847889725E-2</v>
      </c>
    </row>
    <row r="395" spans="1:30" x14ac:dyDescent="0.25">
      <c r="A395" vm="1065">
        <f ca="1"/>
        <v>45867</v>
      </c>
      <c r="B395" vm="1066">
        <f ca="1"/>
        <v>11.08</v>
      </c>
      <c r="C395" vm="1067">
        <f ca="1"/>
        <v>58371483</v>
      </c>
      <c r="D395">
        <f t="shared" ca="1" si="137"/>
        <v>646756031.63999999</v>
      </c>
      <c r="E395">
        <f ca="1">SUM($D$2:D395)/SUM($C$2:C395)</f>
        <v>10.720112921597305</v>
      </c>
      <c r="F395">
        <f ca="1">_xlfn.STDEV.P($B$2:B395)</f>
        <v>1.1200655281768646</v>
      </c>
      <c r="G395">
        <f t="shared" ca="1" si="138"/>
        <v>11.84017844977417</v>
      </c>
      <c r="H395">
        <f t="shared" ca="1" si="139"/>
        <v>9.6000473934204411</v>
      </c>
      <c r="I395">
        <f t="shared" ca="1" si="128"/>
        <v>11.484500000000001</v>
      </c>
      <c r="J395">
        <f t="shared" ca="1" si="129"/>
        <v>0.27791469724965684</v>
      </c>
      <c r="K395">
        <f t="shared" ca="1" si="130"/>
        <v>12.040329394499315</v>
      </c>
      <c r="L395">
        <f t="shared" ca="1" si="131"/>
        <v>10.928670605500686</v>
      </c>
      <c r="M395">
        <f t="shared" ca="1" si="141"/>
        <v>-0.19999999999999929</v>
      </c>
      <c r="N395">
        <f t="shared" ca="1" si="142"/>
        <v>0</v>
      </c>
      <c r="O395">
        <f t="shared" ca="1" si="143"/>
        <v>0.19999999999999929</v>
      </c>
      <c r="P395">
        <f t="shared" ca="1" si="126"/>
        <v>7.7332332996765007E-2</v>
      </c>
      <c r="Q395">
        <f t="shared" ca="1" si="127"/>
        <v>8.666473943982346E-2</v>
      </c>
      <c r="R395">
        <f t="shared" ca="1" si="124"/>
        <v>0.89231599260113736</v>
      </c>
      <c r="S395">
        <f t="shared" ca="1" si="125"/>
        <v>47.154703341833446</v>
      </c>
      <c r="T395">
        <f>70</f>
        <v>70</v>
      </c>
      <c r="U395">
        <f>30</f>
        <v>30</v>
      </c>
      <c r="V395">
        <f t="shared" ca="1" si="123"/>
        <v>11.306240643816793</v>
      </c>
      <c r="W395">
        <f t="shared" ca="1" si="133"/>
        <v>11.212157000407787</v>
      </c>
      <c r="X395">
        <f t="shared" ca="1" si="132"/>
        <v>5.2314661199591939E-2</v>
      </c>
      <c r="Y395">
        <f t="shared" ca="1" si="134"/>
        <v>0.14506218388563921</v>
      </c>
      <c r="Z395">
        <f t="shared" ca="1" si="135"/>
        <v>-9.2747522686047273E-2</v>
      </c>
      <c r="AA395">
        <f t="shared" ca="1" si="136"/>
        <v>10.395899999999997</v>
      </c>
      <c r="AB395" s="18">
        <f t="shared" ca="1" si="144"/>
        <v>-1.7730496453900679E-2</v>
      </c>
      <c r="AC395" s="18">
        <f t="shared" ca="1" si="145"/>
        <v>-1.7889564750775057E-2</v>
      </c>
      <c r="AD395" s="18">
        <f t="shared" ca="1" si="140"/>
        <v>-7.4166917343494454E-2</v>
      </c>
    </row>
    <row r="396" spans="1:30" x14ac:dyDescent="0.25">
      <c r="A396" vm="1068">
        <f ca="1"/>
        <v>45868</v>
      </c>
      <c r="B396" vm="1069">
        <f ca="1"/>
        <v>10.87</v>
      </c>
      <c r="C396" vm="1070">
        <f ca="1"/>
        <v>79866858</v>
      </c>
      <c r="D396">
        <f t="shared" ca="1" si="137"/>
        <v>868152746.45999992</v>
      </c>
      <c r="E396">
        <f ca="1">SUM($D$2:D396)/SUM($C$2:C396)</f>
        <v>10.720530339327958</v>
      </c>
      <c r="F396">
        <f ca="1">_xlfn.STDEV.P($B$2:B396)</f>
        <v>1.1186627455141434</v>
      </c>
      <c r="G396">
        <f t="shared" ca="1" si="138"/>
        <v>11.839193084842101</v>
      </c>
      <c r="H396">
        <f t="shared" ca="1" si="139"/>
        <v>9.6018675938138145</v>
      </c>
      <c r="I396">
        <f t="shared" ca="1" si="128"/>
        <v>11.4605</v>
      </c>
      <c r="J396">
        <f t="shared" ca="1" si="129"/>
        <v>0.30911546131025652</v>
      </c>
      <c r="K396">
        <f t="shared" ca="1" si="130"/>
        <v>12.078730922620514</v>
      </c>
      <c r="L396">
        <f t="shared" ca="1" si="131"/>
        <v>10.842269077379486</v>
      </c>
      <c r="M396">
        <f t="shared" ca="1" si="141"/>
        <v>-0.21000000000000085</v>
      </c>
      <c r="N396">
        <f t="shared" ca="1" si="142"/>
        <v>0</v>
      </c>
      <c r="O396">
        <f t="shared" ca="1" si="143"/>
        <v>0.21000000000000085</v>
      </c>
      <c r="P396">
        <f t="shared" ca="1" si="126"/>
        <v>7.1808594925567501E-2</v>
      </c>
      <c r="Q396">
        <f t="shared" ca="1" si="127"/>
        <v>9.5474400908407558E-2</v>
      </c>
      <c r="R396">
        <f t="shared" ca="1" si="124"/>
        <v>0.75212406930373288</v>
      </c>
      <c r="S396">
        <f t="shared" ca="1" si="125"/>
        <v>42.926416141444555</v>
      </c>
      <c r="T396">
        <f>70</f>
        <v>70</v>
      </c>
      <c r="U396">
        <f>30</f>
        <v>30</v>
      </c>
      <c r="V396">
        <f t="shared" ca="1" si="123"/>
        <v>11.239126698614209</v>
      </c>
      <c r="W396">
        <f t="shared" ca="1" si="133"/>
        <v>11.186812037414617</v>
      </c>
      <c r="X396">
        <f t="shared" ca="1" si="132"/>
        <v>3.494791261729091E-2</v>
      </c>
      <c r="Y396">
        <f t="shared" ca="1" si="134"/>
        <v>0.12303932963196956</v>
      </c>
      <c r="Z396">
        <f t="shared" ca="1" si="135"/>
        <v>-8.8091417014678652E-2</v>
      </c>
      <c r="AA396">
        <f t="shared" ca="1" si="136"/>
        <v>10.408499999999997</v>
      </c>
      <c r="AB396" s="18">
        <f t="shared" ca="1" si="144"/>
        <v>-1.8953068592057809E-2</v>
      </c>
      <c r="AC396" s="18">
        <f t="shared" ca="1" si="145"/>
        <v>-1.9134980186019723E-2</v>
      </c>
      <c r="AD396" s="18">
        <f t="shared" ca="1" si="140"/>
        <v>-9.1714295263879531E-2</v>
      </c>
    </row>
    <row r="397" spans="1:30" x14ac:dyDescent="0.25">
      <c r="A397" vm="1071">
        <f ca="1"/>
        <v>45869</v>
      </c>
      <c r="B397" vm="1072">
        <f ca="1"/>
        <v>11.07</v>
      </c>
      <c r="C397" vm="1073">
        <f ca="1"/>
        <v>101090884</v>
      </c>
      <c r="D397">
        <f t="shared" ca="1" si="137"/>
        <v>1119076085.8800001</v>
      </c>
      <c r="E397">
        <f ca="1">SUM($D$2:D397)/SUM($C$2:C397)</f>
        <v>10.721757872960335</v>
      </c>
      <c r="F397">
        <f ca="1">_xlfn.STDEV.P($B$2:B397)</f>
        <v>1.11725689389256</v>
      </c>
      <c r="G397">
        <f t="shared" ca="1" si="138"/>
        <v>11.839014766852895</v>
      </c>
      <c r="H397">
        <f t="shared" ca="1" si="139"/>
        <v>9.604500979067776</v>
      </c>
      <c r="I397">
        <f t="shared" ca="1" si="128"/>
        <v>11.425499999999998</v>
      </c>
      <c r="J397">
        <f t="shared" ca="1" si="129"/>
        <v>0.31184468131292215</v>
      </c>
      <c r="K397">
        <f t="shared" ca="1" si="130"/>
        <v>12.049189362625842</v>
      </c>
      <c r="L397">
        <f t="shared" ca="1" si="131"/>
        <v>10.801810637374153</v>
      </c>
      <c r="M397">
        <f t="shared" ca="1" si="141"/>
        <v>0.20000000000000107</v>
      </c>
      <c r="N397">
        <f t="shared" ca="1" si="142"/>
        <v>0.20000000000000107</v>
      </c>
      <c r="O397">
        <f t="shared" ca="1" si="143"/>
        <v>0</v>
      </c>
      <c r="P397">
        <f t="shared" ca="1" si="126"/>
        <v>8.0965123859455618E-2</v>
      </c>
      <c r="Q397">
        <f t="shared" ca="1" si="127"/>
        <v>8.86548008435213E-2</v>
      </c>
      <c r="R397">
        <f t="shared" ca="1" si="124"/>
        <v>0.91326271210469223</v>
      </c>
      <c r="S397">
        <f t="shared" ca="1" si="125"/>
        <v>47.733262469744886</v>
      </c>
      <c r="T397">
        <f>70</f>
        <v>70</v>
      </c>
      <c r="U397">
        <f>30</f>
        <v>30</v>
      </c>
      <c r="V397">
        <f t="shared" ca="1" si="123"/>
        <v>11.213107206519714</v>
      </c>
      <c r="W397">
        <f t="shared" ca="1" si="133"/>
        <v>11.178159293902423</v>
      </c>
      <c r="X397">
        <f t="shared" ca="1" si="132"/>
        <v>1.0001989118730847E-3</v>
      </c>
      <c r="Y397">
        <f t="shared" ca="1" si="134"/>
        <v>9.8631503487950273E-2</v>
      </c>
      <c r="Z397">
        <f t="shared" ca="1" si="135"/>
        <v>-9.7631304576077188E-2</v>
      </c>
      <c r="AA397">
        <f t="shared" ca="1" si="136"/>
        <v>10.420199999999998</v>
      </c>
      <c r="AB397" s="18">
        <f t="shared" ca="1" si="144"/>
        <v>1.8399264029438811E-2</v>
      </c>
      <c r="AC397" s="18">
        <f t="shared" ca="1" si="145"/>
        <v>1.8232045587427425E-2</v>
      </c>
      <c r="AD397" s="18">
        <f t="shared" ca="1" si="140"/>
        <v>-7.5002506768274801E-2</v>
      </c>
    </row>
    <row r="398" spans="1:30" x14ac:dyDescent="0.25">
      <c r="A398" vm="1074">
        <f ca="1"/>
        <v>45870</v>
      </c>
      <c r="B398" vm="1075">
        <f ca="1"/>
        <v>10.82</v>
      </c>
      <c r="C398" vm="1076">
        <f ca="1"/>
        <v>73541489</v>
      </c>
      <c r="D398">
        <f t="shared" ca="1" si="137"/>
        <v>795718910.98000002</v>
      </c>
      <c r="E398">
        <f ca="1">SUM($D$2:D398)/SUM($C$2:C398)</f>
        <v>10.722008272634531</v>
      </c>
      <c r="F398">
        <f ca="1">_xlfn.STDEV.P($B$2:B398)</f>
        <v>1.1158809114648154</v>
      </c>
      <c r="G398">
        <f t="shared" ca="1" si="138"/>
        <v>11.837889184099346</v>
      </c>
      <c r="H398">
        <f t="shared" ca="1" si="139"/>
        <v>9.6061273611697153</v>
      </c>
      <c r="I398">
        <f t="shared" ca="1" si="128"/>
        <v>11.376000000000001</v>
      </c>
      <c r="J398">
        <f t="shared" ca="1" si="129"/>
        <v>0.32585757302038704</v>
      </c>
      <c r="K398">
        <f t="shared" ca="1" si="130"/>
        <v>12.027715146040775</v>
      </c>
      <c r="L398">
        <f t="shared" ca="1" si="131"/>
        <v>10.724284853959228</v>
      </c>
      <c r="M398">
        <f t="shared" ca="1" si="141"/>
        <v>-0.25</v>
      </c>
      <c r="N398">
        <f t="shared" ca="1" si="142"/>
        <v>0</v>
      </c>
      <c r="O398">
        <f t="shared" ca="1" si="143"/>
        <v>0.25</v>
      </c>
      <c r="P398">
        <f t="shared" ca="1" si="126"/>
        <v>7.5181900726637357E-2</v>
      </c>
      <c r="Q398">
        <f t="shared" ca="1" si="127"/>
        <v>0.10017945792612692</v>
      </c>
      <c r="R398">
        <f t="shared" ca="1" si="124"/>
        <v>0.75047222537455782</v>
      </c>
      <c r="S398">
        <f t="shared" ca="1" si="125"/>
        <v>42.872558301459215</v>
      </c>
      <c r="T398">
        <f>70</f>
        <v>70</v>
      </c>
      <c r="U398">
        <f>30</f>
        <v>30</v>
      </c>
      <c r="V398">
        <f t="shared" ca="1" si="123"/>
        <v>11.15262917474745</v>
      </c>
      <c r="W398">
        <f t="shared" ca="1" si="133"/>
        <v>11.151628975835576</v>
      </c>
      <c r="X398">
        <f t="shared" ca="1" si="132"/>
        <v>-1.5238040588519297E-2</v>
      </c>
      <c r="Y398">
        <f t="shared" ca="1" si="134"/>
        <v>7.5857594672656375E-2</v>
      </c>
      <c r="Z398">
        <f t="shared" ca="1" si="135"/>
        <v>-9.1095635261175673E-2</v>
      </c>
      <c r="AA398">
        <f t="shared" ca="1" si="136"/>
        <v>10.428799999999999</v>
      </c>
      <c r="AB398" s="18">
        <f t="shared" ca="1" si="144"/>
        <v>-2.2583559168925071E-2</v>
      </c>
      <c r="AC398" s="18">
        <f t="shared" ca="1" si="145"/>
        <v>-2.2842473302210096E-2</v>
      </c>
      <c r="AD398" s="18">
        <f t="shared" ca="1" si="140"/>
        <v>-9.5892242387780824E-2</v>
      </c>
    </row>
    <row r="399" spans="1:30" x14ac:dyDescent="0.25">
      <c r="A399" vm="1077">
        <f ca="1"/>
        <v>45873</v>
      </c>
      <c r="B399" vm="1078">
        <f ca="1"/>
        <v>10.95</v>
      </c>
      <c r="C399" vm="1079">
        <f ca="1"/>
        <v>56696828</v>
      </c>
      <c r="D399">
        <f t="shared" ca="1" si="137"/>
        <v>620830266.5999999</v>
      </c>
      <c r="E399">
        <f ca="1">SUM($D$2:D399)/SUM($C$2:C399)</f>
        <v>10.722455397563516</v>
      </c>
      <c r="F399">
        <f ca="1">_xlfn.STDEV.P($B$2:B399)</f>
        <v>1.1144798140009169</v>
      </c>
      <c r="G399">
        <f t="shared" ca="1" si="138"/>
        <v>11.836935211564434</v>
      </c>
      <c r="H399">
        <f t="shared" ca="1" si="139"/>
        <v>9.6079755835625988</v>
      </c>
      <c r="I399">
        <f t="shared" ca="1" si="128"/>
        <v>11.343999999999999</v>
      </c>
      <c r="J399">
        <f t="shared" ca="1" si="129"/>
        <v>0.3350318131005976</v>
      </c>
      <c r="K399">
        <f t="shared" ca="1" si="130"/>
        <v>12.014063626201194</v>
      </c>
      <c r="L399">
        <f t="shared" ca="1" si="131"/>
        <v>10.673936373798805</v>
      </c>
      <c r="M399">
        <f t="shared" ca="1" si="141"/>
        <v>0.12999999999999901</v>
      </c>
      <c r="N399">
        <f t="shared" ca="1" si="142"/>
        <v>0.12999999999999901</v>
      </c>
      <c r="O399">
        <f t="shared" ca="1" si="143"/>
        <v>0</v>
      </c>
      <c r="P399">
        <f t="shared" ca="1" si="126"/>
        <v>7.9097479246163185E-2</v>
      </c>
      <c r="Q399">
        <f t="shared" ca="1" si="127"/>
        <v>9.3023782359975007E-2</v>
      </c>
      <c r="R399">
        <f t="shared" ca="1" si="124"/>
        <v>0.85029308892299094</v>
      </c>
      <c r="S399">
        <f t="shared" ca="1" si="125"/>
        <v>45.954508181075525</v>
      </c>
      <c r="T399">
        <f>70</f>
        <v>70</v>
      </c>
      <c r="U399">
        <f>30</f>
        <v>30</v>
      </c>
      <c r="V399">
        <f t="shared" ref="V399:V462" ca="1" si="146">B399*(2/(12+1)) + V398*(1-(2/(12+1)))</f>
        <v>11.121455455555534</v>
      </c>
      <c r="W399">
        <f t="shared" ca="1" si="133"/>
        <v>11.136693496144053</v>
      </c>
      <c r="X399">
        <f t="shared" ca="1" si="132"/>
        <v>-1.9011726344228208E-2</v>
      </c>
      <c r="Y399">
        <f t="shared" ca="1" si="134"/>
        <v>5.6883730469279463E-2</v>
      </c>
      <c r="Z399">
        <f t="shared" ca="1" si="135"/>
        <v>-7.5895456813507678E-2</v>
      </c>
      <c r="AA399">
        <f t="shared" ca="1" si="136"/>
        <v>10.441399999999998</v>
      </c>
      <c r="AB399" s="18">
        <f t="shared" ca="1" si="144"/>
        <v>1.2014787430683738E-2</v>
      </c>
      <c r="AC399" s="18">
        <f t="shared" ca="1" si="145"/>
        <v>1.1943182844174186E-2</v>
      </c>
      <c r="AD399" s="18">
        <f t="shared" ca="1" si="140"/>
        <v>-8.5029579865637861E-2</v>
      </c>
    </row>
    <row r="400" spans="1:30" x14ac:dyDescent="0.25">
      <c r="A400" vm="1080">
        <f ca="1"/>
        <v>45874</v>
      </c>
      <c r="B400" vm="1081">
        <f ca="1"/>
        <v>11.06</v>
      </c>
      <c r="C400" vm="1082">
        <f ca="1"/>
        <v>58864252</v>
      </c>
      <c r="D400">
        <f t="shared" ca="1" si="137"/>
        <v>651038627.12</v>
      </c>
      <c r="E400">
        <f ca="1">SUM($D$2:D400)/SUM($C$2:C400)</f>
        <v>10.723141281221171</v>
      </c>
      <c r="F400">
        <f ca="1">_xlfn.STDEV.P($B$2:B400)</f>
        <v>1.11308814415052</v>
      </c>
      <c r="G400">
        <f t="shared" ca="1" si="138"/>
        <v>11.836229425371691</v>
      </c>
      <c r="H400">
        <f t="shared" ca="1" si="139"/>
        <v>9.6100531370706506</v>
      </c>
      <c r="I400">
        <f t="shared" ca="1" si="128"/>
        <v>11.312999999999999</v>
      </c>
      <c r="J400">
        <f t="shared" ca="1" si="129"/>
        <v>0.33096509594947038</v>
      </c>
      <c r="K400">
        <f t="shared" ca="1" si="130"/>
        <v>11.97493019189894</v>
      </c>
      <c r="L400">
        <f t="shared" ca="1" si="131"/>
        <v>10.651069808101058</v>
      </c>
      <c r="M400">
        <f t="shared" ca="1" si="141"/>
        <v>0.11000000000000121</v>
      </c>
      <c r="N400">
        <f t="shared" ca="1" si="142"/>
        <v>0.11000000000000121</v>
      </c>
      <c r="O400">
        <f t="shared" ca="1" si="143"/>
        <v>0</v>
      </c>
      <c r="P400">
        <f t="shared" ca="1" si="126"/>
        <v>8.1304802157151621E-2</v>
      </c>
      <c r="Q400">
        <f t="shared" ca="1" si="127"/>
        <v>8.6379226477119639E-2</v>
      </c>
      <c r="R400">
        <f t="shared" ref="R400:R463" ca="1" si="147">IF(Q400=0,NA(),P400/Q400)</f>
        <v>0.94125411251150592</v>
      </c>
      <c r="S400">
        <f t="shared" ref="S400:S463" ca="1" si="148">100-(100/(1+R400))</f>
        <v>48.486908872211188</v>
      </c>
      <c r="T400">
        <f>70</f>
        <v>70</v>
      </c>
      <c r="U400">
        <f>30</f>
        <v>30</v>
      </c>
      <c r="V400">
        <f t="shared" ca="1" si="146"/>
        <v>11.112000770085452</v>
      </c>
      <c r="W400">
        <f t="shared" ca="1" si="133"/>
        <v>11.13101249642968</v>
      </c>
      <c r="X400">
        <f t="shared" ca="1" si="132"/>
        <v>-9.7858479323846836E-3</v>
      </c>
      <c r="Y400">
        <f t="shared" ca="1" si="134"/>
        <v>4.3549814788946636E-2</v>
      </c>
      <c r="Z400">
        <f t="shared" ca="1" si="135"/>
        <v>-5.333566272133132E-2</v>
      </c>
      <c r="AA400">
        <f t="shared" ca="1" si="136"/>
        <v>10.456099999999999</v>
      </c>
      <c r="AB400" s="18">
        <f t="shared" ca="1" si="144"/>
        <v>1.0045662100456765E-2</v>
      </c>
      <c r="AC400" s="18">
        <f t="shared" ca="1" si="145"/>
        <v>9.9955398316790567E-3</v>
      </c>
      <c r="AD400" s="18">
        <f t="shared" ca="1" si="140"/>
        <v>-7.5838096193055149E-2</v>
      </c>
    </row>
    <row r="401" spans="1:30" x14ac:dyDescent="0.25">
      <c r="A401" vm="1083">
        <f ca="1"/>
        <v>45875</v>
      </c>
      <c r="B401" vm="1084">
        <f ca="1"/>
        <v>11.21</v>
      </c>
      <c r="C401" vm="1085">
        <f ca="1"/>
        <v>59519843</v>
      </c>
      <c r="D401">
        <f t="shared" ca="1" si="137"/>
        <v>667217440.03000009</v>
      </c>
      <c r="E401">
        <f ca="1">SUM($D$2:D401)/SUM($C$2:C401)</f>
        <v>10.724139535076425</v>
      </c>
      <c r="F401">
        <f ca="1">_xlfn.STDEV.P($B$2:B401)</f>
        <v>1.1117510249576441</v>
      </c>
      <c r="G401">
        <f t="shared" ca="1" si="138"/>
        <v>11.83589056003407</v>
      </c>
      <c r="H401">
        <f t="shared" ca="1" si="139"/>
        <v>9.6123885101187803</v>
      </c>
      <c r="I401">
        <f t="shared" ca="1" si="128"/>
        <v>11.282</v>
      </c>
      <c r="J401">
        <f t="shared" ca="1" si="129"/>
        <v>0.30824802044013716</v>
      </c>
      <c r="K401">
        <f t="shared" ca="1" si="130"/>
        <v>11.898496040880275</v>
      </c>
      <c r="L401">
        <f t="shared" ca="1" si="131"/>
        <v>10.665503959119725</v>
      </c>
      <c r="M401">
        <f t="shared" ca="1" si="141"/>
        <v>0.15000000000000036</v>
      </c>
      <c r="N401">
        <f t="shared" ca="1" si="142"/>
        <v>0.15000000000000036</v>
      </c>
      <c r="O401">
        <f t="shared" ca="1" si="143"/>
        <v>0</v>
      </c>
      <c r="P401">
        <f t="shared" ref="P401:P464" ca="1" si="149">(P400*13+N401)/14</f>
        <v>8.621160200306939E-2</v>
      </c>
      <c r="Q401">
        <f t="shared" ref="Q401:Q464" ca="1" si="150">(Q400*13+O401)/14</f>
        <v>8.0209281728753953E-2</v>
      </c>
      <c r="R401">
        <f t="shared" ca="1" si="147"/>
        <v>1.0748332380610719</v>
      </c>
      <c r="S401">
        <f t="shared" ca="1" si="148"/>
        <v>51.803355486318594</v>
      </c>
      <c r="T401">
        <f>70</f>
        <v>70</v>
      </c>
      <c r="U401">
        <f>30</f>
        <v>30</v>
      </c>
      <c r="V401">
        <f t="shared" ca="1" si="146"/>
        <v>11.127077574687689</v>
      </c>
      <c r="W401">
        <f t="shared" ca="1" si="133"/>
        <v>11.136863422620074</v>
      </c>
      <c r="X401">
        <f t="shared" ca="1" si="132"/>
        <v>3.1379696031912374E-3</v>
      </c>
      <c r="Y401">
        <f t="shared" ca="1" si="134"/>
        <v>3.5467445751795557E-2</v>
      </c>
      <c r="Z401">
        <f t="shared" ca="1" si="135"/>
        <v>-3.2329476148604319E-2</v>
      </c>
      <c r="AA401">
        <f t="shared" ca="1" si="136"/>
        <v>10.472899999999999</v>
      </c>
      <c r="AB401" s="18">
        <f t="shared" ca="1" si="144"/>
        <v>1.3562386980108476E-2</v>
      </c>
      <c r="AC401" s="18">
        <f t="shared" ca="1" si="145"/>
        <v>1.3471240989879779E-2</v>
      </c>
      <c r="AD401" s="18">
        <f t="shared" ca="1" si="140"/>
        <v>-6.3304254821351602E-2</v>
      </c>
    </row>
    <row r="402" spans="1:30" x14ac:dyDescent="0.25">
      <c r="A402" vm="1086">
        <f ca="1"/>
        <v>45876</v>
      </c>
      <c r="B402" vm="1063">
        <f ca="1"/>
        <v>11.28</v>
      </c>
      <c r="C402" vm="1087">
        <f ca="1"/>
        <v>71774972</v>
      </c>
      <c r="D402">
        <f t="shared" ca="1" si="137"/>
        <v>809621684.15999997</v>
      </c>
      <c r="E402">
        <f ca="1">SUM($D$2:D402)/SUM($C$2:C402)</f>
        <v>10.72551055127335</v>
      </c>
      <c r="F402">
        <f ca="1">_xlfn.STDEV.P($B$2:B402)</f>
        <v>1.1104588638571018</v>
      </c>
      <c r="G402">
        <f t="shared" ca="1" si="138"/>
        <v>11.835969415130453</v>
      </c>
      <c r="H402">
        <f t="shared" ca="1" si="139"/>
        <v>9.6150516874162477</v>
      </c>
      <c r="I402">
        <f t="shared" ca="1" si="128"/>
        <v>11.250499999999999</v>
      </c>
      <c r="J402">
        <f t="shared" ca="1" si="129"/>
        <v>0.27058367710523401</v>
      </c>
      <c r="K402">
        <f t="shared" ca="1" si="130"/>
        <v>11.791667354210468</v>
      </c>
      <c r="L402">
        <f t="shared" ca="1" si="131"/>
        <v>10.70933264578953</v>
      </c>
      <c r="M402">
        <f t="shared" ca="1" si="141"/>
        <v>6.9999999999998508E-2</v>
      </c>
      <c r="N402">
        <f t="shared" ca="1" si="142"/>
        <v>6.9999999999998508E-2</v>
      </c>
      <c r="O402">
        <f t="shared" ca="1" si="143"/>
        <v>0</v>
      </c>
      <c r="P402">
        <f t="shared" ca="1" si="149"/>
        <v>8.5053630431421473E-2</v>
      </c>
      <c r="Q402">
        <f t="shared" ca="1" si="150"/>
        <v>7.4480047319557249E-2</v>
      </c>
      <c r="R402">
        <f t="shared" ca="1" si="147"/>
        <v>1.1419653114141857</v>
      </c>
      <c r="S402">
        <f t="shared" ca="1" si="148"/>
        <v>53.313903139739843</v>
      </c>
      <c r="T402">
        <f>70</f>
        <v>70</v>
      </c>
      <c r="U402">
        <f>30</f>
        <v>30</v>
      </c>
      <c r="V402">
        <f t="shared" ca="1" si="146"/>
        <v>11.150604101658814</v>
      </c>
      <c r="W402">
        <f t="shared" ca="1" si="133"/>
        <v>11.147466132055623</v>
      </c>
      <c r="X402">
        <f t="shared" ca="1" si="132"/>
        <v>1.6418590525896448E-2</v>
      </c>
      <c r="Y402">
        <f t="shared" ca="1" si="134"/>
        <v>3.1657674706615735E-2</v>
      </c>
      <c r="Z402">
        <f t="shared" ca="1" si="135"/>
        <v>-1.5239084180719287E-2</v>
      </c>
      <c r="AA402">
        <f t="shared" ca="1" si="136"/>
        <v>10.488400000000002</v>
      </c>
      <c r="AB402" s="18">
        <f t="shared" ca="1" si="144"/>
        <v>6.2444246208741561E-3</v>
      </c>
      <c r="AC402" s="18">
        <f t="shared" ca="1" si="145"/>
        <v>6.2250089858442333E-3</v>
      </c>
      <c r="AD402" s="18">
        <f t="shared" ca="1" si="140"/>
        <v>-5.7455128847889947E-2</v>
      </c>
    </row>
    <row r="403" spans="1:30" x14ac:dyDescent="0.25">
      <c r="A403" vm="1088">
        <f ca="1"/>
        <v>45877</v>
      </c>
      <c r="B403" vm="1089">
        <f ca="1"/>
        <v>11.32</v>
      </c>
      <c r="C403" vm="1090">
        <f ca="1"/>
        <v>48465317</v>
      </c>
      <c r="D403">
        <f t="shared" ca="1" si="137"/>
        <v>548627388.44000006</v>
      </c>
      <c r="E403">
        <f ca="1">SUM($D$2:D403)/SUM($C$2:C403)</f>
        <v>10.726499004848618</v>
      </c>
      <c r="F403">
        <f ca="1">_xlfn.STDEV.P($B$2:B403)</f>
        <v>1.1091989408583303</v>
      </c>
      <c r="G403">
        <f t="shared" ca="1" si="138"/>
        <v>11.835697945706949</v>
      </c>
      <c r="H403">
        <f t="shared" ca="1" si="139"/>
        <v>9.617300063990287</v>
      </c>
      <c r="I403">
        <f t="shared" ca="1" si="128"/>
        <v>11.227499999999999</v>
      </c>
      <c r="J403">
        <f t="shared" ca="1" si="129"/>
        <v>0.24115675181791726</v>
      </c>
      <c r="K403">
        <f t="shared" ca="1" si="130"/>
        <v>11.709813503635834</v>
      </c>
      <c r="L403">
        <f t="shared" ca="1" si="131"/>
        <v>10.745186496364164</v>
      </c>
      <c r="M403">
        <f t="shared" ca="1" si="141"/>
        <v>4.0000000000000924E-2</v>
      </c>
      <c r="N403">
        <f t="shared" ca="1" si="142"/>
        <v>4.0000000000000924E-2</v>
      </c>
      <c r="O403">
        <f t="shared" ca="1" si="143"/>
        <v>0</v>
      </c>
      <c r="P403">
        <f t="shared" ca="1" si="149"/>
        <v>8.1835513972034285E-2</v>
      </c>
      <c r="Q403">
        <f t="shared" ca="1" si="150"/>
        <v>6.9160043939588869E-2</v>
      </c>
      <c r="R403">
        <f t="shared" ca="1" si="147"/>
        <v>1.1832773565545651</v>
      </c>
      <c r="S403">
        <f t="shared" ca="1" si="148"/>
        <v>54.197298982750304</v>
      </c>
      <c r="T403">
        <f>70</f>
        <v>70</v>
      </c>
      <c r="U403">
        <f>30</f>
        <v>30</v>
      </c>
      <c r="V403">
        <f t="shared" ca="1" si="146"/>
        <v>11.176665009095919</v>
      </c>
      <c r="W403">
        <f t="shared" ca="1" si="133"/>
        <v>11.160246418570022</v>
      </c>
      <c r="X403">
        <f t="shared" ca="1" si="132"/>
        <v>1.2277554604645857E-2</v>
      </c>
      <c r="Y403">
        <f t="shared" ca="1" si="134"/>
        <v>2.7781650686221761E-2</v>
      </c>
      <c r="Z403">
        <f t="shared" ca="1" si="135"/>
        <v>-1.5504096081575904E-2</v>
      </c>
      <c r="AA403">
        <f t="shared" ca="1" si="136"/>
        <v>10.5024</v>
      </c>
      <c r="AB403" s="18">
        <f t="shared" ca="1" si="144"/>
        <v>3.5460992907803135E-3</v>
      </c>
      <c r="AC403" s="18">
        <f t="shared" ca="1" si="145"/>
        <v>3.539826705124208E-3</v>
      </c>
      <c r="AD403" s="18">
        <f t="shared" ca="1" si="140"/>
        <v>-5.4112771148768779E-2</v>
      </c>
    </row>
    <row r="404" spans="1:30" x14ac:dyDescent="0.25">
      <c r="A404" vm="1091">
        <f ca="1"/>
        <v>45880</v>
      </c>
      <c r="B404" vm="1092">
        <f ca="1"/>
        <v>11.14</v>
      </c>
      <c r="C404" vm="1093">
        <f ca="1"/>
        <v>84332966</v>
      </c>
      <c r="D404">
        <f t="shared" ca="1" si="137"/>
        <v>939469241.24000001</v>
      </c>
      <c r="E404">
        <f ca="1">SUM($D$2:D404)/SUM($C$2:C404)</f>
        <v>10.727691894621469</v>
      </c>
      <c r="F404">
        <f ca="1">_xlfn.STDEV.P($B$2:B404)</f>
        <v>1.1078469003254663</v>
      </c>
      <c r="G404">
        <f t="shared" ca="1" si="138"/>
        <v>11.835538794946935</v>
      </c>
      <c r="H404">
        <f t="shared" ca="1" si="139"/>
        <v>9.6198449942960025</v>
      </c>
      <c r="I404">
        <f t="shared" ca="1" si="128"/>
        <v>11.1905</v>
      </c>
      <c r="J404">
        <f t="shared" ca="1" si="129"/>
        <v>0.18630690582448844</v>
      </c>
      <c r="K404">
        <f t="shared" ca="1" si="130"/>
        <v>11.563113811648977</v>
      </c>
      <c r="L404">
        <f t="shared" ca="1" si="131"/>
        <v>10.817886188351023</v>
      </c>
      <c r="M404">
        <f t="shared" ca="1" si="141"/>
        <v>-0.17999999999999972</v>
      </c>
      <c r="N404">
        <f t="shared" ca="1" si="142"/>
        <v>0</v>
      </c>
      <c r="O404">
        <f t="shared" ca="1" si="143"/>
        <v>0.17999999999999972</v>
      </c>
      <c r="P404">
        <f t="shared" ca="1" si="149"/>
        <v>7.5990120116888979E-2</v>
      </c>
      <c r="Q404">
        <f t="shared" ca="1" si="150"/>
        <v>7.7077183658189635E-2</v>
      </c>
      <c r="R404">
        <f t="shared" ca="1" si="147"/>
        <v>0.98589642888197104</v>
      </c>
      <c r="S404">
        <f t="shared" ca="1" si="148"/>
        <v>49.644906680103936</v>
      </c>
      <c r="T404">
        <f>70</f>
        <v>70</v>
      </c>
      <c r="U404">
        <f>30</f>
        <v>30</v>
      </c>
      <c r="V404">
        <f t="shared" ca="1" si="146"/>
        <v>11.171024238465778</v>
      </c>
      <c r="W404">
        <f t="shared" ca="1" si="133"/>
        <v>11.158746683861132</v>
      </c>
      <c r="X404">
        <f t="shared" ca="1" si="132"/>
        <v>1.7668166864581281E-2</v>
      </c>
      <c r="Y404">
        <f t="shared" ca="1" si="134"/>
        <v>2.5758953921893667E-2</v>
      </c>
      <c r="Z404">
        <f t="shared" ca="1" si="135"/>
        <v>-8.0907870573123861E-3</v>
      </c>
      <c r="AA404">
        <f t="shared" ca="1" si="136"/>
        <v>10.514300000000002</v>
      </c>
      <c r="AB404" s="18">
        <f t="shared" ca="1" si="144"/>
        <v>-1.590106007067138E-2</v>
      </c>
      <c r="AC404" s="18">
        <f t="shared" ca="1" si="145"/>
        <v>-1.6028838275898915E-2</v>
      </c>
      <c r="AD404" s="18">
        <f t="shared" ca="1" si="140"/>
        <v>-6.9153380794813146E-2</v>
      </c>
    </row>
    <row r="405" spans="1:30" x14ac:dyDescent="0.25">
      <c r="A405" vm="1094">
        <f ca="1"/>
        <v>45881</v>
      </c>
      <c r="B405" vm="1095">
        <f ca="1"/>
        <v>11.25</v>
      </c>
      <c r="C405" vm="1096">
        <f ca="1"/>
        <v>64021039</v>
      </c>
      <c r="D405">
        <f t="shared" ca="1" si="137"/>
        <v>720236688.75</v>
      </c>
      <c r="E405">
        <f ca="1">SUM($D$2:D405)/SUM($C$2:C405)</f>
        <v>10.728833262875582</v>
      </c>
      <c r="F405">
        <f ca="1">_xlfn.STDEV.P($B$2:B405)</f>
        <v>1.1065499112670061</v>
      </c>
      <c r="G405">
        <f t="shared" ca="1" si="138"/>
        <v>11.835383174142589</v>
      </c>
      <c r="H405">
        <f t="shared" ca="1" si="139"/>
        <v>9.6222833516085764</v>
      </c>
      <c r="I405">
        <f t="shared" ca="1" si="128"/>
        <v>11.1745</v>
      </c>
      <c r="J405">
        <f t="shared" ca="1" si="129"/>
        <v>0.16446004153945099</v>
      </c>
      <c r="K405">
        <f t="shared" ca="1" si="130"/>
        <v>11.503420083078902</v>
      </c>
      <c r="L405">
        <f t="shared" ca="1" si="131"/>
        <v>10.845579916921098</v>
      </c>
      <c r="M405">
        <f t="shared" ca="1" si="141"/>
        <v>0.10999999999999943</v>
      </c>
      <c r="N405">
        <f t="shared" ca="1" si="142"/>
        <v>0.10999999999999943</v>
      </c>
      <c r="O405">
        <f t="shared" ca="1" si="143"/>
        <v>0</v>
      </c>
      <c r="P405">
        <f t="shared" ca="1" si="149"/>
        <v>7.8419397251396877E-2</v>
      </c>
      <c r="Q405">
        <f t="shared" ca="1" si="150"/>
        <v>7.1571670539747528E-2</v>
      </c>
      <c r="R405">
        <f t="shared" ca="1" si="147"/>
        <v>1.0956764968598356</v>
      </c>
      <c r="S405">
        <f t="shared" ca="1" si="148"/>
        <v>52.282711501589041</v>
      </c>
      <c r="T405">
        <f>70</f>
        <v>70</v>
      </c>
      <c r="U405">
        <f>30</f>
        <v>30</v>
      </c>
      <c r="V405">
        <f t="shared" ca="1" si="146"/>
        <v>11.183174355624889</v>
      </c>
      <c r="W405">
        <f t="shared" ca="1" si="133"/>
        <v>11.165506188760308</v>
      </c>
      <c r="X405">
        <f t="shared" ca="1" si="132"/>
        <v>3.6846929554107177E-2</v>
      </c>
      <c r="Y405">
        <f t="shared" ca="1" si="134"/>
        <v>2.7976549048336369E-2</v>
      </c>
      <c r="Z405">
        <f t="shared" ca="1" si="135"/>
        <v>8.8703805057708078E-3</v>
      </c>
      <c r="AA405">
        <f t="shared" ca="1" si="136"/>
        <v>10.525100000000002</v>
      </c>
      <c r="AB405" s="18">
        <f t="shared" ca="1" si="144"/>
        <v>9.8743267504488585E-3</v>
      </c>
      <c r="AC405" s="18">
        <f t="shared" ca="1" si="145"/>
        <v>9.8258941512912E-3</v>
      </c>
      <c r="AD405" s="18">
        <f t="shared" ca="1" si="140"/>
        <v>-5.9961897122230434E-2</v>
      </c>
    </row>
    <row r="406" spans="1:30" x14ac:dyDescent="0.25">
      <c r="A406" vm="1097">
        <f ca="1"/>
        <v>45882</v>
      </c>
      <c r="B406" vm="1098">
        <f ca="1"/>
        <v>11.44</v>
      </c>
      <c r="C406" vm="1099">
        <f ca="1"/>
        <v>63823345</v>
      </c>
      <c r="D406">
        <f t="shared" ca="1" si="137"/>
        <v>730139066.79999995</v>
      </c>
      <c r="E406">
        <f ca="1">SUM($D$2:D406)/SUM($C$2:C406)</f>
        <v>10.730379165822795</v>
      </c>
      <c r="F406">
        <f ca="1">_xlfn.STDEV.P($B$2:B406)</f>
        <v>1.1054071359131736</v>
      </c>
      <c r="G406">
        <f t="shared" ca="1" si="138"/>
        <v>11.835786301735968</v>
      </c>
      <c r="H406">
        <f t="shared" ca="1" si="139"/>
        <v>9.6249720299096211</v>
      </c>
      <c r="I406">
        <f t="shared" ref="I406:I469" ca="1" si="151">AVERAGE(B387:B406)</f>
        <v>11.1845</v>
      </c>
      <c r="J406">
        <f t="shared" ref="J406:J469" ca="1" si="152">_xlfn.STDEV.S(B387:B406)</f>
        <v>0.17443065278665612</v>
      </c>
      <c r="K406">
        <f t="shared" ref="K406:K469" ca="1" si="153">I406 + 2*J406</f>
        <v>11.533361305573312</v>
      </c>
      <c r="L406">
        <f t="shared" ref="L406:L469" ca="1" si="154">I406-2*J406</f>
        <v>10.835638694426688</v>
      </c>
      <c r="M406">
        <f t="shared" ca="1" si="141"/>
        <v>0.1899999999999995</v>
      </c>
      <c r="N406">
        <f t="shared" ca="1" si="142"/>
        <v>0.1899999999999995</v>
      </c>
      <c r="O406">
        <f t="shared" ca="1" si="143"/>
        <v>0</v>
      </c>
      <c r="P406">
        <f t="shared" ca="1" si="149"/>
        <v>8.6389440304868489E-2</v>
      </c>
      <c r="Q406">
        <f t="shared" ca="1" si="150"/>
        <v>6.6459408358336997E-2</v>
      </c>
      <c r="R406">
        <f t="shared" ca="1" si="147"/>
        <v>1.2998827771543255</v>
      </c>
      <c r="S406">
        <f t="shared" ca="1" si="148"/>
        <v>56.519523084680309</v>
      </c>
      <c r="T406">
        <f>70</f>
        <v>70</v>
      </c>
      <c r="U406">
        <f>30</f>
        <v>30</v>
      </c>
      <c r="V406">
        <f t="shared" ca="1" si="146"/>
        <v>11.222685993221059</v>
      </c>
      <c r="W406">
        <f t="shared" ca="1" si="133"/>
        <v>11.185839063666952</v>
      </c>
      <c r="X406">
        <f t="shared" ca="1" si="132"/>
        <v>5.1453117649272073E-2</v>
      </c>
      <c r="Y406">
        <f t="shared" ca="1" si="134"/>
        <v>3.2671862768523512E-2</v>
      </c>
      <c r="Z406">
        <f t="shared" ca="1" si="135"/>
        <v>1.8781254880748562E-2</v>
      </c>
      <c r="AA406">
        <f t="shared" ca="1" si="136"/>
        <v>10.539400000000002</v>
      </c>
      <c r="AB406" s="18">
        <f t="shared" ca="1" si="144"/>
        <v>1.6888888888888953E-2</v>
      </c>
      <c r="AC406" s="18">
        <f t="shared" ca="1" si="145"/>
        <v>1.6747857301222763E-2</v>
      </c>
      <c r="AD406" s="18">
        <f t="shared" ca="1" si="140"/>
        <v>-4.4085698051405831E-2</v>
      </c>
    </row>
    <row r="407" spans="1:30" x14ac:dyDescent="0.25">
      <c r="A407" vm="1100">
        <f ca="1"/>
        <v>45883</v>
      </c>
      <c r="B407" vm="1098">
        <f ca="1"/>
        <v>11.44</v>
      </c>
      <c r="C407" vm="1101">
        <f ca="1"/>
        <v>52469244</v>
      </c>
      <c r="D407">
        <f t="shared" ca="1" si="137"/>
        <v>600248151.36000001</v>
      </c>
      <c r="E407">
        <f ca="1">SUM($D$2:D407)/SUM($C$2:C407)</f>
        <v>10.731645029621465</v>
      </c>
      <c r="F407">
        <f ca="1">_xlfn.STDEV.P($B$2:B407)</f>
        <v>1.1042677134557188</v>
      </c>
      <c r="G407">
        <f t="shared" ca="1" si="138"/>
        <v>11.835912743077184</v>
      </c>
      <c r="H407">
        <f t="shared" ca="1" si="139"/>
        <v>9.6273773161657452</v>
      </c>
      <c r="I407">
        <f t="shared" ca="1" si="151"/>
        <v>11.198999999999998</v>
      </c>
      <c r="J407">
        <f t="shared" ca="1" si="152"/>
        <v>0.1832427208290745</v>
      </c>
      <c r="K407">
        <f t="shared" ca="1" si="153"/>
        <v>11.565485441658147</v>
      </c>
      <c r="L407">
        <f t="shared" ca="1" si="154"/>
        <v>10.832514558341849</v>
      </c>
      <c r="M407">
        <f t="shared" ca="1" si="141"/>
        <v>0</v>
      </c>
      <c r="N407">
        <f t="shared" ca="1" si="142"/>
        <v>0</v>
      </c>
      <c r="O407">
        <f t="shared" ca="1" si="143"/>
        <v>0</v>
      </c>
      <c r="P407">
        <f t="shared" ca="1" si="149"/>
        <v>8.0218765997377886E-2</v>
      </c>
      <c r="Q407">
        <f t="shared" ca="1" si="150"/>
        <v>6.1712307761312923E-2</v>
      </c>
      <c r="R407">
        <f t="shared" ca="1" si="147"/>
        <v>1.2998827771543255</v>
      </c>
      <c r="S407">
        <f t="shared" ca="1" si="148"/>
        <v>56.519523084680309</v>
      </c>
      <c r="T407">
        <f>70</f>
        <v>70</v>
      </c>
      <c r="U407">
        <f>30</f>
        <v>30</v>
      </c>
      <c r="V407">
        <f t="shared" ca="1" si="146"/>
        <v>11.256118917340896</v>
      </c>
      <c r="W407">
        <f t="shared" ca="1" si="133"/>
        <v>11.204665799691623</v>
      </c>
      <c r="X407">
        <f t="shared" ca="1" si="132"/>
        <v>6.2310351995636282E-2</v>
      </c>
      <c r="Y407">
        <f t="shared" ca="1" si="134"/>
        <v>3.8599560613946066E-2</v>
      </c>
      <c r="Z407">
        <f t="shared" ca="1" si="135"/>
        <v>2.3710791381690216E-2</v>
      </c>
      <c r="AA407">
        <f t="shared" ca="1" si="136"/>
        <v>10.553800000000001</v>
      </c>
      <c r="AB407" s="18">
        <f t="shared" ca="1" si="144"/>
        <v>0</v>
      </c>
      <c r="AC407" s="18">
        <f t="shared" ca="1" si="145"/>
        <v>0</v>
      </c>
      <c r="AD407" s="18">
        <f t="shared" ca="1" si="140"/>
        <v>-4.4085698051405831E-2</v>
      </c>
    </row>
    <row r="408" spans="1:30" x14ac:dyDescent="0.25">
      <c r="A408" vm="1102">
        <f ca="1"/>
        <v>45884</v>
      </c>
      <c r="B408" vm="1098">
        <f ca="1"/>
        <v>11.44</v>
      </c>
      <c r="C408" vm="1103">
        <f ca="1"/>
        <v>46141355</v>
      </c>
      <c r="D408">
        <f t="shared" ca="1" si="137"/>
        <v>527857101.19999999</v>
      </c>
      <c r="E408">
        <f ca="1">SUM($D$2:D408)/SUM($C$2:C408)</f>
        <v>10.732754501634473</v>
      </c>
      <c r="F408">
        <f ca="1">_xlfn.STDEV.P($B$2:B408)</f>
        <v>1.1031316289344233</v>
      </c>
      <c r="G408">
        <f t="shared" ca="1" si="138"/>
        <v>11.835886130568896</v>
      </c>
      <c r="H408">
        <f t="shared" ca="1" si="139"/>
        <v>9.6296228727000486</v>
      </c>
      <c r="I408">
        <f t="shared" ca="1" si="151"/>
        <v>11.212999999999999</v>
      </c>
      <c r="J408">
        <f t="shared" ca="1" si="152"/>
        <v>0.19065261879300688</v>
      </c>
      <c r="K408">
        <f t="shared" ca="1" si="153"/>
        <v>11.594305237586013</v>
      </c>
      <c r="L408">
        <f t="shared" ca="1" si="154"/>
        <v>10.831694762413985</v>
      </c>
      <c r="M408">
        <f t="shared" ca="1" si="141"/>
        <v>0</v>
      </c>
      <c r="N408">
        <f t="shared" ca="1" si="142"/>
        <v>0</v>
      </c>
      <c r="O408">
        <f t="shared" ca="1" si="143"/>
        <v>0</v>
      </c>
      <c r="P408">
        <f t="shared" ca="1" si="149"/>
        <v>7.448885414042232E-2</v>
      </c>
      <c r="Q408">
        <f t="shared" ca="1" si="150"/>
        <v>5.7304285778361996E-2</v>
      </c>
      <c r="R408">
        <f t="shared" ca="1" si="147"/>
        <v>1.2998827771543258</v>
      </c>
      <c r="S408">
        <f t="shared" ca="1" si="148"/>
        <v>56.519523084680316</v>
      </c>
      <c r="T408">
        <f>70</f>
        <v>70</v>
      </c>
      <c r="U408">
        <f>30</f>
        <v>30</v>
      </c>
      <c r="V408">
        <f t="shared" ca="1" si="146"/>
        <v>11.284408314673065</v>
      </c>
      <c r="W408">
        <f t="shared" ca="1" si="133"/>
        <v>11.222097962677429</v>
      </c>
      <c r="X408">
        <f t="shared" ca="1" si="132"/>
        <v>7.1702084295544921E-2</v>
      </c>
      <c r="Y408">
        <f t="shared" ca="1" si="134"/>
        <v>4.5220065350265841E-2</v>
      </c>
      <c r="Z408">
        <f t="shared" ca="1" si="135"/>
        <v>2.648201894527908E-2</v>
      </c>
      <c r="AA408">
        <f t="shared" ca="1" si="136"/>
        <v>10.565700000000001</v>
      </c>
      <c r="AB408" s="18">
        <f t="shared" ca="1" si="144"/>
        <v>0</v>
      </c>
      <c r="AC408" s="18">
        <f t="shared" ca="1" si="145"/>
        <v>0</v>
      </c>
      <c r="AD408" s="18">
        <f t="shared" ca="1" si="140"/>
        <v>-4.4085698051405831E-2</v>
      </c>
    </row>
    <row r="409" spans="1:30" x14ac:dyDescent="0.25">
      <c r="A409" vm="1104">
        <f ca="1"/>
        <v>45887</v>
      </c>
      <c r="B409" vm="1105">
        <f ca="1"/>
        <v>11.46</v>
      </c>
      <c r="C409" vm="1106">
        <f ca="1"/>
        <v>37113805</v>
      </c>
      <c r="D409">
        <f t="shared" ca="1" si="137"/>
        <v>425324205.30000001</v>
      </c>
      <c r="E409">
        <f ca="1">SUM($D$2:D409)/SUM($C$2:C409)</f>
        <v>10.733669551568331</v>
      </c>
      <c r="F409">
        <f ca="1">_xlfn.STDEV.P($B$2:B409)</f>
        <v>1.1020190682764546</v>
      </c>
      <c r="G409">
        <f t="shared" ca="1" si="138"/>
        <v>11.835688619844786</v>
      </c>
      <c r="H409">
        <f t="shared" ca="1" si="139"/>
        <v>9.6316504832918763</v>
      </c>
      <c r="I409">
        <f t="shared" ca="1" si="151"/>
        <v>11.220499999999999</v>
      </c>
      <c r="J409">
        <f t="shared" ca="1" si="152"/>
        <v>0.1974968354176847</v>
      </c>
      <c r="K409">
        <f t="shared" ca="1" si="153"/>
        <v>11.615493670835368</v>
      </c>
      <c r="L409">
        <f t="shared" ca="1" si="154"/>
        <v>10.825506329164631</v>
      </c>
      <c r="M409">
        <f t="shared" ca="1" si="141"/>
        <v>2.000000000000135E-2</v>
      </c>
      <c r="N409">
        <f t="shared" ca="1" si="142"/>
        <v>2.000000000000135E-2</v>
      </c>
      <c r="O409">
        <f t="shared" ca="1" si="143"/>
        <v>0</v>
      </c>
      <c r="P409">
        <f t="shared" ca="1" si="149"/>
        <v>7.0596793130392257E-2</v>
      </c>
      <c r="Q409">
        <f t="shared" ca="1" si="150"/>
        <v>5.3211122508478995E-2</v>
      </c>
      <c r="R409">
        <f t="shared" ca="1" si="147"/>
        <v>1.3267300106127797</v>
      </c>
      <c r="S409">
        <f t="shared" ca="1" si="148"/>
        <v>57.02122741191468</v>
      </c>
      <c r="T409">
        <f>70</f>
        <v>70</v>
      </c>
      <c r="U409">
        <f>30</f>
        <v>30</v>
      </c>
      <c r="V409">
        <f t="shared" ca="1" si="146"/>
        <v>11.311422420107979</v>
      </c>
      <c r="W409">
        <f t="shared" ca="1" si="133"/>
        <v>11.239720335812434</v>
      </c>
      <c r="X409">
        <f t="shared" ca="1" si="132"/>
        <v>8.7815810920311321E-2</v>
      </c>
      <c r="Y409">
        <f t="shared" ca="1" si="134"/>
        <v>5.3739214464274938E-2</v>
      </c>
      <c r="Z409">
        <f t="shared" ca="1" si="135"/>
        <v>3.4076596456036383E-2</v>
      </c>
      <c r="AA409">
        <f t="shared" ca="1" si="136"/>
        <v>10.577400000000003</v>
      </c>
      <c r="AB409" s="18">
        <f t="shared" ca="1" si="144"/>
        <v>1.7482517482518833E-3</v>
      </c>
      <c r="AC409" s="18">
        <f t="shared" ca="1" si="145"/>
        <v>1.7467253349418002E-3</v>
      </c>
      <c r="AD409" s="18">
        <f t="shared" ca="1" si="140"/>
        <v>-4.2414519201845247E-2</v>
      </c>
    </row>
    <row r="410" spans="1:30" x14ac:dyDescent="0.25">
      <c r="A410" vm="1107">
        <f ca="1"/>
        <v>45888</v>
      </c>
      <c r="B410" vm="1108">
        <f ca="1"/>
        <v>11.58</v>
      </c>
      <c r="C410" vm="1109">
        <f ca="1"/>
        <v>58020177</v>
      </c>
      <c r="D410">
        <f t="shared" ca="1" si="137"/>
        <v>671873649.65999997</v>
      </c>
      <c r="E410">
        <f ca="1">SUM($D$2:D410)/SUM($C$2:C410)</f>
        <v>10.735331026763303</v>
      </c>
      <c r="F410">
        <f ca="1">_xlfn.STDEV.P($B$2:B410)</f>
        <v>1.1010489872035443</v>
      </c>
      <c r="G410">
        <f t="shared" ca="1" si="138"/>
        <v>11.836380013966847</v>
      </c>
      <c r="H410">
        <f t="shared" ca="1" si="139"/>
        <v>9.6342820395597588</v>
      </c>
      <c r="I410">
        <f t="shared" ca="1" si="151"/>
        <v>11.24</v>
      </c>
      <c r="J410">
        <f t="shared" ca="1" si="152"/>
        <v>0.21297392971169529</v>
      </c>
      <c r="K410">
        <f t="shared" ca="1" si="153"/>
        <v>11.66594785942339</v>
      </c>
      <c r="L410">
        <f t="shared" ca="1" si="154"/>
        <v>10.81405214057661</v>
      </c>
      <c r="M410">
        <f t="shared" ca="1" si="141"/>
        <v>0.11999999999999922</v>
      </c>
      <c r="N410">
        <f t="shared" ca="1" si="142"/>
        <v>0.11999999999999922</v>
      </c>
      <c r="O410">
        <f t="shared" ca="1" si="143"/>
        <v>0</v>
      </c>
      <c r="P410">
        <f t="shared" ca="1" si="149"/>
        <v>7.4125593621078484E-2</v>
      </c>
      <c r="Q410">
        <f t="shared" ca="1" si="150"/>
        <v>4.9410328043587637E-2</v>
      </c>
      <c r="R410">
        <f t="shared" ca="1" si="147"/>
        <v>1.5002044421904692</v>
      </c>
      <c r="S410">
        <f t="shared" ca="1" si="148"/>
        <v>60.003270807571084</v>
      </c>
      <c r="T410">
        <f>70</f>
        <v>70</v>
      </c>
      <c r="U410">
        <f>30</f>
        <v>30</v>
      </c>
      <c r="V410">
        <f t="shared" ca="1" si="146"/>
        <v>11.352742047783675</v>
      </c>
      <c r="W410">
        <f t="shared" ca="1" si="133"/>
        <v>11.264926236863364</v>
      </c>
      <c r="X410">
        <f t="shared" ca="1" si="132"/>
        <v>9.2260288350876962E-2</v>
      </c>
      <c r="Y410">
        <f t="shared" ca="1" si="134"/>
        <v>6.1443429241595349E-2</v>
      </c>
      <c r="Z410">
        <f t="shared" ca="1" si="135"/>
        <v>3.0816859109281614E-2</v>
      </c>
      <c r="AA410">
        <f t="shared" ca="1" si="136"/>
        <v>10.590200000000003</v>
      </c>
      <c r="AB410" s="18">
        <f t="shared" ca="1" si="144"/>
        <v>1.0471204188481575E-2</v>
      </c>
      <c r="AC410" s="18">
        <f t="shared" ca="1" si="145"/>
        <v>1.041676085825558E-2</v>
      </c>
      <c r="AD410" s="18">
        <f t="shared" ca="1" si="140"/>
        <v>-3.238744610448252E-2</v>
      </c>
    </row>
    <row r="411" spans="1:30" x14ac:dyDescent="0.25">
      <c r="A411" vm="1110">
        <f ca="1"/>
        <v>45889</v>
      </c>
      <c r="B411" vm="1111">
        <f ca="1"/>
        <v>11.49</v>
      </c>
      <c r="C411" vm="1112">
        <f ca="1"/>
        <v>46469853</v>
      </c>
      <c r="D411">
        <f t="shared" ca="1" si="137"/>
        <v>533938610.97000003</v>
      </c>
      <c r="E411">
        <f ca="1">SUM($D$2:D411)/SUM($C$2:C411)</f>
        <v>10.736515759308096</v>
      </c>
      <c r="F411">
        <f ca="1">_xlfn.STDEV.P($B$2:B411)</f>
        <v>1.099973915080934</v>
      </c>
      <c r="G411">
        <f t="shared" ca="1" si="138"/>
        <v>11.83648967438903</v>
      </c>
      <c r="H411">
        <f t="shared" ca="1" si="139"/>
        <v>9.6365418442271622</v>
      </c>
      <c r="I411">
        <f t="shared" ca="1" si="151"/>
        <v>11.245500000000002</v>
      </c>
      <c r="J411">
        <f t="shared" ca="1" si="152"/>
        <v>0.218137450632442</v>
      </c>
      <c r="K411">
        <f t="shared" ca="1" si="153"/>
        <v>11.681774901264886</v>
      </c>
      <c r="L411">
        <f t="shared" ca="1" si="154"/>
        <v>10.809225098735117</v>
      </c>
      <c r="M411">
        <f t="shared" ca="1" si="141"/>
        <v>-8.9999999999999858E-2</v>
      </c>
      <c r="N411">
        <f t="shared" ca="1" si="142"/>
        <v>0</v>
      </c>
      <c r="O411">
        <f t="shared" ca="1" si="143"/>
        <v>8.9999999999999858E-2</v>
      </c>
      <c r="P411">
        <f t="shared" ca="1" si="149"/>
        <v>6.8830908362430027E-2</v>
      </c>
      <c r="Q411">
        <f t="shared" ca="1" si="150"/>
        <v>5.2309590326188503E-2</v>
      </c>
      <c r="R411">
        <f t="shared" ca="1" si="147"/>
        <v>1.3158372668036404</v>
      </c>
      <c r="S411">
        <f t="shared" ca="1" si="148"/>
        <v>56.819072983473596</v>
      </c>
      <c r="T411">
        <f>70</f>
        <v>70</v>
      </c>
      <c r="U411">
        <f>30</f>
        <v>30</v>
      </c>
      <c r="V411">
        <f t="shared" ca="1" si="146"/>
        <v>11.373858655816955</v>
      </c>
      <c r="W411">
        <f t="shared" ca="1" si="133"/>
        <v>11.281598367466078</v>
      </c>
      <c r="X411">
        <f t="shared" ca="1" si="132"/>
        <v>8.1927496726951432E-2</v>
      </c>
      <c r="Y411">
        <f t="shared" ca="1" si="134"/>
        <v>6.5540242738666571E-2</v>
      </c>
      <c r="Z411">
        <f t="shared" ca="1" si="135"/>
        <v>1.6387253988284861E-2</v>
      </c>
      <c r="AA411">
        <f t="shared" ca="1" si="136"/>
        <v>10.606100000000001</v>
      </c>
      <c r="AB411" s="18">
        <f t="shared" ca="1" si="144"/>
        <v>-7.7720207253886286E-3</v>
      </c>
      <c r="AC411" s="18">
        <f t="shared" ca="1" si="145"/>
        <v>-7.802380284184899E-3</v>
      </c>
      <c r="AD411" s="18">
        <f t="shared" ca="1" si="140"/>
        <v>-3.9907750927504648E-2</v>
      </c>
    </row>
    <row r="412" spans="1:30" x14ac:dyDescent="0.25">
      <c r="A412" vm="1113">
        <f ca="1"/>
        <v>45890</v>
      </c>
      <c r="B412" vm="1114">
        <f ca="1"/>
        <v>11.33</v>
      </c>
      <c r="C412" vm="1115">
        <f ca="1"/>
        <v>51779301</v>
      </c>
      <c r="D412">
        <f t="shared" ca="1" si="137"/>
        <v>586659480.33000004</v>
      </c>
      <c r="E412">
        <f ca="1">SUM($D$2:D412)/SUM($C$2:C412)</f>
        <v>10.737552091237763</v>
      </c>
      <c r="F412">
        <f ca="1">_xlfn.STDEV.P($B$2:B412)</f>
        <v>1.0987563010795585</v>
      </c>
      <c r="G412">
        <f t="shared" ca="1" si="138"/>
        <v>11.836308392317321</v>
      </c>
      <c r="H412">
        <f t="shared" ca="1" si="139"/>
        <v>9.6387957901582055</v>
      </c>
      <c r="I412">
        <f t="shared" ca="1" si="151"/>
        <v>11.249000000000002</v>
      </c>
      <c r="J412">
        <f t="shared" ca="1" si="152"/>
        <v>0.21894243415492626</v>
      </c>
      <c r="K412">
        <f t="shared" ca="1" si="153"/>
        <v>11.686884868309855</v>
      </c>
      <c r="L412">
        <f t="shared" ca="1" si="154"/>
        <v>10.811115131690149</v>
      </c>
      <c r="M412">
        <f t="shared" ca="1" si="141"/>
        <v>-0.16000000000000014</v>
      </c>
      <c r="N412">
        <f t="shared" ca="1" si="142"/>
        <v>0</v>
      </c>
      <c r="O412">
        <f t="shared" ca="1" si="143"/>
        <v>0.16000000000000014</v>
      </c>
      <c r="P412">
        <f t="shared" ca="1" si="149"/>
        <v>6.3914414907970743E-2</v>
      </c>
      <c r="Q412">
        <f t="shared" ca="1" si="150"/>
        <v>6.0001762445746475E-2</v>
      </c>
      <c r="R412">
        <f t="shared" ca="1" si="147"/>
        <v>1.0652089589161999</v>
      </c>
      <c r="S412">
        <f t="shared" ca="1" si="148"/>
        <v>51.578749661981441</v>
      </c>
      <c r="T412">
        <f>70</f>
        <v>70</v>
      </c>
      <c r="U412">
        <f>30</f>
        <v>30</v>
      </c>
      <c r="V412">
        <f t="shared" ca="1" si="146"/>
        <v>11.367111170306654</v>
      </c>
      <c r="W412">
        <f t="shared" ca="1" si="133"/>
        <v>11.285183673579702</v>
      </c>
      <c r="X412">
        <f t="shared" ref="X412:X475" ca="1" si="155">V413-W413</f>
        <v>0.10560491073410994</v>
      </c>
      <c r="Y412">
        <f t="shared" ca="1" si="134"/>
        <v>7.3553176337755238E-2</v>
      </c>
      <c r="Z412">
        <f t="shared" ca="1" si="135"/>
        <v>3.2051734396354697E-2</v>
      </c>
      <c r="AA412">
        <f t="shared" ca="1" si="136"/>
        <v>10.622199999999999</v>
      </c>
      <c r="AB412" s="18">
        <f t="shared" ca="1" si="144"/>
        <v>-1.3925152306353383E-2</v>
      </c>
      <c r="AC412" s="18">
        <f t="shared" ca="1" si="145"/>
        <v>-1.40230168207494E-2</v>
      </c>
      <c r="AD412" s="18">
        <f t="shared" ca="1" si="140"/>
        <v>-5.3277181723988543E-2</v>
      </c>
    </row>
    <row r="413" spans="1:30" x14ac:dyDescent="0.25">
      <c r="A413" vm="1116">
        <f ca="1"/>
        <v>45891</v>
      </c>
      <c r="B413" vm="1117">
        <f ca="1"/>
        <v>11.74</v>
      </c>
      <c r="C413" vm="1118">
        <f ca="1"/>
        <v>58538704</v>
      </c>
      <c r="D413">
        <f t="shared" ca="1" si="137"/>
        <v>687244384.96000004</v>
      </c>
      <c r="E413">
        <f ca="1">SUM($D$2:D413)/SUM($C$2:C413)</f>
        <v>10.739527158596694</v>
      </c>
      <c r="F413">
        <f ca="1">_xlfn.STDEV.P($B$2:B413)</f>
        <v>1.0980270794209737</v>
      </c>
      <c r="G413">
        <f t="shared" ca="1" si="138"/>
        <v>11.837554238017667</v>
      </c>
      <c r="H413">
        <f t="shared" ca="1" si="139"/>
        <v>9.6415000791757208</v>
      </c>
      <c r="I413">
        <f t="shared" ca="1" si="151"/>
        <v>11.262500000000001</v>
      </c>
      <c r="J413">
        <f t="shared" ca="1" si="152"/>
        <v>0.24054488584308578</v>
      </c>
      <c r="K413">
        <f t="shared" ca="1" si="153"/>
        <v>11.743589771686173</v>
      </c>
      <c r="L413">
        <f t="shared" ca="1" si="154"/>
        <v>10.781410228313829</v>
      </c>
      <c r="M413">
        <f t="shared" ca="1" si="141"/>
        <v>0.41000000000000014</v>
      </c>
      <c r="N413">
        <f t="shared" ca="1" si="142"/>
        <v>0.41000000000000014</v>
      </c>
      <c r="O413">
        <f t="shared" ca="1" si="143"/>
        <v>0</v>
      </c>
      <c r="P413">
        <f t="shared" ca="1" si="149"/>
        <v>8.8634813843115695E-2</v>
      </c>
      <c r="Q413">
        <f t="shared" ca="1" si="150"/>
        <v>5.5715922271050301E-2</v>
      </c>
      <c r="R413">
        <f t="shared" ca="1" si="147"/>
        <v>1.5908345447809247</v>
      </c>
      <c r="S413">
        <f t="shared" ca="1" si="148"/>
        <v>61.402398234405283</v>
      </c>
      <c r="T413">
        <f>70</f>
        <v>70</v>
      </c>
      <c r="U413">
        <f>30</f>
        <v>30</v>
      </c>
      <c r="V413">
        <f t="shared" ca="1" si="146"/>
        <v>11.424478682567168</v>
      </c>
      <c r="W413">
        <f t="shared" ref="W413:W476" ca="1" si="156">B413*(2/(26+1)) + W412*(1-(2/(26+1)))</f>
        <v>11.318873771833058</v>
      </c>
      <c r="X413">
        <f t="shared" ca="1" si="155"/>
        <v>0.12933388283961555</v>
      </c>
      <c r="Y413">
        <f t="shared" ca="1" si="134"/>
        <v>8.4709317638127307E-2</v>
      </c>
      <c r="Z413">
        <f t="shared" ca="1" si="135"/>
        <v>4.4624565201488248E-2</v>
      </c>
      <c r="AA413">
        <f t="shared" ca="1" si="136"/>
        <v>10.639300000000002</v>
      </c>
      <c r="AB413" s="18">
        <f t="shared" ca="1" si="144"/>
        <v>3.6187113857016673E-2</v>
      </c>
      <c r="AC413" s="18">
        <f t="shared" ca="1" si="145"/>
        <v>3.5547739360035351E-2</v>
      </c>
      <c r="AD413" s="18">
        <f t="shared" ca="1" si="140"/>
        <v>-1.9018015307998848E-2</v>
      </c>
    </row>
    <row r="414" spans="1:30" x14ac:dyDescent="0.25">
      <c r="A414" vm="1119">
        <f ca="1"/>
        <v>45894</v>
      </c>
      <c r="B414" vm="1120">
        <f ca="1"/>
        <v>11.82</v>
      </c>
      <c r="C414" vm="1121">
        <f ca="1"/>
        <v>45038754</v>
      </c>
      <c r="D414">
        <f t="shared" ca="1" si="137"/>
        <v>532358072.28000003</v>
      </c>
      <c r="E414">
        <f ca="1">SUM($D$2:D414)/SUM($C$2:C414)</f>
        <v>10.741162541219772</v>
      </c>
      <c r="F414">
        <f ca="1">_xlfn.STDEV.P($B$2:B414)</f>
        <v>1.097435136437755</v>
      </c>
      <c r="G414">
        <f t="shared" ca="1" si="138"/>
        <v>11.838597677657527</v>
      </c>
      <c r="H414">
        <f t="shared" ca="1" si="139"/>
        <v>9.6437274047820178</v>
      </c>
      <c r="I414">
        <f t="shared" ca="1" si="151"/>
        <v>11.289500000000002</v>
      </c>
      <c r="J414">
        <f t="shared" ca="1" si="152"/>
        <v>0.27099184295356282</v>
      </c>
      <c r="K414">
        <f t="shared" ca="1" si="153"/>
        <v>11.831483685907127</v>
      </c>
      <c r="L414">
        <f t="shared" ca="1" si="154"/>
        <v>10.747516314092877</v>
      </c>
      <c r="M414">
        <f t="shared" ca="1" si="141"/>
        <v>8.0000000000000071E-2</v>
      </c>
      <c r="N414">
        <f t="shared" ca="1" si="142"/>
        <v>8.0000000000000071E-2</v>
      </c>
      <c r="O414">
        <f t="shared" ca="1" si="143"/>
        <v>0</v>
      </c>
      <c r="P414">
        <f t="shared" ca="1" si="149"/>
        <v>8.8018041425750301E-2</v>
      </c>
      <c r="Q414">
        <f t="shared" ca="1" si="150"/>
        <v>5.1736213537403854E-2</v>
      </c>
      <c r="R414">
        <f t="shared" ca="1" si="147"/>
        <v>1.7012849493153512</v>
      </c>
      <c r="S414">
        <f t="shared" ca="1" si="148"/>
        <v>62.98058076940557</v>
      </c>
      <c r="T414">
        <f>70</f>
        <v>70</v>
      </c>
      <c r="U414">
        <f>30</f>
        <v>30</v>
      </c>
      <c r="V414">
        <f t="shared" ca="1" si="146"/>
        <v>11.485328116018373</v>
      </c>
      <c r="W414">
        <f t="shared" ca="1" si="156"/>
        <v>11.355994233178757</v>
      </c>
      <c r="X414">
        <f t="shared" ca="1" si="155"/>
        <v>0.1480465090437626</v>
      </c>
      <c r="Y414">
        <f t="shared" ca="1" si="134"/>
        <v>9.7376755919254376E-2</v>
      </c>
      <c r="Z414">
        <f t="shared" ca="1" si="135"/>
        <v>5.0669753124508221E-2</v>
      </c>
      <c r="AA414">
        <f t="shared" ca="1" si="136"/>
        <v>10.658100000000001</v>
      </c>
      <c r="AB414" s="18">
        <f t="shared" ca="1" si="144"/>
        <v>6.8143100511073307E-3</v>
      </c>
      <c r="AC414" s="18">
        <f t="shared" ca="1" si="145"/>
        <v>6.7911975780017555E-3</v>
      </c>
      <c r="AD414" s="18">
        <f t="shared" ca="1" si="140"/>
        <v>-1.2333299909756956E-2</v>
      </c>
    </row>
    <row r="415" spans="1:30" x14ac:dyDescent="0.25">
      <c r="A415" vm="1122">
        <f ca="1"/>
        <v>45895</v>
      </c>
      <c r="B415" vm="1123">
        <f ca="1"/>
        <v>11.84</v>
      </c>
      <c r="C415" vm="1124">
        <f ca="1"/>
        <v>48613273</v>
      </c>
      <c r="D415">
        <f t="shared" ca="1" si="137"/>
        <v>575581152.32000005</v>
      </c>
      <c r="E415">
        <f ca="1">SUM($D$2:D415)/SUM($C$2:C415)</f>
        <v>10.742954791032266</v>
      </c>
      <c r="F415">
        <f ca="1">_xlfn.STDEV.P($B$2:B415)</f>
        <v>1.0968785086657589</v>
      </c>
      <c r="G415">
        <f t="shared" ca="1" si="138"/>
        <v>11.839833299698025</v>
      </c>
      <c r="H415">
        <f t="shared" ca="1" si="139"/>
        <v>9.6460762823665078</v>
      </c>
      <c r="I415">
        <f t="shared" ca="1" si="151"/>
        <v>11.327500000000002</v>
      </c>
      <c r="J415">
        <f t="shared" ca="1" si="152"/>
        <v>0.29250056230265342</v>
      </c>
      <c r="K415">
        <f t="shared" ca="1" si="153"/>
        <v>11.91250112460531</v>
      </c>
      <c r="L415">
        <f t="shared" ca="1" si="154"/>
        <v>10.742498875394695</v>
      </c>
      <c r="M415">
        <f t="shared" ca="1" si="141"/>
        <v>1.9999999999999574E-2</v>
      </c>
      <c r="N415">
        <f t="shared" ca="1" si="142"/>
        <v>1.9999999999999574E-2</v>
      </c>
      <c r="O415">
        <f t="shared" ca="1" si="143"/>
        <v>0</v>
      </c>
      <c r="P415">
        <f t="shared" ca="1" si="149"/>
        <v>8.3159609895339534E-2</v>
      </c>
      <c r="Q415">
        <f t="shared" ca="1" si="150"/>
        <v>4.804076971330358E-2</v>
      </c>
      <c r="R415">
        <f t="shared" ca="1" si="147"/>
        <v>1.7310215966900038</v>
      </c>
      <c r="S415">
        <f t="shared" ca="1" si="148"/>
        <v>63.383665613922666</v>
      </c>
      <c r="T415">
        <f>70</f>
        <v>70</v>
      </c>
      <c r="U415">
        <f>30</f>
        <v>30</v>
      </c>
      <c r="V415">
        <f t="shared" ca="1" si="146"/>
        <v>11.539893021246314</v>
      </c>
      <c r="W415">
        <f t="shared" ca="1" si="156"/>
        <v>11.391846512202552</v>
      </c>
      <c r="X415">
        <f t="shared" ca="1" si="155"/>
        <v>0.16660430439979024</v>
      </c>
      <c r="Y415">
        <f t="shared" ca="1" si="134"/>
        <v>0.11122226561536155</v>
      </c>
      <c r="Z415">
        <f t="shared" ca="1" si="135"/>
        <v>5.5382038784428683E-2</v>
      </c>
      <c r="AA415">
        <f t="shared" ca="1" si="136"/>
        <v>10.675000000000002</v>
      </c>
      <c r="AB415" s="18">
        <f t="shared" ca="1" si="144"/>
        <v>1.6920473773265332E-3</v>
      </c>
      <c r="AC415" s="18">
        <f t="shared" ca="1" si="145"/>
        <v>1.6906174779074521E-3</v>
      </c>
      <c r="AD415" s="18">
        <f t="shared" ca="1" si="140"/>
        <v>-1.0662121060196483E-2</v>
      </c>
    </row>
    <row r="416" spans="1:30" x14ac:dyDescent="0.25">
      <c r="A416" vm="1125">
        <f ca="1"/>
        <v>45896</v>
      </c>
      <c r="B416" vm="1027">
        <f ca="1"/>
        <v>11.91</v>
      </c>
      <c r="C416" vm="1126">
        <f ca="1"/>
        <v>40381477</v>
      </c>
      <c r="D416">
        <f t="shared" ca="1" si="137"/>
        <v>480943391.06999999</v>
      </c>
      <c r="E416">
        <f ca="1">SUM($D$2:D416)/SUM($C$2:C416)</f>
        <v>10.744533827275355</v>
      </c>
      <c r="F416">
        <f ca="1">_xlfn.STDEV.P($B$2:B416)</f>
        <v>1.0964540860683201</v>
      </c>
      <c r="G416">
        <f t="shared" ca="1" si="138"/>
        <v>11.840987913343675</v>
      </c>
      <c r="H416">
        <f t="shared" ca="1" si="139"/>
        <v>9.6480797412070345</v>
      </c>
      <c r="I416">
        <f t="shared" ca="1" si="151"/>
        <v>11.379500000000004</v>
      </c>
      <c r="J416">
        <f t="shared" ca="1" si="152"/>
        <v>0.29925301739673837</v>
      </c>
      <c r="K416">
        <f t="shared" ca="1" si="153"/>
        <v>11.978006034793481</v>
      </c>
      <c r="L416">
        <f t="shared" ca="1" si="154"/>
        <v>10.780993965206527</v>
      </c>
      <c r="M416">
        <f t="shared" ca="1" si="141"/>
        <v>7.0000000000000284E-2</v>
      </c>
      <c r="N416">
        <f t="shared" ca="1" si="142"/>
        <v>7.0000000000000284E-2</v>
      </c>
      <c r="O416">
        <f t="shared" ca="1" si="143"/>
        <v>0</v>
      </c>
      <c r="P416">
        <f t="shared" ca="1" si="149"/>
        <v>8.221963775995815E-2</v>
      </c>
      <c r="Q416">
        <f t="shared" ca="1" si="150"/>
        <v>4.4609286162353323E-2</v>
      </c>
      <c r="R416">
        <f t="shared" ca="1" si="147"/>
        <v>1.8431058829483122</v>
      </c>
      <c r="S416">
        <f t="shared" ca="1" si="148"/>
        <v>64.827198100585832</v>
      </c>
      <c r="T416">
        <f>70</f>
        <v>70</v>
      </c>
      <c r="U416">
        <f>30</f>
        <v>30</v>
      </c>
      <c r="V416">
        <f t="shared" ca="1" si="146"/>
        <v>11.596832556439189</v>
      </c>
      <c r="W416">
        <f t="shared" ca="1" si="156"/>
        <v>11.430228252039399</v>
      </c>
      <c r="X416">
        <f t="shared" ca="1" si="155"/>
        <v>0.16329084714995545</v>
      </c>
      <c r="Y416">
        <f t="shared" ca="1" si="134"/>
        <v>0.12163598192228034</v>
      </c>
      <c r="Z416">
        <f t="shared" ca="1" si="135"/>
        <v>4.1654865227675114E-2</v>
      </c>
      <c r="AA416">
        <f t="shared" ca="1" si="136"/>
        <v>10.698700000000004</v>
      </c>
      <c r="AB416" s="18">
        <f t="shared" ca="1" si="144"/>
        <v>5.9121621621622822E-3</v>
      </c>
      <c r="AC416" s="18">
        <f t="shared" ca="1" si="145"/>
        <v>5.8947539113492322E-3</v>
      </c>
      <c r="AD416" s="18">
        <f t="shared" ca="1" si="140"/>
        <v>-4.8129950867347171E-3</v>
      </c>
    </row>
    <row r="417" spans="1:30" x14ac:dyDescent="0.25">
      <c r="A417" vm="1127">
        <f ca="1"/>
        <v>45897</v>
      </c>
      <c r="B417" vm="1128">
        <f ca="1"/>
        <v>11.71</v>
      </c>
      <c r="C417" vm="1129">
        <f ca="1"/>
        <v>47723668</v>
      </c>
      <c r="D417">
        <f t="shared" ca="1" si="137"/>
        <v>558844152.28000009</v>
      </c>
      <c r="E417">
        <f ca="1">SUM($D$2:D417)/SUM($C$2:C417)</f>
        <v>10.746075169946927</v>
      </c>
      <c r="F417">
        <f ca="1">_xlfn.STDEV.P($B$2:B417)</f>
        <v>1.0956759264008147</v>
      </c>
      <c r="G417">
        <f t="shared" ca="1" si="138"/>
        <v>11.841751096347743</v>
      </c>
      <c r="H417">
        <f t="shared" ca="1" si="139"/>
        <v>9.6503992435461114</v>
      </c>
      <c r="I417">
        <f t="shared" ca="1" si="151"/>
        <v>11.411500000000002</v>
      </c>
      <c r="J417">
        <f t="shared" ca="1" si="152"/>
        <v>0.29863329034999292</v>
      </c>
      <c r="K417">
        <f t="shared" ca="1" si="153"/>
        <v>12.008766580699987</v>
      </c>
      <c r="L417">
        <f t="shared" ca="1" si="154"/>
        <v>10.814233419300017</v>
      </c>
      <c r="M417">
        <f t="shared" ca="1" si="141"/>
        <v>-0.19999999999999929</v>
      </c>
      <c r="N417">
        <f t="shared" ca="1" si="142"/>
        <v>0</v>
      </c>
      <c r="O417">
        <f t="shared" ca="1" si="143"/>
        <v>0.19999999999999929</v>
      </c>
      <c r="P417">
        <f t="shared" ca="1" si="149"/>
        <v>7.634680649138971E-2</v>
      </c>
      <c r="Q417">
        <f t="shared" ca="1" si="150"/>
        <v>5.5708622865042315E-2</v>
      </c>
      <c r="R417">
        <f t="shared" ca="1" si="147"/>
        <v>1.370466591434951</v>
      </c>
      <c r="S417">
        <f t="shared" ca="1" si="148"/>
        <v>57.814212458710308</v>
      </c>
      <c r="T417">
        <f>70</f>
        <v>70</v>
      </c>
      <c r="U417">
        <f>30</f>
        <v>30</v>
      </c>
      <c r="V417">
        <f t="shared" ca="1" si="146"/>
        <v>11.614242932371621</v>
      </c>
      <c r="W417">
        <f t="shared" ca="1" si="156"/>
        <v>11.450952085221665</v>
      </c>
      <c r="X417">
        <f t="shared" ca="1" si="155"/>
        <v>0.16362029406646705</v>
      </c>
      <c r="Y417">
        <f t="shared" ca="1" si="134"/>
        <v>0.1300328443511177</v>
      </c>
      <c r="Z417">
        <f t="shared" ca="1" si="135"/>
        <v>3.3587449715349355E-2</v>
      </c>
      <c r="AA417">
        <f t="shared" ca="1" si="136"/>
        <v>10.720000000000004</v>
      </c>
      <c r="AB417" s="18">
        <f t="shared" ca="1" si="144"/>
        <v>-1.6792611251049472E-2</v>
      </c>
      <c r="AC417" s="18">
        <f t="shared" ca="1" si="145"/>
        <v>-1.6935205757582696E-2</v>
      </c>
      <c r="AD417" s="18">
        <f t="shared" ca="1" si="140"/>
        <v>-2.1524783582339446E-2</v>
      </c>
    </row>
    <row r="418" spans="1:30" x14ac:dyDescent="0.25">
      <c r="A418" vm="1130">
        <f ca="1"/>
        <v>45898</v>
      </c>
      <c r="B418" vm="1012">
        <f ca="1"/>
        <v>11.77</v>
      </c>
      <c r="C418" vm="1131">
        <f ca="1"/>
        <v>44069734</v>
      </c>
      <c r="D418">
        <f t="shared" ca="1" si="137"/>
        <v>518700769.18000001</v>
      </c>
      <c r="E418">
        <f ca="1">SUM($D$2:D418)/SUM($C$2:C418)</f>
        <v>10.747582460733268</v>
      </c>
      <c r="F418">
        <f ca="1">_xlfn.STDEV.P($B$2:B418)</f>
        <v>1.0949941918358979</v>
      </c>
      <c r="G418">
        <f t="shared" ca="1" si="138"/>
        <v>11.842576652569166</v>
      </c>
      <c r="H418">
        <f t="shared" ca="1" si="139"/>
        <v>9.6525882688973699</v>
      </c>
      <c r="I418">
        <f t="shared" ca="1" si="151"/>
        <v>11.459000000000003</v>
      </c>
      <c r="J418">
        <f t="shared" ca="1" si="152"/>
        <v>0.27414748239818504</v>
      </c>
      <c r="K418">
        <f t="shared" ca="1" si="153"/>
        <v>12.007294964796372</v>
      </c>
      <c r="L418">
        <f t="shared" ca="1" si="154"/>
        <v>10.910705035203634</v>
      </c>
      <c r="M418">
        <f t="shared" ca="1" si="141"/>
        <v>5.9999999999998721E-2</v>
      </c>
      <c r="N418">
        <f t="shared" ca="1" si="142"/>
        <v>5.9999999999998721E-2</v>
      </c>
      <c r="O418">
        <f t="shared" ca="1" si="143"/>
        <v>0</v>
      </c>
      <c r="P418">
        <f t="shared" ca="1" si="149"/>
        <v>7.5179177456290353E-2</v>
      </c>
      <c r="Q418">
        <f t="shared" ca="1" si="150"/>
        <v>5.1729435517539293E-2</v>
      </c>
      <c r="R418">
        <f t="shared" ca="1" si="147"/>
        <v>1.4533152489321139</v>
      </c>
      <c r="S418">
        <f t="shared" ca="1" si="148"/>
        <v>59.238829969557202</v>
      </c>
      <c r="T418">
        <f>70</f>
        <v>70</v>
      </c>
      <c r="U418">
        <f>30</f>
        <v>30</v>
      </c>
      <c r="V418">
        <f t="shared" ca="1" si="146"/>
        <v>11.638205558160603</v>
      </c>
      <c r="W418">
        <f t="shared" ca="1" si="156"/>
        <v>11.474585264094136</v>
      </c>
      <c r="X418">
        <f t="shared" ca="1" si="155"/>
        <v>0.15802518502309049</v>
      </c>
      <c r="Y418">
        <f t="shared" ca="1" si="134"/>
        <v>0.13563131248551225</v>
      </c>
      <c r="Z418">
        <f t="shared" ca="1" si="135"/>
        <v>2.2393872537578241E-2</v>
      </c>
      <c r="AA418">
        <f t="shared" ca="1" si="136"/>
        <v>10.745300000000007</v>
      </c>
      <c r="AB418" s="18">
        <f t="shared" ca="1" si="144"/>
        <v>5.1238257899230977E-3</v>
      </c>
      <c r="AC418" s="18">
        <f t="shared" ca="1" si="145"/>
        <v>5.1107436625593312E-3</v>
      </c>
      <c r="AD418" s="18">
        <f t="shared" ca="1" si="140"/>
        <v>-1.6511247033658027E-2</v>
      </c>
    </row>
    <row r="419" spans="1:30" x14ac:dyDescent="0.25">
      <c r="A419" vm="1132">
        <f ca="1"/>
        <v>45902</v>
      </c>
      <c r="B419" vm="1133">
        <f ca="1"/>
        <v>11.72</v>
      </c>
      <c r="C419" vm="1134">
        <f ca="1"/>
        <v>57704182</v>
      </c>
      <c r="D419">
        <f t="shared" ca="1" si="137"/>
        <v>676293013.04000008</v>
      </c>
      <c r="E419">
        <f ca="1">SUM($D$2:D419)/SUM($C$2:C419)</f>
        <v>10.749453195912976</v>
      </c>
      <c r="F419">
        <f ca="1">_xlfn.STDEV.P($B$2:B419)</f>
        <v>1.0942322134930562</v>
      </c>
      <c r="G419">
        <f t="shared" ca="1" si="138"/>
        <v>11.843685409406032</v>
      </c>
      <c r="H419">
        <f t="shared" ca="1" si="139"/>
        <v>9.6552209824199196</v>
      </c>
      <c r="I419">
        <f t="shared" ca="1" si="151"/>
        <v>11.4975</v>
      </c>
      <c r="J419">
        <f t="shared" ca="1" si="152"/>
        <v>0.25208342395242672</v>
      </c>
      <c r="K419">
        <f t="shared" ca="1" si="153"/>
        <v>12.001666847904854</v>
      </c>
      <c r="L419">
        <f t="shared" ca="1" si="154"/>
        <v>10.993333152095147</v>
      </c>
      <c r="M419">
        <f t="shared" ca="1" si="141"/>
        <v>-4.9999999999998934E-2</v>
      </c>
      <c r="N419">
        <f t="shared" ca="1" si="142"/>
        <v>0</v>
      </c>
      <c r="O419">
        <f t="shared" ca="1" si="143"/>
        <v>4.9999999999998934E-2</v>
      </c>
      <c r="P419">
        <f t="shared" ca="1" si="149"/>
        <v>6.980923620941247E-2</v>
      </c>
      <c r="Q419">
        <f t="shared" ca="1" si="150"/>
        <v>5.1605904409143553E-2</v>
      </c>
      <c r="R419">
        <f t="shared" ca="1" si="147"/>
        <v>1.3527373855508604</v>
      </c>
      <c r="S419">
        <f t="shared" ca="1" si="148"/>
        <v>57.496318707671485</v>
      </c>
      <c r="T419">
        <f>70</f>
        <v>70</v>
      </c>
      <c r="U419">
        <f>30</f>
        <v>30</v>
      </c>
      <c r="V419">
        <f t="shared" ca="1" si="146"/>
        <v>11.650789318443586</v>
      </c>
      <c r="W419">
        <f t="shared" ca="1" si="156"/>
        <v>11.492764133420495</v>
      </c>
      <c r="X419">
        <f t="shared" ca="1" si="155"/>
        <v>0.1438634877951106</v>
      </c>
      <c r="Y419">
        <f t="shared" ca="1" si="134"/>
        <v>0.13727774754743194</v>
      </c>
      <c r="Z419">
        <f t="shared" ca="1" si="135"/>
        <v>6.585740247678662E-3</v>
      </c>
      <c r="AA419">
        <f t="shared" ca="1" si="136"/>
        <v>10.775600000000006</v>
      </c>
      <c r="AB419" s="18">
        <f t="shared" ca="1" si="144"/>
        <v>-4.2480883602378228E-3</v>
      </c>
      <c r="AC419" s="18">
        <f t="shared" ca="1" si="145"/>
        <v>-4.2571371233187218E-3</v>
      </c>
      <c r="AD419" s="18">
        <f t="shared" ca="1" si="140"/>
        <v>-2.068919415755921E-2</v>
      </c>
    </row>
    <row r="420" spans="1:30" x14ac:dyDescent="0.25">
      <c r="A420" vm="1135">
        <f ca="1"/>
        <v>45903</v>
      </c>
      <c r="B420" vm="1136">
        <f ca="1"/>
        <v>11.62</v>
      </c>
      <c r="C420" vm="1137">
        <f ca="1"/>
        <v>47728660</v>
      </c>
      <c r="D420">
        <f t="shared" ca="1" si="137"/>
        <v>554607029.19999993</v>
      </c>
      <c r="E420">
        <f ca="1">SUM($D$2:D420)/SUM($C$2:C420)</f>
        <v>10.750836230678329</v>
      </c>
      <c r="F420">
        <f ca="1">_xlfn.STDEV.P($B$2:B420)</f>
        <v>1.0933275614922184</v>
      </c>
      <c r="G420">
        <f t="shared" ca="1" si="138"/>
        <v>11.844163792170548</v>
      </c>
      <c r="H420">
        <f t="shared" ca="1" si="139"/>
        <v>9.657508669186111</v>
      </c>
      <c r="I420">
        <f t="shared" ca="1" si="151"/>
        <v>11.525500000000001</v>
      </c>
      <c r="J420">
        <f t="shared" ca="1" si="152"/>
        <v>0.23116353290986105</v>
      </c>
      <c r="K420">
        <f t="shared" ca="1" si="153"/>
        <v>11.987827065819722</v>
      </c>
      <c r="L420">
        <f t="shared" ca="1" si="154"/>
        <v>11.06317293418028</v>
      </c>
      <c r="M420">
        <f t="shared" ca="1" si="141"/>
        <v>-0.10000000000000142</v>
      </c>
      <c r="N420">
        <f t="shared" ca="1" si="142"/>
        <v>0</v>
      </c>
      <c r="O420">
        <f t="shared" ca="1" si="143"/>
        <v>0.10000000000000142</v>
      </c>
      <c r="P420">
        <f t="shared" ca="1" si="149"/>
        <v>6.4822862194454434E-2</v>
      </c>
      <c r="Q420">
        <f t="shared" ca="1" si="150"/>
        <v>5.5062625522776257E-2</v>
      </c>
      <c r="R420">
        <f t="shared" ca="1" si="147"/>
        <v>1.1772570156074547</v>
      </c>
      <c r="S420">
        <f t="shared" ca="1" si="148"/>
        <v>54.070649774849848</v>
      </c>
      <c r="T420">
        <f>70</f>
        <v>70</v>
      </c>
      <c r="U420">
        <f>30</f>
        <v>30</v>
      </c>
      <c r="V420">
        <f t="shared" ca="1" si="146"/>
        <v>11.646052500221495</v>
      </c>
      <c r="W420">
        <f t="shared" ca="1" si="156"/>
        <v>11.502189012426385</v>
      </c>
      <c r="X420">
        <f t="shared" ca="1" si="155"/>
        <v>0.13591499580401489</v>
      </c>
      <c r="Y420">
        <f t="shared" ca="1" si="134"/>
        <v>0.13700519719874854</v>
      </c>
      <c r="Z420">
        <f t="shared" ca="1" si="135"/>
        <v>-1.0902013947336475E-3</v>
      </c>
      <c r="AA420">
        <f t="shared" ca="1" si="136"/>
        <v>10.796800000000005</v>
      </c>
      <c r="AB420" s="18">
        <f t="shared" ca="1" si="144"/>
        <v>-8.5324232081912532E-3</v>
      </c>
      <c r="AC420" s="18">
        <f t="shared" ca="1" si="145"/>
        <v>-8.5690327251015143E-3</v>
      </c>
      <c r="AD420" s="18">
        <f t="shared" ca="1" si="140"/>
        <v>-2.9045088405361685E-2</v>
      </c>
    </row>
    <row r="421" spans="1:30" x14ac:dyDescent="0.25">
      <c r="A421" vm="1138">
        <f ca="1"/>
        <v>45904</v>
      </c>
      <c r="B421" vm="1021">
        <f ca="1"/>
        <v>11.68</v>
      </c>
      <c r="C421" vm="1139">
        <f ca="1"/>
        <v>33136650</v>
      </c>
      <c r="D421">
        <f t="shared" ca="1" si="137"/>
        <v>387036072</v>
      </c>
      <c r="E421">
        <f ca="1">SUM($D$2:D421)/SUM($C$2:C421)</f>
        <v>10.751859956931277</v>
      </c>
      <c r="F421">
        <f ca="1">_xlfn.STDEV.P($B$2:B421)</f>
        <v>1.0925075360505088</v>
      </c>
      <c r="G421">
        <f t="shared" ca="1" si="138"/>
        <v>11.844367492981785</v>
      </c>
      <c r="H421">
        <f t="shared" ca="1" si="139"/>
        <v>9.6593524208807686</v>
      </c>
      <c r="I421">
        <f t="shared" ca="1" si="151"/>
        <v>11.549000000000001</v>
      </c>
      <c r="J421">
        <f t="shared" ca="1" si="152"/>
        <v>0.22107155307489784</v>
      </c>
      <c r="K421">
        <f t="shared" ca="1" si="153"/>
        <v>11.991143106149798</v>
      </c>
      <c r="L421">
        <f t="shared" ca="1" si="154"/>
        <v>11.106856893850205</v>
      </c>
      <c r="M421">
        <f t="shared" ca="1" si="141"/>
        <v>6.0000000000000497E-2</v>
      </c>
      <c r="N421">
        <f t="shared" ca="1" si="142"/>
        <v>6.0000000000000497E-2</v>
      </c>
      <c r="O421">
        <f t="shared" ca="1" si="143"/>
        <v>0</v>
      </c>
      <c r="P421">
        <f t="shared" ca="1" si="149"/>
        <v>6.4478372037707718E-2</v>
      </c>
      <c r="Q421">
        <f t="shared" ca="1" si="150"/>
        <v>5.1129580842577953E-2</v>
      </c>
      <c r="R421">
        <f t="shared" ca="1" si="147"/>
        <v>1.2610776574959444</v>
      </c>
      <c r="S421">
        <f t="shared" ca="1" si="148"/>
        <v>55.773301430634575</v>
      </c>
      <c r="T421">
        <f>70</f>
        <v>70</v>
      </c>
      <c r="U421">
        <f>30</f>
        <v>30</v>
      </c>
      <c r="V421">
        <f t="shared" ca="1" si="146"/>
        <v>11.651275192495111</v>
      </c>
      <c r="W421">
        <f t="shared" ca="1" si="156"/>
        <v>11.515360196691097</v>
      </c>
      <c r="X421">
        <f t="shared" ca="1" si="155"/>
        <v>0.13292498075909265</v>
      </c>
      <c r="Y421">
        <f t="shared" ca="1" si="134"/>
        <v>0.13618915391081737</v>
      </c>
      <c r="Z421">
        <f t="shared" ca="1" si="135"/>
        <v>-3.2641731517247252E-3</v>
      </c>
      <c r="AA421">
        <f t="shared" ca="1" si="136"/>
        <v>10.822200000000004</v>
      </c>
      <c r="AB421" s="18">
        <f t="shared" ca="1" si="144"/>
        <v>5.1635111876076056E-3</v>
      </c>
      <c r="AC421" s="18">
        <f t="shared" ca="1" si="145"/>
        <v>5.1502259763158611E-3</v>
      </c>
      <c r="AD421" s="18">
        <f t="shared" ca="1" si="140"/>
        <v>-2.4031551856680267E-2</v>
      </c>
    </row>
    <row r="422" spans="1:30" x14ac:dyDescent="0.25">
      <c r="A422" vm="1140">
        <f ca="1"/>
        <v>45905</v>
      </c>
      <c r="B422" vm="1117">
        <f ca="1"/>
        <v>11.74</v>
      </c>
      <c r="C422" vm="1141">
        <f ca="1"/>
        <v>47547831</v>
      </c>
      <c r="D422">
        <f t="shared" ca="1" si="137"/>
        <v>558211535.94000006</v>
      </c>
      <c r="E422">
        <f ca="1">SUM($D$2:D422)/SUM($C$2:C422)</f>
        <v>10.753419675108605</v>
      </c>
      <c r="F422">
        <f ca="1">_xlfn.STDEV.P($B$2:B422)</f>
        <v>1.0917789468108712</v>
      </c>
      <c r="G422">
        <f t="shared" ca="1" si="138"/>
        <v>11.845198621919476</v>
      </c>
      <c r="H422">
        <f t="shared" ca="1" si="139"/>
        <v>9.6616407282977335</v>
      </c>
      <c r="I422">
        <f t="shared" ca="1" si="151"/>
        <v>11.572000000000001</v>
      </c>
      <c r="J422">
        <f t="shared" ca="1" si="152"/>
        <v>0.21547011027298577</v>
      </c>
      <c r="K422">
        <f t="shared" ca="1" si="153"/>
        <v>12.002940220545973</v>
      </c>
      <c r="L422">
        <f t="shared" ca="1" si="154"/>
        <v>11.141059779454029</v>
      </c>
      <c r="M422">
        <f t="shared" ca="1" si="141"/>
        <v>6.0000000000000497E-2</v>
      </c>
      <c r="N422">
        <f t="shared" ca="1" si="142"/>
        <v>6.0000000000000497E-2</v>
      </c>
      <c r="O422">
        <f t="shared" ca="1" si="143"/>
        <v>0</v>
      </c>
      <c r="P422">
        <f t="shared" ca="1" si="149"/>
        <v>6.4158488320728638E-2</v>
      </c>
      <c r="Q422">
        <f t="shared" ca="1" si="150"/>
        <v>4.7477467925250962E-2</v>
      </c>
      <c r="R422">
        <f t="shared" ca="1" si="147"/>
        <v>1.3513460410681644</v>
      </c>
      <c r="S422">
        <f t="shared" ca="1" si="148"/>
        <v>57.471168320860073</v>
      </c>
      <c r="T422">
        <f>70</f>
        <v>70</v>
      </c>
      <c r="U422">
        <f>30</f>
        <v>30</v>
      </c>
      <c r="V422">
        <f t="shared" ca="1" si="146"/>
        <v>11.664925162880479</v>
      </c>
      <c r="W422">
        <f t="shared" ca="1" si="156"/>
        <v>11.532000182121386</v>
      </c>
      <c r="X422">
        <f t="shared" ca="1" si="155"/>
        <v>0.12507895779502043</v>
      </c>
      <c r="Y422">
        <f t="shared" ref="Y422:Y485" ca="1" si="157">X422*(2/(9+1)) + Y421*(1-(2/(9+1)))</f>
        <v>0.13396711468765798</v>
      </c>
      <c r="Z422">
        <f t="shared" ref="Z422:Z485" ca="1" si="158">X422-Y422</f>
        <v>-8.8881568926375554E-3</v>
      </c>
      <c r="AA422">
        <f t="shared" ref="AA422:AA485" ca="1" si="159">AVERAGE(B323:B422)</f>
        <v>10.846300000000006</v>
      </c>
      <c r="AB422" s="18">
        <f t="shared" ca="1" si="144"/>
        <v>5.1369863013699391E-3</v>
      </c>
      <c r="AC422" s="18">
        <f t="shared" ca="1" si="145"/>
        <v>5.1238369998694664E-3</v>
      </c>
      <c r="AD422" s="18">
        <f t="shared" ca="1" si="140"/>
        <v>-1.9018015307998737E-2</v>
      </c>
    </row>
    <row r="423" spans="1:30" x14ac:dyDescent="0.25">
      <c r="A423" vm="1142">
        <f ca="1"/>
        <v>45908</v>
      </c>
      <c r="B423" vm="1143">
        <f ca="1"/>
        <v>11.69</v>
      </c>
      <c r="C423" vm="1144">
        <f ca="1"/>
        <v>39734522</v>
      </c>
      <c r="D423">
        <f t="shared" ca="1" si="137"/>
        <v>464496562.18000001</v>
      </c>
      <c r="E423">
        <f ca="1">SUM($D$2:D423)/SUM($C$2:C423)</f>
        <v>10.754653454364115</v>
      </c>
      <c r="F423">
        <f ca="1">_xlfn.STDEV.P($B$2:B423)</f>
        <v>1.0909750399616329</v>
      </c>
      <c r="G423">
        <f t="shared" ca="1" si="138"/>
        <v>11.845628494325748</v>
      </c>
      <c r="H423">
        <f t="shared" ca="1" si="139"/>
        <v>9.663678414402483</v>
      </c>
      <c r="I423">
        <f t="shared" ca="1" si="151"/>
        <v>11.5905</v>
      </c>
      <c r="J423">
        <f t="shared" ca="1" si="152"/>
        <v>0.20846494088682485</v>
      </c>
      <c r="K423">
        <f t="shared" ca="1" si="153"/>
        <v>12.00742988177365</v>
      </c>
      <c r="L423">
        <f t="shared" ca="1" si="154"/>
        <v>11.173570118226351</v>
      </c>
      <c r="M423">
        <f t="shared" ca="1" si="141"/>
        <v>-5.0000000000000711E-2</v>
      </c>
      <c r="N423">
        <f t="shared" ca="1" si="142"/>
        <v>0</v>
      </c>
      <c r="O423">
        <f t="shared" ca="1" si="143"/>
        <v>5.0000000000000711E-2</v>
      </c>
      <c r="P423">
        <f t="shared" ca="1" si="149"/>
        <v>5.9575739154962302E-2</v>
      </c>
      <c r="Q423">
        <f t="shared" ca="1" si="150"/>
        <v>4.7657648787733091E-2</v>
      </c>
      <c r="R423">
        <f t="shared" ca="1" si="147"/>
        <v>1.2500771790130125</v>
      </c>
      <c r="S423">
        <f t="shared" ca="1" si="148"/>
        <v>55.557080026977296</v>
      </c>
      <c r="T423">
        <f>70</f>
        <v>70</v>
      </c>
      <c r="U423">
        <f>30</f>
        <v>30</v>
      </c>
      <c r="V423">
        <f t="shared" ca="1" si="146"/>
        <v>11.668782830129636</v>
      </c>
      <c r="W423">
        <f t="shared" ca="1" si="156"/>
        <v>11.543703872334616</v>
      </c>
      <c r="X423">
        <f t="shared" ca="1" si="155"/>
        <v>0.10155197162322516</v>
      </c>
      <c r="Y423">
        <f t="shared" ca="1" si="157"/>
        <v>0.12748408607477144</v>
      </c>
      <c r="Z423">
        <f t="shared" ca="1" si="158"/>
        <v>-2.5932114451546279E-2</v>
      </c>
      <c r="AA423">
        <f t="shared" ca="1" si="159"/>
        <v>10.866100000000008</v>
      </c>
      <c r="AB423" s="18">
        <f t="shared" ca="1" si="144"/>
        <v>-4.2589437819421372E-3</v>
      </c>
      <c r="AC423" s="18">
        <f t="shared" ca="1" si="145"/>
        <v>-4.2680389159734048E-3</v>
      </c>
      <c r="AD423" s="18">
        <f t="shared" ca="1" si="140"/>
        <v>-2.319596243190003E-2</v>
      </c>
    </row>
    <row r="424" spans="1:30" x14ac:dyDescent="0.25">
      <c r="A424" vm="1145">
        <f ca="1"/>
        <v>45909</v>
      </c>
      <c r="B424" vm="1111">
        <f ca="1"/>
        <v>11.49</v>
      </c>
      <c r="C424" vm="1146">
        <f ca="1"/>
        <v>41262743</v>
      </c>
      <c r="D424">
        <f t="shared" ca="1" si="137"/>
        <v>474108917.06999999</v>
      </c>
      <c r="E424">
        <f ca="1">SUM($D$2:D424)/SUM($C$2:C424)</f>
        <v>10.755658025946122</v>
      </c>
      <c r="F424">
        <f ca="1">_xlfn.STDEV.P($B$2:B424)</f>
        <v>1.089924886630341</v>
      </c>
      <c r="G424">
        <f t="shared" ca="1" si="138"/>
        <v>11.845582912576463</v>
      </c>
      <c r="H424">
        <f t="shared" ca="1" si="139"/>
        <v>9.6657331393157815</v>
      </c>
      <c r="I424">
        <f t="shared" ca="1" si="151"/>
        <v>11.608000000000001</v>
      </c>
      <c r="J424">
        <f t="shared" ca="1" si="152"/>
        <v>0.18161845489347925</v>
      </c>
      <c r="K424">
        <f t="shared" ca="1" si="153"/>
        <v>11.97123690978696</v>
      </c>
      <c r="L424">
        <f t="shared" ca="1" si="154"/>
        <v>11.244763090213041</v>
      </c>
      <c r="M424">
        <f t="shared" ca="1" si="141"/>
        <v>-0.19999999999999929</v>
      </c>
      <c r="N424">
        <f t="shared" ca="1" si="142"/>
        <v>0</v>
      </c>
      <c r="O424">
        <f t="shared" ca="1" si="143"/>
        <v>0.19999999999999929</v>
      </c>
      <c r="P424">
        <f t="shared" ca="1" si="149"/>
        <v>5.5320329215322137E-2</v>
      </c>
      <c r="Q424">
        <f t="shared" ca="1" si="150"/>
        <v>5.8539245302894963E-2</v>
      </c>
      <c r="R424">
        <f t="shared" ca="1" si="147"/>
        <v>0.94501268216019108</v>
      </c>
      <c r="S424">
        <f t="shared" ca="1" si="148"/>
        <v>48.586453488345946</v>
      </c>
      <c r="T424">
        <f>70</f>
        <v>70</v>
      </c>
      <c r="U424">
        <f>30</f>
        <v>30</v>
      </c>
      <c r="V424">
        <f t="shared" ca="1" si="146"/>
        <v>11.641277779340461</v>
      </c>
      <c r="W424">
        <f t="shared" ca="1" si="156"/>
        <v>11.539725807717236</v>
      </c>
      <c r="X424">
        <f t="shared" ca="1" si="155"/>
        <v>7.6377814689500667E-2</v>
      </c>
      <c r="Y424">
        <f t="shared" ca="1" si="157"/>
        <v>0.11726283179771729</v>
      </c>
      <c r="Z424">
        <f t="shared" ca="1" si="158"/>
        <v>-4.0885017108216626E-2</v>
      </c>
      <c r="AA424">
        <f t="shared" ca="1" si="159"/>
        <v>10.886500000000005</v>
      </c>
      <c r="AB424" s="18">
        <f t="shared" ca="1" si="144"/>
        <v>-1.7108639863130826E-2</v>
      </c>
      <c r="AC424" s="18">
        <f t="shared" ca="1" si="145"/>
        <v>-1.7256683623312674E-2</v>
      </c>
      <c r="AD424" s="18">
        <f t="shared" ca="1" si="140"/>
        <v>-3.9907750927504759E-2</v>
      </c>
    </row>
    <row r="425" spans="1:30" x14ac:dyDescent="0.25">
      <c r="A425" vm="1147">
        <f ca="1"/>
        <v>45910</v>
      </c>
      <c r="B425" vm="1148">
        <f ca="1"/>
        <v>11.42</v>
      </c>
      <c r="C425" vm="1149">
        <f ca="1"/>
        <v>47021328</v>
      </c>
      <c r="D425">
        <f t="shared" ca="1" si="137"/>
        <v>536983565.75999999</v>
      </c>
      <c r="E425">
        <f ca="1">SUM($D$2:D425)/SUM($C$2:C425)</f>
        <v>10.75669064883493</v>
      </c>
      <c r="F425">
        <f ca="1">_xlfn.STDEV.P($B$2:B425)</f>
        <v>1.0888117469732972</v>
      </c>
      <c r="G425">
        <f t="shared" ca="1" si="138"/>
        <v>11.845502395808227</v>
      </c>
      <c r="H425">
        <f t="shared" ca="1" si="139"/>
        <v>9.6678789018616325</v>
      </c>
      <c r="I425">
        <f t="shared" ca="1" si="151"/>
        <v>11.6165</v>
      </c>
      <c r="J425">
        <f t="shared" ca="1" si="152"/>
        <v>0.16740354646309341</v>
      </c>
      <c r="K425">
        <f t="shared" ca="1" si="153"/>
        <v>11.951307092926188</v>
      </c>
      <c r="L425">
        <f t="shared" ca="1" si="154"/>
        <v>11.281692907073813</v>
      </c>
      <c r="M425">
        <f t="shared" ca="1" si="141"/>
        <v>-7.0000000000000284E-2</v>
      </c>
      <c r="N425">
        <f t="shared" ca="1" si="142"/>
        <v>0</v>
      </c>
      <c r="O425">
        <f t="shared" ca="1" si="143"/>
        <v>7.0000000000000284E-2</v>
      </c>
      <c r="P425">
        <f t="shared" ca="1" si="149"/>
        <v>5.1368877128513409E-2</v>
      </c>
      <c r="Q425">
        <f t="shared" ca="1" si="150"/>
        <v>5.9357870638402484E-2</v>
      </c>
      <c r="R425">
        <f t="shared" ca="1" si="147"/>
        <v>0.865409701797482</v>
      </c>
      <c r="S425">
        <f t="shared" ca="1" si="148"/>
        <v>46.39247351204326</v>
      </c>
      <c r="T425">
        <f>70</f>
        <v>70</v>
      </c>
      <c r="U425">
        <f>30</f>
        <v>30</v>
      </c>
      <c r="V425">
        <f t="shared" ca="1" si="146"/>
        <v>11.607235044057312</v>
      </c>
      <c r="W425">
        <f t="shared" ca="1" si="156"/>
        <v>11.530857229367811</v>
      </c>
      <c r="X425">
        <f t="shared" ca="1" si="155"/>
        <v>8.2906577038412976E-2</v>
      </c>
      <c r="Y425">
        <f t="shared" ca="1" si="157"/>
        <v>0.11039158084585643</v>
      </c>
      <c r="Z425">
        <f t="shared" ca="1" si="158"/>
        <v>-2.7485003807443453E-2</v>
      </c>
      <c r="AA425">
        <f t="shared" ca="1" si="159"/>
        <v>10.906700000000008</v>
      </c>
      <c r="AB425" s="18">
        <f t="shared" ca="1" si="144"/>
        <v>-6.0922541340295844E-3</v>
      </c>
      <c r="AC425" s="18">
        <f t="shared" ca="1" si="145"/>
        <v>-6.1108876328001488E-3</v>
      </c>
      <c r="AD425" s="18">
        <f t="shared" ca="1" si="140"/>
        <v>-4.5756876900966414E-2</v>
      </c>
    </row>
    <row r="426" spans="1:30" x14ac:dyDescent="0.25">
      <c r="A426" vm="1150">
        <f ca="1"/>
        <v>45911</v>
      </c>
      <c r="B426" vm="1151">
        <f ca="1"/>
        <v>11.76</v>
      </c>
      <c r="C426" vm="1152">
        <f ca="1"/>
        <v>64196118</v>
      </c>
      <c r="D426">
        <f t="shared" ca="1" si="137"/>
        <v>754946347.67999995</v>
      </c>
      <c r="E426">
        <f ca="1">SUM($D$2:D426)/SUM($C$2:C426)</f>
        <v>10.758815253618788</v>
      </c>
      <c r="F426">
        <f ca="1">_xlfn.STDEV.P($B$2:B426)</f>
        <v>1.0881193872706438</v>
      </c>
      <c r="G426">
        <f t="shared" ca="1" si="138"/>
        <v>11.846934640889433</v>
      </c>
      <c r="H426">
        <f t="shared" ca="1" si="139"/>
        <v>9.6706958663481437</v>
      </c>
      <c r="I426">
        <f t="shared" ca="1" si="151"/>
        <v>11.632500000000002</v>
      </c>
      <c r="J426">
        <f t="shared" ca="1" si="152"/>
        <v>0.16492023590368263</v>
      </c>
      <c r="K426">
        <f t="shared" ca="1" si="153"/>
        <v>11.962340471807368</v>
      </c>
      <c r="L426">
        <f t="shared" ca="1" si="154"/>
        <v>11.302659528192637</v>
      </c>
      <c r="M426">
        <f t="shared" ca="1" si="141"/>
        <v>0.33999999999999986</v>
      </c>
      <c r="N426">
        <f t="shared" ca="1" si="142"/>
        <v>0.33999999999999986</v>
      </c>
      <c r="O426">
        <f t="shared" ca="1" si="143"/>
        <v>0</v>
      </c>
      <c r="P426">
        <f t="shared" ca="1" si="149"/>
        <v>7.1985385905048146E-2</v>
      </c>
      <c r="Q426">
        <f t="shared" ca="1" si="150"/>
        <v>5.5118022735659453E-2</v>
      </c>
      <c r="R426">
        <f t="shared" ca="1" si="147"/>
        <v>1.3060226461729749</v>
      </c>
      <c r="S426">
        <f t="shared" ca="1" si="148"/>
        <v>56.635291433083793</v>
      </c>
      <c r="T426">
        <f>70</f>
        <v>70</v>
      </c>
      <c r="U426">
        <f>30</f>
        <v>30</v>
      </c>
      <c r="V426">
        <f t="shared" ca="1" si="146"/>
        <v>11.630737344971571</v>
      </c>
      <c r="W426">
        <f t="shared" ca="1" si="156"/>
        <v>11.547830767933158</v>
      </c>
      <c r="X426">
        <f t="shared" ca="1" si="155"/>
        <v>8.0695133556353937E-2</v>
      </c>
      <c r="Y426">
        <f t="shared" ca="1" si="157"/>
        <v>0.10445229138795595</v>
      </c>
      <c r="Z426">
        <f t="shared" ca="1" si="158"/>
        <v>-2.375715783160201E-2</v>
      </c>
      <c r="AA426">
        <f t="shared" ca="1" si="159"/>
        <v>10.928000000000008</v>
      </c>
      <c r="AB426" s="18">
        <f t="shared" ca="1" si="144"/>
        <v>2.9772329246935181E-2</v>
      </c>
      <c r="AC426" s="18">
        <f t="shared" ca="1" si="145"/>
        <v>2.9337738242616682E-2</v>
      </c>
      <c r="AD426" s="18">
        <f t="shared" ca="1" si="140"/>
        <v>-1.7346836458438264E-2</v>
      </c>
    </row>
    <row r="427" spans="1:30" x14ac:dyDescent="0.25">
      <c r="A427" vm="1153">
        <f ca="1"/>
        <v>45912</v>
      </c>
      <c r="B427" vm="1021">
        <f ca="1"/>
        <v>11.68</v>
      </c>
      <c r="C427" vm="1154">
        <f ca="1"/>
        <v>50100809</v>
      </c>
      <c r="D427">
        <f t="shared" ca="1" si="137"/>
        <v>585177449.12</v>
      </c>
      <c r="E427">
        <f ca="1">SUM($D$2:D427)/SUM($C$2:C427)</f>
        <v>10.76033513208994</v>
      </c>
      <c r="F427">
        <f ca="1">_xlfn.STDEV.P($B$2:B427)</f>
        <v>1.0873069288767667</v>
      </c>
      <c r="G427">
        <f t="shared" ca="1" si="138"/>
        <v>11.847642060966708</v>
      </c>
      <c r="H427">
        <f t="shared" ca="1" si="139"/>
        <v>9.6730282032131729</v>
      </c>
      <c r="I427">
        <f t="shared" ca="1" si="151"/>
        <v>11.644500000000001</v>
      </c>
      <c r="J427">
        <f t="shared" ca="1" si="152"/>
        <v>0.15879397443161836</v>
      </c>
      <c r="K427">
        <f t="shared" ca="1" si="153"/>
        <v>11.962087948863237</v>
      </c>
      <c r="L427">
        <f t="shared" ca="1" si="154"/>
        <v>11.326912051136764</v>
      </c>
      <c r="M427">
        <f t="shared" ca="1" si="141"/>
        <v>-8.0000000000000071E-2</v>
      </c>
      <c r="N427">
        <f t="shared" ca="1" si="142"/>
        <v>0</v>
      </c>
      <c r="O427">
        <f t="shared" ca="1" si="143"/>
        <v>8.0000000000000071E-2</v>
      </c>
      <c r="P427">
        <f t="shared" ca="1" si="149"/>
        <v>6.6843572626116135E-2</v>
      </c>
      <c r="Q427">
        <f t="shared" ca="1" si="150"/>
        <v>5.6895306825969494E-2</v>
      </c>
      <c r="R427">
        <f t="shared" ca="1" si="147"/>
        <v>1.1748521337722326</v>
      </c>
      <c r="S427">
        <f t="shared" ca="1" si="148"/>
        <v>54.019862570356814</v>
      </c>
      <c r="T427">
        <f>70</f>
        <v>70</v>
      </c>
      <c r="U427">
        <f>30</f>
        <v>30</v>
      </c>
      <c r="V427">
        <f t="shared" ca="1" si="146"/>
        <v>11.638316214975944</v>
      </c>
      <c r="W427">
        <f t="shared" ca="1" si="156"/>
        <v>11.55762108141959</v>
      </c>
      <c r="X427">
        <f t="shared" ca="1" si="155"/>
        <v>7.8042918480026202E-2</v>
      </c>
      <c r="Y427">
        <f t="shared" ca="1" si="157"/>
        <v>9.917041680637001E-2</v>
      </c>
      <c r="Z427">
        <f t="shared" ca="1" si="158"/>
        <v>-2.1127498326343808E-2</v>
      </c>
      <c r="AA427">
        <f t="shared" ca="1" si="159"/>
        <v>10.95010000000001</v>
      </c>
      <c r="AB427" s="18">
        <f t="shared" ca="1" si="144"/>
        <v>-6.8027210884353817E-3</v>
      </c>
      <c r="AC427" s="18">
        <f t="shared" ca="1" si="145"/>
        <v>-6.8259650703998706E-3</v>
      </c>
      <c r="AD427" s="18">
        <f t="shared" ca="1" si="140"/>
        <v>-2.4031551856680156E-2</v>
      </c>
    </row>
    <row r="428" spans="1:30" x14ac:dyDescent="0.25">
      <c r="A428" vm="1155">
        <f ca="1"/>
        <v>45915</v>
      </c>
      <c r="B428" vm="1021">
        <f ca="1"/>
        <v>11.68</v>
      </c>
      <c r="C428" vm="1156">
        <f ca="1"/>
        <v>47942431</v>
      </c>
      <c r="D428">
        <f t="shared" ca="1" si="137"/>
        <v>559967594.08000004</v>
      </c>
      <c r="E428">
        <f ca="1">SUM($D$2:D428)/SUM($C$2:C428)</f>
        <v>10.761784844628579</v>
      </c>
      <c r="F428">
        <f ca="1">_xlfn.STDEV.P($B$2:B428)</f>
        <v>1.0864954965937448</v>
      </c>
      <c r="G428">
        <f t="shared" ca="1" si="138"/>
        <v>11.848280341222324</v>
      </c>
      <c r="H428">
        <f t="shared" ca="1" si="139"/>
        <v>9.6752893480348341</v>
      </c>
      <c r="I428">
        <f t="shared" ca="1" si="151"/>
        <v>11.656500000000001</v>
      </c>
      <c r="J428">
        <f t="shared" ca="1" si="152"/>
        <v>0.15142394304176526</v>
      </c>
      <c r="K428">
        <f t="shared" ca="1" si="153"/>
        <v>11.959347886083531</v>
      </c>
      <c r="L428">
        <f t="shared" ca="1" si="154"/>
        <v>11.353652113916471</v>
      </c>
      <c r="M428">
        <f t="shared" ca="1" si="141"/>
        <v>0</v>
      </c>
      <c r="N428">
        <f t="shared" ca="1" si="142"/>
        <v>0</v>
      </c>
      <c r="O428">
        <f t="shared" ca="1" si="143"/>
        <v>0</v>
      </c>
      <c r="P428">
        <f t="shared" ca="1" si="149"/>
        <v>6.2069031724250698E-2</v>
      </c>
      <c r="Q428">
        <f t="shared" ca="1" si="150"/>
        <v>5.2831356338400241E-2</v>
      </c>
      <c r="R428">
        <f t="shared" ca="1" si="147"/>
        <v>1.1748521337722329</v>
      </c>
      <c r="S428">
        <f t="shared" ca="1" si="148"/>
        <v>54.019862570356814</v>
      </c>
      <c r="T428">
        <f>70</f>
        <v>70</v>
      </c>
      <c r="U428">
        <f>30</f>
        <v>30</v>
      </c>
      <c r="V428">
        <f t="shared" ca="1" si="146"/>
        <v>11.644729104979646</v>
      </c>
      <c r="W428">
        <f t="shared" ca="1" si="156"/>
        <v>11.56668618649962</v>
      </c>
      <c r="X428">
        <f t="shared" ca="1" si="155"/>
        <v>6.9491548622730548E-2</v>
      </c>
      <c r="Y428">
        <f t="shared" ca="1" si="157"/>
        <v>9.3234643169642126E-2</v>
      </c>
      <c r="Z428">
        <f t="shared" ca="1" si="158"/>
        <v>-2.3743094546911578E-2</v>
      </c>
      <c r="AA428">
        <f t="shared" ca="1" si="159"/>
        <v>10.970400000000009</v>
      </c>
      <c r="AB428" s="18">
        <f t="shared" ca="1" si="144"/>
        <v>0</v>
      </c>
      <c r="AC428" s="18">
        <f t="shared" ca="1" si="145"/>
        <v>0</v>
      </c>
      <c r="AD428" s="18">
        <f t="shared" ca="1" si="140"/>
        <v>-2.4031551856680156E-2</v>
      </c>
    </row>
    <row r="429" spans="1:30" x14ac:dyDescent="0.25">
      <c r="A429" vm="1157">
        <f ca="1"/>
        <v>45916</v>
      </c>
      <c r="B429" vm="1158">
        <f ca="1"/>
        <v>11.61</v>
      </c>
      <c r="C429" vm="1159">
        <f ca="1"/>
        <v>58064970</v>
      </c>
      <c r="D429">
        <f t="shared" ca="1" si="137"/>
        <v>674134301.69999993</v>
      </c>
      <c r="E429">
        <f ca="1">SUM($D$2:D429)/SUM($C$2:C429)</f>
        <v>10.763401152640837</v>
      </c>
      <c r="F429">
        <f ca="1">_xlfn.STDEV.P($B$2:B429)</f>
        <v>1.0855920237865975</v>
      </c>
      <c r="G429">
        <f t="shared" ca="1" si="138"/>
        <v>11.848993176427435</v>
      </c>
      <c r="H429">
        <f t="shared" ca="1" si="139"/>
        <v>9.6778091288542392</v>
      </c>
      <c r="I429">
        <f t="shared" ca="1" si="151"/>
        <v>11.663999999999998</v>
      </c>
      <c r="J429">
        <f t="shared" ca="1" si="152"/>
        <v>0.14474660254171226</v>
      </c>
      <c r="K429">
        <f t="shared" ca="1" si="153"/>
        <v>11.953493205083422</v>
      </c>
      <c r="L429">
        <f t="shared" ca="1" si="154"/>
        <v>11.374506794916574</v>
      </c>
      <c r="M429">
        <f t="shared" ca="1" si="141"/>
        <v>-7.0000000000000284E-2</v>
      </c>
      <c r="N429">
        <f t="shared" ca="1" si="142"/>
        <v>0</v>
      </c>
      <c r="O429">
        <f t="shared" ca="1" si="143"/>
        <v>7.0000000000000284E-2</v>
      </c>
      <c r="P429">
        <f t="shared" ca="1" si="149"/>
        <v>5.763552945823279E-2</v>
      </c>
      <c r="Q429">
        <f t="shared" ca="1" si="150"/>
        <v>5.4057688028514531E-2</v>
      </c>
      <c r="R429">
        <f t="shared" ca="1" si="147"/>
        <v>1.0661856168882216</v>
      </c>
      <c r="S429">
        <f t="shared" ca="1" si="148"/>
        <v>51.60163773155822</v>
      </c>
      <c r="T429">
        <f>70</f>
        <v>70</v>
      </c>
      <c r="U429">
        <f>30</f>
        <v>30</v>
      </c>
      <c r="V429">
        <f t="shared" ca="1" si="146"/>
        <v>11.639386165752008</v>
      </c>
      <c r="W429">
        <f t="shared" ca="1" si="156"/>
        <v>11.569894617129277</v>
      </c>
      <c r="X429">
        <f t="shared" ca="1" si="155"/>
        <v>6.598843493256723E-2</v>
      </c>
      <c r="Y429">
        <f t="shared" ca="1" si="157"/>
        <v>8.7785401522227163E-2</v>
      </c>
      <c r="Z429">
        <f t="shared" ca="1" si="158"/>
        <v>-2.1796966589659933E-2</v>
      </c>
      <c r="AA429">
        <f t="shared" ca="1" si="159"/>
        <v>10.988700000000005</v>
      </c>
      <c r="AB429" s="18">
        <f t="shared" ca="1" si="144"/>
        <v>-5.9931506849315586E-3</v>
      </c>
      <c r="AC429" s="18">
        <f t="shared" ca="1" si="145"/>
        <v>-6.011181690280921E-3</v>
      </c>
      <c r="AD429" s="18">
        <f t="shared" ca="1" si="140"/>
        <v>-2.9880677830141922E-2</v>
      </c>
    </row>
    <row r="430" spans="1:30" x14ac:dyDescent="0.25">
      <c r="A430" vm="1160">
        <f ca="1"/>
        <v>45917</v>
      </c>
      <c r="B430" vm="1161">
        <f ca="1"/>
        <v>11.66</v>
      </c>
      <c r="C430" vm="1162">
        <f ca="1"/>
        <v>68585945</v>
      </c>
      <c r="D430">
        <f t="shared" ca="1" si="137"/>
        <v>799712118.70000005</v>
      </c>
      <c r="E430">
        <f ca="1">SUM($D$2:D430)/SUM($C$2:C430)</f>
        <v>10.765414695038572</v>
      </c>
      <c r="F430">
        <f ca="1">_xlfn.STDEV.P($B$2:B430)</f>
        <v>1.0847554733352047</v>
      </c>
      <c r="G430">
        <f t="shared" ca="1" si="138"/>
        <v>11.850170168373777</v>
      </c>
      <c r="H430">
        <f t="shared" ca="1" si="139"/>
        <v>9.6806592217033671</v>
      </c>
      <c r="I430">
        <f t="shared" ca="1" si="151"/>
        <v>11.667999999999999</v>
      </c>
      <c r="J430">
        <f t="shared" ca="1" si="152"/>
        <v>0.14340226820491997</v>
      </c>
      <c r="K430">
        <f t="shared" ca="1" si="153"/>
        <v>11.954804536409839</v>
      </c>
      <c r="L430">
        <f t="shared" ca="1" si="154"/>
        <v>11.38119546359016</v>
      </c>
      <c r="M430">
        <f t="shared" ca="1" si="141"/>
        <v>5.0000000000000711E-2</v>
      </c>
      <c r="N430">
        <f t="shared" ca="1" si="142"/>
        <v>5.0000000000000711E-2</v>
      </c>
      <c r="O430">
        <f t="shared" ca="1" si="143"/>
        <v>0</v>
      </c>
      <c r="P430">
        <f t="shared" ca="1" si="149"/>
        <v>5.7090134496930497E-2</v>
      </c>
      <c r="Q430">
        <f t="shared" ca="1" si="150"/>
        <v>5.0196424597906353E-2</v>
      </c>
      <c r="R430">
        <f t="shared" ca="1" si="147"/>
        <v>1.137334679795335</v>
      </c>
      <c r="S430">
        <f t="shared" ca="1" si="148"/>
        <v>53.212755613184676</v>
      </c>
      <c r="T430">
        <f>70</f>
        <v>70</v>
      </c>
      <c r="U430">
        <f>30</f>
        <v>30</v>
      </c>
      <c r="V430">
        <f t="shared" ca="1" si="146"/>
        <v>11.642557524867083</v>
      </c>
      <c r="W430">
        <f t="shared" ca="1" si="156"/>
        <v>11.576569089934516</v>
      </c>
      <c r="X430">
        <f t="shared" ca="1" si="155"/>
        <v>6.8873591614829976E-2</v>
      </c>
      <c r="Y430">
        <f t="shared" ca="1" si="157"/>
        <v>8.4003039540747726E-2</v>
      </c>
      <c r="Z430">
        <f t="shared" ca="1" si="158"/>
        <v>-1.5129447925917749E-2</v>
      </c>
      <c r="AA430">
        <f t="shared" ca="1" si="159"/>
        <v>11.004700000000007</v>
      </c>
      <c r="AB430" s="18">
        <f t="shared" ca="1" si="144"/>
        <v>4.3066322136089408E-3</v>
      </c>
      <c r="AC430" s="18">
        <f t="shared" ca="1" si="145"/>
        <v>4.2973852125461733E-3</v>
      </c>
      <c r="AD430" s="18">
        <f t="shared" ca="1" si="140"/>
        <v>-2.570273070624074E-2</v>
      </c>
    </row>
    <row r="431" spans="1:30" x14ac:dyDescent="0.25">
      <c r="A431" vm="1163">
        <f ca="1"/>
        <v>45918</v>
      </c>
      <c r="B431" vm="1117">
        <f ca="1"/>
        <v>11.74</v>
      </c>
      <c r="C431" vm="1164">
        <f ca="1"/>
        <v>55040063</v>
      </c>
      <c r="D431">
        <f t="shared" ca="1" si="137"/>
        <v>646170339.62</v>
      </c>
      <c r="E431">
        <f ca="1">SUM($D$2:D431)/SUM($C$2:C431)</f>
        <v>10.767167946741464</v>
      </c>
      <c r="F431">
        <f ca="1">_xlfn.STDEV.P($B$2:B431)</f>
        <v>1.0840351477117181</v>
      </c>
      <c r="G431">
        <f t="shared" ca="1" si="138"/>
        <v>11.851203094453183</v>
      </c>
      <c r="H431">
        <f t="shared" ca="1" si="139"/>
        <v>9.683132799029746</v>
      </c>
      <c r="I431">
        <f t="shared" ca="1" si="151"/>
        <v>11.680499999999999</v>
      </c>
      <c r="J431">
        <f t="shared" ca="1" si="152"/>
        <v>0.13785862323409448</v>
      </c>
      <c r="K431">
        <f t="shared" ca="1" si="153"/>
        <v>11.956217246468187</v>
      </c>
      <c r="L431">
        <f t="shared" ca="1" si="154"/>
        <v>11.40478275353181</v>
      </c>
      <c r="M431">
        <f t="shared" ca="1" si="141"/>
        <v>8.0000000000000071E-2</v>
      </c>
      <c r="N431">
        <f t="shared" ca="1" si="142"/>
        <v>8.0000000000000071E-2</v>
      </c>
      <c r="O431">
        <f t="shared" ca="1" si="143"/>
        <v>0</v>
      </c>
      <c r="P431">
        <f t="shared" ca="1" si="149"/>
        <v>5.8726553461435467E-2</v>
      </c>
      <c r="Q431">
        <f t="shared" ca="1" si="150"/>
        <v>4.6610965698055895E-2</v>
      </c>
      <c r="R431">
        <f t="shared" ca="1" si="147"/>
        <v>1.259929988189129</v>
      </c>
      <c r="S431">
        <f t="shared" ca="1" si="148"/>
        <v>55.750841608978554</v>
      </c>
      <c r="T431">
        <f>70</f>
        <v>70</v>
      </c>
      <c r="U431">
        <f>30</f>
        <v>30</v>
      </c>
      <c r="V431">
        <f t="shared" ca="1" si="146"/>
        <v>11.657548674887531</v>
      </c>
      <c r="W431">
        <f t="shared" ca="1" si="156"/>
        <v>11.588675083272701</v>
      </c>
      <c r="X431">
        <f t="shared" ca="1" si="155"/>
        <v>6.0776508199342771E-2</v>
      </c>
      <c r="Y431">
        <f t="shared" ca="1" si="157"/>
        <v>7.9357733272466743E-2</v>
      </c>
      <c r="Z431">
        <f t="shared" ca="1" si="158"/>
        <v>-1.8581225073123972E-2</v>
      </c>
      <c r="AA431">
        <f t="shared" ca="1" si="159"/>
        <v>11.021700000000008</v>
      </c>
      <c r="AB431" s="18">
        <f t="shared" ca="1" si="144"/>
        <v>6.8610634648369473E-3</v>
      </c>
      <c r="AC431" s="18">
        <f t="shared" ca="1" si="145"/>
        <v>6.8376334776039686E-3</v>
      </c>
      <c r="AD431" s="18">
        <f t="shared" ca="1" si="140"/>
        <v>-1.9018015307998959E-2</v>
      </c>
    </row>
    <row r="432" spans="1:30" x14ac:dyDescent="0.25">
      <c r="A432" vm="1165">
        <f ca="1"/>
        <v>45919</v>
      </c>
      <c r="B432" vm="1136">
        <f ca="1"/>
        <v>11.62</v>
      </c>
      <c r="C432" vm="1166">
        <f ca="1"/>
        <v>71676341</v>
      </c>
      <c r="D432">
        <f t="shared" ca="1" si="137"/>
        <v>832879082.41999996</v>
      </c>
      <c r="E432">
        <f ca="1">SUM($D$2:D432)/SUM($C$2:C432)</f>
        <v>10.769161228018453</v>
      </c>
      <c r="F432">
        <f ca="1">_xlfn.STDEV.P($B$2:B432)</f>
        <v>1.0831485601202508</v>
      </c>
      <c r="G432">
        <f t="shared" ca="1" si="138"/>
        <v>11.852309788138703</v>
      </c>
      <c r="H432">
        <f t="shared" ca="1" si="139"/>
        <v>9.6860126678982024</v>
      </c>
      <c r="I432">
        <f t="shared" ca="1" si="151"/>
        <v>11.695</v>
      </c>
      <c r="J432">
        <f t="shared" ca="1" si="152"/>
        <v>0.11185046408392545</v>
      </c>
      <c r="K432">
        <f t="shared" ca="1" si="153"/>
        <v>11.918700928167851</v>
      </c>
      <c r="L432">
        <f t="shared" ca="1" si="154"/>
        <v>11.471299071832149</v>
      </c>
      <c r="M432">
        <f t="shared" ca="1" si="141"/>
        <v>-0.12000000000000099</v>
      </c>
      <c r="N432">
        <f t="shared" ca="1" si="142"/>
        <v>0</v>
      </c>
      <c r="O432">
        <f t="shared" ca="1" si="143"/>
        <v>0.12000000000000099</v>
      </c>
      <c r="P432">
        <f t="shared" ca="1" si="149"/>
        <v>5.4531799642761503E-2</v>
      </c>
      <c r="Q432">
        <f t="shared" ca="1" si="150"/>
        <v>5.1853039576766256E-2</v>
      </c>
      <c r="R432">
        <f t="shared" ca="1" si="147"/>
        <v>1.0516606179282788</v>
      </c>
      <c r="S432">
        <f t="shared" ca="1" si="148"/>
        <v>51.258995212874062</v>
      </c>
      <c r="T432">
        <f>70</f>
        <v>70</v>
      </c>
      <c r="U432">
        <f>30</f>
        <v>30</v>
      </c>
      <c r="V432">
        <f t="shared" ca="1" si="146"/>
        <v>11.651771955674064</v>
      </c>
      <c r="W432">
        <f t="shared" ca="1" si="156"/>
        <v>11.590995447474722</v>
      </c>
      <c r="X432">
        <f t="shared" ca="1" si="155"/>
        <v>5.6930912837357184E-2</v>
      </c>
      <c r="Y432">
        <f t="shared" ca="1" si="157"/>
        <v>7.4872369185444834E-2</v>
      </c>
      <c r="Z432">
        <f t="shared" ca="1" si="158"/>
        <v>-1.794145634808765E-2</v>
      </c>
      <c r="AA432">
        <f t="shared" ca="1" si="159"/>
        <v>11.037700000000006</v>
      </c>
      <c r="AB432" s="18">
        <f t="shared" ca="1" si="144"/>
        <v>-1.0221465076661107E-2</v>
      </c>
      <c r="AC432" s="18">
        <f t="shared" ca="1" si="145"/>
        <v>-1.027406297618534E-2</v>
      </c>
      <c r="AD432" s="18">
        <f t="shared" ca="1" si="140"/>
        <v>-2.9045088405361907E-2</v>
      </c>
    </row>
    <row r="433" spans="1:30" x14ac:dyDescent="0.25">
      <c r="A433" vm="1167">
        <f ca="1"/>
        <v>45922</v>
      </c>
      <c r="B433" vm="1161">
        <f ca="1"/>
        <v>11.66</v>
      </c>
      <c r="C433" vm="1168">
        <f ca="1"/>
        <v>58432710</v>
      </c>
      <c r="D433">
        <f t="shared" ca="1" si="137"/>
        <v>681325398.60000002</v>
      </c>
      <c r="E433">
        <f ca="1">SUM($D$2:D433)/SUM($C$2:C433)</f>
        <v>10.770855400679411</v>
      </c>
      <c r="F433">
        <f ca="1">_xlfn.STDEV.P($B$2:B433)</f>
        <v>1.0823155667073332</v>
      </c>
      <c r="G433">
        <f t="shared" ca="1" si="138"/>
        <v>11.853170967386744</v>
      </c>
      <c r="H433">
        <f t="shared" ca="1" si="139"/>
        <v>9.6885398339720776</v>
      </c>
      <c r="I433">
        <f t="shared" ca="1" si="151"/>
        <v>11.690999999999999</v>
      </c>
      <c r="J433">
        <f t="shared" ca="1" si="152"/>
        <v>0.11158664323013055</v>
      </c>
      <c r="K433">
        <f t="shared" ca="1" si="153"/>
        <v>11.91417328646026</v>
      </c>
      <c r="L433">
        <f t="shared" ca="1" si="154"/>
        <v>11.467826713539738</v>
      </c>
      <c r="M433">
        <f t="shared" ca="1" si="141"/>
        <v>4.0000000000000924E-2</v>
      </c>
      <c r="N433">
        <f t="shared" ca="1" si="142"/>
        <v>4.0000000000000924E-2</v>
      </c>
      <c r="O433">
        <f t="shared" ca="1" si="143"/>
        <v>0</v>
      </c>
      <c r="P433">
        <f t="shared" ca="1" si="149"/>
        <v>5.3493813953992886E-2</v>
      </c>
      <c r="Q433">
        <f t="shared" ca="1" si="150"/>
        <v>4.8149251035568663E-2</v>
      </c>
      <c r="R433">
        <f t="shared" ca="1" si="147"/>
        <v>1.1109999180356118</v>
      </c>
      <c r="S433">
        <f t="shared" ca="1" si="148"/>
        <v>52.629083902070981</v>
      </c>
      <c r="T433">
        <f>70</f>
        <v>70</v>
      </c>
      <c r="U433">
        <f>30</f>
        <v>30</v>
      </c>
      <c r="V433">
        <f t="shared" ca="1" si="146"/>
        <v>11.653037808647285</v>
      </c>
      <c r="W433">
        <f t="shared" ca="1" si="156"/>
        <v>11.596106895809928</v>
      </c>
      <c r="X433">
        <f t="shared" ca="1" si="155"/>
        <v>5.8853242250760829E-2</v>
      </c>
      <c r="Y433">
        <f t="shared" ca="1" si="157"/>
        <v>7.1668543798508039E-2</v>
      </c>
      <c r="Z433">
        <f t="shared" ca="1" si="158"/>
        <v>-1.281530154774721E-2</v>
      </c>
      <c r="AA433">
        <f t="shared" ca="1" si="159"/>
        <v>11.052800000000005</v>
      </c>
      <c r="AB433" s="18">
        <f t="shared" ca="1" si="144"/>
        <v>3.4423407917385518E-3</v>
      </c>
      <c r="AC433" s="18">
        <f t="shared" ca="1" si="145"/>
        <v>3.4364294985813186E-3</v>
      </c>
      <c r="AD433" s="18">
        <f t="shared" ca="1" si="140"/>
        <v>-2.570273070624074E-2</v>
      </c>
    </row>
    <row r="434" spans="1:30" x14ac:dyDescent="0.25">
      <c r="A434" vm="1169">
        <f ca="1"/>
        <v>45923</v>
      </c>
      <c r="B434" vm="1170">
        <f ca="1"/>
        <v>11.73</v>
      </c>
      <c r="C434" vm="1171">
        <f ca="1"/>
        <v>55667552</v>
      </c>
      <c r="D434">
        <f t="shared" ca="1" si="137"/>
        <v>652980384.96000004</v>
      </c>
      <c r="E434">
        <f ca="1">SUM($D$2:D434)/SUM($C$2:C434)</f>
        <v>10.772590013718457</v>
      </c>
      <c r="F434">
        <f ca="1">_xlfn.STDEV.P($B$2:B434)</f>
        <v>1.0815825556384959</v>
      </c>
      <c r="G434">
        <f t="shared" ca="1" si="138"/>
        <v>11.854172569356953</v>
      </c>
      <c r="H434">
        <f t="shared" ca="1" si="139"/>
        <v>9.6910074580799606</v>
      </c>
      <c r="I434">
        <f t="shared" ca="1" si="151"/>
        <v>11.686499999999999</v>
      </c>
      <c r="J434">
        <f t="shared" ca="1" si="152"/>
        <v>0.10786321747570181</v>
      </c>
      <c r="K434">
        <f t="shared" ca="1" si="153"/>
        <v>11.902226434951402</v>
      </c>
      <c r="L434">
        <f t="shared" ca="1" si="154"/>
        <v>11.470773565048596</v>
      </c>
      <c r="M434">
        <f t="shared" ca="1" si="141"/>
        <v>7.0000000000000284E-2</v>
      </c>
      <c r="N434">
        <f t="shared" ca="1" si="142"/>
        <v>7.0000000000000284E-2</v>
      </c>
      <c r="O434">
        <f t="shared" ca="1" si="143"/>
        <v>0</v>
      </c>
      <c r="P434">
        <f t="shared" ca="1" si="149"/>
        <v>5.4672827242993417E-2</v>
      </c>
      <c r="Q434">
        <f t="shared" ca="1" si="150"/>
        <v>4.4710018818742328E-2</v>
      </c>
      <c r="R434">
        <f t="shared" ca="1" si="147"/>
        <v>1.2228316759301989</v>
      </c>
      <c r="S434">
        <f t="shared" ca="1" si="148"/>
        <v>55.012338053823839</v>
      </c>
      <c r="T434">
        <f>70</f>
        <v>70</v>
      </c>
      <c r="U434">
        <f>30</f>
        <v>30</v>
      </c>
      <c r="V434">
        <f t="shared" ca="1" si="146"/>
        <v>11.664878145778472</v>
      </c>
      <c r="W434">
        <f t="shared" ca="1" si="156"/>
        <v>11.606024903527711</v>
      </c>
      <c r="X434">
        <f t="shared" ca="1" si="155"/>
        <v>5.171144059743682E-2</v>
      </c>
      <c r="Y434">
        <f t="shared" ca="1" si="157"/>
        <v>6.76771231582938E-2</v>
      </c>
      <c r="Z434">
        <f t="shared" ca="1" si="158"/>
        <v>-1.5965682560856981E-2</v>
      </c>
      <c r="AA434">
        <f t="shared" ca="1" si="159"/>
        <v>11.070000000000007</v>
      </c>
      <c r="AB434" s="18">
        <f t="shared" ca="1" si="144"/>
        <v>6.0034305317324677E-3</v>
      </c>
      <c r="AC434" s="18">
        <f t="shared" ca="1" si="145"/>
        <v>5.9854817430378239E-3</v>
      </c>
      <c r="AD434" s="18">
        <f t="shared" ca="1" si="140"/>
        <v>-1.9853604732778973E-2</v>
      </c>
    </row>
    <row r="435" spans="1:30" x14ac:dyDescent="0.25">
      <c r="A435" vm="1172">
        <f ca="1"/>
        <v>45924</v>
      </c>
      <c r="B435" vm="1173">
        <f ca="1"/>
        <v>11.63</v>
      </c>
      <c r="C435" vm="1174">
        <f ca="1"/>
        <v>60193780</v>
      </c>
      <c r="D435">
        <f t="shared" ca="1" si="137"/>
        <v>700053661.4000001</v>
      </c>
      <c r="E435">
        <f ca="1">SUM($D$2:D435)/SUM($C$2:C435)</f>
        <v>10.774263445828598</v>
      </c>
      <c r="F435">
        <f ca="1">_xlfn.STDEV.P($B$2:B435)</f>
        <v>1.0807127864095301</v>
      </c>
      <c r="G435">
        <f t="shared" ca="1" si="138"/>
        <v>11.854976232238128</v>
      </c>
      <c r="H435">
        <f t="shared" ca="1" si="139"/>
        <v>9.6935506594190688</v>
      </c>
      <c r="I435">
        <f t="shared" ca="1" si="151"/>
        <v>11.676</v>
      </c>
      <c r="J435">
        <f t="shared" ca="1" si="152"/>
        <v>0.10220721985003653</v>
      </c>
      <c r="K435">
        <f t="shared" ca="1" si="153"/>
        <v>11.880414439700074</v>
      </c>
      <c r="L435">
        <f t="shared" ca="1" si="154"/>
        <v>11.471585560299927</v>
      </c>
      <c r="M435">
        <f t="shared" ca="1" si="141"/>
        <v>-9.9999999999999645E-2</v>
      </c>
      <c r="N435">
        <f t="shared" ca="1" si="142"/>
        <v>0</v>
      </c>
      <c r="O435">
        <f t="shared" ca="1" si="143"/>
        <v>9.9999999999999645E-2</v>
      </c>
      <c r="P435">
        <f t="shared" ca="1" si="149"/>
        <v>5.0767625297065314E-2</v>
      </c>
      <c r="Q435">
        <f t="shared" ca="1" si="150"/>
        <v>4.8659303188832138E-2</v>
      </c>
      <c r="R435">
        <f t="shared" ca="1" si="147"/>
        <v>1.0433282429066322</v>
      </c>
      <c r="S435">
        <f t="shared" ca="1" si="148"/>
        <v>51.06023697017465</v>
      </c>
      <c r="T435">
        <f>70</f>
        <v>70</v>
      </c>
      <c r="U435">
        <f>30</f>
        <v>30</v>
      </c>
      <c r="V435">
        <f t="shared" ca="1" si="146"/>
        <v>11.65951227719717</v>
      </c>
      <c r="W435">
        <f t="shared" ca="1" si="156"/>
        <v>11.607800836599733</v>
      </c>
      <c r="X435">
        <f t="shared" ca="1" si="155"/>
        <v>4.4728986987596642E-2</v>
      </c>
      <c r="Y435">
        <f t="shared" ca="1" si="157"/>
        <v>6.3087495924154371E-2</v>
      </c>
      <c r="Z435">
        <f t="shared" ca="1" si="158"/>
        <v>-1.835850893655773E-2</v>
      </c>
      <c r="AA435">
        <f t="shared" ca="1" si="159"/>
        <v>11.084500000000007</v>
      </c>
      <c r="AB435" s="18">
        <f t="shared" ca="1" si="144"/>
        <v>-8.5251491901108256E-3</v>
      </c>
      <c r="AC435" s="18">
        <f t="shared" ca="1" si="145"/>
        <v>-8.5616961348110362E-3</v>
      </c>
      <c r="AD435" s="18">
        <f t="shared" ca="1" si="140"/>
        <v>-2.8209498980581338E-2</v>
      </c>
    </row>
    <row r="436" spans="1:30" x14ac:dyDescent="0.25">
      <c r="A436" vm="1175">
        <f ca="1"/>
        <v>45925</v>
      </c>
      <c r="B436" vm="1136">
        <f ca="1"/>
        <v>11.62</v>
      </c>
      <c r="C436" vm="1176">
        <f ca="1"/>
        <v>67656337</v>
      </c>
      <c r="D436">
        <f t="shared" ca="1" si="137"/>
        <v>786166635.93999994</v>
      </c>
      <c r="E436">
        <f ca="1">SUM($D$2:D436)/SUM($C$2:C436)</f>
        <v>10.776114673614432</v>
      </c>
      <c r="F436">
        <f ca="1">_xlfn.STDEV.P($B$2:B436)</f>
        <v>1.0798320805338852</v>
      </c>
      <c r="G436">
        <f t="shared" ca="1" si="138"/>
        <v>11.855946754148317</v>
      </c>
      <c r="H436">
        <f t="shared" ca="1" si="139"/>
        <v>9.6962825930805465</v>
      </c>
      <c r="I436">
        <f t="shared" ca="1" si="151"/>
        <v>11.6615</v>
      </c>
      <c r="J436">
        <f t="shared" ca="1" si="152"/>
        <v>8.6649627204834864E-2</v>
      </c>
      <c r="K436">
        <f t="shared" ca="1" si="153"/>
        <v>11.834799254409671</v>
      </c>
      <c r="L436">
        <f t="shared" ca="1" si="154"/>
        <v>11.48820074559033</v>
      </c>
      <c r="M436">
        <f t="shared" ca="1" si="141"/>
        <v>-1.0000000000001563E-2</v>
      </c>
      <c r="N436">
        <f t="shared" ca="1" si="142"/>
        <v>0</v>
      </c>
      <c r="O436">
        <f t="shared" ca="1" si="143"/>
        <v>1.0000000000001563E-2</v>
      </c>
      <c r="P436">
        <f t="shared" ca="1" si="149"/>
        <v>4.7141366347274935E-2</v>
      </c>
      <c r="Q436">
        <f t="shared" ca="1" si="150"/>
        <v>4.589792438962996E-2</v>
      </c>
      <c r="R436">
        <f t="shared" ca="1" si="147"/>
        <v>1.0270914638119435</v>
      </c>
      <c r="S436">
        <f t="shared" ca="1" si="148"/>
        <v>50.668234864967516</v>
      </c>
      <c r="T436">
        <f>70</f>
        <v>70</v>
      </c>
      <c r="U436">
        <f>30</f>
        <v>30</v>
      </c>
      <c r="V436">
        <f t="shared" ca="1" si="146"/>
        <v>11.653433465320681</v>
      </c>
      <c r="W436">
        <f t="shared" ca="1" si="156"/>
        <v>11.608704478333085</v>
      </c>
      <c r="X436">
        <f t="shared" ca="1" si="155"/>
        <v>6.9859782740712362E-2</v>
      </c>
      <c r="Y436">
        <f t="shared" ca="1" si="157"/>
        <v>6.4441953287465978E-2</v>
      </c>
      <c r="Z436">
        <f t="shared" ca="1" si="158"/>
        <v>5.4178294532463839E-3</v>
      </c>
      <c r="AA436">
        <f t="shared" ca="1" si="159"/>
        <v>11.097900000000005</v>
      </c>
      <c r="AB436" s="18">
        <f t="shared" ca="1" si="144"/>
        <v>-8.5984522785909068E-4</v>
      </c>
      <c r="AC436" s="18">
        <f t="shared" ca="1" si="145"/>
        <v>-8.6021510680799214E-4</v>
      </c>
      <c r="AD436" s="18">
        <f t="shared" ca="1" si="140"/>
        <v>-2.9045088405361685E-2</v>
      </c>
    </row>
    <row r="437" spans="1:30" x14ac:dyDescent="0.25">
      <c r="A437" vm="1177">
        <f ca="1"/>
        <v>45926</v>
      </c>
      <c r="B437" vm="1178">
        <f ca="1"/>
        <v>12.01</v>
      </c>
      <c r="C437" vm="1179">
        <f ca="1"/>
        <v>117681848</v>
      </c>
      <c r="D437">
        <f t="shared" ca="1" si="137"/>
        <v>1413358994.48</v>
      </c>
      <c r="E437">
        <f ca="1">SUM($D$2:D437)/SUM($C$2:C437)</f>
        <v>10.780794720177997</v>
      </c>
      <c r="F437">
        <f ca="1">_xlfn.STDEV.P($B$2:B437)</f>
        <v>1.0795960441804719</v>
      </c>
      <c r="G437">
        <f t="shared" ca="1" si="138"/>
        <v>11.860390764358469</v>
      </c>
      <c r="H437">
        <f t="shared" ca="1" si="139"/>
        <v>9.7011986759975262</v>
      </c>
      <c r="I437">
        <f t="shared" ca="1" si="151"/>
        <v>11.676500000000001</v>
      </c>
      <c r="J437">
        <f t="shared" ca="1" si="152"/>
        <v>0.1163603748795322</v>
      </c>
      <c r="K437">
        <f t="shared" ca="1" si="153"/>
        <v>11.909220749759065</v>
      </c>
      <c r="L437">
        <f t="shared" ca="1" si="154"/>
        <v>11.443779250240937</v>
      </c>
      <c r="M437">
        <f t="shared" ca="1" si="141"/>
        <v>0.39000000000000057</v>
      </c>
      <c r="N437">
        <f t="shared" ca="1" si="142"/>
        <v>0.39000000000000057</v>
      </c>
      <c r="O437">
        <f t="shared" ca="1" si="143"/>
        <v>0</v>
      </c>
      <c r="P437">
        <f t="shared" ca="1" si="149"/>
        <v>7.1631268751041047E-2</v>
      </c>
      <c r="Q437">
        <f t="shared" ca="1" si="150"/>
        <v>4.2619501218942105E-2</v>
      </c>
      <c r="R437">
        <f t="shared" ca="1" si="147"/>
        <v>1.6807157921220521</v>
      </c>
      <c r="S437">
        <f t="shared" ca="1" si="148"/>
        <v>62.696530421511007</v>
      </c>
      <c r="T437">
        <f>70</f>
        <v>70</v>
      </c>
      <c r="U437">
        <f>30</f>
        <v>30</v>
      </c>
      <c r="V437">
        <f t="shared" ca="1" si="146"/>
        <v>11.708289855271346</v>
      </c>
      <c r="W437">
        <f t="shared" ca="1" si="156"/>
        <v>11.638430072530634</v>
      </c>
      <c r="X437">
        <f t="shared" ca="1" si="155"/>
        <v>9.5134796134283661E-2</v>
      </c>
      <c r="Y437">
        <f t="shared" ca="1" si="157"/>
        <v>7.0580521856829517E-2</v>
      </c>
      <c r="Z437">
        <f t="shared" ca="1" si="158"/>
        <v>2.4554274277454144E-2</v>
      </c>
      <c r="AA437">
        <f t="shared" ca="1" si="159"/>
        <v>11.116300000000006</v>
      </c>
      <c r="AB437" s="18">
        <f t="shared" ca="1" si="144"/>
        <v>3.3562822719449326E-2</v>
      </c>
      <c r="AC437" s="18">
        <f t="shared" ca="1" si="145"/>
        <v>3.3011884668127101E-2</v>
      </c>
      <c r="AD437" s="18">
        <f t="shared" ca="1" si="140"/>
        <v>3.5428991610677585E-3</v>
      </c>
    </row>
    <row r="438" spans="1:30" x14ac:dyDescent="0.25">
      <c r="A438" vm="1180">
        <f ca="1"/>
        <v>45929</v>
      </c>
      <c r="B438" vm="1181">
        <f ca="1"/>
        <v>12.09</v>
      </c>
      <c r="C438" vm="1182">
        <f ca="1"/>
        <v>83325012</v>
      </c>
      <c r="D438">
        <f t="shared" ca="1" si="137"/>
        <v>1007399395.08</v>
      </c>
      <c r="E438">
        <f ca="1">SUM($D$2:D438)/SUM($C$2:C438)</f>
        <v>10.784301304203817</v>
      </c>
      <c r="F438">
        <f ca="1">_xlfn.STDEV.P($B$2:B438)</f>
        <v>1.0795274201798202</v>
      </c>
      <c r="G438">
        <f t="shared" ca="1" si="138"/>
        <v>11.863828724383637</v>
      </c>
      <c r="H438">
        <f t="shared" ca="1" si="139"/>
        <v>9.7047738840239965</v>
      </c>
      <c r="I438">
        <f t="shared" ca="1" si="151"/>
        <v>11.692500000000001</v>
      </c>
      <c r="J438">
        <f t="shared" ca="1" si="152"/>
        <v>0.14767941808632576</v>
      </c>
      <c r="K438">
        <f t="shared" ca="1" si="153"/>
        <v>11.987858836172652</v>
      </c>
      <c r="L438">
        <f t="shared" ca="1" si="154"/>
        <v>11.397141163827349</v>
      </c>
      <c r="M438">
        <f t="shared" ca="1" si="141"/>
        <v>8.0000000000000071E-2</v>
      </c>
      <c r="N438">
        <f t="shared" ca="1" si="142"/>
        <v>8.0000000000000071E-2</v>
      </c>
      <c r="O438">
        <f t="shared" ca="1" si="143"/>
        <v>0</v>
      </c>
      <c r="P438">
        <f t="shared" ca="1" si="149"/>
        <v>7.2229035268823835E-2</v>
      </c>
      <c r="Q438">
        <f t="shared" ca="1" si="150"/>
        <v>3.9575251131874815E-2</v>
      </c>
      <c r="R438">
        <f t="shared" ca="1" si="147"/>
        <v>1.8251061762852319</v>
      </c>
      <c r="S438">
        <f t="shared" ca="1" si="148"/>
        <v>64.603100287193001</v>
      </c>
      <c r="T438">
        <f>70</f>
        <v>70</v>
      </c>
      <c r="U438">
        <f>30</f>
        <v>30</v>
      </c>
      <c r="V438">
        <f t="shared" ca="1" si="146"/>
        <v>11.767014492921907</v>
      </c>
      <c r="W438">
        <f t="shared" ca="1" si="156"/>
        <v>11.671879696787624</v>
      </c>
      <c r="X438">
        <f t="shared" ca="1" si="155"/>
        <v>0.10348262946389752</v>
      </c>
      <c r="Y438">
        <f t="shared" ca="1" si="157"/>
        <v>7.7160943378243127E-2</v>
      </c>
      <c r="Z438">
        <f t="shared" ca="1" si="158"/>
        <v>2.6321686085654397E-2</v>
      </c>
      <c r="AA438">
        <f t="shared" ca="1" si="159"/>
        <v>11.132800000000001</v>
      </c>
      <c r="AB438" s="18">
        <f t="shared" ca="1" si="144"/>
        <v>6.6611157368858809E-3</v>
      </c>
      <c r="AC438" s="18">
        <f t="shared" ca="1" si="145"/>
        <v>6.639028534809085E-3</v>
      </c>
      <c r="AD438" s="18">
        <f t="shared" ca="1" si="140"/>
        <v>1.022761455930965E-2</v>
      </c>
    </row>
    <row r="439" spans="1:30" x14ac:dyDescent="0.25">
      <c r="A439" vm="1183">
        <f ca="1"/>
        <v>45930</v>
      </c>
      <c r="B439" vm="1184">
        <f ca="1"/>
        <v>11.96</v>
      </c>
      <c r="C439" vm="1185">
        <f ca="1"/>
        <v>70765048</v>
      </c>
      <c r="D439">
        <f t="shared" ca="1" si="137"/>
        <v>846349974.08000004</v>
      </c>
      <c r="E439">
        <f ca="1">SUM($D$2:D439)/SUM($C$2:C439)</f>
        <v>10.786969570686527</v>
      </c>
      <c r="F439">
        <f ca="1">_xlfn.STDEV.P($B$2:B439)</f>
        <v>1.0791840959170542</v>
      </c>
      <c r="G439">
        <f t="shared" ca="1" si="138"/>
        <v>11.86615366660358</v>
      </c>
      <c r="H439">
        <f t="shared" ca="1" si="139"/>
        <v>9.707785474769473</v>
      </c>
      <c r="I439">
        <f t="shared" ca="1" si="151"/>
        <v>11.704500000000001</v>
      </c>
      <c r="J439">
        <f t="shared" ca="1" si="152"/>
        <v>0.15932340496117037</v>
      </c>
      <c r="K439">
        <f t="shared" ca="1" si="153"/>
        <v>12.023146809922341</v>
      </c>
      <c r="L439">
        <f t="shared" ca="1" si="154"/>
        <v>11.385853190077661</v>
      </c>
      <c r="M439">
        <f t="shared" ca="1" si="141"/>
        <v>-0.12999999999999901</v>
      </c>
      <c r="N439">
        <f t="shared" ca="1" si="142"/>
        <v>0</v>
      </c>
      <c r="O439">
        <f t="shared" ca="1" si="143"/>
        <v>0.12999999999999901</v>
      </c>
      <c r="P439">
        <f t="shared" ca="1" si="149"/>
        <v>6.7069818463907846E-2</v>
      </c>
      <c r="Q439">
        <f t="shared" ca="1" si="150"/>
        <v>4.6034161765312262E-2</v>
      </c>
      <c r="R439">
        <f t="shared" ca="1" si="147"/>
        <v>1.4569575265829302</v>
      </c>
      <c r="S439">
        <f t="shared" ca="1" si="148"/>
        <v>59.299255718483145</v>
      </c>
      <c r="T439">
        <f>70</f>
        <v>70</v>
      </c>
      <c r="U439">
        <f>30</f>
        <v>30</v>
      </c>
      <c r="V439">
        <f t="shared" ca="1" si="146"/>
        <v>11.796704570933921</v>
      </c>
      <c r="W439">
        <f t="shared" ca="1" si="156"/>
        <v>11.693221941470023</v>
      </c>
      <c r="X439">
        <f t="shared" ca="1" si="155"/>
        <v>0.13357301022682933</v>
      </c>
      <c r="Y439">
        <f t="shared" ca="1" si="157"/>
        <v>8.8443356747960375E-2</v>
      </c>
      <c r="Z439">
        <f t="shared" ca="1" si="158"/>
        <v>4.512965347886895E-2</v>
      </c>
      <c r="AA439">
        <f t="shared" ca="1" si="159"/>
        <v>11.149600000000005</v>
      </c>
      <c r="AB439" s="18">
        <f t="shared" ca="1" si="144"/>
        <v>-1.075268817204289E-2</v>
      </c>
      <c r="AC439" s="18">
        <f t="shared" ca="1" si="145"/>
        <v>-1.0810916104215506E-2</v>
      </c>
      <c r="AD439" s="18">
        <f t="shared" ca="1" si="140"/>
        <v>-6.3504796283331277E-4</v>
      </c>
    </row>
    <row r="440" spans="1:30" x14ac:dyDescent="0.25">
      <c r="A440" vm="1186">
        <f ca="1"/>
        <v>45931</v>
      </c>
      <c r="B440" vm="1187">
        <f ca="1"/>
        <v>12.27</v>
      </c>
      <c r="C440" vm="1188">
        <f ca="1"/>
        <v>73578427</v>
      </c>
      <c r="D440">
        <f t="shared" ca="1" si="137"/>
        <v>902807299.28999996</v>
      </c>
      <c r="E440">
        <f ca="1">SUM($D$2:D440)/SUM($C$2:C440)</f>
        <v>10.790460903928844</v>
      </c>
      <c r="F440">
        <f ca="1">_xlfn.STDEV.P($B$2:B440)</f>
        <v>1.0795373035045606</v>
      </c>
      <c r="G440">
        <f t="shared" ca="1" si="138"/>
        <v>11.869998207433405</v>
      </c>
      <c r="H440">
        <f t="shared" ca="1" si="139"/>
        <v>9.7109236004242838</v>
      </c>
      <c r="I440">
        <f t="shared" ca="1" si="151"/>
        <v>11.737</v>
      </c>
      <c r="J440">
        <f t="shared" ca="1" si="152"/>
        <v>0.20181022873247195</v>
      </c>
      <c r="K440">
        <f t="shared" ca="1" si="153"/>
        <v>12.140620457464944</v>
      </c>
      <c r="L440">
        <f t="shared" ca="1" si="154"/>
        <v>11.333379542535056</v>
      </c>
      <c r="M440">
        <f t="shared" ca="1" si="141"/>
        <v>0.30999999999999872</v>
      </c>
      <c r="N440">
        <f t="shared" ca="1" si="142"/>
        <v>0.30999999999999872</v>
      </c>
      <c r="O440">
        <f t="shared" ca="1" si="143"/>
        <v>0</v>
      </c>
      <c r="P440">
        <f t="shared" ca="1" si="149"/>
        <v>8.4421974287914328E-2</v>
      </c>
      <c r="Q440">
        <f t="shared" ca="1" si="150"/>
        <v>4.2746007353504242E-2</v>
      </c>
      <c r="R440">
        <f t="shared" ca="1" si="147"/>
        <v>1.9749674768395313</v>
      </c>
      <c r="S440">
        <f t="shared" ca="1" si="148"/>
        <v>66.386187150443945</v>
      </c>
      <c r="T440">
        <f>70</f>
        <v>70</v>
      </c>
      <c r="U440">
        <f>30</f>
        <v>30</v>
      </c>
      <c r="V440">
        <f t="shared" ca="1" si="146"/>
        <v>11.869519252328702</v>
      </c>
      <c r="W440">
        <f t="shared" ca="1" si="156"/>
        <v>11.735946242101873</v>
      </c>
      <c r="X440">
        <f t="shared" ca="1" si="155"/>
        <v>0.15163729133480253</v>
      </c>
      <c r="Y440">
        <f t="shared" ca="1" si="157"/>
        <v>0.10108214366532882</v>
      </c>
      <c r="Z440">
        <f t="shared" ca="1" si="158"/>
        <v>5.0555147669473707E-2</v>
      </c>
      <c r="AA440">
        <f t="shared" ca="1" si="159"/>
        <v>11.169500000000003</v>
      </c>
      <c r="AB440" s="18">
        <f t="shared" ca="1" si="144"/>
        <v>2.5919732441471499E-2</v>
      </c>
      <c r="AC440" s="18">
        <f t="shared" ca="1" si="145"/>
        <v>2.5589510200334321E-2</v>
      </c>
      <c r="AD440" s="18">
        <f t="shared" ca="1" si="140"/>
        <v>2.5268224205354128E-2</v>
      </c>
    </row>
    <row r="441" spans="1:30" x14ac:dyDescent="0.25">
      <c r="A441" vm="1189">
        <f ca="1"/>
        <v>45932</v>
      </c>
      <c r="B441" vm="1190">
        <f ca="1"/>
        <v>12.22</v>
      </c>
      <c r="C441" vm="1191">
        <f ca="1"/>
        <v>74530532</v>
      </c>
      <c r="D441">
        <f t="shared" ca="1" si="137"/>
        <v>910763101.04000008</v>
      </c>
      <c r="E441">
        <f ca="1">SUM($D$2:D441)/SUM($C$2:C441)</f>
        <v>10.793861747003099</v>
      </c>
      <c r="F441">
        <f ca="1">_xlfn.STDEV.P($B$2:B441)</f>
        <v>1.0797558228071282</v>
      </c>
      <c r="G441">
        <f t="shared" ca="1" si="138"/>
        <v>11.873617569810227</v>
      </c>
      <c r="H441">
        <f t="shared" ca="1" si="139"/>
        <v>9.7141059241959713</v>
      </c>
      <c r="I441">
        <f t="shared" ca="1" si="151"/>
        <v>11.763999999999999</v>
      </c>
      <c r="J441">
        <f t="shared" ca="1" si="152"/>
        <v>0.22818275224269838</v>
      </c>
      <c r="K441">
        <f t="shared" ca="1" si="153"/>
        <v>12.220365504485397</v>
      </c>
      <c r="L441">
        <f t="shared" ca="1" si="154"/>
        <v>11.307634495514602</v>
      </c>
      <c r="M441">
        <f t="shared" ca="1" si="141"/>
        <v>-4.9999999999998934E-2</v>
      </c>
      <c r="N441">
        <f t="shared" ca="1" si="142"/>
        <v>0</v>
      </c>
      <c r="O441">
        <f t="shared" ca="1" si="143"/>
        <v>4.9999999999998934E-2</v>
      </c>
      <c r="P441">
        <f t="shared" ca="1" si="149"/>
        <v>7.8391833267349012E-2</v>
      </c>
      <c r="Q441">
        <f t="shared" ca="1" si="150"/>
        <v>4.326414968539672E-2</v>
      </c>
      <c r="R441">
        <f t="shared" ca="1" si="147"/>
        <v>1.8119351434707431</v>
      </c>
      <c r="S441">
        <f t="shared" ca="1" si="148"/>
        <v>64.437302107696894</v>
      </c>
      <c r="T441">
        <f>70</f>
        <v>70</v>
      </c>
      <c r="U441">
        <f>30</f>
        <v>30</v>
      </c>
      <c r="V441">
        <f t="shared" ca="1" si="146"/>
        <v>11.923439367355057</v>
      </c>
      <c r="W441">
        <f t="shared" ca="1" si="156"/>
        <v>11.771802076020254</v>
      </c>
      <c r="X441">
        <f t="shared" ca="1" si="155"/>
        <v>0.19995959372612404</v>
      </c>
      <c r="Y441">
        <f t="shared" ca="1" si="157"/>
        <v>0.12085763367748788</v>
      </c>
      <c r="Z441">
        <f t="shared" ca="1" si="158"/>
        <v>7.9101960048636163E-2</v>
      </c>
      <c r="AA441">
        <f t="shared" ca="1" si="159"/>
        <v>11.187400000000004</v>
      </c>
      <c r="AB441" s="18">
        <f t="shared" ca="1" si="144"/>
        <v>-4.0749796251018378E-3</v>
      </c>
      <c r="AC441" s="18">
        <f t="shared" ca="1" si="145"/>
        <v>-4.0833049793707679E-3</v>
      </c>
      <c r="AD441" s="18">
        <f t="shared" ca="1" si="140"/>
        <v>2.1090277081452946E-2</v>
      </c>
    </row>
    <row r="442" spans="1:30" x14ac:dyDescent="0.25">
      <c r="A442" vm="1192">
        <f ca="1"/>
        <v>45933</v>
      </c>
      <c r="B442" vm="1193">
        <f ca="1"/>
        <v>12.67</v>
      </c>
      <c r="C442" vm="1194">
        <f ca="1"/>
        <v>100778558</v>
      </c>
      <c r="D442">
        <f t="shared" ca="1" si="137"/>
        <v>1276864329.8599999</v>
      </c>
      <c r="E442">
        <f ca="1">SUM($D$2:D442)/SUM($C$2:C442)</f>
        <v>10.799877562594277</v>
      </c>
      <c r="F442">
        <f ca="1">_xlfn.STDEV.P($B$2:B442)</f>
        <v>1.0812814488237008</v>
      </c>
      <c r="G442">
        <f t="shared" ca="1" si="138"/>
        <v>11.881159011417978</v>
      </c>
      <c r="H442">
        <f t="shared" ca="1" si="139"/>
        <v>9.7185961137705767</v>
      </c>
      <c r="I442">
        <f t="shared" ca="1" si="151"/>
        <v>11.810499999999999</v>
      </c>
      <c r="J442">
        <f t="shared" ca="1" si="152"/>
        <v>0.3048981710946167</v>
      </c>
      <c r="K442">
        <f t="shared" ca="1" si="153"/>
        <v>12.420296342189232</v>
      </c>
      <c r="L442">
        <f t="shared" ca="1" si="154"/>
        <v>11.200703657810767</v>
      </c>
      <c r="M442">
        <f t="shared" ca="1" si="141"/>
        <v>0.44999999999999929</v>
      </c>
      <c r="N442">
        <f t="shared" ca="1" si="142"/>
        <v>0.44999999999999929</v>
      </c>
      <c r="O442">
        <f t="shared" ca="1" si="143"/>
        <v>0</v>
      </c>
      <c r="P442">
        <f t="shared" ca="1" si="149"/>
        <v>0.10493527374825261</v>
      </c>
      <c r="Q442">
        <f t="shared" ca="1" si="150"/>
        <v>4.0173853279296956E-2</v>
      </c>
      <c r="R442">
        <f t="shared" ca="1" si="147"/>
        <v>2.6120290980982288</v>
      </c>
      <c r="S442">
        <f t="shared" ca="1" si="148"/>
        <v>72.314730229429472</v>
      </c>
      <c r="T442">
        <f>70</f>
        <v>70</v>
      </c>
      <c r="U442">
        <f>30</f>
        <v>30</v>
      </c>
      <c r="V442">
        <f t="shared" ca="1" si="146"/>
        <v>12.038294849300433</v>
      </c>
      <c r="W442">
        <f t="shared" ca="1" si="156"/>
        <v>11.838335255574309</v>
      </c>
      <c r="X442">
        <f t="shared" ca="1" si="155"/>
        <v>0.23793336803583465</v>
      </c>
      <c r="Y442">
        <f t="shared" ca="1" si="157"/>
        <v>0.14427278054915724</v>
      </c>
      <c r="Z442">
        <f t="shared" ca="1" si="158"/>
        <v>9.366058748667741E-2</v>
      </c>
      <c r="AA442">
        <f t="shared" ca="1" si="159"/>
        <v>11.208600000000004</v>
      </c>
      <c r="AB442" s="18">
        <f t="shared" ca="1" si="144"/>
        <v>3.6824877250409171E-2</v>
      </c>
      <c r="AC442" s="18">
        <f t="shared" ca="1" si="145"/>
        <v>3.6163040589598426E-2</v>
      </c>
      <c r="AD442" s="18">
        <f t="shared" ca="1" si="140"/>
        <v>5.8691801196563809E-2</v>
      </c>
    </row>
    <row r="443" spans="1:30" x14ac:dyDescent="0.25">
      <c r="A443" vm="1195">
        <f ca="1"/>
        <v>45936</v>
      </c>
      <c r="B443" vm="1196">
        <f ca="1"/>
        <v>12.7</v>
      </c>
      <c r="C443" vm="1197">
        <f ca="1"/>
        <v>90544937</v>
      </c>
      <c r="D443">
        <f t="shared" ca="1" si="137"/>
        <v>1149920699.8999999</v>
      </c>
      <c r="E443">
        <f ca="1">SUM($D$2:D443)/SUM($C$2:C443)</f>
        <v>10.805335869367267</v>
      </c>
      <c r="F443">
        <f ca="1">_xlfn.STDEV.P($B$2:B443)</f>
        <v>1.0828877003054334</v>
      </c>
      <c r="G443">
        <f t="shared" ca="1" si="138"/>
        <v>11.8882235696727</v>
      </c>
      <c r="H443">
        <f t="shared" ca="1" si="139"/>
        <v>9.7224481690618347</v>
      </c>
      <c r="I443">
        <f t="shared" ca="1" si="151"/>
        <v>11.860999999999999</v>
      </c>
      <c r="J443">
        <f t="shared" ca="1" si="152"/>
        <v>0.36215582572321425</v>
      </c>
      <c r="K443">
        <f t="shared" ca="1" si="153"/>
        <v>12.585311651446428</v>
      </c>
      <c r="L443">
        <f t="shared" ca="1" si="154"/>
        <v>11.136688348553569</v>
      </c>
      <c r="M443">
        <f t="shared" ca="1" si="141"/>
        <v>2.9999999999999361E-2</v>
      </c>
      <c r="N443">
        <f t="shared" ca="1" si="142"/>
        <v>2.9999999999999361E-2</v>
      </c>
      <c r="O443">
        <f t="shared" ca="1" si="143"/>
        <v>0</v>
      </c>
      <c r="P443">
        <f t="shared" ca="1" si="149"/>
        <v>9.9582754194805959E-2</v>
      </c>
      <c r="Q443">
        <f t="shared" ca="1" si="150"/>
        <v>3.730429233077575E-2</v>
      </c>
      <c r="R443">
        <f t="shared" ca="1" si="147"/>
        <v>2.6694717409945601</v>
      </c>
      <c r="S443">
        <f t="shared" ca="1" si="148"/>
        <v>72.748120967162322</v>
      </c>
      <c r="T443">
        <f>70</f>
        <v>70</v>
      </c>
      <c r="U443">
        <f>30</f>
        <v>30</v>
      </c>
      <c r="V443">
        <f t="shared" ca="1" si="146"/>
        <v>12.140095641715751</v>
      </c>
      <c r="W443">
        <f t="shared" ca="1" si="156"/>
        <v>11.902162273679917</v>
      </c>
      <c r="X443">
        <f t="shared" ca="1" si="155"/>
        <v>0.20275118701881745</v>
      </c>
      <c r="Y443">
        <f t="shared" ca="1" si="157"/>
        <v>0.1559684618430893</v>
      </c>
      <c r="Z443">
        <f t="shared" ca="1" si="158"/>
        <v>4.6782725175728151E-2</v>
      </c>
      <c r="AA443">
        <f t="shared" ca="1" si="159"/>
        <v>11.229600000000005</v>
      </c>
      <c r="AB443" s="18">
        <f t="shared" ca="1" si="144"/>
        <v>2.3677979479084232E-3</v>
      </c>
      <c r="AC443" s="18">
        <f t="shared" ca="1" si="145"/>
        <v>2.3649991314978833E-3</v>
      </c>
      <c r="AD443" s="18">
        <f t="shared" ca="1" si="140"/>
        <v>6.1198569470904518E-2</v>
      </c>
    </row>
    <row r="444" spans="1:30" x14ac:dyDescent="0.25">
      <c r="A444" vm="1198">
        <f ca="1"/>
        <v>45937</v>
      </c>
      <c r="B444" vm="1199">
        <f ca="1"/>
        <v>11.92</v>
      </c>
      <c r="C444" vm="1200">
        <f ca="1"/>
        <v>154390154</v>
      </c>
      <c r="D444">
        <f t="shared" ca="1" si="137"/>
        <v>1840330635.6800001</v>
      </c>
      <c r="E444">
        <f ca="1">SUM($D$2:D444)/SUM($C$2:C444)</f>
        <v>10.810769045254155</v>
      </c>
      <c r="F444">
        <f ca="1">_xlfn.STDEV.P($B$2:B444)</f>
        <v>1.082439933101526</v>
      </c>
      <c r="G444">
        <f t="shared" ca="1" si="138"/>
        <v>11.89320897835568</v>
      </c>
      <c r="H444">
        <f t="shared" ca="1" si="139"/>
        <v>9.728329112152629</v>
      </c>
      <c r="I444">
        <f t="shared" ca="1" si="151"/>
        <v>11.882499999999999</v>
      </c>
      <c r="J444">
        <f t="shared" ca="1" si="152"/>
        <v>0.35158101559429478</v>
      </c>
      <c r="K444">
        <f t="shared" ca="1" si="153"/>
        <v>12.585662031188589</v>
      </c>
      <c r="L444">
        <f t="shared" ca="1" si="154"/>
        <v>11.179337968811408</v>
      </c>
      <c r="M444">
        <f t="shared" ca="1" si="141"/>
        <v>-0.77999999999999936</v>
      </c>
      <c r="N444">
        <f t="shared" ca="1" si="142"/>
        <v>0</v>
      </c>
      <c r="O444">
        <f t="shared" ca="1" si="143"/>
        <v>0.77999999999999936</v>
      </c>
      <c r="P444">
        <f t="shared" ca="1" si="149"/>
        <v>9.2469700323748391E-2</v>
      </c>
      <c r="Q444">
        <f t="shared" ca="1" si="150"/>
        <v>9.0353985735720288E-2</v>
      </c>
      <c r="R444">
        <f t="shared" ca="1" si="147"/>
        <v>1.02341584126921</v>
      </c>
      <c r="S444">
        <f t="shared" ca="1" si="148"/>
        <v>50.578621576238177</v>
      </c>
      <c r="T444">
        <f>70</f>
        <v>70</v>
      </c>
      <c r="U444">
        <f>30</f>
        <v>30</v>
      </c>
      <c r="V444">
        <f t="shared" ca="1" si="146"/>
        <v>12.106234773759482</v>
      </c>
      <c r="W444">
        <f t="shared" ca="1" si="156"/>
        <v>11.903483586740665</v>
      </c>
      <c r="X444">
        <f t="shared" ca="1" si="155"/>
        <v>0.15851727098532642</v>
      </c>
      <c r="Y444">
        <f t="shared" ca="1" si="157"/>
        <v>0.15647822367153674</v>
      </c>
      <c r="Z444">
        <f t="shared" ca="1" si="158"/>
        <v>2.039047313789677E-3</v>
      </c>
      <c r="AA444">
        <f t="shared" ca="1" si="159"/>
        <v>11.242300000000006</v>
      </c>
      <c r="AB444" s="18">
        <f t="shared" ca="1" si="144"/>
        <v>-6.1417322834645627E-2</v>
      </c>
      <c r="AC444" s="18">
        <f t="shared" ca="1" si="145"/>
        <v>-6.3384331827341836E-2</v>
      </c>
      <c r="AD444" s="18">
        <f t="shared" ca="1" si="140"/>
        <v>-3.9774056619541476E-3</v>
      </c>
    </row>
    <row r="445" spans="1:30" x14ac:dyDescent="0.25">
      <c r="A445" vm="1201">
        <f ca="1"/>
        <v>45938</v>
      </c>
      <c r="B445" vm="1117">
        <f ca="1"/>
        <v>11.74</v>
      </c>
      <c r="C445" vm="1202">
        <f ca="1"/>
        <v>78469653</v>
      </c>
      <c r="D445">
        <f t="shared" ca="1" si="137"/>
        <v>921233726.22000003</v>
      </c>
      <c r="E445">
        <f ca="1">SUM($D$2:D445)/SUM($C$2:C445)</f>
        <v>10.813065410465589</v>
      </c>
      <c r="F445">
        <f ca="1">_xlfn.STDEV.P($B$2:B445)</f>
        <v>1.0817022166478736</v>
      </c>
      <c r="G445">
        <f t="shared" ca="1" si="138"/>
        <v>11.894767627113461</v>
      </c>
      <c r="H445">
        <f t="shared" ca="1" si="139"/>
        <v>9.7313631938177156</v>
      </c>
      <c r="I445">
        <f t="shared" ca="1" si="151"/>
        <v>11.898499999999999</v>
      </c>
      <c r="J445">
        <f t="shared" ca="1" si="152"/>
        <v>0.33637815499508095</v>
      </c>
      <c r="K445">
        <f t="shared" ca="1" si="153"/>
        <v>12.57125630999016</v>
      </c>
      <c r="L445">
        <f t="shared" ca="1" si="154"/>
        <v>11.225743690009837</v>
      </c>
      <c r="M445">
        <f t="shared" ca="1" si="141"/>
        <v>-0.17999999999999972</v>
      </c>
      <c r="N445">
        <f t="shared" ca="1" si="142"/>
        <v>0</v>
      </c>
      <c r="O445">
        <f t="shared" ca="1" si="143"/>
        <v>0.17999999999999972</v>
      </c>
      <c r="P445">
        <f t="shared" ca="1" si="149"/>
        <v>8.5864721729194932E-2</v>
      </c>
      <c r="Q445">
        <f t="shared" ca="1" si="150"/>
        <v>9.6757272468883104E-2</v>
      </c>
      <c r="R445">
        <f t="shared" ca="1" si="147"/>
        <v>0.88742395830565413</v>
      </c>
      <c r="S445">
        <f t="shared" ca="1" si="148"/>
        <v>47.017733053589986</v>
      </c>
      <c r="T445">
        <f>70</f>
        <v>70</v>
      </c>
      <c r="U445">
        <f>30</f>
        <v>30</v>
      </c>
      <c r="V445">
        <f t="shared" ca="1" si="146"/>
        <v>12.049890962411869</v>
      </c>
      <c r="W445">
        <f t="shared" ca="1" si="156"/>
        <v>11.891373691426542</v>
      </c>
      <c r="X445">
        <f t="shared" ca="1" si="155"/>
        <v>0.10290930519287578</v>
      </c>
      <c r="Y445">
        <f t="shared" ca="1" si="157"/>
        <v>0.14576443997580454</v>
      </c>
      <c r="Z445">
        <f t="shared" ca="1" si="158"/>
        <v>-4.2855134782928767E-2</v>
      </c>
      <c r="AA445">
        <f t="shared" ca="1" si="159"/>
        <v>11.252200000000007</v>
      </c>
      <c r="AB445" s="18">
        <f t="shared" ca="1" si="144"/>
        <v>-1.5100671140939603E-2</v>
      </c>
      <c r="AC445" s="18">
        <f t="shared" ca="1" si="145"/>
        <v>-1.5215847237253317E-2</v>
      </c>
      <c r="AD445" s="18">
        <f t="shared" ca="1" si="140"/>
        <v>-1.9018015307998515E-2</v>
      </c>
    </row>
    <row r="446" spans="1:30" x14ac:dyDescent="0.25">
      <c r="A446" vm="1203">
        <f ca="1"/>
        <v>45939</v>
      </c>
      <c r="B446" vm="1204">
        <f ca="1"/>
        <v>11.5</v>
      </c>
      <c r="C446" vm="1205">
        <f ca="1"/>
        <v>70320483</v>
      </c>
      <c r="D446">
        <f t="shared" ca="1" si="137"/>
        <v>808685554.5</v>
      </c>
      <c r="E446">
        <f ca="1">SUM($D$2:D446)/SUM($C$2:C446)</f>
        <v>10.814583341563784</v>
      </c>
      <c r="F446">
        <f ca="1">_xlfn.STDEV.P($B$2:B446)</f>
        <v>1.0806865727412691</v>
      </c>
      <c r="G446">
        <f t="shared" ca="1" si="138"/>
        <v>11.895269914305054</v>
      </c>
      <c r="H446">
        <f t="shared" ca="1" si="139"/>
        <v>9.7338967688225146</v>
      </c>
      <c r="I446">
        <f t="shared" ca="1" si="151"/>
        <v>11.885499999999999</v>
      </c>
      <c r="J446">
        <f t="shared" ca="1" si="152"/>
        <v>0.34687287220779345</v>
      </c>
      <c r="K446">
        <f t="shared" ca="1" si="153"/>
        <v>12.579245744415585</v>
      </c>
      <c r="L446">
        <f t="shared" ca="1" si="154"/>
        <v>11.191754255584412</v>
      </c>
      <c r="M446">
        <f t="shared" ca="1" si="141"/>
        <v>-0.24000000000000021</v>
      </c>
      <c r="N446">
        <f t="shared" ca="1" si="142"/>
        <v>0</v>
      </c>
      <c r="O446">
        <f t="shared" ca="1" si="143"/>
        <v>0.24000000000000021</v>
      </c>
      <c r="P446">
        <f t="shared" ca="1" si="149"/>
        <v>7.9731527319966716E-2</v>
      </c>
      <c r="Q446">
        <f t="shared" ca="1" si="150"/>
        <v>0.1069888958639629</v>
      </c>
      <c r="R446">
        <f t="shared" ca="1" si="147"/>
        <v>0.74523179883402002</v>
      </c>
      <c r="S446">
        <f t="shared" ca="1" si="148"/>
        <v>42.701021109740573</v>
      </c>
      <c r="T446">
        <f>70</f>
        <v>70</v>
      </c>
      <c r="U446">
        <f>30</f>
        <v>30</v>
      </c>
      <c r="V446">
        <f t="shared" ca="1" si="146"/>
        <v>11.965292352810044</v>
      </c>
      <c r="W446">
        <f t="shared" ca="1" si="156"/>
        <v>11.862383047617168</v>
      </c>
      <c r="X446">
        <f t="shared" ca="1" si="155"/>
        <v>5.0989567831919658E-2</v>
      </c>
      <c r="Y446">
        <f t="shared" ca="1" si="157"/>
        <v>0.12680946554702757</v>
      </c>
      <c r="Z446">
        <f t="shared" ca="1" si="158"/>
        <v>-7.5819897715107915E-2</v>
      </c>
      <c r="AA446">
        <f t="shared" ca="1" si="159"/>
        <v>11.259200000000007</v>
      </c>
      <c r="AB446" s="18">
        <f t="shared" ca="1" si="144"/>
        <v>-2.0442930153321992E-2</v>
      </c>
      <c r="AC446" s="18">
        <f t="shared" ca="1" si="145"/>
        <v>-2.0654779030746025E-2</v>
      </c>
      <c r="AD446" s="18">
        <f t="shared" ca="1" si="140"/>
        <v>-3.9072161502724301E-2</v>
      </c>
    </row>
    <row r="447" spans="1:30" x14ac:dyDescent="0.25">
      <c r="A447" vm="1206">
        <f ca="1"/>
        <v>45940</v>
      </c>
      <c r="B447" vm="1207">
        <f ca="1"/>
        <v>11.41</v>
      </c>
      <c r="C447" vm="1208">
        <f ca="1"/>
        <v>84595402</v>
      </c>
      <c r="D447">
        <f t="shared" ca="1" si="137"/>
        <v>965233536.82000005</v>
      </c>
      <c r="E447">
        <f ca="1">SUM($D$2:D447)/SUM($C$2:C447)</f>
        <v>10.816161932558852</v>
      </c>
      <c r="F447">
        <f ca="1">_xlfn.STDEV.P($B$2:B447)</f>
        <v>1.0796002428670024</v>
      </c>
      <c r="G447">
        <f t="shared" ca="1" si="138"/>
        <v>11.895762175425855</v>
      </c>
      <c r="H447">
        <f t="shared" ca="1" si="139"/>
        <v>9.7365616896918503</v>
      </c>
      <c r="I447">
        <f t="shared" ca="1" si="151"/>
        <v>11.872</v>
      </c>
      <c r="J447">
        <f t="shared" ca="1" si="152"/>
        <v>0.36028643575559943</v>
      </c>
      <c r="K447">
        <f t="shared" ca="1" si="153"/>
        <v>12.592572871511198</v>
      </c>
      <c r="L447">
        <f t="shared" ca="1" si="154"/>
        <v>11.151427128488802</v>
      </c>
      <c r="M447">
        <f t="shared" ca="1" si="141"/>
        <v>-8.9999999999999858E-2</v>
      </c>
      <c r="N447">
        <f t="shared" ca="1" si="142"/>
        <v>0</v>
      </c>
      <c r="O447">
        <f t="shared" ca="1" si="143"/>
        <v>8.9999999999999858E-2</v>
      </c>
      <c r="P447">
        <f t="shared" ca="1" si="149"/>
        <v>7.4036418225683381E-2</v>
      </c>
      <c r="Q447">
        <f t="shared" ca="1" si="150"/>
        <v>0.10577540330225126</v>
      </c>
      <c r="R447">
        <f t="shared" ca="1" si="147"/>
        <v>0.69993983397185155</v>
      </c>
      <c r="S447">
        <f t="shared" ca="1" si="148"/>
        <v>41.174388645065513</v>
      </c>
      <c r="T447">
        <f>70</f>
        <v>70</v>
      </c>
      <c r="U447">
        <f>30</f>
        <v>30</v>
      </c>
      <c r="V447">
        <f t="shared" ca="1" si="146"/>
        <v>11.879862760070038</v>
      </c>
      <c r="W447">
        <f t="shared" ca="1" si="156"/>
        <v>11.828873192238119</v>
      </c>
      <c r="X447">
        <f t="shared" ca="1" si="155"/>
        <v>2.0101003599467759E-2</v>
      </c>
      <c r="Y447">
        <f t="shared" ca="1" si="157"/>
        <v>0.10546777315751561</v>
      </c>
      <c r="Z447">
        <f t="shared" ca="1" si="158"/>
        <v>-8.5366769558047853E-2</v>
      </c>
      <c r="AA447">
        <f t="shared" ca="1" si="159"/>
        <v>11.265800000000006</v>
      </c>
      <c r="AB447" s="18">
        <f t="shared" ca="1" si="144"/>
        <v>-7.8260869565217606E-3</v>
      </c>
      <c r="AC447" s="18">
        <f t="shared" ca="1" si="145"/>
        <v>-7.8568714952201319E-3</v>
      </c>
      <c r="AD447" s="18">
        <f t="shared" ca="1" si="140"/>
        <v>-4.6592466325746429E-2</v>
      </c>
    </row>
    <row r="448" spans="1:30" x14ac:dyDescent="0.25">
      <c r="A448" vm="1209">
        <f ca="1"/>
        <v>45943</v>
      </c>
      <c r="B448" vm="1210">
        <f ca="1"/>
        <v>11.54</v>
      </c>
      <c r="C448" vm="1211">
        <f ca="1"/>
        <v>73939384</v>
      </c>
      <c r="D448">
        <f t="shared" ca="1" si="137"/>
        <v>853260491.3599999</v>
      </c>
      <c r="E448">
        <f ca="1">SUM($D$2:D448)/SUM($C$2:C448)</f>
        <v>10.817835387075851</v>
      </c>
      <c r="F448">
        <f ca="1">_xlfn.STDEV.P($B$2:B448)</f>
        <v>1.0786281757837239</v>
      </c>
      <c r="G448">
        <f t="shared" ca="1" si="138"/>
        <v>11.896463562859575</v>
      </c>
      <c r="H448">
        <f t="shared" ca="1" si="139"/>
        <v>9.7392072112921273</v>
      </c>
      <c r="I448">
        <f t="shared" ca="1" si="151"/>
        <v>11.864999999999998</v>
      </c>
      <c r="J448">
        <f t="shared" ca="1" si="152"/>
        <v>0.36553493605082976</v>
      </c>
      <c r="K448">
        <f t="shared" ca="1" si="153"/>
        <v>12.596069872101658</v>
      </c>
      <c r="L448">
        <f t="shared" ca="1" si="154"/>
        <v>11.133930127898338</v>
      </c>
      <c r="M448">
        <f t="shared" ca="1" si="141"/>
        <v>0.12999999999999901</v>
      </c>
      <c r="N448">
        <f t="shared" ca="1" si="142"/>
        <v>0.12999999999999901</v>
      </c>
      <c r="O448">
        <f t="shared" ca="1" si="143"/>
        <v>0</v>
      </c>
      <c r="P448">
        <f t="shared" ca="1" si="149"/>
        <v>7.8033816923848781E-2</v>
      </c>
      <c r="Q448">
        <f t="shared" ca="1" si="150"/>
        <v>9.8220017352090447E-2</v>
      </c>
      <c r="R448">
        <f t="shared" ca="1" si="147"/>
        <v>0.79447977130893843</v>
      </c>
      <c r="S448">
        <f t="shared" ca="1" si="148"/>
        <v>44.273542895912669</v>
      </c>
      <c r="T448">
        <f>70</f>
        <v>70</v>
      </c>
      <c r="U448">
        <f>30</f>
        <v>30</v>
      </c>
      <c r="V448">
        <f t="shared" ca="1" si="146"/>
        <v>11.827576181597724</v>
      </c>
      <c r="W448">
        <f t="shared" ca="1" si="156"/>
        <v>11.807475177998256</v>
      </c>
      <c r="X448">
        <f t="shared" ca="1" si="155"/>
        <v>4.4464190458430863E-3</v>
      </c>
      <c r="Y448">
        <f t="shared" ca="1" si="157"/>
        <v>8.526350233518111E-2</v>
      </c>
      <c r="Z448">
        <f t="shared" ca="1" si="158"/>
        <v>-8.0817083289338024E-2</v>
      </c>
      <c r="AA448">
        <f t="shared" ca="1" si="159"/>
        <v>11.274000000000008</v>
      </c>
      <c r="AB448" s="18">
        <f t="shared" ca="1" si="144"/>
        <v>1.1393514460999121E-2</v>
      </c>
      <c r="AC448" s="18">
        <f t="shared" ca="1" si="145"/>
        <v>1.1329097205969229E-2</v>
      </c>
      <c r="AD448" s="18">
        <f t="shared" ca="1" si="140"/>
        <v>-3.5729803803603355E-2</v>
      </c>
    </row>
    <row r="449" spans="1:30" x14ac:dyDescent="0.25">
      <c r="A449" vm="1212">
        <f ca="1"/>
        <v>45944</v>
      </c>
      <c r="B449" vm="1213">
        <f ca="1"/>
        <v>11.65</v>
      </c>
      <c r="C449" vm="1214">
        <f ca="1"/>
        <v>89117946</v>
      </c>
      <c r="D449">
        <f t="shared" ca="1" si="137"/>
        <v>1038224070.9</v>
      </c>
      <c r="E449">
        <f ca="1">SUM($D$2:D449)/SUM($C$2:C449)</f>
        <v>10.820147785109437</v>
      </c>
      <c r="F449">
        <f ca="1">_xlfn.STDEV.P($B$2:B449)</f>
        <v>1.0777793915575589</v>
      </c>
      <c r="G449">
        <f t="shared" ca="1" si="138"/>
        <v>11.897927176666997</v>
      </c>
      <c r="H449">
        <f t="shared" ca="1" si="139"/>
        <v>9.7423683935518781</v>
      </c>
      <c r="I449">
        <f t="shared" ca="1" si="151"/>
        <v>11.866999999999999</v>
      </c>
      <c r="J449">
        <f t="shared" ca="1" si="152"/>
        <v>0.36417318031831758</v>
      </c>
      <c r="K449">
        <f t="shared" ca="1" si="153"/>
        <v>12.595346360636634</v>
      </c>
      <c r="L449">
        <f t="shared" ca="1" si="154"/>
        <v>11.138653639363364</v>
      </c>
      <c r="M449">
        <f t="shared" ca="1" si="141"/>
        <v>0.11000000000000121</v>
      </c>
      <c r="N449">
        <f t="shared" ca="1" si="142"/>
        <v>0.11000000000000121</v>
      </c>
      <c r="O449">
        <f t="shared" ca="1" si="143"/>
        <v>0</v>
      </c>
      <c r="P449">
        <f t="shared" ca="1" si="149"/>
        <v>8.0317115715002524E-2</v>
      </c>
      <c r="Q449">
        <f t="shared" ca="1" si="150"/>
        <v>9.1204301826941128E-2</v>
      </c>
      <c r="R449">
        <f t="shared" ca="1" si="147"/>
        <v>0.88062858994746884</v>
      </c>
      <c r="S449">
        <f t="shared" ca="1" si="148"/>
        <v>46.826289606288888</v>
      </c>
      <c r="T449">
        <f>70</f>
        <v>70</v>
      </c>
      <c r="U449">
        <f>30</f>
        <v>30</v>
      </c>
      <c r="V449">
        <f t="shared" ca="1" si="146"/>
        <v>11.800256769044228</v>
      </c>
      <c r="W449">
        <f t="shared" ca="1" si="156"/>
        <v>11.795810349998385</v>
      </c>
      <c r="X449">
        <f t="shared" ca="1" si="155"/>
        <v>9.056884805147547E-4</v>
      </c>
      <c r="Y449">
        <f t="shared" ca="1" si="157"/>
        <v>6.8391939564247842E-2</v>
      </c>
      <c r="Z449">
        <f t="shared" ca="1" si="158"/>
        <v>-6.7486251083733087E-2</v>
      </c>
      <c r="AA449">
        <f t="shared" ca="1" si="159"/>
        <v>11.285700000000006</v>
      </c>
      <c r="AB449" s="18">
        <f t="shared" ca="1" si="144"/>
        <v>9.5320623916812508E-3</v>
      </c>
      <c r="AC449" s="18">
        <f t="shared" ca="1" si="145"/>
        <v>9.4869189317562091E-3</v>
      </c>
      <c r="AD449" s="18">
        <f t="shared" ca="1" si="140"/>
        <v>-2.6538320131020532E-2</v>
      </c>
    </row>
    <row r="450" spans="1:30" x14ac:dyDescent="0.25">
      <c r="A450" vm="1215">
        <f ca="1"/>
        <v>45945</v>
      </c>
      <c r="B450" vm="1151">
        <f ca="1"/>
        <v>11.76</v>
      </c>
      <c r="C450" vm="1216">
        <f ca="1"/>
        <v>88960726</v>
      </c>
      <c r="D450">
        <f t="shared" ca="1" si="137"/>
        <v>1046178137.76</v>
      </c>
      <c r="E450">
        <f ca="1">SUM($D$2:D450)/SUM($C$2:C450)</f>
        <v>10.822747603773221</v>
      </c>
      <c r="F450">
        <f ca="1">_xlfn.STDEV.P($B$2:B450)</f>
        <v>1.0770774892911414</v>
      </c>
      <c r="G450">
        <f t="shared" ca="1" si="138"/>
        <v>11.899825093064363</v>
      </c>
      <c r="H450">
        <f t="shared" ca="1" si="139"/>
        <v>9.7456701144820794</v>
      </c>
      <c r="I450">
        <f t="shared" ca="1" si="151"/>
        <v>11.871999999999998</v>
      </c>
      <c r="J450">
        <f t="shared" ca="1" si="152"/>
        <v>0.36186068851802183</v>
      </c>
      <c r="K450">
        <f t="shared" ca="1" si="153"/>
        <v>12.595721377036043</v>
      </c>
      <c r="L450">
        <f t="shared" ca="1" si="154"/>
        <v>11.148278622963954</v>
      </c>
      <c r="M450">
        <f t="shared" ca="1" si="141"/>
        <v>0.10999999999999943</v>
      </c>
      <c r="N450">
        <f t="shared" ca="1" si="142"/>
        <v>0.10999999999999943</v>
      </c>
      <c r="O450">
        <f t="shared" ca="1" si="143"/>
        <v>0</v>
      </c>
      <c r="P450">
        <f t="shared" ca="1" si="149"/>
        <v>8.2437321735359448E-2</v>
      </c>
      <c r="Q450">
        <f t="shared" ca="1" si="150"/>
        <v>8.4689708839302477E-2</v>
      </c>
      <c r="R450">
        <f t="shared" ca="1" si="147"/>
        <v>0.97340424078896171</v>
      </c>
      <c r="S450">
        <f t="shared" ca="1" si="148"/>
        <v>49.326145179448751</v>
      </c>
      <c r="T450">
        <f>70</f>
        <v>70</v>
      </c>
      <c r="U450">
        <f>30</f>
        <v>30</v>
      </c>
      <c r="V450">
        <f t="shared" ca="1" si="146"/>
        <v>11.794063419960501</v>
      </c>
      <c r="W450">
        <f t="shared" ca="1" si="156"/>
        <v>11.793157731479987</v>
      </c>
      <c r="X450">
        <f t="shared" ca="1" si="155"/>
        <v>-3.4741510049194346E-3</v>
      </c>
      <c r="Y450">
        <f t="shared" ca="1" si="157"/>
        <v>5.4018721450414385E-2</v>
      </c>
      <c r="Z450">
        <f t="shared" ca="1" si="158"/>
        <v>-5.749287245533382E-2</v>
      </c>
      <c r="AA450">
        <f t="shared" ca="1" si="159"/>
        <v>11.298900000000005</v>
      </c>
      <c r="AB450" s="18">
        <f t="shared" ca="1" si="144"/>
        <v>9.442060085836923E-3</v>
      </c>
      <c r="AC450" s="18">
        <f t="shared" ca="1" si="145"/>
        <v>9.3977624587713027E-3</v>
      </c>
      <c r="AD450" s="18">
        <f t="shared" ca="1" si="140"/>
        <v>-1.7346836458437931E-2</v>
      </c>
    </row>
    <row r="451" spans="1:30" x14ac:dyDescent="0.25">
      <c r="A451" vm="1217">
        <f ca="1"/>
        <v>45946</v>
      </c>
      <c r="B451" vm="1117">
        <f ca="1"/>
        <v>11.74</v>
      </c>
      <c r="C451" vm="1218">
        <f ca="1"/>
        <v>108701202</v>
      </c>
      <c r="D451">
        <f t="shared" ref="D451:D514" ca="1" si="160">B451*C451</f>
        <v>1276152111.48</v>
      </c>
      <c r="E451">
        <f ca="1">SUM($D$2:D451)/SUM($C$2:C451)</f>
        <v>10.825837493079122</v>
      </c>
      <c r="F451">
        <f ca="1">_xlfn.STDEV.P($B$2:B451)</f>
        <v>1.0763478641360191</v>
      </c>
      <c r="G451">
        <f t="shared" ref="G451:G514" ca="1" si="161">E451 + F451</f>
        <v>11.902185357215142</v>
      </c>
      <c r="H451">
        <f t="shared" ref="H451:H514" ca="1" si="162">E451 - F451</f>
        <v>9.7494896289431026</v>
      </c>
      <c r="I451">
        <f t="shared" ca="1" si="151"/>
        <v>11.872</v>
      </c>
      <c r="J451">
        <f t="shared" ca="1" si="152"/>
        <v>0.36186068851802189</v>
      </c>
      <c r="K451">
        <f t="shared" ca="1" si="153"/>
        <v>12.595721377036044</v>
      </c>
      <c r="L451">
        <f t="shared" ca="1" si="154"/>
        <v>11.148278622963955</v>
      </c>
      <c r="M451">
        <f t="shared" ca="1" si="141"/>
        <v>-1.9999999999999574E-2</v>
      </c>
      <c r="N451">
        <f t="shared" ca="1" si="142"/>
        <v>0</v>
      </c>
      <c r="O451">
        <f t="shared" ca="1" si="143"/>
        <v>1.9999999999999574E-2</v>
      </c>
      <c r="P451">
        <f t="shared" ca="1" si="149"/>
        <v>7.65489416114052E-2</v>
      </c>
      <c r="Q451">
        <f t="shared" ca="1" si="150"/>
        <v>8.0069015350780842E-2</v>
      </c>
      <c r="R451">
        <f t="shared" ca="1" si="147"/>
        <v>0.95603700477701314</v>
      </c>
      <c r="S451">
        <f t="shared" ca="1" si="148"/>
        <v>48.876222813893072</v>
      </c>
      <c r="T451">
        <f>70</f>
        <v>70</v>
      </c>
      <c r="U451">
        <f>30</f>
        <v>30</v>
      </c>
      <c r="V451">
        <f t="shared" ca="1" si="146"/>
        <v>11.785745970735809</v>
      </c>
      <c r="W451">
        <f t="shared" ca="1" si="156"/>
        <v>11.789220121740728</v>
      </c>
      <c r="X451">
        <f t="shared" ca="1" si="155"/>
        <v>7.4929166461483732E-3</v>
      </c>
      <c r="Y451">
        <f t="shared" ca="1" si="157"/>
        <v>4.471356048956119E-2</v>
      </c>
      <c r="Z451">
        <f t="shared" ca="1" si="158"/>
        <v>-3.7220643843412816E-2</v>
      </c>
      <c r="AA451">
        <f t="shared" ca="1" si="159"/>
        <v>11.312700000000007</v>
      </c>
      <c r="AB451" s="18">
        <f t="shared" ca="1" si="144"/>
        <v>-1.7006802721087899E-3</v>
      </c>
      <c r="AC451" s="18">
        <f t="shared" ca="1" si="145"/>
        <v>-1.7021280705304183E-3</v>
      </c>
      <c r="AD451" s="18">
        <f t="shared" ref="AD451:AD514" ca="1" si="163">(1+AD450)*(1+AB451)-1</f>
        <v>-1.9018015307998404E-2</v>
      </c>
    </row>
    <row r="452" spans="1:30" x14ac:dyDescent="0.25">
      <c r="A452" vm="1219">
        <f ca="1"/>
        <v>45947</v>
      </c>
      <c r="B452" vm="1199">
        <f ca="1"/>
        <v>11.92</v>
      </c>
      <c r="C452" vm="1220">
        <f ca="1"/>
        <v>107633522</v>
      </c>
      <c r="D452">
        <f t="shared" ca="1" si="160"/>
        <v>1282991582.24</v>
      </c>
      <c r="E452">
        <f ca="1">SUM($D$2:D452)/SUM($C$2:C452)</f>
        <v>10.829474992229784</v>
      </c>
      <c r="F452">
        <f ca="1">_xlfn.STDEV.P($B$2:B452)</f>
        <v>1.0759011205034068</v>
      </c>
      <c r="G452">
        <f t="shared" ca="1" si="161"/>
        <v>11.90537611273319</v>
      </c>
      <c r="H452">
        <f t="shared" ca="1" si="162"/>
        <v>9.7535738717263776</v>
      </c>
      <c r="I452">
        <f t="shared" ca="1" si="151"/>
        <v>11.886999999999997</v>
      </c>
      <c r="J452">
        <f t="shared" ca="1" si="152"/>
        <v>0.35705078512432192</v>
      </c>
      <c r="K452">
        <f t="shared" ca="1" si="153"/>
        <v>12.601101570248641</v>
      </c>
      <c r="L452">
        <f t="shared" ca="1" si="154"/>
        <v>11.172898429751353</v>
      </c>
      <c r="M452">
        <f t="shared" ref="M452:M514" ca="1" si="164">B452-B451</f>
        <v>0.17999999999999972</v>
      </c>
      <c r="N452">
        <f t="shared" ref="N452:N514" ca="1" si="165">MAX(M452,0)</f>
        <v>0.17999999999999972</v>
      </c>
      <c r="O452">
        <f t="shared" ref="O452:O514" ca="1" si="166">MAX(-M452,0)</f>
        <v>0</v>
      </c>
      <c r="P452">
        <f t="shared" ca="1" si="149"/>
        <v>8.3938302924876237E-2</v>
      </c>
      <c r="Q452">
        <f t="shared" ca="1" si="150"/>
        <v>7.4349799968582223E-2</v>
      </c>
      <c r="R452">
        <f t="shared" ca="1" si="147"/>
        <v>1.1289647444962301</v>
      </c>
      <c r="S452">
        <f t="shared" ca="1" si="148"/>
        <v>53.028813530839997</v>
      </c>
      <c r="T452">
        <f>70</f>
        <v>70</v>
      </c>
      <c r="U452">
        <f>30</f>
        <v>30</v>
      </c>
      <c r="V452">
        <f t="shared" ca="1" si="146"/>
        <v>11.806400436776453</v>
      </c>
      <c r="W452">
        <f t="shared" ca="1" si="156"/>
        <v>11.798907520130305</v>
      </c>
      <c r="X452">
        <f t="shared" ca="1" si="155"/>
        <v>2.1584004787058575E-2</v>
      </c>
      <c r="Y452">
        <f t="shared" ca="1" si="157"/>
        <v>4.0087649349060665E-2</v>
      </c>
      <c r="Z452">
        <f t="shared" ca="1" si="158"/>
        <v>-1.850364456200209E-2</v>
      </c>
      <c r="AA452">
        <f t="shared" ca="1" si="159"/>
        <v>11.328800000000006</v>
      </c>
      <c r="AB452" s="18">
        <f t="shared" ref="AB452:AB483" ca="1" si="167">(B452/B451)-1</f>
        <v>1.5332197614991383E-2</v>
      </c>
      <c r="AC452" s="18">
        <f t="shared" ref="AC452:AC483" ca="1" si="168">LN(B452/B451)</f>
        <v>1.5215847237253215E-2</v>
      </c>
      <c r="AD452" s="18">
        <f t="shared" ca="1" si="163"/>
        <v>-3.9774056619541476E-3</v>
      </c>
    </row>
    <row r="453" spans="1:30" x14ac:dyDescent="0.25">
      <c r="A453" vm="1221">
        <f ca="1"/>
        <v>45950</v>
      </c>
      <c r="B453" vm="1222">
        <f ca="1"/>
        <v>11.99</v>
      </c>
      <c r="C453" vm="1223">
        <f ca="1"/>
        <v>77878936</v>
      </c>
      <c r="D453">
        <f t="shared" ca="1" si="160"/>
        <v>933768442.63999999</v>
      </c>
      <c r="E453">
        <f ca="1">SUM($D$2:D453)/SUM($C$2:C453)</f>
        <v>10.832259860265278</v>
      </c>
      <c r="F453">
        <f ca="1">_xlfn.STDEV.P($B$2:B453)</f>
        <v>1.0755800881808251</v>
      </c>
      <c r="G453">
        <f t="shared" ca="1" si="161"/>
        <v>11.907839948446103</v>
      </c>
      <c r="H453">
        <f t="shared" ca="1" si="162"/>
        <v>9.7566797720844534</v>
      </c>
      <c r="I453">
        <f t="shared" ca="1" si="151"/>
        <v>11.903499999999999</v>
      </c>
      <c r="J453">
        <f t="shared" ca="1" si="152"/>
        <v>0.35361702447704635</v>
      </c>
      <c r="K453">
        <f t="shared" ca="1" si="153"/>
        <v>12.610734048954091</v>
      </c>
      <c r="L453">
        <f t="shared" ca="1" si="154"/>
        <v>11.196265951045907</v>
      </c>
      <c r="M453">
        <f t="shared" ca="1" si="164"/>
        <v>7.0000000000000284E-2</v>
      </c>
      <c r="N453">
        <f t="shared" ca="1" si="165"/>
        <v>7.0000000000000284E-2</v>
      </c>
      <c r="O453">
        <f t="shared" ca="1" si="166"/>
        <v>0</v>
      </c>
      <c r="P453">
        <f t="shared" ca="1" si="149"/>
        <v>8.2942709858813676E-2</v>
      </c>
      <c r="Q453">
        <f t="shared" ca="1" si="150"/>
        <v>6.9039099970826343E-2</v>
      </c>
      <c r="R453">
        <f t="shared" ca="1" si="147"/>
        <v>1.2013874730965866</v>
      </c>
      <c r="S453">
        <f t="shared" ca="1" si="148"/>
        <v>54.574103277086977</v>
      </c>
      <c r="T453">
        <f>70</f>
        <v>70</v>
      </c>
      <c r="U453">
        <f>30</f>
        <v>30</v>
      </c>
      <c r="V453">
        <f t="shared" ca="1" si="146"/>
        <v>11.83464652342623</v>
      </c>
      <c r="W453">
        <f t="shared" ca="1" si="156"/>
        <v>11.813062518639171</v>
      </c>
      <c r="X453">
        <f t="shared" ca="1" si="155"/>
        <v>7.7848145013843961E-2</v>
      </c>
      <c r="Y453">
        <f t="shared" ca="1" si="157"/>
        <v>4.7639748482017324E-2</v>
      </c>
      <c r="Z453">
        <f t="shared" ca="1" si="158"/>
        <v>3.0208396531826637E-2</v>
      </c>
      <c r="AA453">
        <f t="shared" ca="1" si="159"/>
        <v>11.347000000000005</v>
      </c>
      <c r="AB453" s="18">
        <f t="shared" ca="1" si="167"/>
        <v>5.8724832214764877E-3</v>
      </c>
      <c r="AC453" s="18">
        <f t="shared" ca="1" si="168"/>
        <v>5.8553074022191526E-3</v>
      </c>
      <c r="AD453" s="18">
        <f t="shared" ca="1" si="163"/>
        <v>1.8717203115075076E-3</v>
      </c>
    </row>
    <row r="454" spans="1:30" x14ac:dyDescent="0.25">
      <c r="A454" vm="1224">
        <f ca="1"/>
        <v>45951</v>
      </c>
      <c r="B454" vm="1225">
        <f ca="1"/>
        <v>12.56</v>
      </c>
      <c r="C454" vm="1226">
        <f ca="1"/>
        <v>297153158</v>
      </c>
      <c r="D454">
        <f t="shared" ca="1" si="160"/>
        <v>3732243664.48</v>
      </c>
      <c r="E454">
        <f ca="1">SUM($D$2:D454)/SUM($C$2:C454)</f>
        <v>10.847935689784563</v>
      </c>
      <c r="F454">
        <f ca="1">_xlfn.STDEV.P($B$2:B454)</f>
        <v>1.0766607799027172</v>
      </c>
      <c r="G454">
        <f t="shared" ca="1" si="161"/>
        <v>11.92459646968728</v>
      </c>
      <c r="H454">
        <f t="shared" ca="1" si="162"/>
        <v>9.7712749098818463</v>
      </c>
      <c r="I454">
        <f t="shared" ca="1" si="151"/>
        <v>11.945</v>
      </c>
      <c r="J454">
        <f t="shared" ca="1" si="152"/>
        <v>0.37990996163218521</v>
      </c>
      <c r="K454">
        <f t="shared" ca="1" si="153"/>
        <v>12.70481992326437</v>
      </c>
      <c r="L454">
        <f t="shared" ca="1" si="154"/>
        <v>11.18518007673563</v>
      </c>
      <c r="M454">
        <f t="shared" ca="1" si="164"/>
        <v>0.57000000000000028</v>
      </c>
      <c r="N454">
        <f t="shared" ca="1" si="165"/>
        <v>0.57000000000000028</v>
      </c>
      <c r="O454">
        <f t="shared" ca="1" si="166"/>
        <v>0</v>
      </c>
      <c r="P454">
        <f t="shared" ca="1" si="149"/>
        <v>0.11773251629746986</v>
      </c>
      <c r="Q454">
        <f t="shared" ca="1" si="150"/>
        <v>6.4107735687195883E-2</v>
      </c>
      <c r="R454">
        <f t="shared" ca="1" si="147"/>
        <v>1.8364790931304777</v>
      </c>
      <c r="S454">
        <f t="shared" ca="1" si="148"/>
        <v>64.745024829484962</v>
      </c>
      <c r="T454">
        <f>70</f>
        <v>70</v>
      </c>
      <c r="U454">
        <f>30</f>
        <v>30</v>
      </c>
      <c r="V454">
        <f t="shared" ca="1" si="146"/>
        <v>11.946239365976039</v>
      </c>
      <c r="W454">
        <f t="shared" ca="1" si="156"/>
        <v>11.868391220962195</v>
      </c>
      <c r="X454">
        <f t="shared" ca="1" si="155"/>
        <v>0.11067220764151209</v>
      </c>
      <c r="Y454">
        <f t="shared" ca="1" si="157"/>
        <v>6.0246240313916281E-2</v>
      </c>
      <c r="Z454">
        <f t="shared" ca="1" si="158"/>
        <v>5.0425967327595807E-2</v>
      </c>
      <c r="AA454">
        <f t="shared" ca="1" si="159"/>
        <v>11.370400000000004</v>
      </c>
      <c r="AB454" s="18">
        <f t="shared" ca="1" si="167"/>
        <v>4.7539616346955915E-2</v>
      </c>
      <c r="AC454" s="18">
        <f t="shared" ca="1" si="168"/>
        <v>4.6444192000629853E-2</v>
      </c>
      <c r="AD454" s="18">
        <f t="shared" ca="1" si="163"/>
        <v>4.9500317523981208E-2</v>
      </c>
    </row>
    <row r="455" spans="1:30" x14ac:dyDescent="0.25">
      <c r="A455" vm="1227">
        <f ca="1"/>
        <v>45952</v>
      </c>
      <c r="B455" vm="1228">
        <f ca="1"/>
        <v>12.43</v>
      </c>
      <c r="C455" vm="1229">
        <f ca="1"/>
        <v>415062173</v>
      </c>
      <c r="D455">
        <f t="shared" ca="1" si="160"/>
        <v>5159222810.3900003</v>
      </c>
      <c r="E455">
        <f ca="1">SUM($D$2:D455)/SUM($C$2:C455)</f>
        <v>10.867734529868454</v>
      </c>
      <c r="F455">
        <f ca="1">_xlfn.STDEV.P($B$2:B455)</f>
        <v>1.0773491290822941</v>
      </c>
      <c r="G455">
        <f t="shared" ca="1" si="161"/>
        <v>11.945083658950747</v>
      </c>
      <c r="H455">
        <f t="shared" ca="1" si="162"/>
        <v>9.7903854007861604</v>
      </c>
      <c r="I455">
        <f t="shared" ca="1" si="151"/>
        <v>11.984999999999999</v>
      </c>
      <c r="J455">
        <f t="shared" ca="1" si="152"/>
        <v>0.38704684878951634</v>
      </c>
      <c r="K455">
        <f t="shared" ca="1" si="153"/>
        <v>12.759093697579033</v>
      </c>
      <c r="L455">
        <f t="shared" ca="1" si="154"/>
        <v>11.210906302420966</v>
      </c>
      <c r="M455">
        <f t="shared" ca="1" si="164"/>
        <v>-0.13000000000000078</v>
      </c>
      <c r="N455">
        <f t="shared" ca="1" si="165"/>
        <v>0</v>
      </c>
      <c r="O455">
        <f t="shared" ca="1" si="166"/>
        <v>0.13000000000000078</v>
      </c>
      <c r="P455">
        <f t="shared" ca="1" si="149"/>
        <v>0.10932305084765059</v>
      </c>
      <c r="Q455">
        <f t="shared" ca="1" si="150"/>
        <v>6.8814325995253375E-2</v>
      </c>
      <c r="R455">
        <f t="shared" ca="1" si="147"/>
        <v>1.5886670292344562</v>
      </c>
      <c r="S455">
        <f t="shared" ca="1" si="148"/>
        <v>61.370080095015972</v>
      </c>
      <c r="T455">
        <f>70</f>
        <v>70</v>
      </c>
      <c r="U455">
        <f>30</f>
        <v>30</v>
      </c>
      <c r="V455">
        <f t="shared" ca="1" si="146"/>
        <v>12.020664078902803</v>
      </c>
      <c r="W455">
        <f t="shared" ca="1" si="156"/>
        <v>11.90999187126129</v>
      </c>
      <c r="X455">
        <f t="shared" ca="1" si="155"/>
        <v>0.12794835690658779</v>
      </c>
      <c r="Y455">
        <f t="shared" ca="1" si="157"/>
        <v>7.378666363245058E-2</v>
      </c>
      <c r="Z455">
        <f t="shared" ca="1" si="158"/>
        <v>5.416169327413721E-2</v>
      </c>
      <c r="AA455">
        <f t="shared" ca="1" si="159"/>
        <v>11.390900000000004</v>
      </c>
      <c r="AB455" s="18">
        <f t="shared" ca="1" si="167"/>
        <v>-1.0350318471337605E-2</v>
      </c>
      <c r="AC455" s="18">
        <f t="shared" ca="1" si="168"/>
        <v>-1.0404255517432898E-2</v>
      </c>
      <c r="AD455" s="18">
        <f t="shared" ca="1" si="163"/>
        <v>3.8637655001838134E-2</v>
      </c>
    </row>
    <row r="456" spans="1:30" x14ac:dyDescent="0.25">
      <c r="A456" vm="1230">
        <f ca="1"/>
        <v>45953</v>
      </c>
      <c r="B456" vm="1231">
        <f ca="1"/>
        <v>12.34</v>
      </c>
      <c r="C456" vm="1232">
        <f ca="1"/>
        <v>479840312</v>
      </c>
      <c r="D456">
        <f t="shared" ca="1" si="160"/>
        <v>5921229450.0799999</v>
      </c>
      <c r="E456">
        <f ca="1">SUM($D$2:D456)/SUM($C$2:C456)</f>
        <v>10.888731039073297</v>
      </c>
      <c r="F456">
        <f ca="1">_xlfn.STDEV.P($B$2:B456)</f>
        <v>1.0777864628327687</v>
      </c>
      <c r="G456">
        <f t="shared" ca="1" si="161"/>
        <v>11.966517501906067</v>
      </c>
      <c r="H456">
        <f t="shared" ca="1" si="162"/>
        <v>9.8109445762405283</v>
      </c>
      <c r="I456">
        <f t="shared" ca="1" si="151"/>
        <v>12.021000000000001</v>
      </c>
      <c r="J456">
        <f t="shared" ca="1" si="152"/>
        <v>0.38478839023956773</v>
      </c>
      <c r="K456">
        <f t="shared" ca="1" si="153"/>
        <v>12.790576780479137</v>
      </c>
      <c r="L456">
        <f t="shared" ca="1" si="154"/>
        <v>11.251423219520865</v>
      </c>
      <c r="M456">
        <f t="shared" ca="1" si="164"/>
        <v>-8.9999999999999858E-2</v>
      </c>
      <c r="N456">
        <f t="shared" ca="1" si="165"/>
        <v>0</v>
      </c>
      <c r="O456">
        <f t="shared" ca="1" si="166"/>
        <v>8.9999999999999858E-2</v>
      </c>
      <c r="P456">
        <f t="shared" ca="1" si="149"/>
        <v>0.10151426150138984</v>
      </c>
      <c r="Q456">
        <f t="shared" ca="1" si="150"/>
        <v>7.0327588424163839E-2</v>
      </c>
      <c r="R456">
        <f t="shared" ca="1" si="147"/>
        <v>1.4434486348249442</v>
      </c>
      <c r="S456">
        <f t="shared" ca="1" si="148"/>
        <v>59.074236890122187</v>
      </c>
      <c r="T456">
        <f>70</f>
        <v>70</v>
      </c>
      <c r="U456">
        <f>30</f>
        <v>30</v>
      </c>
      <c r="V456">
        <f t="shared" ca="1" si="146"/>
        <v>12.069792682148524</v>
      </c>
      <c r="W456">
        <f t="shared" ca="1" si="156"/>
        <v>11.941844325241936</v>
      </c>
      <c r="X456">
        <f t="shared" ca="1" si="155"/>
        <v>0.25968382021219938</v>
      </c>
      <c r="Y456">
        <f t="shared" ca="1" si="157"/>
        <v>0.11096609494840035</v>
      </c>
      <c r="Z456">
        <f t="shared" ca="1" si="158"/>
        <v>0.14871772526379903</v>
      </c>
      <c r="AA456">
        <f t="shared" ca="1" si="159"/>
        <v>11.414500000000002</v>
      </c>
      <c r="AB456" s="18">
        <f t="shared" ca="1" si="167"/>
        <v>-7.2405470635559244E-3</v>
      </c>
      <c r="AC456" s="18">
        <f t="shared" ca="1" si="168"/>
        <v>-7.2668870453780005E-3</v>
      </c>
      <c r="AD456" s="18">
        <f t="shared" ca="1" si="163"/>
        <v>3.1117350178816006E-2</v>
      </c>
    </row>
    <row r="457" spans="1:30" x14ac:dyDescent="0.25">
      <c r="A457" vm="1233">
        <f ca="1"/>
        <v>45954</v>
      </c>
      <c r="B457" vm="1234">
        <f ca="1"/>
        <v>13.84</v>
      </c>
      <c r="C457" vm="1235">
        <f ca="1"/>
        <v>298366862</v>
      </c>
      <c r="D457">
        <f t="shared" ca="1" si="160"/>
        <v>4129397370.0799999</v>
      </c>
      <c r="E457">
        <f ca="1">SUM($D$2:D457)/SUM($C$2:C457)</f>
        <v>10.914672197434257</v>
      </c>
      <c r="F457">
        <f ca="1">_xlfn.STDEV.P($B$2:B457)</f>
        <v>1.08431422943568</v>
      </c>
      <c r="G457">
        <f t="shared" ca="1" si="161"/>
        <v>11.998986426869937</v>
      </c>
      <c r="H457">
        <f t="shared" ca="1" si="162"/>
        <v>9.8303579679985766</v>
      </c>
      <c r="I457">
        <f t="shared" ca="1" si="151"/>
        <v>12.112500000000001</v>
      </c>
      <c r="J457">
        <f t="shared" ca="1" si="152"/>
        <v>0.55981082330974696</v>
      </c>
      <c r="K457">
        <f t="shared" ca="1" si="153"/>
        <v>13.232121646619495</v>
      </c>
      <c r="L457">
        <f t="shared" ca="1" si="154"/>
        <v>10.992878353380506</v>
      </c>
      <c r="M457">
        <f t="shared" ca="1" si="164"/>
        <v>1.5</v>
      </c>
      <c r="N457">
        <f t="shared" ca="1" si="165"/>
        <v>1.5</v>
      </c>
      <c r="O457">
        <f t="shared" ca="1" si="166"/>
        <v>0</v>
      </c>
      <c r="P457">
        <f t="shared" ca="1" si="149"/>
        <v>0.20140609996557629</v>
      </c>
      <c r="Q457">
        <f t="shared" ca="1" si="150"/>
        <v>6.5304189251009281E-2</v>
      </c>
      <c r="R457">
        <f t="shared" ca="1" si="147"/>
        <v>3.0841222021979782</v>
      </c>
      <c r="S457">
        <f t="shared" ca="1" si="148"/>
        <v>75.514934409606468</v>
      </c>
      <c r="T457">
        <f>70</f>
        <v>70</v>
      </c>
      <c r="U457">
        <f>30</f>
        <v>30</v>
      </c>
      <c r="V457">
        <f t="shared" ca="1" si="146"/>
        <v>12.342132269510289</v>
      </c>
      <c r="W457">
        <f t="shared" ca="1" si="156"/>
        <v>12.08244844929809</v>
      </c>
      <c r="X457">
        <f t="shared" ca="1" si="155"/>
        <v>0.31366819949480629</v>
      </c>
      <c r="Y457">
        <f t="shared" ca="1" si="157"/>
        <v>0.15150651585768155</v>
      </c>
      <c r="Z457">
        <f t="shared" ca="1" si="158"/>
        <v>0.16216168363712474</v>
      </c>
      <c r="AA457">
        <f t="shared" ca="1" si="159"/>
        <v>11.451000000000001</v>
      </c>
      <c r="AB457" s="18">
        <f t="shared" ca="1" si="167"/>
        <v>0.12155591572123181</v>
      </c>
      <c r="AC457" s="18">
        <f t="shared" ca="1" si="168"/>
        <v>0.1147169317122818</v>
      </c>
      <c r="AD457" s="18">
        <f t="shared" ca="1" si="163"/>
        <v>0.15645576389585214</v>
      </c>
    </row>
    <row r="458" spans="1:30" x14ac:dyDescent="0.25">
      <c r="A458" vm="1236">
        <f ca="1"/>
        <v>45957</v>
      </c>
      <c r="B458" vm="1237">
        <f ca="1"/>
        <v>13.26</v>
      </c>
      <c r="C458" vm="1238">
        <f ca="1"/>
        <v>140859004</v>
      </c>
      <c r="D458">
        <f t="shared" ca="1" si="160"/>
        <v>1867790393.04</v>
      </c>
      <c r="E458">
        <f ca="1">SUM($D$2:D458)/SUM($C$2:C458)</f>
        <v>10.924364337882295</v>
      </c>
      <c r="F458">
        <f ca="1">_xlfn.STDEV.P($B$2:B458)</f>
        <v>1.0878775448480817</v>
      </c>
      <c r="G458">
        <f t="shared" ca="1" si="161"/>
        <v>12.012241882730377</v>
      </c>
      <c r="H458">
        <f t="shared" ca="1" si="162"/>
        <v>9.8364867930342132</v>
      </c>
      <c r="I458">
        <f t="shared" ca="1" si="151"/>
        <v>12.171000000000001</v>
      </c>
      <c r="J458">
        <f t="shared" ca="1" si="152"/>
        <v>0.61568019723161294</v>
      </c>
      <c r="K458">
        <f t="shared" ca="1" si="153"/>
        <v>13.402360394463226</v>
      </c>
      <c r="L458">
        <f t="shared" ca="1" si="154"/>
        <v>10.939639605536776</v>
      </c>
      <c r="M458">
        <f t="shared" ca="1" si="164"/>
        <v>-0.58000000000000007</v>
      </c>
      <c r="N458">
        <f t="shared" ca="1" si="165"/>
        <v>0</v>
      </c>
      <c r="O458">
        <f t="shared" ca="1" si="166"/>
        <v>0.58000000000000007</v>
      </c>
      <c r="P458">
        <f t="shared" ca="1" si="149"/>
        <v>0.18701994996803514</v>
      </c>
      <c r="Q458">
        <f t="shared" ca="1" si="150"/>
        <v>0.10206817573308005</v>
      </c>
      <c r="R458">
        <f t="shared" ca="1" si="147"/>
        <v>1.8323042282749689</v>
      </c>
      <c r="S458">
        <f t="shared" ca="1" si="148"/>
        <v>64.693058393340181</v>
      </c>
      <c r="T458">
        <f>70</f>
        <v>70</v>
      </c>
      <c r="U458">
        <f>30</f>
        <v>30</v>
      </c>
      <c r="V458">
        <f t="shared" ca="1" si="146"/>
        <v>12.48334268958563</v>
      </c>
      <c r="W458">
        <f t="shared" ca="1" si="156"/>
        <v>12.169674490090824</v>
      </c>
      <c r="X458">
        <f t="shared" ca="1" si="155"/>
        <v>0.34201871660232008</v>
      </c>
      <c r="Y458">
        <f t="shared" ca="1" si="157"/>
        <v>0.18960895600660926</v>
      </c>
      <c r="Z458">
        <f t="shared" ca="1" si="158"/>
        <v>0.15240976059571082</v>
      </c>
      <c r="AA458">
        <f t="shared" ca="1" si="159"/>
        <v>11.481200000000001</v>
      </c>
      <c r="AB458" s="18">
        <f t="shared" ca="1" si="167"/>
        <v>-4.1907514450867045E-2</v>
      </c>
      <c r="AC458" s="18">
        <f t="shared" ca="1" si="168"/>
        <v>-4.2810965431807048E-2</v>
      </c>
      <c r="AD458" s="18">
        <f t="shared" ca="1" si="163"/>
        <v>0.1079915772585982</v>
      </c>
    </row>
    <row r="459" spans="1:30" x14ac:dyDescent="0.25">
      <c r="A459" vm="1239">
        <f ca="1"/>
        <v>45958</v>
      </c>
      <c r="B459" vm="1240">
        <f ca="1"/>
        <v>13.13</v>
      </c>
      <c r="C459" vm="1241">
        <f ca="1"/>
        <v>96738451</v>
      </c>
      <c r="D459">
        <f t="shared" ca="1" si="160"/>
        <v>1270175861.6300001</v>
      </c>
      <c r="E459">
        <f ca="1">SUM($D$2:D459)/SUM($C$2:C459)</f>
        <v>10.93060647930832</v>
      </c>
      <c r="F459">
        <f ca="1">_xlfn.STDEV.P($B$2:B459)</f>
        <v>1.0908471301657929</v>
      </c>
      <c r="G459">
        <f t="shared" ca="1" si="161"/>
        <v>12.021453609474113</v>
      </c>
      <c r="H459">
        <f t="shared" ca="1" si="162"/>
        <v>9.8397593491425273</v>
      </c>
      <c r="I459">
        <f t="shared" ca="1" si="151"/>
        <v>12.2295</v>
      </c>
      <c r="J459">
        <f t="shared" ca="1" si="152"/>
        <v>0.64924632418958228</v>
      </c>
      <c r="K459">
        <f t="shared" ca="1" si="153"/>
        <v>13.527992648379165</v>
      </c>
      <c r="L459">
        <f t="shared" ca="1" si="154"/>
        <v>10.931007351620835</v>
      </c>
      <c r="M459">
        <f t="shared" ca="1" si="164"/>
        <v>-0.12999999999999901</v>
      </c>
      <c r="N459">
        <f t="shared" ca="1" si="165"/>
        <v>0</v>
      </c>
      <c r="O459">
        <f t="shared" ca="1" si="166"/>
        <v>0.12999999999999901</v>
      </c>
      <c r="P459">
        <f t="shared" ca="1" si="149"/>
        <v>0.17366138211317547</v>
      </c>
      <c r="Q459">
        <f t="shared" ca="1" si="150"/>
        <v>0.10406330603785997</v>
      </c>
      <c r="R459">
        <f t="shared" ca="1" si="147"/>
        <v>1.6688051602934328</v>
      </c>
      <c r="S459">
        <f t="shared" ca="1" si="148"/>
        <v>62.530048469703537</v>
      </c>
      <c r="T459">
        <f>70</f>
        <v>70</v>
      </c>
      <c r="U459">
        <f>30</f>
        <v>30</v>
      </c>
      <c r="V459">
        <f t="shared" ca="1" si="146"/>
        <v>12.582828429649378</v>
      </c>
      <c r="W459">
        <f t="shared" ca="1" si="156"/>
        <v>12.240809713047058</v>
      </c>
      <c r="X459">
        <f t="shared" ca="1" si="155"/>
        <v>0.36910793978795375</v>
      </c>
      <c r="Y459">
        <f t="shared" ca="1" si="157"/>
        <v>0.22550875276287818</v>
      </c>
      <c r="Z459">
        <f t="shared" ca="1" si="158"/>
        <v>0.14359918702507557</v>
      </c>
      <c r="AA459">
        <f t="shared" ca="1" si="159"/>
        <v>11.511500000000002</v>
      </c>
      <c r="AB459" s="18">
        <f t="shared" ca="1" si="167"/>
        <v>-9.8039215686274161E-3</v>
      </c>
      <c r="AC459" s="18">
        <f t="shared" ca="1" si="168"/>
        <v>-9.8522964430115944E-3</v>
      </c>
      <c r="AD459" s="18">
        <f t="shared" ca="1" si="163"/>
        <v>9.712891473645513E-2</v>
      </c>
    </row>
    <row r="460" spans="1:30" x14ac:dyDescent="0.25">
      <c r="A460" vm="1242">
        <f ca="1"/>
        <v>45959</v>
      </c>
      <c r="B460" vm="1243">
        <f ca="1"/>
        <v>13.24</v>
      </c>
      <c r="C460" vm="1244">
        <f ca="1"/>
        <v>127512240</v>
      </c>
      <c r="D460">
        <f t="shared" ca="1" si="160"/>
        <v>1688262057.6000001</v>
      </c>
      <c r="E460">
        <f ca="1">SUM($D$2:D460)/SUM($C$2:C460)</f>
        <v>10.939189367412768</v>
      </c>
      <c r="F460">
        <f ca="1">_xlfn.STDEV.P($B$2:B460)</f>
        <v>1.0942344143375022</v>
      </c>
      <c r="G460">
        <f t="shared" ca="1" si="161"/>
        <v>12.033423781750269</v>
      </c>
      <c r="H460">
        <f t="shared" ca="1" si="162"/>
        <v>9.8449549530752662</v>
      </c>
      <c r="I460">
        <f t="shared" ca="1" si="151"/>
        <v>12.278</v>
      </c>
      <c r="J460">
        <f t="shared" ca="1" si="152"/>
        <v>0.68753258295994879</v>
      </c>
      <c r="K460">
        <f t="shared" ca="1" si="153"/>
        <v>13.653065165919898</v>
      </c>
      <c r="L460">
        <f t="shared" ca="1" si="154"/>
        <v>10.902934834080103</v>
      </c>
      <c r="M460">
        <f t="shared" ca="1" si="164"/>
        <v>0.10999999999999943</v>
      </c>
      <c r="N460">
        <f t="shared" ca="1" si="165"/>
        <v>0.10999999999999943</v>
      </c>
      <c r="O460">
        <f t="shared" ca="1" si="166"/>
        <v>0</v>
      </c>
      <c r="P460">
        <f t="shared" ca="1" si="149"/>
        <v>0.16911414053366289</v>
      </c>
      <c r="Q460">
        <f t="shared" ca="1" si="150"/>
        <v>9.6630212749441405E-2</v>
      </c>
      <c r="R460">
        <f t="shared" ca="1" si="147"/>
        <v>1.7501166117906586</v>
      </c>
      <c r="S460">
        <f t="shared" ca="1" si="148"/>
        <v>63.637905545071447</v>
      </c>
      <c r="T460">
        <f>70</f>
        <v>70</v>
      </c>
      <c r="U460">
        <f>30</f>
        <v>30</v>
      </c>
      <c r="V460">
        <f t="shared" ca="1" si="146"/>
        <v>12.683931748164859</v>
      </c>
      <c r="W460">
        <f t="shared" ca="1" si="156"/>
        <v>12.314823808376905</v>
      </c>
      <c r="X460">
        <f t="shared" ca="1" si="155"/>
        <v>0.37176635749991149</v>
      </c>
      <c r="Y460">
        <f t="shared" ca="1" si="157"/>
        <v>0.25476027371028487</v>
      </c>
      <c r="Z460">
        <f t="shared" ca="1" si="158"/>
        <v>0.11700608378962662</v>
      </c>
      <c r="AA460">
        <f t="shared" ca="1" si="159"/>
        <v>11.541300000000001</v>
      </c>
      <c r="AB460" s="18">
        <f t="shared" ca="1" si="167"/>
        <v>8.3777608530082315E-3</v>
      </c>
      <c r="AC460" s="18">
        <f t="shared" ca="1" si="168"/>
        <v>8.3428621941571881E-3</v>
      </c>
      <c r="AD460" s="18">
        <f t="shared" ca="1" si="163"/>
        <v>0.10632039840903751</v>
      </c>
    </row>
    <row r="461" spans="1:30" x14ac:dyDescent="0.25">
      <c r="A461" vm="1245">
        <f ca="1"/>
        <v>45960</v>
      </c>
      <c r="B461" vm="1246">
        <f ca="1"/>
        <v>13.06</v>
      </c>
      <c r="C461" vm="1247">
        <f ca="1"/>
        <v>80766301</v>
      </c>
      <c r="D461">
        <f t="shared" ca="1" si="160"/>
        <v>1054807891.0600001</v>
      </c>
      <c r="E461">
        <f ca="1">SUM($D$2:D461)/SUM($C$2:C461)</f>
        <v>10.944170115452353</v>
      </c>
      <c r="F461">
        <f ca="1">_xlfn.STDEV.P($B$2:B461)</f>
        <v>1.0968475183441337</v>
      </c>
      <c r="G461">
        <f t="shared" ca="1" si="161"/>
        <v>12.041017633796487</v>
      </c>
      <c r="H461">
        <f t="shared" ca="1" si="162"/>
        <v>9.847322597108219</v>
      </c>
      <c r="I461">
        <f t="shared" ca="1" si="151"/>
        <v>12.32</v>
      </c>
      <c r="J461">
        <f t="shared" ca="1" si="152"/>
        <v>0.70912102745507932</v>
      </c>
      <c r="K461">
        <f t="shared" ca="1" si="153"/>
        <v>13.73824205491016</v>
      </c>
      <c r="L461">
        <f t="shared" ca="1" si="154"/>
        <v>10.901757945089841</v>
      </c>
      <c r="M461">
        <f t="shared" ca="1" si="164"/>
        <v>-0.17999999999999972</v>
      </c>
      <c r="N461">
        <f t="shared" ca="1" si="165"/>
        <v>0</v>
      </c>
      <c r="O461">
        <f t="shared" ca="1" si="166"/>
        <v>0.17999999999999972</v>
      </c>
      <c r="P461">
        <f t="shared" ca="1" si="149"/>
        <v>0.15703455906697267</v>
      </c>
      <c r="Q461">
        <f t="shared" ca="1" si="150"/>
        <v>0.10258519755305272</v>
      </c>
      <c r="R461">
        <f t="shared" ca="1" si="147"/>
        <v>1.5307721076012069</v>
      </c>
      <c r="S461">
        <f t="shared" ca="1" si="148"/>
        <v>60.486367105260605</v>
      </c>
      <c r="T461">
        <f>70</f>
        <v>70</v>
      </c>
      <c r="U461">
        <f>30</f>
        <v>30</v>
      </c>
      <c r="V461">
        <f t="shared" ca="1" si="146"/>
        <v>12.741788402293341</v>
      </c>
      <c r="W461">
        <f t="shared" ca="1" si="156"/>
        <v>12.37002204479343</v>
      </c>
      <c r="X461">
        <f t="shared" ca="1" si="155"/>
        <v>0.37519655533691676</v>
      </c>
      <c r="Y461">
        <f t="shared" ca="1" si="157"/>
        <v>0.27884753003561125</v>
      </c>
      <c r="Z461">
        <f t="shared" ca="1" si="158"/>
        <v>9.6349025301305513E-2</v>
      </c>
      <c r="AA461">
        <f t="shared" ca="1" si="159"/>
        <v>11.568499999999998</v>
      </c>
      <c r="AB461" s="18">
        <f t="shared" ca="1" si="167"/>
        <v>-1.3595166163141936E-2</v>
      </c>
      <c r="AC461" s="18">
        <f t="shared" ca="1" si="168"/>
        <v>-1.368842666057709E-2</v>
      </c>
      <c r="AD461" s="18">
        <f t="shared" ca="1" si="163"/>
        <v>9.1279788762993253E-2</v>
      </c>
    </row>
    <row r="462" spans="1:30" x14ac:dyDescent="0.25">
      <c r="A462" vm="1248">
        <f ca="1"/>
        <v>45961</v>
      </c>
      <c r="B462" vm="1240">
        <f ca="1"/>
        <v>13.13</v>
      </c>
      <c r="C462" vm="1249">
        <f ca="1"/>
        <v>68861988</v>
      </c>
      <c r="D462">
        <f t="shared" ca="1" si="160"/>
        <v>904157902.44000006</v>
      </c>
      <c r="E462">
        <f ca="1">SUM($D$2:D462)/SUM($C$2:C462)</f>
        <v>10.948538186151023</v>
      </c>
      <c r="F462">
        <f ca="1">_xlfn.STDEV.P($B$2:B462)</f>
        <v>1.099700956946069</v>
      </c>
      <c r="G462">
        <f t="shared" ca="1" si="161"/>
        <v>12.048239143097092</v>
      </c>
      <c r="H462">
        <f t="shared" ca="1" si="162"/>
        <v>9.8488372292049533</v>
      </c>
      <c r="I462">
        <f t="shared" ca="1" si="151"/>
        <v>12.343</v>
      </c>
      <c r="J462">
        <f t="shared" ca="1" si="152"/>
        <v>0.72827192723597423</v>
      </c>
      <c r="K462">
        <f t="shared" ca="1" si="153"/>
        <v>13.799543854471949</v>
      </c>
      <c r="L462">
        <f t="shared" ca="1" si="154"/>
        <v>10.886456145528051</v>
      </c>
      <c r="M462">
        <f t="shared" ca="1" si="164"/>
        <v>7.0000000000000284E-2</v>
      </c>
      <c r="N462">
        <f t="shared" ca="1" si="165"/>
        <v>7.0000000000000284E-2</v>
      </c>
      <c r="O462">
        <f t="shared" ca="1" si="166"/>
        <v>0</v>
      </c>
      <c r="P462">
        <f t="shared" ca="1" si="149"/>
        <v>0.15081780484790322</v>
      </c>
      <c r="Q462">
        <f t="shared" ca="1" si="150"/>
        <v>9.5257683442120378E-2</v>
      </c>
      <c r="R462">
        <f t="shared" ca="1" si="147"/>
        <v>1.5832613118241721</v>
      </c>
      <c r="S462">
        <f t="shared" ca="1" si="148"/>
        <v>61.289243352084689</v>
      </c>
      <c r="T462">
        <f>70</f>
        <v>70</v>
      </c>
      <c r="U462">
        <f>30</f>
        <v>30</v>
      </c>
      <c r="V462">
        <f t="shared" ca="1" si="146"/>
        <v>12.801513263478981</v>
      </c>
      <c r="W462">
        <f t="shared" ca="1" si="156"/>
        <v>12.426316708142064</v>
      </c>
      <c r="X462">
        <f t="shared" ca="1" si="155"/>
        <v>0.36403563848172915</v>
      </c>
      <c r="Y462">
        <f t="shared" ca="1" si="157"/>
        <v>0.29588515172483482</v>
      </c>
      <c r="Z462">
        <f t="shared" ca="1" si="158"/>
        <v>6.8150486756894335E-2</v>
      </c>
      <c r="AA462">
        <f t="shared" ca="1" si="159"/>
        <v>11.593799999999998</v>
      </c>
      <c r="AB462" s="18">
        <f t="shared" ca="1" si="167"/>
        <v>5.3598774885146305E-3</v>
      </c>
      <c r="AC462" s="18">
        <f t="shared" ca="1" si="168"/>
        <v>5.3455644664198981E-3</v>
      </c>
      <c r="AD462" s="18">
        <f t="shared" ca="1" si="163"/>
        <v>9.712891473645513E-2</v>
      </c>
    </row>
    <row r="463" spans="1:30" x14ac:dyDescent="0.25">
      <c r="A463" vm="1250">
        <f ca="1"/>
        <v>45964</v>
      </c>
      <c r="B463" vm="1251">
        <f ca="1"/>
        <v>13.01</v>
      </c>
      <c r="C463" vm="1252">
        <f ca="1"/>
        <v>80419403</v>
      </c>
      <c r="D463">
        <f t="shared" ca="1" si="160"/>
        <v>1046256433.03</v>
      </c>
      <c r="E463">
        <f ca="1">SUM($D$2:D463)/SUM($C$2:C463)</f>
        <v>10.953337924111981</v>
      </c>
      <c r="F463">
        <f ca="1">_xlfn.STDEV.P($B$2:B463)</f>
        <v>1.1020562782572643</v>
      </c>
      <c r="G463">
        <f t="shared" ca="1" si="161"/>
        <v>12.055394202369245</v>
      </c>
      <c r="H463">
        <f t="shared" ca="1" si="162"/>
        <v>9.8512816458547174</v>
      </c>
      <c r="I463">
        <f t="shared" ca="1" si="151"/>
        <v>12.358499999999999</v>
      </c>
      <c r="J463">
        <f t="shared" ca="1" si="152"/>
        <v>0.73948257158922337</v>
      </c>
      <c r="K463">
        <f t="shared" ca="1" si="153"/>
        <v>13.837465143178447</v>
      </c>
      <c r="L463">
        <f t="shared" ca="1" si="154"/>
        <v>10.879534856821552</v>
      </c>
      <c r="M463">
        <f t="shared" ca="1" si="164"/>
        <v>-0.12000000000000099</v>
      </c>
      <c r="N463">
        <f t="shared" ca="1" si="165"/>
        <v>0</v>
      </c>
      <c r="O463">
        <f t="shared" ca="1" si="166"/>
        <v>0.12000000000000099</v>
      </c>
      <c r="P463">
        <f t="shared" ca="1" si="149"/>
        <v>0.14004510450162441</v>
      </c>
      <c r="Q463">
        <f t="shared" ca="1" si="150"/>
        <v>9.7024991767683283E-2</v>
      </c>
      <c r="R463">
        <f t="shared" ca="1" si="147"/>
        <v>1.4433920781662988</v>
      </c>
      <c r="S463">
        <f t="shared" ca="1" si="148"/>
        <v>59.073289590491193</v>
      </c>
      <c r="T463">
        <f>70</f>
        <v>70</v>
      </c>
      <c r="U463">
        <f>30</f>
        <v>30</v>
      </c>
      <c r="V463">
        <f t="shared" ref="V463:V514" ca="1" si="169">B463*(2/(12+1)) + V462*(1-(2/(12+1)))</f>
        <v>12.833588146020677</v>
      </c>
      <c r="W463">
        <f t="shared" ca="1" si="156"/>
        <v>12.469552507538948</v>
      </c>
      <c r="X463">
        <f t="shared" ca="1" si="155"/>
        <v>0.33359291856974949</v>
      </c>
      <c r="Y463">
        <f t="shared" ca="1" si="157"/>
        <v>0.30342670509381775</v>
      </c>
      <c r="Z463">
        <f t="shared" ca="1" si="158"/>
        <v>3.0166213475931736E-2</v>
      </c>
      <c r="AA463">
        <f t="shared" ca="1" si="159"/>
        <v>11.617299999999998</v>
      </c>
      <c r="AB463" s="18">
        <f t="shared" ca="1" si="167"/>
        <v>-9.1393754760091817E-3</v>
      </c>
      <c r="AC463" s="18">
        <f t="shared" ca="1" si="168"/>
        <v>-9.1813957902909544E-3</v>
      </c>
      <c r="AD463" s="18">
        <f t="shared" ca="1" si="163"/>
        <v>8.7101841639092292E-2</v>
      </c>
    </row>
    <row r="464" spans="1:30" x14ac:dyDescent="0.25">
      <c r="A464" vm="1253">
        <f ca="1"/>
        <v>45965</v>
      </c>
      <c r="B464" vm="1254">
        <f ca="1"/>
        <v>12.79</v>
      </c>
      <c r="C464" vm="1255">
        <f ca="1"/>
        <v>70360611</v>
      </c>
      <c r="D464">
        <f t="shared" ca="1" si="160"/>
        <v>899912214.68999994</v>
      </c>
      <c r="E464">
        <f ca="1">SUM($D$2:D464)/SUM($C$2:C464)</f>
        <v>10.957071770534068</v>
      </c>
      <c r="F464">
        <f ca="1">_xlfn.STDEV.P($B$2:B464)</f>
        <v>1.1036138776370765</v>
      </c>
      <c r="G464">
        <f t="shared" ca="1" si="161"/>
        <v>12.060685648171145</v>
      </c>
      <c r="H464">
        <f t="shared" ca="1" si="162"/>
        <v>9.8534578928969907</v>
      </c>
      <c r="I464">
        <f t="shared" ca="1" si="151"/>
        <v>12.401999999999999</v>
      </c>
      <c r="J464">
        <f t="shared" ca="1" si="152"/>
        <v>0.73791741086869478</v>
      </c>
      <c r="K464">
        <f t="shared" ca="1" si="153"/>
        <v>13.877834821737389</v>
      </c>
      <c r="L464">
        <f t="shared" ca="1" si="154"/>
        <v>10.926165178262609</v>
      </c>
      <c r="M464">
        <f t="shared" ca="1" si="164"/>
        <v>-0.22000000000000064</v>
      </c>
      <c r="N464">
        <f t="shared" ca="1" si="165"/>
        <v>0</v>
      </c>
      <c r="O464">
        <f t="shared" ca="1" si="166"/>
        <v>0.22000000000000064</v>
      </c>
      <c r="P464">
        <f t="shared" ca="1" si="149"/>
        <v>0.13004188275150838</v>
      </c>
      <c r="Q464">
        <f t="shared" ca="1" si="150"/>
        <v>0.10580892092713452</v>
      </c>
      <c r="R464">
        <f t="shared" ref="R464:R514" ca="1" si="170">IF(Q464=0,NA(),P464/Q464)</f>
        <v>1.2290256966240296</v>
      </c>
      <c r="S464">
        <f t="shared" ref="S464:S514" ca="1" si="171">100-(100/(1+R464))</f>
        <v>55.137349851347615</v>
      </c>
      <c r="T464">
        <f>70</f>
        <v>70</v>
      </c>
      <c r="U464">
        <f>30</f>
        <v>30</v>
      </c>
      <c r="V464">
        <f t="shared" ca="1" si="169"/>
        <v>12.82688227740211</v>
      </c>
      <c r="W464">
        <f t="shared" ca="1" si="156"/>
        <v>12.49328935883236</v>
      </c>
      <c r="X464">
        <f t="shared" ca="1" si="155"/>
        <v>0.33146722156099528</v>
      </c>
      <c r="Y464">
        <f t="shared" ca="1" si="157"/>
        <v>0.30903480838725328</v>
      </c>
      <c r="Z464">
        <f t="shared" ca="1" si="158"/>
        <v>2.2432413173742005E-2</v>
      </c>
      <c r="AA464">
        <f t="shared" ca="1" si="159"/>
        <v>11.639899999999997</v>
      </c>
      <c r="AB464" s="18">
        <f t="shared" ca="1" si="167"/>
        <v>-1.6910069177555775E-2</v>
      </c>
      <c r="AC464" s="18">
        <f t="shared" ca="1" si="168"/>
        <v>-1.7054676933662635E-2</v>
      </c>
      <c r="AD464" s="18">
        <f t="shared" ca="1" si="163"/>
        <v>6.8718874293926868E-2</v>
      </c>
    </row>
    <row r="465" spans="1:30" x14ac:dyDescent="0.25">
      <c r="A465" vm="1256">
        <f ca="1"/>
        <v>45966</v>
      </c>
      <c r="B465" vm="1257">
        <f ca="1"/>
        <v>13.11</v>
      </c>
      <c r="C465" vm="1258">
        <f ca="1"/>
        <v>79134307</v>
      </c>
      <c r="D465">
        <f t="shared" ca="1" si="160"/>
        <v>1037450764.77</v>
      </c>
      <c r="E465">
        <f ca="1">SUM($D$2:D465)/SUM($C$2:C465)</f>
        <v>10.961983111494577</v>
      </c>
      <c r="F465">
        <f ca="1">_xlfn.STDEV.P($B$2:B465)</f>
        <v>1.1062916357869599</v>
      </c>
      <c r="G465">
        <f t="shared" ca="1" si="161"/>
        <v>12.068274747281537</v>
      </c>
      <c r="H465">
        <f t="shared" ca="1" si="162"/>
        <v>9.8556914757076175</v>
      </c>
      <c r="I465">
        <f t="shared" ca="1" si="151"/>
        <v>12.470499999999998</v>
      </c>
      <c r="J465">
        <f t="shared" ca="1" si="152"/>
        <v>0.73681730221412778</v>
      </c>
      <c r="K465">
        <f t="shared" ca="1" si="153"/>
        <v>13.944134604428253</v>
      </c>
      <c r="L465">
        <f t="shared" ca="1" si="154"/>
        <v>10.996865395571742</v>
      </c>
      <c r="M465">
        <f t="shared" ca="1" si="164"/>
        <v>0.32000000000000028</v>
      </c>
      <c r="N465">
        <f t="shared" ca="1" si="165"/>
        <v>0.32000000000000028</v>
      </c>
      <c r="O465">
        <f t="shared" ca="1" si="166"/>
        <v>0</v>
      </c>
      <c r="P465">
        <f t="shared" ref="P465:P514" ca="1" si="172">(P464*13+N465)/14</f>
        <v>0.1436103196978292</v>
      </c>
      <c r="Q465">
        <f t="shared" ref="Q465:Q514" ca="1" si="173">(Q464*13+O465)/14</f>
        <v>9.8251140860910621E-2</v>
      </c>
      <c r="R465">
        <f t="shared" ca="1" si="170"/>
        <v>1.4616656706422511</v>
      </c>
      <c r="S465">
        <f t="shared" ca="1" si="171"/>
        <v>59.377099338632</v>
      </c>
      <c r="T465">
        <f>70</f>
        <v>70</v>
      </c>
      <c r="U465">
        <f>30</f>
        <v>30</v>
      </c>
      <c r="V465">
        <f t="shared" ca="1" si="169"/>
        <v>12.870438850109476</v>
      </c>
      <c r="W465">
        <f t="shared" ca="1" si="156"/>
        <v>12.538971628548481</v>
      </c>
      <c r="X465">
        <f t="shared" ca="1" si="155"/>
        <v>0.32682210599503669</v>
      </c>
      <c r="Y465">
        <f t="shared" ca="1" si="157"/>
        <v>0.31259226790881001</v>
      </c>
      <c r="Z465">
        <f t="shared" ca="1" si="158"/>
        <v>1.4229838086226687E-2</v>
      </c>
      <c r="AA465">
        <f t="shared" ca="1" si="159"/>
        <v>11.666699999999997</v>
      </c>
      <c r="AB465" s="18">
        <f t="shared" ca="1" si="167"/>
        <v>2.5019546520719249E-2</v>
      </c>
      <c r="AC465" s="18">
        <f t="shared" ca="1" si="168"/>
        <v>2.471168218485709E-2</v>
      </c>
      <c r="AD465" s="18">
        <f t="shared" ca="1" si="163"/>
        <v>9.5457735886894435E-2</v>
      </c>
    </row>
    <row r="466" spans="1:30" x14ac:dyDescent="0.25">
      <c r="A466" vm="1259">
        <f ca="1"/>
        <v>45967</v>
      </c>
      <c r="B466" vm="1260">
        <f ca="1"/>
        <v>13.12</v>
      </c>
      <c r="C466" vm="1261">
        <f ca="1"/>
        <v>82291049</v>
      </c>
      <c r="D466">
        <f t="shared" ca="1" si="160"/>
        <v>1079658562.8799999</v>
      </c>
      <c r="E466">
        <f ca="1">SUM($D$2:D466)/SUM($C$2:C466)</f>
        <v>10.967090326450277</v>
      </c>
      <c r="F466">
        <f ca="1">_xlfn.STDEV.P($B$2:B466)</f>
        <v>1.1089735027552303</v>
      </c>
      <c r="G466">
        <f t="shared" ca="1" si="161"/>
        <v>12.076063829205507</v>
      </c>
      <c r="H466">
        <f t="shared" ca="1" si="162"/>
        <v>9.8581168236950472</v>
      </c>
      <c r="I466">
        <f t="shared" ca="1" si="151"/>
        <v>12.551499999999999</v>
      </c>
      <c r="J466">
        <f t="shared" ca="1" si="152"/>
        <v>0.71317876256126778</v>
      </c>
      <c r="K466">
        <f t="shared" ca="1" si="153"/>
        <v>13.977857525122534</v>
      </c>
      <c r="L466">
        <f t="shared" ca="1" si="154"/>
        <v>11.125142474877464</v>
      </c>
      <c r="M466">
        <f t="shared" ca="1" si="164"/>
        <v>9.9999999999997868E-3</v>
      </c>
      <c r="N466">
        <f t="shared" ca="1" si="165"/>
        <v>9.9999999999997868E-3</v>
      </c>
      <c r="O466">
        <f t="shared" ca="1" si="166"/>
        <v>0</v>
      </c>
      <c r="P466">
        <f t="shared" ca="1" si="172"/>
        <v>0.13406672543369852</v>
      </c>
      <c r="Q466">
        <f t="shared" ca="1" si="173"/>
        <v>9.1233202227988433E-2</v>
      </c>
      <c r="R466">
        <f t="shared" ca="1" si="170"/>
        <v>1.4694949005370948</v>
      </c>
      <c r="S466">
        <f t="shared" ca="1" si="171"/>
        <v>59.505889249558351</v>
      </c>
      <c r="T466">
        <f>70</f>
        <v>70</v>
      </c>
      <c r="U466">
        <f>30</f>
        <v>30</v>
      </c>
      <c r="V466">
        <f t="shared" ca="1" si="169"/>
        <v>12.908832873169557</v>
      </c>
      <c r="W466">
        <f t="shared" ca="1" si="156"/>
        <v>12.58201076717452</v>
      </c>
      <c r="X466">
        <f t="shared" ca="1" si="155"/>
        <v>0.32663778917276076</v>
      </c>
      <c r="Y466">
        <f t="shared" ca="1" si="157"/>
        <v>0.31540137216160014</v>
      </c>
      <c r="Z466">
        <f t="shared" ca="1" si="158"/>
        <v>1.1236417011160627E-2</v>
      </c>
      <c r="AA466">
        <f t="shared" ca="1" si="159"/>
        <v>11.691699999999994</v>
      </c>
      <c r="AB466" s="18">
        <f t="shared" ca="1" si="167"/>
        <v>7.6277650648348683E-4</v>
      </c>
      <c r="AC466" s="18">
        <f t="shared" ca="1" si="168"/>
        <v>7.6248574033439538E-4</v>
      </c>
      <c r="AD466" s="18">
        <f t="shared" ca="1" si="163"/>
        <v>9.6293325311674449E-2</v>
      </c>
    </row>
    <row r="467" spans="1:30" x14ac:dyDescent="0.25">
      <c r="A467" vm="1262">
        <f ca="1"/>
        <v>45968</v>
      </c>
      <c r="B467" vm="1263">
        <f ca="1"/>
        <v>13.21</v>
      </c>
      <c r="C467" vm="1264">
        <f ca="1"/>
        <v>80011318</v>
      </c>
      <c r="D467">
        <f t="shared" ca="1" si="160"/>
        <v>1056949510.7800001</v>
      </c>
      <c r="E467">
        <f ca="1">SUM($D$2:D467)/SUM($C$2:C467)</f>
        <v>10.972239549657203</v>
      </c>
      <c r="F467">
        <f ca="1">_xlfn.STDEV.P($B$2:B467)</f>
        <v>1.111974437199069</v>
      </c>
      <c r="G467">
        <f t="shared" ca="1" si="161"/>
        <v>12.084213986856273</v>
      </c>
      <c r="H467">
        <f t="shared" ca="1" si="162"/>
        <v>9.8602651124581335</v>
      </c>
      <c r="I467">
        <f t="shared" ca="1" si="151"/>
        <v>12.641500000000001</v>
      </c>
      <c r="J467">
        <f t="shared" ca="1" si="152"/>
        <v>0.67404728086544885</v>
      </c>
      <c r="K467">
        <f t="shared" ca="1" si="153"/>
        <v>13.989594561730899</v>
      </c>
      <c r="L467">
        <f t="shared" ca="1" si="154"/>
        <v>11.293405438269103</v>
      </c>
      <c r="M467">
        <f t="shared" ca="1" si="164"/>
        <v>9.0000000000001634E-2</v>
      </c>
      <c r="N467">
        <f t="shared" ca="1" si="165"/>
        <v>9.0000000000001634E-2</v>
      </c>
      <c r="O467">
        <f t="shared" ca="1" si="166"/>
        <v>0</v>
      </c>
      <c r="P467">
        <f t="shared" ca="1" si="172"/>
        <v>0.13091910218843444</v>
      </c>
      <c r="Q467">
        <f t="shared" ca="1" si="173"/>
        <v>8.4716544925989262E-2</v>
      </c>
      <c r="R467">
        <f t="shared" ca="1" si="170"/>
        <v>1.5453782056717378</v>
      </c>
      <c r="S467">
        <f t="shared" ca="1" si="171"/>
        <v>60.71310747566902</v>
      </c>
      <c r="T467">
        <f>70</f>
        <v>70</v>
      </c>
      <c r="U467">
        <f>30</f>
        <v>30</v>
      </c>
      <c r="V467">
        <f t="shared" ca="1" si="169"/>
        <v>12.955166277297316</v>
      </c>
      <c r="W467">
        <f t="shared" ca="1" si="156"/>
        <v>12.628528488124555</v>
      </c>
      <c r="X467">
        <f t="shared" ca="1" si="155"/>
        <v>0.31878240944963565</v>
      </c>
      <c r="Y467">
        <f t="shared" ca="1" si="157"/>
        <v>0.31607757961920724</v>
      </c>
      <c r="Z467">
        <f t="shared" ca="1" si="158"/>
        <v>2.7048298304284124E-3</v>
      </c>
      <c r="AA467">
        <f t="shared" ca="1" si="159"/>
        <v>11.719599999999993</v>
      </c>
      <c r="AB467" s="18">
        <f t="shared" ca="1" si="167"/>
        <v>6.859756097561176E-3</v>
      </c>
      <c r="AC467" s="18">
        <f t="shared" ca="1" si="168"/>
        <v>6.836335018291167E-3</v>
      </c>
      <c r="AD467" s="18">
        <f t="shared" ca="1" si="163"/>
        <v>0.1038136301346968</v>
      </c>
    </row>
    <row r="468" spans="1:30" x14ac:dyDescent="0.25">
      <c r="A468" vm="1265">
        <f ca="1"/>
        <v>45971</v>
      </c>
      <c r="B468" vm="1266">
        <f ca="1"/>
        <v>13.16</v>
      </c>
      <c r="C468" vm="1267">
        <f ca="1"/>
        <v>62051157</v>
      </c>
      <c r="D468">
        <f t="shared" ca="1" si="160"/>
        <v>816593226.12</v>
      </c>
      <c r="E468">
        <f ca="1">SUM($D$2:D468)/SUM($C$2:C468)</f>
        <v>10.976127812459062</v>
      </c>
      <c r="F468">
        <f ca="1">_xlfn.STDEV.P($B$2:B468)</f>
        <v>1.1147397296984831</v>
      </c>
      <c r="G468">
        <f t="shared" ca="1" si="161"/>
        <v>12.090867542157545</v>
      </c>
      <c r="H468">
        <f t="shared" ca="1" si="162"/>
        <v>9.8613880827605787</v>
      </c>
      <c r="I468">
        <f t="shared" ca="1" si="151"/>
        <v>12.722500000000002</v>
      </c>
      <c r="J468">
        <f t="shared" ca="1" si="152"/>
        <v>0.63065442200939181</v>
      </c>
      <c r="K468">
        <f t="shared" ca="1" si="153"/>
        <v>13.983808844018785</v>
      </c>
      <c r="L468">
        <f t="shared" ca="1" si="154"/>
        <v>11.461191155981219</v>
      </c>
      <c r="M468">
        <f t="shared" ca="1" si="164"/>
        <v>-5.0000000000000711E-2</v>
      </c>
      <c r="N468">
        <f t="shared" ca="1" si="165"/>
        <v>0</v>
      </c>
      <c r="O468">
        <f t="shared" ca="1" si="166"/>
        <v>5.0000000000000711E-2</v>
      </c>
      <c r="P468">
        <f t="shared" ca="1" si="172"/>
        <v>0.12156773774640341</v>
      </c>
      <c r="Q468">
        <f t="shared" ca="1" si="173"/>
        <v>8.2236791716990082E-2</v>
      </c>
      <c r="R468">
        <f t="shared" ca="1" si="170"/>
        <v>1.4782645967606196</v>
      </c>
      <c r="S468">
        <f t="shared" ca="1" si="171"/>
        <v>59.649183492871735</v>
      </c>
      <c r="T468">
        <f>70</f>
        <v>70</v>
      </c>
      <c r="U468">
        <f>30</f>
        <v>30</v>
      </c>
      <c r="V468">
        <f t="shared" ca="1" si="169"/>
        <v>12.986679157713112</v>
      </c>
      <c r="W468">
        <f t="shared" ca="1" si="156"/>
        <v>12.667896748263477</v>
      </c>
      <c r="X468">
        <f t="shared" ca="1" si="155"/>
        <v>0.32016315286371366</v>
      </c>
      <c r="Y468">
        <f t="shared" ca="1" si="157"/>
        <v>0.31689469426810851</v>
      </c>
      <c r="Z468">
        <f t="shared" ca="1" si="158"/>
        <v>3.2684585956051504E-3</v>
      </c>
      <c r="AA468">
        <f t="shared" ca="1" si="159"/>
        <v>11.746899999999997</v>
      </c>
      <c r="AB468" s="18">
        <f t="shared" ca="1" si="167"/>
        <v>-3.7850113550341735E-3</v>
      </c>
      <c r="AC468" s="18">
        <f t="shared" ca="1" si="168"/>
        <v>-3.792192637062917E-3</v>
      </c>
      <c r="AD468" s="18">
        <f t="shared" ca="1" si="163"/>
        <v>9.9635683010795395E-2</v>
      </c>
    </row>
    <row r="469" spans="1:30" x14ac:dyDescent="0.25">
      <c r="A469" vm="1268">
        <f ca="1"/>
        <v>45972</v>
      </c>
      <c r="B469" vm="1269">
        <f ca="1"/>
        <v>13.3</v>
      </c>
      <c r="C469" vm="1270">
        <f ca="1"/>
        <v>79742405</v>
      </c>
      <c r="D469">
        <f t="shared" ca="1" si="160"/>
        <v>1060573986.5</v>
      </c>
      <c r="E469">
        <f ca="1">SUM($D$2:D469)/SUM($C$2:C469)</f>
        <v>10.981423431463696</v>
      </c>
      <c r="F469">
        <f ca="1">_xlfn.STDEV.P($B$2:B469)</f>
        <v>1.1180292680452082</v>
      </c>
      <c r="G469">
        <f t="shared" ca="1" si="161"/>
        <v>12.099452699508905</v>
      </c>
      <c r="H469">
        <f t="shared" ca="1" si="162"/>
        <v>9.8633941634184872</v>
      </c>
      <c r="I469">
        <f t="shared" ca="1" si="151"/>
        <v>12.805000000000001</v>
      </c>
      <c r="J469">
        <f t="shared" ca="1" si="152"/>
        <v>0.58955380094655185</v>
      </c>
      <c r="K469">
        <f t="shared" ca="1" si="153"/>
        <v>13.984107601893106</v>
      </c>
      <c r="L469">
        <f t="shared" ca="1" si="154"/>
        <v>11.625892398106897</v>
      </c>
      <c r="M469">
        <f t="shared" ca="1" si="164"/>
        <v>0.14000000000000057</v>
      </c>
      <c r="N469">
        <f t="shared" ca="1" si="165"/>
        <v>0.14000000000000057</v>
      </c>
      <c r="O469">
        <f t="shared" ca="1" si="166"/>
        <v>0</v>
      </c>
      <c r="P469">
        <f t="shared" ca="1" si="172"/>
        <v>0.12288432790737462</v>
      </c>
      <c r="Q469">
        <f t="shared" ca="1" si="173"/>
        <v>7.6362735165776505E-2</v>
      </c>
      <c r="R469">
        <f t="shared" ca="1" si="170"/>
        <v>1.6092185231527394</v>
      </c>
      <c r="S469">
        <f t="shared" ca="1" si="171"/>
        <v>61.674348425531939</v>
      </c>
      <c r="T469">
        <f>70</f>
        <v>70</v>
      </c>
      <c r="U469">
        <f>30</f>
        <v>30</v>
      </c>
      <c r="V469">
        <f t="shared" ca="1" si="169"/>
        <v>13.034882364218786</v>
      </c>
      <c r="W469">
        <f t="shared" ca="1" si="156"/>
        <v>12.714719211355073</v>
      </c>
      <c r="X469">
        <f t="shared" ca="1" si="155"/>
        <v>0.32956216091903379</v>
      </c>
      <c r="Y469">
        <f t="shared" ca="1" si="157"/>
        <v>0.31942818759829361</v>
      </c>
      <c r="Z469">
        <f t="shared" ca="1" si="158"/>
        <v>1.0133973320740175E-2</v>
      </c>
      <c r="AA469">
        <f t="shared" ca="1" si="159"/>
        <v>11.773999999999996</v>
      </c>
      <c r="AB469" s="18">
        <f t="shared" ca="1" si="167"/>
        <v>1.0638297872340496E-2</v>
      </c>
      <c r="AC469" s="18">
        <f t="shared" ca="1" si="168"/>
        <v>1.0582109330537008E-2</v>
      </c>
      <c r="AD469" s="18">
        <f t="shared" ca="1" si="163"/>
        <v>0.11133393495771893</v>
      </c>
    </row>
    <row r="470" spans="1:30" x14ac:dyDescent="0.25">
      <c r="A470" vm="1271">
        <f ca="1"/>
        <v>45973</v>
      </c>
      <c r="B470" vm="1272">
        <f ca="1"/>
        <v>13.45</v>
      </c>
      <c r="C470" vm="1273">
        <f ca="1"/>
        <v>61840461</v>
      </c>
      <c r="D470">
        <f t="shared" ca="1" si="160"/>
        <v>831754200.44999993</v>
      </c>
      <c r="E470">
        <f ca="1">SUM($D$2:D470)/SUM($C$2:C470)</f>
        <v>10.985778226039045</v>
      </c>
      <c r="F470">
        <f ca="1">_xlfn.STDEV.P($B$2:B470)</f>
        <v>1.1219124693274309</v>
      </c>
      <c r="G470">
        <f t="shared" ca="1" si="161"/>
        <v>12.107690695366475</v>
      </c>
      <c r="H470">
        <f t="shared" ca="1" si="162"/>
        <v>9.8638657567116148</v>
      </c>
      <c r="I470">
        <f t="shared" ref="I470:I514" ca="1" si="174">AVERAGE(B451:B470)</f>
        <v>12.889499999999998</v>
      </c>
      <c r="J470">
        <f t="shared" ref="J470:J514" ca="1" si="175">_xlfn.STDEV.S(B451:B470)</f>
        <v>0.55179587186796375</v>
      </c>
      <c r="K470">
        <f t="shared" ref="K470:K514" ca="1" si="176">I470 + 2*J470</f>
        <v>13.993091743735926</v>
      </c>
      <c r="L470">
        <f t="shared" ref="L470:L514" ca="1" si="177">I470-2*J470</f>
        <v>11.78590825626407</v>
      </c>
      <c r="M470">
        <f t="shared" ca="1" si="164"/>
        <v>0.14999999999999858</v>
      </c>
      <c r="N470">
        <f t="shared" ca="1" si="165"/>
        <v>0.14999999999999858</v>
      </c>
      <c r="O470">
        <f t="shared" ca="1" si="166"/>
        <v>0</v>
      </c>
      <c r="P470">
        <f t="shared" ca="1" si="172"/>
        <v>0.12482116162827632</v>
      </c>
      <c r="Q470">
        <f t="shared" ca="1" si="173"/>
        <v>7.0908254082506755E-2</v>
      </c>
      <c r="R470">
        <f t="shared" ca="1" si="170"/>
        <v>1.760319207451337</v>
      </c>
      <c r="S470">
        <f t="shared" ca="1" si="171"/>
        <v>63.772305851419198</v>
      </c>
      <c r="T470">
        <f>70</f>
        <v>70</v>
      </c>
      <c r="U470">
        <f>30</f>
        <v>30</v>
      </c>
      <c r="V470">
        <f t="shared" ca="1" si="169"/>
        <v>13.098746615877435</v>
      </c>
      <c r="W470">
        <f t="shared" ca="1" si="156"/>
        <v>12.769184454958401</v>
      </c>
      <c r="X470">
        <f t="shared" ca="1" si="155"/>
        <v>0.31960910841629087</v>
      </c>
      <c r="Y470">
        <f t="shared" ca="1" si="157"/>
        <v>0.31946437176189307</v>
      </c>
      <c r="Z470">
        <f t="shared" ca="1" si="158"/>
        <v>1.4473665439779237E-4</v>
      </c>
      <c r="AA470">
        <f t="shared" ca="1" si="159"/>
        <v>11.800999999999995</v>
      </c>
      <c r="AB470" s="18">
        <f t="shared" ca="1" si="167"/>
        <v>1.1278195488721776E-2</v>
      </c>
      <c r="AC470" s="18">
        <f t="shared" ca="1" si="168"/>
        <v>1.1215070820140003E-2</v>
      </c>
      <c r="AD470" s="18">
        <f t="shared" ca="1" si="163"/>
        <v>0.12386777632942247</v>
      </c>
    </row>
    <row r="471" spans="1:30" x14ac:dyDescent="0.25">
      <c r="A471" vm="1274">
        <f ca="1"/>
        <v>45974</v>
      </c>
      <c r="B471" vm="1275">
        <f ca="1"/>
        <v>13.28</v>
      </c>
      <c r="C471" vm="1276">
        <f ca="1"/>
        <v>71481613</v>
      </c>
      <c r="D471">
        <f t="shared" ca="1" si="160"/>
        <v>949275820.63999999</v>
      </c>
      <c r="E471">
        <f ca="1">SUM($D$2:D471)/SUM($C$2:C471)</f>
        <v>10.9904468986135</v>
      </c>
      <c r="F471">
        <f ca="1">_xlfn.STDEV.P($B$2:B471)</f>
        <v>1.1250320618108431</v>
      </c>
      <c r="G471">
        <f t="shared" ca="1" si="161"/>
        <v>12.115478960424344</v>
      </c>
      <c r="H471">
        <f t="shared" ca="1" si="162"/>
        <v>9.8654148368026569</v>
      </c>
      <c r="I471">
        <f t="shared" ca="1" si="174"/>
        <v>12.9665</v>
      </c>
      <c r="J471">
        <f t="shared" ca="1" si="175"/>
        <v>0.48653744379084163</v>
      </c>
      <c r="K471">
        <f t="shared" ca="1" si="176"/>
        <v>13.939574887581683</v>
      </c>
      <c r="L471">
        <f t="shared" ca="1" si="177"/>
        <v>11.993425112418317</v>
      </c>
      <c r="M471">
        <f t="shared" ca="1" si="164"/>
        <v>-0.16999999999999993</v>
      </c>
      <c r="N471">
        <f t="shared" ca="1" si="165"/>
        <v>0</v>
      </c>
      <c r="O471">
        <f t="shared" ca="1" si="166"/>
        <v>0.16999999999999993</v>
      </c>
      <c r="P471">
        <f t="shared" ca="1" si="172"/>
        <v>0.11590536436911372</v>
      </c>
      <c r="Q471">
        <f t="shared" ca="1" si="173"/>
        <v>7.7986235933756268E-2</v>
      </c>
      <c r="R471">
        <f t="shared" ca="1" si="170"/>
        <v>1.4862284732855557</v>
      </c>
      <c r="S471">
        <f t="shared" ca="1" si="171"/>
        <v>59.778435057559371</v>
      </c>
      <c r="T471">
        <f>70</f>
        <v>70</v>
      </c>
      <c r="U471">
        <f>30</f>
        <v>30</v>
      </c>
      <c r="V471">
        <f t="shared" ca="1" si="169"/>
        <v>13.126631751896291</v>
      </c>
      <c r="W471">
        <f t="shared" ca="1" si="156"/>
        <v>12.80702264348</v>
      </c>
      <c r="X471">
        <f t="shared" ca="1" si="155"/>
        <v>0.30098937658745939</v>
      </c>
      <c r="Y471">
        <f t="shared" ca="1" si="157"/>
        <v>0.31576937272700634</v>
      </c>
      <c r="Z471">
        <f t="shared" ca="1" si="158"/>
        <v>-1.4779996139546947E-2</v>
      </c>
      <c r="AA471">
        <f t="shared" ca="1" si="159"/>
        <v>11.826499999999994</v>
      </c>
      <c r="AB471" s="18">
        <f t="shared" ca="1" si="167"/>
        <v>-1.2639405204460941E-2</v>
      </c>
      <c r="AC471" s="18">
        <f t="shared" ca="1" si="168"/>
        <v>-1.2719961999560294E-2</v>
      </c>
      <c r="AD471" s="18">
        <f t="shared" ca="1" si="163"/>
        <v>0.10966275610815845</v>
      </c>
    </row>
    <row r="472" spans="1:30" x14ac:dyDescent="0.25">
      <c r="A472" vm="1277">
        <f ca="1"/>
        <v>45975</v>
      </c>
      <c r="B472" vm="1278">
        <f ca="1"/>
        <v>13.19</v>
      </c>
      <c r="C472" vm="1279">
        <f ca="1"/>
        <v>67932422</v>
      </c>
      <c r="D472">
        <f t="shared" ca="1" si="160"/>
        <v>896028646.17999995</v>
      </c>
      <c r="E472">
        <f ca="1">SUM($D$2:D472)/SUM($C$2:C472)</f>
        <v>10.994692469940533</v>
      </c>
      <c r="F472">
        <f ca="1">_xlfn.STDEV.P($B$2:B472)</f>
        <v>1.1277589124634468</v>
      </c>
      <c r="G472">
        <f t="shared" ca="1" si="161"/>
        <v>12.12245138240398</v>
      </c>
      <c r="H472">
        <f t="shared" ca="1" si="162"/>
        <v>9.8669335574770862</v>
      </c>
      <c r="I472">
        <f t="shared" ca="1" si="174"/>
        <v>13.030000000000001</v>
      </c>
      <c r="J472">
        <f t="shared" ca="1" si="175"/>
        <v>0.42126376285497991</v>
      </c>
      <c r="K472">
        <f t="shared" ca="1" si="176"/>
        <v>13.872527525709961</v>
      </c>
      <c r="L472">
        <f t="shared" ca="1" si="177"/>
        <v>12.187472474290042</v>
      </c>
      <c r="M472">
        <f t="shared" ca="1" si="164"/>
        <v>-8.9999999999999858E-2</v>
      </c>
      <c r="N472">
        <f t="shared" ca="1" si="165"/>
        <v>0</v>
      </c>
      <c r="O472">
        <f t="shared" ca="1" si="166"/>
        <v>8.9999999999999858E-2</v>
      </c>
      <c r="P472">
        <f t="shared" ca="1" si="172"/>
        <v>0.10762640977131989</v>
      </c>
      <c r="Q472">
        <f t="shared" ca="1" si="173"/>
        <v>7.8844361938487956E-2</v>
      </c>
      <c r="R472">
        <f t="shared" ca="1" si="170"/>
        <v>1.365048902993049</v>
      </c>
      <c r="S472">
        <f t="shared" ca="1" si="171"/>
        <v>57.717576210180418</v>
      </c>
      <c r="T472">
        <f>70</f>
        <v>70</v>
      </c>
      <c r="U472">
        <f>30</f>
        <v>30</v>
      </c>
      <c r="V472">
        <f t="shared" ca="1" si="169"/>
        <v>13.136380713143016</v>
      </c>
      <c r="W472">
        <f t="shared" ca="1" si="156"/>
        <v>12.835391336555556</v>
      </c>
      <c r="X472">
        <f t="shared" ca="1" si="155"/>
        <v>0.25824184450974386</v>
      </c>
      <c r="Y472">
        <f t="shared" ca="1" si="157"/>
        <v>0.30426386708355385</v>
      </c>
      <c r="Z472">
        <f t="shared" ca="1" si="158"/>
        <v>-4.6022022573809995E-2</v>
      </c>
      <c r="AA472">
        <f t="shared" ca="1" si="159"/>
        <v>11.853599999999995</v>
      </c>
      <c r="AB472" s="18">
        <f t="shared" ca="1" si="167"/>
        <v>-6.777108433734913E-3</v>
      </c>
      <c r="AC472" s="18">
        <f t="shared" ca="1" si="168"/>
        <v>-6.8001773190645353E-3</v>
      </c>
      <c r="AD472" s="18">
        <f t="shared" ca="1" si="163"/>
        <v>0.10214245128513633</v>
      </c>
    </row>
    <row r="473" spans="1:30" x14ac:dyDescent="0.25">
      <c r="A473" vm="1280">
        <f ca="1"/>
        <v>45978</v>
      </c>
      <c r="B473" vm="1281">
        <f ca="1"/>
        <v>12.88</v>
      </c>
      <c r="C473" vm="1282">
        <f ca="1"/>
        <v>73404381</v>
      </c>
      <c r="D473">
        <f t="shared" ca="1" si="160"/>
        <v>945448427.28000009</v>
      </c>
      <c r="E473">
        <f ca="1">SUM($D$2:D473)/SUM($C$2:C473)</f>
        <v>10.998616424059918</v>
      </c>
      <c r="F473">
        <f ca="1">_xlfn.STDEV.P($B$2:B473)</f>
        <v>1.1293594041229842</v>
      </c>
      <c r="G473">
        <f t="shared" ca="1" si="161"/>
        <v>12.127975828182903</v>
      </c>
      <c r="H473">
        <f t="shared" ca="1" si="162"/>
        <v>9.8692570199369332</v>
      </c>
      <c r="I473">
        <f t="shared" ca="1" si="174"/>
        <v>13.0745</v>
      </c>
      <c r="J473">
        <f t="shared" ca="1" si="175"/>
        <v>0.34588521065140726</v>
      </c>
      <c r="K473">
        <f t="shared" ca="1" si="176"/>
        <v>13.766270421302815</v>
      </c>
      <c r="L473">
        <f t="shared" ca="1" si="177"/>
        <v>12.382729578697186</v>
      </c>
      <c r="M473">
        <f t="shared" ca="1" si="164"/>
        <v>-0.30999999999999872</v>
      </c>
      <c r="N473">
        <f t="shared" ca="1" si="165"/>
        <v>0</v>
      </c>
      <c r="O473">
        <f t="shared" ca="1" si="166"/>
        <v>0.30999999999999872</v>
      </c>
      <c r="P473">
        <f t="shared" ca="1" si="172"/>
        <v>9.9938809073368468E-2</v>
      </c>
      <c r="Q473">
        <f t="shared" ca="1" si="173"/>
        <v>9.5355478942881572E-2</v>
      </c>
      <c r="R473">
        <f t="shared" ca="1" si="170"/>
        <v>1.0480657239761999</v>
      </c>
      <c r="S473">
        <f t="shared" ca="1" si="171"/>
        <v>51.173441931416228</v>
      </c>
      <c r="T473">
        <f>70</f>
        <v>70</v>
      </c>
      <c r="U473">
        <f>30</f>
        <v>30</v>
      </c>
      <c r="V473">
        <f t="shared" ca="1" si="169"/>
        <v>13.096937526505629</v>
      </c>
      <c r="W473">
        <f t="shared" ca="1" si="156"/>
        <v>12.838695681995885</v>
      </c>
      <c r="X473">
        <f t="shared" ca="1" si="155"/>
        <v>0.23297535248862999</v>
      </c>
      <c r="Y473">
        <f t="shared" ca="1" si="157"/>
        <v>0.29000616416456909</v>
      </c>
      <c r="Z473">
        <f t="shared" ca="1" si="158"/>
        <v>-5.7030811675939097E-2</v>
      </c>
      <c r="AA473">
        <f t="shared" ca="1" si="159"/>
        <v>11.876099999999997</v>
      </c>
      <c r="AB473" s="18">
        <f t="shared" ca="1" si="167"/>
        <v>-2.3502653525397932E-2</v>
      </c>
      <c r="AC473" s="18">
        <f t="shared" ca="1" si="168"/>
        <v>-2.3783246053015576E-2</v>
      </c>
      <c r="AD473" s="18">
        <f t="shared" ca="1" si="163"/>
        <v>7.6239179116948996E-2</v>
      </c>
    </row>
    <row r="474" spans="1:30" x14ac:dyDescent="0.25">
      <c r="A474" vm="1283">
        <f ca="1"/>
        <v>45979</v>
      </c>
      <c r="B474" vm="1284">
        <f ca="1"/>
        <v>13.02</v>
      </c>
      <c r="C474" vm="1285">
        <f ca="1"/>
        <v>70215400</v>
      </c>
      <c r="D474">
        <f t="shared" ca="1" si="160"/>
        <v>914204508</v>
      </c>
      <c r="E474">
        <f ca="1">SUM($D$2:D474)/SUM($C$2:C474)</f>
        <v>11.002632825020031</v>
      </c>
      <c r="F474">
        <f ca="1">_xlfn.STDEV.P($B$2:B474)</f>
        <v>1.1314074215432004</v>
      </c>
      <c r="G474">
        <f t="shared" ca="1" si="161"/>
        <v>12.134040246563231</v>
      </c>
      <c r="H474">
        <f t="shared" ca="1" si="162"/>
        <v>9.8712254034768314</v>
      </c>
      <c r="I474">
        <f t="shared" ca="1" si="174"/>
        <v>13.0975</v>
      </c>
      <c r="J474">
        <f t="shared" ca="1" si="175"/>
        <v>0.32450569697375281</v>
      </c>
      <c r="K474">
        <f t="shared" ca="1" si="176"/>
        <v>13.746511393947506</v>
      </c>
      <c r="L474">
        <f t="shared" ca="1" si="177"/>
        <v>12.448488606052495</v>
      </c>
      <c r="M474">
        <f t="shared" ca="1" si="164"/>
        <v>0.13999999999999879</v>
      </c>
      <c r="N474">
        <f t="shared" ca="1" si="165"/>
        <v>0.13999999999999879</v>
      </c>
      <c r="O474">
        <f t="shared" ca="1" si="166"/>
        <v>0</v>
      </c>
      <c r="P474">
        <f t="shared" ca="1" si="172"/>
        <v>0.10280032271098492</v>
      </c>
      <c r="Q474">
        <f t="shared" ca="1" si="173"/>
        <v>8.8544373304104321E-2</v>
      </c>
      <c r="R474">
        <f t="shared" ca="1" si="170"/>
        <v>1.161003448044279</v>
      </c>
      <c r="S474">
        <f t="shared" ca="1" si="171"/>
        <v>53.725201090955871</v>
      </c>
      <c r="T474">
        <f>70</f>
        <v>70</v>
      </c>
      <c r="U474">
        <f>30</f>
        <v>30</v>
      </c>
      <c r="V474">
        <f t="shared" ca="1" si="169"/>
        <v>13.085100983966301</v>
      </c>
      <c r="W474">
        <f t="shared" ca="1" si="156"/>
        <v>12.852125631477671</v>
      </c>
      <c r="X474">
        <f t="shared" ca="1" si="155"/>
        <v>0.20095202851210203</v>
      </c>
      <c r="Y474">
        <f t="shared" ca="1" si="157"/>
        <v>0.27219533703407572</v>
      </c>
      <c r="Z474">
        <f t="shared" ca="1" si="158"/>
        <v>-7.1243308521973692E-2</v>
      </c>
      <c r="AA474">
        <f t="shared" ca="1" si="159"/>
        <v>11.898299999999995</v>
      </c>
      <c r="AB474" s="18">
        <f t="shared" ca="1" si="167"/>
        <v>1.0869565217391131E-2</v>
      </c>
      <c r="AC474" s="18">
        <f t="shared" ca="1" si="168"/>
        <v>1.0810916104215456E-2</v>
      </c>
      <c r="AD474" s="18">
        <f t="shared" ca="1" si="163"/>
        <v>8.7937431063872085E-2</v>
      </c>
    </row>
    <row r="475" spans="1:30" x14ac:dyDescent="0.25">
      <c r="A475" vm="1286">
        <f ca="1"/>
        <v>45980</v>
      </c>
      <c r="B475" vm="1287">
        <f ca="1"/>
        <v>12.9</v>
      </c>
      <c r="C475" vm="1288">
        <f ca="1"/>
        <v>49619260</v>
      </c>
      <c r="D475">
        <f t="shared" ca="1" si="160"/>
        <v>640088454</v>
      </c>
      <c r="E475">
        <f ca="1">SUM($D$2:D475)/SUM($C$2:C475)</f>
        <v>11.005293233016969</v>
      </c>
      <c r="F475">
        <f ca="1">_xlfn.STDEV.P($B$2:B475)</f>
        <v>1.1330283246909754</v>
      </c>
      <c r="G475">
        <f t="shared" ca="1" si="161"/>
        <v>12.138321557707945</v>
      </c>
      <c r="H475">
        <f t="shared" ca="1" si="162"/>
        <v>9.8722649083259935</v>
      </c>
      <c r="I475">
        <f t="shared" ca="1" si="174"/>
        <v>13.121</v>
      </c>
      <c r="J475">
        <f t="shared" ca="1" si="175"/>
        <v>0.28866115630249722</v>
      </c>
      <c r="K475">
        <f t="shared" ca="1" si="176"/>
        <v>13.698322312604995</v>
      </c>
      <c r="L475">
        <f t="shared" ca="1" si="177"/>
        <v>12.543677687395006</v>
      </c>
      <c r="M475">
        <f t="shared" ca="1" si="164"/>
        <v>-0.11999999999999922</v>
      </c>
      <c r="N475">
        <f t="shared" ca="1" si="165"/>
        <v>0</v>
      </c>
      <c r="O475">
        <f t="shared" ca="1" si="166"/>
        <v>0.11999999999999922</v>
      </c>
      <c r="P475">
        <f t="shared" ca="1" si="172"/>
        <v>9.5457442517343144E-2</v>
      </c>
      <c r="Q475">
        <f t="shared" ca="1" si="173"/>
        <v>9.0791203782382521E-2</v>
      </c>
      <c r="R475">
        <f t="shared" ca="1" si="170"/>
        <v>1.0513952733366674</v>
      </c>
      <c r="S475">
        <f t="shared" ca="1" si="171"/>
        <v>51.252690644379598</v>
      </c>
      <c r="T475">
        <f>70</f>
        <v>70</v>
      </c>
      <c r="U475">
        <f>30</f>
        <v>30</v>
      </c>
      <c r="V475">
        <f t="shared" ca="1" si="169"/>
        <v>13.056623909509947</v>
      </c>
      <c r="W475">
        <f t="shared" ca="1" si="156"/>
        <v>12.855671880997845</v>
      </c>
      <c r="X475">
        <f t="shared" ca="1" si="155"/>
        <v>0.13448415897479826</v>
      </c>
      <c r="Y475">
        <f t="shared" ca="1" si="157"/>
        <v>0.24465310142222024</v>
      </c>
      <c r="Z475">
        <f t="shared" ca="1" si="158"/>
        <v>-0.11016894244742198</v>
      </c>
      <c r="AA475">
        <f t="shared" ca="1" si="159"/>
        <v>11.918799999999997</v>
      </c>
      <c r="AB475" s="18">
        <f t="shared" ca="1" si="167"/>
        <v>-9.2165898617511122E-3</v>
      </c>
      <c r="AC475" s="18">
        <f t="shared" ca="1" si="168"/>
        <v>-9.2593254127967123E-3</v>
      </c>
      <c r="AD475" s="18">
        <f t="shared" ca="1" si="163"/>
        <v>7.7910357966509247E-2</v>
      </c>
    </row>
    <row r="476" spans="1:30" x14ac:dyDescent="0.25">
      <c r="A476" vm="1289">
        <f ca="1"/>
        <v>45981</v>
      </c>
      <c r="B476" vm="1290">
        <f ca="1"/>
        <v>12.41</v>
      </c>
      <c r="C476" vm="1291">
        <f ca="1"/>
        <v>95861863</v>
      </c>
      <c r="D476">
        <f t="shared" ca="1" si="160"/>
        <v>1189645719.8299999</v>
      </c>
      <c r="E476">
        <f ca="1">SUM($D$2:D476)/SUM($C$2:C476)</f>
        <v>11.009088158476196</v>
      </c>
      <c r="F476">
        <f ca="1">_xlfn.STDEV.P($B$2:B476)</f>
        <v>1.1332748203900675</v>
      </c>
      <c r="G476">
        <f t="shared" ca="1" si="161"/>
        <v>12.142362978866263</v>
      </c>
      <c r="H476">
        <f t="shared" ca="1" si="162"/>
        <v>9.8758133380861288</v>
      </c>
      <c r="I476">
        <f t="shared" ca="1" si="174"/>
        <v>13.124500000000001</v>
      </c>
      <c r="J476">
        <f t="shared" ca="1" si="175"/>
        <v>0.27895434450065382</v>
      </c>
      <c r="K476">
        <f t="shared" ca="1" si="176"/>
        <v>13.682408689001308</v>
      </c>
      <c r="L476">
        <f t="shared" ca="1" si="177"/>
        <v>12.566591310998694</v>
      </c>
      <c r="M476">
        <f t="shared" ca="1" si="164"/>
        <v>-0.49000000000000021</v>
      </c>
      <c r="N476">
        <f t="shared" ca="1" si="165"/>
        <v>0</v>
      </c>
      <c r="O476">
        <f t="shared" ca="1" si="166"/>
        <v>0.49000000000000021</v>
      </c>
      <c r="P476">
        <f t="shared" ca="1" si="172"/>
        <v>8.8639053766104356E-2</v>
      </c>
      <c r="Q476">
        <f t="shared" ca="1" si="173"/>
        <v>0.11930611779792664</v>
      </c>
      <c r="R476">
        <f t="shared" ca="1" si="170"/>
        <v>0.74295480736566855</v>
      </c>
      <c r="S476">
        <f t="shared" ca="1" si="171"/>
        <v>42.626165877965768</v>
      </c>
      <c r="T476">
        <f>70</f>
        <v>70</v>
      </c>
      <c r="U476">
        <f>30</f>
        <v>30</v>
      </c>
      <c r="V476">
        <f t="shared" ca="1" si="169"/>
        <v>12.957143308046877</v>
      </c>
      <c r="W476">
        <f t="shared" ca="1" si="156"/>
        <v>12.822659149072079</v>
      </c>
      <c r="X476">
        <f t="shared" ref="X476:X514" ca="1" si="178">V477-W477</f>
        <v>0.11437988330910898</v>
      </c>
      <c r="Y476">
        <f t="shared" ca="1" si="157"/>
        <v>0.21859845779959802</v>
      </c>
      <c r="Z476">
        <f t="shared" ca="1" si="158"/>
        <v>-0.10421857449048905</v>
      </c>
      <c r="AA476">
        <f t="shared" ca="1" si="159"/>
        <v>11.929399999999998</v>
      </c>
      <c r="AB476" s="18">
        <f t="shared" ca="1" si="167"/>
        <v>-3.7984496124030986E-2</v>
      </c>
      <c r="AC476" s="18">
        <f t="shared" ca="1" si="168"/>
        <v>-3.872471215111057E-2</v>
      </c>
      <c r="AD476" s="18">
        <f t="shared" ca="1" si="163"/>
        <v>3.6966476152277439E-2</v>
      </c>
    </row>
    <row r="477" spans="1:30" x14ac:dyDescent="0.25">
      <c r="A477" vm="1292">
        <f ca="1"/>
        <v>45982</v>
      </c>
      <c r="B477" vm="1293">
        <f ca="1"/>
        <v>12.83</v>
      </c>
      <c r="C477" vm="1294">
        <f ca="1"/>
        <v>74048860</v>
      </c>
      <c r="D477">
        <f t="shared" ca="1" si="160"/>
        <v>950046873.79999995</v>
      </c>
      <c r="E477">
        <f ca="1">SUM($D$2:D477)/SUM($C$2:C477)</f>
        <v>11.012880204909697</v>
      </c>
      <c r="F477">
        <f ca="1">_xlfn.STDEV.P($B$2:B477)</f>
        <v>1.1346425536362035</v>
      </c>
      <c r="G477">
        <f t="shared" ca="1" si="161"/>
        <v>12.1475227585459</v>
      </c>
      <c r="H477">
        <f t="shared" ca="1" si="162"/>
        <v>9.8782376512734942</v>
      </c>
      <c r="I477">
        <f t="shared" ca="1" si="174"/>
        <v>13.074000000000002</v>
      </c>
      <c r="J477">
        <f t="shared" ca="1" si="175"/>
        <v>0.22967711890253326</v>
      </c>
      <c r="K477">
        <f t="shared" ca="1" si="176"/>
        <v>13.533354237805067</v>
      </c>
      <c r="L477">
        <f t="shared" ca="1" si="177"/>
        <v>12.614645762194936</v>
      </c>
      <c r="M477">
        <f t="shared" ca="1" si="164"/>
        <v>0.41999999999999993</v>
      </c>
      <c r="N477">
        <f t="shared" ca="1" si="165"/>
        <v>0.41999999999999993</v>
      </c>
      <c r="O477">
        <f t="shared" ca="1" si="166"/>
        <v>0</v>
      </c>
      <c r="P477">
        <f t="shared" ca="1" si="172"/>
        <v>0.11230769278281118</v>
      </c>
      <c r="Q477">
        <f t="shared" ca="1" si="173"/>
        <v>0.11078425224093189</v>
      </c>
      <c r="R477">
        <f t="shared" ca="1" si="170"/>
        <v>1.0137514178329798</v>
      </c>
      <c r="S477">
        <f t="shared" ca="1" si="171"/>
        <v>50.341437818769556</v>
      </c>
      <c r="T477">
        <f>70</f>
        <v>70</v>
      </c>
      <c r="U477">
        <f>30</f>
        <v>30</v>
      </c>
      <c r="V477">
        <f t="shared" ca="1" si="169"/>
        <v>12.937582799116589</v>
      </c>
      <c r="W477">
        <f t="shared" ref="W477:W514" ca="1" si="179">B477*(2/(26+1)) + W476*(1-(2/(26+1)))</f>
        <v>12.82320291580748</v>
      </c>
      <c r="X477">
        <f t="shared" ca="1" si="178"/>
        <v>0.10769556609742281</v>
      </c>
      <c r="Y477">
        <f t="shared" ca="1" si="157"/>
        <v>0.196417879459163</v>
      </c>
      <c r="Z477">
        <f t="shared" ca="1" si="158"/>
        <v>-8.872231336174019E-2</v>
      </c>
      <c r="AA477">
        <f t="shared" ca="1" si="159"/>
        <v>11.939999999999996</v>
      </c>
      <c r="AB477" s="18">
        <f t="shared" ca="1" si="167"/>
        <v>3.3843674456083717E-2</v>
      </c>
      <c r="AC477" s="18">
        <f t="shared" ca="1" si="168"/>
        <v>3.3283579411029135E-2</v>
      </c>
      <c r="AD477" s="18">
        <f t="shared" ca="1" si="163"/>
        <v>7.206123199304737E-2</v>
      </c>
    </row>
    <row r="478" spans="1:30" x14ac:dyDescent="0.25">
      <c r="A478" vm="1295">
        <f ca="1"/>
        <v>45985</v>
      </c>
      <c r="B478" vm="1296">
        <f ca="1"/>
        <v>12.96</v>
      </c>
      <c r="C478" vm="1297">
        <f ca="1"/>
        <v>52936240</v>
      </c>
      <c r="D478">
        <f t="shared" ca="1" si="160"/>
        <v>686053670.4000001</v>
      </c>
      <c r="E478">
        <f ca="1">SUM($D$2:D478)/SUM($C$2:C478)</f>
        <v>11.015774654835139</v>
      </c>
      <c r="F478">
        <f ca="1">_xlfn.STDEV.P($B$2:B478)</f>
        <v>1.136405095897858</v>
      </c>
      <c r="G478">
        <f t="shared" ca="1" si="161"/>
        <v>12.152179750732998</v>
      </c>
      <c r="H478">
        <f t="shared" ca="1" si="162"/>
        <v>9.879369558937281</v>
      </c>
      <c r="I478">
        <f t="shared" ca="1" si="174"/>
        <v>13.059000000000001</v>
      </c>
      <c r="J478">
        <f t="shared" ca="1" si="175"/>
        <v>0.22666692466445579</v>
      </c>
      <c r="K478">
        <f t="shared" ca="1" si="176"/>
        <v>13.512333849328913</v>
      </c>
      <c r="L478">
        <f t="shared" ca="1" si="177"/>
        <v>12.605666150671089</v>
      </c>
      <c r="M478">
        <f t="shared" ca="1" si="164"/>
        <v>0.13000000000000078</v>
      </c>
      <c r="N478">
        <f t="shared" ca="1" si="165"/>
        <v>0.13000000000000078</v>
      </c>
      <c r="O478">
        <f t="shared" ca="1" si="166"/>
        <v>0</v>
      </c>
      <c r="P478">
        <f t="shared" ca="1" si="172"/>
        <v>0.11357142901261043</v>
      </c>
      <c r="Q478">
        <f t="shared" ca="1" si="173"/>
        <v>0.1028710913665796</v>
      </c>
      <c r="R478">
        <f t="shared" ca="1" si="170"/>
        <v>1.1040169546554175</v>
      </c>
      <c r="S478">
        <f t="shared" ca="1" si="171"/>
        <v>52.471865885521176</v>
      </c>
      <c r="T478">
        <f>70</f>
        <v>70</v>
      </c>
      <c r="U478">
        <f>30</f>
        <v>30</v>
      </c>
      <c r="V478">
        <f t="shared" ca="1" si="169"/>
        <v>12.941031599252497</v>
      </c>
      <c r="W478">
        <f t="shared" ca="1" si="179"/>
        <v>12.833336033155074</v>
      </c>
      <c r="X478">
        <f t="shared" ca="1" si="178"/>
        <v>0.11798340228658866</v>
      </c>
      <c r="Y478">
        <f t="shared" ca="1" si="157"/>
        <v>0.18073098402464816</v>
      </c>
      <c r="Z478">
        <f t="shared" ca="1" si="158"/>
        <v>-6.2747581738059499E-2</v>
      </c>
      <c r="AA478">
        <f t="shared" ca="1" si="159"/>
        <v>11.951499999999999</v>
      </c>
      <c r="AB478" s="18">
        <f t="shared" ca="1" si="167"/>
        <v>1.0132501948558081E-2</v>
      </c>
      <c r="AC478" s="18">
        <f t="shared" ca="1" si="168"/>
        <v>1.008151229658359E-2</v>
      </c>
      <c r="AD478" s="18">
        <f t="shared" ca="1" si="163"/>
        <v>8.2923894515190444E-2</v>
      </c>
    </row>
    <row r="479" spans="1:30" x14ac:dyDescent="0.25">
      <c r="A479" vm="1298">
        <f ca="1"/>
        <v>45986</v>
      </c>
      <c r="B479" vm="1299">
        <f ca="1"/>
        <v>13.17</v>
      </c>
      <c r="C479" vm="1300">
        <f ca="1"/>
        <v>52884970</v>
      </c>
      <c r="D479">
        <f t="shared" ca="1" si="160"/>
        <v>696495054.89999998</v>
      </c>
      <c r="E479">
        <f ca="1">SUM($D$2:D479)/SUM($C$2:C479)</f>
        <v>11.018969127556497</v>
      </c>
      <c r="F479">
        <f ca="1">_xlfn.STDEV.P($B$2:B479)</f>
        <v>1.1388734630243056</v>
      </c>
      <c r="G479">
        <f t="shared" ca="1" si="161"/>
        <v>12.157842590580803</v>
      </c>
      <c r="H479">
        <f t="shared" ca="1" si="162"/>
        <v>9.8800956645321918</v>
      </c>
      <c r="I479">
        <f t="shared" ca="1" si="174"/>
        <v>13.061000000000002</v>
      </c>
      <c r="J479">
        <f t="shared" ca="1" si="175"/>
        <v>0.22750130132652674</v>
      </c>
      <c r="K479">
        <f t="shared" ca="1" si="176"/>
        <v>13.516002602653055</v>
      </c>
      <c r="L479">
        <f t="shared" ca="1" si="177"/>
        <v>12.605997397346949</v>
      </c>
      <c r="M479">
        <f t="shared" ca="1" si="164"/>
        <v>0.20999999999999908</v>
      </c>
      <c r="N479">
        <f t="shared" ca="1" si="165"/>
        <v>0.20999999999999908</v>
      </c>
      <c r="O479">
        <f t="shared" ca="1" si="166"/>
        <v>0</v>
      </c>
      <c r="P479">
        <f t="shared" ca="1" si="172"/>
        <v>0.12045918408313819</v>
      </c>
      <c r="Q479">
        <f t="shared" ca="1" si="173"/>
        <v>9.5523156268966777E-2</v>
      </c>
      <c r="R479">
        <f t="shared" ca="1" si="170"/>
        <v>1.2610469417903074</v>
      </c>
      <c r="S479">
        <f t="shared" ca="1" si="171"/>
        <v>55.772700623004518</v>
      </c>
      <c r="T479">
        <f>70</f>
        <v>70</v>
      </c>
      <c r="U479">
        <f>30</f>
        <v>30</v>
      </c>
      <c r="V479">
        <f t="shared" ca="1" si="169"/>
        <v>12.976257507059806</v>
      </c>
      <c r="W479">
        <f t="shared" ca="1" si="179"/>
        <v>12.858274104773217</v>
      </c>
      <c r="X479">
        <f t="shared" ca="1" si="178"/>
        <v>0.12629457420360879</v>
      </c>
      <c r="Y479">
        <f t="shared" ca="1" si="157"/>
        <v>0.1698437020604403</v>
      </c>
      <c r="Z479">
        <f t="shared" ca="1" si="158"/>
        <v>-4.3549127856831515E-2</v>
      </c>
      <c r="AA479">
        <f t="shared" ca="1" si="159"/>
        <v>11.9673</v>
      </c>
      <c r="AB479" s="18">
        <f t="shared" ca="1" si="167"/>
        <v>1.620370370370372E-2</v>
      </c>
      <c r="AC479" s="18">
        <f t="shared" ca="1" si="168"/>
        <v>1.6073824831061054E-2</v>
      </c>
      <c r="AD479" s="18">
        <f t="shared" ca="1" si="163"/>
        <v>0.10047127243557541</v>
      </c>
    </row>
    <row r="480" spans="1:30" x14ac:dyDescent="0.25">
      <c r="A480" vm="1301">
        <f ca="1"/>
        <v>45987</v>
      </c>
      <c r="B480" vm="1278">
        <f ca="1"/>
        <v>13.19</v>
      </c>
      <c r="C480" vm="1302">
        <f ca="1"/>
        <v>44942203</v>
      </c>
      <c r="D480">
        <f t="shared" ca="1" si="160"/>
        <v>592787657.56999993</v>
      </c>
      <c r="E480">
        <f ca="1">SUM($D$2:D480)/SUM($C$2:C480)</f>
        <v>11.021701558564272</v>
      </c>
      <c r="F480">
        <f ca="1">_xlfn.STDEV.P($B$2:B480)</f>
        <v>1.1413841176018402</v>
      </c>
      <c r="G480">
        <f t="shared" ca="1" si="161"/>
        <v>12.163085676166112</v>
      </c>
      <c r="H480">
        <f t="shared" ca="1" si="162"/>
        <v>9.8803174409624326</v>
      </c>
      <c r="I480">
        <f t="shared" ca="1" si="174"/>
        <v>13.0585</v>
      </c>
      <c r="J480">
        <f t="shared" ca="1" si="175"/>
        <v>0.22569833150049032</v>
      </c>
      <c r="K480">
        <f t="shared" ca="1" si="176"/>
        <v>13.509896663000982</v>
      </c>
      <c r="L480">
        <f t="shared" ca="1" si="177"/>
        <v>12.607103336999019</v>
      </c>
      <c r="M480">
        <f t="shared" ca="1" si="164"/>
        <v>1.9999999999999574E-2</v>
      </c>
      <c r="N480">
        <f t="shared" ca="1" si="165"/>
        <v>1.9999999999999574E-2</v>
      </c>
      <c r="O480">
        <f t="shared" ca="1" si="166"/>
        <v>0</v>
      </c>
      <c r="P480">
        <f t="shared" ca="1" si="172"/>
        <v>0.11328352807719973</v>
      </c>
      <c r="Q480">
        <f t="shared" ca="1" si="173"/>
        <v>8.8700073678326302E-2</v>
      </c>
      <c r="R480">
        <f t="shared" ca="1" si="170"/>
        <v>1.2771525814964497</v>
      </c>
      <c r="S480">
        <f t="shared" ca="1" si="171"/>
        <v>56.08550748308479</v>
      </c>
      <c r="T480">
        <f>70</f>
        <v>70</v>
      </c>
      <c r="U480">
        <f>30</f>
        <v>30</v>
      </c>
      <c r="V480">
        <f t="shared" ca="1" si="169"/>
        <v>13.009140967512144</v>
      </c>
      <c r="W480">
        <f t="shared" ca="1" si="179"/>
        <v>12.882846393308535</v>
      </c>
      <c r="X480">
        <f t="shared" ca="1" si="178"/>
        <v>0.13854640890550485</v>
      </c>
      <c r="Y480">
        <f t="shared" ca="1" si="157"/>
        <v>0.16358424342945321</v>
      </c>
      <c r="Z480">
        <f t="shared" ca="1" si="158"/>
        <v>-2.5037834523948366E-2</v>
      </c>
      <c r="AA480">
        <f t="shared" ca="1" si="159"/>
        <v>11.9824</v>
      </c>
      <c r="AB480" s="18">
        <f t="shared" ca="1" si="167"/>
        <v>1.5186028853455547E-3</v>
      </c>
      <c r="AC480" s="18">
        <f t="shared" ca="1" si="168"/>
        <v>1.5174509740336296E-3</v>
      </c>
      <c r="AD480" s="18">
        <f t="shared" ca="1" si="163"/>
        <v>0.10214245128513588</v>
      </c>
    </row>
    <row r="481" spans="1:30" x14ac:dyDescent="0.25">
      <c r="A481" vm="1303">
        <f ca="1"/>
        <v>45989</v>
      </c>
      <c r="B481" vm="1275">
        <f ca="1"/>
        <v>13.28</v>
      </c>
      <c r="C481" vm="1304">
        <f ca="1"/>
        <v>29536180</v>
      </c>
      <c r="D481">
        <f t="shared" ca="1" si="160"/>
        <v>392240470.39999998</v>
      </c>
      <c r="E481">
        <f ca="1">SUM($D$2:D481)/SUM($C$2:C481)</f>
        <v>11.023567961600657</v>
      </c>
      <c r="F481">
        <f ca="1">_xlfn.STDEV.P($B$2:B481)</f>
        <v>1.1441992324456267</v>
      </c>
      <c r="G481">
        <f t="shared" ca="1" si="161"/>
        <v>12.167767194046284</v>
      </c>
      <c r="H481">
        <f t="shared" ca="1" si="162"/>
        <v>9.8793687291550292</v>
      </c>
      <c r="I481">
        <f t="shared" ca="1" si="174"/>
        <v>13.0695</v>
      </c>
      <c r="J481">
        <f t="shared" ca="1" si="175"/>
        <v>0.23107244250280143</v>
      </c>
      <c r="K481">
        <f t="shared" ca="1" si="176"/>
        <v>13.531644885005603</v>
      </c>
      <c r="L481">
        <f t="shared" ca="1" si="177"/>
        <v>12.607355114994396</v>
      </c>
      <c r="M481">
        <f t="shared" ca="1" si="164"/>
        <v>8.9999999999999858E-2</v>
      </c>
      <c r="N481">
        <f t="shared" ca="1" si="165"/>
        <v>8.9999999999999858E-2</v>
      </c>
      <c r="O481">
        <f t="shared" ca="1" si="166"/>
        <v>0</v>
      </c>
      <c r="P481">
        <f t="shared" ca="1" si="172"/>
        <v>0.11162041892882832</v>
      </c>
      <c r="Q481">
        <f t="shared" ca="1" si="173"/>
        <v>8.2364354129874418E-2</v>
      </c>
      <c r="R481">
        <f t="shared" ca="1" si="170"/>
        <v>1.355202989303141</v>
      </c>
      <c r="S481">
        <f t="shared" ca="1" si="171"/>
        <v>57.540814760264858</v>
      </c>
      <c r="T481">
        <f>70</f>
        <v>70</v>
      </c>
      <c r="U481">
        <f>30</f>
        <v>30</v>
      </c>
      <c r="V481">
        <f t="shared" ca="1" si="169"/>
        <v>13.05081158789489</v>
      </c>
      <c r="W481">
        <f t="shared" ca="1" si="179"/>
        <v>12.912265178989385</v>
      </c>
      <c r="X481">
        <f t="shared" ca="1" si="178"/>
        <v>0.13699389867017508</v>
      </c>
      <c r="Y481">
        <f t="shared" ca="1" si="157"/>
        <v>0.15826617447759758</v>
      </c>
      <c r="Z481">
        <f t="shared" ca="1" si="158"/>
        <v>-2.1272275807422497E-2</v>
      </c>
      <c r="AA481">
        <f t="shared" ca="1" si="159"/>
        <v>11.9969</v>
      </c>
      <c r="AB481" s="18">
        <f t="shared" ca="1" si="167"/>
        <v>6.8233510235027328E-3</v>
      </c>
      <c r="AC481" s="18">
        <f t="shared" ca="1" si="168"/>
        <v>6.8001773190646412E-3</v>
      </c>
      <c r="AD481" s="18">
        <f t="shared" ca="1" si="163"/>
        <v>0.10966275610815823</v>
      </c>
    </row>
    <row r="482" spans="1:30" x14ac:dyDescent="0.25">
      <c r="A482" vm="1305">
        <f ca="1"/>
        <v>45992</v>
      </c>
      <c r="B482" vm="1266">
        <f ca="1"/>
        <v>13.16</v>
      </c>
      <c r="C482" vm="1306">
        <f ca="1"/>
        <v>51593955</v>
      </c>
      <c r="D482">
        <f t="shared" ca="1" si="160"/>
        <v>678976447.79999995</v>
      </c>
      <c r="E482">
        <f ca="1">SUM($D$2:D482)/SUM($C$2:C482)</f>
        <v>11.026647822820605</v>
      </c>
      <c r="F482">
        <f ca="1">_xlfn.STDEV.P($B$2:B482)</f>
        <v>1.1465377926837559</v>
      </c>
      <c r="G482">
        <f t="shared" ca="1" si="161"/>
        <v>12.173185615504361</v>
      </c>
      <c r="H482">
        <f t="shared" ca="1" si="162"/>
        <v>9.8801100301368496</v>
      </c>
      <c r="I482">
        <f t="shared" ca="1" si="174"/>
        <v>13.071000000000002</v>
      </c>
      <c r="J482">
        <f t="shared" ca="1" si="175"/>
        <v>0.23158265547270465</v>
      </c>
      <c r="K482">
        <f t="shared" ca="1" si="176"/>
        <v>13.534165310945411</v>
      </c>
      <c r="L482">
        <f t="shared" ca="1" si="177"/>
        <v>12.607834689054592</v>
      </c>
      <c r="M482">
        <f t="shared" ca="1" si="164"/>
        <v>-0.11999999999999922</v>
      </c>
      <c r="N482">
        <f t="shared" ca="1" si="165"/>
        <v>0</v>
      </c>
      <c r="O482">
        <f t="shared" ca="1" si="166"/>
        <v>0.11999999999999922</v>
      </c>
      <c r="P482">
        <f t="shared" ca="1" si="172"/>
        <v>0.10364753186248343</v>
      </c>
      <c r="Q482">
        <f t="shared" ca="1" si="173"/>
        <v>8.5052614549169042E-2</v>
      </c>
      <c r="R482">
        <f t="shared" ca="1" si="170"/>
        <v>1.2186284032757704</v>
      </c>
      <c r="S482">
        <f t="shared" ca="1" si="171"/>
        <v>54.927107282881821</v>
      </c>
      <c r="T482">
        <f>70</f>
        <v>70</v>
      </c>
      <c r="U482">
        <f>30</f>
        <v>30</v>
      </c>
      <c r="V482">
        <f t="shared" ca="1" si="169"/>
        <v>13.067609805141828</v>
      </c>
      <c r="W482">
        <f t="shared" ca="1" si="179"/>
        <v>12.930615906471653</v>
      </c>
      <c r="X482">
        <f t="shared" ca="1" si="178"/>
        <v>0.11826194451235139</v>
      </c>
      <c r="Y482">
        <f t="shared" ca="1" si="157"/>
        <v>0.15026532848454835</v>
      </c>
      <c r="Z482">
        <f t="shared" ca="1" si="158"/>
        <v>-3.2003383972196958E-2</v>
      </c>
      <c r="AA482">
        <f t="shared" ca="1" si="159"/>
        <v>12.009400000000001</v>
      </c>
      <c r="AB482" s="18">
        <f t="shared" ca="1" si="167"/>
        <v>-9.0361445783131433E-3</v>
      </c>
      <c r="AC482" s="18">
        <f t="shared" ca="1" si="168"/>
        <v>-9.0772181511165392E-3</v>
      </c>
      <c r="AD482" s="18">
        <f t="shared" ca="1" si="163"/>
        <v>9.9635683010795395E-2</v>
      </c>
    </row>
    <row r="483" spans="1:30" x14ac:dyDescent="0.25">
      <c r="A483" vm="1307">
        <f ca="1"/>
        <v>45993</v>
      </c>
      <c r="B483" vm="1296">
        <f ca="1"/>
        <v>12.96</v>
      </c>
      <c r="C483" vm="1308">
        <f ca="1"/>
        <v>57641703</v>
      </c>
      <c r="D483">
        <f t="shared" ca="1" si="160"/>
        <v>747036470.88</v>
      </c>
      <c r="E483">
        <f ca="1">SUM($D$2:D483)/SUM($C$2:C483)</f>
        <v>11.029756618074517</v>
      </c>
      <c r="F483">
        <f ca="1">_xlfn.STDEV.P($B$2:B483)</f>
        <v>1.1481734410740296</v>
      </c>
      <c r="G483">
        <f t="shared" ca="1" si="161"/>
        <v>12.177930059148547</v>
      </c>
      <c r="H483">
        <f t="shared" ca="1" si="162"/>
        <v>9.8815831770004863</v>
      </c>
      <c r="I483">
        <f t="shared" ca="1" si="174"/>
        <v>13.0685</v>
      </c>
      <c r="J483">
        <f t="shared" ca="1" si="175"/>
        <v>0.23254371405688082</v>
      </c>
      <c r="K483">
        <f t="shared" ca="1" si="176"/>
        <v>13.533587428113762</v>
      </c>
      <c r="L483">
        <f t="shared" ca="1" si="177"/>
        <v>12.603412571886238</v>
      </c>
      <c r="M483">
        <f t="shared" ca="1" si="164"/>
        <v>-0.19999999999999929</v>
      </c>
      <c r="N483">
        <f t="shared" ca="1" si="165"/>
        <v>0</v>
      </c>
      <c r="O483">
        <f t="shared" ca="1" si="166"/>
        <v>0.19999999999999929</v>
      </c>
      <c r="P483">
        <f t="shared" ca="1" si="172"/>
        <v>9.6244136729448898E-2</v>
      </c>
      <c r="Q483">
        <f t="shared" ca="1" si="173"/>
        <v>9.3263142081371209E-2</v>
      </c>
      <c r="R483">
        <f t="shared" ca="1" si="170"/>
        <v>1.0319632663188294</v>
      </c>
      <c r="S483">
        <f t="shared" ca="1" si="171"/>
        <v>50.786511913100057</v>
      </c>
      <c r="T483">
        <f>70</f>
        <v>70</v>
      </c>
      <c r="U483">
        <f>30</f>
        <v>30</v>
      </c>
      <c r="V483">
        <f t="shared" ca="1" si="169"/>
        <v>13.051054450504623</v>
      </c>
      <c r="W483">
        <f t="shared" ca="1" si="179"/>
        <v>12.932792505992271</v>
      </c>
      <c r="X483">
        <f t="shared" ca="1" si="178"/>
        <v>0.11260856795551177</v>
      </c>
      <c r="Y483">
        <f t="shared" ca="1" si="157"/>
        <v>0.14273397637874105</v>
      </c>
      <c r="Z483">
        <f t="shared" ca="1" si="158"/>
        <v>-3.0125408423229277E-2</v>
      </c>
      <c r="AA483">
        <f t="shared" ca="1" si="159"/>
        <v>12.0212</v>
      </c>
      <c r="AB483" s="18">
        <f t="shared" ca="1" si="167"/>
        <v>-1.5197568389057725E-2</v>
      </c>
      <c r="AC483" s="18">
        <f t="shared" ca="1" si="168"/>
        <v>-1.5314234973042481E-2</v>
      </c>
      <c r="AD483" s="18">
        <f t="shared" ca="1" si="163"/>
        <v>8.2923894515190666E-2</v>
      </c>
    </row>
    <row r="484" spans="1:30" x14ac:dyDescent="0.25">
      <c r="A484" vm="1309">
        <f ca="1"/>
        <v>45994</v>
      </c>
      <c r="B484" vm="1310">
        <f ca="1"/>
        <v>13.09</v>
      </c>
      <c r="C484" vm="1311">
        <f ca="1"/>
        <v>45364666</v>
      </c>
      <c r="D484">
        <f t="shared" ca="1" si="160"/>
        <v>593823477.93999994</v>
      </c>
      <c r="E484">
        <f ca="1">SUM($D$2:D484)/SUM($C$2:C484)</f>
        <v>11.032360560265394</v>
      </c>
      <c r="F484">
        <f ca="1">_xlfn.STDEV.P($B$2:B484)</f>
        <v>1.1502159020394209</v>
      </c>
      <c r="G484">
        <f t="shared" ca="1" si="161"/>
        <v>12.182576462304814</v>
      </c>
      <c r="H484">
        <f t="shared" ca="1" si="162"/>
        <v>9.8821446582259735</v>
      </c>
      <c r="I484">
        <f t="shared" ca="1" si="174"/>
        <v>13.083500000000001</v>
      </c>
      <c r="J484">
        <f t="shared" ca="1" si="175"/>
        <v>0.22311844859908617</v>
      </c>
      <c r="K484">
        <f t="shared" ca="1" si="176"/>
        <v>13.529736897198173</v>
      </c>
      <c r="L484">
        <f t="shared" ca="1" si="177"/>
        <v>12.637263102801828</v>
      </c>
      <c r="M484">
        <f t="shared" ca="1" si="164"/>
        <v>0.12999999999999901</v>
      </c>
      <c r="N484">
        <f t="shared" ca="1" si="165"/>
        <v>0.12999999999999901</v>
      </c>
      <c r="O484">
        <f t="shared" ca="1" si="166"/>
        <v>0</v>
      </c>
      <c r="P484">
        <f t="shared" ca="1" si="172"/>
        <v>9.8655269820202479E-2</v>
      </c>
      <c r="Q484">
        <f t="shared" ca="1" si="173"/>
        <v>8.6601489075558979E-2</v>
      </c>
      <c r="R484">
        <f t="shared" ca="1" si="170"/>
        <v>1.139186760797227</v>
      </c>
      <c r="S484">
        <f t="shared" ca="1" si="171"/>
        <v>53.253263421127272</v>
      </c>
      <c r="T484">
        <f>70</f>
        <v>70</v>
      </c>
      <c r="U484">
        <f>30</f>
        <v>30</v>
      </c>
      <c r="V484">
        <f t="shared" ca="1" si="169"/>
        <v>13.057046073503912</v>
      </c>
      <c r="W484">
        <f t="shared" ca="1" si="179"/>
        <v>12.9444375055484</v>
      </c>
      <c r="X484">
        <f t="shared" ca="1" si="178"/>
        <v>0.11088459979325549</v>
      </c>
      <c r="Y484">
        <f t="shared" ca="1" si="157"/>
        <v>0.13636410106164396</v>
      </c>
      <c r="Z484">
        <f t="shared" ca="1" si="158"/>
        <v>-2.5479501268388466E-2</v>
      </c>
      <c r="AA484">
        <f t="shared" ca="1" si="159"/>
        <v>12.033300000000002</v>
      </c>
      <c r="AB484" s="18">
        <f t="shared" ref="AB484:AB514" ca="1" si="180">(B484/B483)-1</f>
        <v>1.0030864197530853E-2</v>
      </c>
      <c r="AC484" s="18">
        <f t="shared" ref="AC484:AC514" ca="1" si="181">LN(B484/B483)</f>
        <v>9.9808889976799146E-3</v>
      </c>
      <c r="AD484" s="18">
        <f t="shared" ca="1" si="163"/>
        <v>9.378655703733374E-2</v>
      </c>
    </row>
    <row r="485" spans="1:30" x14ac:dyDescent="0.25">
      <c r="A485" vm="1312">
        <f ca="1"/>
        <v>45995</v>
      </c>
      <c r="B485" vm="1313">
        <f ca="1"/>
        <v>13.14</v>
      </c>
      <c r="C485" vm="1314">
        <f ca="1"/>
        <v>47554803</v>
      </c>
      <c r="D485">
        <f t="shared" ca="1" si="160"/>
        <v>624870111.42000008</v>
      </c>
      <c r="E485">
        <f ca="1">SUM($D$2:D485)/SUM($C$2:C485)</f>
        <v>11.035149317900542</v>
      </c>
      <c r="F485">
        <f ca="1">_xlfn.STDEV.P($B$2:B485)</f>
        <v>1.1524045121946658</v>
      </c>
      <c r="G485">
        <f t="shared" ca="1" si="161"/>
        <v>12.187553830095208</v>
      </c>
      <c r="H485">
        <f t="shared" ca="1" si="162"/>
        <v>9.882744805705876</v>
      </c>
      <c r="I485">
        <f t="shared" ca="1" si="174"/>
        <v>13.084999999999999</v>
      </c>
      <c r="J485">
        <f t="shared" ca="1" si="175"/>
        <v>0.22340663892505386</v>
      </c>
      <c r="K485">
        <f t="shared" ca="1" si="176"/>
        <v>13.531813277850107</v>
      </c>
      <c r="L485">
        <f t="shared" ca="1" si="177"/>
        <v>12.638186722149891</v>
      </c>
      <c r="M485">
        <f t="shared" ca="1" si="164"/>
        <v>5.0000000000000711E-2</v>
      </c>
      <c r="N485">
        <f t="shared" ca="1" si="165"/>
        <v>5.0000000000000711E-2</v>
      </c>
      <c r="O485">
        <f t="shared" ca="1" si="166"/>
        <v>0</v>
      </c>
      <c r="P485">
        <f t="shared" ca="1" si="172"/>
        <v>9.5179893404473775E-2</v>
      </c>
      <c r="Q485">
        <f t="shared" ca="1" si="173"/>
        <v>8.0415668427304771E-2</v>
      </c>
      <c r="R485">
        <f t="shared" ca="1" si="170"/>
        <v>1.1835988591018896</v>
      </c>
      <c r="S485">
        <f t="shared" ca="1" si="171"/>
        <v>54.204042751181035</v>
      </c>
      <c r="T485">
        <f>70</f>
        <v>70</v>
      </c>
      <c r="U485">
        <f>30</f>
        <v>30</v>
      </c>
      <c r="V485">
        <f t="shared" ca="1" si="169"/>
        <v>13.069808216041773</v>
      </c>
      <c r="W485">
        <f t="shared" ca="1" si="179"/>
        <v>12.958923616248518</v>
      </c>
      <c r="X485">
        <f t="shared" ca="1" si="178"/>
        <v>9.9495341548825778E-2</v>
      </c>
      <c r="Y485">
        <f t="shared" ca="1" si="157"/>
        <v>0.12899034915908034</v>
      </c>
      <c r="Z485">
        <f t="shared" ca="1" si="158"/>
        <v>-2.9495007610254559E-2</v>
      </c>
      <c r="AA485">
        <f t="shared" ca="1" si="159"/>
        <v>12.049000000000003</v>
      </c>
      <c r="AB485" s="18">
        <f t="shared" ca="1" si="180"/>
        <v>3.8197097020626902E-3</v>
      </c>
      <c r="AC485" s="18">
        <f t="shared" ca="1" si="181"/>
        <v>3.8124331346559388E-3</v>
      </c>
      <c r="AD485" s="18">
        <f t="shared" ca="1" si="163"/>
        <v>9.7964504161234922E-2</v>
      </c>
    </row>
    <row r="486" spans="1:30" x14ac:dyDescent="0.25">
      <c r="A486" vm="1315">
        <f ca="1"/>
        <v>45996</v>
      </c>
      <c r="B486" vm="1316">
        <f ca="1"/>
        <v>13.03</v>
      </c>
      <c r="C486" vm="1317">
        <f ca="1"/>
        <v>54099362</v>
      </c>
      <c r="D486">
        <f t="shared" ca="1" si="160"/>
        <v>704914686.86000001</v>
      </c>
      <c r="E486">
        <f ca="1">SUM($D$2:D486)/SUM($C$2:C486)</f>
        <v>11.038147578446889</v>
      </c>
      <c r="F486">
        <f ca="1">_xlfn.STDEV.P($B$2:B486)</f>
        <v>1.1541970018663681</v>
      </c>
      <c r="G486">
        <f t="shared" ca="1" si="161"/>
        <v>12.192344580313257</v>
      </c>
      <c r="H486">
        <f t="shared" ca="1" si="162"/>
        <v>9.8839505765805207</v>
      </c>
      <c r="I486">
        <f t="shared" ca="1" si="174"/>
        <v>13.080500000000001</v>
      </c>
      <c r="J486">
        <f t="shared" ca="1" si="175"/>
        <v>0.22357090009305991</v>
      </c>
      <c r="K486">
        <f t="shared" ca="1" si="176"/>
        <v>13.527641800186121</v>
      </c>
      <c r="L486">
        <f t="shared" ca="1" si="177"/>
        <v>12.63335819981388</v>
      </c>
      <c r="M486">
        <f t="shared" ca="1" si="164"/>
        <v>-0.11000000000000121</v>
      </c>
      <c r="N486">
        <f t="shared" ca="1" si="165"/>
        <v>0</v>
      </c>
      <c r="O486">
        <f t="shared" ca="1" si="166"/>
        <v>0.11000000000000121</v>
      </c>
      <c r="P486">
        <f t="shared" ca="1" si="172"/>
        <v>8.838132958986851E-2</v>
      </c>
      <c r="Q486">
        <f t="shared" ca="1" si="173"/>
        <v>8.2528834968211659E-2</v>
      </c>
      <c r="R486">
        <f t="shared" ca="1" si="170"/>
        <v>1.0709145430674152</v>
      </c>
      <c r="S486">
        <f t="shared" ca="1" si="171"/>
        <v>51.712155224000149</v>
      </c>
      <c r="T486">
        <f>70</f>
        <v>70</v>
      </c>
      <c r="U486">
        <f>30</f>
        <v>30</v>
      </c>
      <c r="V486">
        <f t="shared" ca="1" si="169"/>
        <v>13.063683875112268</v>
      </c>
      <c r="W486">
        <f t="shared" ca="1" si="179"/>
        <v>12.964188533563442</v>
      </c>
      <c r="X486">
        <f t="shared" ca="1" si="178"/>
        <v>9.821321225135371E-2</v>
      </c>
      <c r="Y486">
        <f t="shared" ref="Y486:Y514" ca="1" si="182">X486*(2/(9+1)) + Y485*(1-(2/(9+1)))</f>
        <v>0.12283492177753501</v>
      </c>
      <c r="Z486">
        <f t="shared" ref="Z486:Z514" ca="1" si="183">X486-Y486</f>
        <v>-2.4621709526181298E-2</v>
      </c>
      <c r="AA486">
        <f t="shared" ref="AA486:AA514" ca="1" si="184">AVERAGE(B387:B486)</f>
        <v>12.066900000000002</v>
      </c>
      <c r="AB486" s="18">
        <f t="shared" ca="1" si="180"/>
        <v>-8.3713850837139336E-3</v>
      </c>
      <c r="AC486" s="18">
        <f t="shared" ca="1" si="181"/>
        <v>-8.4066219197107862E-3</v>
      </c>
      <c r="AD486" s="18">
        <f t="shared" ca="1" si="163"/>
        <v>8.8773020488652099E-2</v>
      </c>
    </row>
    <row r="487" spans="1:30" x14ac:dyDescent="0.25">
      <c r="A487" vm="1318">
        <f ca="1"/>
        <v>45999</v>
      </c>
      <c r="B487" vm="1313">
        <f ca="1"/>
        <v>13.14</v>
      </c>
      <c r="C487" vm="1319">
        <f ca="1"/>
        <v>45580830</v>
      </c>
      <c r="D487">
        <f t="shared" ca="1" si="160"/>
        <v>598932106.20000005</v>
      </c>
      <c r="E487">
        <f ca="1">SUM($D$2:D487)/SUM($C$2:C487)</f>
        <v>11.040805864217608</v>
      </c>
      <c r="F487">
        <f ca="1">_xlfn.STDEV.P($B$2:B487)</f>
        <v>1.1563342063256996</v>
      </c>
      <c r="G487">
        <f t="shared" ca="1" si="161"/>
        <v>12.197140070543307</v>
      </c>
      <c r="H487">
        <f t="shared" ca="1" si="162"/>
        <v>9.8844716578919094</v>
      </c>
      <c r="I487">
        <f t="shared" ca="1" si="174"/>
        <v>13.077000000000002</v>
      </c>
      <c r="J487">
        <f t="shared" ca="1" si="175"/>
        <v>0.22197913605135319</v>
      </c>
      <c r="K487">
        <f t="shared" ca="1" si="176"/>
        <v>13.520958272102709</v>
      </c>
      <c r="L487">
        <f t="shared" ca="1" si="177"/>
        <v>12.633041727897295</v>
      </c>
      <c r="M487">
        <f t="shared" ca="1" si="164"/>
        <v>0.11000000000000121</v>
      </c>
      <c r="N487">
        <f t="shared" ca="1" si="165"/>
        <v>0.11000000000000121</v>
      </c>
      <c r="O487">
        <f t="shared" ca="1" si="166"/>
        <v>0</v>
      </c>
      <c r="P487">
        <f t="shared" ca="1" si="172"/>
        <v>8.992552033344943E-2</v>
      </c>
      <c r="Q487">
        <f t="shared" ca="1" si="173"/>
        <v>7.663391818476796E-2</v>
      </c>
      <c r="R487">
        <f t="shared" ca="1" si="170"/>
        <v>1.1734428104881025</v>
      </c>
      <c r="S487">
        <f t="shared" ca="1" si="171"/>
        <v>53.990047717178065</v>
      </c>
      <c r="T487">
        <f>70</f>
        <v>70</v>
      </c>
      <c r="U487">
        <f>30</f>
        <v>30</v>
      </c>
      <c r="V487">
        <f t="shared" ca="1" si="169"/>
        <v>13.075424817402689</v>
      </c>
      <c r="W487">
        <f t="shared" ca="1" si="179"/>
        <v>12.977211605151336</v>
      </c>
      <c r="X487">
        <f t="shared" ca="1" si="178"/>
        <v>9.1303131323117626E-2</v>
      </c>
      <c r="Y487">
        <f t="shared" ca="1" si="182"/>
        <v>0.11652856368665154</v>
      </c>
      <c r="Z487">
        <f t="shared" ca="1" si="183"/>
        <v>-2.5225432363533917E-2</v>
      </c>
      <c r="AA487">
        <f t="shared" ca="1" si="184"/>
        <v>12.086800000000004</v>
      </c>
      <c r="AB487" s="18">
        <f t="shared" ca="1" si="180"/>
        <v>8.4420567920184819E-3</v>
      </c>
      <c r="AC487" s="18">
        <f t="shared" ca="1" si="181"/>
        <v>8.4066219197107654E-3</v>
      </c>
      <c r="AD487" s="18">
        <f t="shared" ca="1" si="163"/>
        <v>9.79645041612347E-2</v>
      </c>
    </row>
    <row r="488" spans="1:30" x14ac:dyDescent="0.25">
      <c r="A488" vm="1320">
        <f ca="1"/>
        <v>46000</v>
      </c>
      <c r="B488" vm="1321">
        <f ca="1"/>
        <v>13.08</v>
      </c>
      <c r="C488" vm="1322">
        <f ca="1"/>
        <v>33349986</v>
      </c>
      <c r="D488">
        <f t="shared" ca="1" si="160"/>
        <v>436217816.88</v>
      </c>
      <c r="E488">
        <f ca="1">SUM($D$2:D488)/SUM($C$2:C488)</f>
        <v>11.042691117703923</v>
      </c>
      <c r="F488">
        <f ca="1">_xlfn.STDEV.P($B$2:B488)</f>
        <v>1.1582434734329767</v>
      </c>
      <c r="G488">
        <f t="shared" ca="1" si="161"/>
        <v>12.2009345911369</v>
      </c>
      <c r="H488">
        <f t="shared" ca="1" si="162"/>
        <v>9.8844476442709457</v>
      </c>
      <c r="I488">
        <f t="shared" ca="1" si="174"/>
        <v>13.072999999999999</v>
      </c>
      <c r="J488">
        <f t="shared" ca="1" si="175"/>
        <v>0.22112392334092693</v>
      </c>
      <c r="K488">
        <f t="shared" ca="1" si="176"/>
        <v>13.515247846681852</v>
      </c>
      <c r="L488">
        <f t="shared" ca="1" si="177"/>
        <v>12.630752153318145</v>
      </c>
      <c r="M488">
        <f t="shared" ca="1" si="164"/>
        <v>-6.0000000000000497E-2</v>
      </c>
      <c r="N488">
        <f t="shared" ca="1" si="165"/>
        <v>0</v>
      </c>
      <c r="O488">
        <f t="shared" ca="1" si="166"/>
        <v>6.0000000000000497E-2</v>
      </c>
      <c r="P488">
        <f t="shared" ca="1" si="172"/>
        <v>8.3502268881060188E-2</v>
      </c>
      <c r="Q488">
        <f t="shared" ca="1" si="173"/>
        <v>7.5445781171570289E-2</v>
      </c>
      <c r="R488">
        <f t="shared" ca="1" si="170"/>
        <v>1.1067851321092261</v>
      </c>
      <c r="S488">
        <f t="shared" ca="1" si="171"/>
        <v>52.534314735796464</v>
      </c>
      <c r="T488">
        <f>70</f>
        <v>70</v>
      </c>
      <c r="U488">
        <f>30</f>
        <v>30</v>
      </c>
      <c r="V488">
        <f t="shared" ca="1" si="169"/>
        <v>13.07612869164843</v>
      </c>
      <c r="W488">
        <f t="shared" ca="1" si="179"/>
        <v>12.984825560325312</v>
      </c>
      <c r="X488">
        <f t="shared" ca="1" si="178"/>
        <v>0.11117354505372212</v>
      </c>
      <c r="Y488">
        <f t="shared" ca="1" si="182"/>
        <v>0.11545755996006567</v>
      </c>
      <c r="Z488">
        <f t="shared" ca="1" si="183"/>
        <v>-4.2840149063435445E-3</v>
      </c>
      <c r="AA488">
        <f t="shared" ca="1" si="184"/>
        <v>12.106000000000003</v>
      </c>
      <c r="AB488" s="18">
        <f t="shared" ca="1" si="180"/>
        <v>-4.5662100456621557E-3</v>
      </c>
      <c r="AC488" s="18">
        <f t="shared" ca="1" si="181"/>
        <v>-4.5766670274118666E-3</v>
      </c>
      <c r="AD488" s="18">
        <f t="shared" ca="1" si="163"/>
        <v>9.2950967612553281E-2</v>
      </c>
    </row>
    <row r="489" spans="1:30" x14ac:dyDescent="0.25">
      <c r="A489" vm="1323">
        <f ca="1"/>
        <v>46001</v>
      </c>
      <c r="B489" vm="1324">
        <f ca="1"/>
        <v>13.41</v>
      </c>
      <c r="C489" vm="1325">
        <f ca="1"/>
        <v>72210701</v>
      </c>
      <c r="D489">
        <f t="shared" ca="1" si="160"/>
        <v>968345500.40999997</v>
      </c>
      <c r="E489">
        <f ca="1">SUM($D$2:D489)/SUM($C$2:C489)</f>
        <v>11.047420490154702</v>
      </c>
      <c r="F489">
        <f ca="1">_xlfn.STDEV.P($B$2:B489)</f>
        <v>1.1613100069261886</v>
      </c>
      <c r="G489">
        <f t="shared" ca="1" si="161"/>
        <v>12.208730497080889</v>
      </c>
      <c r="H489">
        <f t="shared" ca="1" si="162"/>
        <v>9.8861104832285136</v>
      </c>
      <c r="I489">
        <f t="shared" ca="1" si="174"/>
        <v>13.0785</v>
      </c>
      <c r="J489">
        <f t="shared" ca="1" si="175"/>
        <v>0.22831822206367078</v>
      </c>
      <c r="K489">
        <f t="shared" ca="1" si="176"/>
        <v>13.535136444127341</v>
      </c>
      <c r="L489">
        <f t="shared" ca="1" si="177"/>
        <v>12.621863555872659</v>
      </c>
      <c r="M489">
        <f t="shared" ca="1" si="164"/>
        <v>0.33000000000000007</v>
      </c>
      <c r="N489">
        <f t="shared" ca="1" si="165"/>
        <v>0.33000000000000007</v>
      </c>
      <c r="O489">
        <f t="shared" ca="1" si="166"/>
        <v>0</v>
      </c>
      <c r="P489">
        <f t="shared" ca="1" si="172"/>
        <v>0.10110924967527017</v>
      </c>
      <c r="Q489">
        <f t="shared" ca="1" si="173"/>
        <v>7.0056796802172402E-2</v>
      </c>
      <c r="R489">
        <f t="shared" ca="1" si="170"/>
        <v>1.4432468267252387</v>
      </c>
      <c r="S489">
        <f t="shared" ca="1" si="171"/>
        <v>59.070856490568673</v>
      </c>
      <c r="T489">
        <f>70</f>
        <v>70</v>
      </c>
      <c r="U489">
        <f>30</f>
        <v>30</v>
      </c>
      <c r="V489">
        <f t="shared" ca="1" si="169"/>
        <v>13.127493508317901</v>
      </c>
      <c r="W489">
        <f t="shared" ca="1" si="179"/>
        <v>13.016319963264179</v>
      </c>
      <c r="X489">
        <f t="shared" ca="1" si="178"/>
        <v>0.1430244555827862</v>
      </c>
      <c r="Y489">
        <f t="shared" ca="1" si="182"/>
        <v>0.12097093908460978</v>
      </c>
      <c r="Z489">
        <f t="shared" ca="1" si="183"/>
        <v>2.2053516498176426E-2</v>
      </c>
      <c r="AA489">
        <f t="shared" ca="1" si="184"/>
        <v>12.127000000000002</v>
      </c>
      <c r="AB489" s="18">
        <f t="shared" ca="1" si="180"/>
        <v>2.5229357798165042E-2</v>
      </c>
      <c r="AC489" s="18">
        <f t="shared" ca="1" si="181"/>
        <v>2.4916351264534418E-2</v>
      </c>
      <c r="AD489" s="18">
        <f t="shared" ca="1" si="163"/>
        <v>0.12052541863030108</v>
      </c>
    </row>
    <row r="490" spans="1:30" x14ac:dyDescent="0.25">
      <c r="A490" vm="1326">
        <f ca="1"/>
        <v>46002</v>
      </c>
      <c r="B490" vm="1327">
        <f ca="1"/>
        <v>13.63</v>
      </c>
      <c r="C490" vm="1328">
        <f ca="1"/>
        <v>59012304</v>
      </c>
      <c r="D490">
        <f t="shared" ca="1" si="160"/>
        <v>804337703.5200001</v>
      </c>
      <c r="E490">
        <f ca="1">SUM($D$2:D490)/SUM($C$2:C490)</f>
        <v>11.051630032025122</v>
      </c>
      <c r="F490">
        <f ca="1">_xlfn.STDEV.P($B$2:B490)</f>
        <v>1.1652258352503926</v>
      </c>
      <c r="G490">
        <f t="shared" ca="1" si="161"/>
        <v>12.216855867275514</v>
      </c>
      <c r="H490">
        <f t="shared" ca="1" si="162"/>
        <v>9.8864041967747287</v>
      </c>
      <c r="I490">
        <f t="shared" ca="1" si="174"/>
        <v>13.087500000000002</v>
      </c>
      <c r="J490">
        <f t="shared" ca="1" si="175"/>
        <v>0.24655254591006925</v>
      </c>
      <c r="K490">
        <f t="shared" ca="1" si="176"/>
        <v>13.580605091820141</v>
      </c>
      <c r="L490">
        <f t="shared" ca="1" si="177"/>
        <v>12.594394908179863</v>
      </c>
      <c r="M490">
        <f t="shared" ca="1" si="164"/>
        <v>0.22000000000000064</v>
      </c>
      <c r="N490">
        <f t="shared" ca="1" si="165"/>
        <v>0.22000000000000064</v>
      </c>
      <c r="O490">
        <f t="shared" ca="1" si="166"/>
        <v>0</v>
      </c>
      <c r="P490">
        <f t="shared" ca="1" si="172"/>
        <v>0.10960144612703662</v>
      </c>
      <c r="Q490">
        <f t="shared" ca="1" si="173"/>
        <v>6.5052739887731512E-2</v>
      </c>
      <c r="R490">
        <f t="shared" ca="1" si="170"/>
        <v>1.6848090690136586</v>
      </c>
      <c r="S490">
        <f t="shared" ca="1" si="171"/>
        <v>62.753403527224428</v>
      </c>
      <c r="T490">
        <f>70</f>
        <v>70</v>
      </c>
      <c r="U490">
        <f>30</f>
        <v>30</v>
      </c>
      <c r="V490">
        <f t="shared" ca="1" si="169"/>
        <v>13.204802199345917</v>
      </c>
      <c r="W490">
        <f t="shared" ca="1" si="179"/>
        <v>13.06177774376313</v>
      </c>
      <c r="X490">
        <f t="shared" ca="1" si="178"/>
        <v>0.17671933470860424</v>
      </c>
      <c r="Y490">
        <f t="shared" ca="1" si="182"/>
        <v>0.13212061820940868</v>
      </c>
      <c r="Z490">
        <f t="shared" ca="1" si="183"/>
        <v>4.4598716499195556E-2</v>
      </c>
      <c r="AA490">
        <f t="shared" ca="1" si="184"/>
        <v>12.151400000000002</v>
      </c>
      <c r="AB490" s="18">
        <f t="shared" ca="1" si="180"/>
        <v>1.6405667412378921E-2</v>
      </c>
      <c r="AC490" s="18">
        <f t="shared" ca="1" si="181"/>
        <v>1.6272548414854187E-2</v>
      </c>
      <c r="AD490" s="18">
        <f t="shared" ca="1" si="163"/>
        <v>0.13890838597546651</v>
      </c>
    </row>
    <row r="491" spans="1:30" x14ac:dyDescent="0.25">
      <c r="A491" vm="1329">
        <f ca="1"/>
        <v>46003</v>
      </c>
      <c r="B491" vm="1330">
        <f ca="1"/>
        <v>13.76</v>
      </c>
      <c r="C491" vm="1331">
        <f ca="1"/>
        <v>48337280</v>
      </c>
      <c r="D491">
        <f t="shared" ca="1" si="160"/>
        <v>665120972.79999995</v>
      </c>
      <c r="E491">
        <f ca="1">SUM($D$2:D491)/SUM($C$2:C491)</f>
        <v>11.05524121347093</v>
      </c>
      <c r="F491">
        <f ca="1">_xlfn.STDEV.P($B$2:B491)</f>
        <v>1.1696515797767257</v>
      </c>
      <c r="G491">
        <f t="shared" ca="1" si="161"/>
        <v>12.224892793247657</v>
      </c>
      <c r="H491">
        <f t="shared" ca="1" si="162"/>
        <v>9.8855896336942042</v>
      </c>
      <c r="I491">
        <f t="shared" ca="1" si="174"/>
        <v>13.111500000000001</v>
      </c>
      <c r="J491">
        <f t="shared" ca="1" si="175"/>
        <v>0.28641660860398876</v>
      </c>
      <c r="K491">
        <f t="shared" ca="1" si="176"/>
        <v>13.684333217207978</v>
      </c>
      <c r="L491">
        <f t="shared" ca="1" si="177"/>
        <v>12.538666782792024</v>
      </c>
      <c r="M491">
        <f t="shared" ca="1" si="164"/>
        <v>0.12999999999999901</v>
      </c>
      <c r="N491">
        <f t="shared" ca="1" si="165"/>
        <v>0.12999999999999901</v>
      </c>
      <c r="O491">
        <f t="shared" ca="1" si="166"/>
        <v>0</v>
      </c>
      <c r="P491">
        <f t="shared" ca="1" si="172"/>
        <v>0.11105848568939107</v>
      </c>
      <c r="Q491">
        <f t="shared" ca="1" si="173"/>
        <v>6.04061156100364E-2</v>
      </c>
      <c r="R491">
        <f t="shared" ca="1" si="170"/>
        <v>1.8385304959244697</v>
      </c>
      <c r="S491">
        <f t="shared" ca="1" si="171"/>
        <v>64.770503560353191</v>
      </c>
      <c r="T491">
        <f>70</f>
        <v>70</v>
      </c>
      <c r="U491">
        <f>30</f>
        <v>30</v>
      </c>
      <c r="V491">
        <f t="shared" ca="1" si="169"/>
        <v>13.290217245600392</v>
      </c>
      <c r="W491">
        <f t="shared" ca="1" si="179"/>
        <v>13.113497910891788</v>
      </c>
      <c r="X491">
        <f t="shared" ca="1" si="178"/>
        <v>0.19232963220366095</v>
      </c>
      <c r="Y491">
        <f t="shared" ca="1" si="182"/>
        <v>0.14416242100825913</v>
      </c>
      <c r="Z491">
        <f t="shared" ca="1" si="183"/>
        <v>4.8167211195401821E-2</v>
      </c>
      <c r="AA491">
        <f t="shared" ca="1" si="184"/>
        <v>12.175200000000004</v>
      </c>
      <c r="AB491" s="18">
        <f t="shared" ca="1" si="180"/>
        <v>9.5377842993396023E-3</v>
      </c>
      <c r="AC491" s="18">
        <f t="shared" ca="1" si="181"/>
        <v>9.4925867967562676E-3</v>
      </c>
      <c r="AD491" s="18">
        <f t="shared" ca="1" si="163"/>
        <v>0.14977104849760958</v>
      </c>
    </row>
    <row r="492" spans="1:30" x14ac:dyDescent="0.25">
      <c r="A492" vm="1332">
        <f ca="1"/>
        <v>46006</v>
      </c>
      <c r="B492" vm="1333">
        <f ca="1"/>
        <v>13.65</v>
      </c>
      <c r="C492" vm="1334">
        <f ca="1"/>
        <v>53577255</v>
      </c>
      <c r="D492">
        <f t="shared" ca="1" si="160"/>
        <v>731329530.75</v>
      </c>
      <c r="E492">
        <f ca="1">SUM($D$2:D492)/SUM($C$2:C492)</f>
        <v>11.059070300178448</v>
      </c>
      <c r="F492">
        <f ca="1">_xlfn.STDEV.P($B$2:B492)</f>
        <v>1.1735483324086695</v>
      </c>
      <c r="G492">
        <f t="shared" ca="1" si="161"/>
        <v>12.232618632587117</v>
      </c>
      <c r="H492">
        <f t="shared" ca="1" si="162"/>
        <v>9.8855219677697779</v>
      </c>
      <c r="I492">
        <f t="shared" ca="1" si="174"/>
        <v>13.134499999999999</v>
      </c>
      <c r="J492">
        <f t="shared" ca="1" si="175"/>
        <v>0.31050849636650762</v>
      </c>
      <c r="K492">
        <f t="shared" ca="1" si="176"/>
        <v>13.755516992733014</v>
      </c>
      <c r="L492">
        <f t="shared" ca="1" si="177"/>
        <v>12.513483007266984</v>
      </c>
      <c r="M492">
        <f t="shared" ca="1" si="164"/>
        <v>-0.10999999999999943</v>
      </c>
      <c r="N492">
        <f t="shared" ca="1" si="165"/>
        <v>0</v>
      </c>
      <c r="O492">
        <f t="shared" ca="1" si="166"/>
        <v>0.10999999999999943</v>
      </c>
      <c r="P492">
        <f t="shared" ca="1" si="172"/>
        <v>0.10312573671157742</v>
      </c>
      <c r="Q492">
        <f t="shared" ca="1" si="173"/>
        <v>6.3948535923605193E-2</v>
      </c>
      <c r="R492">
        <f t="shared" ca="1" si="170"/>
        <v>1.6126363992879285</v>
      </c>
      <c r="S492">
        <f t="shared" ca="1" si="171"/>
        <v>61.72448641255442</v>
      </c>
      <c r="T492">
        <f>70</f>
        <v>70</v>
      </c>
      <c r="U492">
        <f>30</f>
        <v>30</v>
      </c>
      <c r="V492">
        <f t="shared" ca="1" si="169"/>
        <v>13.345568438584946</v>
      </c>
      <c r="W492">
        <f t="shared" ca="1" si="179"/>
        <v>13.153238806381285</v>
      </c>
      <c r="X492">
        <f t="shared" ca="1" si="178"/>
        <v>0.20396357317894775</v>
      </c>
      <c r="Y492">
        <f t="shared" ca="1" si="182"/>
        <v>0.15612265144239684</v>
      </c>
      <c r="Z492">
        <f t="shared" ca="1" si="183"/>
        <v>4.7840921736550912E-2</v>
      </c>
      <c r="AA492">
        <f t="shared" ca="1" si="184"/>
        <v>12.199100000000005</v>
      </c>
      <c r="AB492" s="18">
        <f t="shared" ca="1" si="180"/>
        <v>-7.9941860465115866E-3</v>
      </c>
      <c r="AC492" s="18">
        <f t="shared" ca="1" si="181"/>
        <v>-8.0263108742288213E-3</v>
      </c>
      <c r="AD492" s="18">
        <f t="shared" ca="1" si="163"/>
        <v>0.14057956482502698</v>
      </c>
    </row>
    <row r="493" spans="1:30" x14ac:dyDescent="0.25">
      <c r="A493" vm="1335">
        <f ca="1"/>
        <v>46007</v>
      </c>
      <c r="B493" vm="1336">
        <f ca="1"/>
        <v>13.67</v>
      </c>
      <c r="C493" vm="1337">
        <f ca="1"/>
        <v>69408875</v>
      </c>
      <c r="D493">
        <f t="shared" ca="1" si="160"/>
        <v>948819321.25</v>
      </c>
      <c r="E493">
        <f ca="1">SUM($D$2:D493)/SUM($C$2:C493)</f>
        <v>11.064052239816526</v>
      </c>
      <c r="F493">
        <f ca="1">_xlfn.STDEV.P($B$2:B493)</f>
        <v>1.1774794991045516</v>
      </c>
      <c r="G493">
        <f t="shared" ca="1" si="161"/>
        <v>12.241531738921077</v>
      </c>
      <c r="H493">
        <f t="shared" ca="1" si="162"/>
        <v>9.8865727407119746</v>
      </c>
      <c r="I493">
        <f t="shared" ca="1" si="174"/>
        <v>13.174000000000001</v>
      </c>
      <c r="J493">
        <f t="shared" ca="1" si="175"/>
        <v>0.32627724729938362</v>
      </c>
      <c r="K493">
        <f t="shared" ca="1" si="176"/>
        <v>13.826554494598769</v>
      </c>
      <c r="L493">
        <f t="shared" ca="1" si="177"/>
        <v>12.521445505401234</v>
      </c>
      <c r="M493">
        <f t="shared" ca="1" si="164"/>
        <v>1.9999999999999574E-2</v>
      </c>
      <c r="N493">
        <f t="shared" ca="1" si="165"/>
        <v>1.9999999999999574E-2</v>
      </c>
      <c r="O493">
        <f t="shared" ca="1" si="166"/>
        <v>0</v>
      </c>
      <c r="P493">
        <f t="shared" ca="1" si="172"/>
        <v>9.7188184089321852E-2</v>
      </c>
      <c r="Q493">
        <f t="shared" ca="1" si="173"/>
        <v>5.9380783357633395E-2</v>
      </c>
      <c r="R493">
        <f t="shared" ca="1" si="170"/>
        <v>1.6366942063392014</v>
      </c>
      <c r="S493">
        <f t="shared" ca="1" si="171"/>
        <v>62.073721040696455</v>
      </c>
      <c r="T493">
        <f>70</f>
        <v>70</v>
      </c>
      <c r="U493">
        <f>30</f>
        <v>30</v>
      </c>
      <c r="V493">
        <f t="shared" ca="1" si="169"/>
        <v>13.395480986494954</v>
      </c>
      <c r="W493">
        <f t="shared" ca="1" si="179"/>
        <v>13.191517413316006</v>
      </c>
      <c r="X493">
        <f t="shared" ca="1" si="178"/>
        <v>0.18203616427720526</v>
      </c>
      <c r="Y493">
        <f t="shared" ca="1" si="182"/>
        <v>0.16130535400935853</v>
      </c>
      <c r="Z493">
        <f t="shared" ca="1" si="183"/>
        <v>2.0730810267846733E-2</v>
      </c>
      <c r="AA493">
        <f t="shared" ca="1" si="184"/>
        <v>12.221100000000005</v>
      </c>
      <c r="AB493" s="18">
        <f t="shared" ca="1" si="180"/>
        <v>1.46520146520146E-3</v>
      </c>
      <c r="AC493" s="18">
        <f t="shared" ca="1" si="181"/>
        <v>1.464129104889448E-3</v>
      </c>
      <c r="AD493" s="18">
        <f t="shared" ca="1" si="163"/>
        <v>0.14225074367458745</v>
      </c>
    </row>
    <row r="494" spans="1:30" x14ac:dyDescent="0.25">
      <c r="A494" vm="1338">
        <f ca="1"/>
        <v>46008</v>
      </c>
      <c r="B494" vm="1339">
        <f ca="1"/>
        <v>13.31</v>
      </c>
      <c r="C494" vm="1340">
        <f ca="1"/>
        <v>58320635</v>
      </c>
      <c r="D494">
        <f t="shared" ca="1" si="160"/>
        <v>776247651.85000002</v>
      </c>
      <c r="E494">
        <f ca="1">SUM($D$2:D494)/SUM($C$2:C494)</f>
        <v>11.067647368434173</v>
      </c>
      <c r="F494">
        <f ca="1">_xlfn.STDEV.P($B$2:B494)</f>
        <v>1.1799713674091163</v>
      </c>
      <c r="G494">
        <f t="shared" ca="1" si="161"/>
        <v>12.24761873584329</v>
      </c>
      <c r="H494">
        <f t="shared" ca="1" si="162"/>
        <v>9.8876760010250564</v>
      </c>
      <c r="I494">
        <f t="shared" ca="1" si="174"/>
        <v>13.188499999999999</v>
      </c>
      <c r="J494">
        <f t="shared" ca="1" si="175"/>
        <v>0.32551618926511816</v>
      </c>
      <c r="K494">
        <f t="shared" ca="1" si="176"/>
        <v>13.839532378530237</v>
      </c>
      <c r="L494">
        <f t="shared" ca="1" si="177"/>
        <v>12.537467621469762</v>
      </c>
      <c r="M494">
        <f t="shared" ca="1" si="164"/>
        <v>-0.35999999999999943</v>
      </c>
      <c r="N494">
        <f t="shared" ca="1" si="165"/>
        <v>0</v>
      </c>
      <c r="O494">
        <f t="shared" ca="1" si="166"/>
        <v>0.35999999999999943</v>
      </c>
      <c r="P494">
        <f t="shared" ca="1" si="172"/>
        <v>9.024617094008458E-2</v>
      </c>
      <c r="Q494">
        <f t="shared" ca="1" si="173"/>
        <v>8.0853584546373827E-2</v>
      </c>
      <c r="R494">
        <f t="shared" ca="1" si="170"/>
        <v>1.1161678414928358</v>
      </c>
      <c r="S494">
        <f t="shared" ca="1" si="171"/>
        <v>52.744769087193148</v>
      </c>
      <c r="T494">
        <f>70</f>
        <v>70</v>
      </c>
      <c r="U494">
        <f>30</f>
        <v>30</v>
      </c>
      <c r="V494">
        <f t="shared" ca="1" si="169"/>
        <v>13.382330065495729</v>
      </c>
      <c r="W494">
        <f t="shared" ca="1" si="179"/>
        <v>13.200293901218524</v>
      </c>
      <c r="X494">
        <f t="shared" ca="1" si="178"/>
        <v>0.16357980500345093</v>
      </c>
      <c r="Y494">
        <f t="shared" ca="1" si="182"/>
        <v>0.161760244208177</v>
      </c>
      <c r="Z494">
        <f t="shared" ca="1" si="183"/>
        <v>1.8195607952739279E-3</v>
      </c>
      <c r="AA494">
        <f t="shared" ca="1" si="184"/>
        <v>12.241400000000004</v>
      </c>
      <c r="AB494" s="18">
        <f t="shared" ca="1" si="180"/>
        <v>-2.6335040234089169E-2</v>
      </c>
      <c r="AC494" s="18">
        <f t="shared" ca="1" si="181"/>
        <v>-2.6688018328837847E-2</v>
      </c>
      <c r="AD494" s="18">
        <f t="shared" ca="1" si="163"/>
        <v>0.11216952438249894</v>
      </c>
    </row>
    <row r="495" spans="1:30" x14ac:dyDescent="0.25">
      <c r="A495" vm="1341">
        <f ca="1"/>
        <v>46009</v>
      </c>
      <c r="B495" vm="1342">
        <f ca="1"/>
        <v>13.32</v>
      </c>
      <c r="C495" vm="1343">
        <f ca="1"/>
        <v>52604828</v>
      </c>
      <c r="D495">
        <f t="shared" ca="1" si="160"/>
        <v>700696308.96000004</v>
      </c>
      <c r="E495">
        <f ca="1">SUM($D$2:D495)/SUM($C$2:C495)</f>
        <v>11.070894709687028</v>
      </c>
      <c r="F495">
        <f ca="1">_xlfn.STDEV.P($B$2:B495)</f>
        <v>1.1824684919120183</v>
      </c>
      <c r="G495">
        <f t="shared" ca="1" si="161"/>
        <v>12.253363201599047</v>
      </c>
      <c r="H495">
        <f t="shared" ca="1" si="162"/>
        <v>9.8884262177750095</v>
      </c>
      <c r="I495">
        <f t="shared" ca="1" si="174"/>
        <v>13.2095</v>
      </c>
      <c r="J495">
        <f t="shared" ca="1" si="175"/>
        <v>0.31941517282618076</v>
      </c>
      <c r="K495">
        <f t="shared" ca="1" si="176"/>
        <v>13.848330345652363</v>
      </c>
      <c r="L495">
        <f t="shared" ca="1" si="177"/>
        <v>12.570669654347638</v>
      </c>
      <c r="M495">
        <f t="shared" ca="1" si="164"/>
        <v>9.9999999999997868E-3</v>
      </c>
      <c r="N495">
        <f t="shared" ca="1" si="165"/>
        <v>9.9999999999997868E-3</v>
      </c>
      <c r="O495">
        <f t="shared" ca="1" si="166"/>
        <v>0</v>
      </c>
      <c r="P495">
        <f t="shared" ca="1" si="172"/>
        <v>8.4514301587221383E-2</v>
      </c>
      <c r="Q495">
        <f t="shared" ca="1" si="173"/>
        <v>7.5078328507347122E-2</v>
      </c>
      <c r="R495">
        <f t="shared" ca="1" si="170"/>
        <v>1.125681714916587</v>
      </c>
      <c r="S495">
        <f t="shared" ca="1" si="171"/>
        <v>52.956268429902707</v>
      </c>
      <c r="T495">
        <f>70</f>
        <v>70</v>
      </c>
      <c r="U495">
        <f>30</f>
        <v>30</v>
      </c>
      <c r="V495">
        <f t="shared" ca="1" si="169"/>
        <v>13.372740824650233</v>
      </c>
      <c r="W495">
        <f t="shared" ca="1" si="179"/>
        <v>13.209161019646782</v>
      </c>
      <c r="X495">
        <f t="shared" ca="1" si="178"/>
        <v>0.15922134910517194</v>
      </c>
      <c r="Y495">
        <f t="shared" ca="1" si="182"/>
        <v>0.16125246518757599</v>
      </c>
      <c r="Z495">
        <f t="shared" ca="1" si="183"/>
        <v>-2.0311160824040553E-3</v>
      </c>
      <c r="AA495">
        <f t="shared" ca="1" si="184"/>
        <v>12.263800000000003</v>
      </c>
      <c r="AB495" s="18">
        <f t="shared" ca="1" si="180"/>
        <v>7.513148009015147E-4</v>
      </c>
      <c r="AC495" s="18">
        <f t="shared" ca="1" si="181"/>
        <v>7.5103270522275075E-4</v>
      </c>
      <c r="AD495" s="18">
        <f t="shared" ca="1" si="163"/>
        <v>0.11300511380727918</v>
      </c>
    </row>
    <row r="496" spans="1:30" x14ac:dyDescent="0.25">
      <c r="A496" vm="1344">
        <f ca="1"/>
        <v>46010</v>
      </c>
      <c r="B496" vm="1345">
        <f ca="1"/>
        <v>13.47</v>
      </c>
      <c r="C496" vm="1346">
        <f ca="1"/>
        <v>61640571</v>
      </c>
      <c r="D496">
        <f t="shared" ca="1" si="160"/>
        <v>830298491.37</v>
      </c>
      <c r="E496">
        <f ca="1">SUM($D$2:D496)/SUM($C$2:C496)</f>
        <v>11.074940923447793</v>
      </c>
      <c r="F496">
        <f ca="1">_xlfn.STDEV.P($B$2:B496)</f>
        <v>1.1854835808464617</v>
      </c>
      <c r="G496">
        <f t="shared" ca="1" si="161"/>
        <v>12.260424504294255</v>
      </c>
      <c r="H496">
        <f t="shared" ca="1" si="162"/>
        <v>9.8894573426013306</v>
      </c>
      <c r="I496">
        <f t="shared" ca="1" si="174"/>
        <v>13.262499999999999</v>
      </c>
      <c r="J496">
        <f t="shared" ca="1" si="175"/>
        <v>0.26267600615687436</v>
      </c>
      <c r="K496">
        <f t="shared" ca="1" si="176"/>
        <v>13.787852012313747</v>
      </c>
      <c r="L496">
        <f t="shared" ca="1" si="177"/>
        <v>12.737147987686251</v>
      </c>
      <c r="M496">
        <f t="shared" ca="1" si="164"/>
        <v>0.15000000000000036</v>
      </c>
      <c r="N496">
        <f t="shared" ca="1" si="165"/>
        <v>0.15000000000000036</v>
      </c>
      <c r="O496">
        <f t="shared" ca="1" si="166"/>
        <v>0</v>
      </c>
      <c r="P496">
        <f t="shared" ca="1" si="172"/>
        <v>8.9191851473848449E-2</v>
      </c>
      <c r="Q496">
        <f t="shared" ca="1" si="173"/>
        <v>6.9715590756822335E-2</v>
      </c>
      <c r="R496">
        <f t="shared" ca="1" si="170"/>
        <v>1.27936736253103</v>
      </c>
      <c r="S496">
        <f t="shared" ca="1" si="171"/>
        <v>56.128177649714566</v>
      </c>
      <c r="T496">
        <f>70</f>
        <v>70</v>
      </c>
      <c r="U496">
        <f>30</f>
        <v>30</v>
      </c>
      <c r="V496">
        <f t="shared" ca="1" si="169"/>
        <v>13.387703774704043</v>
      </c>
      <c r="W496">
        <f t="shared" ca="1" si="179"/>
        <v>13.228482425598871</v>
      </c>
      <c r="X496">
        <f t="shared" ca="1" si="178"/>
        <v>0.15319439534891188</v>
      </c>
      <c r="Y496">
        <f t="shared" ca="1" si="182"/>
        <v>0.15964085121984317</v>
      </c>
      <c r="Z496">
        <f t="shared" ca="1" si="183"/>
        <v>-6.4464558709312891E-3</v>
      </c>
      <c r="AA496">
        <f t="shared" ca="1" si="184"/>
        <v>12.289800000000003</v>
      </c>
      <c r="AB496" s="18">
        <f t="shared" ca="1" si="180"/>
        <v>1.1261261261261257E-2</v>
      </c>
      <c r="AC496" s="18">
        <f t="shared" ca="1" si="181"/>
        <v>1.1198325310029535E-2</v>
      </c>
      <c r="AD496" s="18">
        <f t="shared" ca="1" si="163"/>
        <v>0.12553895517898273</v>
      </c>
    </row>
    <row r="497" spans="1:30" x14ac:dyDescent="0.25">
      <c r="A497" vm="1347">
        <f ca="1"/>
        <v>46013</v>
      </c>
      <c r="B497" vm="1348">
        <f ca="1"/>
        <v>13.46</v>
      </c>
      <c r="C497" vm="1349">
        <f ca="1"/>
        <v>31106109</v>
      </c>
      <c r="D497">
        <f t="shared" ca="1" si="160"/>
        <v>418688227.14000005</v>
      </c>
      <c r="E497">
        <f ca="1">SUM($D$2:D497)/SUM($C$2:C497)</f>
        <v>11.076969111510989</v>
      </c>
      <c r="F497">
        <f ca="1">_xlfn.STDEV.P($B$2:B497)</f>
        <v>1.1884245624246645</v>
      </c>
      <c r="G497">
        <f t="shared" ca="1" si="161"/>
        <v>12.265393673935653</v>
      </c>
      <c r="H497">
        <f t="shared" ca="1" si="162"/>
        <v>9.8885445490863244</v>
      </c>
      <c r="I497">
        <f t="shared" ca="1" si="174"/>
        <v>13.294</v>
      </c>
      <c r="J497">
        <f t="shared" ca="1" si="175"/>
        <v>0.24527964706260869</v>
      </c>
      <c r="K497">
        <f t="shared" ca="1" si="176"/>
        <v>13.784559294125218</v>
      </c>
      <c r="L497">
        <f t="shared" ca="1" si="177"/>
        <v>12.803440705874783</v>
      </c>
      <c r="M497">
        <f t="shared" ca="1" si="164"/>
        <v>-9.9999999999997868E-3</v>
      </c>
      <c r="N497">
        <f t="shared" ca="1" si="165"/>
        <v>0</v>
      </c>
      <c r="O497">
        <f t="shared" ca="1" si="166"/>
        <v>9.9999999999997868E-3</v>
      </c>
      <c r="P497">
        <f t="shared" ca="1" si="172"/>
        <v>8.2821004940002121E-2</v>
      </c>
      <c r="Q497">
        <f t="shared" ca="1" si="173"/>
        <v>6.5450191417049303E-2</v>
      </c>
      <c r="R497">
        <f t="shared" ca="1" si="170"/>
        <v>1.2654050835736417</v>
      </c>
      <c r="S497">
        <f t="shared" ca="1" si="171"/>
        <v>55.857784232455444</v>
      </c>
      <c r="T497">
        <f>70</f>
        <v>70</v>
      </c>
      <c r="U497">
        <f>30</f>
        <v>30</v>
      </c>
      <c r="V497">
        <f t="shared" ca="1" si="169"/>
        <v>13.398826270903422</v>
      </c>
      <c r="W497">
        <f t="shared" ca="1" si="179"/>
        <v>13.24563187555451</v>
      </c>
      <c r="X497">
        <f t="shared" ca="1" si="178"/>
        <v>0.13316536439629978</v>
      </c>
      <c r="Y497">
        <f t="shared" ca="1" si="182"/>
        <v>0.15434575385513449</v>
      </c>
      <c r="Z497">
        <f t="shared" ca="1" si="183"/>
        <v>-2.1180389458834714E-2</v>
      </c>
      <c r="AA497">
        <f t="shared" ca="1" si="184"/>
        <v>12.313700000000004</v>
      </c>
      <c r="AB497" s="18">
        <f t="shared" ca="1" si="180"/>
        <v>-7.4239049740165708E-4</v>
      </c>
      <c r="AC497" s="18">
        <f t="shared" ca="1" si="181"/>
        <v>-7.4266620569089445E-4</v>
      </c>
      <c r="AD497" s="18">
        <f t="shared" ca="1" si="163"/>
        <v>0.12470336575420249</v>
      </c>
    </row>
    <row r="498" spans="1:30" x14ac:dyDescent="0.25">
      <c r="A498" vm="1350">
        <f ca="1"/>
        <v>46014</v>
      </c>
      <c r="B498" vm="1351">
        <f ca="1"/>
        <v>13.29</v>
      </c>
      <c r="C498" vm="1352">
        <f ca="1"/>
        <v>25440833</v>
      </c>
      <c r="D498">
        <f t="shared" ca="1" si="160"/>
        <v>338108670.56999999</v>
      </c>
      <c r="E498">
        <f ca="1">SUM($D$2:D498)/SUM($C$2:C498)</f>
        <v>11.078507196203002</v>
      </c>
      <c r="F498">
        <f ca="1">_xlfn.STDEV.P($B$2:B498)</f>
        <v>1.1907225619095536</v>
      </c>
      <c r="G498">
        <f t="shared" ca="1" si="161"/>
        <v>12.269229758112555</v>
      </c>
      <c r="H498">
        <f t="shared" ca="1" si="162"/>
        <v>9.8877846342934497</v>
      </c>
      <c r="I498">
        <f t="shared" ca="1" si="174"/>
        <v>13.310499999999999</v>
      </c>
      <c r="J498">
        <f t="shared" ca="1" si="175"/>
        <v>0.23238975881049498</v>
      </c>
      <c r="K498">
        <f t="shared" ca="1" si="176"/>
        <v>13.775279517620989</v>
      </c>
      <c r="L498">
        <f t="shared" ca="1" si="177"/>
        <v>12.84572048237901</v>
      </c>
      <c r="M498">
        <f t="shared" ca="1" si="164"/>
        <v>-0.17000000000000171</v>
      </c>
      <c r="N498">
        <f t="shared" ca="1" si="165"/>
        <v>0</v>
      </c>
      <c r="O498">
        <f t="shared" ca="1" si="166"/>
        <v>0.17000000000000171</v>
      </c>
      <c r="P498">
        <f t="shared" ca="1" si="172"/>
        <v>7.6905218872859102E-2</v>
      </c>
      <c r="Q498">
        <f t="shared" ca="1" si="173"/>
        <v>7.2918034887260202E-2</v>
      </c>
      <c r="R498">
        <f t="shared" ca="1" si="170"/>
        <v>1.0546803543425649</v>
      </c>
      <c r="S498">
        <f t="shared" ca="1" si="171"/>
        <v>51.330629219941635</v>
      </c>
      <c r="T498">
        <f>70</f>
        <v>70</v>
      </c>
      <c r="U498">
        <f>30</f>
        <v>30</v>
      </c>
      <c r="V498">
        <f t="shared" ca="1" si="169"/>
        <v>13.382083767687512</v>
      </c>
      <c r="W498">
        <f t="shared" ca="1" si="179"/>
        <v>13.248918403291212</v>
      </c>
      <c r="X498">
        <f t="shared" ca="1" si="178"/>
        <v>0.12153959525227087</v>
      </c>
      <c r="Y498">
        <f t="shared" ca="1" si="182"/>
        <v>0.14778452213456178</v>
      </c>
      <c r="Z498">
        <f t="shared" ca="1" si="183"/>
        <v>-2.6244926882290909E-2</v>
      </c>
      <c r="AA498">
        <f t="shared" ca="1" si="184"/>
        <v>12.338400000000002</v>
      </c>
      <c r="AB498" s="18">
        <f t="shared" ca="1" si="180"/>
        <v>-1.2630014858841188E-2</v>
      </c>
      <c r="AC498" s="18">
        <f t="shared" ca="1" si="181"/>
        <v>-1.2710451491427964E-2</v>
      </c>
      <c r="AD498" s="18">
        <f t="shared" ca="1" si="163"/>
        <v>0.11049834553293825</v>
      </c>
    </row>
    <row r="499" spans="1:30" x14ac:dyDescent="0.25">
      <c r="A499" vm="1353">
        <f ca="1"/>
        <v>46015</v>
      </c>
      <c r="B499" vm="1354">
        <f ca="1"/>
        <v>13.36</v>
      </c>
      <c r="C499" vm="1355">
        <f ca="1"/>
        <v>14227582</v>
      </c>
      <c r="D499">
        <f t="shared" ca="1" si="160"/>
        <v>190080495.51999998</v>
      </c>
      <c r="E499">
        <f ca="1">SUM($D$2:D499)/SUM($C$2:C499)</f>
        <v>11.079393623004526</v>
      </c>
      <c r="F499">
        <f ca="1">_xlfn.STDEV.P($B$2:B499)</f>
        <v>1.1932357778305591</v>
      </c>
      <c r="G499">
        <f t="shared" ca="1" si="161"/>
        <v>12.272629400835084</v>
      </c>
      <c r="H499">
        <f t="shared" ca="1" si="162"/>
        <v>9.8861578451739671</v>
      </c>
      <c r="I499">
        <f t="shared" ca="1" si="174"/>
        <v>13.319999999999999</v>
      </c>
      <c r="J499">
        <f t="shared" ca="1" si="175"/>
        <v>0.23021728866442681</v>
      </c>
      <c r="K499">
        <f t="shared" ca="1" si="176"/>
        <v>13.780434577328853</v>
      </c>
      <c r="L499">
        <f t="shared" ca="1" si="177"/>
        <v>12.859565422671144</v>
      </c>
      <c r="M499">
        <f t="shared" ca="1" si="164"/>
        <v>7.0000000000000284E-2</v>
      </c>
      <c r="N499">
        <f t="shared" ca="1" si="165"/>
        <v>7.0000000000000284E-2</v>
      </c>
      <c r="O499">
        <f t="shared" ca="1" si="166"/>
        <v>0</v>
      </c>
      <c r="P499">
        <f t="shared" ca="1" si="172"/>
        <v>7.6411988953369189E-2</v>
      </c>
      <c r="Q499">
        <f t="shared" ca="1" si="173"/>
        <v>6.7709603823884482E-2</v>
      </c>
      <c r="R499">
        <f t="shared" ca="1" si="170"/>
        <v>1.1285251225530721</v>
      </c>
      <c r="S499">
        <f t="shared" ca="1" si="171"/>
        <v>53.019112182216389</v>
      </c>
      <c r="T499">
        <f>70</f>
        <v>70</v>
      </c>
      <c r="U499">
        <f>30</f>
        <v>30</v>
      </c>
      <c r="V499">
        <f t="shared" ca="1" si="169"/>
        <v>13.378686264966355</v>
      </c>
      <c r="W499">
        <f t="shared" ca="1" si="179"/>
        <v>13.257146669714084</v>
      </c>
      <c r="X499">
        <f t="shared" ca="1" si="178"/>
        <v>0.10705741606247976</v>
      </c>
      <c r="Y499">
        <f t="shared" ca="1" si="182"/>
        <v>0.13963910092014539</v>
      </c>
      <c r="Z499">
        <f t="shared" ca="1" si="183"/>
        <v>-3.2581684857665633E-2</v>
      </c>
      <c r="AA499">
        <f t="shared" ca="1" si="184"/>
        <v>12.362500000000001</v>
      </c>
      <c r="AB499" s="18">
        <f t="shared" ca="1" si="180"/>
        <v>5.2671181339352113E-3</v>
      </c>
      <c r="AC499" s="18">
        <f t="shared" ca="1" si="181"/>
        <v>5.2532953833456277E-3</v>
      </c>
      <c r="AD499" s="18">
        <f t="shared" ca="1" si="163"/>
        <v>0.1163474715063999</v>
      </c>
    </row>
    <row r="500" spans="1:30" x14ac:dyDescent="0.25">
      <c r="A500" vm="1356">
        <f ca="1"/>
        <v>46017</v>
      </c>
      <c r="B500" vm="1339">
        <f ca="1"/>
        <v>13.31</v>
      </c>
      <c r="C500" vm="1357">
        <f ca="1"/>
        <v>22471423</v>
      </c>
      <c r="D500">
        <f t="shared" ca="1" si="160"/>
        <v>299094640.13</v>
      </c>
      <c r="E500">
        <f ca="1">SUM($D$2:D500)/SUM($C$2:C500)</f>
        <v>11.080761603067044</v>
      </c>
      <c r="F500">
        <f ca="1">_xlfn.STDEV.P($B$2:B500)</f>
        <v>1.1955456840352012</v>
      </c>
      <c r="G500">
        <f t="shared" ca="1" si="161"/>
        <v>12.276307287102245</v>
      </c>
      <c r="H500">
        <f t="shared" ca="1" si="162"/>
        <v>9.8852159190318432</v>
      </c>
      <c r="I500">
        <f t="shared" ca="1" si="174"/>
        <v>13.325999999999999</v>
      </c>
      <c r="J500">
        <f t="shared" ca="1" si="175"/>
        <v>0.22820581661483152</v>
      </c>
      <c r="K500">
        <f t="shared" ca="1" si="176"/>
        <v>13.782411633229662</v>
      </c>
      <c r="L500">
        <f t="shared" ca="1" si="177"/>
        <v>12.869588366770335</v>
      </c>
      <c r="M500">
        <f t="shared" ca="1" si="164"/>
        <v>-4.9999999999998934E-2</v>
      </c>
      <c r="N500">
        <f t="shared" ca="1" si="165"/>
        <v>0</v>
      </c>
      <c r="O500">
        <f t="shared" ca="1" si="166"/>
        <v>4.9999999999998934E-2</v>
      </c>
      <c r="P500">
        <f t="shared" ca="1" si="172"/>
        <v>7.095398974241425E-2</v>
      </c>
      <c r="Q500">
        <f t="shared" ca="1" si="173"/>
        <v>6.6444632122178368E-2</v>
      </c>
      <c r="R500">
        <f t="shared" ca="1" si="170"/>
        <v>1.0678663945635831</v>
      </c>
      <c r="S500">
        <f t="shared" ca="1" si="171"/>
        <v>51.6409762918437</v>
      </c>
      <c r="T500">
        <f>70</f>
        <v>70</v>
      </c>
      <c r="U500">
        <f>30</f>
        <v>30</v>
      </c>
      <c r="V500">
        <f t="shared" ca="1" si="169"/>
        <v>13.368119147279224</v>
      </c>
      <c r="W500">
        <f t="shared" ca="1" si="179"/>
        <v>13.261061731216744</v>
      </c>
      <c r="X500">
        <f t="shared" ca="1" si="178"/>
        <v>9.2097789448681411E-2</v>
      </c>
      <c r="Y500">
        <f t="shared" ca="1" si="182"/>
        <v>0.13013083862585259</v>
      </c>
      <c r="Z500">
        <f t="shared" ca="1" si="183"/>
        <v>-3.803304917717118E-2</v>
      </c>
      <c r="AA500">
        <f t="shared" ca="1" si="184"/>
        <v>12.385</v>
      </c>
      <c r="AB500" s="18">
        <f t="shared" ca="1" si="180"/>
        <v>-3.7425149700598404E-3</v>
      </c>
      <c r="AC500" s="18">
        <f t="shared" ca="1" si="181"/>
        <v>-3.7495357014793633E-3</v>
      </c>
      <c r="AD500" s="18">
        <f t="shared" ca="1" si="163"/>
        <v>0.11216952438249872</v>
      </c>
    </row>
    <row r="501" spans="1:30" x14ac:dyDescent="0.25">
      <c r="A501" vm="1358">
        <f ca="1"/>
        <v>46020</v>
      </c>
      <c r="B501" vm="1275">
        <f ca="1"/>
        <v>13.28</v>
      </c>
      <c r="C501" vm="1359">
        <f ca="1"/>
        <v>24398306</v>
      </c>
      <c r="D501">
        <f t="shared" ca="1" si="160"/>
        <v>324009503.68000001</v>
      </c>
      <c r="E501">
        <f ca="1">SUM($D$2:D501)/SUM($C$2:C501)</f>
        <v>11.082225023624723</v>
      </c>
      <c r="F501">
        <f ca="1">_xlfn.STDEV.P($B$2:B501)</f>
        <v>1.1977266498197605</v>
      </c>
      <c r="G501">
        <f t="shared" ca="1" si="161"/>
        <v>12.279951673444483</v>
      </c>
      <c r="H501">
        <f t="shared" ca="1" si="162"/>
        <v>9.8844983738049628</v>
      </c>
      <c r="I501">
        <f t="shared" ca="1" si="174"/>
        <v>13.325999999999997</v>
      </c>
      <c r="J501">
        <f t="shared" ca="1" si="175"/>
        <v>0.22820581661483152</v>
      </c>
      <c r="K501">
        <f t="shared" ca="1" si="176"/>
        <v>13.78241163322966</v>
      </c>
      <c r="L501">
        <f t="shared" ca="1" si="177"/>
        <v>12.869588366770333</v>
      </c>
      <c r="M501">
        <f t="shared" ca="1" si="164"/>
        <v>-3.0000000000001137E-2</v>
      </c>
      <c r="N501">
        <f t="shared" ca="1" si="165"/>
        <v>0</v>
      </c>
      <c r="O501">
        <f t="shared" ca="1" si="166"/>
        <v>3.0000000000001137E-2</v>
      </c>
      <c r="P501">
        <f t="shared" ca="1" si="172"/>
        <v>6.5885847617956086E-2</v>
      </c>
      <c r="Q501">
        <f t="shared" ca="1" si="173"/>
        <v>6.3841444113451426E-2</v>
      </c>
      <c r="R501">
        <f t="shared" ca="1" si="170"/>
        <v>1.0320231400290945</v>
      </c>
      <c r="S501">
        <f t="shared" ca="1" si="171"/>
        <v>50.787961992121708</v>
      </c>
      <c r="T501">
        <f>70</f>
        <v>70</v>
      </c>
      <c r="U501">
        <f>30</f>
        <v>30</v>
      </c>
      <c r="V501">
        <f t="shared" ca="1" si="169"/>
        <v>13.354562355390112</v>
      </c>
      <c r="W501">
        <f t="shared" ca="1" si="179"/>
        <v>13.26246456594143</v>
      </c>
      <c r="X501">
        <f t="shared" ca="1" si="178"/>
        <v>7.5339132820221977E-2</v>
      </c>
      <c r="Y501">
        <f t="shared" ca="1" si="182"/>
        <v>0.11917249746472648</v>
      </c>
      <c r="Z501">
        <f t="shared" ca="1" si="183"/>
        <v>-4.3833364644504505E-2</v>
      </c>
      <c r="AA501">
        <f t="shared" ca="1" si="184"/>
        <v>12.4057</v>
      </c>
      <c r="AB501" s="18">
        <f t="shared" ca="1" si="180"/>
        <v>-2.2539444027047661E-3</v>
      </c>
      <c r="AC501" s="18">
        <f t="shared" ca="1" si="181"/>
        <v>-2.2564883587325038E-3</v>
      </c>
      <c r="AD501" s="18">
        <f t="shared" ca="1" si="163"/>
        <v>0.10966275610815801</v>
      </c>
    </row>
    <row r="502" spans="1:30" x14ac:dyDescent="0.25">
      <c r="A502" vm="1360">
        <f ca="1"/>
        <v>46021</v>
      </c>
      <c r="B502" vm="1361">
        <f ca="1"/>
        <v>13.23</v>
      </c>
      <c r="C502" vm="1362">
        <f ca="1"/>
        <v>23002807</v>
      </c>
      <c r="D502">
        <f t="shared" ca="1" si="160"/>
        <v>304327136.61000001</v>
      </c>
      <c r="E502">
        <f ca="1">SUM($D$2:D502)/SUM($C$2:C502)</f>
        <v>11.083571610594781</v>
      </c>
      <c r="F502">
        <f ca="1">_xlfn.STDEV.P($B$2:B502)</f>
        <v>1.1997169592374819</v>
      </c>
      <c r="G502">
        <f t="shared" ca="1" si="161"/>
        <v>12.283288569832262</v>
      </c>
      <c r="H502">
        <f t="shared" ca="1" si="162"/>
        <v>9.8838546513573</v>
      </c>
      <c r="I502">
        <f t="shared" ca="1" si="174"/>
        <v>13.329499999999999</v>
      </c>
      <c r="J502">
        <f t="shared" ca="1" si="175"/>
        <v>0.22605250903740323</v>
      </c>
      <c r="K502">
        <f t="shared" ca="1" si="176"/>
        <v>13.781605018074806</v>
      </c>
      <c r="L502">
        <f t="shared" ca="1" si="177"/>
        <v>12.877394981925192</v>
      </c>
      <c r="M502">
        <f t="shared" ca="1" si="164"/>
        <v>-4.9999999999998934E-2</v>
      </c>
      <c r="N502">
        <f t="shared" ca="1" si="165"/>
        <v>0</v>
      </c>
      <c r="O502">
        <f t="shared" ca="1" si="166"/>
        <v>4.9999999999998934E-2</v>
      </c>
      <c r="P502">
        <f t="shared" ca="1" si="172"/>
        <v>6.1179715645244936E-2</v>
      </c>
      <c r="Q502">
        <f t="shared" ca="1" si="173"/>
        <v>6.2852769533919106E-2</v>
      </c>
      <c r="R502">
        <f t="shared" ca="1" si="170"/>
        <v>0.97338138158301379</v>
      </c>
      <c r="S502">
        <f t="shared" ca="1" si="171"/>
        <v>49.325558184915245</v>
      </c>
      <c r="T502">
        <f>70</f>
        <v>70</v>
      </c>
      <c r="U502">
        <f>30</f>
        <v>30</v>
      </c>
      <c r="V502">
        <f t="shared" ca="1" si="169"/>
        <v>13.335398916099324</v>
      </c>
      <c r="W502">
        <f t="shared" ca="1" si="179"/>
        <v>13.260059783279102</v>
      </c>
      <c r="X502">
        <f t="shared" ca="1" si="178"/>
        <v>5.257563679712618E-2</v>
      </c>
      <c r="Y502">
        <f t="shared" ca="1" si="182"/>
        <v>0.10585312533120643</v>
      </c>
      <c r="Z502">
        <f t="shared" ca="1" si="183"/>
        <v>-5.327748853408025E-2</v>
      </c>
      <c r="AA502">
        <f t="shared" ca="1" si="184"/>
        <v>12.4252</v>
      </c>
      <c r="AB502" s="18">
        <f t="shared" ca="1" si="180"/>
        <v>-3.7650602409637912E-3</v>
      </c>
      <c r="AC502" s="18">
        <f t="shared" ca="1" si="181"/>
        <v>-3.7721659214234125E-3</v>
      </c>
      <c r="AD502" s="18">
        <f t="shared" ca="1" si="163"/>
        <v>0.10548480898425683</v>
      </c>
    </row>
    <row r="503" spans="1:30" x14ac:dyDescent="0.25">
      <c r="A503" vm="1363">
        <f ca="1"/>
        <v>46022</v>
      </c>
      <c r="B503" vm="1260">
        <f ca="1"/>
        <v>13.12</v>
      </c>
      <c r="C503" vm="1364">
        <f ca="1"/>
        <v>26302260</v>
      </c>
      <c r="D503">
        <f t="shared" ca="1" si="160"/>
        <v>345085651.19999999</v>
      </c>
      <c r="E503">
        <f ca="1">SUM($D$2:D503)/SUM($C$2:C503)</f>
        <v>11.085030477827242</v>
      </c>
      <c r="F503">
        <f ca="1">_xlfn.STDEV.P($B$2:B503)</f>
        <v>1.2013378220556781</v>
      </c>
      <c r="G503">
        <f t="shared" ca="1" si="161"/>
        <v>12.28636829988292</v>
      </c>
      <c r="H503">
        <f t="shared" ca="1" si="162"/>
        <v>9.883692655771565</v>
      </c>
      <c r="I503">
        <f t="shared" ca="1" si="174"/>
        <v>13.3375</v>
      </c>
      <c r="J503">
        <f t="shared" ca="1" si="175"/>
        <v>0.21484082234847379</v>
      </c>
      <c r="K503">
        <f t="shared" ca="1" si="176"/>
        <v>13.767181644696947</v>
      </c>
      <c r="L503">
        <f t="shared" ca="1" si="177"/>
        <v>12.907818355303053</v>
      </c>
      <c r="M503">
        <f t="shared" ca="1" si="164"/>
        <v>-0.11000000000000121</v>
      </c>
      <c r="N503">
        <f t="shared" ca="1" si="165"/>
        <v>0</v>
      </c>
      <c r="O503">
        <f t="shared" ca="1" si="166"/>
        <v>0.11000000000000121</v>
      </c>
      <c r="P503">
        <f t="shared" ca="1" si="172"/>
        <v>5.6809735956298867E-2</v>
      </c>
      <c r="Q503">
        <f t="shared" ca="1" si="173"/>
        <v>6.6220428852924978E-2</v>
      </c>
      <c r="R503">
        <f t="shared" ca="1" si="170"/>
        <v>0.85788837282332941</v>
      </c>
      <c r="S503">
        <f t="shared" ca="1" si="171"/>
        <v>46.175453023565908</v>
      </c>
      <c r="T503">
        <f>70</f>
        <v>70</v>
      </c>
      <c r="U503">
        <f>30</f>
        <v>30</v>
      </c>
      <c r="V503">
        <f t="shared" ca="1" si="169"/>
        <v>13.302260621314813</v>
      </c>
      <c r="W503">
        <f t="shared" ca="1" si="179"/>
        <v>13.249684984517687</v>
      </c>
      <c r="X503">
        <f t="shared" ca="1" si="178"/>
        <v>5.169169390954842E-2</v>
      </c>
      <c r="Y503">
        <f t="shared" ca="1" si="182"/>
        <v>9.5020839046874833E-2</v>
      </c>
      <c r="Z503">
        <f t="shared" ca="1" si="183"/>
        <v>-4.3329145137326414E-2</v>
      </c>
      <c r="AA503">
        <f t="shared" ca="1" si="184"/>
        <v>12.443199999999999</v>
      </c>
      <c r="AB503" s="18">
        <f t="shared" ca="1" si="180"/>
        <v>-8.3144368858655282E-3</v>
      </c>
      <c r="AC503" s="18">
        <f t="shared" ca="1" si="181"/>
        <v>-8.3491946109214045E-3</v>
      </c>
      <c r="AD503" s="18">
        <f t="shared" ca="1" si="163"/>
        <v>9.6293325311674005E-2</v>
      </c>
    </row>
    <row r="504" spans="1:30" x14ac:dyDescent="0.25">
      <c r="A504" vm="1365">
        <f ca="1"/>
        <v>46024</v>
      </c>
      <c r="B504" vm="1366">
        <f ca="1"/>
        <v>13.34</v>
      </c>
      <c r="C504" vm="1367">
        <f ca="1"/>
        <v>46366861</v>
      </c>
      <c r="D504">
        <f t="shared" ca="1" si="160"/>
        <v>618533925.74000001</v>
      </c>
      <c r="E504">
        <f ca="1">SUM($D$2:D504)/SUM($C$2:C504)</f>
        <v>11.087874636473778</v>
      </c>
      <c r="F504">
        <f ca="1">_xlfn.STDEV.P($B$2:B504)</f>
        <v>1.2036463653036871</v>
      </c>
      <c r="G504">
        <f t="shared" ca="1" si="161"/>
        <v>12.291521001777465</v>
      </c>
      <c r="H504">
        <f t="shared" ca="1" si="162"/>
        <v>9.8842282711700911</v>
      </c>
      <c r="I504">
        <f t="shared" ca="1" si="174"/>
        <v>13.349999999999998</v>
      </c>
      <c r="J504">
        <f t="shared" ca="1" si="175"/>
        <v>0.20680527327085169</v>
      </c>
      <c r="K504">
        <f t="shared" ca="1" si="176"/>
        <v>13.763610546541701</v>
      </c>
      <c r="L504">
        <f t="shared" ca="1" si="177"/>
        <v>12.936389453458295</v>
      </c>
      <c r="M504">
        <f t="shared" ca="1" si="164"/>
        <v>0.22000000000000064</v>
      </c>
      <c r="N504">
        <f t="shared" ca="1" si="165"/>
        <v>0.22000000000000064</v>
      </c>
      <c r="O504">
        <f t="shared" ca="1" si="166"/>
        <v>0</v>
      </c>
      <c r="P504">
        <f t="shared" ca="1" si="172"/>
        <v>6.8466183387991847E-2</v>
      </c>
      <c r="Q504">
        <f t="shared" ca="1" si="173"/>
        <v>6.1490398220573193E-2</v>
      </c>
      <c r="R504">
        <f t="shared" ca="1" si="170"/>
        <v>1.1134451128840588</v>
      </c>
      <c r="S504">
        <f t="shared" ca="1" si="171"/>
        <v>52.683890681439294</v>
      </c>
      <c r="T504">
        <f>70</f>
        <v>70</v>
      </c>
      <c r="U504">
        <f>30</f>
        <v>30</v>
      </c>
      <c r="V504">
        <f t="shared" ca="1" si="169"/>
        <v>13.308066679574074</v>
      </c>
      <c r="W504">
        <f t="shared" ca="1" si="179"/>
        <v>13.256374985664525</v>
      </c>
      <c r="X504">
        <f t="shared" ca="1" si="178"/>
        <v>6.0780437300653745E-2</v>
      </c>
      <c r="Y504">
        <f t="shared" ca="1" si="182"/>
        <v>8.8172758697630624E-2</v>
      </c>
      <c r="Z504">
        <f t="shared" ca="1" si="183"/>
        <v>-2.7392321396976879E-2</v>
      </c>
      <c r="AA504">
        <f t="shared" ca="1" si="184"/>
        <v>12.465199999999998</v>
      </c>
      <c r="AB504" s="18">
        <f t="shared" ca="1" si="180"/>
        <v>1.67682926829269E-2</v>
      </c>
      <c r="AC504" s="18">
        <f t="shared" ca="1" si="181"/>
        <v>1.6629256971534747E-2</v>
      </c>
      <c r="AD504" s="18">
        <f t="shared" ca="1" si="163"/>
        <v>0.11467629265683943</v>
      </c>
    </row>
    <row r="505" spans="1:30" x14ac:dyDescent="0.25">
      <c r="A505" vm="1368">
        <f ca="1"/>
        <v>46027</v>
      </c>
      <c r="B505" vm="1345">
        <f ca="1"/>
        <v>13.47</v>
      </c>
      <c r="C505" vm="1369">
        <f ca="1"/>
        <v>50135246</v>
      </c>
      <c r="D505">
        <f t="shared" ca="1" si="160"/>
        <v>675321763.62</v>
      </c>
      <c r="E505">
        <f ca="1">SUM($D$2:D505)/SUM($C$2:C505)</f>
        <v>11.09111893885078</v>
      </c>
      <c r="F505">
        <f ca="1">_xlfn.STDEV.P($B$2:B505)</f>
        <v>1.2063802199176306</v>
      </c>
      <c r="G505">
        <f t="shared" ca="1" si="161"/>
        <v>12.29749915876841</v>
      </c>
      <c r="H505">
        <f t="shared" ca="1" si="162"/>
        <v>9.8847387189331499</v>
      </c>
      <c r="I505">
        <f t="shared" ca="1" si="174"/>
        <v>13.366499999999998</v>
      </c>
      <c r="J505">
        <f t="shared" ca="1" si="175"/>
        <v>0.20228367262467423</v>
      </c>
      <c r="K505">
        <f t="shared" ca="1" si="176"/>
        <v>13.771067345249348</v>
      </c>
      <c r="L505">
        <f t="shared" ca="1" si="177"/>
        <v>12.961932654750649</v>
      </c>
      <c r="M505">
        <f t="shared" ca="1" si="164"/>
        <v>0.13000000000000078</v>
      </c>
      <c r="N505">
        <f t="shared" ca="1" si="165"/>
        <v>0.13000000000000078</v>
      </c>
      <c r="O505">
        <f t="shared" ca="1" si="166"/>
        <v>0</v>
      </c>
      <c r="P505">
        <f t="shared" ca="1" si="172"/>
        <v>7.2861456003135344E-2</v>
      </c>
      <c r="Q505">
        <f t="shared" ca="1" si="173"/>
        <v>5.7098226919103677E-2</v>
      </c>
      <c r="R505">
        <f t="shared" ca="1" si="170"/>
        <v>1.2760721292863417</v>
      </c>
      <c r="S505">
        <f t="shared" ca="1" si="171"/>
        <v>56.064661258624163</v>
      </c>
      <c r="T505">
        <f>70</f>
        <v>70</v>
      </c>
      <c r="U505">
        <f>30</f>
        <v>30</v>
      </c>
      <c r="V505">
        <f t="shared" ca="1" si="169"/>
        <v>13.332979498101139</v>
      </c>
      <c r="W505">
        <f t="shared" ca="1" si="179"/>
        <v>13.272199060800485</v>
      </c>
      <c r="X505">
        <f t="shared" ca="1" si="178"/>
        <v>9.3533379418463625E-2</v>
      </c>
      <c r="Y505">
        <f t="shared" ca="1" si="182"/>
        <v>8.9244882841797227E-2</v>
      </c>
      <c r="Z505">
        <f t="shared" ca="1" si="183"/>
        <v>4.2884965766663979E-3</v>
      </c>
      <c r="AA505">
        <f t="shared" ca="1" si="184"/>
        <v>12.487399999999997</v>
      </c>
      <c r="AB505" s="18">
        <f t="shared" ca="1" si="180"/>
        <v>9.7451274362818641E-3</v>
      </c>
      <c r="AC505" s="18">
        <f t="shared" ca="1" si="181"/>
        <v>9.6979499347949628E-3</v>
      </c>
      <c r="AD505" s="18">
        <f t="shared" ca="1" si="163"/>
        <v>0.1255389551789825</v>
      </c>
    </row>
    <row r="506" spans="1:30" x14ac:dyDescent="0.25">
      <c r="A506" vm="1370">
        <f ca="1"/>
        <v>46028</v>
      </c>
      <c r="B506" vm="1371">
        <f ca="1"/>
        <v>13.8</v>
      </c>
      <c r="C506" vm="1372">
        <f ca="1"/>
        <v>84534703</v>
      </c>
      <c r="D506">
        <f t="shared" ca="1" si="160"/>
        <v>1166578901.4000001</v>
      </c>
      <c r="E506">
        <f ca="1">SUM($D$2:D506)/SUM($C$2:C506)</f>
        <v>11.097325375923088</v>
      </c>
      <c r="F506">
        <f ca="1">_xlfn.STDEV.P($B$2:B506)</f>
        <v>1.2103467901189433</v>
      </c>
      <c r="G506">
        <f t="shared" ca="1" si="161"/>
        <v>12.307672166042032</v>
      </c>
      <c r="H506">
        <f t="shared" ca="1" si="162"/>
        <v>9.8869785858041439</v>
      </c>
      <c r="I506">
        <f t="shared" ca="1" si="174"/>
        <v>13.405000000000001</v>
      </c>
      <c r="J506">
        <f t="shared" ca="1" si="175"/>
        <v>0.20806122580675765</v>
      </c>
      <c r="K506">
        <f t="shared" ca="1" si="176"/>
        <v>13.821122451613517</v>
      </c>
      <c r="L506">
        <f t="shared" ca="1" si="177"/>
        <v>12.988877548386485</v>
      </c>
      <c r="M506">
        <f t="shared" ca="1" si="164"/>
        <v>0.33000000000000007</v>
      </c>
      <c r="N506">
        <f t="shared" ca="1" si="165"/>
        <v>0.33000000000000007</v>
      </c>
      <c r="O506">
        <f t="shared" ca="1" si="166"/>
        <v>0</v>
      </c>
      <c r="P506">
        <f t="shared" ca="1" si="172"/>
        <v>9.1228494860054257E-2</v>
      </c>
      <c r="Q506">
        <f t="shared" ca="1" si="173"/>
        <v>5.30197821391677E-2</v>
      </c>
      <c r="R506">
        <f t="shared" ca="1" si="170"/>
        <v>1.720650126788438</v>
      </c>
      <c r="S506">
        <f t="shared" ca="1" si="171"/>
        <v>63.244079414928699</v>
      </c>
      <c r="T506">
        <f>70</f>
        <v>70</v>
      </c>
      <c r="U506">
        <f>30</f>
        <v>30</v>
      </c>
      <c r="V506">
        <f t="shared" ca="1" si="169"/>
        <v>13.404828806085579</v>
      </c>
      <c r="W506">
        <f t="shared" ca="1" si="179"/>
        <v>13.311295426667115</v>
      </c>
      <c r="X506">
        <f t="shared" ca="1" si="178"/>
        <v>0.11334228416126635</v>
      </c>
      <c r="Y506">
        <f t="shared" ca="1" si="182"/>
        <v>9.4064363105691051E-2</v>
      </c>
      <c r="Z506">
        <f t="shared" ca="1" si="183"/>
        <v>1.9277921055575298E-2</v>
      </c>
      <c r="AA506">
        <f t="shared" ca="1" si="184"/>
        <v>12.510999999999997</v>
      </c>
      <c r="AB506" s="18">
        <f t="shared" ca="1" si="180"/>
        <v>2.4498886414253906E-2</v>
      </c>
      <c r="AC506" s="18">
        <f t="shared" ca="1" si="181"/>
        <v>2.4203601740886399E-2</v>
      </c>
      <c r="AD506" s="18">
        <f t="shared" ca="1" si="163"/>
        <v>0.15311340619673031</v>
      </c>
    </row>
    <row r="507" spans="1:30" x14ac:dyDescent="0.25">
      <c r="A507" vm="1373">
        <f ca="1"/>
        <v>46029</v>
      </c>
      <c r="B507" vm="1374">
        <f ca="1"/>
        <v>13.74</v>
      </c>
      <c r="C507" vm="1375">
        <f ca="1"/>
        <v>50608950</v>
      </c>
      <c r="D507">
        <f t="shared" ca="1" si="160"/>
        <v>695366973</v>
      </c>
      <c r="E507">
        <f ca="1">SUM($D$2:D507)/SUM($C$2:C507)</f>
        <v>11.100945247106226</v>
      </c>
      <c r="F507">
        <f ca="1">_xlfn.STDEV.P($B$2:B507)</f>
        <v>1.2140231390663554</v>
      </c>
      <c r="G507">
        <f t="shared" ca="1" si="161"/>
        <v>12.314968386172582</v>
      </c>
      <c r="H507">
        <f t="shared" ca="1" si="162"/>
        <v>9.8869221080398706</v>
      </c>
      <c r="I507">
        <f t="shared" ca="1" si="174"/>
        <v>13.435000000000002</v>
      </c>
      <c r="J507">
        <f t="shared" ca="1" si="175"/>
        <v>0.21107494303907193</v>
      </c>
      <c r="K507">
        <f t="shared" ca="1" si="176"/>
        <v>13.857149886078146</v>
      </c>
      <c r="L507">
        <f t="shared" ca="1" si="177"/>
        <v>13.012850113921859</v>
      </c>
      <c r="M507">
        <f t="shared" ca="1" si="164"/>
        <v>-6.0000000000000497E-2</v>
      </c>
      <c r="N507">
        <f t="shared" ca="1" si="165"/>
        <v>0</v>
      </c>
      <c r="O507">
        <f t="shared" ca="1" si="166"/>
        <v>6.0000000000000497E-2</v>
      </c>
      <c r="P507">
        <f t="shared" ca="1" si="172"/>
        <v>8.4712173798621809E-2</v>
      </c>
      <c r="Q507">
        <f t="shared" ca="1" si="173"/>
        <v>5.3518369129227188E-2</v>
      </c>
      <c r="R507">
        <f t="shared" ca="1" si="170"/>
        <v>1.582861645018985</v>
      </c>
      <c r="S507">
        <f t="shared" ca="1" si="171"/>
        <v>61.283253327622603</v>
      </c>
      <c r="T507">
        <f>70</f>
        <v>70</v>
      </c>
      <c r="U507">
        <f>30</f>
        <v>30</v>
      </c>
      <c r="V507">
        <f t="shared" ca="1" si="169"/>
        <v>13.456393605149335</v>
      </c>
      <c r="W507">
        <f t="shared" ca="1" si="179"/>
        <v>13.343051320988069</v>
      </c>
      <c r="X507">
        <f t="shared" ca="1" si="178"/>
        <v>0.1802200040120514</v>
      </c>
      <c r="Y507">
        <f t="shared" ca="1" si="182"/>
        <v>0.11129549128696313</v>
      </c>
      <c r="Z507">
        <f t="shared" ca="1" si="183"/>
        <v>6.8924512725088274E-2</v>
      </c>
      <c r="AA507">
        <f t="shared" ca="1" si="184"/>
        <v>12.533999999999997</v>
      </c>
      <c r="AB507" s="18">
        <f t="shared" ca="1" si="180"/>
        <v>-4.3478260869566077E-3</v>
      </c>
      <c r="AC507" s="18">
        <f t="shared" ca="1" si="181"/>
        <v>-4.3573053689558126E-3</v>
      </c>
      <c r="AD507" s="18">
        <f t="shared" ca="1" si="163"/>
        <v>0.14809986964804867</v>
      </c>
    </row>
    <row r="508" spans="1:30" x14ac:dyDescent="0.25">
      <c r="A508" vm="1376">
        <f ca="1"/>
        <v>46030</v>
      </c>
      <c r="B508" vm="1377">
        <f ca="1"/>
        <v>14.4</v>
      </c>
      <c r="C508" vm="1378">
        <f ca="1"/>
        <v>154276839</v>
      </c>
      <c r="D508">
        <f t="shared" ca="1" si="160"/>
        <v>2221586481.5999999</v>
      </c>
      <c r="E508">
        <f ca="1">SUM($D$2:D508)/SUM($C$2:C508)</f>
        <v>11.114663622065558</v>
      </c>
      <c r="F508">
        <f ca="1">_xlfn.STDEV.P($B$2:B508)</f>
        <v>1.220608860531319</v>
      </c>
      <c r="G508">
        <f t="shared" ca="1" si="161"/>
        <v>12.335272482596878</v>
      </c>
      <c r="H508">
        <f t="shared" ca="1" si="162"/>
        <v>9.8940547615342389</v>
      </c>
      <c r="I508">
        <f t="shared" ca="1" si="174"/>
        <v>13.500999999999999</v>
      </c>
      <c r="J508">
        <f t="shared" ca="1" si="175"/>
        <v>0.28696047774819755</v>
      </c>
      <c r="K508">
        <f t="shared" ca="1" si="176"/>
        <v>14.074920955496395</v>
      </c>
      <c r="L508">
        <f t="shared" ca="1" si="177"/>
        <v>12.927079044503603</v>
      </c>
      <c r="M508">
        <f t="shared" ca="1" si="164"/>
        <v>0.66000000000000014</v>
      </c>
      <c r="N508">
        <f t="shared" ca="1" si="165"/>
        <v>0.66000000000000014</v>
      </c>
      <c r="O508">
        <f t="shared" ca="1" si="166"/>
        <v>0</v>
      </c>
      <c r="P508">
        <f t="shared" ca="1" si="172"/>
        <v>0.12580416138443454</v>
      </c>
      <c r="Q508">
        <f t="shared" ca="1" si="173"/>
        <v>4.9695628477139535E-2</v>
      </c>
      <c r="R508">
        <f t="shared" ca="1" si="170"/>
        <v>2.53149351843504</v>
      </c>
      <c r="S508">
        <f t="shared" ca="1" si="171"/>
        <v>71.683368671645084</v>
      </c>
      <c r="T508">
        <f>70</f>
        <v>70</v>
      </c>
      <c r="U508">
        <f>30</f>
        <v>30</v>
      </c>
      <c r="V508">
        <f t="shared" ca="1" si="169"/>
        <v>13.601563819741745</v>
      </c>
      <c r="W508">
        <f t="shared" ca="1" si="179"/>
        <v>13.421343815729694</v>
      </c>
      <c r="X508">
        <f t="shared" ca="1" si="178"/>
        <v>0.21460887279529217</v>
      </c>
      <c r="Y508">
        <f t="shared" ca="1" si="182"/>
        <v>0.13195816758862894</v>
      </c>
      <c r="Z508">
        <f t="shared" ca="1" si="183"/>
        <v>8.2650705206663233E-2</v>
      </c>
      <c r="AA508">
        <f t="shared" ca="1" si="184"/>
        <v>12.563599999999999</v>
      </c>
      <c r="AB508" s="18">
        <f t="shared" ca="1" si="180"/>
        <v>4.8034934497816595E-2</v>
      </c>
      <c r="AC508" s="18">
        <f t="shared" ca="1" si="181"/>
        <v>4.6916919787751657E-2</v>
      </c>
      <c r="AD508" s="18">
        <f t="shared" ca="1" si="163"/>
        <v>0.20324877168354449</v>
      </c>
    </row>
    <row r="509" spans="1:30" x14ac:dyDescent="0.25">
      <c r="A509" vm="1379">
        <f ca="1"/>
        <v>46031</v>
      </c>
      <c r="B509" vm="1380">
        <f ca="1"/>
        <v>14.2</v>
      </c>
      <c r="C509" vm="1381">
        <f ca="1"/>
        <v>68436178</v>
      </c>
      <c r="D509">
        <f t="shared" ca="1" si="160"/>
        <v>971793727.5999999</v>
      </c>
      <c r="E509">
        <f ca="1">SUM($D$2:D509)/SUM($C$2:C509)</f>
        <v>11.12034430207779</v>
      </c>
      <c r="F509">
        <f ca="1">_xlfn.STDEV.P($B$2:B509)</f>
        <v>1.2261435423553242</v>
      </c>
      <c r="G509">
        <f t="shared" ca="1" si="161"/>
        <v>12.346487844433113</v>
      </c>
      <c r="H509">
        <f t="shared" ca="1" si="162"/>
        <v>9.8942007597224659</v>
      </c>
      <c r="I509">
        <f t="shared" ca="1" si="174"/>
        <v>13.5405</v>
      </c>
      <c r="J509">
        <f t="shared" ca="1" si="175"/>
        <v>0.32555175835559713</v>
      </c>
      <c r="K509">
        <f t="shared" ca="1" si="176"/>
        <v>14.191603516711194</v>
      </c>
      <c r="L509">
        <f t="shared" ca="1" si="177"/>
        <v>12.889396483288806</v>
      </c>
      <c r="M509">
        <f t="shared" ca="1" si="164"/>
        <v>-0.20000000000000107</v>
      </c>
      <c r="N509">
        <f t="shared" ca="1" si="165"/>
        <v>0</v>
      </c>
      <c r="O509">
        <f t="shared" ca="1" si="166"/>
        <v>0.20000000000000107</v>
      </c>
      <c r="P509">
        <f t="shared" ca="1" si="172"/>
        <v>0.11681814985697493</v>
      </c>
      <c r="Q509">
        <f t="shared" ca="1" si="173"/>
        <v>6.0431655014486788E-2</v>
      </c>
      <c r="R509">
        <f t="shared" ca="1" si="170"/>
        <v>1.9330622308618068</v>
      </c>
      <c r="S509">
        <f t="shared" ca="1" si="171"/>
        <v>65.90593989183192</v>
      </c>
      <c r="T509">
        <f>70</f>
        <v>70</v>
      </c>
      <c r="U509">
        <f>30</f>
        <v>30</v>
      </c>
      <c r="V509">
        <f t="shared" ca="1" si="169"/>
        <v>13.69363092439686</v>
      </c>
      <c r="W509">
        <f t="shared" ca="1" si="179"/>
        <v>13.479022051601568</v>
      </c>
      <c r="X509">
        <f t="shared" ca="1" si="178"/>
        <v>0.22554477998677314</v>
      </c>
      <c r="Y509">
        <f t="shared" ca="1" si="182"/>
        <v>0.15067549006825778</v>
      </c>
      <c r="Z509">
        <f t="shared" ca="1" si="183"/>
        <v>7.4869289918515353E-2</v>
      </c>
      <c r="AA509">
        <f t="shared" ca="1" si="184"/>
        <v>12.590999999999998</v>
      </c>
      <c r="AB509" s="18">
        <f t="shared" ca="1" si="180"/>
        <v>-1.3888888888888951E-2</v>
      </c>
      <c r="AC509" s="18">
        <f t="shared" ca="1" si="181"/>
        <v>-1.3986241974739952E-2</v>
      </c>
      <c r="AD509" s="18">
        <f t="shared" ca="1" si="163"/>
        <v>0.18653698318793954</v>
      </c>
    </row>
    <row r="510" spans="1:30" x14ac:dyDescent="0.25">
      <c r="A510" vm="1382">
        <f ca="1"/>
        <v>46034</v>
      </c>
      <c r="B510" vm="1383">
        <f ca="1"/>
        <v>14.03</v>
      </c>
      <c r="C510" vm="1384">
        <f ca="1"/>
        <v>53443964</v>
      </c>
      <c r="D510">
        <f t="shared" ca="1" si="160"/>
        <v>749818814.91999996</v>
      </c>
      <c r="E510">
        <f ca="1">SUM($D$2:D510)/SUM($C$2:C510)</f>
        <v>11.124521916234569</v>
      </c>
      <c r="F510">
        <f ca="1">_xlfn.STDEV.P($B$2:B510)</f>
        <v>1.2308460903556273</v>
      </c>
      <c r="G510">
        <f t="shared" ca="1" si="161"/>
        <v>12.355368006590195</v>
      </c>
      <c r="H510">
        <f t="shared" ca="1" si="162"/>
        <v>9.8936758258789421</v>
      </c>
      <c r="I510">
        <f t="shared" ca="1" si="174"/>
        <v>13.560499999999999</v>
      </c>
      <c r="J510">
        <f t="shared" ca="1" si="175"/>
        <v>0.34315064974592813</v>
      </c>
      <c r="K510">
        <f t="shared" ca="1" si="176"/>
        <v>14.246801299491855</v>
      </c>
      <c r="L510">
        <f t="shared" ca="1" si="177"/>
        <v>12.874198700508144</v>
      </c>
      <c r="M510">
        <f t="shared" ca="1" si="164"/>
        <v>-0.16999999999999993</v>
      </c>
      <c r="N510">
        <f t="shared" ca="1" si="165"/>
        <v>0</v>
      </c>
      <c r="O510">
        <f t="shared" ca="1" si="166"/>
        <v>0.16999999999999993</v>
      </c>
      <c r="P510">
        <f t="shared" ca="1" si="172"/>
        <v>0.10847399629576245</v>
      </c>
      <c r="Q510">
        <f t="shared" ca="1" si="173"/>
        <v>6.8257965370594878E-2</v>
      </c>
      <c r="R510">
        <f t="shared" ca="1" si="170"/>
        <v>1.5891771122508787</v>
      </c>
      <c r="S510">
        <f t="shared" ca="1" si="171"/>
        <v>61.377690414903341</v>
      </c>
      <c r="T510">
        <f>70</f>
        <v>70</v>
      </c>
      <c r="U510">
        <f>30</f>
        <v>30</v>
      </c>
      <c r="V510">
        <f t="shared" ca="1" si="169"/>
        <v>13.745380012951188</v>
      </c>
      <c r="W510">
        <f t="shared" ca="1" si="179"/>
        <v>13.519835232964414</v>
      </c>
      <c r="X510">
        <f t="shared" ca="1" si="178"/>
        <v>0.22755388356999262</v>
      </c>
      <c r="Y510">
        <f t="shared" ca="1" si="182"/>
        <v>0.16605116876860476</v>
      </c>
      <c r="Z510">
        <f t="shared" ca="1" si="183"/>
        <v>6.1502714801387859E-2</v>
      </c>
      <c r="AA510">
        <f t="shared" ca="1" si="184"/>
        <v>12.615499999999995</v>
      </c>
      <c r="AB510" s="18">
        <f t="shared" ca="1" si="180"/>
        <v>-1.1971830985915477E-2</v>
      </c>
      <c r="AC510" s="18">
        <f t="shared" ca="1" si="181"/>
        <v>-1.2044070492845459E-2</v>
      </c>
      <c r="AD510" s="18">
        <f t="shared" ca="1" si="163"/>
        <v>0.17233196296667552</v>
      </c>
    </row>
    <row r="511" spans="1:30" x14ac:dyDescent="0.25">
      <c r="A511" vm="1385">
        <f ca="1"/>
        <v>46035</v>
      </c>
      <c r="B511" vm="1386">
        <f ca="1"/>
        <v>13.98</v>
      </c>
      <c r="C511" vm="1387">
        <f ca="1"/>
        <v>58867535</v>
      </c>
      <c r="D511">
        <f t="shared" ca="1" si="160"/>
        <v>822968139.30000007</v>
      </c>
      <c r="E511">
        <f ca="1">SUM($D$2:D511)/SUM($C$2:C511)</f>
        <v>11.129030669375904</v>
      </c>
      <c r="F511">
        <f ca="1">_xlfn.STDEV.P($B$2:B511)</f>
        <v>1.2352763846698438</v>
      </c>
      <c r="G511">
        <f t="shared" ca="1" si="161"/>
        <v>12.364307054045748</v>
      </c>
      <c r="H511">
        <f t="shared" ca="1" si="162"/>
        <v>9.8937542847060609</v>
      </c>
      <c r="I511">
        <f t="shared" ca="1" si="174"/>
        <v>13.5715</v>
      </c>
      <c r="J511">
        <f t="shared" ca="1" si="175"/>
        <v>0.35325963316101183</v>
      </c>
      <c r="K511">
        <f t="shared" ca="1" si="176"/>
        <v>14.278019266322024</v>
      </c>
      <c r="L511">
        <f t="shared" ca="1" si="177"/>
        <v>12.864980733677976</v>
      </c>
      <c r="M511">
        <f t="shared" ca="1" si="164"/>
        <v>-4.9999999999998934E-2</v>
      </c>
      <c r="N511">
        <f t="shared" ca="1" si="165"/>
        <v>0</v>
      </c>
      <c r="O511">
        <f t="shared" ca="1" si="166"/>
        <v>4.9999999999998934E-2</v>
      </c>
      <c r="P511">
        <f t="shared" ca="1" si="172"/>
        <v>0.10072585370320798</v>
      </c>
      <c r="Q511">
        <f t="shared" ca="1" si="173"/>
        <v>6.6953824986980881E-2</v>
      </c>
      <c r="R511">
        <f t="shared" ca="1" si="170"/>
        <v>1.5044077574775458</v>
      </c>
      <c r="S511">
        <f t="shared" ca="1" si="171"/>
        <v>60.070399997195118</v>
      </c>
      <c r="T511">
        <f>70</f>
        <v>70</v>
      </c>
      <c r="U511">
        <f>30</f>
        <v>30</v>
      </c>
      <c r="V511">
        <f t="shared" ca="1" si="169"/>
        <v>13.781475395574081</v>
      </c>
      <c r="W511">
        <f t="shared" ca="1" si="179"/>
        <v>13.553921512004088</v>
      </c>
      <c r="X511">
        <f t="shared" ca="1" si="178"/>
        <v>0.21536666975547902</v>
      </c>
      <c r="Y511">
        <f t="shared" ca="1" si="182"/>
        <v>0.17591426896597961</v>
      </c>
      <c r="Z511">
        <f t="shared" ca="1" si="183"/>
        <v>3.9452400789499409E-2</v>
      </c>
      <c r="AA511">
        <f t="shared" ca="1" si="184"/>
        <v>12.640399999999998</v>
      </c>
      <c r="AB511" s="18">
        <f t="shared" ca="1" si="180"/>
        <v>-3.5637918745544672E-3</v>
      </c>
      <c r="AC511" s="18">
        <f t="shared" ca="1" si="181"/>
        <v>-3.5701573087053144E-3</v>
      </c>
      <c r="AD511" s="18">
        <f t="shared" ca="1" si="163"/>
        <v>0.16815401584277434</v>
      </c>
    </row>
    <row r="512" spans="1:30" x14ac:dyDescent="0.25">
      <c r="A512" vm="1388">
        <f ca="1"/>
        <v>46036</v>
      </c>
      <c r="B512" vm="1234">
        <f ca="1"/>
        <v>13.84</v>
      </c>
      <c r="C512" vm="1389">
        <f ca="1"/>
        <v>65318552</v>
      </c>
      <c r="D512">
        <f t="shared" ca="1" si="160"/>
        <v>904008759.67999995</v>
      </c>
      <c r="E512">
        <f ca="1">SUM($D$2:D512)/SUM($C$2:C512)</f>
        <v>11.133772026886064</v>
      </c>
      <c r="F512">
        <f ca="1">_xlfn.STDEV.P($B$2:B512)</f>
        <v>1.2390803850362757</v>
      </c>
      <c r="G512">
        <f t="shared" ca="1" si="161"/>
        <v>12.37285241192234</v>
      </c>
      <c r="H512">
        <f t="shared" ca="1" si="162"/>
        <v>9.8946916418497874</v>
      </c>
      <c r="I512">
        <f t="shared" ca="1" si="174"/>
        <v>13.581</v>
      </c>
      <c r="J512">
        <f t="shared" ca="1" si="175"/>
        <v>0.35800470446776622</v>
      </c>
      <c r="K512">
        <f t="shared" ca="1" si="176"/>
        <v>14.297009408935532</v>
      </c>
      <c r="L512">
        <f t="shared" ca="1" si="177"/>
        <v>12.864990591064467</v>
      </c>
      <c r="M512">
        <f t="shared" ca="1" si="164"/>
        <v>-0.14000000000000057</v>
      </c>
      <c r="N512">
        <f t="shared" ca="1" si="165"/>
        <v>0</v>
      </c>
      <c r="O512">
        <f t="shared" ca="1" si="166"/>
        <v>0.14000000000000057</v>
      </c>
      <c r="P512">
        <f t="shared" ca="1" si="172"/>
        <v>9.3531149867264546E-2</v>
      </c>
      <c r="Q512">
        <f t="shared" ca="1" si="173"/>
        <v>7.2171408916482285E-2</v>
      </c>
      <c r="R512">
        <f t="shared" ca="1" si="170"/>
        <v>1.2959584864901286</v>
      </c>
      <c r="S512">
        <f t="shared" ca="1" si="171"/>
        <v>56.4452055259624</v>
      </c>
      <c r="T512">
        <f>70</f>
        <v>70</v>
      </c>
      <c r="U512">
        <f>30</f>
        <v>30</v>
      </c>
      <c r="V512">
        <f t="shared" ca="1" si="169"/>
        <v>13.790479180870376</v>
      </c>
      <c r="W512">
        <f t="shared" ca="1" si="179"/>
        <v>13.575112511114897</v>
      </c>
      <c r="X512">
        <f t="shared" ca="1" si="178"/>
        <v>0.20097079944775054</v>
      </c>
      <c r="Y512">
        <f t="shared" ca="1" si="182"/>
        <v>0.18092557506233381</v>
      </c>
      <c r="Z512">
        <f t="shared" ca="1" si="183"/>
        <v>2.0045224385416727E-2</v>
      </c>
      <c r="AA512">
        <f t="shared" ca="1" si="184"/>
        <v>12.665499999999994</v>
      </c>
      <c r="AB512" s="18">
        <f t="shared" ca="1" si="180"/>
        <v>-1.0014306151645225E-2</v>
      </c>
      <c r="AC512" s="18">
        <f t="shared" ca="1" si="181"/>
        <v>-1.0064786616140709E-2</v>
      </c>
      <c r="AD512" s="18">
        <f t="shared" ca="1" si="163"/>
        <v>0.15645576389585103</v>
      </c>
    </row>
    <row r="513" spans="1:30" x14ac:dyDescent="0.25">
      <c r="A513" vm="1390">
        <f ca="1"/>
        <v>46037</v>
      </c>
      <c r="B513" vm="1391">
        <f ca="1"/>
        <v>13.81</v>
      </c>
      <c r="C513" vm="1392">
        <f ca="1"/>
        <v>44241477</v>
      </c>
      <c r="D513">
        <f t="shared" ca="1" si="160"/>
        <v>610974797.37</v>
      </c>
      <c r="E513">
        <f ca="1">SUM($D$2:D513)/SUM($C$2:C513)</f>
        <v>11.136938531415508</v>
      </c>
      <c r="F513">
        <f ca="1">_xlfn.STDEV.P($B$2:B513)</f>
        <v>1.2427208852932115</v>
      </c>
      <c r="G513">
        <f t="shared" ca="1" si="161"/>
        <v>12.379659416708719</v>
      </c>
      <c r="H513">
        <f t="shared" ca="1" si="162"/>
        <v>9.8942176461222964</v>
      </c>
      <c r="I513">
        <f t="shared" ca="1" si="174"/>
        <v>13.587999999999999</v>
      </c>
      <c r="J513">
        <f t="shared" ca="1" si="175"/>
        <v>0.36119101230293799</v>
      </c>
      <c r="K513">
        <f t="shared" ca="1" si="176"/>
        <v>14.310382024605875</v>
      </c>
      <c r="L513">
        <f t="shared" ca="1" si="177"/>
        <v>12.865617975394123</v>
      </c>
      <c r="M513">
        <f t="shared" ca="1" si="164"/>
        <v>-2.9999999999999361E-2</v>
      </c>
      <c r="N513">
        <f t="shared" ca="1" si="165"/>
        <v>0</v>
      </c>
      <c r="O513">
        <f t="shared" ca="1" si="166"/>
        <v>2.9999999999999361E-2</v>
      </c>
      <c r="P513">
        <f t="shared" ca="1" si="172"/>
        <v>8.6850353448174225E-2</v>
      </c>
      <c r="Q513">
        <f t="shared" ca="1" si="173"/>
        <v>6.9159165422447794E-2</v>
      </c>
      <c r="R513">
        <f t="shared" ca="1" si="170"/>
        <v>1.2558039547999549</v>
      </c>
      <c r="S513">
        <f t="shared" ca="1" si="171"/>
        <v>55.669906603711041</v>
      </c>
      <c r="T513">
        <f>70</f>
        <v>70</v>
      </c>
      <c r="U513">
        <f>30</f>
        <v>30</v>
      </c>
      <c r="V513">
        <f t="shared" ca="1" si="169"/>
        <v>13.793482383813396</v>
      </c>
      <c r="W513">
        <f t="shared" ca="1" si="179"/>
        <v>13.592511584365646</v>
      </c>
      <c r="X513">
        <f t="shared" ca="1" si="178"/>
        <v>0.17064958140667663</v>
      </c>
      <c r="Y513">
        <f t="shared" ca="1" si="182"/>
        <v>0.17887037633120237</v>
      </c>
      <c r="Z513">
        <f t="shared" ca="1" si="183"/>
        <v>-8.2207949245257372E-3</v>
      </c>
      <c r="AA513">
        <f t="shared" ca="1" si="184"/>
        <v>12.686199999999994</v>
      </c>
      <c r="AB513" s="18">
        <f t="shared" ca="1" si="180"/>
        <v>-2.1676300578034047E-3</v>
      </c>
      <c r="AC513" s="18">
        <f t="shared" ca="1" si="181"/>
        <v>-2.1699827683226932E-3</v>
      </c>
      <c r="AD513" s="18">
        <f t="shared" ca="1" si="163"/>
        <v>0.15394899562151032</v>
      </c>
    </row>
    <row r="514" spans="1:30" x14ac:dyDescent="0.25">
      <c r="A514" vm="1393">
        <f ca="1"/>
        <v>46038</v>
      </c>
      <c r="B514" vm="1394">
        <f ca="1"/>
        <v>13.6</v>
      </c>
      <c r="C514" vm="1395">
        <f ca="1"/>
        <v>60750836</v>
      </c>
      <c r="D514">
        <f t="shared" ca="1" si="160"/>
        <v>826211369.60000002</v>
      </c>
      <c r="E514">
        <f ca="1">SUM($D$2:D514)/SUM($C$2:C514)</f>
        <v>11.14093383571972</v>
      </c>
      <c r="F514">
        <f ca="1">_xlfn.STDEV.P($B$2:B514)</f>
        <v>1.2455391169985486</v>
      </c>
      <c r="G514">
        <f t="shared" ca="1" si="161"/>
        <v>12.386472952718268</v>
      </c>
      <c r="H514">
        <f t="shared" ca="1" si="162"/>
        <v>9.895394718721171</v>
      </c>
      <c r="I514">
        <f t="shared" ca="1" si="174"/>
        <v>13.602500000000001</v>
      </c>
      <c r="J514">
        <f t="shared" ca="1" si="175"/>
        <v>0.35521490900432007</v>
      </c>
      <c r="K514">
        <f t="shared" ca="1" si="176"/>
        <v>14.312929818008641</v>
      </c>
      <c r="L514">
        <f t="shared" ca="1" si="177"/>
        <v>12.892070181991361</v>
      </c>
      <c r="M514">
        <f t="shared" ca="1" si="164"/>
        <v>-0.21000000000000085</v>
      </c>
      <c r="N514">
        <f t="shared" ca="1" si="165"/>
        <v>0</v>
      </c>
      <c r="O514">
        <f t="shared" ca="1" si="166"/>
        <v>0.21000000000000085</v>
      </c>
      <c r="P514">
        <f t="shared" ca="1" si="172"/>
        <v>8.0646756773304643E-2</v>
      </c>
      <c r="Q514">
        <f t="shared" ca="1" si="173"/>
        <v>7.9219225035130153E-2</v>
      </c>
      <c r="R514">
        <f t="shared" ca="1" si="170"/>
        <v>1.0180200164485507</v>
      </c>
      <c r="S514">
        <f t="shared" ca="1" si="171"/>
        <v>50.446477643969651</v>
      </c>
      <c r="T514">
        <f>70</f>
        <v>70</v>
      </c>
      <c r="U514">
        <f>30</f>
        <v>30</v>
      </c>
      <c r="V514">
        <f t="shared" ca="1" si="169"/>
        <v>13.76371586322672</v>
      </c>
      <c r="W514">
        <f t="shared" ca="1" si="179"/>
        <v>13.593066281820043</v>
      </c>
      <c r="X514">
        <f t="shared" si="178"/>
        <v>0</v>
      </c>
      <c r="Y514">
        <f t="shared" ca="1" si="182"/>
        <v>0.14309630106496191</v>
      </c>
      <c r="Z514">
        <f t="shared" ca="1" si="183"/>
        <v>-0.14309630106496191</v>
      </c>
      <c r="AA514">
        <f t="shared" ca="1" si="184"/>
        <v>12.703999999999994</v>
      </c>
      <c r="AB514" s="18">
        <f t="shared" ca="1" si="180"/>
        <v>-1.520637219406229E-2</v>
      </c>
      <c r="AC514" s="18">
        <f t="shared" ca="1" si="181"/>
        <v>-1.5323174679194442E-2</v>
      </c>
      <c r="AD514" s="18">
        <f t="shared" ca="1" si="163"/>
        <v>0.13640161770112535</v>
      </c>
    </row>
    <row r="515" spans="1:30" x14ac:dyDescent="0.25">
      <c r="A515" vm="1396">
        <f ca="1"/>
        <v>46042</v>
      </c>
      <c r="B515" vm="1275">
        <f ca="1"/>
        <v>13.28</v>
      </c>
      <c r="C515" vm="1397">
        <f ca="1"/>
        <v>67018098</v>
      </c>
    </row>
    <row r="516" spans="1:30" x14ac:dyDescent="0.25">
      <c r="A516" vm="1398">
        <f ca="1"/>
        <v>46043</v>
      </c>
      <c r="B516" vm="1399">
        <f ca="1"/>
        <v>13.77</v>
      </c>
      <c r="C516" vm="1400">
        <f ca="1"/>
        <v>58160147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7BA4-4ED0-4935-A0DF-8835E8008D9D}">
  <dimension ref="A1:F120"/>
  <sheetViews>
    <sheetView topLeftCell="A104" workbookViewId="0">
      <selection activeCell="C109" sqref="C109:F109"/>
    </sheetView>
  </sheetViews>
  <sheetFormatPr defaultRowHeight="15" x14ac:dyDescent="0.25"/>
  <cols>
    <col min="1" max="1" width="10.42578125" bestFit="1" customWidth="1"/>
    <col min="2" max="2" width="16.28515625" bestFit="1" customWidth="1"/>
  </cols>
  <sheetData>
    <row r="1" spans="1:6" x14ac:dyDescent="0.25">
      <c r="A1" t="s">
        <v>24</v>
      </c>
      <c r="B1" t="s">
        <v>39</v>
      </c>
      <c r="C1" t="s">
        <v>37</v>
      </c>
      <c r="D1" t="s">
        <v>40</v>
      </c>
      <c r="E1" t="s">
        <v>6</v>
      </c>
      <c r="F1" t="s">
        <v>5</v>
      </c>
    </row>
    <row r="2" spans="1:6" x14ac:dyDescent="0.25">
      <c r="A2" s="12">
        <v>45291</v>
      </c>
      <c r="B2">
        <v>160.67500000000001</v>
      </c>
    </row>
    <row r="3" spans="1:6" x14ac:dyDescent="0.25">
      <c r="A3" s="12">
        <v>45298</v>
      </c>
      <c r="B3">
        <v>161.714</v>
      </c>
    </row>
    <row r="4" spans="1:6" x14ac:dyDescent="0.25">
      <c r="A4" s="12">
        <v>45305</v>
      </c>
      <c r="B4">
        <v>160.96</v>
      </c>
    </row>
    <row r="5" spans="1:6" x14ac:dyDescent="0.25">
      <c r="A5" s="12">
        <v>45312</v>
      </c>
      <c r="B5">
        <v>160.06</v>
      </c>
    </row>
    <row r="6" spans="1:6" x14ac:dyDescent="0.25">
      <c r="A6" s="12">
        <v>45319</v>
      </c>
      <c r="B6">
        <v>158.4</v>
      </c>
    </row>
    <row r="7" spans="1:6" x14ac:dyDescent="0.25">
      <c r="A7" s="12">
        <v>45326</v>
      </c>
      <c r="B7">
        <v>157</v>
      </c>
    </row>
    <row r="8" spans="1:6" x14ac:dyDescent="0.25">
      <c r="A8" s="12">
        <v>45333</v>
      </c>
      <c r="B8">
        <v>156.90600000000001</v>
      </c>
    </row>
    <row r="9" spans="1:6" x14ac:dyDescent="0.25">
      <c r="A9" s="12">
        <v>45340</v>
      </c>
      <c r="B9">
        <v>159.70750000000001</v>
      </c>
    </row>
    <row r="10" spans="1:6" x14ac:dyDescent="0.25">
      <c r="A10" s="12">
        <v>45347</v>
      </c>
      <c r="B10">
        <v>161.364</v>
      </c>
    </row>
    <row r="11" spans="1:6" x14ac:dyDescent="0.25">
      <c r="A11" s="12">
        <v>45354</v>
      </c>
      <c r="B11">
        <v>159.50800000000001</v>
      </c>
    </row>
    <row r="12" spans="1:6" x14ac:dyDescent="0.25">
      <c r="A12" s="12">
        <v>45361</v>
      </c>
      <c r="B12">
        <v>160.49199999999999</v>
      </c>
    </row>
    <row r="13" spans="1:6" x14ac:dyDescent="0.25">
      <c r="A13" s="12">
        <v>45368</v>
      </c>
      <c r="B13">
        <v>155.94200000000001</v>
      </c>
    </row>
    <row r="14" spans="1:6" x14ac:dyDescent="0.25">
      <c r="A14" s="12">
        <v>45375</v>
      </c>
      <c r="B14">
        <v>156.785</v>
      </c>
    </row>
    <row r="15" spans="1:6" x14ac:dyDescent="0.25">
      <c r="A15" s="12">
        <v>45382</v>
      </c>
      <c r="B15">
        <v>154.93199999999999</v>
      </c>
    </row>
    <row r="16" spans="1:6" x14ac:dyDescent="0.25">
      <c r="A16" s="12">
        <v>45389</v>
      </c>
      <c r="B16">
        <v>150.078</v>
      </c>
    </row>
    <row r="17" spans="1:2" x14ac:dyDescent="0.25">
      <c r="A17" s="12">
        <v>45396</v>
      </c>
      <c r="B17">
        <v>146.09200000000001</v>
      </c>
    </row>
    <row r="18" spans="1:2" x14ac:dyDescent="0.25">
      <c r="A18" s="12">
        <v>45403</v>
      </c>
      <c r="B18">
        <v>148.03399999999999</v>
      </c>
    </row>
    <row r="19" spans="1:2" x14ac:dyDescent="0.25">
      <c r="A19" s="12">
        <v>45410</v>
      </c>
      <c r="B19">
        <v>148.35599999999999</v>
      </c>
    </row>
    <row r="20" spans="1:2" x14ac:dyDescent="0.25">
      <c r="A20" s="12">
        <v>45417</v>
      </c>
      <c r="B20">
        <v>149.202</v>
      </c>
    </row>
    <row r="21" spans="1:2" x14ac:dyDescent="0.25">
      <c r="A21" s="12">
        <v>45424</v>
      </c>
      <c r="B21">
        <v>152.83799999999999</v>
      </c>
    </row>
    <row r="22" spans="1:2" x14ac:dyDescent="0.25">
      <c r="A22" s="12">
        <v>45431</v>
      </c>
      <c r="B22">
        <v>150.536</v>
      </c>
    </row>
    <row r="23" spans="1:2" x14ac:dyDescent="0.25">
      <c r="A23" s="12">
        <v>45438</v>
      </c>
      <c r="B23">
        <v>145.1925</v>
      </c>
    </row>
    <row r="24" spans="1:2" x14ac:dyDescent="0.25">
      <c r="A24" s="12">
        <v>45445</v>
      </c>
      <c r="B24">
        <v>147.00200000000001</v>
      </c>
    </row>
    <row r="25" spans="1:2" x14ac:dyDescent="0.25">
      <c r="A25" s="12">
        <v>45452</v>
      </c>
      <c r="B25">
        <v>146.05799999999999</v>
      </c>
    </row>
    <row r="26" spans="1:2" x14ac:dyDescent="0.25">
      <c r="A26" s="12">
        <v>45459</v>
      </c>
      <c r="B26">
        <v>147.0325</v>
      </c>
    </row>
    <row r="27" spans="1:2" x14ac:dyDescent="0.25">
      <c r="A27" s="12">
        <v>45466</v>
      </c>
      <c r="B27">
        <v>147.018</v>
      </c>
    </row>
    <row r="28" spans="1:2" x14ac:dyDescent="0.25">
      <c r="A28" s="12">
        <v>45473</v>
      </c>
      <c r="B28">
        <v>146.16</v>
      </c>
    </row>
    <row r="29" spans="1:2" x14ac:dyDescent="0.25">
      <c r="A29" s="12">
        <v>45480</v>
      </c>
      <c r="B29">
        <v>148.30799999999999</v>
      </c>
    </row>
    <row r="30" spans="1:2" x14ac:dyDescent="0.25">
      <c r="A30" s="12">
        <v>45487</v>
      </c>
      <c r="B30">
        <v>153.38800000000001</v>
      </c>
    </row>
    <row r="31" spans="1:2" x14ac:dyDescent="0.25">
      <c r="A31" s="12">
        <v>45494</v>
      </c>
      <c r="B31">
        <v>156.63</v>
      </c>
    </row>
    <row r="32" spans="1:2" x14ac:dyDescent="0.25">
      <c r="A32" s="12">
        <v>45501</v>
      </c>
      <c r="B32">
        <v>160.52799999999999</v>
      </c>
    </row>
    <row r="33" spans="1:2" x14ac:dyDescent="0.25">
      <c r="A33" s="12">
        <v>45508</v>
      </c>
      <c r="B33">
        <v>159.99199999999999</v>
      </c>
    </row>
    <row r="34" spans="1:2" x14ac:dyDescent="0.25">
      <c r="A34" s="12">
        <v>45515</v>
      </c>
      <c r="B34">
        <v>159.04599999999999</v>
      </c>
    </row>
    <row r="35" spans="1:2" x14ac:dyDescent="0.25">
      <c r="A35" s="12">
        <v>45522</v>
      </c>
      <c r="B35">
        <v>161.54</v>
      </c>
    </row>
    <row r="36" spans="1:2" x14ac:dyDescent="0.25">
      <c r="A36" s="12">
        <v>45529</v>
      </c>
      <c r="B36">
        <v>164.31399999999999</v>
      </c>
    </row>
    <row r="37" spans="1:2" x14ac:dyDescent="0.25">
      <c r="A37" s="12">
        <v>45536</v>
      </c>
      <c r="B37">
        <v>165.9725</v>
      </c>
    </row>
    <row r="38" spans="1:2" x14ac:dyDescent="0.25">
      <c r="A38" s="12">
        <v>45543</v>
      </c>
      <c r="B38">
        <v>165.79400000000001</v>
      </c>
    </row>
    <row r="39" spans="1:2" x14ac:dyDescent="0.25">
      <c r="A39" s="12">
        <v>45550</v>
      </c>
      <c r="B39">
        <v>165.83799999999999</v>
      </c>
    </row>
    <row r="40" spans="1:2" x14ac:dyDescent="0.25">
      <c r="A40" s="12">
        <v>45557</v>
      </c>
      <c r="B40">
        <v>161.87799999999999</v>
      </c>
    </row>
    <row r="41" spans="1:2" x14ac:dyDescent="0.25">
      <c r="A41" s="12">
        <v>45564</v>
      </c>
      <c r="B41">
        <v>161.202</v>
      </c>
    </row>
    <row r="42" spans="1:2" x14ac:dyDescent="0.25">
      <c r="A42" s="12">
        <v>45571</v>
      </c>
      <c r="B42">
        <v>160.36799999999999</v>
      </c>
    </row>
    <row r="43" spans="1:2" x14ac:dyDescent="0.25">
      <c r="A43" s="12">
        <v>45578</v>
      </c>
      <c r="B43">
        <v>163.91399999999999</v>
      </c>
    </row>
    <row r="44" spans="1:2" x14ac:dyDescent="0.25">
      <c r="A44" s="12">
        <v>45585</v>
      </c>
      <c r="B44">
        <v>163.33799999999999</v>
      </c>
    </row>
    <row r="45" spans="1:2" x14ac:dyDescent="0.25">
      <c r="A45" s="12">
        <v>45592</v>
      </c>
      <c r="B45">
        <v>160.458</v>
      </c>
    </row>
    <row r="46" spans="1:2" x14ac:dyDescent="0.25">
      <c r="A46" s="12">
        <v>45599</v>
      </c>
      <c r="B46">
        <v>157.334</v>
      </c>
    </row>
    <row r="47" spans="1:2" x14ac:dyDescent="0.25">
      <c r="A47" s="12">
        <v>45606</v>
      </c>
      <c r="B47">
        <v>153.358</v>
      </c>
    </row>
    <row r="48" spans="1:2" x14ac:dyDescent="0.25">
      <c r="A48" s="12">
        <v>45613</v>
      </c>
      <c r="B48">
        <v>154.31</v>
      </c>
    </row>
    <row r="49" spans="1:2" x14ac:dyDescent="0.25">
      <c r="A49" s="12">
        <v>45620</v>
      </c>
      <c r="B49">
        <v>155.17750000000001</v>
      </c>
    </row>
    <row r="50" spans="1:2" x14ac:dyDescent="0.25">
      <c r="A50" s="12">
        <v>45627</v>
      </c>
      <c r="B50">
        <v>151.292</v>
      </c>
    </row>
    <row r="51" spans="1:2" x14ac:dyDescent="0.25">
      <c r="A51" s="12">
        <v>45634</v>
      </c>
      <c r="B51">
        <v>147.666</v>
      </c>
    </row>
    <row r="52" spans="1:2" x14ac:dyDescent="0.25">
      <c r="A52" s="12">
        <v>45641</v>
      </c>
      <c r="B52">
        <v>144.61199999999999</v>
      </c>
    </row>
    <row r="53" spans="1:2" x14ac:dyDescent="0.25">
      <c r="A53" s="12">
        <v>45648</v>
      </c>
      <c r="B53">
        <v>145.4375</v>
      </c>
    </row>
    <row r="54" spans="1:2" x14ac:dyDescent="0.25">
      <c r="A54" s="12">
        <v>45655</v>
      </c>
      <c r="B54">
        <v>144.04250000000002</v>
      </c>
    </row>
    <row r="55" spans="1:2" x14ac:dyDescent="0.25">
      <c r="A55" s="12">
        <v>45662</v>
      </c>
      <c r="B55">
        <v>143.55500000000001</v>
      </c>
    </row>
    <row r="56" spans="1:2" x14ac:dyDescent="0.25">
      <c r="A56" s="12">
        <v>45669</v>
      </c>
      <c r="B56">
        <v>145.798</v>
      </c>
    </row>
    <row r="57" spans="1:2" x14ac:dyDescent="0.25">
      <c r="A57" s="12">
        <v>45676</v>
      </c>
      <c r="B57">
        <v>146.72</v>
      </c>
    </row>
    <row r="58" spans="1:2" x14ac:dyDescent="0.25">
      <c r="A58" s="12">
        <v>45683</v>
      </c>
      <c r="B58">
        <v>151.88800000000001</v>
      </c>
    </row>
    <row r="59" spans="1:2" x14ac:dyDescent="0.25">
      <c r="A59" s="12">
        <v>45690</v>
      </c>
      <c r="B59">
        <v>153.33600000000001</v>
      </c>
    </row>
    <row r="60" spans="1:2" x14ac:dyDescent="0.25">
      <c r="A60" s="12">
        <v>45697</v>
      </c>
      <c r="B60">
        <v>155.80600000000001</v>
      </c>
    </row>
    <row r="61" spans="1:2" x14ac:dyDescent="0.25">
      <c r="A61" s="12">
        <v>45704</v>
      </c>
      <c r="B61">
        <v>158.715</v>
      </c>
    </row>
    <row r="62" spans="1:2" x14ac:dyDescent="0.25">
      <c r="A62" s="12">
        <v>45711</v>
      </c>
      <c r="B62">
        <v>164.33199999999999</v>
      </c>
    </row>
    <row r="63" spans="1:2" x14ac:dyDescent="0.25">
      <c r="A63" s="12">
        <v>45718</v>
      </c>
      <c r="B63">
        <v>166.06800000000001</v>
      </c>
    </row>
    <row r="64" spans="1:2" x14ac:dyDescent="0.25">
      <c r="A64" s="12">
        <v>45725</v>
      </c>
      <c r="B64">
        <v>164.44200000000001</v>
      </c>
    </row>
    <row r="65" spans="1:2" x14ac:dyDescent="0.25">
      <c r="A65" s="12">
        <v>45732</v>
      </c>
      <c r="B65">
        <v>163.346</v>
      </c>
    </row>
    <row r="66" spans="1:2" x14ac:dyDescent="0.25">
      <c r="A66" s="12">
        <v>45739</v>
      </c>
      <c r="B66">
        <v>162.57400000000001</v>
      </c>
    </row>
    <row r="67" spans="1:2" x14ac:dyDescent="0.25">
      <c r="A67" s="12">
        <v>45746</v>
      </c>
      <c r="B67">
        <v>157.50200000000001</v>
      </c>
    </row>
    <row r="68" spans="1:2" x14ac:dyDescent="0.25">
      <c r="A68" s="12">
        <v>45753</v>
      </c>
      <c r="B68">
        <v>150.40199999999999</v>
      </c>
    </row>
    <row r="69" spans="1:2" x14ac:dyDescent="0.25">
      <c r="A69" s="12">
        <v>45760</v>
      </c>
      <c r="B69">
        <v>154.84</v>
      </c>
    </row>
    <row r="70" spans="1:2" x14ac:dyDescent="0.25">
      <c r="A70" s="12">
        <v>45767</v>
      </c>
      <c r="B70">
        <v>155.91200000000001</v>
      </c>
    </row>
    <row r="71" spans="1:2" x14ac:dyDescent="0.25">
      <c r="A71" s="12">
        <v>45774</v>
      </c>
      <c r="B71">
        <v>155.63</v>
      </c>
    </row>
    <row r="72" spans="1:2" x14ac:dyDescent="0.25">
      <c r="A72" s="12">
        <v>45781</v>
      </c>
      <c r="B72">
        <v>155.33000000000001</v>
      </c>
    </row>
    <row r="73" spans="1:2" x14ac:dyDescent="0.25">
      <c r="A73" s="12">
        <v>45788</v>
      </c>
      <c r="B73">
        <v>149.976</v>
      </c>
    </row>
    <row r="74" spans="1:2" x14ac:dyDescent="0.25">
      <c r="A74" s="12">
        <v>45795</v>
      </c>
      <c r="B74">
        <v>152.976</v>
      </c>
    </row>
    <row r="75" spans="1:2" x14ac:dyDescent="0.25">
      <c r="A75" s="12">
        <v>45802</v>
      </c>
      <c r="B75">
        <v>153.61750000000001</v>
      </c>
    </row>
    <row r="76" spans="1:2" x14ac:dyDescent="0.25">
      <c r="A76" s="12">
        <v>45809</v>
      </c>
      <c r="B76">
        <v>154.346</v>
      </c>
    </row>
    <row r="77" spans="1:2" x14ac:dyDescent="0.25">
      <c r="A77" s="12">
        <v>45816</v>
      </c>
      <c r="B77">
        <v>156.13999999999999</v>
      </c>
    </row>
    <row r="78" spans="1:2" x14ac:dyDescent="0.25">
      <c r="A78" s="12">
        <v>45823</v>
      </c>
      <c r="B78">
        <v>152.03</v>
      </c>
    </row>
    <row r="79" spans="1:2" x14ac:dyDescent="0.25">
      <c r="A79" s="12">
        <v>45830</v>
      </c>
      <c r="B79">
        <v>152.042</v>
      </c>
    </row>
    <row r="80" spans="1:2" x14ac:dyDescent="0.25">
      <c r="A80" s="12">
        <v>45837</v>
      </c>
      <c r="B80">
        <v>155.06</v>
      </c>
    </row>
    <row r="81" spans="1:2" x14ac:dyDescent="0.25">
      <c r="A81" s="12">
        <v>45844</v>
      </c>
      <c r="B81">
        <v>156.386</v>
      </c>
    </row>
    <row r="82" spans="1:2" x14ac:dyDescent="0.25">
      <c r="A82" s="12">
        <v>45851</v>
      </c>
      <c r="B82">
        <v>160.69</v>
      </c>
    </row>
    <row r="83" spans="1:2" x14ac:dyDescent="0.25">
      <c r="A83" s="12">
        <v>45858</v>
      </c>
      <c r="B83">
        <v>167.85</v>
      </c>
    </row>
    <row r="84" spans="1:2" x14ac:dyDescent="0.25">
      <c r="A84" s="12">
        <v>45865</v>
      </c>
      <c r="B84">
        <v>166.732</v>
      </c>
    </row>
    <row r="85" spans="1:2" x14ac:dyDescent="0.25">
      <c r="A85" s="12">
        <v>45872</v>
      </c>
      <c r="B85">
        <v>171.446</v>
      </c>
    </row>
    <row r="86" spans="1:2" x14ac:dyDescent="0.25">
      <c r="A86" s="12">
        <v>45879</v>
      </c>
      <c r="B86">
        <v>174.476</v>
      </c>
    </row>
    <row r="87" spans="1:2" x14ac:dyDescent="0.25">
      <c r="A87" s="12">
        <v>45886</v>
      </c>
      <c r="B87">
        <v>178.22200000000001</v>
      </c>
    </row>
    <row r="88" spans="1:2" x14ac:dyDescent="0.25">
      <c r="A88" s="12">
        <v>45893</v>
      </c>
      <c r="B88">
        <v>176.86199999999999</v>
      </c>
    </row>
    <row r="89" spans="1:2" x14ac:dyDescent="0.25">
      <c r="A89" s="12">
        <v>45900</v>
      </c>
      <c r="B89">
        <v>178.3125</v>
      </c>
    </row>
    <row r="90" spans="1:2" x14ac:dyDescent="0.25">
      <c r="A90" s="12">
        <v>45907</v>
      </c>
      <c r="B90">
        <v>177.488</v>
      </c>
    </row>
    <row r="91" spans="1:2" x14ac:dyDescent="0.25">
      <c r="A91" s="12">
        <v>45914</v>
      </c>
      <c r="B91">
        <v>176.28200000000001</v>
      </c>
    </row>
    <row r="92" spans="1:2" x14ac:dyDescent="0.25">
      <c r="A92" s="12">
        <v>45921</v>
      </c>
      <c r="B92">
        <v>176.98400000000001</v>
      </c>
    </row>
    <row r="93" spans="1:2" x14ac:dyDescent="0.25">
      <c r="A93" s="12">
        <v>45928</v>
      </c>
      <c r="B93">
        <v>185.542</v>
      </c>
    </row>
    <row r="94" spans="1:2" x14ac:dyDescent="0.25">
      <c r="A94" s="12">
        <v>45935</v>
      </c>
      <c r="B94">
        <v>189.708</v>
      </c>
    </row>
    <row r="95" spans="1:2" x14ac:dyDescent="0.25">
      <c r="A95" s="12">
        <v>45942</v>
      </c>
      <c r="B95">
        <v>191.65199999999999</v>
      </c>
    </row>
    <row r="96" spans="1:2" x14ac:dyDescent="0.25">
      <c r="A96" s="12">
        <v>45949</v>
      </c>
      <c r="B96">
        <v>192.28200000000001</v>
      </c>
    </row>
    <row r="97" spans="1:6" x14ac:dyDescent="0.25">
      <c r="A97" s="12">
        <v>45956</v>
      </c>
      <c r="B97">
        <v>188.35</v>
      </c>
    </row>
    <row r="98" spans="1:6" x14ac:dyDescent="0.25">
      <c r="A98" s="12">
        <v>45963</v>
      </c>
      <c r="B98">
        <v>186.53200000000001</v>
      </c>
    </row>
    <row r="99" spans="1:6" x14ac:dyDescent="0.25">
      <c r="A99" s="12">
        <v>45970</v>
      </c>
      <c r="B99">
        <v>193.56200000000001</v>
      </c>
    </row>
    <row r="100" spans="1:6" x14ac:dyDescent="0.25">
      <c r="A100" s="12">
        <v>45977</v>
      </c>
      <c r="B100">
        <v>201.81200000000001</v>
      </c>
    </row>
    <row r="101" spans="1:6" x14ac:dyDescent="0.25">
      <c r="A101" s="12">
        <v>45984</v>
      </c>
      <c r="B101">
        <v>206.8</v>
      </c>
    </row>
    <row r="102" spans="1:6" x14ac:dyDescent="0.25">
      <c r="A102" s="12">
        <v>45991</v>
      </c>
      <c r="B102">
        <v>204.1</v>
      </c>
    </row>
    <row r="103" spans="1:6" x14ac:dyDescent="0.25">
      <c r="A103" s="12">
        <v>45998</v>
      </c>
      <c r="B103">
        <v>205.94200000000001</v>
      </c>
    </row>
    <row r="104" spans="1:6" x14ac:dyDescent="0.25">
      <c r="A104" s="12">
        <v>46005</v>
      </c>
      <c r="B104">
        <v>209.696</v>
      </c>
    </row>
    <row r="105" spans="1:6" x14ac:dyDescent="0.25">
      <c r="A105" s="12">
        <v>46012</v>
      </c>
      <c r="B105">
        <v>207.1275</v>
      </c>
    </row>
    <row r="106" spans="1:6" x14ac:dyDescent="0.25">
      <c r="A106" s="12">
        <v>46019</v>
      </c>
      <c r="B106">
        <v>207.1925</v>
      </c>
    </row>
    <row r="107" spans="1:6" x14ac:dyDescent="0.25">
      <c r="A107" s="12">
        <v>46026</v>
      </c>
      <c r="B107">
        <v>205.346</v>
      </c>
    </row>
    <row r="108" spans="1:6" x14ac:dyDescent="0.25">
      <c r="A108" s="12">
        <v>46033</v>
      </c>
      <c r="B108">
        <v>216.03</v>
      </c>
    </row>
    <row r="109" spans="1:6" x14ac:dyDescent="0.25">
      <c r="A109" s="12">
        <v>46040</v>
      </c>
      <c r="C109">
        <f>_xlfn.FORECAST.ETS(A108,B2:B108,A2:A108,1,1,1)</f>
        <v>216.03</v>
      </c>
      <c r="D109">
        <f>_xlfn.FORECAST.ETS.CONFINT(A109,B2:B108,A2:A108,0.95,1,1,1)</f>
        <v>6.216527628055676</v>
      </c>
      <c r="E109">
        <f>Weekly[[#This Row],[Forecast]]+Weekly[[#This Row],[PI]]</f>
        <v>222.24652762805567</v>
      </c>
      <c r="F109">
        <f>Weekly[[#This Row],[Forecast]]-Weekly[[#This Row],[PI]]</f>
        <v>209.81347237194433</v>
      </c>
    </row>
    <row r="110" spans="1:6" x14ac:dyDescent="0.25">
      <c r="A110" s="12">
        <v>46047</v>
      </c>
      <c r="C110">
        <f t="shared" ref="C110:C120" si="0">_xlfn.FORECAST.ETS(A109,B3:B109,A3:A109,1,1,1)</f>
        <v>216.41801688540696</v>
      </c>
      <c r="D110">
        <f t="shared" ref="D110:D120" si="1">_xlfn.FORECAST.ETS.CONFINT(A110,B3:B109,A3:A109,0.95,1,1,1)</f>
        <v>8.8243955147979865</v>
      </c>
      <c r="E110">
        <f>Weekly[[#This Row],[Forecast]]+Weekly[[#This Row],[PI]]</f>
        <v>225.24241240020496</v>
      </c>
      <c r="F110">
        <f>Weekly[[#This Row],[Forecast]]-Weekly[[#This Row],[PI]]</f>
        <v>207.59362137060896</v>
      </c>
    </row>
    <row r="111" spans="1:6" x14ac:dyDescent="0.25">
      <c r="A111" s="12">
        <v>46054</v>
      </c>
      <c r="C111">
        <f t="shared" si="0"/>
        <v>220.25084150470832</v>
      </c>
      <c r="D111">
        <f t="shared" si="1"/>
        <v>11.955867226599016</v>
      </c>
      <c r="E111">
        <f>Weekly[[#This Row],[Forecast]]+Weekly[[#This Row],[PI]]</f>
        <v>232.20670873130734</v>
      </c>
      <c r="F111">
        <f>Weekly[[#This Row],[Forecast]]-Weekly[[#This Row],[PI]]</f>
        <v>208.29497427810929</v>
      </c>
    </row>
    <row r="112" spans="1:6" x14ac:dyDescent="0.25">
      <c r="A112" s="12">
        <v>46061</v>
      </c>
      <c r="C112">
        <f t="shared" si="0"/>
        <v>222.3707687031291</v>
      </c>
      <c r="D112">
        <f t="shared" si="1"/>
        <v>14.519412911344887</v>
      </c>
      <c r="E112">
        <f>Weekly[[#This Row],[Forecast]]+Weekly[[#This Row],[PI]]</f>
        <v>236.89018161447399</v>
      </c>
      <c r="F112">
        <f>Weekly[[#This Row],[Forecast]]-Weekly[[#This Row],[PI]]</f>
        <v>207.85135579178421</v>
      </c>
    </row>
    <row r="113" spans="1:6" x14ac:dyDescent="0.25">
      <c r="A113" s="12">
        <v>46068</v>
      </c>
      <c r="C113">
        <f t="shared" si="0"/>
        <v>224.49071024947349</v>
      </c>
      <c r="D113">
        <f t="shared" si="1"/>
        <v>17.02839776453628</v>
      </c>
      <c r="E113">
        <f>Weekly[[#This Row],[Forecast]]+Weekly[[#This Row],[PI]]</f>
        <v>241.51910801400976</v>
      </c>
      <c r="F113">
        <f>Weekly[[#This Row],[Forecast]]-Weekly[[#This Row],[PI]]</f>
        <v>207.46231248493723</v>
      </c>
    </row>
    <row r="114" spans="1:6" x14ac:dyDescent="0.25">
      <c r="A114" s="12">
        <v>46075</v>
      </c>
      <c r="C114">
        <f t="shared" si="0"/>
        <v>226.61066137158087</v>
      </c>
      <c r="D114">
        <f t="shared" si="1"/>
        <v>19.544227526698752</v>
      </c>
      <c r="E114">
        <f>Weekly[[#This Row],[Forecast]]+Weekly[[#This Row],[PI]]</f>
        <v>246.15488889827964</v>
      </c>
      <c r="F114">
        <f>Weekly[[#This Row],[Forecast]]-Weekly[[#This Row],[PI]]</f>
        <v>207.06643384488211</v>
      </c>
    </row>
    <row r="115" spans="1:6" x14ac:dyDescent="0.25">
      <c r="A115" s="12">
        <v>46082</v>
      </c>
      <c r="C115">
        <f t="shared" si="0"/>
        <v>228.7306031972324</v>
      </c>
      <c r="D115">
        <f t="shared" si="1"/>
        <v>22.111369098277486</v>
      </c>
      <c r="E115">
        <f>Weekly[[#This Row],[Forecast]]+Weekly[[#This Row],[PI]]</f>
        <v>250.84197229550989</v>
      </c>
      <c r="F115">
        <f>Weekly[[#This Row],[Forecast]]-Weekly[[#This Row],[PI]]</f>
        <v>206.61923409895491</v>
      </c>
    </row>
    <row r="116" spans="1:6" x14ac:dyDescent="0.25">
      <c r="A116" s="12">
        <v>46089</v>
      </c>
      <c r="C116">
        <f t="shared" si="0"/>
        <v>219.14393849084911</v>
      </c>
      <c r="D116">
        <f t="shared" si="1"/>
        <v>18.473280873559958</v>
      </c>
      <c r="E116">
        <f>Weekly[[#This Row],[Forecast]]+Weekly[[#This Row],[PI]]</f>
        <v>237.61721936440907</v>
      </c>
      <c r="F116">
        <f>Weekly[[#This Row],[Forecast]]-Weekly[[#This Row],[PI]]</f>
        <v>200.67065761728915</v>
      </c>
    </row>
    <row r="117" spans="1:6" x14ac:dyDescent="0.25">
      <c r="A117" s="12">
        <v>46096</v>
      </c>
      <c r="C117">
        <f t="shared" si="0"/>
        <v>219.67630169449598</v>
      </c>
      <c r="D117">
        <f t="shared" si="1"/>
        <v>19.665699083821874</v>
      </c>
      <c r="E117">
        <f>Weekly[[#This Row],[Forecast]]+Weekly[[#This Row],[PI]]</f>
        <v>239.34200077831784</v>
      </c>
      <c r="F117">
        <f>Weekly[[#This Row],[Forecast]]-Weekly[[#This Row],[PI]]</f>
        <v>200.01060261067411</v>
      </c>
    </row>
    <row r="118" spans="1:6" x14ac:dyDescent="0.25">
      <c r="A118" s="12">
        <v>46103</v>
      </c>
      <c r="C118">
        <f t="shared" si="0"/>
        <v>220.24351649675805</v>
      </c>
      <c r="D118">
        <f t="shared" si="1"/>
        <v>20.829182943124561</v>
      </c>
      <c r="E118">
        <f>Weekly[[#This Row],[Forecast]]+Weekly[[#This Row],[PI]]</f>
        <v>241.0726994398826</v>
      </c>
      <c r="F118">
        <f>Weekly[[#This Row],[Forecast]]-Weekly[[#This Row],[PI]]</f>
        <v>199.4143335536335</v>
      </c>
    </row>
    <row r="119" spans="1:6" x14ac:dyDescent="0.25">
      <c r="A119" s="12">
        <v>46110</v>
      </c>
      <c r="C119">
        <f t="shared" si="0"/>
        <v>220.8283353276878</v>
      </c>
      <c r="D119">
        <f t="shared" si="1"/>
        <v>21.953147918662239</v>
      </c>
      <c r="E119">
        <f>Weekly[[#This Row],[Forecast]]+Weekly[[#This Row],[PI]]</f>
        <v>242.78148324635004</v>
      </c>
      <c r="F119">
        <f>Weekly[[#This Row],[Forecast]]-Weekly[[#This Row],[PI]]</f>
        <v>198.87518740902556</v>
      </c>
    </row>
    <row r="120" spans="1:6" x14ac:dyDescent="0.25">
      <c r="A120" s="12">
        <v>46117</v>
      </c>
      <c r="C120">
        <f t="shared" si="0"/>
        <v>221.44832134427563</v>
      </c>
      <c r="D120">
        <f t="shared" si="1"/>
        <v>22.847186917999988</v>
      </c>
      <c r="E120">
        <f>Weekly[[#This Row],[Forecast]]+Weekly[[#This Row],[PI]]</f>
        <v>244.2955082622756</v>
      </c>
      <c r="F120">
        <f>Weekly[[#This Row],[Forecast]]-Weekly[[#This Row],[PI]]</f>
        <v>198.60113442627565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85" workbookViewId="0">
      <selection activeCell="J109" sqref="J109"/>
    </sheetView>
  </sheetViews>
  <sheetFormatPr defaultRowHeight="15" x14ac:dyDescent="0.25"/>
  <cols>
    <col min="1" max="16384" width="9.140625" style="22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Intro</vt:lpstr>
      <vt:lpstr>Weekly</vt:lpstr>
      <vt:lpstr>Data</vt:lpstr>
      <vt:lpstr>Formula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2026-01-23T00:33:43Z</dcterms:modified>
</cp:coreProperties>
</file>